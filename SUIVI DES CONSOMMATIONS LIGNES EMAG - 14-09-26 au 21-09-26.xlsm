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7.xml" ContentType="application/vnd.openxmlformats-officedocument.spreadsheetml.pivotTab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8.xml" ContentType="application/vnd.openxmlformats-officedocument.spreadsheetml.pivotTab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9.xml" ContentType="application/vnd.openxmlformats-officedocument.spreadsheetml.pivotTab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pivotTables/pivotTable10.xml" ContentType="application/vnd.openxmlformats-officedocument.spreadsheetml.pivotTable+xml"/>
  <Override PartName="/xl/drawings/drawing13.xml" ContentType="application/vnd.openxmlformats-officedocument.drawing+xml"/>
  <Override PartName="/xl/tables/table20.xml" ContentType="application/vnd.openxmlformats-officedocument.spreadsheetml.table+xml"/>
  <Override PartName="/xl/queryTables/queryTable3.xml" ContentType="application/vnd.openxmlformats-officedocument.spreadsheetml.queryTable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2.xml" ContentType="application/vnd.openxmlformats-officedocument.spreadsheetml.tab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3.xml" ContentType="application/vnd.openxmlformats-officedocument.spreadsheetml.table+xml"/>
  <Override PartName="/xl/queryTables/queryTable4.xml" ContentType="application/vnd.openxmlformats-officedocument.spreadsheetml.queryTable+xml"/>
  <Override PartName="/xl/tables/table2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hiftup-my.sharepoint.com/personal/sg58524_stellantis_com/Documents/4-Consommations/2026/HESSAP-EMAG/09-SEPTEMBRE/14-09-2026 au 21-09-2026/"/>
    </mc:Choice>
  </mc:AlternateContent>
  <xr:revisionPtr revIDLastSave="518" documentId="8_{A3095DE8-6645-4F66-9E0A-1371587A546E}" xr6:coauthVersionLast="47" xr6:coauthVersionMax="47" xr10:uidLastSave="{E1E32CF1-9450-4836-9AB6-128B71733041}"/>
  <bookViews>
    <workbookView xWindow="-120" yWindow="-120" windowWidth="29040" windowHeight="15720" tabRatio="802" firstSheet="17" activeTab="23" xr2:uid="{00000000-000D-0000-FFFF-FFFF00000000}"/>
  </bookViews>
  <sheets>
    <sheet name="Tableau plaquette colonne" sheetId="1" r:id="rId1"/>
    <sheet name="Tableau outil complet" sheetId="29" r:id="rId2"/>
    <sheet name="Tableau roto" sheetId="7" r:id="rId3"/>
    <sheet name="Tableau plaquette outil" sheetId="58" r:id="rId4"/>
    <sheet name="Feuil1" sheetId="54" state="hidden" r:id="rId5"/>
    <sheet name="Feuil2" sheetId="55" state="hidden" r:id="rId6"/>
    <sheet name="Tableau plaquette complet" sheetId="61" r:id="rId7"/>
    <sheet name="Coût EMAG " sheetId="3" r:id="rId8"/>
    <sheet name="Quantité EMAG" sheetId="4" r:id="rId9"/>
    <sheet name="Pareto coût EMAG" sheetId="51" r:id="rId10"/>
    <sheet name="Pareto conso EMAG" sheetId="50" r:id="rId11"/>
    <sheet name="Réel-Théorique" sheetId="56" r:id="rId12"/>
    <sheet name="Coût pièce E1 302x26 RPI  " sheetId="8" r:id="rId13"/>
    <sheet name="Cout pièce E1 304x28 RPE" sheetId="10" r:id="rId14"/>
    <sheet name="Cout pièce E1 356x26 RPI" sheetId="16" r:id="rId15"/>
    <sheet name="Coût pièce E2 290x12" sheetId="9" r:id="rId16"/>
    <sheet name="Coût pièce E2 304x28 RPE" sheetId="18" r:id="rId17"/>
    <sheet name="Cout pièce E2 330x14" sheetId="19" r:id="rId18"/>
    <sheet name="Cout pièce E2 356x26 RPI" sheetId="20" r:id="rId19"/>
    <sheet name="Coût pièce E3 290x12" sheetId="21" r:id="rId20"/>
    <sheet name="Cout pièce E3 302x26 RPI" sheetId="22" r:id="rId21"/>
    <sheet name="Cout pièce E3 304x28 RPE" sheetId="23" r:id="rId22"/>
    <sheet name="Cout pièce E3 330x14" sheetId="39" r:id="rId23"/>
    <sheet name="Cout pièce E3 330x28 RPE K0" sheetId="24" r:id="rId24"/>
    <sheet name="Evolution coût EMAG" sheetId="34" r:id="rId25"/>
    <sheet name="Evolution quantité EMAG" sheetId="35" r:id="rId26"/>
    <sheet name="Evolution coût pièce EMAG" sheetId="36" r:id="rId27"/>
    <sheet name="Coût HESSAP" sheetId="30" r:id="rId28"/>
    <sheet name="Quantité HESSAP" sheetId="32" r:id="rId29"/>
    <sheet name="pareto conso HESSAPP" sheetId="52" r:id="rId30"/>
    <sheet name="Pareto cout HESSAPP" sheetId="53" r:id="rId31"/>
    <sheet name="Réel-Théorique HESSAP" sheetId="57" r:id="rId32"/>
    <sheet name="Cout pièce H 266x13" sheetId="25" r:id="rId33"/>
    <sheet name="Cout pièce H 266x22 RPI" sheetId="26" r:id="rId34"/>
    <sheet name="Cout pièce H 283x26 RPI" sheetId="27" r:id="rId35"/>
    <sheet name="Cout pièce H 302x26 RPI" sheetId="28" r:id="rId36"/>
    <sheet name="Evolution coût HESSAPP" sheetId="12" r:id="rId37"/>
    <sheet name="Evolution quantité HESSAP" sheetId="15" r:id="rId38"/>
    <sheet name="Evolution coût pièce HESSAP" sheetId="38" r:id="rId39"/>
    <sheet name="Tableau_plaquette_colonne" sheetId="59" r:id="rId40"/>
    <sheet name="Tableau_plaquette_outil" sheetId="60" r:id="rId41"/>
    <sheet name="Image diapo" sheetId="63" r:id="rId42"/>
  </sheets>
  <definedNames>
    <definedName name="_xlnm._FilterDatabase" localSheetId="1" hidden="1">'Tableau outil complet'!$A$3:$T$673</definedName>
    <definedName name="_xlnm._FilterDatabase" localSheetId="0" hidden="1">'Tableau plaquette colonne'!$A$3:$K$235</definedName>
    <definedName name="_xlnm._FilterDatabase" localSheetId="2" hidden="1">'Tableau roto'!$A$3:$U$408</definedName>
    <definedName name="DonnéesExternes_1" localSheetId="11" hidden="1">'Réel-Théorique'!$I$1:$J$23</definedName>
    <definedName name="DonnéesExternes_1" localSheetId="31" hidden="1">'Réel-Théorique HESSAP'!$I$1:$J$13</definedName>
    <definedName name="DonnéesExternes_1" localSheetId="6" hidden="1">'Tableau plaquette complet'!$A$1:$K$162</definedName>
    <definedName name="DonnéesExternes_1" localSheetId="39" hidden="1">Tableau_plaquette_colonne!$A$1:$K$143</definedName>
    <definedName name="DonnéesExternes_1" localSheetId="40" hidden="1">Tableau_plaquette_outil!$A$1:$K$28</definedName>
  </definedNames>
  <calcPr calcId="191028"/>
  <pivotCaches>
    <pivotCache cacheId="0" r:id="rId4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24" l="1"/>
  <c r="L12" i="24" s="1"/>
  <c r="L12" i="9"/>
  <c r="K12" i="9"/>
  <c r="K10" i="9"/>
  <c r="O10" i="9" s="1"/>
  <c r="N10" i="20"/>
  <c r="L10" i="20" s="1"/>
  <c r="M10" i="20" s="1"/>
  <c r="N12" i="20"/>
  <c r="L12" i="20" s="1"/>
  <c r="M12" i="20" s="1"/>
  <c r="N10" i="19"/>
  <c r="N12" i="19"/>
  <c r="J24" i="56"/>
  <c r="J14" i="57"/>
  <c r="B5" i="57"/>
  <c r="B8" i="57"/>
  <c r="B6" i="57"/>
  <c r="B9" i="57"/>
  <c r="B10" i="57"/>
  <c r="B4" i="57"/>
  <c r="B11" i="57"/>
  <c r="B12" i="57"/>
  <c r="B2" i="57"/>
  <c r="B3" i="57"/>
  <c r="B7" i="57"/>
  <c r="B17" i="56"/>
  <c r="C17" i="56"/>
  <c r="B16" i="56"/>
  <c r="B18" i="56"/>
  <c r="B19" i="56"/>
  <c r="B21" i="56"/>
  <c r="B8" i="56"/>
  <c r="B11" i="56"/>
  <c r="B9" i="56"/>
  <c r="B13" i="56"/>
  <c r="B22" i="56"/>
  <c r="B15" i="56"/>
  <c r="B20" i="56"/>
  <c r="B12" i="56"/>
  <c r="B4" i="56"/>
  <c r="B10" i="56"/>
  <c r="B6" i="56"/>
  <c r="B23" i="56"/>
  <c r="B14" i="56"/>
  <c r="B5" i="56"/>
  <c r="B3" i="56"/>
  <c r="B2" i="56"/>
  <c r="B7" i="56"/>
  <c r="B24" i="56"/>
  <c r="C22" i="56"/>
  <c r="C14" i="56"/>
  <c r="K4" i="16"/>
  <c r="N7" i="16"/>
  <c r="L7" i="16" s="1"/>
  <c r="M7" i="16" s="1"/>
  <c r="K7" i="16"/>
  <c r="N6" i="16"/>
  <c r="L6" i="16" s="1"/>
  <c r="M6" i="16" s="1"/>
  <c r="K8" i="16"/>
  <c r="N4" i="16"/>
  <c r="G4" i="16"/>
  <c r="D4" i="16"/>
  <c r="C11" i="56"/>
  <c r="C9" i="56"/>
  <c r="M12" i="24" l="1"/>
  <c r="L10" i="19"/>
  <c r="M10" i="19" s="1"/>
  <c r="L12" i="19"/>
  <c r="M12" i="19" s="1"/>
  <c r="O7" i="16"/>
  <c r="N23" i="16"/>
  <c r="L23" i="16" s="1"/>
  <c r="M23" i="16" s="1"/>
  <c r="J23" i="16"/>
  <c r="K23" i="16" s="1"/>
  <c r="I23" i="16"/>
  <c r="N22" i="16"/>
  <c r="L22" i="16" s="1"/>
  <c r="M22" i="16" s="1"/>
  <c r="J22" i="16"/>
  <c r="K22" i="16" s="1"/>
  <c r="I22" i="16"/>
  <c r="J21" i="16"/>
  <c r="I21" i="16"/>
  <c r="N20" i="16"/>
  <c r="L20" i="16" s="1"/>
  <c r="M20" i="16" s="1"/>
  <c r="J20" i="16"/>
  <c r="K20" i="16" s="1"/>
  <c r="I20" i="16"/>
  <c r="N19" i="16"/>
  <c r="L19" i="16" s="1"/>
  <c r="M19" i="16" s="1"/>
  <c r="J19" i="16"/>
  <c r="K19" i="16" s="1"/>
  <c r="I19" i="16"/>
  <c r="J18" i="16"/>
  <c r="K18" i="16" s="1"/>
  <c r="I18" i="16"/>
  <c r="J17" i="16"/>
  <c r="K17" i="16" s="1"/>
  <c r="I17" i="16"/>
  <c r="J16" i="16"/>
  <c r="K16" i="16" s="1"/>
  <c r="I16" i="16"/>
  <c r="J15" i="16"/>
  <c r="K15" i="16" s="1"/>
  <c r="I15" i="16"/>
  <c r="N14" i="16"/>
  <c r="L14" i="16" s="1"/>
  <c r="M14" i="16" s="1"/>
  <c r="J14" i="16"/>
  <c r="K14" i="16" s="1"/>
  <c r="I14" i="16"/>
  <c r="J13" i="16"/>
  <c r="I13" i="16"/>
  <c r="N12" i="16"/>
  <c r="L12" i="16" s="1"/>
  <c r="M12" i="16" s="1"/>
  <c r="J12" i="16"/>
  <c r="I12" i="16"/>
  <c r="J11" i="16"/>
  <c r="I11" i="16"/>
  <c r="N10" i="16"/>
  <c r="L10" i="16" s="1"/>
  <c r="M10" i="16" s="1"/>
  <c r="J10" i="16"/>
  <c r="I10" i="16"/>
  <c r="J9" i="16"/>
  <c r="G9" i="16"/>
  <c r="I9" i="16" s="1"/>
  <c r="D9" i="16"/>
  <c r="J8" i="16"/>
  <c r="G8" i="16"/>
  <c r="I8" i="16" s="1"/>
  <c r="D8" i="16"/>
  <c r="J5" i="16"/>
  <c r="G5" i="16"/>
  <c r="I5" i="16" s="1"/>
  <c r="D5" i="16"/>
  <c r="J7" i="16"/>
  <c r="I7" i="16"/>
  <c r="J6" i="16"/>
  <c r="K6" i="16" s="1"/>
  <c r="O6" i="16" s="1"/>
  <c r="I6" i="16"/>
  <c r="J4" i="16"/>
  <c r="I4" i="16"/>
  <c r="I40" i="16" l="1"/>
  <c r="I39" i="16"/>
  <c r="K10" i="16"/>
  <c r="K12" i="16"/>
  <c r="O12" i="16" s="1"/>
  <c r="I38" i="16"/>
  <c r="I31" i="16"/>
  <c r="I41" i="16"/>
  <c r="I30" i="16"/>
  <c r="I32" i="16"/>
  <c r="I33" i="16"/>
  <c r="I34" i="16"/>
  <c r="I35" i="16"/>
  <c r="I36" i="16"/>
  <c r="I37" i="16"/>
  <c r="O20" i="16"/>
  <c r="O23" i="16"/>
  <c r="O10" i="16"/>
  <c r="O14" i="16"/>
  <c r="O19" i="16"/>
  <c r="O22" i="16"/>
  <c r="I24" i="16"/>
  <c r="I25" i="16" s="1"/>
  <c r="J24" i="16"/>
  <c r="N15" i="28"/>
  <c r="N14" i="28"/>
  <c r="N13" i="28"/>
  <c r="N11" i="28"/>
  <c r="N10" i="28"/>
  <c r="N9" i="28"/>
  <c r="N8" i="28"/>
  <c r="N7" i="28"/>
  <c r="N5" i="28"/>
  <c r="N4" i="28"/>
  <c r="N15" i="27"/>
  <c r="N14" i="27"/>
  <c r="N13" i="27"/>
  <c r="N10" i="27"/>
  <c r="N9" i="27"/>
  <c r="N8" i="27"/>
  <c r="N7" i="27"/>
  <c r="N5" i="27"/>
  <c r="N4" i="27"/>
  <c r="N15" i="26"/>
  <c r="N14" i="26"/>
  <c r="N13" i="26"/>
  <c r="N10" i="26"/>
  <c r="N9" i="26"/>
  <c r="N8" i="26"/>
  <c r="N7" i="26"/>
  <c r="N5" i="26"/>
  <c r="N4" i="26"/>
  <c r="N16" i="25"/>
  <c r="N15" i="25"/>
  <c r="N14" i="25"/>
  <c r="N11" i="25"/>
  <c r="N10" i="25"/>
  <c r="N9" i="25"/>
  <c r="N7" i="25"/>
  <c r="N5" i="25"/>
  <c r="N4" i="25"/>
  <c r="N20" i="24"/>
  <c r="N19" i="24"/>
  <c r="N17" i="24"/>
  <c r="N16" i="24"/>
  <c r="N10" i="24"/>
  <c r="L10" i="24" s="1"/>
  <c r="N14" i="24"/>
  <c r="N8" i="24"/>
  <c r="N7" i="24"/>
  <c r="N4" i="24"/>
  <c r="N22" i="39"/>
  <c r="N21" i="39"/>
  <c r="N19" i="39"/>
  <c r="N18" i="39"/>
  <c r="N15" i="39"/>
  <c r="N14" i="39"/>
  <c r="N13" i="39"/>
  <c r="N10" i="39"/>
  <c r="N21" i="23"/>
  <c r="N20" i="23"/>
  <c r="N19" i="23"/>
  <c r="N17" i="23"/>
  <c r="N16" i="23"/>
  <c r="N15" i="23"/>
  <c r="N14" i="23"/>
  <c r="N10" i="23"/>
  <c r="N20" i="22"/>
  <c r="N19" i="22"/>
  <c r="N17" i="22"/>
  <c r="N16" i="22"/>
  <c r="N15" i="22"/>
  <c r="N14" i="22"/>
  <c r="N10" i="22"/>
  <c r="N7" i="22"/>
  <c r="N4" i="22"/>
  <c r="N18" i="21"/>
  <c r="N17" i="21"/>
  <c r="N16" i="21"/>
  <c r="N14" i="21"/>
  <c r="N13" i="21"/>
  <c r="N11" i="21"/>
  <c r="N10" i="21"/>
  <c r="N6" i="21"/>
  <c r="N4" i="21"/>
  <c r="N24" i="20"/>
  <c r="N23" i="20"/>
  <c r="N21" i="20"/>
  <c r="N20" i="20"/>
  <c r="N14" i="20"/>
  <c r="N24" i="19"/>
  <c r="N23" i="19"/>
  <c r="N21" i="19"/>
  <c r="N20" i="19"/>
  <c r="N14" i="19"/>
  <c r="N21" i="18"/>
  <c r="N20" i="18"/>
  <c r="N19" i="18"/>
  <c r="N17" i="18"/>
  <c r="N16" i="18"/>
  <c r="N15" i="18"/>
  <c r="N14" i="18"/>
  <c r="N10" i="18"/>
  <c r="N18" i="9"/>
  <c r="N17" i="9"/>
  <c r="N16" i="9"/>
  <c r="N14" i="9"/>
  <c r="N13" i="9"/>
  <c r="N12" i="9"/>
  <c r="N10" i="9"/>
  <c r="N6" i="9"/>
  <c r="N4" i="9"/>
  <c r="N21" i="10"/>
  <c r="N20" i="10"/>
  <c r="N19" i="10"/>
  <c r="N17" i="10"/>
  <c r="N16" i="10"/>
  <c r="N15" i="10"/>
  <c r="N14" i="10"/>
  <c r="N10" i="10"/>
  <c r="N20" i="8"/>
  <c r="N19" i="8"/>
  <c r="N17" i="8"/>
  <c r="N16" i="8"/>
  <c r="N15" i="8"/>
  <c r="N14" i="8"/>
  <c r="N10" i="8"/>
  <c r="N7" i="8"/>
  <c r="N4" i="8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25" i="58" l="1"/>
  <c r="F20" i="58"/>
  <c r="N17" i="16" s="1"/>
  <c r="L17" i="16" s="1"/>
  <c r="M17" i="16" s="1"/>
  <c r="F22" i="58"/>
  <c r="F17" i="58"/>
  <c r="F24" i="58"/>
  <c r="F19" i="58"/>
  <c r="N18" i="16" s="1"/>
  <c r="F26" i="58"/>
  <c r="F27" i="58"/>
  <c r="F28" i="58"/>
  <c r="F15" i="58"/>
  <c r="F21" i="58"/>
  <c r="F16" i="58"/>
  <c r="N16" i="16" s="1"/>
  <c r="F23" i="58"/>
  <c r="F18" i="58"/>
  <c r="C5" i="57"/>
  <c r="C10" i="57"/>
  <c r="O17" i="16" l="1"/>
  <c r="N15" i="16"/>
  <c r="L18" i="16"/>
  <c r="M18" i="16" s="1"/>
  <c r="O18" i="16"/>
  <c r="L16" i="16"/>
  <c r="M16" i="16" s="1"/>
  <c r="O16" i="16"/>
  <c r="L11" i="28"/>
  <c r="M11" i="28" s="1"/>
  <c r="L15" i="16" l="1"/>
  <c r="M15" i="16" s="1"/>
  <c r="O15" i="16"/>
  <c r="L15" i="19"/>
  <c r="G14" i="19"/>
  <c r="K22" i="58" l="1"/>
  <c r="K21" i="58"/>
  <c r="K25" i="58"/>
  <c r="K24" i="58"/>
  <c r="K23" i="58"/>
  <c r="C4" i="57"/>
  <c r="C2" i="57"/>
  <c r="C12" i="57"/>
  <c r="C3" i="57"/>
  <c r="C8" i="57"/>
  <c r="C6" i="57"/>
  <c r="C9" i="57"/>
  <c r="C7" i="57"/>
  <c r="C11" i="57"/>
  <c r="I22" i="28"/>
  <c r="I31" i="28"/>
  <c r="I30" i="28"/>
  <c r="I27" i="28"/>
  <c r="I25" i="28"/>
  <c r="B13" i="57" l="1"/>
  <c r="C13" i="57"/>
  <c r="C2" i="56"/>
  <c r="C3" i="56"/>
  <c r="C23" i="56"/>
  <c r="C7" i="56"/>
  <c r="C12" i="56"/>
  <c r="C4" i="56"/>
  <c r="C6" i="56"/>
  <c r="C24" i="56"/>
  <c r="C21" i="56"/>
  <c r="C5" i="56"/>
  <c r="C8" i="56"/>
  <c r="C16" i="56"/>
  <c r="C19" i="56"/>
  <c r="C20" i="56"/>
  <c r="C15" i="56"/>
  <c r="C10" i="56"/>
  <c r="C18" i="56"/>
  <c r="C13" i="56"/>
  <c r="C25" i="56" l="1"/>
  <c r="B25" i="56"/>
  <c r="I29" i="24"/>
  <c r="I26" i="24"/>
  <c r="I25" i="24"/>
  <c r="I37" i="39"/>
  <c r="I36" i="39"/>
  <c r="I34" i="39"/>
  <c r="I36" i="23"/>
  <c r="I35" i="23"/>
  <c r="I34" i="23"/>
  <c r="I33" i="23"/>
  <c r="I32" i="23"/>
  <c r="I31" i="23"/>
  <c r="I30" i="23"/>
  <c r="I29" i="23"/>
  <c r="I28" i="23"/>
  <c r="I27" i="23"/>
  <c r="I34" i="22"/>
  <c r="I33" i="22"/>
  <c r="I32" i="22"/>
  <c r="I31" i="22"/>
  <c r="I30" i="22"/>
  <c r="I29" i="22"/>
  <c r="I28" i="22"/>
  <c r="I27" i="22"/>
  <c r="I26" i="22"/>
  <c r="I25" i="22"/>
  <c r="I32" i="21"/>
  <c r="I29" i="21"/>
  <c r="I26" i="21"/>
  <c r="I32" i="9"/>
  <c r="I31" i="9"/>
  <c r="I29" i="9"/>
  <c r="I26" i="9"/>
  <c r="C10" i="35" l="1"/>
  <c r="O14" i="29"/>
  <c r="N14" i="29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4" i="15"/>
  <c r="C5" i="15"/>
  <c r="C6" i="15"/>
  <c r="C2" i="15"/>
  <c r="C2" i="35"/>
  <c r="C4" i="35"/>
  <c r="C5" i="35"/>
  <c r="C6" i="35"/>
  <c r="C7" i="35"/>
  <c r="C8" i="35"/>
  <c r="C9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3" i="35"/>
  <c r="L4" i="29"/>
  <c r="L5" i="29"/>
  <c r="L6" i="29"/>
  <c r="L7" i="29"/>
  <c r="L8" i="29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65" i="29"/>
  <c r="L66" i="29"/>
  <c r="L67" i="29"/>
  <c r="L68" i="29"/>
  <c r="L69" i="29"/>
  <c r="L70" i="29"/>
  <c r="L71" i="29"/>
  <c r="L72" i="29"/>
  <c r="L73" i="29"/>
  <c r="L74" i="29"/>
  <c r="L75" i="29"/>
  <c r="L76" i="29"/>
  <c r="L77" i="29"/>
  <c r="L78" i="29"/>
  <c r="L79" i="29"/>
  <c r="L80" i="29"/>
  <c r="L81" i="29"/>
  <c r="L82" i="29"/>
  <c r="L83" i="29"/>
  <c r="L84" i="29"/>
  <c r="L85" i="29"/>
  <c r="L86" i="29"/>
  <c r="L87" i="29"/>
  <c r="L88" i="29"/>
  <c r="L89" i="29"/>
  <c r="L90" i="29"/>
  <c r="J17" i="19"/>
  <c r="J18" i="19"/>
  <c r="J19" i="19"/>
  <c r="Q87" i="29" l="1"/>
  <c r="Q88" i="29"/>
  <c r="R88" i="29"/>
  <c r="Q89" i="29"/>
  <c r="R89" i="29"/>
  <c r="Q90" i="29"/>
  <c r="R90" i="29"/>
  <c r="Q91" i="29"/>
  <c r="R91" i="29"/>
  <c r="Q92" i="29"/>
  <c r="R92" i="29"/>
  <c r="Q93" i="29"/>
  <c r="R93" i="29"/>
  <c r="Q94" i="29"/>
  <c r="R94" i="29"/>
  <c r="Q95" i="29"/>
  <c r="R95" i="29"/>
  <c r="Q96" i="29"/>
  <c r="R96" i="29"/>
  <c r="Q97" i="29"/>
  <c r="R97" i="29"/>
  <c r="Q98" i="29"/>
  <c r="R98" i="29"/>
  <c r="Q99" i="29"/>
  <c r="R99" i="29"/>
  <c r="R87" i="29"/>
  <c r="X100" i="29" l="1"/>
  <c r="W100" i="29"/>
  <c r="V100" i="29"/>
  <c r="U100" i="29"/>
  <c r="T100" i="29"/>
  <c r="S100" i="29"/>
  <c r="R100" i="29"/>
  <c r="Q100" i="29"/>
  <c r="P100" i="29"/>
  <c r="O100" i="29"/>
  <c r="N100" i="29"/>
  <c r="M100" i="29"/>
  <c r="L100" i="29"/>
  <c r="X99" i="29"/>
  <c r="W99" i="29"/>
  <c r="V99" i="29"/>
  <c r="U99" i="29"/>
  <c r="T99" i="29"/>
  <c r="S99" i="29"/>
  <c r="P99" i="29"/>
  <c r="O99" i="29"/>
  <c r="N99" i="29"/>
  <c r="M99" i="29"/>
  <c r="L99" i="29"/>
  <c r="X98" i="29"/>
  <c r="W98" i="29"/>
  <c r="V98" i="29"/>
  <c r="U98" i="29"/>
  <c r="T98" i="29"/>
  <c r="S98" i="29"/>
  <c r="P98" i="29"/>
  <c r="O98" i="29"/>
  <c r="N98" i="29"/>
  <c r="M98" i="29"/>
  <c r="L98" i="29"/>
  <c r="X97" i="29"/>
  <c r="W97" i="29"/>
  <c r="V97" i="29"/>
  <c r="U97" i="29"/>
  <c r="T97" i="29"/>
  <c r="S97" i="29"/>
  <c r="P97" i="29"/>
  <c r="O97" i="29"/>
  <c r="N97" i="29"/>
  <c r="M97" i="29"/>
  <c r="L97" i="29"/>
  <c r="X96" i="29"/>
  <c r="W96" i="29"/>
  <c r="V96" i="29"/>
  <c r="U96" i="29"/>
  <c r="T96" i="29"/>
  <c r="S96" i="29"/>
  <c r="P96" i="29"/>
  <c r="O96" i="29"/>
  <c r="N96" i="29"/>
  <c r="M96" i="29"/>
  <c r="L96" i="29"/>
  <c r="X95" i="29"/>
  <c r="W95" i="29"/>
  <c r="V95" i="29"/>
  <c r="U95" i="29"/>
  <c r="T95" i="29"/>
  <c r="S95" i="29"/>
  <c r="P95" i="29"/>
  <c r="O95" i="29"/>
  <c r="N95" i="29"/>
  <c r="M95" i="29"/>
  <c r="L95" i="29"/>
  <c r="X94" i="29"/>
  <c r="W94" i="29"/>
  <c r="V94" i="29"/>
  <c r="U94" i="29"/>
  <c r="T94" i="29"/>
  <c r="S94" i="29"/>
  <c r="P94" i="29"/>
  <c r="O94" i="29"/>
  <c r="N94" i="29"/>
  <c r="M94" i="29"/>
  <c r="L94" i="29"/>
  <c r="X93" i="29"/>
  <c r="W93" i="29"/>
  <c r="V93" i="29"/>
  <c r="U93" i="29"/>
  <c r="T93" i="29"/>
  <c r="S93" i="29"/>
  <c r="P93" i="29"/>
  <c r="O93" i="29"/>
  <c r="N93" i="29"/>
  <c r="M93" i="29"/>
  <c r="L93" i="29"/>
  <c r="X92" i="29"/>
  <c r="W92" i="29"/>
  <c r="V92" i="29"/>
  <c r="U92" i="29"/>
  <c r="T92" i="29"/>
  <c r="S92" i="29"/>
  <c r="P92" i="29"/>
  <c r="O92" i="29"/>
  <c r="N92" i="29"/>
  <c r="M92" i="29"/>
  <c r="L92" i="29"/>
  <c r="X91" i="29"/>
  <c r="W91" i="29"/>
  <c r="V91" i="29"/>
  <c r="U91" i="29"/>
  <c r="T91" i="29"/>
  <c r="S91" i="29"/>
  <c r="P91" i="29"/>
  <c r="O91" i="29"/>
  <c r="N91" i="29"/>
  <c r="M91" i="29"/>
  <c r="L91" i="29"/>
  <c r="X90" i="29"/>
  <c r="W90" i="29"/>
  <c r="V90" i="29"/>
  <c r="U90" i="29"/>
  <c r="T90" i="29"/>
  <c r="S90" i="29"/>
  <c r="P90" i="29"/>
  <c r="O90" i="29"/>
  <c r="N90" i="29"/>
  <c r="M90" i="29"/>
  <c r="X89" i="29"/>
  <c r="W89" i="29"/>
  <c r="V89" i="29"/>
  <c r="U89" i="29"/>
  <c r="T89" i="29"/>
  <c r="S89" i="29"/>
  <c r="P89" i="29"/>
  <c r="O89" i="29"/>
  <c r="N89" i="29"/>
  <c r="M89" i="29"/>
  <c r="X88" i="29"/>
  <c r="W88" i="29"/>
  <c r="V88" i="29"/>
  <c r="U88" i="29"/>
  <c r="T88" i="29"/>
  <c r="S88" i="29"/>
  <c r="P88" i="29"/>
  <c r="O88" i="29"/>
  <c r="N88" i="29"/>
  <c r="M88" i="29"/>
  <c r="X87" i="29"/>
  <c r="W87" i="29"/>
  <c r="V87" i="29"/>
  <c r="U87" i="29"/>
  <c r="T87" i="29"/>
  <c r="S87" i="29"/>
  <c r="P87" i="29"/>
  <c r="O87" i="29"/>
  <c r="N87" i="29"/>
  <c r="M87" i="29"/>
  <c r="X86" i="29"/>
  <c r="W86" i="29"/>
  <c r="V86" i="29"/>
  <c r="U86" i="29"/>
  <c r="T86" i="29"/>
  <c r="S86" i="29"/>
  <c r="R86" i="29"/>
  <c r="Q86" i="29"/>
  <c r="P86" i="29"/>
  <c r="O86" i="29"/>
  <c r="N86" i="29"/>
  <c r="M86" i="29"/>
  <c r="X85" i="29"/>
  <c r="W85" i="29"/>
  <c r="V85" i="29"/>
  <c r="U85" i="29"/>
  <c r="T85" i="29"/>
  <c r="S85" i="29"/>
  <c r="R85" i="29"/>
  <c r="Q85" i="29"/>
  <c r="P85" i="29"/>
  <c r="O85" i="29"/>
  <c r="N85" i="29"/>
  <c r="M85" i="29"/>
  <c r="X84" i="29"/>
  <c r="W84" i="29"/>
  <c r="V84" i="29"/>
  <c r="U84" i="29"/>
  <c r="T84" i="29"/>
  <c r="S84" i="29"/>
  <c r="R84" i="29"/>
  <c r="Q84" i="29"/>
  <c r="P84" i="29"/>
  <c r="O84" i="29"/>
  <c r="N84" i="29"/>
  <c r="M84" i="29"/>
  <c r="X83" i="29"/>
  <c r="W83" i="29"/>
  <c r="V83" i="29"/>
  <c r="U83" i="29"/>
  <c r="T83" i="29"/>
  <c r="S83" i="29"/>
  <c r="R83" i="29"/>
  <c r="Q83" i="29"/>
  <c r="P83" i="29"/>
  <c r="O83" i="29"/>
  <c r="N83" i="29"/>
  <c r="M83" i="29"/>
  <c r="X82" i="29"/>
  <c r="W82" i="29"/>
  <c r="V82" i="29"/>
  <c r="U82" i="29"/>
  <c r="T82" i="29"/>
  <c r="S82" i="29"/>
  <c r="R82" i="29"/>
  <c r="Q82" i="29"/>
  <c r="P82" i="29"/>
  <c r="O82" i="29"/>
  <c r="N82" i="29"/>
  <c r="M82" i="29"/>
  <c r="X81" i="29"/>
  <c r="W81" i="29"/>
  <c r="V81" i="29"/>
  <c r="U81" i="29"/>
  <c r="T81" i="29"/>
  <c r="S81" i="29"/>
  <c r="R81" i="29"/>
  <c r="Q81" i="29"/>
  <c r="P81" i="29"/>
  <c r="O81" i="29"/>
  <c r="N81" i="29"/>
  <c r="M81" i="29"/>
  <c r="X80" i="29"/>
  <c r="W80" i="29"/>
  <c r="V80" i="29"/>
  <c r="U80" i="29"/>
  <c r="T80" i="29"/>
  <c r="S80" i="29"/>
  <c r="R80" i="29"/>
  <c r="Q80" i="29"/>
  <c r="P80" i="29"/>
  <c r="O80" i="29"/>
  <c r="N80" i="29"/>
  <c r="M80" i="29"/>
  <c r="X79" i="29"/>
  <c r="W79" i="29"/>
  <c r="V79" i="29"/>
  <c r="U79" i="29"/>
  <c r="T79" i="29"/>
  <c r="S79" i="29"/>
  <c r="R79" i="29"/>
  <c r="Q79" i="29"/>
  <c r="P79" i="29"/>
  <c r="O79" i="29"/>
  <c r="N79" i="29"/>
  <c r="M79" i="29"/>
  <c r="X78" i="29"/>
  <c r="W78" i="29"/>
  <c r="V78" i="29"/>
  <c r="U78" i="29"/>
  <c r="T78" i="29"/>
  <c r="S78" i="29"/>
  <c r="R78" i="29"/>
  <c r="Q78" i="29"/>
  <c r="P78" i="29"/>
  <c r="O78" i="29"/>
  <c r="N78" i="29"/>
  <c r="M78" i="29"/>
  <c r="X77" i="29"/>
  <c r="W77" i="29"/>
  <c r="V77" i="29"/>
  <c r="U77" i="29"/>
  <c r="T77" i="29"/>
  <c r="S77" i="29"/>
  <c r="R77" i="29"/>
  <c r="Q77" i="29"/>
  <c r="P77" i="29"/>
  <c r="O77" i="29"/>
  <c r="N77" i="29"/>
  <c r="M77" i="29"/>
  <c r="X76" i="29"/>
  <c r="W76" i="29"/>
  <c r="V76" i="29"/>
  <c r="U76" i="29"/>
  <c r="T76" i="29"/>
  <c r="S76" i="29"/>
  <c r="R76" i="29"/>
  <c r="Q76" i="29"/>
  <c r="P76" i="29"/>
  <c r="O76" i="29"/>
  <c r="N76" i="29"/>
  <c r="M76" i="29"/>
  <c r="X75" i="29"/>
  <c r="W75" i="29"/>
  <c r="V75" i="29"/>
  <c r="U75" i="29"/>
  <c r="T75" i="29"/>
  <c r="S75" i="29"/>
  <c r="R75" i="29"/>
  <c r="Q75" i="29"/>
  <c r="P75" i="29"/>
  <c r="O75" i="29"/>
  <c r="N75" i="29"/>
  <c r="M75" i="29"/>
  <c r="X74" i="29"/>
  <c r="W74" i="29"/>
  <c r="V74" i="29"/>
  <c r="U74" i="29"/>
  <c r="T74" i="29"/>
  <c r="S74" i="29"/>
  <c r="R74" i="29"/>
  <c r="Q74" i="29"/>
  <c r="P74" i="29"/>
  <c r="O74" i="29"/>
  <c r="N74" i="29"/>
  <c r="M74" i="29"/>
  <c r="X73" i="29"/>
  <c r="W73" i="29"/>
  <c r="V73" i="29"/>
  <c r="U73" i="29"/>
  <c r="T73" i="29"/>
  <c r="S73" i="29"/>
  <c r="R73" i="29"/>
  <c r="Q73" i="29"/>
  <c r="P73" i="29"/>
  <c r="O73" i="29"/>
  <c r="N73" i="29"/>
  <c r="M73" i="29"/>
  <c r="X72" i="29"/>
  <c r="W72" i="29"/>
  <c r="V72" i="29"/>
  <c r="U72" i="29"/>
  <c r="T72" i="29"/>
  <c r="S72" i="29"/>
  <c r="R72" i="29"/>
  <c r="Q72" i="29"/>
  <c r="P72" i="29"/>
  <c r="O72" i="29"/>
  <c r="N72" i="29"/>
  <c r="M72" i="29"/>
  <c r="X71" i="29"/>
  <c r="W71" i="29"/>
  <c r="V71" i="29"/>
  <c r="U71" i="29"/>
  <c r="T71" i="29"/>
  <c r="S71" i="29"/>
  <c r="R71" i="29"/>
  <c r="Q71" i="29"/>
  <c r="P71" i="29"/>
  <c r="O71" i="29"/>
  <c r="N71" i="29"/>
  <c r="M71" i="29"/>
  <c r="X70" i="29"/>
  <c r="W70" i="29"/>
  <c r="V70" i="29"/>
  <c r="U70" i="29"/>
  <c r="T70" i="29"/>
  <c r="S70" i="29"/>
  <c r="R70" i="29"/>
  <c r="Q70" i="29"/>
  <c r="P70" i="29"/>
  <c r="O70" i="29"/>
  <c r="N70" i="29"/>
  <c r="M70" i="29"/>
  <c r="X69" i="29"/>
  <c r="W69" i="29"/>
  <c r="V69" i="29"/>
  <c r="U69" i="29"/>
  <c r="T69" i="29"/>
  <c r="S69" i="29"/>
  <c r="R69" i="29"/>
  <c r="Q69" i="29"/>
  <c r="P69" i="29"/>
  <c r="O69" i="29"/>
  <c r="N69" i="29"/>
  <c r="M69" i="29"/>
  <c r="X68" i="29"/>
  <c r="W68" i="29"/>
  <c r="V68" i="29"/>
  <c r="U68" i="29"/>
  <c r="T68" i="29"/>
  <c r="S68" i="29"/>
  <c r="R68" i="29"/>
  <c r="Q68" i="29"/>
  <c r="P68" i="29"/>
  <c r="O68" i="29"/>
  <c r="N68" i="29"/>
  <c r="M68" i="29"/>
  <c r="X67" i="29"/>
  <c r="W67" i="29"/>
  <c r="V67" i="29"/>
  <c r="U67" i="29"/>
  <c r="T67" i="29"/>
  <c r="S67" i="29"/>
  <c r="R67" i="29"/>
  <c r="Q67" i="29"/>
  <c r="P67" i="29"/>
  <c r="O67" i="29"/>
  <c r="N67" i="29"/>
  <c r="M67" i="29"/>
  <c r="X66" i="29"/>
  <c r="W66" i="29"/>
  <c r="V66" i="29"/>
  <c r="U66" i="29"/>
  <c r="T66" i="29"/>
  <c r="S66" i="29"/>
  <c r="R66" i="29"/>
  <c r="Q66" i="29"/>
  <c r="P66" i="29"/>
  <c r="O66" i="29"/>
  <c r="N66" i="29"/>
  <c r="M66" i="29"/>
  <c r="X65" i="29"/>
  <c r="W65" i="29"/>
  <c r="V65" i="29"/>
  <c r="U65" i="29"/>
  <c r="T65" i="29"/>
  <c r="S65" i="29"/>
  <c r="R65" i="29"/>
  <c r="Q65" i="29"/>
  <c r="P65" i="29"/>
  <c r="O65" i="29"/>
  <c r="N65" i="29"/>
  <c r="M65" i="29"/>
  <c r="X64" i="29"/>
  <c r="W64" i="29"/>
  <c r="V64" i="29"/>
  <c r="U64" i="29"/>
  <c r="T64" i="29"/>
  <c r="S64" i="29"/>
  <c r="R64" i="29"/>
  <c r="Q64" i="29"/>
  <c r="P64" i="29"/>
  <c r="O64" i="29"/>
  <c r="N64" i="29"/>
  <c r="M64" i="29"/>
  <c r="X63" i="29"/>
  <c r="W63" i="29"/>
  <c r="V63" i="29"/>
  <c r="U63" i="29"/>
  <c r="T63" i="29"/>
  <c r="S63" i="29"/>
  <c r="R63" i="29"/>
  <c r="Q63" i="29"/>
  <c r="P63" i="29"/>
  <c r="O63" i="29"/>
  <c r="N63" i="29"/>
  <c r="M63" i="29"/>
  <c r="X62" i="29"/>
  <c r="W62" i="29"/>
  <c r="V62" i="29"/>
  <c r="U62" i="29"/>
  <c r="T62" i="29"/>
  <c r="S62" i="29"/>
  <c r="R62" i="29"/>
  <c r="Q62" i="29"/>
  <c r="P62" i="29"/>
  <c r="O62" i="29"/>
  <c r="N62" i="29"/>
  <c r="M62" i="29"/>
  <c r="X61" i="29"/>
  <c r="W61" i="29"/>
  <c r="V61" i="29"/>
  <c r="U61" i="29"/>
  <c r="T61" i="29"/>
  <c r="S61" i="29"/>
  <c r="R61" i="29"/>
  <c r="Q61" i="29"/>
  <c r="P61" i="29"/>
  <c r="O61" i="29"/>
  <c r="N61" i="29"/>
  <c r="M61" i="29"/>
  <c r="X60" i="29"/>
  <c r="W60" i="29"/>
  <c r="V60" i="29"/>
  <c r="U60" i="29"/>
  <c r="T60" i="29"/>
  <c r="S60" i="29"/>
  <c r="R60" i="29"/>
  <c r="Q60" i="29"/>
  <c r="P60" i="29"/>
  <c r="O60" i="29"/>
  <c r="N60" i="29"/>
  <c r="M60" i="29"/>
  <c r="X59" i="29"/>
  <c r="W59" i="29"/>
  <c r="V59" i="29"/>
  <c r="U59" i="29"/>
  <c r="T59" i="29"/>
  <c r="S59" i="29"/>
  <c r="R59" i="29"/>
  <c r="Q59" i="29"/>
  <c r="P59" i="29"/>
  <c r="O59" i="29"/>
  <c r="N59" i="29"/>
  <c r="M59" i="29"/>
  <c r="X58" i="29"/>
  <c r="W58" i="29"/>
  <c r="V58" i="29"/>
  <c r="U58" i="29"/>
  <c r="T58" i="29"/>
  <c r="S58" i="29"/>
  <c r="R58" i="29"/>
  <c r="Q58" i="29"/>
  <c r="P58" i="29"/>
  <c r="O58" i="29"/>
  <c r="N58" i="29"/>
  <c r="M58" i="29"/>
  <c r="X57" i="29"/>
  <c r="W57" i="29"/>
  <c r="V57" i="29"/>
  <c r="U57" i="29"/>
  <c r="T57" i="29"/>
  <c r="S57" i="29"/>
  <c r="R57" i="29"/>
  <c r="Q57" i="29"/>
  <c r="P57" i="29"/>
  <c r="O57" i="29"/>
  <c r="N57" i="29"/>
  <c r="M57" i="29"/>
  <c r="X56" i="29"/>
  <c r="W56" i="29"/>
  <c r="V56" i="29"/>
  <c r="U56" i="29"/>
  <c r="T56" i="29"/>
  <c r="S56" i="29"/>
  <c r="R56" i="29"/>
  <c r="Q56" i="29"/>
  <c r="P56" i="29"/>
  <c r="O56" i="29"/>
  <c r="N56" i="29"/>
  <c r="M56" i="29"/>
  <c r="X55" i="29"/>
  <c r="W55" i="29"/>
  <c r="V55" i="29"/>
  <c r="U55" i="29"/>
  <c r="T55" i="29"/>
  <c r="S55" i="29"/>
  <c r="R55" i="29"/>
  <c r="Q55" i="29"/>
  <c r="P55" i="29"/>
  <c r="O55" i="29"/>
  <c r="N55" i="29"/>
  <c r="M55" i="29"/>
  <c r="X54" i="29"/>
  <c r="W54" i="29"/>
  <c r="V54" i="29"/>
  <c r="U54" i="29"/>
  <c r="T54" i="29"/>
  <c r="S54" i="29"/>
  <c r="R54" i="29"/>
  <c r="Q54" i="29"/>
  <c r="P54" i="29"/>
  <c r="O54" i="29"/>
  <c r="N54" i="29"/>
  <c r="M54" i="29"/>
  <c r="X53" i="29"/>
  <c r="W53" i="29"/>
  <c r="V53" i="29"/>
  <c r="U53" i="29"/>
  <c r="T53" i="29"/>
  <c r="S53" i="29"/>
  <c r="R53" i="29"/>
  <c r="Q53" i="29"/>
  <c r="P53" i="29"/>
  <c r="O53" i="29"/>
  <c r="N53" i="29"/>
  <c r="M53" i="29"/>
  <c r="X52" i="29"/>
  <c r="W52" i="29"/>
  <c r="V52" i="29"/>
  <c r="U52" i="29"/>
  <c r="T52" i="29"/>
  <c r="S52" i="29"/>
  <c r="R52" i="29"/>
  <c r="Q52" i="29"/>
  <c r="P52" i="29"/>
  <c r="O52" i="29"/>
  <c r="N52" i="29"/>
  <c r="M52" i="29"/>
  <c r="X51" i="29"/>
  <c r="W51" i="29"/>
  <c r="V51" i="29"/>
  <c r="U51" i="29"/>
  <c r="T51" i="29"/>
  <c r="S51" i="29"/>
  <c r="R51" i="29"/>
  <c r="Q51" i="29"/>
  <c r="P51" i="29"/>
  <c r="O51" i="29"/>
  <c r="N51" i="29"/>
  <c r="M51" i="29"/>
  <c r="X50" i="29"/>
  <c r="W50" i="29"/>
  <c r="V50" i="29"/>
  <c r="U50" i="29"/>
  <c r="T50" i="29"/>
  <c r="S50" i="29"/>
  <c r="R50" i="29"/>
  <c r="Q50" i="29"/>
  <c r="P50" i="29"/>
  <c r="O50" i="29"/>
  <c r="N50" i="29"/>
  <c r="M50" i="29"/>
  <c r="X49" i="29"/>
  <c r="W49" i="29"/>
  <c r="V49" i="29"/>
  <c r="U49" i="29"/>
  <c r="T49" i="29"/>
  <c r="S49" i="29"/>
  <c r="R49" i="29"/>
  <c r="Q49" i="29"/>
  <c r="P49" i="29"/>
  <c r="O49" i="29"/>
  <c r="N49" i="29"/>
  <c r="M49" i="29"/>
  <c r="X48" i="29"/>
  <c r="W48" i="29"/>
  <c r="V48" i="29"/>
  <c r="U48" i="29"/>
  <c r="T48" i="29"/>
  <c r="S48" i="29"/>
  <c r="R48" i="29"/>
  <c r="Q48" i="29"/>
  <c r="P48" i="29"/>
  <c r="O48" i="29"/>
  <c r="N48" i="29"/>
  <c r="M48" i="29"/>
  <c r="X47" i="29"/>
  <c r="W47" i="29"/>
  <c r="V47" i="29"/>
  <c r="U47" i="29"/>
  <c r="T47" i="29"/>
  <c r="S47" i="29"/>
  <c r="R47" i="29"/>
  <c r="Q47" i="29"/>
  <c r="P47" i="29"/>
  <c r="O47" i="29"/>
  <c r="N47" i="29"/>
  <c r="M47" i="29"/>
  <c r="X46" i="29"/>
  <c r="W46" i="29"/>
  <c r="V46" i="29"/>
  <c r="U46" i="29"/>
  <c r="T46" i="29"/>
  <c r="S46" i="29"/>
  <c r="R46" i="29"/>
  <c r="Q46" i="29"/>
  <c r="P46" i="29"/>
  <c r="O46" i="29"/>
  <c r="N46" i="29"/>
  <c r="M46" i="29"/>
  <c r="X45" i="29"/>
  <c r="W45" i="29"/>
  <c r="V45" i="29"/>
  <c r="U45" i="29"/>
  <c r="T45" i="29"/>
  <c r="S45" i="29"/>
  <c r="R45" i="29"/>
  <c r="Q45" i="29"/>
  <c r="P45" i="29"/>
  <c r="O45" i="29"/>
  <c r="N45" i="29"/>
  <c r="M45" i="29"/>
  <c r="X44" i="29"/>
  <c r="W44" i="29"/>
  <c r="V44" i="29"/>
  <c r="U44" i="29"/>
  <c r="T44" i="29"/>
  <c r="S44" i="29"/>
  <c r="R44" i="29"/>
  <c r="Q44" i="29"/>
  <c r="P44" i="29"/>
  <c r="O44" i="29"/>
  <c r="N44" i="29"/>
  <c r="M44" i="29"/>
  <c r="X43" i="29"/>
  <c r="W43" i="29"/>
  <c r="V43" i="29"/>
  <c r="U43" i="29"/>
  <c r="T43" i="29"/>
  <c r="S43" i="29"/>
  <c r="R43" i="29"/>
  <c r="Q43" i="29"/>
  <c r="P43" i="29"/>
  <c r="O43" i="29"/>
  <c r="N43" i="29"/>
  <c r="M43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X34" i="29"/>
  <c r="W34" i="29"/>
  <c r="V34" i="29"/>
  <c r="U34" i="29"/>
  <c r="T34" i="29"/>
  <c r="S34" i="29"/>
  <c r="R34" i="29"/>
  <c r="Q34" i="29"/>
  <c r="P34" i="29"/>
  <c r="O34" i="29"/>
  <c r="N34" i="29"/>
  <c r="M34" i="29"/>
  <c r="X33" i="29"/>
  <c r="W33" i="29"/>
  <c r="V33" i="29"/>
  <c r="U33" i="29"/>
  <c r="T33" i="29"/>
  <c r="S33" i="29"/>
  <c r="R33" i="29"/>
  <c r="Q33" i="29"/>
  <c r="P33" i="29"/>
  <c r="O33" i="29"/>
  <c r="N33" i="29"/>
  <c r="M33" i="29"/>
  <c r="X32" i="29"/>
  <c r="W32" i="29"/>
  <c r="V32" i="29"/>
  <c r="U32" i="29"/>
  <c r="T32" i="29"/>
  <c r="S32" i="29"/>
  <c r="R32" i="29"/>
  <c r="Q32" i="29"/>
  <c r="P32" i="29"/>
  <c r="O32" i="29"/>
  <c r="N32" i="29"/>
  <c r="M32" i="29"/>
  <c r="X31" i="29"/>
  <c r="W31" i="29"/>
  <c r="V31" i="29"/>
  <c r="U31" i="29"/>
  <c r="T31" i="29"/>
  <c r="S31" i="29"/>
  <c r="R31" i="29"/>
  <c r="Q31" i="29"/>
  <c r="P31" i="29"/>
  <c r="O31" i="29"/>
  <c r="N31" i="29"/>
  <c r="M31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X23" i="29"/>
  <c r="W23" i="29"/>
  <c r="V23" i="29"/>
  <c r="U23" i="29"/>
  <c r="T23" i="29"/>
  <c r="S23" i="29"/>
  <c r="R23" i="29"/>
  <c r="Q23" i="29"/>
  <c r="P23" i="29"/>
  <c r="O23" i="29"/>
  <c r="N23" i="29"/>
  <c r="M23" i="29"/>
  <c r="X22" i="29"/>
  <c r="W22" i="29"/>
  <c r="V22" i="29"/>
  <c r="U22" i="29"/>
  <c r="T22" i="29"/>
  <c r="S22" i="29"/>
  <c r="R22" i="29"/>
  <c r="Q22" i="29"/>
  <c r="P22" i="29"/>
  <c r="O22" i="29"/>
  <c r="N22" i="29"/>
  <c r="M22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X20" i="29"/>
  <c r="W20" i="29"/>
  <c r="V20" i="29"/>
  <c r="U20" i="29"/>
  <c r="T20" i="29"/>
  <c r="S20" i="29"/>
  <c r="R20" i="29"/>
  <c r="Q20" i="29"/>
  <c r="P20" i="29"/>
  <c r="O20" i="29"/>
  <c r="N20" i="29"/>
  <c r="M20" i="29"/>
  <c r="X19" i="29"/>
  <c r="W19" i="29"/>
  <c r="V19" i="29"/>
  <c r="U19" i="29"/>
  <c r="T19" i="29"/>
  <c r="S19" i="29"/>
  <c r="R19" i="29"/>
  <c r="Q19" i="29"/>
  <c r="P19" i="29"/>
  <c r="O19" i="29"/>
  <c r="N19" i="29"/>
  <c r="M19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X17" i="29"/>
  <c r="W17" i="29"/>
  <c r="V17" i="29"/>
  <c r="U17" i="29"/>
  <c r="T17" i="29"/>
  <c r="S17" i="29"/>
  <c r="R17" i="29"/>
  <c r="Q17" i="29"/>
  <c r="P17" i="29"/>
  <c r="O17" i="29"/>
  <c r="N17" i="29"/>
  <c r="M17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X14" i="29"/>
  <c r="W14" i="29"/>
  <c r="V14" i="29"/>
  <c r="U14" i="29"/>
  <c r="T14" i="29"/>
  <c r="S14" i="29"/>
  <c r="R14" i="29"/>
  <c r="Q14" i="29"/>
  <c r="P14" i="29"/>
  <c r="M14" i="29"/>
  <c r="X13" i="29"/>
  <c r="W13" i="29"/>
  <c r="V13" i="29"/>
  <c r="U13" i="29"/>
  <c r="T13" i="29"/>
  <c r="S13" i="29"/>
  <c r="R13" i="29"/>
  <c r="Q13" i="29"/>
  <c r="P13" i="29"/>
  <c r="O13" i="29"/>
  <c r="N13" i="29"/>
  <c r="M13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X10" i="29"/>
  <c r="W10" i="29"/>
  <c r="V10" i="29"/>
  <c r="U10" i="29"/>
  <c r="T10" i="29"/>
  <c r="S10" i="29"/>
  <c r="R10" i="29"/>
  <c r="Q10" i="29"/>
  <c r="P10" i="29"/>
  <c r="O10" i="29"/>
  <c r="N10" i="29"/>
  <c r="M10" i="29"/>
  <c r="X9" i="29"/>
  <c r="W9" i="29"/>
  <c r="V9" i="29"/>
  <c r="U9" i="29"/>
  <c r="T9" i="29"/>
  <c r="S9" i="29"/>
  <c r="R9" i="29"/>
  <c r="Q9" i="29"/>
  <c r="P9" i="29"/>
  <c r="O9" i="29"/>
  <c r="N9" i="29"/>
  <c r="M9" i="29"/>
  <c r="X8" i="29"/>
  <c r="W8" i="29"/>
  <c r="V8" i="29"/>
  <c r="U8" i="29"/>
  <c r="T8" i="29"/>
  <c r="S8" i="29"/>
  <c r="R8" i="29"/>
  <c r="Q8" i="29"/>
  <c r="P8" i="29"/>
  <c r="O8" i="29"/>
  <c r="N8" i="29"/>
  <c r="M8" i="29"/>
  <c r="X7" i="29"/>
  <c r="W7" i="29"/>
  <c r="V7" i="29"/>
  <c r="U7" i="29"/>
  <c r="T7" i="29"/>
  <c r="S7" i="29"/>
  <c r="R7" i="29"/>
  <c r="Q7" i="29"/>
  <c r="P7" i="29"/>
  <c r="O7" i="29"/>
  <c r="N7" i="29"/>
  <c r="M7" i="29"/>
  <c r="X6" i="29"/>
  <c r="W6" i="29"/>
  <c r="V6" i="29"/>
  <c r="U6" i="29"/>
  <c r="T6" i="29"/>
  <c r="S6" i="29"/>
  <c r="R6" i="29"/>
  <c r="Q6" i="29"/>
  <c r="P6" i="29"/>
  <c r="O6" i="29"/>
  <c r="N6" i="29"/>
  <c r="M6" i="29"/>
  <c r="X5" i="29"/>
  <c r="W5" i="29"/>
  <c r="V5" i="29"/>
  <c r="U5" i="29"/>
  <c r="T5" i="29"/>
  <c r="S5" i="29"/>
  <c r="R5" i="29"/>
  <c r="Q5" i="29"/>
  <c r="P5" i="29"/>
  <c r="O5" i="29"/>
  <c r="N5" i="29"/>
  <c r="M5" i="29"/>
  <c r="X4" i="29"/>
  <c r="W4" i="29"/>
  <c r="V4" i="29"/>
  <c r="U4" i="29"/>
  <c r="T4" i="29"/>
  <c r="S4" i="29"/>
  <c r="R4" i="29"/>
  <c r="Q4" i="29"/>
  <c r="P4" i="29"/>
  <c r="O4" i="29"/>
  <c r="N4" i="29"/>
  <c r="M4" i="29"/>
  <c r="F4" i="58" l="1"/>
  <c r="N8" i="16" s="1"/>
  <c r="F14" i="58"/>
  <c r="K14" i="58" s="1"/>
  <c r="F10" i="58"/>
  <c r="K10" i="58" s="1"/>
  <c r="F3" i="58"/>
  <c r="F7" i="58"/>
  <c r="F13" i="58"/>
  <c r="F6" i="58"/>
  <c r="F9" i="58"/>
  <c r="F8" i="58"/>
  <c r="F2" i="58"/>
  <c r="F12" i="58"/>
  <c r="F5" i="58"/>
  <c r="F11" i="58"/>
  <c r="D9" i="39"/>
  <c r="D8" i="39"/>
  <c r="D9" i="20"/>
  <c r="D8" i="20"/>
  <c r="D9" i="19"/>
  <c r="D8" i="19"/>
  <c r="D9" i="18"/>
  <c r="D8" i="18"/>
  <c r="D7" i="18"/>
  <c r="D9" i="10"/>
  <c r="D8" i="10"/>
  <c r="D7" i="10"/>
  <c r="D7" i="39"/>
  <c r="D6" i="39"/>
  <c r="D5" i="39"/>
  <c r="D4" i="39"/>
  <c r="D7" i="20"/>
  <c r="D6" i="20"/>
  <c r="D5" i="20"/>
  <c r="D4" i="20"/>
  <c r="D7" i="19"/>
  <c r="D6" i="19"/>
  <c r="D5" i="19"/>
  <c r="D4" i="19"/>
  <c r="D6" i="18"/>
  <c r="D5" i="18"/>
  <c r="D4" i="18"/>
  <c r="D6" i="10"/>
  <c r="D5" i="10"/>
  <c r="D4" i="10"/>
  <c r="I39" i="20" l="1"/>
  <c r="I41" i="20"/>
  <c r="I39" i="19"/>
  <c r="I38" i="19"/>
  <c r="I35" i="19"/>
  <c r="K4" i="58"/>
  <c r="N4" i="39"/>
  <c r="N4" i="19"/>
  <c r="K9" i="58"/>
  <c r="N8" i="20"/>
  <c r="K6" i="58"/>
  <c r="K5" i="58"/>
  <c r="N8" i="39"/>
  <c r="K13" i="58"/>
  <c r="N8" i="19"/>
  <c r="K8" i="58"/>
  <c r="N4" i="23"/>
  <c r="K12" i="58"/>
  <c r="N4" i="20"/>
  <c r="K7" i="58"/>
  <c r="N7" i="23"/>
  <c r="K11" i="58"/>
  <c r="N7" i="10"/>
  <c r="K2" i="58"/>
  <c r="F29" i="58"/>
  <c r="L8" i="16"/>
  <c r="M8" i="16" s="1"/>
  <c r="O8" i="16"/>
  <c r="N4" i="10"/>
  <c r="K3" i="58"/>
  <c r="L22" i="39"/>
  <c r="M22" i="39" s="1"/>
  <c r="L21" i="39"/>
  <c r="M21" i="39" s="1"/>
  <c r="L19" i="39"/>
  <c r="M19" i="39" s="1"/>
  <c r="L18" i="39"/>
  <c r="M18" i="39" s="1"/>
  <c r="L10" i="39"/>
  <c r="M10" i="39" s="1"/>
  <c r="J22" i="39"/>
  <c r="I22" i="39"/>
  <c r="J21" i="39"/>
  <c r="I21" i="39"/>
  <c r="J20" i="39"/>
  <c r="I20" i="39"/>
  <c r="J19" i="39"/>
  <c r="I39" i="39" s="1"/>
  <c r="I19" i="39"/>
  <c r="J18" i="39"/>
  <c r="I18" i="39"/>
  <c r="I17" i="39"/>
  <c r="J16" i="39"/>
  <c r="I33" i="39" s="1"/>
  <c r="I16" i="39"/>
  <c r="L15" i="39"/>
  <c r="M15" i="39" s="1"/>
  <c r="J15" i="39"/>
  <c r="I15" i="39"/>
  <c r="L14" i="39"/>
  <c r="M14" i="39" s="1"/>
  <c r="J13" i="39"/>
  <c r="J12" i="39"/>
  <c r="I12" i="39"/>
  <c r="J11" i="39"/>
  <c r="I11" i="39"/>
  <c r="J10" i="39"/>
  <c r="I29" i="39" s="1"/>
  <c r="I10" i="39"/>
  <c r="H9" i="39"/>
  <c r="J9" i="39" s="1"/>
  <c r="G9" i="39"/>
  <c r="I9" i="39" s="1"/>
  <c r="H8" i="39"/>
  <c r="J8" i="39" s="1"/>
  <c r="G8" i="39"/>
  <c r="H7" i="39"/>
  <c r="J7" i="39" s="1"/>
  <c r="G7" i="39"/>
  <c r="H6" i="39"/>
  <c r="J6" i="39" s="1"/>
  <c r="G6" i="39"/>
  <c r="H5" i="39"/>
  <c r="J5" i="39" s="1"/>
  <c r="G5" i="39"/>
  <c r="H4" i="39"/>
  <c r="J4" i="39" s="1"/>
  <c r="G4" i="39"/>
  <c r="L21" i="23"/>
  <c r="M21" i="23" s="1"/>
  <c r="L20" i="23"/>
  <c r="M20" i="23" s="1"/>
  <c r="L19" i="23"/>
  <c r="M19" i="23" s="1"/>
  <c r="L17" i="23"/>
  <c r="M17" i="23" s="1"/>
  <c r="L16" i="23"/>
  <c r="M16" i="23" s="1"/>
  <c r="L15" i="23"/>
  <c r="M15" i="23" s="1"/>
  <c r="L14" i="23"/>
  <c r="M14" i="23" s="1"/>
  <c r="L10" i="23"/>
  <c r="M10" i="23" s="1"/>
  <c r="J21" i="23"/>
  <c r="K21" i="23" s="1"/>
  <c r="I21" i="23"/>
  <c r="J20" i="23"/>
  <c r="K20" i="23" s="1"/>
  <c r="I20" i="23"/>
  <c r="J19" i="23"/>
  <c r="K19" i="23" s="1"/>
  <c r="I19" i="23"/>
  <c r="J18" i="23"/>
  <c r="I18" i="23"/>
  <c r="J17" i="23"/>
  <c r="I17" i="23"/>
  <c r="J16" i="23"/>
  <c r="K16" i="23" s="1"/>
  <c r="I16" i="23"/>
  <c r="J15" i="23"/>
  <c r="K15" i="23" s="1"/>
  <c r="I15" i="23"/>
  <c r="J14" i="23"/>
  <c r="K14" i="23" s="1"/>
  <c r="I14" i="23"/>
  <c r="J13" i="23"/>
  <c r="I13" i="23"/>
  <c r="J12" i="23"/>
  <c r="I12" i="23"/>
  <c r="J11" i="23"/>
  <c r="I11" i="23"/>
  <c r="J10" i="23"/>
  <c r="I10" i="23"/>
  <c r="J9" i="23"/>
  <c r="G9" i="23"/>
  <c r="I9" i="23" s="1"/>
  <c r="D9" i="23"/>
  <c r="J8" i="23"/>
  <c r="G8" i="23"/>
  <c r="I8" i="23" s="1"/>
  <c r="D8" i="23"/>
  <c r="J7" i="23"/>
  <c r="G7" i="23"/>
  <c r="I7" i="23" s="1"/>
  <c r="D7" i="23"/>
  <c r="J6" i="23"/>
  <c r="G6" i="23"/>
  <c r="I6" i="23" s="1"/>
  <c r="D6" i="23"/>
  <c r="J5" i="23"/>
  <c r="G5" i="23"/>
  <c r="I5" i="23" s="1"/>
  <c r="D5" i="23"/>
  <c r="J4" i="23"/>
  <c r="G4" i="23"/>
  <c r="I4" i="23" s="1"/>
  <c r="D4" i="23"/>
  <c r="L21" i="18"/>
  <c r="M21" i="18" s="1"/>
  <c r="L20" i="18"/>
  <c r="M20" i="18" s="1"/>
  <c r="L19" i="18"/>
  <c r="M19" i="18" s="1"/>
  <c r="L17" i="18"/>
  <c r="M17" i="18" s="1"/>
  <c r="L16" i="18"/>
  <c r="M16" i="18" s="1"/>
  <c r="L15" i="18"/>
  <c r="M15" i="18" s="1"/>
  <c r="L14" i="18"/>
  <c r="M14" i="18" s="1"/>
  <c r="L10" i="18"/>
  <c r="M10" i="18" s="1"/>
  <c r="J21" i="18"/>
  <c r="K21" i="18" s="1"/>
  <c r="I21" i="18"/>
  <c r="J20" i="18"/>
  <c r="K20" i="18" s="1"/>
  <c r="I20" i="18"/>
  <c r="J19" i="18"/>
  <c r="K19" i="18" s="1"/>
  <c r="I19" i="18"/>
  <c r="J18" i="18"/>
  <c r="I18" i="18"/>
  <c r="J17" i="18"/>
  <c r="K17" i="18" s="1"/>
  <c r="I17" i="18"/>
  <c r="J16" i="18"/>
  <c r="K16" i="18" s="1"/>
  <c r="I16" i="18"/>
  <c r="J15" i="18"/>
  <c r="K15" i="18" s="1"/>
  <c r="I15" i="18"/>
  <c r="J14" i="18"/>
  <c r="K14" i="18" s="1"/>
  <c r="I14" i="18"/>
  <c r="J13" i="18"/>
  <c r="I13" i="18"/>
  <c r="J12" i="18"/>
  <c r="I12" i="18"/>
  <c r="J11" i="18"/>
  <c r="I11" i="18"/>
  <c r="J10" i="18"/>
  <c r="I10" i="18"/>
  <c r="J9" i="18"/>
  <c r="G9" i="18"/>
  <c r="I9" i="18" s="1"/>
  <c r="J8" i="18"/>
  <c r="G8" i="18"/>
  <c r="I8" i="18" s="1"/>
  <c r="J7" i="18"/>
  <c r="G7" i="18"/>
  <c r="I7" i="18" s="1"/>
  <c r="J6" i="18"/>
  <c r="G6" i="18"/>
  <c r="I6" i="18" s="1"/>
  <c r="J5" i="18"/>
  <c r="G5" i="18"/>
  <c r="I5" i="18" s="1"/>
  <c r="J4" i="18"/>
  <c r="G4" i="18"/>
  <c r="I4" i="18" s="1"/>
  <c r="L4" i="16" l="1"/>
  <c r="M4" i="16" s="1"/>
  <c r="M24" i="16" s="1"/>
  <c r="M25" i="16" s="1"/>
  <c r="O4" i="16"/>
  <c r="N24" i="16"/>
  <c r="K27" i="58"/>
  <c r="K28" i="58"/>
  <c r="K13" i="39"/>
  <c r="O13" i="39" s="1"/>
  <c r="I30" i="39"/>
  <c r="K18" i="39"/>
  <c r="O18" i="39" s="1"/>
  <c r="I38" i="39"/>
  <c r="K22" i="39"/>
  <c r="I35" i="39"/>
  <c r="K15" i="39"/>
  <c r="O15" i="39" s="1"/>
  <c r="I31" i="39"/>
  <c r="I27" i="39"/>
  <c r="I28" i="39"/>
  <c r="K21" i="39"/>
  <c r="O21" i="39" s="1"/>
  <c r="I32" i="39"/>
  <c r="J17" i="39"/>
  <c r="J23" i="39" s="1"/>
  <c r="I13" i="39"/>
  <c r="I8" i="39"/>
  <c r="K10" i="39"/>
  <c r="O10" i="39" s="1"/>
  <c r="K19" i="39"/>
  <c r="O19" i="39" s="1"/>
  <c r="K17" i="23"/>
  <c r="O22" i="39"/>
  <c r="I7" i="39"/>
  <c r="K16" i="39"/>
  <c r="I4" i="39"/>
  <c r="K8" i="39"/>
  <c r="K4" i="39"/>
  <c r="I5" i="39"/>
  <c r="L13" i="39"/>
  <c r="M13" i="39" s="1"/>
  <c r="I6" i="39"/>
  <c r="K7" i="23"/>
  <c r="K10" i="23"/>
  <c r="O10" i="23" s="1"/>
  <c r="K4" i="23"/>
  <c r="I22" i="18"/>
  <c r="I23" i="18" s="1"/>
  <c r="O15" i="23"/>
  <c r="O21" i="23"/>
  <c r="O20" i="23"/>
  <c r="O19" i="23"/>
  <c r="O17" i="23"/>
  <c r="O16" i="23"/>
  <c r="O14" i="23"/>
  <c r="I22" i="23"/>
  <c r="I23" i="23" s="1"/>
  <c r="J22" i="23"/>
  <c r="K7" i="18"/>
  <c r="K10" i="18"/>
  <c r="K4" i="18"/>
  <c r="O21" i="18"/>
  <c r="O20" i="18"/>
  <c r="O19" i="18"/>
  <c r="O17" i="18"/>
  <c r="O16" i="18"/>
  <c r="O15" i="18"/>
  <c r="O14" i="18"/>
  <c r="O10" i="18"/>
  <c r="J22" i="18"/>
  <c r="L14" i="19"/>
  <c r="M14" i="19" s="1"/>
  <c r="M15" i="19"/>
  <c r="N16" i="39" l="1"/>
  <c r="K17" i="39"/>
  <c r="L4" i="39"/>
  <c r="M4" i="39" s="1"/>
  <c r="I23" i="39"/>
  <c r="I24" i="39" s="1"/>
  <c r="L8" i="39"/>
  <c r="M8" i="39" s="1"/>
  <c r="N17" i="39"/>
  <c r="L17" i="39" s="1"/>
  <c r="M17" i="39" s="1"/>
  <c r="K16" i="58"/>
  <c r="H9" i="20"/>
  <c r="H8" i="20"/>
  <c r="H7" i="20"/>
  <c r="H4" i="20"/>
  <c r="G9" i="20"/>
  <c r="G8" i="20"/>
  <c r="G7" i="20"/>
  <c r="G6" i="20"/>
  <c r="G5" i="20"/>
  <c r="G4" i="20"/>
  <c r="G9" i="19"/>
  <c r="G8" i="19"/>
  <c r="G7" i="19"/>
  <c r="G6" i="19"/>
  <c r="G5" i="19"/>
  <c r="G4" i="19"/>
  <c r="I19" i="19"/>
  <c r="K18" i="19"/>
  <c r="I18" i="19"/>
  <c r="I17" i="19"/>
  <c r="J16" i="19"/>
  <c r="I16" i="19"/>
  <c r="G9" i="10"/>
  <c r="G8" i="10"/>
  <c r="G7" i="10"/>
  <c r="G6" i="10"/>
  <c r="G5" i="10"/>
  <c r="G4" i="10"/>
  <c r="K18" i="58" l="1"/>
  <c r="K19" i="58"/>
  <c r="K17" i="58"/>
  <c r="K20" i="58"/>
  <c r="K15" i="58"/>
  <c r="K17" i="19"/>
  <c r="I36" i="19"/>
  <c r="O4" i="39"/>
  <c r="O8" i="39"/>
  <c r="O17" i="39"/>
  <c r="K16" i="19"/>
  <c r="K19" i="19"/>
  <c r="I17" i="20"/>
  <c r="I18" i="20"/>
  <c r="I19" i="20"/>
  <c r="K26" i="58"/>
  <c r="J16" i="20"/>
  <c r="J4" i="20"/>
  <c r="I16" i="20"/>
  <c r="J18" i="20"/>
  <c r="K29" i="58" l="1"/>
  <c r="K16" i="20"/>
  <c r="I36" i="20"/>
  <c r="J19" i="20"/>
  <c r="K19" i="20" s="1"/>
  <c r="I35" i="20"/>
  <c r="N19" i="19"/>
  <c r="L19" i="19" s="1"/>
  <c r="M19" i="19" s="1"/>
  <c r="N18" i="19"/>
  <c r="L18" i="19" s="1"/>
  <c r="M18" i="19" s="1"/>
  <c r="K18" i="20"/>
  <c r="J17" i="20"/>
  <c r="K17" i="20" l="1"/>
  <c r="I38" i="20"/>
  <c r="O18" i="19"/>
  <c r="O19" i="19"/>
  <c r="N17" i="20"/>
  <c r="L17" i="20" s="1"/>
  <c r="M17" i="20" s="1"/>
  <c r="N17" i="19"/>
  <c r="O17" i="19" s="1"/>
  <c r="N16" i="20"/>
  <c r="N16" i="19"/>
  <c r="O16" i="19" s="1"/>
  <c r="N19" i="20"/>
  <c r="L19" i="20" s="1"/>
  <c r="M19" i="20" s="1"/>
  <c r="N18" i="20"/>
  <c r="L16" i="39" l="1"/>
  <c r="M16" i="39" s="1"/>
  <c r="M23" i="39" s="1"/>
  <c r="M24" i="39" s="1"/>
  <c r="O16" i="39"/>
  <c r="N23" i="39"/>
  <c r="L16" i="19"/>
  <c r="M16" i="19" s="1"/>
  <c r="L17" i="19"/>
  <c r="M17" i="19" s="1"/>
  <c r="O19" i="20"/>
  <c r="O17" i="20"/>
  <c r="O16" i="20"/>
  <c r="L16" i="20"/>
  <c r="M16" i="20" s="1"/>
  <c r="L18" i="20"/>
  <c r="M18" i="20" s="1"/>
  <c r="O18" i="20"/>
  <c r="O4" i="23" l="1"/>
  <c r="L4" i="23"/>
  <c r="M4" i="23" s="1"/>
  <c r="N22" i="23"/>
  <c r="N22" i="18"/>
  <c r="O4" i="18"/>
  <c r="L4" i="18"/>
  <c r="M4" i="18" s="1"/>
  <c r="M22" i="18" s="1"/>
  <c r="M23" i="18" s="1"/>
  <c r="L24" i="19"/>
  <c r="M24" i="19" s="1"/>
  <c r="L23" i="19"/>
  <c r="M23" i="19" s="1"/>
  <c r="L21" i="19"/>
  <c r="M21" i="19" s="1"/>
  <c r="L20" i="19"/>
  <c r="M20" i="19" s="1"/>
  <c r="L8" i="19"/>
  <c r="M8" i="19" s="1"/>
  <c r="L4" i="19"/>
  <c r="M4" i="19" s="1"/>
  <c r="J24" i="19"/>
  <c r="I24" i="19"/>
  <c r="J23" i="19"/>
  <c r="I23" i="19"/>
  <c r="J22" i="19"/>
  <c r="I22" i="19"/>
  <c r="J21" i="19"/>
  <c r="I41" i="19" s="1"/>
  <c r="I21" i="19"/>
  <c r="J20" i="19"/>
  <c r="I20" i="19"/>
  <c r="J11" i="19"/>
  <c r="I11" i="19"/>
  <c r="J14" i="19"/>
  <c r="I14" i="19"/>
  <c r="J13" i="19"/>
  <c r="I13" i="19"/>
  <c r="J12" i="19"/>
  <c r="I12" i="19"/>
  <c r="J10" i="19"/>
  <c r="K10" i="19" s="1"/>
  <c r="O10" i="19" s="1"/>
  <c r="I10" i="19"/>
  <c r="J9" i="19"/>
  <c r="I9" i="19"/>
  <c r="J8" i="19"/>
  <c r="I30" i="19" s="1"/>
  <c r="I8" i="19"/>
  <c r="J7" i="19"/>
  <c r="I7" i="19"/>
  <c r="J6" i="19"/>
  <c r="I6" i="19"/>
  <c r="J5" i="19"/>
  <c r="I5" i="19"/>
  <c r="J4" i="19"/>
  <c r="I4" i="19"/>
  <c r="K12" i="19" l="1"/>
  <c r="O12" i="19" s="1"/>
  <c r="I29" i="19"/>
  <c r="I31" i="19"/>
  <c r="K23" i="19"/>
  <c r="O23" i="19" s="1"/>
  <c r="I34" i="19"/>
  <c r="I33" i="19"/>
  <c r="K24" i="19"/>
  <c r="O24" i="19" s="1"/>
  <c r="I37" i="19"/>
  <c r="K14" i="19"/>
  <c r="O14" i="19" s="1"/>
  <c r="I32" i="19"/>
  <c r="K20" i="19"/>
  <c r="O20" i="19" s="1"/>
  <c r="I40" i="19"/>
  <c r="N25" i="19"/>
  <c r="L7" i="23"/>
  <c r="M7" i="23" s="1"/>
  <c r="M22" i="23" s="1"/>
  <c r="M23" i="23" s="1"/>
  <c r="O7" i="23"/>
  <c r="L7" i="18"/>
  <c r="M7" i="18" s="1"/>
  <c r="O7" i="18"/>
  <c r="K8" i="19"/>
  <c r="O8" i="19" s="1"/>
  <c r="K4" i="19"/>
  <c r="O4" i="19" s="1"/>
  <c r="K21" i="19"/>
  <c r="O21" i="19" s="1"/>
  <c r="I25" i="19"/>
  <c r="I26" i="19" s="1"/>
  <c r="J25" i="19"/>
  <c r="M25" i="19" l="1"/>
  <c r="M26" i="19" s="1"/>
  <c r="L15" i="28"/>
  <c r="M15" i="28" s="1"/>
  <c r="L14" i="28"/>
  <c r="M14" i="28" s="1"/>
  <c r="L13" i="28"/>
  <c r="M13" i="28" s="1"/>
  <c r="L10" i="28"/>
  <c r="M10" i="28" s="1"/>
  <c r="L9" i="28"/>
  <c r="M9" i="28" s="1"/>
  <c r="L7" i="28"/>
  <c r="M7" i="28" s="1"/>
  <c r="L8" i="28"/>
  <c r="M8" i="28" s="1"/>
  <c r="L5" i="28"/>
  <c r="M5" i="28" s="1"/>
  <c r="J16" i="28"/>
  <c r="I16" i="28"/>
  <c r="J15" i="28"/>
  <c r="I28" i="28" s="1"/>
  <c r="I15" i="28"/>
  <c r="J14" i="28"/>
  <c r="K14" i="28" s="1"/>
  <c r="I14" i="28"/>
  <c r="J13" i="28"/>
  <c r="I13" i="28"/>
  <c r="J12" i="28"/>
  <c r="I12" i="28"/>
  <c r="J11" i="28"/>
  <c r="I11" i="28"/>
  <c r="J10" i="28"/>
  <c r="K10" i="28" s="1"/>
  <c r="I10" i="28"/>
  <c r="J9" i="28"/>
  <c r="K9" i="28" s="1"/>
  <c r="I9" i="28"/>
  <c r="J8" i="28"/>
  <c r="I8" i="28"/>
  <c r="J7" i="28"/>
  <c r="K7" i="28" s="1"/>
  <c r="I7" i="28"/>
  <c r="J6" i="28"/>
  <c r="I6" i="28"/>
  <c r="J5" i="28"/>
  <c r="I5" i="28"/>
  <c r="J4" i="28"/>
  <c r="I4" i="28"/>
  <c r="O10" i="28" l="1"/>
  <c r="I32" i="28"/>
  <c r="K11" i="28"/>
  <c r="O11" i="28" s="1"/>
  <c r="I26" i="28"/>
  <c r="K4" i="28"/>
  <c r="O4" i="28" s="1"/>
  <c r="I24" i="28"/>
  <c r="K8" i="28"/>
  <c r="O8" i="28" s="1"/>
  <c r="I23" i="28"/>
  <c r="K13" i="28"/>
  <c r="O13" i="28" s="1"/>
  <c r="I29" i="28"/>
  <c r="L4" i="28"/>
  <c r="M4" i="28" s="1"/>
  <c r="M17" i="28" s="1"/>
  <c r="M18" i="28" s="1"/>
  <c r="K15" i="28"/>
  <c r="O15" i="28" s="1"/>
  <c r="K5" i="28"/>
  <c r="O5" i="28" s="1"/>
  <c r="I17" i="28"/>
  <c r="I18" i="28" s="1"/>
  <c r="O14" i="28"/>
  <c r="O9" i="28"/>
  <c r="O7" i="28"/>
  <c r="N17" i="28"/>
  <c r="J17" i="28"/>
  <c r="L15" i="27" l="1"/>
  <c r="M15" i="27" s="1"/>
  <c r="L14" i="27"/>
  <c r="M14" i="27" s="1"/>
  <c r="L13" i="27"/>
  <c r="M13" i="27" s="1"/>
  <c r="L7" i="27"/>
  <c r="M7" i="27" s="1"/>
  <c r="L8" i="27"/>
  <c r="M8" i="27" s="1"/>
  <c r="L9" i="27"/>
  <c r="M9" i="27" s="1"/>
  <c r="L10" i="27"/>
  <c r="M10" i="27" s="1"/>
  <c r="L5" i="27"/>
  <c r="M5" i="27" s="1"/>
  <c r="L4" i="27"/>
  <c r="M4" i="27" s="1"/>
  <c r="J16" i="27"/>
  <c r="I16" i="27"/>
  <c r="J15" i="27"/>
  <c r="K15" i="27" s="1"/>
  <c r="I15" i="27"/>
  <c r="J14" i="27"/>
  <c r="K14" i="27" s="1"/>
  <c r="I14" i="27"/>
  <c r="J13" i="27"/>
  <c r="K13" i="27" s="1"/>
  <c r="I13" i="27"/>
  <c r="J12" i="27"/>
  <c r="I12" i="27"/>
  <c r="J11" i="27"/>
  <c r="I11" i="27"/>
  <c r="J10" i="27"/>
  <c r="K10" i="27" s="1"/>
  <c r="I10" i="27"/>
  <c r="J9" i="27"/>
  <c r="K9" i="27" s="1"/>
  <c r="I9" i="27"/>
  <c r="J8" i="27"/>
  <c r="K8" i="27" s="1"/>
  <c r="I8" i="27"/>
  <c r="J7" i="27"/>
  <c r="K7" i="27" s="1"/>
  <c r="I7" i="27"/>
  <c r="J6" i="27"/>
  <c r="I6" i="27"/>
  <c r="J5" i="27"/>
  <c r="K5" i="27" s="1"/>
  <c r="I5" i="27"/>
  <c r="J4" i="27"/>
  <c r="K4" i="27" s="1"/>
  <c r="I4" i="27"/>
  <c r="I17" i="27" s="1"/>
  <c r="I18" i="27" s="1"/>
  <c r="O10" i="27" l="1"/>
  <c r="O15" i="27"/>
  <c r="O14" i="27"/>
  <c r="O13" i="27"/>
  <c r="O9" i="27"/>
  <c r="O8" i="27"/>
  <c r="O7" i="27"/>
  <c r="O5" i="27"/>
  <c r="N17" i="27"/>
  <c r="O4" i="27"/>
  <c r="M17" i="27"/>
  <c r="M18" i="27" s="1"/>
  <c r="J17" i="27"/>
  <c r="L15" i="26" l="1"/>
  <c r="M15" i="26" s="1"/>
  <c r="L14" i="26"/>
  <c r="M14" i="26" s="1"/>
  <c r="L13" i="26"/>
  <c r="M13" i="26" s="1"/>
  <c r="L10" i="26"/>
  <c r="M10" i="26" s="1"/>
  <c r="L9" i="26"/>
  <c r="M9" i="26" s="1"/>
  <c r="L8" i="26"/>
  <c r="M8" i="26" s="1"/>
  <c r="L7" i="26"/>
  <c r="M7" i="26" s="1"/>
  <c r="L5" i="26"/>
  <c r="M5" i="26" s="1"/>
  <c r="L4" i="26"/>
  <c r="M4" i="26" s="1"/>
  <c r="J16" i="26"/>
  <c r="I16" i="26"/>
  <c r="J15" i="26"/>
  <c r="K15" i="26" s="1"/>
  <c r="I15" i="26"/>
  <c r="J14" i="26"/>
  <c r="K14" i="26" s="1"/>
  <c r="I14" i="26"/>
  <c r="J13" i="26"/>
  <c r="K13" i="26" s="1"/>
  <c r="I13" i="26"/>
  <c r="J12" i="26"/>
  <c r="I12" i="26"/>
  <c r="J11" i="26"/>
  <c r="I11" i="26"/>
  <c r="J10" i="26"/>
  <c r="K10" i="26" s="1"/>
  <c r="I10" i="26"/>
  <c r="J9" i="26"/>
  <c r="K9" i="26" s="1"/>
  <c r="I9" i="26"/>
  <c r="J8" i="26"/>
  <c r="K8" i="26" s="1"/>
  <c r="I8" i="26"/>
  <c r="J7" i="26"/>
  <c r="K7" i="26" s="1"/>
  <c r="I7" i="26"/>
  <c r="J6" i="26"/>
  <c r="I6" i="26"/>
  <c r="J5" i="26"/>
  <c r="K5" i="26" s="1"/>
  <c r="I5" i="26"/>
  <c r="J4" i="26"/>
  <c r="K4" i="26" s="1"/>
  <c r="I4" i="26"/>
  <c r="I17" i="26" s="1"/>
  <c r="I18" i="26" s="1"/>
  <c r="O15" i="26" l="1"/>
  <c r="O14" i="26"/>
  <c r="O13" i="26"/>
  <c r="O9" i="26"/>
  <c r="O8" i="26"/>
  <c r="O7" i="26"/>
  <c r="O5" i="26"/>
  <c r="N17" i="26"/>
  <c r="O4" i="26"/>
  <c r="J17" i="26"/>
  <c r="M17" i="26"/>
  <c r="M18" i="26" s="1"/>
  <c r="O11" i="26"/>
  <c r="O10" i="26"/>
  <c r="L16" i="25" l="1"/>
  <c r="M16" i="25" s="1"/>
  <c r="L15" i="25"/>
  <c r="M15" i="25" s="1"/>
  <c r="L14" i="25"/>
  <c r="M14" i="25" s="1"/>
  <c r="L11" i="25"/>
  <c r="M11" i="25" s="1"/>
  <c r="L10" i="25"/>
  <c r="M10" i="25" s="1"/>
  <c r="L9" i="25"/>
  <c r="M9" i="25" s="1"/>
  <c r="L7" i="25"/>
  <c r="M7" i="25" s="1"/>
  <c r="L5" i="25"/>
  <c r="M5" i="25" s="1"/>
  <c r="L4" i="25"/>
  <c r="M4" i="25" s="1"/>
  <c r="J17" i="25"/>
  <c r="I17" i="25"/>
  <c r="J16" i="25"/>
  <c r="K16" i="25" s="1"/>
  <c r="I16" i="25"/>
  <c r="J15" i="25"/>
  <c r="K15" i="25" s="1"/>
  <c r="I15" i="25"/>
  <c r="J14" i="25"/>
  <c r="K14" i="25" s="1"/>
  <c r="I14" i="25"/>
  <c r="J13" i="25"/>
  <c r="I13" i="25"/>
  <c r="J12" i="25"/>
  <c r="I12" i="25"/>
  <c r="J11" i="25"/>
  <c r="K11" i="25" s="1"/>
  <c r="I11" i="25"/>
  <c r="J10" i="25"/>
  <c r="K10" i="25" s="1"/>
  <c r="I10" i="25"/>
  <c r="J9" i="25"/>
  <c r="K9" i="25" s="1"/>
  <c r="I9" i="25"/>
  <c r="J8" i="25"/>
  <c r="I8" i="25"/>
  <c r="J7" i="25"/>
  <c r="K7" i="25" s="1"/>
  <c r="I7" i="25"/>
  <c r="J6" i="25"/>
  <c r="I6" i="25"/>
  <c r="J5" i="25"/>
  <c r="I5" i="25"/>
  <c r="J4" i="25"/>
  <c r="K4" i="25" s="1"/>
  <c r="I4" i="25"/>
  <c r="I18" i="25" s="1"/>
  <c r="I19" i="25" s="1"/>
  <c r="K5" i="25" l="1"/>
  <c r="O5" i="25" s="1"/>
  <c r="M18" i="25"/>
  <c r="M19" i="25" s="1"/>
  <c r="J18" i="25"/>
  <c r="O16" i="25"/>
  <c r="O15" i="25"/>
  <c r="O14" i="25"/>
  <c r="O11" i="25"/>
  <c r="O9" i="25"/>
  <c r="O10" i="25"/>
  <c r="O7" i="25"/>
  <c r="N18" i="25"/>
  <c r="O4" i="25"/>
  <c r="L20" i="24" l="1"/>
  <c r="M20" i="24" s="1"/>
  <c r="L19" i="24"/>
  <c r="M19" i="24" s="1"/>
  <c r="L17" i="24"/>
  <c r="M17" i="24" s="1"/>
  <c r="L16" i="24"/>
  <c r="M16" i="24" s="1"/>
  <c r="M10" i="24"/>
  <c r="L14" i="24"/>
  <c r="M14" i="24" s="1"/>
  <c r="L8" i="24"/>
  <c r="M8" i="24" s="1"/>
  <c r="L7" i="24"/>
  <c r="L4" i="24"/>
  <c r="M4" i="24" s="1"/>
  <c r="J20" i="24"/>
  <c r="I20" i="24"/>
  <c r="J19" i="24"/>
  <c r="I19" i="24"/>
  <c r="J18" i="24"/>
  <c r="I18" i="24"/>
  <c r="J17" i="24"/>
  <c r="I17" i="24"/>
  <c r="J16" i="24"/>
  <c r="I16" i="24"/>
  <c r="J11" i="24"/>
  <c r="I11" i="24"/>
  <c r="J15" i="24"/>
  <c r="I15" i="24"/>
  <c r="J14" i="24"/>
  <c r="I14" i="24"/>
  <c r="J13" i="24"/>
  <c r="K12" i="24" s="1"/>
  <c r="O12" i="24" s="1"/>
  <c r="I13" i="24"/>
  <c r="J12" i="24"/>
  <c r="I12" i="24"/>
  <c r="J10" i="24"/>
  <c r="K10" i="24" s="1"/>
  <c r="I10" i="24"/>
  <c r="J9" i="24"/>
  <c r="I9" i="24"/>
  <c r="J8" i="24"/>
  <c r="I8" i="24"/>
  <c r="J7" i="24"/>
  <c r="K7" i="24" s="1"/>
  <c r="I7" i="24"/>
  <c r="J6" i="24"/>
  <c r="I6" i="24"/>
  <c r="J5" i="24"/>
  <c r="I5" i="24"/>
  <c r="J4" i="24"/>
  <c r="I4" i="24"/>
  <c r="I28" i="24" l="1"/>
  <c r="I32" i="24"/>
  <c r="I27" i="24"/>
  <c r="I30" i="24"/>
  <c r="K19" i="24"/>
  <c r="O19" i="24" s="1"/>
  <c r="I31" i="24"/>
  <c r="K20" i="24"/>
  <c r="O20" i="24" s="1"/>
  <c r="I33" i="24"/>
  <c r="K16" i="24"/>
  <c r="O16" i="24" s="1"/>
  <c r="I34" i="24"/>
  <c r="K8" i="24"/>
  <c r="O8" i="24" s="1"/>
  <c r="K17" i="24"/>
  <c r="O17" i="24" s="1"/>
  <c r="K14" i="24"/>
  <c r="O14" i="24" s="1"/>
  <c r="I21" i="24"/>
  <c r="I22" i="24" s="1"/>
  <c r="K4" i="24"/>
  <c r="O4" i="24" s="1"/>
  <c r="O10" i="24"/>
  <c r="O7" i="24"/>
  <c r="N21" i="24"/>
  <c r="J21" i="24"/>
  <c r="L20" i="22" l="1"/>
  <c r="M20" i="22" s="1"/>
  <c r="L19" i="22"/>
  <c r="M19" i="22" s="1"/>
  <c r="L17" i="22"/>
  <c r="M17" i="22" s="1"/>
  <c r="L16" i="22"/>
  <c r="M16" i="22" s="1"/>
  <c r="L15" i="22"/>
  <c r="M15" i="22" s="1"/>
  <c r="L14" i="22"/>
  <c r="M14" i="22" s="1"/>
  <c r="L10" i="22"/>
  <c r="M10" i="22" s="1"/>
  <c r="L7" i="22"/>
  <c r="M7" i="22" s="1"/>
  <c r="L4" i="22"/>
  <c r="M4" i="22" s="1"/>
  <c r="L18" i="21"/>
  <c r="M18" i="21" s="1"/>
  <c r="L17" i="21"/>
  <c r="M17" i="21" s="1"/>
  <c r="L16" i="21"/>
  <c r="M16" i="21" s="1"/>
  <c r="L14" i="21"/>
  <c r="M14" i="21" s="1"/>
  <c r="L13" i="21"/>
  <c r="M13" i="21" s="1"/>
  <c r="L11" i="21"/>
  <c r="M11" i="21" s="1"/>
  <c r="L10" i="21"/>
  <c r="M10" i="21" s="1"/>
  <c r="L6" i="21"/>
  <c r="M6" i="21" s="1"/>
  <c r="L4" i="21"/>
  <c r="M4" i="21" s="1"/>
  <c r="L24" i="20"/>
  <c r="M24" i="20" s="1"/>
  <c r="L23" i="20"/>
  <c r="M23" i="20" s="1"/>
  <c r="L21" i="20"/>
  <c r="M21" i="20" s="1"/>
  <c r="L20" i="20"/>
  <c r="M20" i="20" s="1"/>
  <c r="L14" i="20"/>
  <c r="M14" i="20" s="1"/>
  <c r="L8" i="20"/>
  <c r="M8" i="20" s="1"/>
  <c r="L4" i="20"/>
  <c r="M4" i="20" s="1"/>
  <c r="J20" i="22"/>
  <c r="K20" i="22" s="1"/>
  <c r="I20" i="22"/>
  <c r="J19" i="22"/>
  <c r="K19" i="22" s="1"/>
  <c r="I19" i="22"/>
  <c r="J18" i="22"/>
  <c r="I18" i="22"/>
  <c r="J17" i="22"/>
  <c r="K17" i="22" s="1"/>
  <c r="I17" i="22"/>
  <c r="J16" i="22"/>
  <c r="K16" i="22" s="1"/>
  <c r="I16" i="22"/>
  <c r="J15" i="22"/>
  <c r="K15" i="22" s="1"/>
  <c r="I15" i="22"/>
  <c r="J14" i="22"/>
  <c r="K14" i="22" s="1"/>
  <c r="I14" i="22"/>
  <c r="J13" i="22"/>
  <c r="I13" i="22"/>
  <c r="J12" i="22"/>
  <c r="I12" i="22"/>
  <c r="J11" i="22"/>
  <c r="I11" i="22"/>
  <c r="J10" i="22"/>
  <c r="K10" i="22" s="1"/>
  <c r="I10" i="22"/>
  <c r="J9" i="22"/>
  <c r="I9" i="22"/>
  <c r="J8" i="22"/>
  <c r="I8" i="22"/>
  <c r="J7" i="22"/>
  <c r="K7" i="22" s="1"/>
  <c r="I7" i="22"/>
  <c r="J6" i="22"/>
  <c r="I6" i="22"/>
  <c r="J5" i="22"/>
  <c r="I5" i="22"/>
  <c r="J4" i="22"/>
  <c r="I4" i="22"/>
  <c r="J18" i="21"/>
  <c r="I18" i="21"/>
  <c r="J17" i="21"/>
  <c r="I17" i="21"/>
  <c r="J16" i="21"/>
  <c r="I16" i="21"/>
  <c r="J15" i="21"/>
  <c r="I15" i="21"/>
  <c r="J14" i="21"/>
  <c r="I23" i="21" s="1"/>
  <c r="I14" i="21"/>
  <c r="J13" i="21"/>
  <c r="I13" i="21"/>
  <c r="J12" i="21"/>
  <c r="I12" i="21"/>
  <c r="J11" i="21"/>
  <c r="I11" i="21"/>
  <c r="J10" i="21"/>
  <c r="K10" i="21" s="1"/>
  <c r="I10" i="21"/>
  <c r="J9" i="21"/>
  <c r="I9" i="21"/>
  <c r="J8" i="21"/>
  <c r="I8" i="21"/>
  <c r="J7" i="21"/>
  <c r="I7" i="21"/>
  <c r="J6" i="21"/>
  <c r="I6" i="21"/>
  <c r="J5" i="21"/>
  <c r="I5" i="21"/>
  <c r="J4" i="21"/>
  <c r="I27" i="21" s="1"/>
  <c r="I4" i="21"/>
  <c r="J24" i="20"/>
  <c r="I24" i="20"/>
  <c r="J23" i="20"/>
  <c r="I23" i="20"/>
  <c r="J22" i="20"/>
  <c r="I22" i="20"/>
  <c r="J21" i="20"/>
  <c r="I21" i="20"/>
  <c r="J20" i="20"/>
  <c r="I20" i="20"/>
  <c r="J11" i="20"/>
  <c r="I11" i="20"/>
  <c r="J15" i="20"/>
  <c r="I15" i="20"/>
  <c r="J14" i="20"/>
  <c r="I32" i="20" s="1"/>
  <c r="I14" i="20"/>
  <c r="J13" i="20"/>
  <c r="I13" i="20"/>
  <c r="J12" i="20"/>
  <c r="I12" i="20"/>
  <c r="J10" i="20"/>
  <c r="I10" i="20"/>
  <c r="J9" i="20"/>
  <c r="I9" i="20"/>
  <c r="J8" i="20"/>
  <c r="I8" i="20"/>
  <c r="J7" i="20"/>
  <c r="I7" i="20"/>
  <c r="J6" i="20"/>
  <c r="I6" i="20"/>
  <c r="J5" i="20"/>
  <c r="I5" i="20"/>
  <c r="I4" i="20"/>
  <c r="K12" i="20" l="1"/>
  <c r="O12" i="20" s="1"/>
  <c r="I31" i="20"/>
  <c r="K10" i="20"/>
  <c r="O10" i="20" s="1"/>
  <c r="I25" i="21"/>
  <c r="I29" i="20"/>
  <c r="K18" i="21"/>
  <c r="I31" i="21"/>
  <c r="K16" i="21"/>
  <c r="I30" i="21"/>
  <c r="K13" i="21"/>
  <c r="O13" i="21" s="1"/>
  <c r="I24" i="21"/>
  <c r="K17" i="21"/>
  <c r="I28" i="21"/>
  <c r="K23" i="20"/>
  <c r="O23" i="20" s="1"/>
  <c r="I34" i="20"/>
  <c r="I30" i="20"/>
  <c r="K20" i="20"/>
  <c r="O20" i="20" s="1"/>
  <c r="I33" i="20"/>
  <c r="K24" i="20"/>
  <c r="O24" i="20" s="1"/>
  <c r="I37" i="20"/>
  <c r="K21" i="20"/>
  <c r="O21" i="20" s="1"/>
  <c r="I40" i="20"/>
  <c r="M25" i="20"/>
  <c r="N25" i="20"/>
  <c r="K4" i="22"/>
  <c r="K4" i="21"/>
  <c r="O4" i="21" s="1"/>
  <c r="K14" i="20"/>
  <c r="O14" i="20" s="1"/>
  <c r="K8" i="20"/>
  <c r="O8" i="20" s="1"/>
  <c r="I25" i="20"/>
  <c r="K4" i="20"/>
  <c r="O4" i="20" s="1"/>
  <c r="K14" i="21"/>
  <c r="O14" i="21" s="1"/>
  <c r="K11" i="21"/>
  <c r="O11" i="21" s="1"/>
  <c r="K6" i="21"/>
  <c r="O6" i="21" s="1"/>
  <c r="O20" i="22"/>
  <c r="O19" i="22"/>
  <c r="O17" i="22"/>
  <c r="O16" i="22"/>
  <c r="O15" i="22"/>
  <c r="O14" i="22"/>
  <c r="O10" i="22"/>
  <c r="O7" i="22"/>
  <c r="O4" i="22"/>
  <c r="O17" i="21"/>
  <c r="O10" i="21"/>
  <c r="O16" i="21"/>
  <c r="O18" i="21"/>
  <c r="J25" i="20"/>
  <c r="L13" i="9" l="1"/>
  <c r="M13" i="9" s="1"/>
  <c r="L6" i="9"/>
  <c r="J12" i="9"/>
  <c r="I12" i="9"/>
  <c r="L21" i="10" l="1"/>
  <c r="M21" i="10" s="1"/>
  <c r="L17" i="10"/>
  <c r="L7" i="10"/>
  <c r="M7" i="10" s="1"/>
  <c r="I20" i="10"/>
  <c r="J20" i="10"/>
  <c r="I21" i="10"/>
  <c r="J21" i="10"/>
  <c r="K21" i="10" l="1"/>
  <c r="O21" i="10" s="1"/>
  <c r="I36" i="10"/>
  <c r="K20" i="10"/>
  <c r="O20" i="10" s="1"/>
  <c r="I35" i="10"/>
  <c r="L20" i="10"/>
  <c r="M20" i="10" s="1"/>
  <c r="N22" i="10"/>
  <c r="L20" i="8"/>
  <c r="M20" i="8" s="1"/>
  <c r="L14" i="9"/>
  <c r="I21" i="22" l="1"/>
  <c r="I22" i="22" s="1"/>
  <c r="I26" i="20"/>
  <c r="M21" i="22"/>
  <c r="M22" i="22" s="1"/>
  <c r="J21" i="22"/>
  <c r="N21" i="22"/>
  <c r="N19" i="21"/>
  <c r="I19" i="21"/>
  <c r="I20" i="21" s="1"/>
  <c r="J19" i="21"/>
  <c r="M19" i="21"/>
  <c r="M20" i="21" s="1"/>
  <c r="M26" i="20"/>
  <c r="L18" i="9"/>
  <c r="L17" i="9"/>
  <c r="L16" i="9"/>
  <c r="M6" i="9"/>
  <c r="J13" i="9"/>
  <c r="I13" i="9"/>
  <c r="J11" i="9"/>
  <c r="I11" i="9"/>
  <c r="K13" i="9" l="1"/>
  <c r="O13" i="9" s="1"/>
  <c r="I24" i="9"/>
  <c r="M14" i="9"/>
  <c r="L14" i="10" l="1"/>
  <c r="M14" i="10" s="1"/>
  <c r="L15" i="10"/>
  <c r="J19" i="8" l="1"/>
  <c r="K19" i="8" s="1"/>
  <c r="L15" i="8"/>
  <c r="M15" i="8" s="1"/>
  <c r="L14" i="8"/>
  <c r="M14" i="8" s="1"/>
  <c r="J13" i="8"/>
  <c r="I13" i="8"/>
  <c r="J11" i="8"/>
  <c r="I11" i="8"/>
  <c r="L7" i="8" l="1"/>
  <c r="M7" i="8" s="1"/>
  <c r="J15" i="8" l="1"/>
  <c r="K15" i="8" s="1"/>
  <c r="O15" i="8" s="1"/>
  <c r="I15" i="8"/>
  <c r="J14" i="8"/>
  <c r="K14" i="8" s="1"/>
  <c r="O14" i="8" s="1"/>
  <c r="I14" i="8"/>
  <c r="L19" i="10" l="1"/>
  <c r="M19" i="10" s="1"/>
  <c r="L10" i="10"/>
  <c r="M10" i="10" s="1"/>
  <c r="J19" i="10"/>
  <c r="I19" i="10"/>
  <c r="J18" i="10"/>
  <c r="I18" i="10"/>
  <c r="J17" i="10"/>
  <c r="I34" i="10" s="1"/>
  <c r="I17" i="10"/>
  <c r="J16" i="10"/>
  <c r="I16" i="10"/>
  <c r="J15" i="10"/>
  <c r="I15" i="10"/>
  <c r="J14" i="10"/>
  <c r="I14" i="10"/>
  <c r="J13" i="10"/>
  <c r="I13" i="10"/>
  <c r="J12" i="10"/>
  <c r="I12" i="10"/>
  <c r="J11" i="10"/>
  <c r="I11" i="10"/>
  <c r="J10" i="10"/>
  <c r="I10" i="10"/>
  <c r="J9" i="10"/>
  <c r="I9" i="10"/>
  <c r="J8" i="10"/>
  <c r="I8" i="10"/>
  <c r="J7" i="10"/>
  <c r="I7" i="10"/>
  <c r="J6" i="10"/>
  <c r="I6" i="10"/>
  <c r="J5" i="10"/>
  <c r="I5" i="10"/>
  <c r="J4" i="10"/>
  <c r="I27" i="10" s="1"/>
  <c r="I4" i="10"/>
  <c r="K16" i="10" l="1"/>
  <c r="I32" i="10"/>
  <c r="I29" i="10"/>
  <c r="K14" i="10"/>
  <c r="O14" i="10" s="1"/>
  <c r="I30" i="10"/>
  <c r="I28" i="10"/>
  <c r="K15" i="10"/>
  <c r="I31" i="10"/>
  <c r="K19" i="10"/>
  <c r="I33" i="10"/>
  <c r="K17" i="10"/>
  <c r="K7" i="10"/>
  <c r="O7" i="10" s="1"/>
  <c r="J22" i="10"/>
  <c r="K4" i="10"/>
  <c r="O4" i="10" s="1"/>
  <c r="I22" i="10"/>
  <c r="I23" i="10" s="1"/>
  <c r="K10" i="10"/>
  <c r="O10" i="10" s="1"/>
  <c r="L4" i="10"/>
  <c r="O19" i="10"/>
  <c r="M4" i="10" l="1"/>
  <c r="N21" i="8" l="1"/>
  <c r="M12" i="9"/>
  <c r="L10" i="9"/>
  <c r="M10" i="9" s="1"/>
  <c r="L4" i="9"/>
  <c r="M4" i="9" s="1"/>
  <c r="M18" i="9"/>
  <c r="J18" i="9"/>
  <c r="K18" i="9" s="1"/>
  <c r="I18" i="9"/>
  <c r="M17" i="9"/>
  <c r="J17" i="9"/>
  <c r="I17" i="9"/>
  <c r="M16" i="9"/>
  <c r="J16" i="9"/>
  <c r="I16" i="9"/>
  <c r="J15" i="9"/>
  <c r="I15" i="9"/>
  <c r="J14" i="9"/>
  <c r="I23" i="9" s="1"/>
  <c r="I14" i="9"/>
  <c r="O12" i="9"/>
  <c r="J10" i="9"/>
  <c r="I10" i="9"/>
  <c r="J9" i="9"/>
  <c r="I9" i="9"/>
  <c r="J5" i="9"/>
  <c r="I5" i="9"/>
  <c r="J8" i="9"/>
  <c r="I8" i="9"/>
  <c r="J7" i="9"/>
  <c r="I7" i="9"/>
  <c r="J6" i="9"/>
  <c r="I6" i="9"/>
  <c r="J4" i="9"/>
  <c r="I27" i="9" s="1"/>
  <c r="I4" i="9"/>
  <c r="I25" i="9" l="1"/>
  <c r="K16" i="9"/>
  <c r="I30" i="9"/>
  <c r="K17" i="9"/>
  <c r="O17" i="9" s="1"/>
  <c r="I28" i="9"/>
  <c r="K6" i="9"/>
  <c r="O6" i="9" s="1"/>
  <c r="K4" i="9"/>
  <c r="O4" i="9" s="1"/>
  <c r="K14" i="9"/>
  <c r="O14" i="9" s="1"/>
  <c r="O18" i="9"/>
  <c r="O16" i="9"/>
  <c r="J19" i="9"/>
  <c r="I19" i="9"/>
  <c r="I20" i="9" s="1"/>
  <c r="N19" i="9"/>
  <c r="M19" i="9"/>
  <c r="M20" i="9" s="1"/>
  <c r="L10" i="8" l="1"/>
  <c r="M10" i="8" s="1"/>
  <c r="L4" i="8"/>
  <c r="M4" i="8" s="1"/>
  <c r="J20" i="8"/>
  <c r="K20" i="8" s="1"/>
  <c r="O20" i="8" s="1"/>
  <c r="I20" i="8"/>
  <c r="I19" i="8"/>
  <c r="J18" i="8"/>
  <c r="I18" i="8"/>
  <c r="J17" i="8"/>
  <c r="K17" i="8" s="1"/>
  <c r="I17" i="8"/>
  <c r="J16" i="8"/>
  <c r="K16" i="8" s="1"/>
  <c r="I16" i="8"/>
  <c r="J12" i="8"/>
  <c r="I12" i="8"/>
  <c r="J10" i="8"/>
  <c r="K10" i="8" s="1"/>
  <c r="I10" i="8"/>
  <c r="J9" i="8"/>
  <c r="I9" i="8"/>
  <c r="J8" i="8"/>
  <c r="I8" i="8"/>
  <c r="J7" i="8"/>
  <c r="I7" i="8"/>
  <c r="J6" i="8"/>
  <c r="I6" i="8"/>
  <c r="J5" i="8"/>
  <c r="I5" i="8"/>
  <c r="J4" i="8"/>
  <c r="I4" i="8"/>
  <c r="K4" i="8" l="1"/>
  <c r="O4" i="8" s="1"/>
  <c r="K7" i="8"/>
  <c r="O7" i="8" s="1"/>
  <c r="I21" i="8"/>
  <c r="I22" i="8" s="1"/>
  <c r="L16" i="8"/>
  <c r="M16" i="8" s="1"/>
  <c r="L17" i="8"/>
  <c r="M17" i="8" s="1"/>
  <c r="O19" i="8"/>
  <c r="L19" i="8"/>
  <c r="M19" i="8" s="1"/>
  <c r="J21" i="8"/>
  <c r="O10" i="8"/>
  <c r="M21" i="8" l="1"/>
  <c r="M22" i="8" s="1"/>
  <c r="M17" i="10"/>
  <c r="O17" i="10"/>
  <c r="M15" i="10"/>
  <c r="O15" i="10"/>
  <c r="L16" i="10"/>
  <c r="M16" i="10" s="1"/>
  <c r="O16" i="10"/>
  <c r="O16" i="8"/>
  <c r="O17" i="8"/>
  <c r="M22" i="10" l="1"/>
  <c r="M23" i="10" s="1"/>
  <c r="M7" i="24"/>
  <c r="M21" i="24" s="1"/>
  <c r="M22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85EB18-04AF-4D14-B51C-A3ABE82E24C3}" keepAlive="1" name="Requête - Ajouter1" description="Connexion à la requête « Ajouter1 » dans le classeur." type="5" refreshedVersion="8" background="1" saveData="1">
    <dbPr connection="Provider=Microsoft.Mashup.OleDb.1;Data Source=$Workbook$;Location=Ajouter1;Extended Properties=&quot;&quot;" command="SELECT * FROM [Ajouter1]"/>
  </connection>
  <connection id="2" xr16:uid="{72274BEF-CE4E-42D5-B611-661D068EDE1F}" keepAlive="1" name="Requête - Ajouter2" description="Connexion à la requête « Ajouter2 » dans le classeur." type="5" refreshedVersion="8" background="1" saveData="1">
    <dbPr connection="Provider=Microsoft.Mashup.OleDb.1;Data Source=$Workbook$;Location=Ajouter2;Extended Properties=&quot;&quot;" command="SELECT * FROM [Ajouter2]"/>
  </connection>
  <connection id="3" xr16:uid="{0E9B09B4-4A6B-4D74-B0FB-95B9A6350A5A}" keepAlive="1" name="Requête - EMAG1_304" description="Connexion à la requête « EMAG1_304 » dans le classeur." type="5" refreshedVersion="0" background="1">
    <dbPr connection="Provider=Microsoft.Mashup.OleDb.1;Data Source=$Workbook$;Location=EMAG1_304;Extended Properties=&quot;&quot;" command="SELECT * FROM [EMAG1_304]"/>
  </connection>
  <connection id="4" xr16:uid="{969E63F4-73CE-40F9-A74F-AB25A551AF1D}" keepAlive="1" name="Requête - EMAG1_356" description="Connexion à la requête « EMAG1_356 » dans le classeur." type="5" refreshedVersion="0" background="1">
    <dbPr connection="Provider=Microsoft.Mashup.OleDb.1;Data Source=$Workbook$;Location=EMAG1_356;Extended Properties=&quot;&quot;" command="SELECT * FROM [EMAG1_356]"/>
  </connection>
  <connection id="5" xr16:uid="{2132309D-0BB4-4E91-8478-050452B9FA1D}" keepAlive="1" name="Requête - EMAG2_290" description="Connexion à la requête « EMAG2_290 » dans le classeur." type="5" refreshedVersion="0" background="1">
    <dbPr connection="Provider=Microsoft.Mashup.OleDb.1;Data Source=$Workbook$;Location=EMAG2_290;Extended Properties=&quot;&quot;" command="SELECT * FROM [EMAG2_290]"/>
  </connection>
  <connection id="6" xr16:uid="{A70F45A2-05F7-477D-9E3D-A49ACCCF71B2}" keepAlive="1" name="Requête - EMAG2_330x14" description="Connexion à la requête « EMAG2_330x14 » dans le classeur." type="5" refreshedVersion="0" background="1">
    <dbPr connection="Provider=Microsoft.Mashup.OleDb.1;Data Source=$Workbook$;Location=EMAG2_330x14;Extended Properties=&quot;&quot;" command="SELECT * FROM [EMAG2_330x14]"/>
  </connection>
  <connection id="7" xr16:uid="{A35077CA-B45C-4617-9615-7D450F77A607}" keepAlive="1" name="Requête - EMAG2_356" description="Connexion à la requête « EMAG2_356 » dans le classeur." type="5" refreshedVersion="0" background="1">
    <dbPr connection="Provider=Microsoft.Mashup.OleDb.1;Data Source=$Workbook$;Location=EMAG2_356;Extended Properties=&quot;&quot;" command="SELECT * FROM [EMAG2_356]"/>
  </connection>
  <connection id="8" xr16:uid="{F8E1AFFB-D822-4B87-BCEB-8302C04CBCF6}" keepAlive="1" name="Requête - EMAG3_290" description="Connexion à la requête « EMAG3_290 » dans le classeur." type="5" refreshedVersion="0" background="1">
    <dbPr connection="Provider=Microsoft.Mashup.OleDb.1;Data Source=$Workbook$;Location=EMAG3_290;Extended Properties=&quot;&quot;" command="SELECT * FROM [EMAG3_290]"/>
  </connection>
  <connection id="9" xr16:uid="{F1D1716E-8495-4E87-A448-0B66C4A89680}" keepAlive="1" name="Requête - EMAG3_302" description="Connexion à la requête « EMAG3_302 » dans le classeur." type="5" refreshedVersion="0" background="1">
    <dbPr connection="Provider=Microsoft.Mashup.OleDb.1;Data Source=$Workbook$;Location=EMAG3_302;Extended Properties=&quot;&quot;" command="SELECT * FROM [EMAG3_302]"/>
  </connection>
  <connection id="10" xr16:uid="{999CBC9E-8B67-4A4E-92EB-0EEF7CA3189C}" keepAlive="1" name="Requête - EMAG3_304" description="Connexion à la requête « EMAG3_304 » dans le classeur." type="5" refreshedVersion="0" background="1">
    <dbPr connection="Provider=Microsoft.Mashup.OleDb.1;Data Source=$Workbook$;Location=EMAG3_304;Extended Properties=&quot;&quot;" command="SELECT * FROM [EMAG3_304]"/>
  </connection>
  <connection id="11" xr16:uid="{500A6FC1-E16E-45AF-924E-C9E01BB22EC2}" keepAlive="1" name="Requête - EMAG3_330x14" description="Connexion à la requête « EMAG3_330x14 » dans le classeur." type="5" refreshedVersion="0" background="1">
    <dbPr connection="Provider=Microsoft.Mashup.OleDb.1;Data Source=$Workbook$;Location=EMAG3_330x14;Extended Properties=&quot;&quot;" command="SELECT * FROM [EMAG3_330x14]"/>
  </connection>
  <connection id="12" xr16:uid="{EA7E3320-D8B2-43A9-891B-B5F57DECB0BE}" keepAlive="1" name="Requête - EMAG3_330x28" description="Connexion à la requête « EMAG3_330x28 » dans le classeur." type="5" refreshedVersion="0" background="1">
    <dbPr connection="Provider=Microsoft.Mashup.OleDb.1;Data Source=$Workbook$;Location=EMAG3_330x28;Extended Properties=&quot;&quot;" command="SELECT * FROM [EMAG3_330x28]"/>
  </connection>
  <connection id="13" xr16:uid="{F4CBA72B-64DB-4FD0-A467-C3190982BB7E}" keepAlive="1" name="Requête - HESSAP_302" description="Connexion à la requête « HESSAP_302 » dans le classeur." type="5" refreshedVersion="8" background="1" saveData="1">
    <dbPr connection="Provider=Microsoft.Mashup.OleDb.1;Data Source=$Workbook$;Location=HESSAP_302;Extended Properties=&quot;&quot;" command="SELECT * FROM [HESSAP_302]"/>
  </connection>
  <connection id="14" xr16:uid="{728C156F-E723-44B5-8DED-33E01900A449}" keepAlive="1" name="Requête - Tableau_plaquette_colonne" description="Connexion à la requête « Tableau_plaquette_colonne » dans le classeur." type="5" refreshedVersion="8" background="1" saveData="1">
    <dbPr connection="Provider=Microsoft.Mashup.OleDb.1;Data Source=$Workbook$;Location=Tableau_plaquette_colonne;Extended Properties=&quot;&quot;" command="SELECT * FROM [Tableau_plaquette_colonne]"/>
  </connection>
  <connection id="15" xr16:uid="{7688E9D5-DDBD-46C4-A9B1-8A3C2C86794B}" keepAlive="1" name="Requête - Tableau_plaquette_outil" description="Connexion à la requête « Tableau_plaquette_outil » dans le classeur." type="5" refreshedVersion="8" background="1" saveData="1">
    <dbPr connection="Provider=Microsoft.Mashup.OleDb.1;Data Source=$Workbook$;Location=Tableau_plaquette_outil;Extended Properties=&quot;&quot;" command="SELECT * FROM [Tableau_plaquette_outil]"/>
  </connection>
</connections>
</file>

<file path=xl/sharedStrings.xml><?xml version="1.0" encoding="utf-8"?>
<sst xmlns="http://schemas.openxmlformats.org/spreadsheetml/2006/main" count="6518" uniqueCount="321">
  <si>
    <t>Historique de Transaction - Sorties</t>
  </si>
  <si>
    <t>Date-Heure de transaction</t>
  </si>
  <si>
    <t>Article</t>
  </si>
  <si>
    <t xml:space="preserve">Description article </t>
  </si>
  <si>
    <t>ID utilisateur</t>
  </si>
  <si>
    <t>Nom utilisateur</t>
  </si>
  <si>
    <t>Qté</t>
  </si>
  <si>
    <t xml:space="preserve">Activité </t>
  </si>
  <si>
    <t xml:space="preserve">OP </t>
  </si>
  <si>
    <t xml:space="preserve">Type </t>
  </si>
  <si>
    <t>Disque</t>
  </si>
  <si>
    <t xml:space="preserve">Cout </t>
  </si>
  <si>
    <t>Z000 544 318</t>
  </si>
  <si>
    <t>EMAG 2</t>
  </si>
  <si>
    <t>OP 20</t>
  </si>
  <si>
    <t>PLAQUETTES</t>
  </si>
  <si>
    <t>356x26 RPI</t>
  </si>
  <si>
    <t>Z000 513 527</t>
  </si>
  <si>
    <t>Plaquettes de finition</t>
  </si>
  <si>
    <t>EMAG 1</t>
  </si>
  <si>
    <t>OP 40</t>
  </si>
  <si>
    <t>304x28 RPE</t>
  </si>
  <si>
    <t>Z000 546 265</t>
  </si>
  <si>
    <t>Z000 546 266</t>
  </si>
  <si>
    <t>Plaquettes d'ébauches carrées</t>
  </si>
  <si>
    <t>Z000 522 436</t>
  </si>
  <si>
    <t>040725</t>
  </si>
  <si>
    <t>BARGEOT LUCAS</t>
  </si>
  <si>
    <t>EMAG 3</t>
  </si>
  <si>
    <t>330x28 RPE KO</t>
  </si>
  <si>
    <t>j529800</t>
  </si>
  <si>
    <t>MONTCHARMONT BAPTISTE</t>
  </si>
  <si>
    <t>HESSAPP</t>
  </si>
  <si>
    <t>OP 15</t>
  </si>
  <si>
    <t>302x26 RPI</t>
  </si>
  <si>
    <t>Z000 519 285</t>
  </si>
  <si>
    <t>Z000 539 100</t>
  </si>
  <si>
    <t>330x14</t>
  </si>
  <si>
    <t>OP 30</t>
  </si>
  <si>
    <t>OP 10</t>
  </si>
  <si>
    <t>IM02 137 020</t>
  </si>
  <si>
    <t>Z000 517 182</t>
  </si>
  <si>
    <t>150725</t>
  </si>
  <si>
    <t>ADOUL WASSIM</t>
  </si>
  <si>
    <t>Z000 532 588</t>
  </si>
  <si>
    <t xml:space="preserve">IM02 198 054 </t>
  </si>
  <si>
    <t>IM02 209 560</t>
  </si>
  <si>
    <t>PLAQUETTE D</t>
  </si>
  <si>
    <t>EMBOUT D8,6</t>
  </si>
  <si>
    <t>EMBOUT</t>
  </si>
  <si>
    <t>PLAQUETTE FRAISURAGE</t>
  </si>
  <si>
    <t>EMBOUT D13,3</t>
  </si>
  <si>
    <t>PLAQUETTE CHANFREIN</t>
  </si>
  <si>
    <t>EMBOUT D15,3</t>
  </si>
  <si>
    <t>X</t>
  </si>
  <si>
    <t>TOTAL</t>
  </si>
  <si>
    <t>EMAG 1  304</t>
  </si>
  <si>
    <t>EMAG 1  356</t>
  </si>
  <si>
    <t>EMAG 2  356</t>
  </si>
  <si>
    <t>EMAG 2  330</t>
  </si>
  <si>
    <t>EMAG 3  304</t>
  </si>
  <si>
    <t>EMAG 3  330</t>
  </si>
  <si>
    <t>C CBN</t>
  </si>
  <si>
    <t>S CBN</t>
  </si>
  <si>
    <t>D CBN</t>
  </si>
  <si>
    <t>T517 CBN COMPLET</t>
  </si>
  <si>
    <t>OUTILS COMPLETS</t>
  </si>
  <si>
    <t>T519 CBN COMPLET</t>
  </si>
  <si>
    <t xml:space="preserve">Description </t>
  </si>
  <si>
    <t>ID Utilisateur</t>
  </si>
  <si>
    <t>Nom Utilisateur</t>
  </si>
  <si>
    <t>Activité</t>
  </si>
  <si>
    <t>EMBOUT D8.6</t>
  </si>
  <si>
    <t>EMBOUT D13.3</t>
  </si>
  <si>
    <t xml:space="preserve">PLAQUETTE CHANFREIN </t>
  </si>
  <si>
    <t>EMBOUT D15.3</t>
  </si>
  <si>
    <t>T5013</t>
  </si>
  <si>
    <t>(Plusieurs éléments)</t>
  </si>
  <si>
    <t>Étiquettes de lignes</t>
  </si>
  <si>
    <t xml:space="preserve">Somme de Cout </t>
  </si>
  <si>
    <t>Total général</t>
  </si>
  <si>
    <t>Somme de Qté</t>
  </si>
  <si>
    <t>Production</t>
  </si>
  <si>
    <t xml:space="preserve">DV302x26 RPI </t>
  </si>
  <si>
    <t>N° d'outil
N° correcteur</t>
  </si>
  <si>
    <t>Opération</t>
  </si>
  <si>
    <t>ISO</t>
  </si>
  <si>
    <t>Mabec</t>
  </si>
  <si>
    <t xml:space="preserve">Nb d'outils </t>
  </si>
  <si>
    <t>Nb d'aretes ou d'utilisation</t>
  </si>
  <si>
    <t xml:space="preserve">Prix UHT Outil neuf 
</t>
  </si>
  <si>
    <t>DDV
Actuelle</t>
  </si>
  <si>
    <t>CPP 
Actuel</t>
  </si>
  <si>
    <t>Qté théorique</t>
  </si>
  <si>
    <t>Qté théorique / plaquette</t>
  </si>
  <si>
    <t>Coût Réel
consommé</t>
  </si>
  <si>
    <t>CPP Réel
consommé</t>
  </si>
  <si>
    <t>Qté réelle consommée</t>
  </si>
  <si>
    <t>Delta Quantité
Qté réelle conso - Qté théorique</t>
  </si>
  <si>
    <t>T517 D2</t>
  </si>
  <si>
    <t>CNMX120716T03030 SL506</t>
  </si>
  <si>
    <t>T513 D1</t>
  </si>
  <si>
    <t>T513 D2</t>
  </si>
  <si>
    <t>T517 D1</t>
  </si>
  <si>
    <t>SNMX120716T03030 SL506</t>
  </si>
  <si>
    <t>T519 D1</t>
  </si>
  <si>
    <t>T521 D2</t>
  </si>
  <si>
    <t>T523 D1</t>
  </si>
  <si>
    <t>T523 D2</t>
  </si>
  <si>
    <t>T527 D1</t>
  </si>
  <si>
    <t>T525 D1</t>
  </si>
  <si>
    <t>RCGX090700T03030 SL500</t>
  </si>
  <si>
    <t>T527 D2</t>
  </si>
  <si>
    <t>RBGN0804M0T03030 SL500</t>
  </si>
  <si>
    <t>T521 D1</t>
  </si>
  <si>
    <t>T548 D1</t>
  </si>
  <si>
    <t>SNGN090408F85Z050 KY3500</t>
  </si>
  <si>
    <t>T549 D1</t>
  </si>
  <si>
    <t>T543 D2</t>
  </si>
  <si>
    <t>SNGN090416T00520 SN60</t>
  </si>
  <si>
    <t>Z000 455 182</t>
  </si>
  <si>
    <t>T543 D1</t>
  </si>
  <si>
    <t>TNGN160412T02020 SL506</t>
  </si>
  <si>
    <t>DV 304x28 RPE</t>
  </si>
  <si>
    <t>MABEC</t>
  </si>
  <si>
    <t>Coût réel consommé</t>
  </si>
  <si>
    <t>T511 D2</t>
  </si>
  <si>
    <t>CNGX 120716 S02020 CBN387</t>
  </si>
  <si>
    <t>T511 D1</t>
  </si>
  <si>
    <t>SNGX 120716 S02020 CBN387</t>
  </si>
  <si>
    <t>T515 D1</t>
  </si>
  <si>
    <t>T546 D1</t>
  </si>
  <si>
    <t>CNMA120416 WK05CT</t>
  </si>
  <si>
    <t>Z000 548 367</t>
  </si>
  <si>
    <t xml:space="preserve">DV 356x26 RPI </t>
  </si>
  <si>
    <t>T519 D2</t>
  </si>
  <si>
    <t>T529 D1</t>
  </si>
  <si>
    <t>T5211 D2</t>
  </si>
  <si>
    <t>T533</t>
  </si>
  <si>
    <t>KTFSS7041640FEG KCK10A</t>
  </si>
  <si>
    <t>FAS100302GD KC7215</t>
  </si>
  <si>
    <t>T535</t>
  </si>
  <si>
    <t>TPGX0902ZPRGD</t>
  </si>
  <si>
    <t>IM02 137 019</t>
  </si>
  <si>
    <t>KTFSS7041707FEG KCK10A</t>
  </si>
  <si>
    <t>DP 290x12</t>
  </si>
  <si>
    <t>T515 D2</t>
  </si>
  <si>
    <t>T542 D1</t>
  </si>
  <si>
    <t>SCGN090408F85Z025 SL500</t>
  </si>
  <si>
    <t>T541 D1</t>
  </si>
  <si>
    <t>T547 D1</t>
  </si>
  <si>
    <t>T529 D2</t>
  </si>
  <si>
    <t>T5205 D1</t>
  </si>
  <si>
    <t>A4R0800M08P00T01025</t>
  </si>
  <si>
    <t>T532</t>
  </si>
  <si>
    <t>PLAQUETTES CHANFREIN</t>
  </si>
  <si>
    <t>TNGN110416T01020 KY3500</t>
  </si>
  <si>
    <t>DV 356x26 RPI</t>
  </si>
  <si>
    <t>MM</t>
  </si>
  <si>
    <t>T5211 D1</t>
  </si>
  <si>
    <t>290x12</t>
  </si>
  <si>
    <t>DV 302x26 RPI</t>
  </si>
  <si>
    <t>330x28 RPE K0</t>
  </si>
  <si>
    <t>T519A D2</t>
  </si>
  <si>
    <t>T519A D1</t>
  </si>
  <si>
    <t>DNMX120716T02020 SL506</t>
  </si>
  <si>
    <t>Semaine</t>
  </si>
  <si>
    <t>Coût plaquette</t>
  </si>
  <si>
    <t>Quantité plaquette</t>
  </si>
  <si>
    <t>E1 304x28 RPE</t>
  </si>
  <si>
    <t>Cible</t>
  </si>
  <si>
    <t>E1 356x26 RPI</t>
  </si>
  <si>
    <t>E2 330x14</t>
  </si>
  <si>
    <t>E2 356x26 RPI</t>
  </si>
  <si>
    <t>E3 290x12</t>
  </si>
  <si>
    <t>E3 302x26 RPI</t>
  </si>
  <si>
    <t>E3 330x28 RPE K0</t>
  </si>
  <si>
    <t>E3 304x28 RPE</t>
  </si>
  <si>
    <t>E3 330x14</t>
  </si>
  <si>
    <t>DP266x13</t>
  </si>
  <si>
    <t>T2 D1</t>
  </si>
  <si>
    <t>T1 D1</t>
  </si>
  <si>
    <t>T1 D2</t>
  </si>
  <si>
    <t>T6 D2</t>
  </si>
  <si>
    <t>T5 D1</t>
  </si>
  <si>
    <t>T4 D1</t>
  </si>
  <si>
    <t>T6 D1</t>
  </si>
  <si>
    <t>T1 D3</t>
  </si>
  <si>
    <t>TNGN160416T93Z050 SL506</t>
  </si>
  <si>
    <t>SNGN090408F85Z025 SL500</t>
  </si>
  <si>
    <t>DV 266x22 RPI</t>
  </si>
  <si>
    <t>DWG1743941R01 KY3500</t>
  </si>
  <si>
    <t>DV 283x26 RPI</t>
  </si>
  <si>
    <t>Quantité</t>
  </si>
  <si>
    <t>E2 290x12</t>
  </si>
  <si>
    <t>OUTILS COMPLETS DROITE</t>
  </si>
  <si>
    <t>OUTILS COMPLETS GAUCHE</t>
  </si>
  <si>
    <t>T513 CBN COMPLET (1)</t>
  </si>
  <si>
    <t>IM02 198 054</t>
  </si>
  <si>
    <t>Qté Réelle</t>
  </si>
  <si>
    <t>Qté réelle</t>
  </si>
  <si>
    <t>Plaquettes rondes</t>
  </si>
  <si>
    <t>Plaquettes d'ébauches rhombiques</t>
  </si>
  <si>
    <t>BOUCLIER JONATHAN</t>
  </si>
  <si>
    <t>Plaquettes de finition positives</t>
  </si>
  <si>
    <t>Plaquettes de finition triangulaires</t>
  </si>
  <si>
    <t>T513 CBN COMPLET</t>
  </si>
  <si>
    <t>u109136</t>
  </si>
  <si>
    <t>WIPLIE FREDERIC</t>
  </si>
  <si>
    <t>Plaquettes de gorges</t>
  </si>
  <si>
    <t>041575EA707A80</t>
  </si>
  <si>
    <t>ROY JOHAN</t>
  </si>
  <si>
    <t>u037238</t>
  </si>
  <si>
    <t>PRIEUR OLIVIER</t>
  </si>
  <si>
    <t>CNMX120716T03030 SL507</t>
  </si>
  <si>
    <t>042729CA567580</t>
  </si>
  <si>
    <t>FORET D13,3 COMPLET</t>
  </si>
  <si>
    <t>FORET FOND PLAT D13,36 COMPLET</t>
  </si>
  <si>
    <t>PCI 4</t>
  </si>
  <si>
    <t>FORET D8,6 COMPLET</t>
  </si>
  <si>
    <t>Plaquette d'ébauche C CBN</t>
  </si>
  <si>
    <t>Plaquette d'ébauche S CBN</t>
  </si>
  <si>
    <t>FORET D8,5 affûté monobloc</t>
  </si>
  <si>
    <t>04123EC25C7780</t>
  </si>
  <si>
    <t>HERNU Matis</t>
  </si>
  <si>
    <t>CLES</t>
  </si>
  <si>
    <t>FORET D15,3 COMPLET</t>
  </si>
  <si>
    <t>PCI 5</t>
  </si>
  <si>
    <t>CLE OUTIL CGO</t>
  </si>
  <si>
    <t>DELIAT C</t>
  </si>
  <si>
    <t>DELIAT CHRISTOPHE</t>
  </si>
  <si>
    <t>WEISSER 1</t>
  </si>
  <si>
    <t>7236310</t>
  </si>
  <si>
    <t>OZYURT IREM</t>
  </si>
  <si>
    <t>210325</t>
  </si>
  <si>
    <t>DAUTUN ALLAN</t>
  </si>
  <si>
    <t>020326</t>
  </si>
  <si>
    <t>BARBIER Leandre</t>
  </si>
  <si>
    <t>FORET D15,3 affûté monobloc</t>
  </si>
  <si>
    <t>O,355</t>
  </si>
  <si>
    <t>IM02 137 021</t>
  </si>
  <si>
    <t>Plaquettes ébauches carrées</t>
  </si>
  <si>
    <t>101123</t>
  </si>
  <si>
    <t>BRUNET ANDREA</t>
  </si>
  <si>
    <t>046A5BE2707A80</t>
  </si>
  <si>
    <t>BARBIER LEANDRE</t>
  </si>
  <si>
    <t>LAME T6205</t>
  </si>
  <si>
    <t>Total</t>
  </si>
  <si>
    <t>SNMX120716T02020 KY3500</t>
  </si>
  <si>
    <t>12824586</t>
  </si>
  <si>
    <t>DA SILVA Fernando</t>
  </si>
  <si>
    <t>EMBOUT EMAG D13,3 FP</t>
  </si>
  <si>
    <t>040E47C25C7780</t>
  </si>
  <si>
    <t>PARINGAUX CARROLANE</t>
  </si>
  <si>
    <t>U509351</t>
  </si>
  <si>
    <t>C CBN2</t>
  </si>
  <si>
    <t>S CBN3</t>
  </si>
  <si>
    <t>C CBN4</t>
  </si>
  <si>
    <t>S CBN5</t>
  </si>
  <si>
    <t>C CBN6</t>
  </si>
  <si>
    <t>S CBN7</t>
  </si>
  <si>
    <t>C CBN8</t>
  </si>
  <si>
    <t>S CBN9</t>
  </si>
  <si>
    <t>C CBN10</t>
  </si>
  <si>
    <t>S CBN11</t>
  </si>
  <si>
    <t>PLAQUETTE CHANFREIN 2</t>
  </si>
  <si>
    <t>EMBOUT D8.63</t>
  </si>
  <si>
    <t>PLAQUETTE FRAISURAGE4</t>
  </si>
  <si>
    <t>EMBOUT D13.35</t>
  </si>
  <si>
    <t>PLAQUETTE CHANFREIN 6</t>
  </si>
  <si>
    <t>EMBOUT D15.37</t>
  </si>
  <si>
    <t>PLAQUETTE CHANFREIN 8</t>
  </si>
  <si>
    <t>EMBOUT D13.39</t>
  </si>
  <si>
    <t>PLAQUETTE CHANFREIN 10</t>
  </si>
  <si>
    <t>=SI(C4="CNMX120716T03030 SL506";SOMME.SI.ENS('Tableau plaquette complet'!F:F;'Tableau plaquette complet'!G:G;"EMAG 2";'Tableau plaquette complet'!H:H;"OP 10";'Tableau plaquette complet'!J:J;"304x28 RPE";'Tableau plaquette complet'!B:B;"Z000 546 265");'Tableau plaquette complet'!F?)</t>
  </si>
  <si>
    <t>=SI(C7="SNMX120716T03030 SL506";SOMME.SI.ENS('Tableau plaquette complet'!F:F;'Tableau plaquette complet'!G:G;"EMAG 2";'Tableau plaquette complet'!H:H;"OP 10";'Tableau plaquette complet'!J:J;"304x28 RPE";'Tableau plaquette complet'!B:B;"Z000 546 266");'Tableau plaquette complet'!F?)</t>
  </si>
  <si>
    <t>Vis cartouche T5205</t>
  </si>
  <si>
    <t>u532976</t>
  </si>
  <si>
    <t>LEFORT XAVIER</t>
  </si>
  <si>
    <t>FORET HESSAPP D13,3 affûté</t>
  </si>
  <si>
    <t>FORET HESSAPP D8,6 affûté</t>
  </si>
  <si>
    <t>045C6ECAA77080</t>
  </si>
  <si>
    <t>PERREIRA KEVIN</t>
  </si>
  <si>
    <t>u636817</t>
  </si>
  <si>
    <t>MOCQUEREAU LYDIE</t>
  </si>
  <si>
    <t>U037238</t>
  </si>
  <si>
    <t>T511 CBN COMPLET</t>
  </si>
  <si>
    <t>T515 CBN COMPLET</t>
  </si>
  <si>
    <t>sd13196</t>
  </si>
  <si>
    <t>FRADIN MAXIME</t>
  </si>
  <si>
    <t>U505000</t>
  </si>
  <si>
    <t>RECEVEUR BENOIT</t>
  </si>
  <si>
    <t>sd75051</t>
  </si>
  <si>
    <t>COMBALUZIER LUCAS</t>
  </si>
  <si>
    <t>IM02 137 022</t>
  </si>
  <si>
    <t>Plaquettes ébauches rhombiques</t>
  </si>
  <si>
    <t>sc95213</t>
  </si>
  <si>
    <t>RABET PAULINE</t>
  </si>
  <si>
    <t>Sd75051</t>
  </si>
  <si>
    <t>DA SILVA FERNANDO</t>
  </si>
  <si>
    <t>TOUT DISQUES</t>
  </si>
  <si>
    <t>T3011</t>
  </si>
  <si>
    <t>WEISSER 2</t>
  </si>
  <si>
    <t>FORET D15,3 T535S</t>
  </si>
  <si>
    <t>T511 COMPLET</t>
  </si>
  <si>
    <t>FORET D13,3 CERI neuf</t>
  </si>
  <si>
    <t>CLE CONTENAIRE</t>
  </si>
  <si>
    <t>18498233</t>
  </si>
  <si>
    <t>ALVES Arthur</t>
  </si>
  <si>
    <t>Plaquette d'ébauche CBN C</t>
  </si>
  <si>
    <t xml:space="preserve"> </t>
  </si>
  <si>
    <t>10301115</t>
  </si>
  <si>
    <t>BOUCHART LUDOVIC</t>
  </si>
  <si>
    <t>CLE SERVANTE CGO</t>
  </si>
  <si>
    <t>CNMX120716T03030</t>
  </si>
  <si>
    <t>SNMX120716T03030 SL505</t>
  </si>
  <si>
    <t>CNMX120717T03030 SL506</t>
  </si>
  <si>
    <t>T50013 D1</t>
  </si>
  <si>
    <t>T50013 D2</t>
  </si>
  <si>
    <t>SNMX 120716 T02020 LKT640</t>
  </si>
  <si>
    <t>CNMX 120716 T02020 LKT640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</si>
</sst>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40C]dd\/mm\/yyyy\ hh\:mm\:ss"/>
    <numFmt numFmtId="165" formatCode="#,##0.00\ [$€-40C];\-#,##0.00\ [$€-40C]"/>
    <numFmt numFmtId="166" formatCode="0.000"/>
    <numFmt numFmtId="167" formatCode="#,##0.00\ &quot;€&quot;"/>
    <numFmt numFmtId="168" formatCode="0.0"/>
    <numFmt numFmtId="169" formatCode="0.0000"/>
  </numFmts>
  <fonts count="15" x14ac:knownFonts="1">
    <font>
      <sz val="11"/>
      <color theme="1"/>
      <name val="Calibri"/>
      <family val="2"/>
      <scheme val="minor"/>
    </font>
    <font>
      <b/>
      <sz val="18"/>
      <name val="Verdana"/>
      <family val="2"/>
    </font>
    <font>
      <b/>
      <sz val="7"/>
      <name val="Verdana"/>
      <family val="2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7"/>
      <color rgb="FFFF0000"/>
      <name val="Verdana"/>
      <family val="2"/>
    </font>
    <font>
      <b/>
      <sz val="11"/>
      <color rgb="FFFF0000"/>
      <name val="Calibri"/>
      <family val="2"/>
      <scheme val="minor"/>
    </font>
    <font>
      <sz val="7"/>
      <name val="Verdana"/>
      <family val="2"/>
    </font>
    <font>
      <sz val="8"/>
      <name val="Calibri"/>
      <family val="2"/>
      <scheme val="minor"/>
    </font>
    <font>
      <sz val="7"/>
      <name val="Verdana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name val="Verdana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230">
    <xf numFmtId="0" fontId="0" fillId="0" borderId="0" xfId="0"/>
    <xf numFmtId="49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7" fontId="0" fillId="6" borderId="3" xfId="0" applyNumberFormat="1" applyFill="1" applyBorder="1" applyAlignment="1">
      <alignment horizontal="center" vertical="center"/>
    </xf>
    <xf numFmtId="0" fontId="3" fillId="2" borderId="1" xfId="0" applyFont="1" applyFill="1" applyBorder="1"/>
    <xf numFmtId="0" fontId="0" fillId="3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4" borderId="1" xfId="0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" fontId="0" fillId="0" borderId="0" xfId="0" applyNumberFormat="1" applyAlignment="1">
      <alignment horizontal="right"/>
    </xf>
    <xf numFmtId="167" fontId="0" fillId="6" borderId="3" xfId="0" applyNumberFormat="1" applyFill="1" applyBorder="1" applyAlignment="1">
      <alignment horizontal="right"/>
    </xf>
    <xf numFmtId="168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167" fontId="3" fillId="0" borderId="0" xfId="0" applyNumberFormat="1" applyFont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6" fontId="0" fillId="0" borderId="0" xfId="0" applyNumberFormat="1"/>
    <xf numFmtId="1" fontId="0" fillId="0" borderId="0" xfId="0" applyNumberFormat="1"/>
    <xf numFmtId="166" fontId="0" fillId="2" borderId="7" xfId="0" applyNumberForma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vertical="center"/>
    </xf>
    <xf numFmtId="1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8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" fontId="0" fillId="8" borderId="1" xfId="0" applyNumberFormat="1" applyFill="1" applyBorder="1" applyAlignment="1">
      <alignment horizontal="center" vertical="center"/>
    </xf>
    <xf numFmtId="168" fontId="0" fillId="8" borderId="1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6" fontId="0" fillId="2" borderId="9" xfId="0" applyNumberForma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66" fontId="0" fillId="4" borderId="2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169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168" fontId="0" fillId="3" borderId="1" xfId="0" applyNumberFormat="1" applyFill="1" applyBorder="1" applyAlignment="1">
      <alignment horizontal="center" vertical="center"/>
    </xf>
    <xf numFmtId="168" fontId="0" fillId="7" borderId="2" xfId="0" applyNumberFormat="1" applyFill="1" applyBorder="1" applyAlignment="1">
      <alignment horizontal="center" vertical="center"/>
    </xf>
    <xf numFmtId="169" fontId="0" fillId="7" borderId="2" xfId="0" applyNumberForma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7" fillId="9" borderId="0" xfId="0" applyNumberFormat="1" applyFont="1" applyFill="1" applyAlignment="1">
      <alignment horizontal="left" vertical="top"/>
    </xf>
    <xf numFmtId="0" fontId="8" fillId="0" borderId="0" xfId="0" applyFont="1"/>
    <xf numFmtId="49" fontId="7" fillId="0" borderId="0" xfId="0" applyNumberFormat="1" applyFont="1" applyAlignment="1">
      <alignment vertical="top"/>
    </xf>
    <xf numFmtId="165" fontId="8" fillId="0" borderId="0" xfId="0" applyNumberFormat="1" applyFont="1"/>
    <xf numFmtId="49" fontId="9" fillId="9" borderId="0" xfId="0" applyNumberFormat="1" applyFont="1" applyFill="1" applyAlignment="1">
      <alignment horizontal="right" vertical="top"/>
    </xf>
    <xf numFmtId="0" fontId="0" fillId="6" borderId="3" xfId="0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vertical="center" wrapText="1"/>
    </xf>
    <xf numFmtId="164" fontId="11" fillId="9" borderId="0" xfId="0" applyNumberFormat="1" applyFont="1" applyFill="1" applyAlignment="1">
      <alignment horizontal="left" vertical="top"/>
    </xf>
    <xf numFmtId="49" fontId="11" fillId="9" borderId="0" xfId="0" applyNumberFormat="1" applyFont="1" applyFill="1" applyAlignment="1">
      <alignment vertical="top"/>
    </xf>
    <xf numFmtId="0" fontId="11" fillId="9" borderId="0" xfId="0" applyFont="1" applyFill="1" applyAlignment="1">
      <alignment horizontal="right" vertical="top"/>
    </xf>
    <xf numFmtId="165" fontId="11" fillId="9" borderId="0" xfId="0" applyNumberFormat="1" applyFont="1" applyFill="1" applyAlignment="1">
      <alignment horizontal="right" vertical="top"/>
    </xf>
    <xf numFmtId="167" fontId="0" fillId="0" borderId="0" xfId="0" applyNumberFormat="1"/>
    <xf numFmtId="2" fontId="0" fillId="0" borderId="0" xfId="0" applyNumberFormat="1"/>
    <xf numFmtId="2" fontId="11" fillId="9" borderId="0" xfId="0" applyNumberFormat="1" applyFont="1" applyFill="1" applyAlignment="1">
      <alignment horizontal="right" vertical="top"/>
    </xf>
    <xf numFmtId="2" fontId="9" fillId="9" borderId="0" xfId="0" applyNumberFormat="1" applyFont="1" applyFill="1" applyAlignment="1">
      <alignment horizontal="right" vertical="top"/>
    </xf>
    <xf numFmtId="22" fontId="0" fillId="0" borderId="0" xfId="0" applyNumberFormat="1"/>
    <xf numFmtId="164" fontId="9" fillId="9" borderId="0" xfId="0" applyNumberFormat="1" applyFont="1" applyFill="1" applyAlignment="1">
      <alignment horizontal="left" vertical="top"/>
    </xf>
    <xf numFmtId="49" fontId="9" fillId="9" borderId="0" xfId="0" applyNumberFormat="1" applyFont="1" applyFill="1" applyAlignment="1">
      <alignment vertical="top"/>
    </xf>
    <xf numFmtId="0" fontId="9" fillId="9" borderId="0" xfId="0" applyFont="1" applyFill="1" applyAlignment="1">
      <alignment horizontal="right" vertical="top"/>
    </xf>
    <xf numFmtId="0" fontId="3" fillId="0" borderId="13" xfId="0" applyFont="1" applyBorder="1"/>
    <xf numFmtId="0" fontId="0" fillId="0" borderId="6" xfId="0" applyBorder="1" applyAlignment="1">
      <alignment horizontal="center" vertical="center"/>
    </xf>
    <xf numFmtId="165" fontId="9" fillId="9" borderId="0" xfId="0" applyNumberFormat="1" applyFont="1" applyFill="1" applyAlignment="1">
      <alignment horizontal="right" vertical="top"/>
    </xf>
    <xf numFmtId="0" fontId="12" fillId="10" borderId="14" xfId="0" applyFont="1" applyFill="1" applyBorder="1"/>
    <xf numFmtId="0" fontId="0" fillId="11" borderId="14" xfId="0" applyFill="1" applyBorder="1"/>
    <xf numFmtId="0" fontId="0" fillId="0" borderId="14" xfId="0" applyBorder="1"/>
    <xf numFmtId="0" fontId="0" fillId="0" borderId="1" xfId="0" applyBorder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11" borderId="0" xfId="0" applyFill="1"/>
    <xf numFmtId="49" fontId="5" fillId="0" borderId="1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164" fontId="11" fillId="9" borderId="15" xfId="0" applyNumberFormat="1" applyFont="1" applyFill="1" applyBorder="1" applyAlignment="1">
      <alignment horizontal="left" vertical="top"/>
    </xf>
    <xf numFmtId="0" fontId="11" fillId="9" borderId="14" xfId="0" applyFont="1" applyFill="1" applyBorder="1" applyAlignment="1">
      <alignment horizontal="right" vertical="top"/>
    </xf>
    <xf numFmtId="164" fontId="11" fillId="9" borderId="14" xfId="0" applyNumberFormat="1" applyFont="1" applyFill="1" applyBorder="1" applyAlignment="1">
      <alignment horizontal="left" vertical="top"/>
    </xf>
    <xf numFmtId="165" fontId="11" fillId="9" borderId="14" xfId="0" applyNumberFormat="1" applyFont="1" applyFill="1" applyBorder="1" applyAlignment="1">
      <alignment horizontal="right" vertical="top"/>
    </xf>
    <xf numFmtId="49" fontId="2" fillId="10" borderId="6" xfId="0" applyNumberFormat="1" applyFont="1" applyFill="1" applyBorder="1" applyAlignment="1">
      <alignment horizontal="center" vertical="center"/>
    </xf>
    <xf numFmtId="164" fontId="11" fillId="9" borderId="13" xfId="0" applyNumberFormat="1" applyFont="1" applyFill="1" applyBorder="1" applyAlignment="1">
      <alignment horizontal="left" vertical="top"/>
    </xf>
    <xf numFmtId="164" fontId="11" fillId="9" borderId="16" xfId="0" applyNumberFormat="1" applyFont="1" applyFill="1" applyBorder="1" applyAlignment="1">
      <alignment horizontal="left" vertical="top"/>
    </xf>
    <xf numFmtId="0" fontId="11" fillId="9" borderId="13" xfId="0" applyFont="1" applyFill="1" applyBorder="1" applyAlignment="1">
      <alignment horizontal="right" vertical="top"/>
    </xf>
    <xf numFmtId="165" fontId="11" fillId="9" borderId="13" xfId="0" applyNumberFormat="1" applyFont="1" applyFill="1" applyBorder="1" applyAlignment="1">
      <alignment horizontal="right" vertical="top"/>
    </xf>
    <xf numFmtId="16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164" fontId="14" fillId="9" borderId="0" xfId="0" applyNumberFormat="1" applyFont="1" applyFill="1" applyAlignment="1">
      <alignment horizontal="left" vertical="top"/>
    </xf>
    <xf numFmtId="49" fontId="14" fillId="9" borderId="0" xfId="0" applyNumberFormat="1" applyFont="1" applyFill="1" applyAlignment="1">
      <alignment vertical="top"/>
    </xf>
    <xf numFmtId="0" fontId="14" fillId="9" borderId="0" xfId="0" applyFont="1" applyFill="1" applyAlignment="1">
      <alignment horizontal="right" vertical="top"/>
    </xf>
    <xf numFmtId="165" fontId="14" fillId="9" borderId="0" xfId="0" applyNumberFormat="1" applyFont="1" applyFill="1" applyAlignment="1">
      <alignment horizontal="right" vertical="top"/>
    </xf>
    <xf numFmtId="0" fontId="0" fillId="8" borderId="2" xfId="0" applyFill="1" applyBorder="1" applyAlignment="1">
      <alignment horizontal="center" vertical="center"/>
    </xf>
    <xf numFmtId="1" fontId="0" fillId="8" borderId="2" xfId="0" applyNumberFormat="1" applyFill="1" applyBorder="1" applyAlignment="1">
      <alignment horizontal="center" vertical="center"/>
    </xf>
    <xf numFmtId="168" fontId="0" fillId="8" borderId="2" xfId="0" applyNumberFormat="1" applyFill="1" applyBorder="1" applyAlignment="1">
      <alignment horizontal="center" vertical="center"/>
    </xf>
    <xf numFmtId="166" fontId="0" fillId="8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vertical="center"/>
    </xf>
    <xf numFmtId="164" fontId="9" fillId="9" borderId="15" xfId="0" applyNumberFormat="1" applyFont="1" applyFill="1" applyBorder="1" applyAlignment="1">
      <alignment horizontal="left" vertical="top"/>
    </xf>
    <xf numFmtId="49" fontId="1" fillId="0" borderId="0" xfId="0" applyNumberFormat="1" applyFont="1" applyAlignment="1">
      <alignment horizontal="center" vertical="top"/>
    </xf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66" fontId="0" fillId="6" borderId="4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166" fontId="0" fillId="7" borderId="4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8" fontId="0" fillId="0" borderId="2" xfId="0" applyNumberFormat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 wrapText="1"/>
    </xf>
    <xf numFmtId="1" fontId="0" fillId="6" borderId="4" xfId="0" applyNumberFormat="1" applyFill="1" applyBorder="1" applyAlignment="1">
      <alignment horizontal="center" vertical="center" wrapText="1"/>
    </xf>
    <xf numFmtId="1" fontId="0" fillId="6" borderId="3" xfId="0" applyNumberForma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" fontId="0" fillId="8" borderId="2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68" fontId="0" fillId="8" borderId="2" xfId="0" applyNumberFormat="1" applyFill="1" applyBorder="1" applyAlignment="1">
      <alignment horizontal="center" vertical="center"/>
    </xf>
    <xf numFmtId="168" fontId="0" fillId="8" borderId="3" xfId="0" applyNumberFormat="1" applyFill="1" applyBorder="1" applyAlignment="1">
      <alignment horizontal="center" vertical="center"/>
    </xf>
    <xf numFmtId="166" fontId="0" fillId="8" borderId="2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8" fontId="0" fillId="6" borderId="2" xfId="0" applyNumberFormat="1" applyFill="1" applyBorder="1" applyAlignment="1">
      <alignment horizontal="center" vertical="center"/>
    </xf>
    <xf numFmtId="168" fontId="0" fillId="6" borderId="3" xfId="0" applyNumberFormat="1" applyFill="1" applyBorder="1" applyAlignment="1">
      <alignment horizontal="center" vertical="center"/>
    </xf>
    <xf numFmtId="169" fontId="0" fillId="6" borderId="2" xfId="0" applyNumberFormat="1" applyFill="1" applyBorder="1" applyAlignment="1">
      <alignment horizontal="center" vertical="center"/>
    </xf>
    <xf numFmtId="169" fontId="0" fillId="6" borderId="3" xfId="0" applyNumberFormat="1" applyFill="1" applyBorder="1" applyAlignment="1">
      <alignment horizontal="center" vertical="center"/>
    </xf>
    <xf numFmtId="168" fontId="0" fillId="6" borderId="4" xfId="0" applyNumberFormat="1" applyFill="1" applyBorder="1" applyAlignment="1">
      <alignment horizontal="center" vertical="center"/>
    </xf>
    <xf numFmtId="169" fontId="0" fillId="6" borderId="4" xfId="0" applyNumberFormat="1" applyFill="1" applyBorder="1" applyAlignment="1">
      <alignment horizontal="center" vertical="center"/>
    </xf>
    <xf numFmtId="0" fontId="0" fillId="7" borderId="2" xfId="0" quotePrefix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69" fontId="0" fillId="0" borderId="2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68" fontId="0" fillId="7" borderId="2" xfId="0" applyNumberFormat="1" applyFill="1" applyBorder="1" applyAlignment="1">
      <alignment horizontal="center" vertical="center"/>
    </xf>
    <xf numFmtId="168" fontId="0" fillId="7" borderId="3" xfId="0" applyNumberFormat="1" applyFill="1" applyBorder="1" applyAlignment="1">
      <alignment horizontal="center" vertical="center"/>
    </xf>
    <xf numFmtId="169" fontId="0" fillId="7" borderId="2" xfId="0" applyNumberFormat="1" applyFill="1" applyBorder="1" applyAlignment="1">
      <alignment horizontal="center" vertical="center"/>
    </xf>
    <xf numFmtId="169" fontId="0" fillId="7" borderId="3" xfId="0" applyNumberFormat="1" applyFill="1" applyBorder="1" applyAlignment="1">
      <alignment horizontal="center" vertical="center"/>
    </xf>
    <xf numFmtId="168" fontId="0" fillId="3" borderId="2" xfId="0" applyNumberFormat="1" applyFill="1" applyBorder="1" applyAlignment="1">
      <alignment horizontal="center" vertical="center"/>
    </xf>
    <xf numFmtId="168" fontId="0" fillId="3" borderId="4" xfId="0" applyNumberFormat="1" applyFill="1" applyBorder="1" applyAlignment="1">
      <alignment horizontal="center" vertical="center"/>
    </xf>
    <xf numFmtId="168" fontId="0" fillId="3" borderId="3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8" fontId="0" fillId="8" borderId="1" xfId="0" applyNumberForma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16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167" formatCode="#,##0.00\ &quot;€&quot;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C]dd\/mm\/yyyy\ hh\:mm\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5" formatCode="#,##0.00\ [$€-40C];\-#,##0.00\ [$€-40C]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5" formatCode="#,##0.00\ [$€-40C];\-#,##0.00\ [$€-40C]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5" formatCode="#,##0.00\ [$€-40C];\-#,##0.00\ [$€-40C]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3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21-09-26.xlsm]Coût EMAG 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Coût EMAG</a:t>
            </a:r>
            <a:endParaRPr lang="en-US" sz="2800" baseline="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'Coût EMAG 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'Coût EMAG '!$A$5:$A$31</c:f>
              <c:multiLvlStrCache>
                <c:ptCount val="22"/>
                <c:lvl>
                  <c:pt idx="0">
                    <c:v>Z000 546 265</c:v>
                  </c:pt>
                  <c:pt idx="1">
                    <c:v>Z000 532 588</c:v>
                  </c:pt>
                  <c:pt idx="2">
                    <c:v>IM02 209 560</c:v>
                  </c:pt>
                  <c:pt idx="3">
                    <c:v>PLAQUETTE D</c:v>
                  </c:pt>
                  <c:pt idx="4">
                    <c:v>IM02 137 021</c:v>
                  </c:pt>
                  <c:pt idx="5">
                    <c:v>IM02 137 022</c:v>
                  </c:pt>
                  <c:pt idx="6">
                    <c:v>IM02 198 054</c:v>
                  </c:pt>
                  <c:pt idx="7">
                    <c:v>Z000 546 265</c:v>
                  </c:pt>
                  <c:pt idx="8">
                    <c:v>Z000 546 266</c:v>
                  </c:pt>
                  <c:pt idx="9">
                    <c:v>Z000 544 318</c:v>
                  </c:pt>
                  <c:pt idx="10">
                    <c:v>IM02 137 020</c:v>
                  </c:pt>
                  <c:pt idx="11">
                    <c:v>EMBOUT D8,6</c:v>
                  </c:pt>
                  <c:pt idx="12">
                    <c:v>PLAQUETTE CHANFREIN</c:v>
                  </c:pt>
                  <c:pt idx="13">
                    <c:v>EMBOUT D15,3</c:v>
                  </c:pt>
                  <c:pt idx="14">
                    <c:v>PLAQUETTE FRAISURAGE</c:v>
                  </c:pt>
                  <c:pt idx="15">
                    <c:v>EMBOUT D13,3</c:v>
                  </c:pt>
                  <c:pt idx="16">
                    <c:v>Z000 513 527</c:v>
                  </c:pt>
                  <c:pt idx="17">
                    <c:v>Z000 546 265</c:v>
                  </c:pt>
                  <c:pt idx="18">
                    <c:v>Z000 539 100</c:v>
                  </c:pt>
                  <c:pt idx="19">
                    <c:v>Z000 519 285</c:v>
                  </c:pt>
                  <c:pt idx="20">
                    <c:v>Z000 517 182</c:v>
                  </c:pt>
                  <c:pt idx="21">
                    <c:v>Z000 455 182</c:v>
                  </c:pt>
                </c:lvl>
                <c:lvl>
                  <c:pt idx="0">
                    <c:v>OP 10</c:v>
                  </c:pt>
                  <c:pt idx="7">
                    <c:v>OP 20</c:v>
                  </c:pt>
                  <c:pt idx="11">
                    <c:v>OP 30</c:v>
                  </c:pt>
                  <c:pt idx="16">
                    <c:v>OP 40</c:v>
                  </c:pt>
                </c:lvl>
              </c:multiLvlStrCache>
            </c:multiLvlStrRef>
          </c:cat>
          <c:val>
            <c:numRef>
              <c:f>'Coût EMAG '!$B$5:$B$31</c:f>
              <c:numCache>
                <c:formatCode>General</c:formatCode>
                <c:ptCount val="22"/>
                <c:pt idx="0">
                  <c:v>140</c:v>
                </c:pt>
                <c:pt idx="1">
                  <c:v>89.7</c:v>
                </c:pt>
                <c:pt idx="2">
                  <c:v>380</c:v>
                </c:pt>
                <c:pt idx="3">
                  <c:v>0</c:v>
                </c:pt>
                <c:pt idx="4">
                  <c:v>160</c:v>
                </c:pt>
                <c:pt idx="5">
                  <c:v>280</c:v>
                </c:pt>
                <c:pt idx="6">
                  <c:v>190</c:v>
                </c:pt>
                <c:pt idx="7">
                  <c:v>840</c:v>
                </c:pt>
                <c:pt idx="8">
                  <c:v>356</c:v>
                </c:pt>
                <c:pt idx="9">
                  <c:v>1777.1000000000004</c:v>
                </c:pt>
                <c:pt idx="10">
                  <c:v>752</c:v>
                </c:pt>
                <c:pt idx="11">
                  <c:v>180</c:v>
                </c:pt>
                <c:pt idx="12">
                  <c:v>85.259999999999991</c:v>
                </c:pt>
                <c:pt idx="13">
                  <c:v>208</c:v>
                </c:pt>
                <c:pt idx="14">
                  <c:v>21.3</c:v>
                </c:pt>
                <c:pt idx="15">
                  <c:v>220.18</c:v>
                </c:pt>
                <c:pt idx="16">
                  <c:v>955.99999999999966</c:v>
                </c:pt>
                <c:pt idx="17">
                  <c:v>140</c:v>
                </c:pt>
                <c:pt idx="18">
                  <c:v>870</c:v>
                </c:pt>
                <c:pt idx="19">
                  <c:v>1068.3000000000002</c:v>
                </c:pt>
                <c:pt idx="20">
                  <c:v>416.40000000000003</c:v>
                </c:pt>
                <c:pt idx="21">
                  <c:v>219.4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0B-4BFA-A237-0811F4EFF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21-09-26.xlsm]Quantité EMAG!Tableau croisé dynamique2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Quantité</a:t>
            </a:r>
            <a:r>
              <a:rPr lang="en-US" sz="2800" baseline="0"/>
              <a:t> EMAG</a:t>
            </a:r>
            <a:endParaRPr lang="en-US" sz="2800"/>
          </a:p>
        </c:rich>
      </c:tx>
      <c:layout>
        <c:manualLayout>
          <c:xMode val="edge"/>
          <c:yMode val="edge"/>
          <c:x val="0.37826151423379772"/>
          <c:y val="6.17159588927813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'Quantité EMAG'!$B$4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'Quantité EMAG'!$A$5:$A$31</c:f>
              <c:multiLvlStrCache>
                <c:ptCount val="22"/>
                <c:lvl>
                  <c:pt idx="0">
                    <c:v>Z000 546 265</c:v>
                  </c:pt>
                  <c:pt idx="1">
                    <c:v>Z000 532 588</c:v>
                  </c:pt>
                  <c:pt idx="2">
                    <c:v>IM02 209 560</c:v>
                  </c:pt>
                  <c:pt idx="3">
                    <c:v>PLAQUETTE D</c:v>
                  </c:pt>
                  <c:pt idx="4">
                    <c:v>IM02 137 021</c:v>
                  </c:pt>
                  <c:pt idx="5">
                    <c:v>IM02 137 022</c:v>
                  </c:pt>
                  <c:pt idx="6">
                    <c:v>IM02 198 054</c:v>
                  </c:pt>
                  <c:pt idx="7">
                    <c:v>Z000 546 265</c:v>
                  </c:pt>
                  <c:pt idx="8">
                    <c:v>Z000 546 266</c:v>
                  </c:pt>
                  <c:pt idx="9">
                    <c:v>Z000 544 318</c:v>
                  </c:pt>
                  <c:pt idx="10">
                    <c:v>IM02 137 020</c:v>
                  </c:pt>
                  <c:pt idx="11">
                    <c:v>EMBOUT D8,6</c:v>
                  </c:pt>
                  <c:pt idx="12">
                    <c:v>PLAQUETTE CHANFREIN</c:v>
                  </c:pt>
                  <c:pt idx="13">
                    <c:v>EMBOUT D15,3</c:v>
                  </c:pt>
                  <c:pt idx="14">
                    <c:v>PLAQUETTE FRAISURAGE</c:v>
                  </c:pt>
                  <c:pt idx="15">
                    <c:v>EMBOUT D13,3</c:v>
                  </c:pt>
                  <c:pt idx="16">
                    <c:v>Z000 513 527</c:v>
                  </c:pt>
                  <c:pt idx="17">
                    <c:v>Z000 546 265</c:v>
                  </c:pt>
                  <c:pt idx="18">
                    <c:v>Z000 539 100</c:v>
                  </c:pt>
                  <c:pt idx="19">
                    <c:v>Z000 519 285</c:v>
                  </c:pt>
                  <c:pt idx="20">
                    <c:v>Z000 517 182</c:v>
                  </c:pt>
                  <c:pt idx="21">
                    <c:v>Z000 455 182</c:v>
                  </c:pt>
                </c:lvl>
                <c:lvl>
                  <c:pt idx="0">
                    <c:v>OP 10</c:v>
                  </c:pt>
                  <c:pt idx="7">
                    <c:v>OP 20</c:v>
                  </c:pt>
                  <c:pt idx="11">
                    <c:v>OP 30</c:v>
                  </c:pt>
                  <c:pt idx="16">
                    <c:v>OP 40</c:v>
                  </c:pt>
                </c:lvl>
              </c:multiLvlStrCache>
            </c:multiLvlStrRef>
          </c:cat>
          <c:val>
            <c:numRef>
              <c:f>'Quantité EMAG'!$B$5:$B$31</c:f>
              <c:numCache>
                <c:formatCode>General</c:formatCode>
                <c:ptCount val="22"/>
                <c:pt idx="0">
                  <c:v>20</c:v>
                </c:pt>
                <c:pt idx="1">
                  <c:v>10</c:v>
                </c:pt>
                <c:pt idx="2">
                  <c:v>10</c:v>
                </c:pt>
                <c:pt idx="3">
                  <c:v>0</c:v>
                </c:pt>
                <c:pt idx="4">
                  <c:v>20</c:v>
                </c:pt>
                <c:pt idx="5">
                  <c:v>35</c:v>
                </c:pt>
                <c:pt idx="6">
                  <c:v>5</c:v>
                </c:pt>
                <c:pt idx="7">
                  <c:v>120</c:v>
                </c:pt>
                <c:pt idx="8">
                  <c:v>50</c:v>
                </c:pt>
                <c:pt idx="9">
                  <c:v>130</c:v>
                </c:pt>
                <c:pt idx="10">
                  <c:v>40</c:v>
                </c:pt>
                <c:pt idx="11">
                  <c:v>4</c:v>
                </c:pt>
                <c:pt idx="12">
                  <c:v>7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100</c:v>
                </c:pt>
                <c:pt idx="17">
                  <c:v>20</c:v>
                </c:pt>
                <c:pt idx="18">
                  <c:v>100</c:v>
                </c:pt>
                <c:pt idx="19">
                  <c:v>90</c:v>
                </c:pt>
                <c:pt idx="20">
                  <c:v>30</c:v>
                </c:pt>
                <c:pt idx="2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D7-45ED-BA81-52DE2A67A2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21-09-26.xlsm]Pareto coût EMAG!Tableau croisé dynamique18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COUT PLAQUETTE EMAG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coût EMAG'!$B$3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'Pareto coût EMAG'!$A$4:$A$47</c:f>
              <c:multiLvlStrCache>
                <c:ptCount val="40"/>
                <c:lvl>
                  <c:pt idx="0">
                    <c:v>Z000 544 318</c:v>
                  </c:pt>
                  <c:pt idx="1">
                    <c:v>Z000 513 527</c:v>
                  </c:pt>
                  <c:pt idx="2">
                    <c:v>Z000 546 265</c:v>
                  </c:pt>
                  <c:pt idx="3">
                    <c:v>Z000 519 285</c:v>
                  </c:pt>
                  <c:pt idx="4">
                    <c:v>IM02 137 022</c:v>
                  </c:pt>
                  <c:pt idx="5">
                    <c:v>EMBOUT D15,3</c:v>
                  </c:pt>
                  <c:pt idx="6">
                    <c:v>IM02 209 560</c:v>
                  </c:pt>
                  <c:pt idx="7">
                    <c:v>IM02 137 021</c:v>
                  </c:pt>
                  <c:pt idx="8">
                    <c:v>IM02 198 054</c:v>
                  </c:pt>
                  <c:pt idx="9">
                    <c:v>EMBOUT D8,6</c:v>
                  </c:pt>
                  <c:pt idx="10">
                    <c:v>Z000 546 266</c:v>
                  </c:pt>
                  <c:pt idx="11">
                    <c:v>PLAQUETTE CHANFREIN</c:v>
                  </c:pt>
                  <c:pt idx="12">
                    <c:v>PLAQUETTE FRAISURAGE</c:v>
                  </c:pt>
                  <c:pt idx="13">
                    <c:v>EMBOUT D13,3</c:v>
                  </c:pt>
                  <c:pt idx="14">
                    <c:v>Z000 539 100</c:v>
                  </c:pt>
                  <c:pt idx="15">
                    <c:v>IM02 137 020</c:v>
                  </c:pt>
                  <c:pt idx="16">
                    <c:v>Z000 517 182</c:v>
                  </c:pt>
                  <c:pt idx="17">
                    <c:v>Z000 546 265</c:v>
                  </c:pt>
                  <c:pt idx="18">
                    <c:v>Z000 519 285</c:v>
                  </c:pt>
                  <c:pt idx="19">
                    <c:v>Z000 546 266</c:v>
                  </c:pt>
                  <c:pt idx="20">
                    <c:v>EMBOUT D13,3</c:v>
                  </c:pt>
                  <c:pt idx="21">
                    <c:v>IM02 209 560</c:v>
                  </c:pt>
                  <c:pt idx="22">
                    <c:v>Z000 455 182</c:v>
                  </c:pt>
                  <c:pt idx="23">
                    <c:v>EMBOUT D8,6</c:v>
                  </c:pt>
                  <c:pt idx="24">
                    <c:v>IM02 198 054</c:v>
                  </c:pt>
                  <c:pt idx="25">
                    <c:v>PLAQUETTE CHANFREIN</c:v>
                  </c:pt>
                  <c:pt idx="26">
                    <c:v>PLAQUETTE FRAISURAGE</c:v>
                  </c:pt>
                  <c:pt idx="27">
                    <c:v>PLAQUETTE D</c:v>
                  </c:pt>
                  <c:pt idx="28">
                    <c:v>EMBOUT D15,3</c:v>
                  </c:pt>
                  <c:pt idx="29">
                    <c:v>Z000 544 318</c:v>
                  </c:pt>
                  <c:pt idx="30">
                    <c:v>Z000 519 285</c:v>
                  </c:pt>
                  <c:pt idx="31">
                    <c:v>Z000 546 265</c:v>
                  </c:pt>
                  <c:pt idx="32">
                    <c:v>Z000 513 527</c:v>
                  </c:pt>
                  <c:pt idx="33">
                    <c:v>Z000 455 182</c:v>
                  </c:pt>
                  <c:pt idx="34">
                    <c:v>Z000 532 588</c:v>
                  </c:pt>
                  <c:pt idx="35">
                    <c:v>Z000 546 266</c:v>
                  </c:pt>
                  <c:pt idx="36">
                    <c:v>PLAQUETTE CHANFREIN</c:v>
                  </c:pt>
                  <c:pt idx="37">
                    <c:v>EMBOUT D13,3</c:v>
                  </c:pt>
                  <c:pt idx="38">
                    <c:v>IM02 198 054</c:v>
                  </c:pt>
                  <c:pt idx="39">
                    <c:v>IM02 209 560</c:v>
                  </c:pt>
                </c:lvl>
                <c:lvl>
                  <c:pt idx="0">
                    <c:v>EMAG 1</c:v>
                  </c:pt>
                  <c:pt idx="14">
                    <c:v>EMAG 2</c:v>
                  </c:pt>
                  <c:pt idx="29">
                    <c:v>EMAG 3</c:v>
                  </c:pt>
                </c:lvl>
              </c:multiLvlStrCache>
            </c:multiLvlStrRef>
          </c:cat>
          <c:val>
            <c:numRef>
              <c:f>'Pareto coût EMAG'!$B$4:$B$47</c:f>
              <c:numCache>
                <c:formatCode>#\ ##0.00\ "€"</c:formatCode>
                <c:ptCount val="40"/>
                <c:pt idx="0">
                  <c:v>1230.3000000000002</c:v>
                </c:pt>
                <c:pt idx="1">
                  <c:v>716.99999999999989</c:v>
                </c:pt>
                <c:pt idx="2">
                  <c:v>490</c:v>
                </c:pt>
                <c:pt idx="3">
                  <c:v>474.8</c:v>
                </c:pt>
                <c:pt idx="4">
                  <c:v>280</c:v>
                </c:pt>
                <c:pt idx="5">
                  <c:v>208</c:v>
                </c:pt>
                <c:pt idx="6">
                  <c:v>190</c:v>
                </c:pt>
                <c:pt idx="7">
                  <c:v>160</c:v>
                </c:pt>
                <c:pt idx="8">
                  <c:v>152</c:v>
                </c:pt>
                <c:pt idx="9">
                  <c:v>90</c:v>
                </c:pt>
                <c:pt idx="10">
                  <c:v>71.2</c:v>
                </c:pt>
                <c:pt idx="11">
                  <c:v>36.54</c:v>
                </c:pt>
                <c:pt idx="12">
                  <c:v>10.65</c:v>
                </c:pt>
                <c:pt idx="13">
                  <c:v>0</c:v>
                </c:pt>
                <c:pt idx="14">
                  <c:v>870</c:v>
                </c:pt>
                <c:pt idx="15">
                  <c:v>752</c:v>
                </c:pt>
                <c:pt idx="16">
                  <c:v>416.40000000000003</c:v>
                </c:pt>
                <c:pt idx="17">
                  <c:v>350</c:v>
                </c:pt>
                <c:pt idx="18">
                  <c:v>237.4</c:v>
                </c:pt>
                <c:pt idx="19">
                  <c:v>213.60000000000002</c:v>
                </c:pt>
                <c:pt idx="20">
                  <c:v>208</c:v>
                </c:pt>
                <c:pt idx="21">
                  <c:v>190</c:v>
                </c:pt>
                <c:pt idx="22">
                  <c:v>109.7</c:v>
                </c:pt>
                <c:pt idx="23">
                  <c:v>90</c:v>
                </c:pt>
                <c:pt idx="24">
                  <c:v>38</c:v>
                </c:pt>
                <c:pt idx="25">
                  <c:v>36.54</c:v>
                </c:pt>
                <c:pt idx="26">
                  <c:v>10.65</c:v>
                </c:pt>
                <c:pt idx="27">
                  <c:v>0</c:v>
                </c:pt>
                <c:pt idx="28">
                  <c:v>0</c:v>
                </c:pt>
                <c:pt idx="29">
                  <c:v>546.79999999999995</c:v>
                </c:pt>
                <c:pt idx="30">
                  <c:v>356.1</c:v>
                </c:pt>
                <c:pt idx="31">
                  <c:v>280</c:v>
                </c:pt>
                <c:pt idx="32">
                  <c:v>239</c:v>
                </c:pt>
                <c:pt idx="33">
                  <c:v>109.7</c:v>
                </c:pt>
                <c:pt idx="34">
                  <c:v>89.7</c:v>
                </c:pt>
                <c:pt idx="35">
                  <c:v>71.2</c:v>
                </c:pt>
                <c:pt idx="36">
                  <c:v>12.18</c:v>
                </c:pt>
                <c:pt idx="37">
                  <c:v>12.18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D-4F39-878A-4CF02FFBC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071448"/>
        <c:axId val="227073744"/>
      </c:barChart>
      <c:catAx>
        <c:axId val="22707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7073744"/>
        <c:crosses val="autoZero"/>
        <c:auto val="1"/>
        <c:lblAlgn val="ctr"/>
        <c:lblOffset val="100"/>
        <c:noMultiLvlLbl val="0"/>
      </c:catAx>
      <c:valAx>
        <c:axId val="2270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707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21-09-26.xlsm]Pareto conso EMAG!Tableau croisé dynamique17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CONSO PLAQUETTE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conso EMAG'!$B$3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'Pareto conso EMAG'!$A$4:$A$47</c:f>
              <c:multiLvlStrCache>
                <c:ptCount val="40"/>
                <c:lvl>
                  <c:pt idx="0">
                    <c:v>Z000 544 318</c:v>
                  </c:pt>
                  <c:pt idx="1">
                    <c:v>Z000 513 527</c:v>
                  </c:pt>
                  <c:pt idx="2">
                    <c:v>Z000 546 265</c:v>
                  </c:pt>
                  <c:pt idx="3">
                    <c:v>Z000 519 285</c:v>
                  </c:pt>
                  <c:pt idx="4">
                    <c:v>IM02 137 022</c:v>
                  </c:pt>
                  <c:pt idx="5">
                    <c:v>IM02 137 021</c:v>
                  </c:pt>
                  <c:pt idx="6">
                    <c:v>Z000 546 266</c:v>
                  </c:pt>
                  <c:pt idx="7">
                    <c:v>IM02 209 560</c:v>
                  </c:pt>
                  <c:pt idx="8">
                    <c:v>IM02 198 054</c:v>
                  </c:pt>
                  <c:pt idx="9">
                    <c:v>EMBOUT D15,3</c:v>
                  </c:pt>
                  <c:pt idx="10">
                    <c:v>PLAQUETTE CHANFREIN</c:v>
                  </c:pt>
                  <c:pt idx="11">
                    <c:v>EMBOUT D8,6</c:v>
                  </c:pt>
                  <c:pt idx="12">
                    <c:v>PLAQUETTE FRAISURAGE</c:v>
                  </c:pt>
                  <c:pt idx="13">
                    <c:v>EMBOUT D13,3</c:v>
                  </c:pt>
                  <c:pt idx="14">
                    <c:v>Z000 539 100</c:v>
                  </c:pt>
                  <c:pt idx="15">
                    <c:v>Z000 546 265</c:v>
                  </c:pt>
                  <c:pt idx="16">
                    <c:v>IM02 137 020</c:v>
                  </c:pt>
                  <c:pt idx="17">
                    <c:v>Z000 546 266</c:v>
                  </c:pt>
                  <c:pt idx="18">
                    <c:v>Z000 517 182</c:v>
                  </c:pt>
                  <c:pt idx="19">
                    <c:v>Z000 519 285</c:v>
                  </c:pt>
                  <c:pt idx="20">
                    <c:v>Z000 455 182</c:v>
                  </c:pt>
                  <c:pt idx="21">
                    <c:v>IM02 209 560</c:v>
                  </c:pt>
                  <c:pt idx="22">
                    <c:v>EMBOUT D13,3</c:v>
                  </c:pt>
                  <c:pt idx="23">
                    <c:v>PLAQUETTE CHANFREIN</c:v>
                  </c:pt>
                  <c:pt idx="24">
                    <c:v>EMBOUT D8,6</c:v>
                  </c:pt>
                  <c:pt idx="25">
                    <c:v>IM02 198 054</c:v>
                  </c:pt>
                  <c:pt idx="26">
                    <c:v>PLAQUETTE FRAISURAGE</c:v>
                  </c:pt>
                  <c:pt idx="27">
                    <c:v>EMBOUT D15,3</c:v>
                  </c:pt>
                  <c:pt idx="28">
                    <c:v>PLAQUETTE D</c:v>
                  </c:pt>
                  <c:pt idx="29">
                    <c:v>Z000 546 265</c:v>
                  </c:pt>
                  <c:pt idx="30">
                    <c:v>Z000 544 318</c:v>
                  </c:pt>
                  <c:pt idx="31">
                    <c:v>Z000 519 285</c:v>
                  </c:pt>
                  <c:pt idx="32">
                    <c:v>Z000 513 527</c:v>
                  </c:pt>
                  <c:pt idx="33">
                    <c:v>Z000 546 266</c:v>
                  </c:pt>
                  <c:pt idx="34">
                    <c:v>Z000 532 588</c:v>
                  </c:pt>
                  <c:pt idx="35">
                    <c:v>Z000 455 182</c:v>
                  </c:pt>
                  <c:pt idx="36">
                    <c:v>PLAQUETTE CHANFREIN</c:v>
                  </c:pt>
                  <c:pt idx="37">
                    <c:v>EMBOUT D13,3</c:v>
                  </c:pt>
                  <c:pt idx="38">
                    <c:v>IM02 198 054</c:v>
                  </c:pt>
                  <c:pt idx="39">
                    <c:v>IM02 209 560</c:v>
                  </c:pt>
                </c:lvl>
                <c:lvl>
                  <c:pt idx="0">
                    <c:v>EMAG 1</c:v>
                  </c:pt>
                  <c:pt idx="14">
                    <c:v>EMAG 2</c:v>
                  </c:pt>
                  <c:pt idx="29">
                    <c:v>EMAG 3</c:v>
                  </c:pt>
                </c:lvl>
              </c:multiLvlStrCache>
            </c:multiLvlStrRef>
          </c:cat>
          <c:val>
            <c:numRef>
              <c:f>'Pareto conso EMAG'!$B$4:$B$47</c:f>
              <c:numCache>
                <c:formatCode>General</c:formatCode>
                <c:ptCount val="40"/>
                <c:pt idx="0">
                  <c:v>90</c:v>
                </c:pt>
                <c:pt idx="1">
                  <c:v>75</c:v>
                </c:pt>
                <c:pt idx="2">
                  <c:v>70</c:v>
                </c:pt>
                <c:pt idx="3">
                  <c:v>40</c:v>
                </c:pt>
                <c:pt idx="4">
                  <c:v>35</c:v>
                </c:pt>
                <c:pt idx="5">
                  <c:v>20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100</c:v>
                </c:pt>
                <c:pt idx="15">
                  <c:v>50</c:v>
                </c:pt>
                <c:pt idx="16">
                  <c:v>40</c:v>
                </c:pt>
                <c:pt idx="17">
                  <c:v>30</c:v>
                </c:pt>
                <c:pt idx="18">
                  <c:v>30</c:v>
                </c:pt>
                <c:pt idx="19">
                  <c:v>20</c:v>
                </c:pt>
                <c:pt idx="20">
                  <c:v>10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40</c:v>
                </c:pt>
                <c:pt idx="31">
                  <c:v>30</c:v>
                </c:pt>
                <c:pt idx="32">
                  <c:v>25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5-42EF-9998-A2586B58D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935144"/>
        <c:axId val="891930224"/>
      </c:barChart>
      <c:catAx>
        <c:axId val="891935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1930224"/>
        <c:crosses val="autoZero"/>
        <c:auto val="1"/>
        <c:lblAlgn val="ctr"/>
        <c:lblOffset val="100"/>
        <c:noMultiLvlLbl val="0"/>
      </c:catAx>
      <c:valAx>
        <c:axId val="8919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193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COMPARAISON</a:t>
            </a:r>
            <a:r>
              <a:rPr lang="fr-FR" baseline="0"/>
              <a:t> REEL THEORIQUE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'Réel-Théorique'!$B$1</c:f>
              <c:strCache>
                <c:ptCount val="1"/>
                <c:pt idx="0">
                  <c:v>Qté Réelle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'Réel-Théorique'!$A$2:$A$24</c:f>
              <c:strCache>
                <c:ptCount val="23"/>
                <c:pt idx="0">
                  <c:v>Z000 546 265</c:v>
                </c:pt>
                <c:pt idx="1">
                  <c:v>Z000 544 318</c:v>
                </c:pt>
                <c:pt idx="2">
                  <c:v>Z000 513 527</c:v>
                </c:pt>
                <c:pt idx="3">
                  <c:v>Z000 539 100</c:v>
                </c:pt>
                <c:pt idx="4">
                  <c:v>Z000 519 285</c:v>
                </c:pt>
                <c:pt idx="5">
                  <c:v>Z000 546 266</c:v>
                </c:pt>
                <c:pt idx="6">
                  <c:v>IM02 137 020</c:v>
                </c:pt>
                <c:pt idx="7">
                  <c:v>IM02 137 022</c:v>
                </c:pt>
                <c:pt idx="8">
                  <c:v>Z000 517 182</c:v>
                </c:pt>
                <c:pt idx="9">
                  <c:v>IM02 137 021</c:v>
                </c:pt>
                <c:pt idx="10">
                  <c:v>Z000 455 182</c:v>
                </c:pt>
                <c:pt idx="11">
                  <c:v>IM02 209 560</c:v>
                </c:pt>
                <c:pt idx="12">
                  <c:v>Z000 532 588</c:v>
                </c:pt>
                <c:pt idx="13">
                  <c:v>PLAQUETTE CHANFREIN</c:v>
                </c:pt>
                <c:pt idx="14">
                  <c:v>EMBOUT D13,3</c:v>
                </c:pt>
                <c:pt idx="15">
                  <c:v>IM02 198 054</c:v>
                </c:pt>
                <c:pt idx="16">
                  <c:v>EMBOUT D15,3</c:v>
                </c:pt>
                <c:pt idx="17">
                  <c:v>EMBOUT D8,6</c:v>
                </c:pt>
                <c:pt idx="18">
                  <c:v>PLAQUETTE FRAISURAGE</c:v>
                </c:pt>
                <c:pt idx="19">
                  <c:v>IM02 137 019</c:v>
                </c:pt>
                <c:pt idx="20">
                  <c:v>PLAQUETTE D</c:v>
                </c:pt>
                <c:pt idx="21">
                  <c:v>Z000 522 436</c:v>
                </c:pt>
                <c:pt idx="22">
                  <c:v>Z000 548 367</c:v>
                </c:pt>
              </c:strCache>
            </c:strRef>
          </c:cat>
          <c:val>
            <c:numRef>
              <c:f>'Réel-Théorique'!$B$2:$B$24</c:f>
              <c:numCache>
                <c:formatCode>General</c:formatCode>
                <c:ptCount val="23"/>
                <c:pt idx="0">
                  <c:v>160</c:v>
                </c:pt>
                <c:pt idx="1">
                  <c:v>130</c:v>
                </c:pt>
                <c:pt idx="2">
                  <c:v>100</c:v>
                </c:pt>
                <c:pt idx="3">
                  <c:v>100</c:v>
                </c:pt>
                <c:pt idx="4">
                  <c:v>90</c:v>
                </c:pt>
                <c:pt idx="5">
                  <c:v>50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20</c:v>
                </c:pt>
                <c:pt idx="10">
                  <c:v>20</c:v>
                </c:pt>
                <c:pt idx="11">
                  <c:v>10</c:v>
                </c:pt>
                <c:pt idx="12">
                  <c:v>10</c:v>
                </c:pt>
                <c:pt idx="13">
                  <c:v>7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2-4C84-A18C-208260B950D4}"/>
            </c:ext>
          </c:extLst>
        </c:ser>
        <c:ser>
          <c:idx val="1"/>
          <c:order val="1"/>
          <c:tx>
            <c:strRef>
              <c:f>'Réel-Théorique'!$C$1</c:f>
              <c:strCache>
                <c:ptCount val="1"/>
                <c:pt idx="0">
                  <c:v>Qté théorique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'Réel-Théorique'!$A$2:$A$24</c:f>
              <c:strCache>
                <c:ptCount val="23"/>
                <c:pt idx="0">
                  <c:v>Z000 546 265</c:v>
                </c:pt>
                <c:pt idx="1">
                  <c:v>Z000 544 318</c:v>
                </c:pt>
                <c:pt idx="2">
                  <c:v>Z000 513 527</c:v>
                </c:pt>
                <c:pt idx="3">
                  <c:v>Z000 539 100</c:v>
                </c:pt>
                <c:pt idx="4">
                  <c:v>Z000 519 285</c:v>
                </c:pt>
                <c:pt idx="5">
                  <c:v>Z000 546 266</c:v>
                </c:pt>
                <c:pt idx="6">
                  <c:v>IM02 137 020</c:v>
                </c:pt>
                <c:pt idx="7">
                  <c:v>IM02 137 022</c:v>
                </c:pt>
                <c:pt idx="8">
                  <c:v>Z000 517 182</c:v>
                </c:pt>
                <c:pt idx="9">
                  <c:v>IM02 137 021</c:v>
                </c:pt>
                <c:pt idx="10">
                  <c:v>Z000 455 182</c:v>
                </c:pt>
                <c:pt idx="11">
                  <c:v>IM02 209 560</c:v>
                </c:pt>
                <c:pt idx="12">
                  <c:v>Z000 532 588</c:v>
                </c:pt>
                <c:pt idx="13">
                  <c:v>PLAQUETTE CHANFREIN</c:v>
                </c:pt>
                <c:pt idx="14">
                  <c:v>EMBOUT D13,3</c:v>
                </c:pt>
                <c:pt idx="15">
                  <c:v>IM02 198 054</c:v>
                </c:pt>
                <c:pt idx="16">
                  <c:v>EMBOUT D15,3</c:v>
                </c:pt>
                <c:pt idx="17">
                  <c:v>EMBOUT D8,6</c:v>
                </c:pt>
                <c:pt idx="18">
                  <c:v>PLAQUETTE FRAISURAGE</c:v>
                </c:pt>
                <c:pt idx="19">
                  <c:v>IM02 137 019</c:v>
                </c:pt>
                <c:pt idx="20">
                  <c:v>PLAQUETTE D</c:v>
                </c:pt>
                <c:pt idx="21">
                  <c:v>Z000 522 436</c:v>
                </c:pt>
                <c:pt idx="22">
                  <c:v>Z000 548 367</c:v>
                </c:pt>
              </c:strCache>
            </c:strRef>
          </c:cat>
          <c:val>
            <c:numRef>
              <c:f>'Réel-Théorique'!$C$2:$C$24</c:f>
              <c:numCache>
                <c:formatCode>General</c:formatCode>
                <c:ptCount val="23"/>
                <c:pt idx="0">
                  <c:v>116</c:v>
                </c:pt>
                <c:pt idx="1">
                  <c:v>51</c:v>
                </c:pt>
                <c:pt idx="2">
                  <c:v>60</c:v>
                </c:pt>
                <c:pt idx="3">
                  <c:v>38</c:v>
                </c:pt>
                <c:pt idx="4">
                  <c:v>62</c:v>
                </c:pt>
                <c:pt idx="5">
                  <c:v>26</c:v>
                </c:pt>
                <c:pt idx="6">
                  <c:v>13</c:v>
                </c:pt>
                <c:pt idx="7">
                  <c:v>23</c:v>
                </c:pt>
                <c:pt idx="8">
                  <c:v>6</c:v>
                </c:pt>
                <c:pt idx="9">
                  <c:v>12</c:v>
                </c:pt>
                <c:pt idx="10">
                  <c:v>9</c:v>
                </c:pt>
                <c:pt idx="11">
                  <c:v>22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8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8</c:v>
                </c:pt>
                <c:pt idx="2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2-4C84-A18C-208260B950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1336656"/>
        <c:axId val="2021329816"/>
      </c:barChart>
      <c:catAx>
        <c:axId val="202133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329816"/>
        <c:crosses val="autoZero"/>
        <c:auto val="1"/>
        <c:lblAlgn val="ctr"/>
        <c:lblOffset val="100"/>
        <c:noMultiLvlLbl val="0"/>
      </c:catAx>
      <c:valAx>
        <c:axId val="202132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33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coûts totaux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EMAG'!$B$1</c:f>
              <c:strCache>
                <c:ptCount val="1"/>
                <c:pt idx="0">
                  <c:v>Coût plaquette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6553799849510911E-2"/>
                  <c:y val="-4.0728831725616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DB-45DA-8ABC-4C0D0023F6AA}"/>
                </c:ext>
              </c:extLst>
            </c:dLbl>
            <c:dLbl>
              <c:idx val="1"/>
              <c:layout>
                <c:manualLayout>
                  <c:x val="-6.019563581640331E-2"/>
                  <c:y val="-3.858520900321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DB-45DA-8ABC-4C0D0023F6AA}"/>
                </c:ext>
              </c:extLst>
            </c:dLbl>
            <c:dLbl>
              <c:idx val="2"/>
              <c:layout>
                <c:manualLayout>
                  <c:x val="1.2039127163280606E-2"/>
                  <c:y val="-1.50053590568060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DB-45DA-8ABC-4C0D0023F6AA}"/>
                </c:ext>
              </c:extLst>
            </c:dLbl>
            <c:dLbl>
              <c:idx val="3"/>
              <c:layout>
                <c:manualLayout>
                  <c:x val="-6.4710308502633554E-2"/>
                  <c:y val="6.4308681672025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BD-4242-9F09-998FD3CF034B}"/>
                </c:ext>
              </c:extLst>
            </c:dLbl>
            <c:dLbl>
              <c:idx val="4"/>
              <c:layout>
                <c:manualLayout>
                  <c:x val="-7.9759217456734394E-2"/>
                  <c:y val="-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80-4309-9E73-2FC5221B43DA}"/>
                </c:ext>
              </c:extLst>
            </c:dLbl>
            <c:dLbl>
              <c:idx val="5"/>
              <c:layout>
                <c:manualLayout>
                  <c:x val="-6.7343867569601312E-2"/>
                  <c:y val="-7.28831725616291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DB-45DA-8ABC-4C0D0023F6AA}"/>
                </c:ext>
              </c:extLst>
            </c:dLbl>
            <c:dLbl>
              <c:idx val="6"/>
              <c:layout>
                <c:manualLayout>
                  <c:x val="-9.2927012791572616E-2"/>
                  <c:y val="-0.101822079314040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DB-45DA-8ABC-4C0D0023F6AA}"/>
                </c:ext>
              </c:extLst>
            </c:dLbl>
            <c:dLbl>
              <c:idx val="16"/>
              <c:layout>
                <c:manualLayout>
                  <c:x val="-3.3107599699021821E-2"/>
                  <c:y val="-3.64415862808146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F2-4BA2-B324-336A90B6E021}"/>
                </c:ext>
              </c:extLst>
            </c:dLbl>
            <c:dLbl>
              <c:idx val="17"/>
              <c:layout>
                <c:manualLayout>
                  <c:x val="0"/>
                  <c:y val="-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F2-4BA2-B324-336A90B6E021}"/>
                </c:ext>
              </c:extLst>
            </c:dLbl>
            <c:dLbl>
              <c:idx val="18"/>
              <c:layout>
                <c:manualLayout>
                  <c:x val="-4.0632054176072345E-2"/>
                  <c:y val="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F2-4BA2-B324-336A90B6E021}"/>
                </c:ext>
              </c:extLst>
            </c:dLbl>
            <c:dLbl>
              <c:idx val="19"/>
              <c:layout>
                <c:manualLayout>
                  <c:x val="3.0097817908201654E-3"/>
                  <c:y val="1.7148981779206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67-474D-9858-48D16BEF229C}"/>
                </c:ext>
              </c:extLst>
            </c:dLbl>
            <c:dLbl>
              <c:idx val="20"/>
              <c:layout>
                <c:manualLayout>
                  <c:x val="-7.5244544770504143E-2"/>
                  <c:y val="5.35905680600213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F2-4BA2-B324-336A90B6E021}"/>
                </c:ext>
              </c:extLst>
            </c:dLbl>
            <c:dLbl>
              <c:idx val="21"/>
              <c:layout>
                <c:manualLayout>
                  <c:x val="-3.4612490594431902E-2"/>
                  <c:y val="4.2872454448017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DA-41B5-AA05-D90372E959F6}"/>
                </c:ext>
              </c:extLst>
            </c:dLbl>
            <c:dLbl>
              <c:idx val="22"/>
              <c:layout>
                <c:manualLayout>
                  <c:x val="1.3544018058690635E-2"/>
                  <c:y val="3.6441586280814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67-474D-9858-48D16BEF229C}"/>
                </c:ext>
              </c:extLst>
            </c:dLbl>
            <c:dLbl>
              <c:idx val="23"/>
              <c:layout>
                <c:manualLayout>
                  <c:x val="-4.7317395358474929E-2"/>
                  <c:y val="3.6441586280814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84-4E3B-9D23-17E8883045B7}"/>
                </c:ext>
              </c:extLst>
            </c:dLbl>
            <c:dLbl>
              <c:idx val="24"/>
              <c:layout>
                <c:manualLayout>
                  <c:x val="-4.286961251554082E-2"/>
                  <c:y val="2.7867095391211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E8-44BE-A429-060C70FF84D0}"/>
                </c:ext>
              </c:extLst>
            </c:dLbl>
            <c:dLbl>
              <c:idx val="25"/>
              <c:layout>
                <c:manualLayout>
                  <c:x val="-5.4824561403508769E-3"/>
                  <c:y val="2.357984994640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D-44B5-BA72-3EB5F24A634C}"/>
                </c:ext>
              </c:extLst>
            </c:dLbl>
            <c:dLbl>
              <c:idx val="26"/>
              <c:layout>
                <c:manualLayout>
                  <c:x val="-6.25E-2"/>
                  <c:y val="3.2154340836012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9B-4E91-B004-5ADFD9EE14B1}"/>
                </c:ext>
              </c:extLst>
            </c:dLbl>
            <c:dLbl>
              <c:idx val="27"/>
              <c:layout>
                <c:manualLayout>
                  <c:x val="-4.9342105263157895E-2"/>
                  <c:y val="2.143622722400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D-44B5-BA72-3EB5F24A634C}"/>
                </c:ext>
              </c:extLst>
            </c:dLbl>
            <c:dLbl>
              <c:idx val="28"/>
              <c:layout>
                <c:manualLayout>
                  <c:x val="-1.6447368421052794E-2"/>
                  <c:y val="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D-44B5-BA72-3EB5F24A634C}"/>
                </c:ext>
              </c:extLst>
            </c:dLbl>
            <c:dLbl>
              <c:idx val="29"/>
              <c:layout>
                <c:manualLayout>
                  <c:x val="-2.9605263157894735E-2"/>
                  <c:y val="-1.2861736334405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0C-4A39-94C1-8B88E75127ED}"/>
                </c:ext>
              </c:extLst>
            </c:dLbl>
            <c:dLbl>
              <c:idx val="32"/>
              <c:layout>
                <c:manualLayout>
                  <c:x val="1.206140350877177E-2"/>
                  <c:y val="-4.28724544480179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0C-4A39-94C1-8B88E75127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EMAG'!$A$2:$A$38</c:f>
              <c:numCache>
                <c:formatCode>General</c:formatCode>
                <c:ptCount val="3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</c:numCache>
            </c:numRef>
          </c:xVal>
          <c:yVal>
            <c:numRef>
              <c:f>'Evolution coût EMAG'!$B$2:$B$356</c:f>
              <c:numCache>
                <c:formatCode>#\ ##0.00\ "€"</c:formatCode>
                <c:ptCount val="355"/>
                <c:pt idx="0">
                  <c:v>6245.95</c:v>
                </c:pt>
                <c:pt idx="1">
                  <c:v>10014.32</c:v>
                </c:pt>
                <c:pt idx="2">
                  <c:v>8872.07</c:v>
                </c:pt>
                <c:pt idx="3">
                  <c:v>10032.14</c:v>
                </c:pt>
                <c:pt idx="4">
                  <c:v>10898.93</c:v>
                </c:pt>
                <c:pt idx="5">
                  <c:v>9905.93</c:v>
                </c:pt>
                <c:pt idx="6">
                  <c:v>11327.75</c:v>
                </c:pt>
                <c:pt idx="7">
                  <c:v>10727.13</c:v>
                </c:pt>
                <c:pt idx="8">
                  <c:v>6629.77</c:v>
                </c:pt>
                <c:pt idx="9">
                  <c:v>11656.82</c:v>
                </c:pt>
                <c:pt idx="10">
                  <c:v>9451.2000000000007</c:v>
                </c:pt>
                <c:pt idx="11">
                  <c:v>9618.0400000000009</c:v>
                </c:pt>
                <c:pt idx="12">
                  <c:v>9882.99</c:v>
                </c:pt>
                <c:pt idx="13">
                  <c:v>7312.18</c:v>
                </c:pt>
                <c:pt idx="14">
                  <c:v>9102.4</c:v>
                </c:pt>
                <c:pt idx="15">
                  <c:v>9219.06</c:v>
                </c:pt>
                <c:pt idx="16">
                  <c:v>7188.42</c:v>
                </c:pt>
                <c:pt idx="17">
                  <c:v>7966.14</c:v>
                </c:pt>
                <c:pt idx="18">
                  <c:v>6906.86</c:v>
                </c:pt>
                <c:pt idx="19">
                  <c:v>5728.37</c:v>
                </c:pt>
                <c:pt idx="20">
                  <c:v>9367.51</c:v>
                </c:pt>
                <c:pt idx="21">
                  <c:v>9789.24</c:v>
                </c:pt>
                <c:pt idx="22">
                  <c:v>10925.55</c:v>
                </c:pt>
                <c:pt idx="23">
                  <c:v>9725.83</c:v>
                </c:pt>
                <c:pt idx="24">
                  <c:v>7040.16</c:v>
                </c:pt>
                <c:pt idx="25">
                  <c:v>9547.24</c:v>
                </c:pt>
                <c:pt idx="26">
                  <c:v>9373.61</c:v>
                </c:pt>
                <c:pt idx="27">
                  <c:v>7907.5</c:v>
                </c:pt>
                <c:pt idx="28">
                  <c:v>7890.24</c:v>
                </c:pt>
                <c:pt idx="29">
                  <c:v>8040.55</c:v>
                </c:pt>
                <c:pt idx="30">
                  <c:v>9654.8799999999992</c:v>
                </c:pt>
                <c:pt idx="31">
                  <c:v>10000.15</c:v>
                </c:pt>
                <c:pt idx="32">
                  <c:v>10221.35</c:v>
                </c:pt>
                <c:pt idx="33">
                  <c:v>9349.64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DB-45DA-8ABC-4C0D0023F6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coût EMAG'!$C$1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3.85852090032153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7B-4CD0-A679-D3EAAF84E0CC}"/>
                </c:ext>
              </c:extLst>
            </c:dLbl>
            <c:dLbl>
              <c:idx val="1"/>
              <c:layout>
                <c:manualLayout>
                  <c:x val="-6.0195635816403309E-3"/>
                  <c:y val="8.1457663451232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DB-45DA-8ABC-4C0D0023F6AA}"/>
                </c:ext>
              </c:extLst>
            </c:dLbl>
            <c:dLbl>
              <c:idx val="2"/>
              <c:layout>
                <c:manualLayout>
                  <c:x val="-1.5048908954100828E-2"/>
                  <c:y val="7.2883172561629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DB-45DA-8ABC-4C0D0023F6AA}"/>
                </c:ext>
              </c:extLst>
            </c:dLbl>
            <c:dLbl>
              <c:idx val="3"/>
              <c:layout>
                <c:manualLayout>
                  <c:x val="-7.8254326561324306E-2"/>
                  <c:y val="-5.1446945337620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DB-45DA-8ABC-4C0D0023F6AA}"/>
                </c:ext>
              </c:extLst>
            </c:dLbl>
            <c:dLbl>
              <c:idx val="4"/>
              <c:layout>
                <c:manualLayout>
                  <c:x val="-5.7185854025583037E-2"/>
                  <c:y val="6.8595927116827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80-4309-9E73-2FC5221B43DA}"/>
                </c:ext>
              </c:extLst>
            </c:dLbl>
            <c:dLbl>
              <c:idx val="5"/>
              <c:layout>
                <c:manualLayout>
                  <c:x val="-1.0158013544018058E-2"/>
                  <c:y val="3.69774919614147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B4-4DD5-BD94-6801F2E97154}"/>
                </c:ext>
              </c:extLst>
            </c:dLbl>
            <c:dLbl>
              <c:idx val="6"/>
              <c:layout>
                <c:manualLayout>
                  <c:x val="-6.2076749435665914E-2"/>
                  <c:y val="6.1093247588424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B4-4DD5-BD94-6801F2E97154}"/>
                </c:ext>
              </c:extLst>
            </c:dLbl>
            <c:dLbl>
              <c:idx val="12"/>
              <c:layout>
                <c:manualLayout>
                  <c:x val="0"/>
                  <c:y val="2.78670953912110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9F2-4BA2-B324-336A90B6E021}"/>
                </c:ext>
              </c:extLst>
            </c:dLbl>
            <c:dLbl>
              <c:idx val="16"/>
              <c:layout>
                <c:manualLayout>
                  <c:x val="-6.0195635816403309E-3"/>
                  <c:y val="3.4297963558413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F2-4BA2-B324-336A90B6E021}"/>
                </c:ext>
              </c:extLst>
            </c:dLbl>
            <c:dLbl>
              <c:idx val="17"/>
              <c:layout>
                <c:manualLayout>
                  <c:x val="-9.0293453724604959E-3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F2-4BA2-B324-336A90B6E021}"/>
                </c:ext>
              </c:extLst>
            </c:dLbl>
            <c:dLbl>
              <c:idx val="18"/>
              <c:layout>
                <c:manualLayout>
                  <c:x val="-1.3544018058690745E-2"/>
                  <c:y val="3.00107181136119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9F2-4BA2-B324-336A90B6E021}"/>
                </c:ext>
              </c:extLst>
            </c:dLbl>
            <c:dLbl>
              <c:idx val="19"/>
              <c:layout>
                <c:manualLayout>
                  <c:x val="-2.7088036117381489E-2"/>
                  <c:y val="-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F2-4BA2-B324-336A90B6E021}"/>
                </c:ext>
              </c:extLst>
            </c:dLbl>
            <c:dLbl>
              <c:idx val="20"/>
              <c:layout>
                <c:manualLayout>
                  <c:x val="-6.7720090293453841E-2"/>
                  <c:y val="-1.2861736334405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F2-4BA2-B324-336A90B6E021}"/>
                </c:ext>
              </c:extLst>
            </c:dLbl>
            <c:dLbl>
              <c:idx val="21"/>
              <c:layout>
                <c:manualLayout>
                  <c:x val="-5.1166290443942816E-2"/>
                  <c:y val="-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A-41B5-AA05-D90372E959F6}"/>
                </c:ext>
              </c:extLst>
            </c:dLbl>
            <c:dLbl>
              <c:idx val="22"/>
              <c:layout>
                <c:manualLayout>
                  <c:x val="-4.9661399548532624E-2"/>
                  <c:y val="-2.7867095391211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767-474D-9858-48D16BEF229C}"/>
                </c:ext>
              </c:extLst>
            </c:dLbl>
            <c:dLbl>
              <c:idx val="23"/>
              <c:layout>
                <c:manualLayout>
                  <c:x val="-6.019563581640441E-3"/>
                  <c:y val="-2.35798499464094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8-44BE-A429-060C70FF84D0}"/>
                </c:ext>
              </c:extLst>
            </c:dLbl>
            <c:dLbl>
              <c:idx val="25"/>
              <c:layout>
                <c:manualLayout>
                  <c:x val="-8.7719298245615644E-3"/>
                  <c:y val="-2.57234726688103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E91-B004-5ADFD9EE14B1}"/>
                </c:ext>
              </c:extLst>
            </c:dLbl>
            <c:dLbl>
              <c:idx val="26"/>
              <c:layout>
                <c:manualLayout>
                  <c:x val="-2.1929824561403508E-3"/>
                  <c:y val="-2.1436227224008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9B-4E91-B004-5ADFD9EE14B1}"/>
                </c:ext>
              </c:extLst>
            </c:dLbl>
            <c:dLbl>
              <c:idx val="27"/>
              <c:layout>
                <c:manualLayout>
                  <c:x val="4.3168945987014783E-8"/>
                  <c:y val="-2.14361428294132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1578947368421047E-2"/>
                      <c:h val="3.85531390569747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C5D-46B1-B6DC-CD5EC3BA1870}"/>
                </c:ext>
              </c:extLst>
            </c:dLbl>
            <c:dLbl>
              <c:idx val="28"/>
              <c:layout>
                <c:manualLayout>
                  <c:x val="-1.3157894736842105E-2"/>
                  <c:y val="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D-44B5-BA72-3EB5F24A634C}"/>
                </c:ext>
              </c:extLst>
            </c:dLbl>
            <c:dLbl>
              <c:idx val="29"/>
              <c:layout>
                <c:manualLayout>
                  <c:x val="-2.0833333333333332E-2"/>
                  <c:y val="-2.357984994640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6D-44B5-BA72-3EB5F24A634C}"/>
                </c:ext>
              </c:extLst>
            </c:dLbl>
            <c:dLbl>
              <c:idx val="30"/>
              <c:layout>
                <c:manualLayout>
                  <c:x val="-1.6447368421052631E-2"/>
                  <c:y val="-1.7148981779206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0C-4A39-94C1-8B88E75127ED}"/>
                </c:ext>
              </c:extLst>
            </c:dLbl>
            <c:dLbl>
              <c:idx val="32"/>
              <c:layout>
                <c:manualLayout>
                  <c:x val="-1.0964912280703363E-3"/>
                  <c:y val="-1.0718113612004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0C-4A39-94C1-8B88E75127ED}"/>
                </c:ext>
              </c:extLst>
            </c:dLbl>
            <c:dLbl>
              <c:idx val="33"/>
              <c:layout>
                <c:manualLayout>
                  <c:x val="-8.771929824561403E-3"/>
                  <c:y val="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0C-4A39-94C1-8B88E75127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EMAG'!$A$2:$A$38</c:f>
              <c:numCache>
                <c:formatCode>General</c:formatCode>
                <c:ptCount val="3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</c:numCache>
            </c:numRef>
          </c:xVal>
          <c:yVal>
            <c:numRef>
              <c:f>'Evolution coût EMAG'!$C$2:$C$38</c:f>
              <c:numCache>
                <c:formatCode>General</c:formatCode>
                <c:ptCount val="37"/>
                <c:pt idx="0">
                  <c:v>17508</c:v>
                </c:pt>
                <c:pt idx="1">
                  <c:v>20754</c:v>
                </c:pt>
                <c:pt idx="2">
                  <c:v>19592</c:v>
                </c:pt>
                <c:pt idx="3">
                  <c:v>18583</c:v>
                </c:pt>
                <c:pt idx="4">
                  <c:v>19916</c:v>
                </c:pt>
                <c:pt idx="5">
                  <c:v>21937</c:v>
                </c:pt>
                <c:pt idx="6">
                  <c:v>22555</c:v>
                </c:pt>
                <c:pt idx="7">
                  <c:v>20488</c:v>
                </c:pt>
                <c:pt idx="8">
                  <c:v>11429</c:v>
                </c:pt>
                <c:pt idx="9">
                  <c:v>19842</c:v>
                </c:pt>
                <c:pt idx="10">
                  <c:v>15913</c:v>
                </c:pt>
                <c:pt idx="11">
                  <c:v>16991</c:v>
                </c:pt>
                <c:pt idx="12">
                  <c:v>13017</c:v>
                </c:pt>
                <c:pt idx="13">
                  <c:v>13188</c:v>
                </c:pt>
                <c:pt idx="14">
                  <c:v>16762</c:v>
                </c:pt>
                <c:pt idx="15">
                  <c:v>15965</c:v>
                </c:pt>
                <c:pt idx="16">
                  <c:v>9771</c:v>
                </c:pt>
                <c:pt idx="17">
                  <c:v>10802</c:v>
                </c:pt>
                <c:pt idx="18">
                  <c:v>10178</c:v>
                </c:pt>
                <c:pt idx="19">
                  <c:v>10141</c:v>
                </c:pt>
                <c:pt idx="20">
                  <c:v>14064</c:v>
                </c:pt>
                <c:pt idx="21">
                  <c:v>14979</c:v>
                </c:pt>
                <c:pt idx="22">
                  <c:v>15987</c:v>
                </c:pt>
                <c:pt idx="23">
                  <c:v>12958</c:v>
                </c:pt>
                <c:pt idx="24">
                  <c:v>8577</c:v>
                </c:pt>
                <c:pt idx="25">
                  <c:v>14406</c:v>
                </c:pt>
                <c:pt idx="26">
                  <c:v>12763</c:v>
                </c:pt>
                <c:pt idx="27">
                  <c:v>12171</c:v>
                </c:pt>
                <c:pt idx="28">
                  <c:v>14142</c:v>
                </c:pt>
                <c:pt idx="29">
                  <c:v>12482</c:v>
                </c:pt>
                <c:pt idx="30">
                  <c:v>14652</c:v>
                </c:pt>
                <c:pt idx="31">
                  <c:v>16543</c:v>
                </c:pt>
                <c:pt idx="32">
                  <c:v>17737</c:v>
                </c:pt>
                <c:pt idx="33">
                  <c:v>15685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8DB-45DA-8ABC-4C0D0023F6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  <c:min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Coût des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quantités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6349395377496548E-2"/>
          <c:y val="7.5219721329046085E-2"/>
          <c:w val="0.83658638606968716"/>
          <c:h val="0.821729076469942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'Evolution quantité EMAG'!$B$1</c:f>
              <c:strCache>
                <c:ptCount val="1"/>
                <c:pt idx="0">
                  <c:v>Quantité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4300608796957378E-2"/>
                  <c:y val="2.5723472668810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01-4989-ADB3-DF627C615D85}"/>
                </c:ext>
              </c:extLst>
            </c:dLbl>
            <c:dLbl>
              <c:idx val="1"/>
              <c:layout>
                <c:manualLayout>
                  <c:x val="-5.2510029510559893E-2"/>
                  <c:y val="-0.135048231511254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10-4529-8D86-7F685EB7145D}"/>
                </c:ext>
              </c:extLst>
            </c:dLbl>
            <c:dLbl>
              <c:idx val="2"/>
              <c:layout>
                <c:manualLayout>
                  <c:x val="-5.8690744920993118E-2"/>
                  <c:y val="-5.14469453376205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01-4989-ADB3-DF627C615D85}"/>
                </c:ext>
              </c:extLst>
            </c:dLbl>
            <c:dLbl>
              <c:idx val="3"/>
              <c:layout>
                <c:manualLayout>
                  <c:x val="-9.9322799097065359E-2"/>
                  <c:y val="6.6452304394426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10-4529-8D86-7F685EB7145D}"/>
                </c:ext>
              </c:extLst>
            </c:dLbl>
            <c:dLbl>
              <c:idx val="4"/>
              <c:layout>
                <c:manualLayout>
                  <c:x val="-5.4176072234762979E-2"/>
                  <c:y val="-3.4297963558413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3C-4EC3-8911-2ECBD081699B}"/>
                </c:ext>
              </c:extLst>
            </c:dLbl>
            <c:dLbl>
              <c:idx val="5"/>
              <c:layout>
                <c:manualLayout>
                  <c:x val="-8.1264108352144468E-2"/>
                  <c:y val="-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01-4989-ADB3-DF627C615D85}"/>
                </c:ext>
              </c:extLst>
            </c:dLbl>
            <c:dLbl>
              <c:idx val="6"/>
              <c:layout>
                <c:manualLayout>
                  <c:x val="-5.1918735891647742E-2"/>
                  <c:y val="-9.6463022508038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46-4525-BD11-744E3634FB66}"/>
                </c:ext>
              </c:extLst>
            </c:dLbl>
            <c:dLbl>
              <c:idx val="10"/>
              <c:layout>
                <c:manualLayout>
                  <c:x val="0"/>
                  <c:y val="-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B-47D7-A313-33A7951DCE9E}"/>
                </c:ext>
              </c:extLst>
            </c:dLbl>
            <c:dLbl>
              <c:idx val="17"/>
              <c:layout>
                <c:manualLayout>
                  <c:x val="4.5146726862302479E-3"/>
                  <c:y val="-1.2861736334405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F8-446B-98AC-AC898C3B6808}"/>
                </c:ext>
              </c:extLst>
            </c:dLbl>
            <c:dLbl>
              <c:idx val="18"/>
              <c:layout>
                <c:manualLayout>
                  <c:x val="-2.5583145221971408E-2"/>
                  <c:y val="-4.50160771704180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F8-446B-98AC-AC898C3B6808}"/>
                </c:ext>
              </c:extLst>
            </c:dLbl>
            <c:dLbl>
              <c:idx val="19"/>
              <c:layout>
                <c:manualLayout>
                  <c:x val="-6.0195635816403309E-3"/>
                  <c:y val="-2.78670953912111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F8-446B-98AC-AC898C3B6808}"/>
                </c:ext>
              </c:extLst>
            </c:dLbl>
            <c:dLbl>
              <c:idx val="20"/>
              <c:layout>
                <c:manualLayout>
                  <c:x val="-4.5146726862302373E-2"/>
                  <c:y val="-2.3579849946409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F8-446B-98AC-AC898C3B6808}"/>
                </c:ext>
              </c:extLst>
            </c:dLbl>
            <c:dLbl>
              <c:idx val="22"/>
              <c:layout>
                <c:manualLayout>
                  <c:x val="-6.0195635816403309E-3"/>
                  <c:y val="-3.00107181136120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35-4786-B937-834B136AA0F7}"/>
                </c:ext>
              </c:extLst>
            </c:dLbl>
            <c:dLbl>
              <c:idx val="23"/>
              <c:layout>
                <c:manualLayout>
                  <c:x val="-1.1035739080541032E-16"/>
                  <c:y val="-1.07181136120043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2E-47FD-8D11-A3CCD64668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 EMAG'!$A$2:$A$35</c:f>
              <c:numCache>
                <c:formatCode>General</c:formatCode>
                <c:ptCount val="3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xVal>
          <c:yVal>
            <c:numRef>
              <c:f>'Evolution quantité EMAG'!$B$2:$B$38</c:f>
              <c:numCache>
                <c:formatCode>General</c:formatCode>
                <c:ptCount val="37"/>
                <c:pt idx="0">
                  <c:v>583</c:v>
                </c:pt>
                <c:pt idx="1">
                  <c:v>880</c:v>
                </c:pt>
                <c:pt idx="2">
                  <c:v>792</c:v>
                </c:pt>
                <c:pt idx="3">
                  <c:v>876</c:v>
                </c:pt>
                <c:pt idx="4">
                  <c:v>962</c:v>
                </c:pt>
                <c:pt idx="5">
                  <c:v>866</c:v>
                </c:pt>
                <c:pt idx="6">
                  <c:v>986</c:v>
                </c:pt>
                <c:pt idx="7">
                  <c:v>937</c:v>
                </c:pt>
                <c:pt idx="8">
                  <c:v>603</c:v>
                </c:pt>
                <c:pt idx="9">
                  <c:v>974</c:v>
                </c:pt>
                <c:pt idx="10">
                  <c:v>842</c:v>
                </c:pt>
                <c:pt idx="11">
                  <c:v>827</c:v>
                </c:pt>
                <c:pt idx="12">
                  <c:v>828</c:v>
                </c:pt>
                <c:pt idx="13">
                  <c:v>666</c:v>
                </c:pt>
                <c:pt idx="14">
                  <c:v>769</c:v>
                </c:pt>
                <c:pt idx="15">
                  <c:v>811</c:v>
                </c:pt>
                <c:pt idx="16">
                  <c:v>651</c:v>
                </c:pt>
                <c:pt idx="17">
                  <c:v>763</c:v>
                </c:pt>
                <c:pt idx="18">
                  <c:v>654</c:v>
                </c:pt>
                <c:pt idx="19">
                  <c:v>527</c:v>
                </c:pt>
                <c:pt idx="20">
                  <c:v>851</c:v>
                </c:pt>
                <c:pt idx="21">
                  <c:v>913</c:v>
                </c:pt>
                <c:pt idx="22">
                  <c:v>987</c:v>
                </c:pt>
                <c:pt idx="23">
                  <c:v>878</c:v>
                </c:pt>
                <c:pt idx="24">
                  <c:v>637</c:v>
                </c:pt>
                <c:pt idx="25">
                  <c:v>778</c:v>
                </c:pt>
                <c:pt idx="26">
                  <c:v>793</c:v>
                </c:pt>
                <c:pt idx="27">
                  <c:v>659</c:v>
                </c:pt>
                <c:pt idx="28">
                  <c:v>691</c:v>
                </c:pt>
                <c:pt idx="29">
                  <c:v>698</c:v>
                </c:pt>
                <c:pt idx="30">
                  <c:v>843</c:v>
                </c:pt>
                <c:pt idx="31">
                  <c:v>881</c:v>
                </c:pt>
                <c:pt idx="32">
                  <c:v>901</c:v>
                </c:pt>
                <c:pt idx="33">
                  <c:v>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01-4989-ADB3-DF627C615D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quantité EMAG'!$C$1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11064873367513E-2"/>
                  <c:y val="-1.92926045016078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01-4989-ADB3-DF627C615D85}"/>
                </c:ext>
              </c:extLst>
            </c:dLbl>
            <c:dLbl>
              <c:idx val="1"/>
              <c:layout>
                <c:manualLayout>
                  <c:x val="-2.6853793534875499E-2"/>
                  <c:y val="-9.2175777063236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01-4989-ADB3-DF627C615D85}"/>
                </c:ext>
              </c:extLst>
            </c:dLbl>
            <c:dLbl>
              <c:idx val="2"/>
              <c:layout>
                <c:manualLayout>
                  <c:x val="-6.019563581640331E-2"/>
                  <c:y val="9.64630225080385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01-4989-ADB3-DF627C615D85}"/>
                </c:ext>
              </c:extLst>
            </c:dLbl>
            <c:dLbl>
              <c:idx val="3"/>
              <c:layout>
                <c:manualLayout>
                  <c:x val="-7.8254326561324306E-2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01-4989-ADB3-DF627C615D85}"/>
                </c:ext>
              </c:extLst>
            </c:dLbl>
            <c:dLbl>
              <c:idx val="4"/>
              <c:layout>
                <c:manualLayout>
                  <c:x val="-5.1166290443942705E-2"/>
                  <c:y val="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3C-4EC3-8911-2ECBD081699B}"/>
                </c:ext>
              </c:extLst>
            </c:dLbl>
            <c:dLbl>
              <c:idx val="5"/>
              <c:layout>
                <c:manualLayout>
                  <c:x val="-2.2573363431151353E-2"/>
                  <c:y val="4.66237942122186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46-4525-BD11-744E3634FB66}"/>
                </c:ext>
              </c:extLst>
            </c:dLbl>
            <c:dLbl>
              <c:idx val="6"/>
              <c:layout>
                <c:manualLayout>
                  <c:x val="-6.320541760722348E-2"/>
                  <c:y val="6.7524115755626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01-4989-ADB3-DF627C615D85}"/>
                </c:ext>
              </c:extLst>
            </c:dLbl>
            <c:dLbl>
              <c:idx val="15"/>
              <c:layout>
                <c:manualLayout>
                  <c:x val="-5.8690744920993229E-2"/>
                  <c:y val="2.1436227224008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F8-446B-98AC-AC898C3B6808}"/>
                </c:ext>
              </c:extLst>
            </c:dLbl>
            <c:dLbl>
              <c:idx val="16"/>
              <c:layout>
                <c:manualLayout>
                  <c:x val="-1.5048908954100828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F8-446B-98AC-AC898C3B6808}"/>
                </c:ext>
              </c:extLst>
            </c:dLbl>
            <c:dLbl>
              <c:idx val="17"/>
              <c:layout>
                <c:manualLayout>
                  <c:x val="4.5146726862302479E-3"/>
                  <c:y val="6.430868167202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F8-446B-98AC-AC898C3B6808}"/>
                </c:ext>
              </c:extLst>
            </c:dLbl>
            <c:dLbl>
              <c:idx val="18"/>
              <c:layout>
                <c:manualLayout>
                  <c:x val="-2.1068472535741158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F8-446B-98AC-AC898C3B6808}"/>
                </c:ext>
              </c:extLst>
            </c:dLbl>
            <c:dLbl>
              <c:idx val="19"/>
              <c:layout>
                <c:manualLayout>
                  <c:x val="7.5244544770504138E-3"/>
                  <c:y val="6.00214362272239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F8-446B-98AC-AC898C3B6808}"/>
                </c:ext>
              </c:extLst>
            </c:dLbl>
            <c:dLbl>
              <c:idx val="20"/>
              <c:layout>
                <c:manualLayout>
                  <c:x val="-5.7185854025583148E-2"/>
                  <c:y val="5.78778135048231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F8-446B-98AC-AC898C3B6808}"/>
                </c:ext>
              </c:extLst>
            </c:dLbl>
            <c:dLbl>
              <c:idx val="21"/>
              <c:layout>
                <c:manualLayout>
                  <c:x val="-4.9661399548532839E-2"/>
                  <c:y val="-5.35905680600214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F6-432D-A259-B6552CBE5069}"/>
                </c:ext>
              </c:extLst>
            </c:dLbl>
            <c:dLbl>
              <c:idx val="22"/>
              <c:layout>
                <c:manualLayout>
                  <c:x val="-6.4710308502633554E-2"/>
                  <c:y val="-2.7867095391211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69-41A2-8101-857A023E0755}"/>
                </c:ext>
              </c:extLst>
            </c:dLbl>
            <c:dLbl>
              <c:idx val="23"/>
              <c:layout>
                <c:manualLayout>
                  <c:x val="-1.1035739080541032E-16"/>
                  <c:y val="-1.714898177920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2E-47FD-8D11-A3CCD6466802}"/>
                </c:ext>
              </c:extLst>
            </c:dLbl>
            <c:dLbl>
              <c:idx val="25"/>
              <c:layout>
                <c:manualLayout>
                  <c:x val="-4.2602187679907887E-2"/>
                  <c:y val="-2.57234726688103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E8-4E44-A599-67744C5F53F9}"/>
                </c:ext>
              </c:extLst>
            </c:dLbl>
            <c:dLbl>
              <c:idx val="26"/>
              <c:layout>
                <c:manualLayout>
                  <c:x val="2.3028209556705277E-3"/>
                  <c:y val="-1.929260450160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E8-4E44-A599-67744C5F53F9}"/>
                </c:ext>
              </c:extLst>
            </c:dLbl>
            <c:dLbl>
              <c:idx val="27"/>
              <c:layout>
                <c:manualLayout>
                  <c:x val="-1.2665515256189001E-2"/>
                  <c:y val="-2.357984994640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F5-4D2F-A5DF-B932565B6951}"/>
                </c:ext>
              </c:extLst>
            </c:dLbl>
            <c:dLbl>
              <c:idx val="28"/>
              <c:layout>
                <c:manualLayout>
                  <c:x val="-1.7271157167530225E-2"/>
                  <c:y val="1.92926045016076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BA-47A5-8589-02ACBC9EDFDF}"/>
                </c:ext>
              </c:extLst>
            </c:dLbl>
            <c:dLbl>
              <c:idx val="29"/>
              <c:layout>
                <c:manualLayout>
                  <c:x val="-2.9936672423719224E-2"/>
                  <c:y val="-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BA-47A5-8589-02ACBC9EDFDF}"/>
                </c:ext>
              </c:extLst>
            </c:dLbl>
            <c:dLbl>
              <c:idx val="30"/>
              <c:layout>
                <c:manualLayout>
                  <c:x val="-2.6482440990213012E-2"/>
                  <c:y val="-2.7867095391211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B-482C-ACBB-B69688703AA6}"/>
                </c:ext>
              </c:extLst>
            </c:dLbl>
            <c:dLbl>
              <c:idx val="31"/>
              <c:layout>
                <c:manualLayout>
                  <c:x val="-1.6119746689695045E-2"/>
                  <c:y val="-1.50053590568060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6B-482C-ACBB-B69688703AA6}"/>
                </c:ext>
              </c:extLst>
            </c:dLbl>
            <c:dLbl>
              <c:idx val="32"/>
              <c:layout>
                <c:manualLayout>
                  <c:x val="-4.4905008635578586E-2"/>
                  <c:y val="1.929260450160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B-482C-ACBB-B69688703A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 EMAG'!$A$2:$A$35</c:f>
              <c:numCache>
                <c:formatCode>General</c:formatCode>
                <c:ptCount val="3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xVal>
          <c:yVal>
            <c:numRef>
              <c:f>'Evolution quantité EMAG'!$C$2:$C$38</c:f>
              <c:numCache>
                <c:formatCode>General</c:formatCode>
                <c:ptCount val="37"/>
                <c:pt idx="0">
                  <c:v>17508</c:v>
                </c:pt>
                <c:pt idx="1">
                  <c:v>20754</c:v>
                </c:pt>
                <c:pt idx="2">
                  <c:v>19592</c:v>
                </c:pt>
                <c:pt idx="3">
                  <c:v>18583</c:v>
                </c:pt>
                <c:pt idx="4">
                  <c:v>19916</c:v>
                </c:pt>
                <c:pt idx="5">
                  <c:v>21937</c:v>
                </c:pt>
                <c:pt idx="6">
                  <c:v>22555</c:v>
                </c:pt>
                <c:pt idx="7">
                  <c:v>20488</c:v>
                </c:pt>
                <c:pt idx="8">
                  <c:v>11429</c:v>
                </c:pt>
                <c:pt idx="9">
                  <c:v>19842</c:v>
                </c:pt>
                <c:pt idx="10">
                  <c:v>15913</c:v>
                </c:pt>
                <c:pt idx="11">
                  <c:v>16991</c:v>
                </c:pt>
                <c:pt idx="12">
                  <c:v>13017</c:v>
                </c:pt>
                <c:pt idx="13">
                  <c:v>13188</c:v>
                </c:pt>
                <c:pt idx="14">
                  <c:v>16762</c:v>
                </c:pt>
                <c:pt idx="15">
                  <c:v>15965</c:v>
                </c:pt>
                <c:pt idx="16">
                  <c:v>9771</c:v>
                </c:pt>
                <c:pt idx="17">
                  <c:v>10802</c:v>
                </c:pt>
                <c:pt idx="18">
                  <c:v>10178</c:v>
                </c:pt>
                <c:pt idx="19">
                  <c:v>10141</c:v>
                </c:pt>
                <c:pt idx="20">
                  <c:v>14064</c:v>
                </c:pt>
                <c:pt idx="21">
                  <c:v>14979</c:v>
                </c:pt>
                <c:pt idx="22">
                  <c:v>15987</c:v>
                </c:pt>
                <c:pt idx="23">
                  <c:v>12958</c:v>
                </c:pt>
                <c:pt idx="24">
                  <c:v>8577</c:v>
                </c:pt>
                <c:pt idx="25">
                  <c:v>14406</c:v>
                </c:pt>
                <c:pt idx="26">
                  <c:v>12763</c:v>
                </c:pt>
                <c:pt idx="27">
                  <c:v>12171</c:v>
                </c:pt>
                <c:pt idx="28">
                  <c:v>14142</c:v>
                </c:pt>
                <c:pt idx="29">
                  <c:v>12482</c:v>
                </c:pt>
                <c:pt idx="30">
                  <c:v>14652</c:v>
                </c:pt>
                <c:pt idx="31">
                  <c:v>16543</c:v>
                </c:pt>
                <c:pt idx="32">
                  <c:v>17737</c:v>
                </c:pt>
                <c:pt idx="33">
                  <c:v>15685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01-4989-ADB3-DF627C615D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  <c:min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de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E1 304x28 RPE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'Evolution coût pièce EMAG'!$B$1</c:f>
              <c:strCache>
                <c:ptCount val="1"/>
                <c:pt idx="0">
                  <c:v>E1 304x28 RPE</c:v>
                </c:pt>
              </c:strCache>
            </c:strRef>
          </c:tx>
          <c:dLbls>
            <c:dLbl>
              <c:idx val="0"/>
              <c:layout>
                <c:manualLayout>
                  <c:x val="1.2427925859385162E-3"/>
                  <c:y val="-6.00070122500026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4A-407A-8FE1-E08556C233C2}"/>
                </c:ext>
              </c:extLst>
            </c:dLbl>
            <c:dLbl>
              <c:idx val="1"/>
              <c:layout>
                <c:manualLayout>
                  <c:x val="-2.7166634230706914E-2"/>
                  <c:y val="-4.611812032329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AC-4B12-9C7B-DC276212AFB7}"/>
                </c:ext>
              </c:extLst>
            </c:dLbl>
            <c:dLbl>
              <c:idx val="21"/>
              <c:layout>
                <c:manualLayout>
                  <c:x val="-8.2970865477689018E-2"/>
                  <c:y val="-1.9729225662560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5D-43D6-91BB-809F8F921F61}"/>
                </c:ext>
              </c:extLst>
            </c:dLbl>
            <c:dLbl>
              <c:idx val="22"/>
              <c:layout>
                <c:manualLayout>
                  <c:x val="-4.3675579045794784E-2"/>
                  <c:y val="-5.30625662866505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5D-43D6-91BB-809F8F921F6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EMAG'!$A$2:$A$100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EMAG'!$B$2:$B$100</c:f>
              <c:numCache>
                <c:formatCode>General</c:formatCode>
                <c:ptCount val="99"/>
                <c:pt idx="1">
                  <c:v>0</c:v>
                </c:pt>
                <c:pt idx="2">
                  <c:v>0.25</c:v>
                </c:pt>
                <c:pt idx="3">
                  <c:v>0</c:v>
                </c:pt>
                <c:pt idx="4">
                  <c:v>0.27700000000000002</c:v>
                </c:pt>
                <c:pt idx="9">
                  <c:v>0</c:v>
                </c:pt>
                <c:pt idx="10">
                  <c:v>0.34200000000000003</c:v>
                </c:pt>
                <c:pt idx="11">
                  <c:v>0.25600000000000001</c:v>
                </c:pt>
                <c:pt idx="12">
                  <c:v>0</c:v>
                </c:pt>
                <c:pt idx="13">
                  <c:v>0.32200000000000001</c:v>
                </c:pt>
                <c:pt idx="14">
                  <c:v>0.27600000000000002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F3-4A45-A1E9-6AEA2A49A20D}"/>
            </c:ext>
          </c:extLst>
        </c:ser>
        <c:ser>
          <c:idx val="3"/>
          <c:order val="1"/>
          <c:tx>
            <c:strRef>
              <c:f>'Evolution coût pièce EMAG'!$C$1</c:f>
              <c:strCache>
                <c:ptCount val="1"/>
                <c:pt idx="0">
                  <c:v>Cible</c:v>
                </c:pt>
              </c:strCache>
            </c:strRef>
          </c:tx>
          <c:dLbls>
            <c:delete val="1"/>
          </c:dLbls>
          <c:xVal>
            <c:numRef>
              <c:f>'Evolution coût pièce EMAG'!$A$2:$A$100</c:f>
              <c:numCache>
                <c:formatCode>General</c:formatCode>
                <c:ptCount val="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EMAG'!$C$2:$C$100</c:f>
              <c:numCache>
                <c:formatCode>General</c:formatCode>
                <c:ptCount val="99"/>
                <c:pt idx="0">
                  <c:v>0.21199999999999999</c:v>
                </c:pt>
                <c:pt idx="1">
                  <c:v>0.21199999999999999</c:v>
                </c:pt>
                <c:pt idx="2">
                  <c:v>0.21199999999999999</c:v>
                </c:pt>
                <c:pt idx="3">
                  <c:v>0.21199999999999999</c:v>
                </c:pt>
                <c:pt idx="4">
                  <c:v>0.21199999999999999</c:v>
                </c:pt>
                <c:pt idx="5">
                  <c:v>0.21199999999999999</c:v>
                </c:pt>
                <c:pt idx="6">
                  <c:v>0.21199999999999999</c:v>
                </c:pt>
                <c:pt idx="7">
                  <c:v>0.21199999999999999</c:v>
                </c:pt>
                <c:pt idx="8">
                  <c:v>0.21199999999999999</c:v>
                </c:pt>
                <c:pt idx="9">
                  <c:v>0.21199999999999999</c:v>
                </c:pt>
                <c:pt idx="10">
                  <c:v>0.21199999999999999</c:v>
                </c:pt>
                <c:pt idx="11">
                  <c:v>0.21199999999999999</c:v>
                </c:pt>
                <c:pt idx="12">
                  <c:v>0.21199999999999999</c:v>
                </c:pt>
                <c:pt idx="13">
                  <c:v>0.21199999999999999</c:v>
                </c:pt>
                <c:pt idx="14">
                  <c:v>0.21199999999999999</c:v>
                </c:pt>
                <c:pt idx="15">
                  <c:v>0.21199999999999999</c:v>
                </c:pt>
                <c:pt idx="16">
                  <c:v>0.21199999999999999</c:v>
                </c:pt>
                <c:pt idx="17">
                  <c:v>0.21199999999999999</c:v>
                </c:pt>
                <c:pt idx="18">
                  <c:v>0.21199999999999999</c:v>
                </c:pt>
                <c:pt idx="19">
                  <c:v>0.21199999999999999</c:v>
                </c:pt>
                <c:pt idx="20">
                  <c:v>0.21199999999999999</c:v>
                </c:pt>
                <c:pt idx="21">
                  <c:v>0.21199999999999999</c:v>
                </c:pt>
                <c:pt idx="22">
                  <c:v>0.21199999999999999</c:v>
                </c:pt>
                <c:pt idx="23">
                  <c:v>0.21199999999999999</c:v>
                </c:pt>
                <c:pt idx="24">
                  <c:v>0.21199999999999999</c:v>
                </c:pt>
                <c:pt idx="25">
                  <c:v>0.21199999999999999</c:v>
                </c:pt>
                <c:pt idx="26">
                  <c:v>0.21199999999999999</c:v>
                </c:pt>
                <c:pt idx="27">
                  <c:v>0.21199999999999999</c:v>
                </c:pt>
                <c:pt idx="28">
                  <c:v>0.21199999999999999</c:v>
                </c:pt>
                <c:pt idx="29">
                  <c:v>0.21199999999999999</c:v>
                </c:pt>
                <c:pt idx="30">
                  <c:v>0.21199999999999999</c:v>
                </c:pt>
                <c:pt idx="31">
                  <c:v>0.21199999999999999</c:v>
                </c:pt>
                <c:pt idx="32">
                  <c:v>0.21199999999999999</c:v>
                </c:pt>
                <c:pt idx="33">
                  <c:v>0.21199999999999999</c:v>
                </c:pt>
                <c:pt idx="34">
                  <c:v>0.21199999999999999</c:v>
                </c:pt>
                <c:pt idx="35">
                  <c:v>0.21199999999999999</c:v>
                </c:pt>
                <c:pt idx="36">
                  <c:v>0.21199999999999999</c:v>
                </c:pt>
                <c:pt idx="37">
                  <c:v>0.21199999999999999</c:v>
                </c:pt>
                <c:pt idx="38">
                  <c:v>0.21199999999999999</c:v>
                </c:pt>
                <c:pt idx="39">
                  <c:v>0.21199999999999999</c:v>
                </c:pt>
                <c:pt idx="40">
                  <c:v>0.21199999999999999</c:v>
                </c:pt>
                <c:pt idx="41">
                  <c:v>0.21199999999999999</c:v>
                </c:pt>
                <c:pt idx="42">
                  <c:v>0.21199999999999999</c:v>
                </c:pt>
                <c:pt idx="43">
                  <c:v>0.21199999999999999</c:v>
                </c:pt>
                <c:pt idx="44">
                  <c:v>0.21199999999999999</c:v>
                </c:pt>
                <c:pt idx="45">
                  <c:v>0.21199999999999999</c:v>
                </c:pt>
                <c:pt idx="46">
                  <c:v>0.21199999999999999</c:v>
                </c:pt>
                <c:pt idx="47">
                  <c:v>0.21199999999999999</c:v>
                </c:pt>
                <c:pt idx="48">
                  <c:v>0.21199999999999999</c:v>
                </c:pt>
                <c:pt idx="49">
                  <c:v>0.21199999999999999</c:v>
                </c:pt>
                <c:pt idx="50">
                  <c:v>0.21199999999999999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F3-4A45-A1E9-6AEA2A49A2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E2 330x14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'Evolution coût pièce EMAG'!$F$1</c:f>
              <c:strCache>
                <c:ptCount val="1"/>
                <c:pt idx="0">
                  <c:v>E2 330x14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EMAG'!$A$2:$A$93</c:f>
              <c:numCache>
                <c:formatCode>General</c:formatCode>
                <c:ptCount val="9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EMAG'!$F$2:$F$93</c:f>
              <c:numCache>
                <c:formatCode>General</c:formatCode>
                <c:ptCount val="92"/>
                <c:pt idx="1">
                  <c:v>0.51300000000000001</c:v>
                </c:pt>
                <c:pt idx="2">
                  <c:v>0.60799999999999998</c:v>
                </c:pt>
                <c:pt idx="3">
                  <c:v>0.69</c:v>
                </c:pt>
                <c:pt idx="6">
                  <c:v>0.68200000000000005</c:v>
                </c:pt>
                <c:pt idx="7">
                  <c:v>0.873</c:v>
                </c:pt>
                <c:pt idx="8">
                  <c:v>7.6769999999999996</c:v>
                </c:pt>
                <c:pt idx="12">
                  <c:v>0.80500000000000005</c:v>
                </c:pt>
                <c:pt idx="13">
                  <c:v>0.82599999999999996</c:v>
                </c:pt>
                <c:pt idx="14">
                  <c:v>0.755</c:v>
                </c:pt>
                <c:pt idx="15">
                  <c:v>0.65400000000000003</c:v>
                </c:pt>
                <c:pt idx="16">
                  <c:v>0.57999999999999996</c:v>
                </c:pt>
                <c:pt idx="20">
                  <c:v>0.47099999999999997</c:v>
                </c:pt>
                <c:pt idx="21">
                  <c:v>5.8029999999999999</c:v>
                </c:pt>
                <c:pt idx="22">
                  <c:v>0.82499999999999996</c:v>
                </c:pt>
                <c:pt idx="23">
                  <c:v>1.117</c:v>
                </c:pt>
                <c:pt idx="24">
                  <c:v>0.84899999999999998</c:v>
                </c:pt>
                <c:pt idx="25">
                  <c:v>0.77600000000000002</c:v>
                </c:pt>
                <c:pt idx="26">
                  <c:v>2.2909999999999999</c:v>
                </c:pt>
                <c:pt idx="27">
                  <c:v>0.84899999999999998</c:v>
                </c:pt>
                <c:pt idx="28">
                  <c:v>1.232</c:v>
                </c:pt>
                <c:pt idx="29">
                  <c:v>0.76100000000000001</c:v>
                </c:pt>
                <c:pt idx="30">
                  <c:v>0.72699999999999998</c:v>
                </c:pt>
                <c:pt idx="31">
                  <c:v>0.438</c:v>
                </c:pt>
                <c:pt idx="32">
                  <c:v>0.76600000000000001</c:v>
                </c:pt>
                <c:pt idx="33">
                  <c:v>0.95299999999999996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EA-460F-BDB3-75EFDE74AC41}"/>
            </c:ext>
          </c:extLst>
        </c:ser>
        <c:ser>
          <c:idx val="3"/>
          <c:order val="1"/>
          <c:tx>
            <c:strRef>
              <c:f>'Evolution coût pièce EMAG'!$G$1</c:f>
              <c:strCache>
                <c:ptCount val="1"/>
                <c:pt idx="0">
                  <c:v>Cible</c:v>
                </c:pt>
              </c:strCache>
            </c:strRef>
          </c:tx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C2-4491-8225-B463F757249F}"/>
                </c:ext>
              </c:extLst>
            </c:dLbl>
            <c:dLbl>
              <c:idx val="7"/>
              <c:layout>
                <c:manualLayout>
                  <c:x val="-6.1663795365204936E-2"/>
                  <c:y val="4.5548566392949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C2-4491-8225-B463F757249F}"/>
                </c:ext>
              </c:extLst>
            </c:dLbl>
            <c:dLbl>
              <c:idx val="16"/>
              <c:layout>
                <c:manualLayout>
                  <c:x val="-2.0642532395215074E-2"/>
                  <c:y val="6.77707934756766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1-44A6-BCD3-C8249B752EF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EMAG'!$A$2:$A$93</c:f>
              <c:numCache>
                <c:formatCode>General</c:formatCode>
                <c:ptCount val="9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EMAG'!$G$2:$G$93</c:f>
              <c:numCache>
                <c:formatCode>General</c:formatCode>
                <c:ptCount val="92"/>
                <c:pt idx="0">
                  <c:v>0.38400000000000001</c:v>
                </c:pt>
                <c:pt idx="1">
                  <c:v>0.38400000000000001</c:v>
                </c:pt>
                <c:pt idx="2">
                  <c:v>0.38400000000000001</c:v>
                </c:pt>
                <c:pt idx="3">
                  <c:v>0.38400000000000001</c:v>
                </c:pt>
                <c:pt idx="4">
                  <c:v>0.38400000000000001</c:v>
                </c:pt>
                <c:pt idx="5">
                  <c:v>0.38400000000000001</c:v>
                </c:pt>
                <c:pt idx="6">
                  <c:v>0.38400000000000001</c:v>
                </c:pt>
                <c:pt idx="7">
                  <c:v>0.38400000000000001</c:v>
                </c:pt>
                <c:pt idx="8">
                  <c:v>0.38400000000000001</c:v>
                </c:pt>
                <c:pt idx="9">
                  <c:v>0.38400000000000001</c:v>
                </c:pt>
                <c:pt idx="10">
                  <c:v>0.38400000000000001</c:v>
                </c:pt>
                <c:pt idx="11">
                  <c:v>0.38400000000000001</c:v>
                </c:pt>
                <c:pt idx="12">
                  <c:v>0.38400000000000001</c:v>
                </c:pt>
                <c:pt idx="13">
                  <c:v>0.38400000000000001</c:v>
                </c:pt>
                <c:pt idx="14">
                  <c:v>0.38400000000000001</c:v>
                </c:pt>
                <c:pt idx="15">
                  <c:v>0.38400000000000001</c:v>
                </c:pt>
                <c:pt idx="16">
                  <c:v>0.38400000000000001</c:v>
                </c:pt>
                <c:pt idx="17">
                  <c:v>0.38400000000000001</c:v>
                </c:pt>
                <c:pt idx="18">
                  <c:v>0.38400000000000001</c:v>
                </c:pt>
                <c:pt idx="19">
                  <c:v>0.38400000000000001</c:v>
                </c:pt>
                <c:pt idx="20">
                  <c:v>0.38400000000000001</c:v>
                </c:pt>
                <c:pt idx="21">
                  <c:v>0.38400000000000001</c:v>
                </c:pt>
                <c:pt idx="22">
                  <c:v>0.38400000000000001</c:v>
                </c:pt>
                <c:pt idx="23">
                  <c:v>0.38400000000000001</c:v>
                </c:pt>
                <c:pt idx="24">
                  <c:v>0.38400000000000001</c:v>
                </c:pt>
                <c:pt idx="25">
                  <c:v>0.38400000000000001</c:v>
                </c:pt>
                <c:pt idx="26">
                  <c:v>0.38400000000000001</c:v>
                </c:pt>
                <c:pt idx="27">
                  <c:v>0.38400000000000001</c:v>
                </c:pt>
                <c:pt idx="28">
                  <c:v>0.38400000000000001</c:v>
                </c:pt>
                <c:pt idx="29">
                  <c:v>0.38400000000000001</c:v>
                </c:pt>
                <c:pt idx="30">
                  <c:v>0.38400000000000001</c:v>
                </c:pt>
                <c:pt idx="31">
                  <c:v>0.38400000000000001</c:v>
                </c:pt>
                <c:pt idx="32">
                  <c:v>0.38400000000000001</c:v>
                </c:pt>
                <c:pt idx="33">
                  <c:v>0.38400000000000001</c:v>
                </c:pt>
                <c:pt idx="34">
                  <c:v>0.38400000000000001</c:v>
                </c:pt>
                <c:pt idx="35">
                  <c:v>0.38400000000000001</c:v>
                </c:pt>
                <c:pt idx="36">
                  <c:v>0.38400000000000001</c:v>
                </c:pt>
                <c:pt idx="37">
                  <c:v>0.38400000000000001</c:v>
                </c:pt>
                <c:pt idx="38">
                  <c:v>0.38400000000000001</c:v>
                </c:pt>
                <c:pt idx="39">
                  <c:v>0.38400000000000001</c:v>
                </c:pt>
                <c:pt idx="40">
                  <c:v>0.38400000000000001</c:v>
                </c:pt>
                <c:pt idx="41">
                  <c:v>0.38400000000000001</c:v>
                </c:pt>
                <c:pt idx="42">
                  <c:v>0.38400000000000001</c:v>
                </c:pt>
                <c:pt idx="43">
                  <c:v>0.38400000000000001</c:v>
                </c:pt>
                <c:pt idx="44">
                  <c:v>0.38400000000000001</c:v>
                </c:pt>
                <c:pt idx="45">
                  <c:v>0.38400000000000001</c:v>
                </c:pt>
                <c:pt idx="46">
                  <c:v>0.38400000000000001</c:v>
                </c:pt>
                <c:pt idx="47">
                  <c:v>0.38400000000000001</c:v>
                </c:pt>
                <c:pt idx="48">
                  <c:v>0.38400000000000001</c:v>
                </c:pt>
                <c:pt idx="49">
                  <c:v>0.38400000000000001</c:v>
                </c:pt>
                <c:pt idx="50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EA-460F-BDB3-75EFDE74A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E3 290x12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EMAG'!$L$1</c:f>
              <c:strCache>
                <c:ptCount val="1"/>
                <c:pt idx="0">
                  <c:v>E3 290x12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EMAG'!$A$2:$A$103</c:f>
              <c:numCache>
                <c:formatCode>General</c:formatCode>
                <c:ptCount val="10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EMAG'!$L$2:$L$103</c:f>
              <c:numCache>
                <c:formatCode>General</c:formatCode>
                <c:ptCount val="102"/>
                <c:pt idx="2">
                  <c:v>0.192</c:v>
                </c:pt>
                <c:pt idx="3">
                  <c:v>0.224</c:v>
                </c:pt>
                <c:pt idx="26">
                  <c:v>4.5949999999999998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A7-49C3-9F76-4BC0E8A5AB52}"/>
            </c:ext>
          </c:extLst>
        </c:ser>
        <c:ser>
          <c:idx val="2"/>
          <c:order val="1"/>
          <c:tx>
            <c:strRef>
              <c:f>'Evolution coût pièce EMAG'!$M$1</c:f>
              <c:strCache>
                <c:ptCount val="1"/>
                <c:pt idx="0">
                  <c:v>Cible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7E-43F9-AE89-661F114336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EMAG'!$A$2:$A$103</c:f>
              <c:numCache>
                <c:formatCode>General</c:formatCode>
                <c:ptCount val="10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EMAG'!$M$2:$M$103</c:f>
              <c:numCache>
                <c:formatCode>General</c:formatCode>
                <c:ptCount val="102"/>
                <c:pt idx="0">
                  <c:v>0.23499999999999999</c:v>
                </c:pt>
                <c:pt idx="1">
                  <c:v>0.23499999999999999</c:v>
                </c:pt>
                <c:pt idx="2">
                  <c:v>0.23499999999999999</c:v>
                </c:pt>
                <c:pt idx="3">
                  <c:v>0.23499999999999999</c:v>
                </c:pt>
                <c:pt idx="4">
                  <c:v>0.23499999999999999</c:v>
                </c:pt>
                <c:pt idx="5">
                  <c:v>0.23499999999999999</c:v>
                </c:pt>
                <c:pt idx="6">
                  <c:v>0.23499999999999999</c:v>
                </c:pt>
                <c:pt idx="7">
                  <c:v>0.23499999999999999</c:v>
                </c:pt>
                <c:pt idx="8">
                  <c:v>0.23499999999999999</c:v>
                </c:pt>
                <c:pt idx="9">
                  <c:v>0.23499999999999999</c:v>
                </c:pt>
                <c:pt idx="10">
                  <c:v>0.23499999999999999</c:v>
                </c:pt>
                <c:pt idx="11">
                  <c:v>0.23499999999999999</c:v>
                </c:pt>
                <c:pt idx="12">
                  <c:v>0.23499999999999999</c:v>
                </c:pt>
                <c:pt idx="13">
                  <c:v>0.23499999999999999</c:v>
                </c:pt>
                <c:pt idx="14">
                  <c:v>0.23499999999999999</c:v>
                </c:pt>
                <c:pt idx="15">
                  <c:v>0.23499999999999999</c:v>
                </c:pt>
                <c:pt idx="16">
                  <c:v>0.23499999999999999</c:v>
                </c:pt>
                <c:pt idx="17">
                  <c:v>0.23499999999999999</c:v>
                </c:pt>
                <c:pt idx="18">
                  <c:v>0.23499999999999999</c:v>
                </c:pt>
                <c:pt idx="19">
                  <c:v>0.23499999999999999</c:v>
                </c:pt>
                <c:pt idx="20">
                  <c:v>0.23499999999999999</c:v>
                </c:pt>
                <c:pt idx="21">
                  <c:v>0.23499999999999999</c:v>
                </c:pt>
                <c:pt idx="22">
                  <c:v>0.23499999999999999</c:v>
                </c:pt>
                <c:pt idx="23">
                  <c:v>0.23499999999999999</c:v>
                </c:pt>
                <c:pt idx="24">
                  <c:v>0.23499999999999999</c:v>
                </c:pt>
                <c:pt idx="25">
                  <c:v>0.23499999999999999</c:v>
                </c:pt>
                <c:pt idx="26">
                  <c:v>0.23499999999999999</c:v>
                </c:pt>
                <c:pt idx="27">
                  <c:v>0.23499999999999999</c:v>
                </c:pt>
                <c:pt idx="28">
                  <c:v>0.23499999999999999</c:v>
                </c:pt>
                <c:pt idx="29">
                  <c:v>0.23499999999999999</c:v>
                </c:pt>
                <c:pt idx="30">
                  <c:v>0.23499999999999999</c:v>
                </c:pt>
                <c:pt idx="31">
                  <c:v>0.23499999999999999</c:v>
                </c:pt>
                <c:pt idx="32">
                  <c:v>0.23499999999999999</c:v>
                </c:pt>
                <c:pt idx="33">
                  <c:v>0.23499999999999999</c:v>
                </c:pt>
                <c:pt idx="34">
                  <c:v>0.23499999999999999</c:v>
                </c:pt>
                <c:pt idx="35">
                  <c:v>0.23499999999999999</c:v>
                </c:pt>
                <c:pt idx="36">
                  <c:v>0.23499999999999999</c:v>
                </c:pt>
                <c:pt idx="37">
                  <c:v>0.23499999999999999</c:v>
                </c:pt>
                <c:pt idx="38">
                  <c:v>0.23499999999999999</c:v>
                </c:pt>
                <c:pt idx="39">
                  <c:v>0.23499999999999999</c:v>
                </c:pt>
                <c:pt idx="40">
                  <c:v>0.23499999999999999</c:v>
                </c:pt>
                <c:pt idx="41">
                  <c:v>0.23499999999999999</c:v>
                </c:pt>
                <c:pt idx="42">
                  <c:v>0.23499999999999999</c:v>
                </c:pt>
                <c:pt idx="43">
                  <c:v>0.23499999999999999</c:v>
                </c:pt>
                <c:pt idx="44">
                  <c:v>0.23499999999999999</c:v>
                </c:pt>
                <c:pt idx="45">
                  <c:v>0.23499999999999999</c:v>
                </c:pt>
                <c:pt idx="46">
                  <c:v>0.23499999999999999</c:v>
                </c:pt>
                <c:pt idx="47">
                  <c:v>0.23499999999999999</c:v>
                </c:pt>
                <c:pt idx="48">
                  <c:v>0.23499999999999999</c:v>
                </c:pt>
                <c:pt idx="49">
                  <c:v>0.23499999999999999</c:v>
                </c:pt>
                <c:pt idx="50">
                  <c:v>0.23499999999999999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A7-49C3-9F76-4BC0E8A5A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E1 356x26 RPI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'Evolution coût pièce EMAG'!$D$1</c:f>
              <c:strCache>
                <c:ptCount val="1"/>
                <c:pt idx="0">
                  <c:v>E1 356x26 RPI</c:v>
                </c:pt>
              </c:strCache>
            </c:strRef>
          </c:tx>
          <c:marker>
            <c:symbol val="circle"/>
            <c:size val="6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EMAG'!$A$2:$A$107</c:f>
              <c:numCache>
                <c:formatCode>General</c:formatCode>
                <c:ptCount val="10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EMAG'!$D$2:$D$107</c:f>
              <c:numCache>
                <c:formatCode>General</c:formatCode>
                <c:ptCount val="106"/>
                <c:pt idx="0">
                  <c:v>0.30199999999999999</c:v>
                </c:pt>
                <c:pt idx="1">
                  <c:v>0.46300000000000002</c:v>
                </c:pt>
                <c:pt idx="2">
                  <c:v>0.66800000000000004</c:v>
                </c:pt>
                <c:pt idx="3">
                  <c:v>0.78400000000000003</c:v>
                </c:pt>
                <c:pt idx="4">
                  <c:v>0.60599999999999998</c:v>
                </c:pt>
                <c:pt idx="5">
                  <c:v>0.38900000000000001</c:v>
                </c:pt>
                <c:pt idx="6">
                  <c:v>0.49299999999999999</c:v>
                </c:pt>
                <c:pt idx="7">
                  <c:v>0.54300000000000004</c:v>
                </c:pt>
                <c:pt idx="8">
                  <c:v>0.60199999999999998</c:v>
                </c:pt>
                <c:pt idx="9">
                  <c:v>0.47799999999999998</c:v>
                </c:pt>
                <c:pt idx="10">
                  <c:v>1.113</c:v>
                </c:pt>
                <c:pt idx="12">
                  <c:v>0.68100000000000005</c:v>
                </c:pt>
                <c:pt idx="13">
                  <c:v>1.8620000000000001</c:v>
                </c:pt>
                <c:pt idx="14">
                  <c:v>0.7</c:v>
                </c:pt>
                <c:pt idx="15">
                  <c:v>0.67300000000000004</c:v>
                </c:pt>
                <c:pt idx="16">
                  <c:v>0.92800000000000005</c:v>
                </c:pt>
                <c:pt idx="17">
                  <c:v>0.82499999999999996</c:v>
                </c:pt>
                <c:pt idx="18">
                  <c:v>0.76300000000000001</c:v>
                </c:pt>
                <c:pt idx="19">
                  <c:v>0.48299999999999998</c:v>
                </c:pt>
                <c:pt idx="20">
                  <c:v>0.51700000000000002</c:v>
                </c:pt>
                <c:pt idx="21">
                  <c:v>0.57499999999999996</c:v>
                </c:pt>
                <c:pt idx="22">
                  <c:v>1.0129999999999999</c:v>
                </c:pt>
                <c:pt idx="23">
                  <c:v>0.66100000000000003</c:v>
                </c:pt>
                <c:pt idx="24">
                  <c:v>0.76200000000000001</c:v>
                </c:pt>
                <c:pt idx="25">
                  <c:v>0.54</c:v>
                </c:pt>
                <c:pt idx="26">
                  <c:v>0.65200000000000002</c:v>
                </c:pt>
                <c:pt idx="27">
                  <c:v>0.36199999999999999</c:v>
                </c:pt>
                <c:pt idx="28">
                  <c:v>0.48699999999999999</c:v>
                </c:pt>
                <c:pt idx="29">
                  <c:v>0.66100000000000003</c:v>
                </c:pt>
                <c:pt idx="30">
                  <c:v>0.58899999999999997</c:v>
                </c:pt>
                <c:pt idx="31">
                  <c:v>0.69599999999999995</c:v>
                </c:pt>
                <c:pt idx="32">
                  <c:v>0.53300000000000003</c:v>
                </c:pt>
                <c:pt idx="33">
                  <c:v>0.58899999999999997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4-44EA-A94F-837F9DF144E5}"/>
            </c:ext>
          </c:extLst>
        </c:ser>
        <c:ser>
          <c:idx val="3"/>
          <c:order val="1"/>
          <c:tx>
            <c:strRef>
              <c:f>'Evolution coût pièce EMAG'!$E$1</c:f>
              <c:strCache>
                <c:ptCount val="1"/>
                <c:pt idx="0">
                  <c:v>Cible</c:v>
                </c:pt>
              </c:strCache>
            </c:strRef>
          </c:tx>
          <c:xVal>
            <c:numRef>
              <c:f>'Evolution coût pièce EMAG'!$A$2:$A$107</c:f>
              <c:numCache>
                <c:formatCode>General</c:formatCode>
                <c:ptCount val="10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EMAG'!$E$2:$E$107</c:f>
              <c:numCache>
                <c:formatCode>General</c:formatCode>
                <c:ptCount val="106"/>
                <c:pt idx="0">
                  <c:v>0.57499999999999996</c:v>
                </c:pt>
                <c:pt idx="1">
                  <c:v>0.57499999999999996</c:v>
                </c:pt>
                <c:pt idx="2">
                  <c:v>0.57499999999999996</c:v>
                </c:pt>
                <c:pt idx="3">
                  <c:v>0.57499999999999996</c:v>
                </c:pt>
                <c:pt idx="4">
                  <c:v>0.57499999999999996</c:v>
                </c:pt>
                <c:pt idx="5">
                  <c:v>0.57499999999999996</c:v>
                </c:pt>
                <c:pt idx="6">
                  <c:v>0.57499999999999996</c:v>
                </c:pt>
                <c:pt idx="7">
                  <c:v>0.57499999999999996</c:v>
                </c:pt>
                <c:pt idx="8">
                  <c:v>0.57499999999999996</c:v>
                </c:pt>
                <c:pt idx="9">
                  <c:v>0.57499999999999996</c:v>
                </c:pt>
                <c:pt idx="10">
                  <c:v>0.57499999999999996</c:v>
                </c:pt>
                <c:pt idx="11">
                  <c:v>0.57499999999999996</c:v>
                </c:pt>
                <c:pt idx="12">
                  <c:v>0.57499999999999996</c:v>
                </c:pt>
                <c:pt idx="13">
                  <c:v>0.57499999999999996</c:v>
                </c:pt>
                <c:pt idx="14">
                  <c:v>0.57499999999999996</c:v>
                </c:pt>
                <c:pt idx="15">
                  <c:v>0.57499999999999996</c:v>
                </c:pt>
                <c:pt idx="16">
                  <c:v>0.57499999999999996</c:v>
                </c:pt>
                <c:pt idx="17">
                  <c:v>0.57499999999999996</c:v>
                </c:pt>
                <c:pt idx="18">
                  <c:v>0.57499999999999996</c:v>
                </c:pt>
                <c:pt idx="19">
                  <c:v>0.57499999999999996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0.57499999999999996</c:v>
                </c:pt>
                <c:pt idx="24">
                  <c:v>0.57499999999999996</c:v>
                </c:pt>
                <c:pt idx="25">
                  <c:v>0.57499999999999996</c:v>
                </c:pt>
                <c:pt idx="26">
                  <c:v>0.57499999999999996</c:v>
                </c:pt>
                <c:pt idx="27">
                  <c:v>0.57499999999999996</c:v>
                </c:pt>
                <c:pt idx="28">
                  <c:v>0.57499999999999996</c:v>
                </c:pt>
                <c:pt idx="29">
                  <c:v>0.57499999999999996</c:v>
                </c:pt>
                <c:pt idx="30">
                  <c:v>0.57499999999999996</c:v>
                </c:pt>
                <c:pt idx="31">
                  <c:v>0.57499999999999996</c:v>
                </c:pt>
                <c:pt idx="32">
                  <c:v>0.57499999999999996</c:v>
                </c:pt>
                <c:pt idx="33">
                  <c:v>0.57499999999999996</c:v>
                </c:pt>
                <c:pt idx="34">
                  <c:v>0.57499999999999996</c:v>
                </c:pt>
                <c:pt idx="35">
                  <c:v>0.57499999999999996</c:v>
                </c:pt>
                <c:pt idx="36">
                  <c:v>0.57499999999999996</c:v>
                </c:pt>
                <c:pt idx="37">
                  <c:v>0.57499999999999996</c:v>
                </c:pt>
                <c:pt idx="38">
                  <c:v>0.57499999999999996</c:v>
                </c:pt>
                <c:pt idx="39">
                  <c:v>0.57499999999999996</c:v>
                </c:pt>
                <c:pt idx="40">
                  <c:v>0.57499999999999996</c:v>
                </c:pt>
                <c:pt idx="41">
                  <c:v>0.57499999999999996</c:v>
                </c:pt>
                <c:pt idx="42">
                  <c:v>0.57499999999999996</c:v>
                </c:pt>
                <c:pt idx="43">
                  <c:v>0.57499999999999996</c:v>
                </c:pt>
                <c:pt idx="44">
                  <c:v>0.57499999999999996</c:v>
                </c:pt>
                <c:pt idx="45">
                  <c:v>0.57499999999999996</c:v>
                </c:pt>
                <c:pt idx="46">
                  <c:v>0.57499999999999996</c:v>
                </c:pt>
                <c:pt idx="47">
                  <c:v>0.57499999999999996</c:v>
                </c:pt>
                <c:pt idx="48">
                  <c:v>0.57499999999999996</c:v>
                </c:pt>
                <c:pt idx="49">
                  <c:v>0.57499999999999996</c:v>
                </c:pt>
                <c:pt idx="50">
                  <c:v>0.57499999999999996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F4-44EA-A94F-837F9DF14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E3 302x26 RPI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EMAG'!$N$1</c:f>
              <c:strCache>
                <c:ptCount val="1"/>
                <c:pt idx="0">
                  <c:v>E3 302x26 RPI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plus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EMAG'!$A$2:$A$146</c:f>
              <c:numCache>
                <c:formatCode>General</c:formatCode>
                <c:ptCount val="14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EMAG'!$N$2:$N$146</c:f>
              <c:numCache>
                <c:formatCode>General</c:formatCode>
                <c:ptCount val="14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B3-41D4-A63F-587A28EAABDB}"/>
            </c:ext>
          </c:extLst>
        </c:ser>
        <c:ser>
          <c:idx val="2"/>
          <c:order val="1"/>
          <c:tx>
            <c:strRef>
              <c:f>'Evolution coût pièce EMAG'!$O$1</c:f>
              <c:strCache>
                <c:ptCount val="1"/>
                <c:pt idx="0">
                  <c:v>Cible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dLbls>
            <c:dLbl>
              <c:idx val="1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B3-41D4-A63F-587A28EAABD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EMAG'!$A$2:$A$146</c:f>
              <c:numCache>
                <c:formatCode>General</c:formatCode>
                <c:ptCount val="14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EMAG'!$O$2:$O$146</c:f>
              <c:numCache>
                <c:formatCode>General</c:formatCode>
                <c:ptCount val="14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B3-41D4-A63F-587A28EA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E3 330x28 RPE K0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EMAG'!$P$1</c:f>
              <c:strCache>
                <c:ptCount val="1"/>
                <c:pt idx="0">
                  <c:v>E3 330x28 RPE K0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squar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dLbl>
              <c:idx val="12"/>
              <c:layout>
                <c:manualLayout>
                  <c:x val="3.7769198493054074E-2"/>
                  <c:y val="3.72152312369272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ED-4632-BC4F-305749DFAF2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EMAG'!$A$2:$A$110</c:f>
              <c:numCache>
                <c:formatCode>General</c:formatCode>
                <c:ptCount val="10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EMAG'!$P$2:$P$110</c:f>
              <c:numCache>
                <c:formatCode>General</c:formatCode>
                <c:ptCount val="109"/>
                <c:pt idx="0">
                  <c:v>0.215</c:v>
                </c:pt>
                <c:pt idx="1">
                  <c:v>0.21099999999999999</c:v>
                </c:pt>
                <c:pt idx="2">
                  <c:v>0.29299999999999998</c:v>
                </c:pt>
                <c:pt idx="3">
                  <c:v>0.17799999999999999</c:v>
                </c:pt>
                <c:pt idx="4">
                  <c:v>0.22700000000000001</c:v>
                </c:pt>
                <c:pt idx="5">
                  <c:v>8.3000000000000004E-2</c:v>
                </c:pt>
                <c:pt idx="6">
                  <c:v>0.219</c:v>
                </c:pt>
                <c:pt idx="7">
                  <c:v>0.27800000000000002</c:v>
                </c:pt>
                <c:pt idx="8">
                  <c:v>0.32800000000000001</c:v>
                </c:pt>
                <c:pt idx="9">
                  <c:v>0.39600000000000002</c:v>
                </c:pt>
                <c:pt idx="10">
                  <c:v>0.32600000000000001</c:v>
                </c:pt>
                <c:pt idx="11">
                  <c:v>0.38200000000000001</c:v>
                </c:pt>
                <c:pt idx="12">
                  <c:v>0.34399999999999997</c:v>
                </c:pt>
                <c:pt idx="13">
                  <c:v>0.33300000000000002</c:v>
                </c:pt>
                <c:pt idx="14">
                  <c:v>0.19400000000000001</c:v>
                </c:pt>
                <c:pt idx="15">
                  <c:v>0.20899999999999999</c:v>
                </c:pt>
                <c:pt idx="16">
                  <c:v>0.371</c:v>
                </c:pt>
                <c:pt idx="17">
                  <c:v>0.35</c:v>
                </c:pt>
                <c:pt idx="18">
                  <c:v>0.376</c:v>
                </c:pt>
                <c:pt idx="19">
                  <c:v>0.307</c:v>
                </c:pt>
                <c:pt idx="21">
                  <c:v>0.34499999999999997</c:v>
                </c:pt>
                <c:pt idx="22">
                  <c:v>0.28100000000000003</c:v>
                </c:pt>
                <c:pt idx="23">
                  <c:v>0.317</c:v>
                </c:pt>
                <c:pt idx="24">
                  <c:v>0.48199999999999998</c:v>
                </c:pt>
                <c:pt idx="25">
                  <c:v>0.34899999999999998</c:v>
                </c:pt>
                <c:pt idx="26">
                  <c:v>0.27600000000000002</c:v>
                </c:pt>
                <c:pt idx="27">
                  <c:v>0.41399999999999998</c:v>
                </c:pt>
                <c:pt idx="28">
                  <c:v>0.27800000000000002</c:v>
                </c:pt>
                <c:pt idx="29">
                  <c:v>0.31</c:v>
                </c:pt>
                <c:pt idx="30">
                  <c:v>0.40899999999999997</c:v>
                </c:pt>
                <c:pt idx="31">
                  <c:v>0.27400000000000002</c:v>
                </c:pt>
                <c:pt idx="32">
                  <c:v>0.32300000000000001</c:v>
                </c:pt>
                <c:pt idx="33">
                  <c:v>0.26700000000000002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A1D-BAEC-7B4E480F6378}"/>
            </c:ext>
          </c:extLst>
        </c:ser>
        <c:ser>
          <c:idx val="1"/>
          <c:order val="1"/>
          <c:tx>
            <c:strRef>
              <c:f>'Evolution coût pièce EMAG'!$Q$1</c:f>
              <c:strCache>
                <c:ptCount val="1"/>
                <c:pt idx="0">
                  <c:v>Cible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dLbls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7B-4626-A9CA-2600C460184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EMAG'!$A$2:$A$110</c:f>
              <c:numCache>
                <c:formatCode>General</c:formatCode>
                <c:ptCount val="10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EMAG'!$Q$2:$Q$110</c:f>
              <c:numCache>
                <c:formatCode>General</c:formatCode>
                <c:ptCount val="109"/>
                <c:pt idx="0">
                  <c:v>0.218</c:v>
                </c:pt>
                <c:pt idx="1">
                  <c:v>0.218</c:v>
                </c:pt>
                <c:pt idx="2">
                  <c:v>0.218</c:v>
                </c:pt>
                <c:pt idx="3">
                  <c:v>0.218</c:v>
                </c:pt>
                <c:pt idx="4">
                  <c:v>0.218</c:v>
                </c:pt>
                <c:pt idx="5">
                  <c:v>0.218</c:v>
                </c:pt>
                <c:pt idx="6">
                  <c:v>0.218</c:v>
                </c:pt>
                <c:pt idx="7">
                  <c:v>0.218</c:v>
                </c:pt>
                <c:pt idx="8">
                  <c:v>0.218</c:v>
                </c:pt>
                <c:pt idx="9">
                  <c:v>0.218</c:v>
                </c:pt>
                <c:pt idx="10">
                  <c:v>0.218</c:v>
                </c:pt>
                <c:pt idx="11">
                  <c:v>0.218</c:v>
                </c:pt>
                <c:pt idx="12">
                  <c:v>0.218</c:v>
                </c:pt>
                <c:pt idx="13">
                  <c:v>0.218</c:v>
                </c:pt>
                <c:pt idx="14">
                  <c:v>0.218</c:v>
                </c:pt>
                <c:pt idx="15">
                  <c:v>0.218</c:v>
                </c:pt>
                <c:pt idx="16">
                  <c:v>0.218</c:v>
                </c:pt>
                <c:pt idx="17">
                  <c:v>0.218</c:v>
                </c:pt>
                <c:pt idx="18">
                  <c:v>0.218</c:v>
                </c:pt>
                <c:pt idx="19">
                  <c:v>0.218</c:v>
                </c:pt>
                <c:pt idx="20">
                  <c:v>0.218</c:v>
                </c:pt>
                <c:pt idx="21">
                  <c:v>0.218</c:v>
                </c:pt>
                <c:pt idx="22">
                  <c:v>0.218</c:v>
                </c:pt>
                <c:pt idx="23">
                  <c:v>0.218</c:v>
                </c:pt>
                <c:pt idx="24">
                  <c:v>0.218</c:v>
                </c:pt>
                <c:pt idx="25">
                  <c:v>0.218</c:v>
                </c:pt>
                <c:pt idx="26">
                  <c:v>0.218</c:v>
                </c:pt>
                <c:pt idx="27">
                  <c:v>0.218</c:v>
                </c:pt>
                <c:pt idx="28">
                  <c:v>0.218</c:v>
                </c:pt>
                <c:pt idx="29">
                  <c:v>0.218</c:v>
                </c:pt>
                <c:pt idx="30">
                  <c:v>0.218</c:v>
                </c:pt>
                <c:pt idx="31">
                  <c:v>0.218</c:v>
                </c:pt>
                <c:pt idx="32">
                  <c:v>0.218</c:v>
                </c:pt>
                <c:pt idx="33">
                  <c:v>0.218</c:v>
                </c:pt>
                <c:pt idx="34">
                  <c:v>0.218</c:v>
                </c:pt>
                <c:pt idx="35">
                  <c:v>0.218</c:v>
                </c:pt>
                <c:pt idx="36">
                  <c:v>0.218</c:v>
                </c:pt>
                <c:pt idx="37">
                  <c:v>0.218</c:v>
                </c:pt>
                <c:pt idx="38">
                  <c:v>0.218</c:v>
                </c:pt>
                <c:pt idx="39">
                  <c:v>0.218</c:v>
                </c:pt>
                <c:pt idx="40">
                  <c:v>0.218</c:v>
                </c:pt>
                <c:pt idx="41">
                  <c:v>0.218</c:v>
                </c:pt>
                <c:pt idx="42">
                  <c:v>0.218</c:v>
                </c:pt>
                <c:pt idx="43">
                  <c:v>0.218</c:v>
                </c:pt>
                <c:pt idx="44">
                  <c:v>0.218</c:v>
                </c:pt>
                <c:pt idx="45">
                  <c:v>0.218</c:v>
                </c:pt>
                <c:pt idx="46">
                  <c:v>0.218</c:v>
                </c:pt>
                <c:pt idx="47">
                  <c:v>0.218</c:v>
                </c:pt>
                <c:pt idx="48">
                  <c:v>0.218</c:v>
                </c:pt>
                <c:pt idx="49">
                  <c:v>0.218</c:v>
                </c:pt>
                <c:pt idx="50">
                  <c:v>0.218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97-4AC9-84E6-C07AF5FAB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E3 304x28 RPE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EMAG'!$R$1</c:f>
              <c:strCache>
                <c:ptCount val="1"/>
                <c:pt idx="0">
                  <c:v>E3 304x28 RPE</c:v>
                </c:pt>
              </c:strCache>
            </c:strRef>
          </c:tx>
          <c:marker>
            <c:symbol val="squar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'Evolution coût pièce EMAG'!$A$2:$A$118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EMAG'!$R$2:$R$118</c:f>
              <c:numCache>
                <c:formatCode>General</c:formatCode>
                <c:ptCount val="1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1-477A-A022-1CE73184D08A}"/>
            </c:ext>
          </c:extLst>
        </c:ser>
        <c:ser>
          <c:idx val="2"/>
          <c:order val="1"/>
          <c:tx>
            <c:strRef>
              <c:f>'Evolution coût pièce EMAG'!$S$1</c:f>
              <c:strCache>
                <c:ptCount val="1"/>
                <c:pt idx="0">
                  <c:v>Cible</c:v>
                </c:pt>
              </c:strCache>
            </c:strRef>
          </c:tx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'Evolution coût pièce EMAG'!$A$2:$A$118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EMAG'!$S$2:$S$118</c:f>
              <c:numCache>
                <c:formatCode>General</c:formatCode>
                <c:ptCount val="1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D1-477A-A022-1CE73184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E3 330x14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EMAG'!$T$1</c:f>
              <c:strCache>
                <c:ptCount val="1"/>
                <c:pt idx="0">
                  <c:v>E3 330x14</c:v>
                </c:pt>
              </c:strCache>
            </c:strRef>
          </c:tx>
          <c:marker>
            <c:symbol val="squar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dLbls>
            <c:dLbl>
              <c:idx val="20"/>
              <c:layout>
                <c:manualLayout>
                  <c:x val="-3.0555552882278986E-2"/>
                  <c:y val="-5.55555677068170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B5-4E50-A1DF-A3D4EEBEB924}"/>
                </c:ext>
              </c:extLst>
            </c:dLbl>
            <c:dLbl>
              <c:idx val="21"/>
              <c:layout>
                <c:manualLayout>
                  <c:x val="-4.2777774035190522E-2"/>
                  <c:y val="4.4444454165453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B5-4E50-A1DF-A3D4EEBEB924}"/>
                </c:ext>
              </c:extLst>
            </c:dLbl>
            <c:dLbl>
              <c:idx val="22"/>
              <c:layout>
                <c:manualLayout>
                  <c:x val="-3.0555552882278837E-2"/>
                  <c:y val="-4.44444541654536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B5-4E50-A1DF-A3D4EEBEB924}"/>
                </c:ext>
              </c:extLst>
            </c:dLbl>
            <c:dLbl>
              <c:idx val="23"/>
              <c:layout>
                <c:manualLayout>
                  <c:x val="-3.8703700317553345E-2"/>
                  <c:y val="3.61111190094311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6-4CE0-9FF5-AAAD5DE345B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EMAG'!$A$2:$A$542</c:f>
              <c:numCache>
                <c:formatCode>General</c:formatCode>
                <c:ptCount val="54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EMAG'!$T$2:$T$542</c:f>
              <c:numCache>
                <c:formatCode>General</c:formatCode>
                <c:ptCount val="541"/>
                <c:pt idx="5">
                  <c:v>1.292</c:v>
                </c:pt>
                <c:pt idx="6">
                  <c:v>3.7879999999999998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2E-4E86-B473-3AB014D7D5D7}"/>
            </c:ext>
          </c:extLst>
        </c:ser>
        <c:ser>
          <c:idx val="2"/>
          <c:order val="1"/>
          <c:tx>
            <c:strRef>
              <c:f>'Evolution coût pièce EMAG'!$U$1</c:f>
              <c:strCache>
                <c:ptCount val="1"/>
                <c:pt idx="0">
                  <c:v>Cible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'Evolution coût pièce EMAG'!$A$2:$A$542</c:f>
              <c:numCache>
                <c:formatCode>General</c:formatCode>
                <c:ptCount val="54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EMAG'!$U$2:$U$542</c:f>
              <c:numCache>
                <c:formatCode>General</c:formatCode>
                <c:ptCount val="5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2E-4E86-B473-3AB014D7D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E2 290x12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EMAG'!$J$1</c:f>
              <c:strCache>
                <c:ptCount val="1"/>
                <c:pt idx="0">
                  <c:v>E2 290x12</c:v>
                </c:pt>
              </c:strCache>
            </c:strRef>
          </c:tx>
          <c:xVal>
            <c:numRef>
              <c:f>'Evolution coût pièce EMAG'!$A$2:$A$103</c:f>
              <c:numCache>
                <c:formatCode>General</c:formatCode>
                <c:ptCount val="10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EMAG'!$I$2:$I$103</c:f>
              <c:numCache>
                <c:formatCode>General</c:formatCode>
                <c:ptCount val="102"/>
                <c:pt idx="0">
                  <c:v>0.308</c:v>
                </c:pt>
                <c:pt idx="1">
                  <c:v>0.308</c:v>
                </c:pt>
                <c:pt idx="2">
                  <c:v>0.308</c:v>
                </c:pt>
                <c:pt idx="3">
                  <c:v>0.308</c:v>
                </c:pt>
                <c:pt idx="4">
                  <c:v>0.308</c:v>
                </c:pt>
                <c:pt idx="5">
                  <c:v>0.308</c:v>
                </c:pt>
                <c:pt idx="6">
                  <c:v>0.308</c:v>
                </c:pt>
                <c:pt idx="7">
                  <c:v>0.308</c:v>
                </c:pt>
                <c:pt idx="8">
                  <c:v>0.308</c:v>
                </c:pt>
                <c:pt idx="9">
                  <c:v>0.308</c:v>
                </c:pt>
                <c:pt idx="10">
                  <c:v>0.308</c:v>
                </c:pt>
                <c:pt idx="11">
                  <c:v>0.308</c:v>
                </c:pt>
                <c:pt idx="12">
                  <c:v>0.308</c:v>
                </c:pt>
                <c:pt idx="13">
                  <c:v>0.308</c:v>
                </c:pt>
                <c:pt idx="14">
                  <c:v>0.308</c:v>
                </c:pt>
                <c:pt idx="15">
                  <c:v>0.308</c:v>
                </c:pt>
                <c:pt idx="16">
                  <c:v>0.308</c:v>
                </c:pt>
                <c:pt idx="17">
                  <c:v>0.308</c:v>
                </c:pt>
                <c:pt idx="18">
                  <c:v>0.308</c:v>
                </c:pt>
                <c:pt idx="19">
                  <c:v>0.308</c:v>
                </c:pt>
                <c:pt idx="20">
                  <c:v>0.308</c:v>
                </c:pt>
                <c:pt idx="21">
                  <c:v>0.308</c:v>
                </c:pt>
                <c:pt idx="22">
                  <c:v>0.308</c:v>
                </c:pt>
                <c:pt idx="23">
                  <c:v>0.308</c:v>
                </c:pt>
                <c:pt idx="24">
                  <c:v>0.308</c:v>
                </c:pt>
                <c:pt idx="25">
                  <c:v>0.308</c:v>
                </c:pt>
                <c:pt idx="26">
                  <c:v>0.308</c:v>
                </c:pt>
                <c:pt idx="27">
                  <c:v>0.308</c:v>
                </c:pt>
                <c:pt idx="28">
                  <c:v>0.308</c:v>
                </c:pt>
                <c:pt idx="29">
                  <c:v>0.308</c:v>
                </c:pt>
                <c:pt idx="30">
                  <c:v>0.308</c:v>
                </c:pt>
                <c:pt idx="31">
                  <c:v>0.308</c:v>
                </c:pt>
                <c:pt idx="32">
                  <c:v>0.308</c:v>
                </c:pt>
                <c:pt idx="33">
                  <c:v>0.308</c:v>
                </c:pt>
                <c:pt idx="34">
                  <c:v>0.308</c:v>
                </c:pt>
                <c:pt idx="35">
                  <c:v>0.308</c:v>
                </c:pt>
                <c:pt idx="36">
                  <c:v>0.308</c:v>
                </c:pt>
                <c:pt idx="37">
                  <c:v>0.308</c:v>
                </c:pt>
                <c:pt idx="38">
                  <c:v>0.308</c:v>
                </c:pt>
                <c:pt idx="39">
                  <c:v>0.308</c:v>
                </c:pt>
                <c:pt idx="40">
                  <c:v>0.308</c:v>
                </c:pt>
                <c:pt idx="41">
                  <c:v>0.308</c:v>
                </c:pt>
                <c:pt idx="42">
                  <c:v>0.308</c:v>
                </c:pt>
                <c:pt idx="43">
                  <c:v>0.308</c:v>
                </c:pt>
                <c:pt idx="44">
                  <c:v>0.308</c:v>
                </c:pt>
                <c:pt idx="45">
                  <c:v>0.308</c:v>
                </c:pt>
                <c:pt idx="46">
                  <c:v>0.308</c:v>
                </c:pt>
                <c:pt idx="47">
                  <c:v>0.308</c:v>
                </c:pt>
                <c:pt idx="48">
                  <c:v>0.308</c:v>
                </c:pt>
                <c:pt idx="49">
                  <c:v>0.308</c:v>
                </c:pt>
                <c:pt idx="50">
                  <c:v>0.308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2-4066-9771-F38DFBFF71E8}"/>
            </c:ext>
          </c:extLst>
        </c:ser>
        <c:ser>
          <c:idx val="2"/>
          <c:order val="1"/>
          <c:tx>
            <c:strRef>
              <c:f>'Evolution coût pièce EMAG'!$K$1</c:f>
              <c:strCache>
                <c:ptCount val="1"/>
                <c:pt idx="0">
                  <c:v>Cible</c:v>
                </c:pt>
              </c:strCache>
            </c:strRef>
          </c:tx>
          <c:marker>
            <c:symbol val="x"/>
            <c:size val="6"/>
            <c:spPr>
              <a:solidFill>
                <a:schemeClr val="accent4">
                  <a:alpha val="0"/>
                </a:schemeClr>
              </a:solidFill>
              <a:ln>
                <a:solidFill>
                  <a:schemeClr val="accent4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'Evolution coût pièce EMAG'!$A$2:$A$103</c:f>
              <c:numCache>
                <c:formatCode>General</c:formatCode>
                <c:ptCount val="10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EMAG'!$J$2:$J$103</c:f>
              <c:numCache>
                <c:formatCode>General</c:formatCode>
                <c:ptCount val="102"/>
                <c:pt idx="0">
                  <c:v>0.24299999999999999</c:v>
                </c:pt>
                <c:pt idx="1">
                  <c:v>0.40600000000000003</c:v>
                </c:pt>
                <c:pt idx="3">
                  <c:v>0.14899999999999999</c:v>
                </c:pt>
                <c:pt idx="4">
                  <c:v>0.27800000000000002</c:v>
                </c:pt>
                <c:pt idx="5">
                  <c:v>0.29599999999999999</c:v>
                </c:pt>
                <c:pt idx="6">
                  <c:v>0.23799999999999999</c:v>
                </c:pt>
                <c:pt idx="7">
                  <c:v>0.28000000000000003</c:v>
                </c:pt>
                <c:pt idx="8">
                  <c:v>0.34</c:v>
                </c:pt>
                <c:pt idx="9">
                  <c:v>0.34</c:v>
                </c:pt>
                <c:pt idx="10">
                  <c:v>0.75800000000000001</c:v>
                </c:pt>
                <c:pt idx="17">
                  <c:v>0.61099999999999999</c:v>
                </c:pt>
                <c:pt idx="18">
                  <c:v>0.60799999999999998</c:v>
                </c:pt>
                <c:pt idx="19">
                  <c:v>0.33900000000000002</c:v>
                </c:pt>
                <c:pt idx="20">
                  <c:v>3.3679999999999999</c:v>
                </c:pt>
                <c:pt idx="21">
                  <c:v>0.41799999999999998</c:v>
                </c:pt>
                <c:pt idx="22">
                  <c:v>0.23499999999999999</c:v>
                </c:pt>
                <c:pt idx="23">
                  <c:v>0.48</c:v>
                </c:pt>
                <c:pt idx="24">
                  <c:v>0.253</c:v>
                </c:pt>
                <c:pt idx="26">
                  <c:v>0.17599999999999999</c:v>
                </c:pt>
                <c:pt idx="27">
                  <c:v>0.28899999999999998</c:v>
                </c:pt>
                <c:pt idx="28">
                  <c:v>0</c:v>
                </c:pt>
                <c:pt idx="31">
                  <c:v>0.88600000000000001</c:v>
                </c:pt>
                <c:pt idx="32">
                  <c:v>0.15</c:v>
                </c:pt>
                <c:pt idx="33">
                  <c:v>0.30399999999999999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42-4066-9771-F38DFBFF7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coût</a:t>
            </a:r>
            <a:r>
              <a:rPr lang="fr-FR" baseline="0"/>
              <a:t> pièces E2 356x26 RPI</a:t>
            </a: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'Evolution coût pièce EMAG'!$H$1</c:f>
              <c:strCache>
                <c:ptCount val="1"/>
                <c:pt idx="0">
                  <c:v>E2 356x26 RPI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'Evolution coût pièce EMAG'!$A$2:$A$93</c:f>
              <c:numCache>
                <c:formatCode>General</c:formatCode>
                <c:ptCount val="9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EMAG'!$H$2:$H$93</c:f>
              <c:numCache>
                <c:formatCode>General</c:formatCode>
                <c:ptCount val="92"/>
                <c:pt idx="1">
                  <c:v>1.1479999999999999</c:v>
                </c:pt>
                <c:pt idx="2">
                  <c:v>0.504</c:v>
                </c:pt>
                <c:pt idx="3">
                  <c:v>1.1100000000000001</c:v>
                </c:pt>
                <c:pt idx="8">
                  <c:v>1.1180000000000001</c:v>
                </c:pt>
                <c:pt idx="9">
                  <c:v>1.78</c:v>
                </c:pt>
                <c:pt idx="10">
                  <c:v>0.71499999999999997</c:v>
                </c:pt>
                <c:pt idx="11">
                  <c:v>0.69299999999999995</c:v>
                </c:pt>
                <c:pt idx="12">
                  <c:v>1.9350000000000001</c:v>
                </c:pt>
                <c:pt idx="13">
                  <c:v>0.56100000000000005</c:v>
                </c:pt>
                <c:pt idx="14">
                  <c:v>0.91600000000000004</c:v>
                </c:pt>
                <c:pt idx="16">
                  <c:v>0.92400000000000004</c:v>
                </c:pt>
                <c:pt idx="17">
                  <c:v>0.82</c:v>
                </c:pt>
                <c:pt idx="29">
                  <c:v>0.98099999999999998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EA-460F-BDB3-75EFDE74AC41}"/>
            </c:ext>
          </c:extLst>
        </c:ser>
        <c:ser>
          <c:idx val="3"/>
          <c:order val="1"/>
          <c:tx>
            <c:strRef>
              <c:f>'Evolution coût pièce EMAG'!$I$1</c:f>
              <c:strCache>
                <c:ptCount val="1"/>
                <c:pt idx="0">
                  <c:v>Cible</c:v>
                </c:pt>
              </c:strCache>
            </c:strRef>
          </c:tx>
          <c:dLbls>
            <c:delete val="1"/>
          </c:dLbls>
          <c:xVal>
            <c:numRef>
              <c:f>'Evolution coût pièce EMAG'!$A$2:$A$93</c:f>
              <c:numCache>
                <c:formatCode>General</c:formatCode>
                <c:ptCount val="9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pièce EMAG'!$I$2:$I$93</c:f>
              <c:numCache>
                <c:formatCode>General</c:formatCode>
                <c:ptCount val="92"/>
                <c:pt idx="0">
                  <c:v>0.308</c:v>
                </c:pt>
                <c:pt idx="1">
                  <c:v>0.308</c:v>
                </c:pt>
                <c:pt idx="2">
                  <c:v>0.308</c:v>
                </c:pt>
                <c:pt idx="3">
                  <c:v>0.308</c:v>
                </c:pt>
                <c:pt idx="4">
                  <c:v>0.308</c:v>
                </c:pt>
                <c:pt idx="5">
                  <c:v>0.308</c:v>
                </c:pt>
                <c:pt idx="6">
                  <c:v>0.308</c:v>
                </c:pt>
                <c:pt idx="7">
                  <c:v>0.308</c:v>
                </c:pt>
                <c:pt idx="8">
                  <c:v>0.308</c:v>
                </c:pt>
                <c:pt idx="9">
                  <c:v>0.308</c:v>
                </c:pt>
                <c:pt idx="10">
                  <c:v>0.308</c:v>
                </c:pt>
                <c:pt idx="11">
                  <c:v>0.308</c:v>
                </c:pt>
                <c:pt idx="12">
                  <c:v>0.308</c:v>
                </c:pt>
                <c:pt idx="13">
                  <c:v>0.308</c:v>
                </c:pt>
                <c:pt idx="14">
                  <c:v>0.308</c:v>
                </c:pt>
                <c:pt idx="15">
                  <c:v>0.308</c:v>
                </c:pt>
                <c:pt idx="16">
                  <c:v>0.308</c:v>
                </c:pt>
                <c:pt idx="17">
                  <c:v>0.308</c:v>
                </c:pt>
                <c:pt idx="18">
                  <c:v>0.308</c:v>
                </c:pt>
                <c:pt idx="19">
                  <c:v>0.308</c:v>
                </c:pt>
                <c:pt idx="20">
                  <c:v>0.308</c:v>
                </c:pt>
                <c:pt idx="21">
                  <c:v>0.308</c:v>
                </c:pt>
                <c:pt idx="22">
                  <c:v>0.308</c:v>
                </c:pt>
                <c:pt idx="23">
                  <c:v>0.308</c:v>
                </c:pt>
                <c:pt idx="24">
                  <c:v>0.308</c:v>
                </c:pt>
                <c:pt idx="25">
                  <c:v>0.308</c:v>
                </c:pt>
                <c:pt idx="26">
                  <c:v>0.308</c:v>
                </c:pt>
                <c:pt idx="27">
                  <c:v>0.308</c:v>
                </c:pt>
                <c:pt idx="28">
                  <c:v>0.308</c:v>
                </c:pt>
                <c:pt idx="29">
                  <c:v>0.308</c:v>
                </c:pt>
                <c:pt idx="30">
                  <c:v>0.308</c:v>
                </c:pt>
                <c:pt idx="31">
                  <c:v>0.308</c:v>
                </c:pt>
                <c:pt idx="32">
                  <c:v>0.308</c:v>
                </c:pt>
                <c:pt idx="33">
                  <c:v>0.308</c:v>
                </c:pt>
                <c:pt idx="34">
                  <c:v>0.308</c:v>
                </c:pt>
                <c:pt idx="35">
                  <c:v>0.308</c:v>
                </c:pt>
                <c:pt idx="36">
                  <c:v>0.308</c:v>
                </c:pt>
                <c:pt idx="37">
                  <c:v>0.308</c:v>
                </c:pt>
                <c:pt idx="38">
                  <c:v>0.308</c:v>
                </c:pt>
                <c:pt idx="39">
                  <c:v>0.308</c:v>
                </c:pt>
                <c:pt idx="40">
                  <c:v>0.308</c:v>
                </c:pt>
                <c:pt idx="41">
                  <c:v>0.308</c:v>
                </c:pt>
                <c:pt idx="42">
                  <c:v>0.308</c:v>
                </c:pt>
                <c:pt idx="43">
                  <c:v>0.308</c:v>
                </c:pt>
                <c:pt idx="44">
                  <c:v>0.308</c:v>
                </c:pt>
                <c:pt idx="45">
                  <c:v>0.308</c:v>
                </c:pt>
                <c:pt idx="46">
                  <c:v>0.308</c:v>
                </c:pt>
                <c:pt idx="47">
                  <c:v>0.308</c:v>
                </c:pt>
                <c:pt idx="48">
                  <c:v>0.308</c:v>
                </c:pt>
                <c:pt idx="49">
                  <c:v>0.308</c:v>
                </c:pt>
                <c:pt idx="50">
                  <c:v>0.308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EA-460F-BDB3-75EFDE74AC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44383160"/>
        <c:axId val="744377040"/>
      </c:scatterChart>
      <c:valAx>
        <c:axId val="74438316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77040"/>
        <c:crosses val="autoZero"/>
        <c:crossBetween val="midCat"/>
        <c:majorUnit val="1"/>
      </c:valAx>
      <c:valAx>
        <c:axId val="7443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Coût pièces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443831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21-09-26.xlsm]Coût HESSAP!Tableau croisé dynamique2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</a:t>
            </a:r>
            <a:r>
              <a:rPr lang="en-US" baseline="0"/>
              <a:t> HESSAPP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'Coût HESSAP'!$B$4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'Coût HESSAP'!$A$5:$A$18</c:f>
              <c:multiLvlStrCache>
                <c:ptCount val="9"/>
                <c:lvl>
                  <c:pt idx="0">
                    <c:v>Z000 546 265</c:v>
                  </c:pt>
                  <c:pt idx="1">
                    <c:v>Z000 546 266</c:v>
                  </c:pt>
                  <c:pt idx="2">
                    <c:v>Z000 546 265</c:v>
                  </c:pt>
                  <c:pt idx="3">
                    <c:v>Z000 546 266</c:v>
                  </c:pt>
                  <c:pt idx="4">
                    <c:v>Z000 522 436</c:v>
                  </c:pt>
                  <c:pt idx="5">
                    <c:v>IM02 137 021</c:v>
                  </c:pt>
                  <c:pt idx="6">
                    <c:v>Z000 546 266</c:v>
                  </c:pt>
                  <c:pt idx="7">
                    <c:v>Z000 513 527</c:v>
                  </c:pt>
                  <c:pt idx="8">
                    <c:v>Z000 546 265</c:v>
                  </c:pt>
                </c:lvl>
                <c:lvl>
                  <c:pt idx="0">
                    <c:v>OP 10</c:v>
                  </c:pt>
                  <c:pt idx="2">
                    <c:v>OP 15</c:v>
                  </c:pt>
                  <c:pt idx="5">
                    <c:v>OP 20</c:v>
                  </c:pt>
                  <c:pt idx="7">
                    <c:v>OP 30</c:v>
                  </c:pt>
                </c:lvl>
              </c:multiLvlStrCache>
            </c:multiLvlStrRef>
          </c:cat>
          <c:val>
            <c:numRef>
              <c:f>'Coût HESSAP'!$B$5:$B$18</c:f>
              <c:numCache>
                <c:formatCode>General</c:formatCode>
                <c:ptCount val="9"/>
                <c:pt idx="0">
                  <c:v>70</c:v>
                </c:pt>
                <c:pt idx="1">
                  <c:v>284.8</c:v>
                </c:pt>
                <c:pt idx="2">
                  <c:v>560</c:v>
                </c:pt>
                <c:pt idx="3">
                  <c:v>71.2</c:v>
                </c:pt>
                <c:pt idx="4">
                  <c:v>542.5</c:v>
                </c:pt>
                <c:pt idx="5">
                  <c:v>320</c:v>
                </c:pt>
                <c:pt idx="6">
                  <c:v>142.4</c:v>
                </c:pt>
                <c:pt idx="7">
                  <c:v>334.6</c:v>
                </c:pt>
                <c:pt idx="8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36-45C0-A1D5-AF99B86C22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21-09-26.xlsm]Quantité HESSAP!Tableau croisé dynamique2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Quantité</a:t>
            </a:r>
            <a:r>
              <a:rPr lang="en-US" baseline="0"/>
              <a:t> HESSAP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'Quantité HESSAP'!$B$4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'Quantité HESSAP'!$A$5:$A$18</c:f>
              <c:multiLvlStrCache>
                <c:ptCount val="9"/>
                <c:lvl>
                  <c:pt idx="0">
                    <c:v>Z000 546 265</c:v>
                  </c:pt>
                  <c:pt idx="1">
                    <c:v>Z000 546 266</c:v>
                  </c:pt>
                  <c:pt idx="2">
                    <c:v>Z000 546 265</c:v>
                  </c:pt>
                  <c:pt idx="3">
                    <c:v>Z000 546 266</c:v>
                  </c:pt>
                  <c:pt idx="4">
                    <c:v>Z000 522 436</c:v>
                  </c:pt>
                  <c:pt idx="5">
                    <c:v>IM02 137 021</c:v>
                  </c:pt>
                  <c:pt idx="6">
                    <c:v>Z000 546 266</c:v>
                  </c:pt>
                  <c:pt idx="7">
                    <c:v>Z000 513 527</c:v>
                  </c:pt>
                  <c:pt idx="8">
                    <c:v>Z000 546 265</c:v>
                  </c:pt>
                </c:lvl>
                <c:lvl>
                  <c:pt idx="0">
                    <c:v>OP 10</c:v>
                  </c:pt>
                  <c:pt idx="2">
                    <c:v>OP 15</c:v>
                  </c:pt>
                  <c:pt idx="5">
                    <c:v>OP 20</c:v>
                  </c:pt>
                  <c:pt idx="7">
                    <c:v>OP 30</c:v>
                  </c:pt>
                </c:lvl>
              </c:multiLvlStrCache>
            </c:multiLvlStrRef>
          </c:cat>
          <c:val>
            <c:numRef>
              <c:f>'Quantité HESSAP'!$B$5:$B$18</c:f>
              <c:numCache>
                <c:formatCode>General</c:formatCode>
                <c:ptCount val="9"/>
                <c:pt idx="0">
                  <c:v>10</c:v>
                </c:pt>
                <c:pt idx="1">
                  <c:v>40</c:v>
                </c:pt>
                <c:pt idx="2">
                  <c:v>80</c:v>
                </c:pt>
                <c:pt idx="3">
                  <c:v>10</c:v>
                </c:pt>
                <c:pt idx="4">
                  <c:v>50</c:v>
                </c:pt>
                <c:pt idx="5">
                  <c:v>40</c:v>
                </c:pt>
                <c:pt idx="6">
                  <c:v>20</c:v>
                </c:pt>
                <c:pt idx="7">
                  <c:v>35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BC-4FA8-A237-560312D987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21-09-26.xlsm]pareto conso HESSAPP!Tableau croisé dynamique19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</a:t>
            </a:r>
            <a:r>
              <a:rPr lang="en-US" baseline="0"/>
              <a:t> CONSO PLAQUETTE HESSAPP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conso HESSAPP'!$B$3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'pareto conso HESSAPP'!$A$4:$A$10</c:f>
              <c:multiLvlStrCache>
                <c:ptCount val="5"/>
                <c:lvl>
                  <c:pt idx="0">
                    <c:v>Z000 546 265</c:v>
                  </c:pt>
                  <c:pt idx="1">
                    <c:v>Z000 546 266</c:v>
                  </c:pt>
                  <c:pt idx="2">
                    <c:v>Z000 522 436</c:v>
                  </c:pt>
                  <c:pt idx="3">
                    <c:v>IM02 137 021</c:v>
                  </c:pt>
                  <c:pt idx="4">
                    <c:v>Z000 513 527</c:v>
                  </c:pt>
                </c:lvl>
                <c:lvl>
                  <c:pt idx="0">
                    <c:v>HESSAPP</c:v>
                  </c:pt>
                </c:lvl>
              </c:multiLvlStrCache>
            </c:multiLvlStrRef>
          </c:cat>
          <c:val>
            <c:numRef>
              <c:f>'pareto conso HESSAPP'!$B$4:$B$10</c:f>
              <c:numCache>
                <c:formatCode>General</c:formatCode>
                <c:ptCount val="5"/>
                <c:pt idx="0">
                  <c:v>120</c:v>
                </c:pt>
                <c:pt idx="1">
                  <c:v>70</c:v>
                </c:pt>
                <c:pt idx="2">
                  <c:v>50</c:v>
                </c:pt>
                <c:pt idx="3">
                  <c:v>40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B-45FC-A201-2F6163B2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1882664"/>
        <c:axId val="891885288"/>
      </c:barChart>
      <c:catAx>
        <c:axId val="891882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1885288"/>
        <c:crosses val="autoZero"/>
        <c:auto val="1"/>
        <c:lblAlgn val="ctr"/>
        <c:lblOffset val="100"/>
        <c:noMultiLvlLbl val="0"/>
      </c:catAx>
      <c:valAx>
        <c:axId val="89188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1882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EMAG - 14-09-26 au 21-09-26.xlsm]Pareto cout HESSAPP!Tableau croisé dynamique20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COUT PLAQUETTE HESSAPP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cout HESSAPP'!$B$3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'Pareto cout HESSAPP'!$A$4:$A$10</c:f>
              <c:multiLvlStrCache>
                <c:ptCount val="5"/>
                <c:lvl>
                  <c:pt idx="0">
                    <c:v>Z000 546 265</c:v>
                  </c:pt>
                  <c:pt idx="1">
                    <c:v>Z000 522 436</c:v>
                  </c:pt>
                  <c:pt idx="2">
                    <c:v>Z000 546 266</c:v>
                  </c:pt>
                  <c:pt idx="3">
                    <c:v>Z000 513 527</c:v>
                  </c:pt>
                  <c:pt idx="4">
                    <c:v>IM02 137 021</c:v>
                  </c:pt>
                </c:lvl>
                <c:lvl>
                  <c:pt idx="0">
                    <c:v>HESSAPP</c:v>
                  </c:pt>
                </c:lvl>
              </c:multiLvlStrCache>
            </c:multiLvlStrRef>
          </c:cat>
          <c:val>
            <c:numRef>
              <c:f>'Pareto cout HESSAPP'!$B$4:$B$10</c:f>
              <c:numCache>
                <c:formatCode>General</c:formatCode>
                <c:ptCount val="5"/>
                <c:pt idx="0">
                  <c:v>840</c:v>
                </c:pt>
                <c:pt idx="1">
                  <c:v>542.5</c:v>
                </c:pt>
                <c:pt idx="2">
                  <c:v>498.4</c:v>
                </c:pt>
                <c:pt idx="3">
                  <c:v>334.6</c:v>
                </c:pt>
                <c:pt idx="4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1-4877-AA74-4ACBBA24A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7986080"/>
        <c:axId val="1117985752"/>
      </c:barChart>
      <c:catAx>
        <c:axId val="111798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7985752"/>
        <c:crosses val="autoZero"/>
        <c:auto val="1"/>
        <c:lblAlgn val="ctr"/>
        <c:lblOffset val="100"/>
        <c:noMultiLvlLbl val="0"/>
      </c:catAx>
      <c:valAx>
        <c:axId val="111798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1798608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COMPARAISON REEL-THEORIQUE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'Réel-Théorique HESSAP'!$B$1</c:f>
              <c:strCache>
                <c:ptCount val="1"/>
                <c:pt idx="0">
                  <c:v>Qté réelle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 HESSAP'!$A$2:$A$12</c:f>
              <c:strCache>
                <c:ptCount val="11"/>
                <c:pt idx="0">
                  <c:v>Z000 546 265</c:v>
                </c:pt>
                <c:pt idx="1">
                  <c:v>Z000 546 266</c:v>
                </c:pt>
                <c:pt idx="2">
                  <c:v>Z000 522 436</c:v>
                </c:pt>
                <c:pt idx="3">
                  <c:v>IM02 137 021</c:v>
                </c:pt>
                <c:pt idx="4">
                  <c:v>Z000 513 527</c:v>
                </c:pt>
                <c:pt idx="5">
                  <c:v>IM02 137 019</c:v>
                </c:pt>
                <c:pt idx="6">
                  <c:v>Z000 455 182</c:v>
                </c:pt>
                <c:pt idx="7">
                  <c:v>Z000 517 182</c:v>
                </c:pt>
                <c:pt idx="8">
                  <c:v>Z000 519 285</c:v>
                </c:pt>
                <c:pt idx="9">
                  <c:v>Z000 539 100</c:v>
                </c:pt>
                <c:pt idx="10">
                  <c:v>Z000 544 318</c:v>
                </c:pt>
              </c:strCache>
            </c:strRef>
          </c:cat>
          <c:val>
            <c:numRef>
              <c:f>'Réel-Théorique HESSAP'!$B$2:$B$12</c:f>
              <c:numCache>
                <c:formatCode>General</c:formatCode>
                <c:ptCount val="11"/>
                <c:pt idx="0">
                  <c:v>120</c:v>
                </c:pt>
                <c:pt idx="1">
                  <c:v>70</c:v>
                </c:pt>
                <c:pt idx="2">
                  <c:v>50</c:v>
                </c:pt>
                <c:pt idx="3">
                  <c:v>40</c:v>
                </c:pt>
                <c:pt idx="4">
                  <c:v>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D-4D39-88F5-5D11BC41AE88}"/>
            </c:ext>
          </c:extLst>
        </c:ser>
        <c:ser>
          <c:idx val="1"/>
          <c:order val="1"/>
          <c:tx>
            <c:strRef>
              <c:f>'Réel-Théorique HESSAP'!$C$1</c:f>
              <c:strCache>
                <c:ptCount val="1"/>
                <c:pt idx="0">
                  <c:v>Qté théorique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 HESSAP'!$A$2:$A$12</c:f>
              <c:strCache>
                <c:ptCount val="11"/>
                <c:pt idx="0">
                  <c:v>Z000 546 265</c:v>
                </c:pt>
                <c:pt idx="1">
                  <c:v>Z000 546 266</c:v>
                </c:pt>
                <c:pt idx="2">
                  <c:v>Z000 522 436</c:v>
                </c:pt>
                <c:pt idx="3">
                  <c:v>IM02 137 021</c:v>
                </c:pt>
                <c:pt idx="4">
                  <c:v>Z000 513 527</c:v>
                </c:pt>
                <c:pt idx="5">
                  <c:v>IM02 137 019</c:v>
                </c:pt>
                <c:pt idx="6">
                  <c:v>Z000 455 182</c:v>
                </c:pt>
                <c:pt idx="7">
                  <c:v>Z000 517 182</c:v>
                </c:pt>
                <c:pt idx="8">
                  <c:v>Z000 519 285</c:v>
                </c:pt>
                <c:pt idx="9">
                  <c:v>Z000 539 100</c:v>
                </c:pt>
                <c:pt idx="10">
                  <c:v>Z000 544 318</c:v>
                </c:pt>
              </c:strCache>
            </c:strRef>
          </c:cat>
          <c:val>
            <c:numRef>
              <c:f>'Réel-Théorique HESSAP'!$C$2:$C$12</c:f>
              <c:numCache>
                <c:formatCode>General</c:formatCode>
                <c:ptCount val="11"/>
                <c:pt idx="0">
                  <c:v>26</c:v>
                </c:pt>
                <c:pt idx="1">
                  <c:v>19</c:v>
                </c:pt>
                <c:pt idx="2">
                  <c:v>21</c:v>
                </c:pt>
                <c:pt idx="3">
                  <c:v>12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2D-4D39-88F5-5D11BC41AE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3724720"/>
        <c:axId val="2023725080"/>
      </c:barChart>
      <c:catAx>
        <c:axId val="202372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3725080"/>
        <c:crosses val="autoZero"/>
        <c:auto val="1"/>
        <c:lblAlgn val="ctr"/>
        <c:lblOffset val="100"/>
        <c:noMultiLvlLbl val="0"/>
      </c:catAx>
      <c:valAx>
        <c:axId val="202372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37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coûts totaux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878737787573392"/>
          <c:y val="7.9506966773847818E-2"/>
          <c:w val="0.7996337308852195"/>
          <c:h val="0.821729076469942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'Evolution coût HESSAPP'!$B$1</c:f>
              <c:strCache>
                <c:ptCount val="1"/>
                <c:pt idx="0">
                  <c:v>Coût plaquette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583145221971408E-2"/>
                  <c:y val="-4.28724544480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87-4268-A1D2-B03584870E00}"/>
                </c:ext>
              </c:extLst>
            </c:dLbl>
            <c:dLbl>
              <c:idx val="1"/>
              <c:layout>
                <c:manualLayout>
                  <c:x val="-3.9127163280662125E-2"/>
                  <c:y val="7.073954983922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7-4268-A1D2-B03584870E00}"/>
                </c:ext>
              </c:extLst>
            </c:dLbl>
            <c:dLbl>
              <c:idx val="2"/>
              <c:layout>
                <c:manualLayout>
                  <c:x val="-3.6117381489842094E-2"/>
                  <c:y val="7.71704180064307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F3-4D21-AA56-6C5376C0BC48}"/>
                </c:ext>
              </c:extLst>
            </c:dLbl>
            <c:dLbl>
              <c:idx val="3"/>
              <c:layout>
                <c:manualLayout>
                  <c:x val="-9.0293453724604969E-2"/>
                  <c:y val="-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E3-4091-984B-57EA8275D95C}"/>
                </c:ext>
              </c:extLst>
            </c:dLbl>
            <c:dLbl>
              <c:idx val="4"/>
              <c:layout>
                <c:manualLayout>
                  <c:x val="-8.4273890142964519E-2"/>
                  <c:y val="-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D8-458D-815A-F2CE9A28CCAE}"/>
                </c:ext>
              </c:extLst>
            </c:dLbl>
            <c:dLbl>
              <c:idx val="5"/>
              <c:layout>
                <c:manualLayout>
                  <c:x val="-9.6313017306245294E-2"/>
                  <c:y val="2.3579849946409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F3-4D21-AA56-6C5376C0BC48}"/>
                </c:ext>
              </c:extLst>
            </c:dLbl>
            <c:dLbl>
              <c:idx val="6"/>
              <c:layout>
                <c:manualLayout>
                  <c:x val="-8.4273890142964519E-2"/>
                  <c:y val="0.107181136120042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F3-4D21-AA56-6C5376C0BC48}"/>
                </c:ext>
              </c:extLst>
            </c:dLbl>
            <c:dLbl>
              <c:idx val="7"/>
              <c:layout>
                <c:manualLayout>
                  <c:x val="-9.0293453724604969E-2"/>
                  <c:y val="9.6463022508038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71-4EF5-90C0-97EEF534D107}"/>
                </c:ext>
              </c:extLst>
            </c:dLbl>
            <c:dLbl>
              <c:idx val="11"/>
              <c:layout>
                <c:manualLayout>
                  <c:x val="-2.2573363431151242E-2"/>
                  <c:y val="4.2872454448017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A3-4866-A1D7-094DCA9BBFFB}"/>
                </c:ext>
              </c:extLst>
            </c:dLbl>
            <c:dLbl>
              <c:idx val="12"/>
              <c:layout>
                <c:manualLayout>
                  <c:x val="-4.514672686230359E-3"/>
                  <c:y val="-5.14469453376206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E3-4AF0-A434-310923E4264B}"/>
                </c:ext>
              </c:extLst>
            </c:dLbl>
            <c:dLbl>
              <c:idx val="21"/>
              <c:layout>
                <c:manualLayout>
                  <c:x val="1.2590494176896443E-3"/>
                  <c:y val="1.929260450160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92-4DEA-99B7-E3300F87663A}"/>
                </c:ext>
              </c:extLst>
            </c:dLbl>
            <c:dLbl>
              <c:idx val="22"/>
              <c:layout>
                <c:manualLayout>
                  <c:x val="-6.0561903887014205E-2"/>
                  <c:y val="-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92-4DEA-99B7-E3300F87663A}"/>
                </c:ext>
              </c:extLst>
            </c:dLbl>
            <c:dLbl>
              <c:idx val="23"/>
              <c:layout>
                <c:manualLayout>
                  <c:x val="-2.4330897912629455E-2"/>
                  <c:y val="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06-43E2-9449-863C44F0C1C0}"/>
                </c:ext>
              </c:extLst>
            </c:dLbl>
            <c:dLbl>
              <c:idx val="24"/>
              <c:layout>
                <c:manualLayout>
                  <c:x val="-1.4598538747577567E-2"/>
                  <c:y val="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9B-4D22-98F1-11D11DFFA6DD}"/>
                </c:ext>
              </c:extLst>
            </c:dLbl>
            <c:dLbl>
              <c:idx val="25"/>
              <c:layout>
                <c:manualLayout>
                  <c:x val="-5.267096013468188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9B-4D22-98F1-11D11DFFA6DD}"/>
                </c:ext>
              </c:extLst>
            </c:dLbl>
            <c:dLbl>
              <c:idx val="26"/>
              <c:layout>
                <c:manualLayout>
                  <c:x val="-4.8661795825258557E-3"/>
                  <c:y val="-7.8598591843724714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B0-46A1-982B-018ED5F3D7B7}"/>
                </c:ext>
              </c:extLst>
            </c:dLbl>
            <c:dLbl>
              <c:idx val="28"/>
              <c:layout>
                <c:manualLayout>
                  <c:x val="-2.7231465310933213E-2"/>
                  <c:y val="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BE-41FE-9A18-171707D79991}"/>
                </c:ext>
              </c:extLst>
            </c:dLbl>
            <c:dLbl>
              <c:idx val="30"/>
              <c:layout>
                <c:manualLayout>
                  <c:x val="-2.3197174153757945E-2"/>
                  <c:y val="-8.36012861736334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BE-41FE-9A18-171707D79991}"/>
                </c:ext>
              </c:extLst>
            </c:dLbl>
            <c:dLbl>
              <c:idx val="31"/>
              <c:layout>
                <c:manualLayout>
                  <c:x val="-2.2188601364463979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BB-4B72-AC35-21A5B7E4636E}"/>
                </c:ext>
              </c:extLst>
            </c:dLbl>
            <c:dLbl>
              <c:idx val="32"/>
              <c:layout>
                <c:manualLayout>
                  <c:x val="-2.0171455785876344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BE-41FE-9A18-171707D79991}"/>
                </c:ext>
              </c:extLst>
            </c:dLbl>
            <c:dLbl>
              <c:idx val="33"/>
              <c:layout>
                <c:manualLayout>
                  <c:x val="-1.9162882996582673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0F-4FC7-B98F-145746768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HESSAPP'!$A$2:$A$49</c:f>
              <c:numCache>
                <c:formatCode>General</c:formatCode>
                <c:ptCount val="4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HESSAPP'!$B$2:$B$356</c:f>
              <c:numCache>
                <c:formatCode>#\ ##0.00\ "€"</c:formatCode>
                <c:ptCount val="355"/>
                <c:pt idx="0">
                  <c:v>2031.6</c:v>
                </c:pt>
                <c:pt idx="1">
                  <c:v>1996.2</c:v>
                </c:pt>
                <c:pt idx="2">
                  <c:v>2137.4</c:v>
                </c:pt>
                <c:pt idx="3">
                  <c:v>2957.5</c:v>
                </c:pt>
                <c:pt idx="4">
                  <c:v>2694.9</c:v>
                </c:pt>
                <c:pt idx="5">
                  <c:v>2655.4</c:v>
                </c:pt>
                <c:pt idx="6">
                  <c:v>2262.1999999999998</c:v>
                </c:pt>
                <c:pt idx="7">
                  <c:v>2232.4</c:v>
                </c:pt>
                <c:pt idx="8">
                  <c:v>2157.1</c:v>
                </c:pt>
                <c:pt idx="9">
                  <c:v>2578.3000000000002</c:v>
                </c:pt>
                <c:pt idx="10">
                  <c:v>1778.7</c:v>
                </c:pt>
                <c:pt idx="11">
                  <c:v>2493.4</c:v>
                </c:pt>
                <c:pt idx="12">
                  <c:v>2205</c:v>
                </c:pt>
                <c:pt idx="13">
                  <c:v>1967</c:v>
                </c:pt>
                <c:pt idx="14">
                  <c:v>1766.3</c:v>
                </c:pt>
                <c:pt idx="15">
                  <c:v>2184</c:v>
                </c:pt>
                <c:pt idx="16">
                  <c:v>1687.2</c:v>
                </c:pt>
                <c:pt idx="17">
                  <c:v>1649.4</c:v>
                </c:pt>
                <c:pt idx="18">
                  <c:v>1694.1</c:v>
                </c:pt>
                <c:pt idx="19">
                  <c:v>2290.3000000000002</c:v>
                </c:pt>
                <c:pt idx="20">
                  <c:v>1153.7</c:v>
                </c:pt>
                <c:pt idx="21">
                  <c:v>1047.8</c:v>
                </c:pt>
                <c:pt idx="22">
                  <c:v>1198.7</c:v>
                </c:pt>
                <c:pt idx="23">
                  <c:v>1436.3</c:v>
                </c:pt>
                <c:pt idx="24">
                  <c:v>1743.1</c:v>
                </c:pt>
                <c:pt idx="25">
                  <c:v>1485.1</c:v>
                </c:pt>
                <c:pt idx="26">
                  <c:v>1421</c:v>
                </c:pt>
                <c:pt idx="27">
                  <c:v>1291.5</c:v>
                </c:pt>
                <c:pt idx="28">
                  <c:v>2307.6</c:v>
                </c:pt>
                <c:pt idx="29">
                  <c:v>947.9</c:v>
                </c:pt>
                <c:pt idx="30">
                  <c:v>1081.0999999999999</c:v>
                </c:pt>
                <c:pt idx="31">
                  <c:v>2646.9</c:v>
                </c:pt>
                <c:pt idx="32">
                  <c:v>2149.6999999999998</c:v>
                </c:pt>
                <c:pt idx="33">
                  <c:v>2535.5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F3-4D21-AA56-6C5376C0BC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coût HESSAPP'!$C$1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E3-4091-984B-57EA8275D95C}"/>
                </c:ext>
              </c:extLst>
            </c:dLbl>
            <c:dLbl>
              <c:idx val="1"/>
              <c:layout>
                <c:manualLayout>
                  <c:x val="-4.514672686230254E-2"/>
                  <c:y val="-2.14362272240086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F3-4D21-AA56-6C5376C0BC48}"/>
                </c:ext>
              </c:extLst>
            </c:dLbl>
            <c:dLbl>
              <c:idx val="2"/>
              <c:layout>
                <c:manualLayout>
                  <c:x val="-6.1700526711813447E-2"/>
                  <c:y val="-1.929260450160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F3-4D21-AA56-6C5376C0BC48}"/>
                </c:ext>
              </c:extLst>
            </c:dLbl>
            <c:dLbl>
              <c:idx val="3"/>
              <c:layout>
                <c:manualLayout>
                  <c:x val="-6.0195635816403366E-2"/>
                  <c:y val="-8.574490889603469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F3-4D21-AA56-6C5376C0BC48}"/>
                </c:ext>
              </c:extLst>
            </c:dLbl>
            <c:dLbl>
              <c:idx val="4"/>
              <c:layout>
                <c:manualLayout>
                  <c:x val="-4.0632054176072234E-2"/>
                  <c:y val="6.85959271168274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D8-458D-815A-F2CE9A28CCAE}"/>
                </c:ext>
              </c:extLst>
            </c:dLbl>
            <c:dLbl>
              <c:idx val="5"/>
              <c:layout>
                <c:manualLayout>
                  <c:x val="9.0293453724604959E-3"/>
                  <c:y val="3.6441586280814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9B-4947-86D3-C7813E6B62C1}"/>
                </c:ext>
              </c:extLst>
            </c:dLbl>
            <c:dLbl>
              <c:idx val="6"/>
              <c:layout>
                <c:manualLayout>
                  <c:x val="-7.5244544770504143E-2"/>
                  <c:y val="-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D2-4C25-8C75-630F9E6E8BA4}"/>
                </c:ext>
              </c:extLst>
            </c:dLbl>
            <c:dLbl>
              <c:idx val="11"/>
              <c:layout>
                <c:manualLayout>
                  <c:x val="-4.2136945071482315E-2"/>
                  <c:y val="5.14469453376204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A3-4866-A1D7-094DCA9BBFFB}"/>
                </c:ext>
              </c:extLst>
            </c:dLbl>
            <c:dLbl>
              <c:idx val="15"/>
              <c:layout>
                <c:manualLayout>
                  <c:x val="-2.0144790683034309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92-4DEA-99B7-E3300F87663A}"/>
                </c:ext>
              </c:extLst>
            </c:dLbl>
            <c:dLbl>
              <c:idx val="16"/>
              <c:layout>
                <c:manualLayout>
                  <c:x val="-2.5180988353792885E-2"/>
                  <c:y val="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92-4DEA-99B7-E3300F87663A}"/>
                </c:ext>
              </c:extLst>
            </c:dLbl>
            <c:dLbl>
              <c:idx val="17"/>
              <c:layout>
                <c:manualLayout>
                  <c:x val="-8.8133459238275095E-3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92-4DEA-99B7-E3300F87663A}"/>
                </c:ext>
              </c:extLst>
            </c:dLbl>
            <c:dLbl>
              <c:idx val="19"/>
              <c:layout>
                <c:manualLayout>
                  <c:x val="-3.7771482530689331E-3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92-4DEA-99B7-E3300F87663A}"/>
                </c:ext>
              </c:extLst>
            </c:dLbl>
            <c:dLbl>
              <c:idx val="20"/>
              <c:layout>
                <c:manualLayout>
                  <c:x val="-2.7699087189172175E-2"/>
                  <c:y val="5.7877813504823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92-4DEA-99B7-E3300F87663A}"/>
                </c:ext>
              </c:extLst>
            </c:dLbl>
            <c:dLbl>
              <c:idx val="21"/>
              <c:layout>
                <c:manualLayout>
                  <c:x val="-3.7771482530689331E-3"/>
                  <c:y val="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92-4DEA-99B7-E3300F87663A}"/>
                </c:ext>
              </c:extLst>
            </c:dLbl>
            <c:dLbl>
              <c:idx val="22"/>
              <c:layout>
                <c:manualLayout>
                  <c:x val="-4.5325779036827198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92-4DEA-99B7-E3300F87663A}"/>
                </c:ext>
              </c:extLst>
            </c:dLbl>
            <c:dLbl>
              <c:idx val="23"/>
              <c:layout>
                <c:manualLayout>
                  <c:x val="-4.5012161138364162E-2"/>
                  <c:y val="-1.2861736334405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06-43E2-9449-863C44F0C1C0}"/>
                </c:ext>
              </c:extLst>
            </c:dLbl>
            <c:dLbl>
              <c:idx val="24"/>
              <c:layout>
                <c:manualLayout>
                  <c:x val="-3.6496346868943916E-2"/>
                  <c:y val="-1.7148981779206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C9B-4D22-98F1-11D11DFFA6DD}"/>
                </c:ext>
              </c:extLst>
            </c:dLbl>
            <c:dLbl>
              <c:idx val="26"/>
              <c:layout>
                <c:manualLayout>
                  <c:x val="2.817730010782199E-3"/>
                  <c:y val="-4.287245444801714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B0-46A1-982B-018ED5F3D7B7}"/>
                </c:ext>
              </c:extLst>
            </c:dLbl>
            <c:dLbl>
              <c:idx val="27"/>
              <c:layout>
                <c:manualLayout>
                  <c:x val="-4.0643518825540986E-2"/>
                  <c:y val="-6.430868167202611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2B-4B1B-81E9-322CFC405D0A}"/>
                </c:ext>
              </c:extLst>
            </c:dLbl>
            <c:dLbl>
              <c:idx val="28"/>
              <c:layout>
                <c:manualLayout>
                  <c:x val="-1.1094300682232137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2B-4B1B-81E9-322CFC405D0A}"/>
                </c:ext>
              </c:extLst>
            </c:dLbl>
            <c:dLbl>
              <c:idx val="29"/>
              <c:layout>
                <c:manualLayout>
                  <c:x val="-2.6222892521639247E-2"/>
                  <c:y val="3.42979635584136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BE-41FE-9A18-171707D79991}"/>
                </c:ext>
              </c:extLst>
            </c:dLbl>
            <c:dLbl>
              <c:idx val="30"/>
              <c:layout>
                <c:manualLayout>
                  <c:x val="-3.5300047625283604E-2"/>
                  <c:y val="1.50053590568060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0F-4FC7-B98F-145746768308}"/>
                </c:ext>
              </c:extLst>
            </c:dLbl>
            <c:dLbl>
              <c:idx val="31"/>
              <c:layout>
                <c:manualLayout>
                  <c:x val="-3.7317193203871384E-2"/>
                  <c:y val="-1.286173633440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BE-41FE-9A18-171707D79991}"/>
                </c:ext>
              </c:extLst>
            </c:dLbl>
            <c:dLbl>
              <c:idx val="32"/>
              <c:layout>
                <c:manualLayout>
                  <c:x val="-2.3197174153757796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0F-4FC7-B98F-145746768308}"/>
                </c:ext>
              </c:extLst>
            </c:dLbl>
            <c:dLbl>
              <c:idx val="33"/>
              <c:layout>
                <c:manualLayout>
                  <c:x val="-1.0085727892939652E-3"/>
                  <c:y val="-3.6441586280814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0F-4FC7-B98F-145746768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HESSAPP'!$A$2:$A$49</c:f>
              <c:numCache>
                <c:formatCode>General</c:formatCode>
                <c:ptCount val="4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</c:numCache>
            </c:numRef>
          </c:xVal>
          <c:yVal>
            <c:numRef>
              <c:f>'Evolution coût HESSAPP'!$C$2:$C$49</c:f>
              <c:numCache>
                <c:formatCode>General</c:formatCode>
                <c:ptCount val="48"/>
                <c:pt idx="0">
                  <c:v>9131</c:v>
                </c:pt>
                <c:pt idx="1">
                  <c:v>10849</c:v>
                </c:pt>
                <c:pt idx="2">
                  <c:v>11226</c:v>
                </c:pt>
                <c:pt idx="3">
                  <c:v>15780</c:v>
                </c:pt>
                <c:pt idx="4">
                  <c:v>14337</c:v>
                </c:pt>
                <c:pt idx="5">
                  <c:v>15197</c:v>
                </c:pt>
                <c:pt idx="6">
                  <c:v>12626</c:v>
                </c:pt>
                <c:pt idx="7">
                  <c:v>11270</c:v>
                </c:pt>
                <c:pt idx="8">
                  <c:v>11328</c:v>
                </c:pt>
                <c:pt idx="9">
                  <c:v>13377</c:v>
                </c:pt>
                <c:pt idx="10">
                  <c:v>11220</c:v>
                </c:pt>
                <c:pt idx="11">
                  <c:v>10858</c:v>
                </c:pt>
                <c:pt idx="12">
                  <c:v>10395</c:v>
                </c:pt>
                <c:pt idx="13">
                  <c:v>11106</c:v>
                </c:pt>
                <c:pt idx="14">
                  <c:v>7839</c:v>
                </c:pt>
                <c:pt idx="15">
                  <c:v>8350</c:v>
                </c:pt>
                <c:pt idx="16">
                  <c:v>8529</c:v>
                </c:pt>
                <c:pt idx="17">
                  <c:v>7623</c:v>
                </c:pt>
                <c:pt idx="18">
                  <c:v>6946</c:v>
                </c:pt>
                <c:pt idx="19">
                  <c:v>8633</c:v>
                </c:pt>
                <c:pt idx="20">
                  <c:v>6483</c:v>
                </c:pt>
                <c:pt idx="21">
                  <c:v>3905</c:v>
                </c:pt>
                <c:pt idx="22">
                  <c:v>7300</c:v>
                </c:pt>
                <c:pt idx="23">
                  <c:v>9025</c:v>
                </c:pt>
                <c:pt idx="24">
                  <c:v>5847</c:v>
                </c:pt>
                <c:pt idx="25">
                  <c:v>8442</c:v>
                </c:pt>
                <c:pt idx="26">
                  <c:v>8600</c:v>
                </c:pt>
                <c:pt idx="27">
                  <c:v>5945</c:v>
                </c:pt>
                <c:pt idx="28">
                  <c:v>12611</c:v>
                </c:pt>
                <c:pt idx="29">
                  <c:v>4633</c:v>
                </c:pt>
                <c:pt idx="30">
                  <c:v>5763</c:v>
                </c:pt>
                <c:pt idx="31">
                  <c:v>8768</c:v>
                </c:pt>
                <c:pt idx="32">
                  <c:v>7883</c:v>
                </c:pt>
                <c:pt idx="33">
                  <c:v>8149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F3-4D21-AA56-6C5376C0BC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  <c:min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Coût des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quantités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6349395377496548E-2"/>
          <c:y val="7.5219721329046085E-2"/>
          <c:w val="0.83658638606968716"/>
          <c:h val="0.821729076469942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'Evolution quantité HESSAP'!$B$1</c:f>
              <c:strCache>
                <c:ptCount val="1"/>
                <c:pt idx="0">
                  <c:v>Quantité plaquette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4176072234762979E-2"/>
                  <c:y val="-4.287245444801714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60-4BE7-A0E5-19B2FEFDA123}"/>
                </c:ext>
              </c:extLst>
            </c:dLbl>
            <c:dLbl>
              <c:idx val="1"/>
              <c:layout>
                <c:manualLayout>
                  <c:x val="2.5583145221971408E-2"/>
                  <c:y val="8.1457663451232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60-4BE7-A0E5-19B2FEFDA123}"/>
                </c:ext>
              </c:extLst>
            </c:dLbl>
            <c:dLbl>
              <c:idx val="8"/>
              <c:layout>
                <c:manualLayout>
                  <c:x val="-4.8156508653122647E-2"/>
                  <c:y val="9.0032154340836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F9-42BC-AB50-DA03155B5C04}"/>
                </c:ext>
              </c:extLst>
            </c:dLbl>
            <c:dLbl>
              <c:idx val="9"/>
              <c:layout>
                <c:manualLayout>
                  <c:x val="-1.0534236267870579E-2"/>
                  <c:y val="7.9314040728831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E7-498E-A47E-E11803213988}"/>
                </c:ext>
              </c:extLst>
            </c:dLbl>
            <c:dLbl>
              <c:idx val="10"/>
              <c:layout>
                <c:manualLayout>
                  <c:x val="-5.2671181339352897E-2"/>
                  <c:y val="-3.85852090032154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E7-498E-A47E-E11803213988}"/>
                </c:ext>
              </c:extLst>
            </c:dLbl>
            <c:dLbl>
              <c:idx val="11"/>
              <c:layout>
                <c:manualLayout>
                  <c:x val="-3.9127163280662153E-2"/>
                  <c:y val="-8.78885316184352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E7-498E-A47E-E11803213988}"/>
                </c:ext>
              </c:extLst>
            </c:dLbl>
            <c:dLbl>
              <c:idx val="12"/>
              <c:layout>
                <c:manualLayout>
                  <c:x val="-4.5146726862302373E-2"/>
                  <c:y val="8.57449088960342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E7-498E-A47E-E11803213988}"/>
                </c:ext>
              </c:extLst>
            </c:dLbl>
            <c:dLbl>
              <c:idx val="14"/>
              <c:layout>
                <c:manualLayout>
                  <c:x val="-5.9819413092550788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E7-498E-A47E-E11803213988}"/>
                </c:ext>
              </c:extLst>
            </c:dLbl>
            <c:dLbl>
              <c:idx val="27"/>
              <c:layout>
                <c:manualLayout>
                  <c:x val="-4.7746941211579512E-3"/>
                  <c:y val="-4.0728831725616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E7-498E-A47E-E11803213988}"/>
                </c:ext>
              </c:extLst>
            </c:dLbl>
            <c:dLbl>
              <c:idx val="28"/>
              <c:layout>
                <c:manualLayout>
                  <c:x val="-3.7003879438973437E-2"/>
                  <c:y val="-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E7-498E-A47E-E11803213988}"/>
                </c:ext>
              </c:extLst>
            </c:dLbl>
            <c:dLbl>
              <c:idx val="29"/>
              <c:layout>
                <c:manualLayout>
                  <c:x val="-2.7850302067958025E-2"/>
                  <c:y val="8.574490889603429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E7-498E-A47E-E11803213988}"/>
                </c:ext>
              </c:extLst>
            </c:dLbl>
            <c:dLbl>
              <c:idx val="31"/>
              <c:layout>
                <c:manualLayout>
                  <c:x val="-3.3742328571701161E-2"/>
                  <c:y val="2.1436227224008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E7-498E-A47E-E11803213988}"/>
                </c:ext>
              </c:extLst>
            </c:dLbl>
            <c:dLbl>
              <c:idx val="36"/>
              <c:layout>
                <c:manualLayout>
                  <c:x val="-3.9877297402919551E-2"/>
                  <c:y val="2.143622722400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E7-498E-A47E-E118032139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 HESSAP'!$A$2:$A$44</c:f>
              <c:numCache>
                <c:formatCode>General</c:formatCode>
                <c:ptCount val="4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</c:numCache>
            </c:numRef>
          </c:xVal>
          <c:yVal>
            <c:numRef>
              <c:f>'Evolution quantité HESSAP'!$B$2:$B$49</c:f>
              <c:numCache>
                <c:formatCode>General</c:formatCode>
                <c:ptCount val="48"/>
                <c:pt idx="0">
                  <c:v>250</c:v>
                </c:pt>
                <c:pt idx="1">
                  <c:v>245</c:v>
                </c:pt>
                <c:pt idx="2" formatCode="0">
                  <c:v>265</c:v>
                </c:pt>
                <c:pt idx="3" formatCode="0">
                  <c:v>360</c:v>
                </c:pt>
                <c:pt idx="4" formatCode="0">
                  <c:v>330</c:v>
                </c:pt>
                <c:pt idx="5" formatCode="0">
                  <c:v>335</c:v>
                </c:pt>
                <c:pt idx="6" formatCode="0">
                  <c:v>270</c:v>
                </c:pt>
                <c:pt idx="7" formatCode="0">
                  <c:v>265</c:v>
                </c:pt>
                <c:pt idx="8" formatCode="0">
                  <c:v>270</c:v>
                </c:pt>
                <c:pt idx="9" formatCode="0">
                  <c:v>315</c:v>
                </c:pt>
                <c:pt idx="10" formatCode="0">
                  <c:v>215</c:v>
                </c:pt>
                <c:pt idx="11" formatCode="0">
                  <c:v>315</c:v>
                </c:pt>
                <c:pt idx="12" formatCode="0">
                  <c:v>275</c:v>
                </c:pt>
                <c:pt idx="13" formatCode="0">
                  <c:v>250</c:v>
                </c:pt>
                <c:pt idx="14" formatCode="0">
                  <c:v>220</c:v>
                </c:pt>
                <c:pt idx="15" formatCode="0">
                  <c:v>270</c:v>
                </c:pt>
                <c:pt idx="16" formatCode="0">
                  <c:v>210</c:v>
                </c:pt>
                <c:pt idx="17" formatCode="0">
                  <c:v>200</c:v>
                </c:pt>
                <c:pt idx="18" formatCode="0">
                  <c:v>215</c:v>
                </c:pt>
                <c:pt idx="19" formatCode="0">
                  <c:v>285</c:v>
                </c:pt>
                <c:pt idx="20" formatCode="0">
                  <c:v>140</c:v>
                </c:pt>
                <c:pt idx="21" formatCode="0">
                  <c:v>125</c:v>
                </c:pt>
                <c:pt idx="22" formatCode="0">
                  <c:v>210</c:v>
                </c:pt>
                <c:pt idx="23" formatCode="0">
                  <c:v>180</c:v>
                </c:pt>
                <c:pt idx="24" formatCode="0">
                  <c:v>220</c:v>
                </c:pt>
                <c:pt idx="25" formatCode="0">
                  <c:v>180</c:v>
                </c:pt>
                <c:pt idx="26" formatCode="0">
                  <c:v>180</c:v>
                </c:pt>
                <c:pt idx="27" formatCode="0">
                  <c:v>160</c:v>
                </c:pt>
                <c:pt idx="28" formatCode="0">
                  <c:v>275</c:v>
                </c:pt>
                <c:pt idx="29" formatCode="0">
                  <c:v>120</c:v>
                </c:pt>
                <c:pt idx="30" formatCode="0">
                  <c:v>135</c:v>
                </c:pt>
                <c:pt idx="31" formatCode="0">
                  <c:v>325</c:v>
                </c:pt>
                <c:pt idx="32" formatCode="0">
                  <c:v>270</c:v>
                </c:pt>
                <c:pt idx="33" formatCode="0">
                  <c:v>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A5-49EE-AEF9-9B266BC221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quantité HESSAP'!$C$1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097817908201654E-3"/>
                  <c:y val="3.215434083601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0-4BE7-A0E5-19B2FEFDA123}"/>
                </c:ext>
              </c:extLst>
            </c:dLbl>
            <c:dLbl>
              <c:idx val="1"/>
              <c:layout>
                <c:manualLayout>
                  <c:x val="-7.2234762979683967E-2"/>
                  <c:y val="-9.6463022508038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A5-49EE-AEF9-9B266BC221F4}"/>
                </c:ext>
              </c:extLst>
            </c:dLbl>
            <c:dLbl>
              <c:idx val="8"/>
              <c:layout>
                <c:manualLayout>
                  <c:x val="-8.1264108352144468E-2"/>
                  <c:y val="-6.0021436227224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F9-42BC-AB50-DA03155B5C04}"/>
                </c:ext>
              </c:extLst>
            </c:dLbl>
            <c:dLbl>
              <c:idx val="9"/>
              <c:layout>
                <c:manualLayout>
                  <c:x val="-7.3739653875094055E-2"/>
                  <c:y val="-8.574490889603429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E7-498E-A47E-E11803213988}"/>
                </c:ext>
              </c:extLst>
            </c:dLbl>
            <c:dLbl>
              <c:idx val="10"/>
              <c:layout>
                <c:manualLayout>
                  <c:x val="-4.5146726862302373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E7-498E-A47E-E11803213988}"/>
                </c:ext>
              </c:extLst>
            </c:dLbl>
            <c:dLbl>
              <c:idx val="11"/>
              <c:layout>
                <c:manualLayout>
                  <c:x val="-7.9759217456734394E-2"/>
                  <c:y val="5.1446945337620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E7-498E-A47E-E11803213988}"/>
                </c:ext>
              </c:extLst>
            </c:dLbl>
            <c:dLbl>
              <c:idx val="12"/>
              <c:layout>
                <c:manualLayout>
                  <c:x val="-6.1700526711813392E-2"/>
                  <c:y val="-9.0032154340836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E7-498E-A47E-E11803213988}"/>
                </c:ext>
              </c:extLst>
            </c:dLbl>
            <c:dLbl>
              <c:idx val="13"/>
              <c:layout>
                <c:manualLayout>
                  <c:x val="-3.160270880361174E-2"/>
                  <c:y val="-5.62700964630225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E7-498E-A47E-E11803213988}"/>
                </c:ext>
              </c:extLst>
            </c:dLbl>
            <c:dLbl>
              <c:idx val="14"/>
              <c:layout>
                <c:manualLayout>
                  <c:x val="-6.2076749435665803E-2"/>
                  <c:y val="-5.62700964630225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E7-498E-A47E-E11803213988}"/>
                </c:ext>
              </c:extLst>
            </c:dLbl>
            <c:dLbl>
              <c:idx val="22"/>
              <c:layout>
                <c:manualLayout>
                  <c:x val="-2.5067144136078783E-2"/>
                  <c:y val="3.6441586280814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7F4-43F8-8BB8-884235E4F8E0}"/>
                </c:ext>
              </c:extLst>
            </c:dLbl>
            <c:dLbl>
              <c:idx val="23"/>
              <c:layout>
                <c:manualLayout>
                  <c:x val="1.0743061772605193E-2"/>
                  <c:y val="-1.929260450160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5C-48B5-93C9-2D101A84546E}"/>
                </c:ext>
              </c:extLst>
            </c:dLbl>
            <c:dLbl>
              <c:idx val="25"/>
              <c:layout>
                <c:manualLayout>
                  <c:x val="-1.074306177260528E-2"/>
                  <c:y val="-2.78670953912111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0E7-498E-A47E-E11803213988}"/>
                </c:ext>
              </c:extLst>
            </c:dLbl>
            <c:dLbl>
              <c:idx val="26"/>
              <c:layout>
                <c:manualLayout>
                  <c:x val="-2.506714413607887E-2"/>
                  <c:y val="4.7159699892818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0E7-498E-A47E-E11803213988}"/>
                </c:ext>
              </c:extLst>
            </c:dLbl>
            <c:dLbl>
              <c:idx val="27"/>
              <c:layout>
                <c:manualLayout>
                  <c:x val="-4.7746941211579512E-3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9B-42CF-8437-F68CA705D414}"/>
                </c:ext>
              </c:extLst>
            </c:dLbl>
            <c:dLbl>
              <c:idx val="28"/>
              <c:layout>
                <c:manualLayout>
                  <c:x val="-3.3422858848105044E-2"/>
                  <c:y val="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9B-42CF-8437-F68CA705D414}"/>
                </c:ext>
              </c:extLst>
            </c:dLbl>
            <c:dLbl>
              <c:idx val="29"/>
              <c:layout>
                <c:manualLayout>
                  <c:x val="-4.6417170113263378E-2"/>
                  <c:y val="-6.430868167202572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0E7-498E-A47E-E11803213988}"/>
                </c:ext>
              </c:extLst>
            </c:dLbl>
            <c:dLbl>
              <c:idx val="30"/>
              <c:layout>
                <c:manualLayout>
                  <c:x val="-3.0674844156091962E-2"/>
                  <c:y val="-2.1436227224008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0E7-498E-A47E-E11803213988}"/>
                </c:ext>
              </c:extLst>
            </c:dLbl>
            <c:dLbl>
              <c:idx val="33"/>
              <c:layout>
                <c:manualLayout>
                  <c:x val="0"/>
                  <c:y val="-3.2154340836012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60-46EB-BE52-8EECA35CE40F}"/>
                </c:ext>
              </c:extLst>
            </c:dLbl>
            <c:dLbl>
              <c:idx val="34"/>
              <c:layout>
                <c:manualLayout>
                  <c:x val="-9.2024532468275889E-3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0E7-498E-A47E-E11803213988}"/>
                </c:ext>
              </c:extLst>
            </c:dLbl>
            <c:dLbl>
              <c:idx val="37"/>
              <c:layout>
                <c:manualLayout>
                  <c:x val="-3.0674844156092115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0E7-498E-A47E-E11803213988}"/>
                </c:ext>
              </c:extLst>
            </c:dLbl>
            <c:dLbl>
              <c:idx val="38"/>
              <c:layout>
                <c:manualLayout>
                  <c:x val="-2.0449896104061459E-2"/>
                  <c:y val="-1.9292604501607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0E7-498E-A47E-E11803213988}"/>
                </c:ext>
              </c:extLst>
            </c:dLbl>
            <c:dLbl>
              <c:idx val="39"/>
              <c:layout>
                <c:manualLayout>
                  <c:x val="-1.9427401298858244E-2"/>
                  <c:y val="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0E7-498E-A47E-E118032139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 HESSAP'!$A$2:$A$44</c:f>
              <c:numCache>
                <c:formatCode>General</c:formatCode>
                <c:ptCount val="4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</c:numCache>
            </c:numRef>
          </c:xVal>
          <c:yVal>
            <c:numRef>
              <c:f>'Evolution quantité HESSAP'!$C$2:$C$49</c:f>
              <c:numCache>
                <c:formatCode>General</c:formatCode>
                <c:ptCount val="48"/>
                <c:pt idx="0">
                  <c:v>9131</c:v>
                </c:pt>
                <c:pt idx="1">
                  <c:v>10849</c:v>
                </c:pt>
                <c:pt idx="2">
                  <c:v>11226</c:v>
                </c:pt>
                <c:pt idx="3">
                  <c:v>15780</c:v>
                </c:pt>
                <c:pt idx="4">
                  <c:v>14337</c:v>
                </c:pt>
                <c:pt idx="5">
                  <c:v>15197</c:v>
                </c:pt>
                <c:pt idx="6">
                  <c:v>12626</c:v>
                </c:pt>
                <c:pt idx="7">
                  <c:v>11270</c:v>
                </c:pt>
                <c:pt idx="8">
                  <c:v>11328</c:v>
                </c:pt>
                <c:pt idx="9">
                  <c:v>13377</c:v>
                </c:pt>
                <c:pt idx="10">
                  <c:v>11220</c:v>
                </c:pt>
                <c:pt idx="11">
                  <c:v>10858</c:v>
                </c:pt>
                <c:pt idx="12">
                  <c:v>10395</c:v>
                </c:pt>
                <c:pt idx="13">
                  <c:v>11106</c:v>
                </c:pt>
                <c:pt idx="14">
                  <c:v>7839</c:v>
                </c:pt>
                <c:pt idx="15">
                  <c:v>8350</c:v>
                </c:pt>
                <c:pt idx="16">
                  <c:v>8529</c:v>
                </c:pt>
                <c:pt idx="17">
                  <c:v>7623</c:v>
                </c:pt>
                <c:pt idx="18">
                  <c:v>6946</c:v>
                </c:pt>
                <c:pt idx="19">
                  <c:v>8633</c:v>
                </c:pt>
                <c:pt idx="20">
                  <c:v>6483</c:v>
                </c:pt>
                <c:pt idx="21">
                  <c:v>3905</c:v>
                </c:pt>
                <c:pt idx="22">
                  <c:v>7300</c:v>
                </c:pt>
                <c:pt idx="23">
                  <c:v>9025</c:v>
                </c:pt>
                <c:pt idx="24">
                  <c:v>5847</c:v>
                </c:pt>
                <c:pt idx="25">
                  <c:v>8442</c:v>
                </c:pt>
                <c:pt idx="26">
                  <c:v>8600</c:v>
                </c:pt>
                <c:pt idx="27">
                  <c:v>5945</c:v>
                </c:pt>
                <c:pt idx="28">
                  <c:v>12611</c:v>
                </c:pt>
                <c:pt idx="29">
                  <c:v>4633</c:v>
                </c:pt>
                <c:pt idx="30">
                  <c:v>5763</c:v>
                </c:pt>
                <c:pt idx="31">
                  <c:v>8768</c:v>
                </c:pt>
                <c:pt idx="32">
                  <c:v>7883</c:v>
                </c:pt>
                <c:pt idx="33">
                  <c:v>8149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A5-49EE-AEF9-9B266BC221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  <c:min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de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/>
              <a:t>Evolution coût pièces HESSAP 302x26</a:t>
            </a:r>
            <a:r>
              <a:rPr lang="fr-FR" sz="1600" baseline="0"/>
              <a:t> RPI</a:t>
            </a:r>
            <a:endParaRPr lang="fr-FR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 HESSAP'!$B$1</c:f>
              <c:strCache>
                <c:ptCount val="1"/>
                <c:pt idx="0">
                  <c:v>302x26 RPI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94-4760-B7B8-832591FED65B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94-4760-B7B8-832591FED65B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94-4760-B7B8-832591FED65B}"/>
                </c:ext>
              </c:extLst>
            </c:dLbl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94-4760-B7B8-832591FED65B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94-4760-B7B8-832591FED65B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94-4760-B7B8-832591FED65B}"/>
                </c:ext>
              </c:extLst>
            </c:dLbl>
            <c:dLbl>
              <c:idx val="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94-4760-B7B8-832591FED65B}"/>
                </c:ext>
              </c:extLst>
            </c:dLbl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94-4760-B7B8-832591FED65B}"/>
                </c:ext>
              </c:extLst>
            </c:dLbl>
            <c:dLbl>
              <c:idx val="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94-4760-B7B8-832591FED65B}"/>
                </c:ext>
              </c:extLst>
            </c:dLbl>
            <c:dLbl>
              <c:idx val="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94-4760-B7B8-832591FED65B}"/>
                </c:ext>
              </c:extLst>
            </c:dLbl>
            <c:dLbl>
              <c:idx val="1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94-4760-B7B8-832591FED65B}"/>
                </c:ext>
              </c:extLst>
            </c:dLbl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94-4760-B7B8-832591FED65B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94-4760-B7B8-832591FED65B}"/>
                </c:ext>
              </c:extLst>
            </c:dLbl>
            <c:dLbl>
              <c:idx val="1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194-4760-B7B8-832591FED65B}"/>
                </c:ext>
              </c:extLst>
            </c:dLbl>
            <c:dLbl>
              <c:idx val="1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194-4760-B7B8-832591FED65B}"/>
                </c:ext>
              </c:extLst>
            </c:dLbl>
            <c:dLbl>
              <c:idx val="1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194-4760-B7B8-832591FED65B}"/>
                </c:ext>
              </c:extLst>
            </c:dLbl>
            <c:dLbl>
              <c:idx val="1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194-4760-B7B8-832591FED65B}"/>
                </c:ext>
              </c:extLst>
            </c:dLbl>
            <c:dLbl>
              <c:idx val="1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194-4760-B7B8-832591FED65B}"/>
                </c:ext>
              </c:extLst>
            </c:dLbl>
            <c:dLbl>
              <c:idx val="18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194-4760-B7B8-832591FED65B}"/>
                </c:ext>
              </c:extLst>
            </c:dLbl>
            <c:dLbl>
              <c:idx val="1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194-4760-B7B8-832591FED65B}"/>
                </c:ext>
              </c:extLst>
            </c:dLbl>
            <c:dLbl>
              <c:idx val="2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194-4760-B7B8-832591FED65B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94-4760-B7B8-832591FED65B}"/>
                </c:ext>
              </c:extLst>
            </c:dLbl>
            <c:dLbl>
              <c:idx val="2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94-4760-B7B8-832591FED65B}"/>
                </c:ext>
              </c:extLst>
            </c:dLbl>
            <c:dLbl>
              <c:idx val="2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194-4760-B7B8-832591FED65B}"/>
                </c:ext>
              </c:extLst>
            </c:dLbl>
            <c:dLbl>
              <c:idx val="2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194-4760-B7B8-832591FED65B}"/>
                </c:ext>
              </c:extLst>
            </c:dLbl>
            <c:dLbl>
              <c:idx val="2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194-4760-B7B8-832591FED65B}"/>
                </c:ext>
              </c:extLst>
            </c:dLbl>
            <c:dLbl>
              <c:idx val="2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FC-4070-A678-DA801933D5D3}"/>
                </c:ext>
              </c:extLst>
            </c:dLbl>
            <c:dLbl>
              <c:idx val="2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49-4971-A9BB-20C803CE0F71}"/>
                </c:ext>
              </c:extLst>
            </c:dLbl>
            <c:dLbl>
              <c:idx val="28"/>
              <c:layout>
                <c:manualLayout>
                  <c:x val="3.2037664250717897E-3"/>
                  <c:y val="-2.18171516794183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910248396681195E-2"/>
                      <c:h val="2.275222011112831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B50-4F67-9584-EF6B97F2AE5A}"/>
                </c:ext>
              </c:extLst>
            </c:dLbl>
            <c:dLbl>
              <c:idx val="29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1-4C1E-9AEB-DFA39BE6E253}"/>
                </c:ext>
              </c:extLst>
            </c:dLbl>
            <c:dLbl>
              <c:idx val="30"/>
              <c:layout>
                <c:manualLayout>
                  <c:x val="-8.5475656606864986E-3"/>
                  <c:y val="-8.52851278163307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BB-4254-9C2C-B3EA0DBC4A0E}"/>
                </c:ext>
              </c:extLst>
            </c:dLbl>
            <c:dLbl>
              <c:idx val="31"/>
              <c:layout>
                <c:manualLayout>
                  <c:x val="-2.3760096393941461E-2"/>
                  <c:y val="2.5642340287884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DA-42DB-B045-84A08614568A}"/>
                </c:ext>
              </c:extLst>
            </c:dLbl>
            <c:dLbl>
              <c:idx val="3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1D-4AE7-BAEC-F897FD7BB500}"/>
                </c:ext>
              </c:extLst>
            </c:dLbl>
            <c:dLbl>
              <c:idx val="3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71-439E-8E34-C09453B6099C}"/>
                </c:ext>
              </c:extLst>
            </c:dLbl>
            <c:dLbl>
              <c:idx val="34"/>
              <c:layout>
                <c:manualLayout>
                  <c:x val="-3.7704916232758505E-2"/>
                  <c:y val="2.18455788357156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71-439E-8E34-C09453B6099C}"/>
                </c:ext>
              </c:extLst>
            </c:dLbl>
            <c:dLbl>
              <c:idx val="3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EE-4710-A84B-404F51F1E82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 HESSAP'!$A$2:$A$10000</c:f>
              <c:numCache>
                <c:formatCode>General</c:formatCode>
                <c:ptCount val="99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</c:numCache>
            </c:numRef>
          </c:xVal>
          <c:yVal>
            <c:numRef>
              <c:f>'Evolution coût pièce HESSAP'!$B$2:$B$10000</c:f>
              <c:numCache>
                <c:formatCode>General</c:formatCode>
                <c:ptCount val="9999"/>
                <c:pt idx="0">
                  <c:v>0.214</c:v>
                </c:pt>
                <c:pt idx="1">
                  <c:v>0.184</c:v>
                </c:pt>
                <c:pt idx="2">
                  <c:v>0.19</c:v>
                </c:pt>
                <c:pt idx="3">
                  <c:v>0.187</c:v>
                </c:pt>
                <c:pt idx="4">
                  <c:v>0.188</c:v>
                </c:pt>
                <c:pt idx="5">
                  <c:v>0.17499999999999999</c:v>
                </c:pt>
                <c:pt idx="6">
                  <c:v>0.17899999999999999</c:v>
                </c:pt>
                <c:pt idx="7">
                  <c:v>0.19800000000000001</c:v>
                </c:pt>
                <c:pt idx="8">
                  <c:v>0.19</c:v>
                </c:pt>
                <c:pt idx="9">
                  <c:v>0.193</c:v>
                </c:pt>
                <c:pt idx="10">
                  <c:v>0.159</c:v>
                </c:pt>
                <c:pt idx="11">
                  <c:v>0.223</c:v>
                </c:pt>
                <c:pt idx="12">
                  <c:v>0.21199999999999999</c:v>
                </c:pt>
                <c:pt idx="13">
                  <c:v>0.17799999999999999</c:v>
                </c:pt>
                <c:pt idx="14">
                  <c:v>0.219</c:v>
                </c:pt>
                <c:pt idx="15">
                  <c:v>0.26200000000000001</c:v>
                </c:pt>
                <c:pt idx="16">
                  <c:v>0.19800000000000001</c:v>
                </c:pt>
                <c:pt idx="17">
                  <c:v>0.216</c:v>
                </c:pt>
                <c:pt idx="18">
                  <c:v>0.24399999999999999</c:v>
                </c:pt>
                <c:pt idx="19">
                  <c:v>0.26500000000000001</c:v>
                </c:pt>
                <c:pt idx="20">
                  <c:v>0.17799999999999999</c:v>
                </c:pt>
                <c:pt idx="21">
                  <c:v>0.26800000000000002</c:v>
                </c:pt>
                <c:pt idx="22">
                  <c:v>0.23300000000000001</c:v>
                </c:pt>
                <c:pt idx="23">
                  <c:v>0.159</c:v>
                </c:pt>
                <c:pt idx="24">
                  <c:v>0.29799999999999999</c:v>
                </c:pt>
                <c:pt idx="25">
                  <c:v>0.16800000000000001</c:v>
                </c:pt>
                <c:pt idx="26">
                  <c:v>0.157</c:v>
                </c:pt>
                <c:pt idx="27">
                  <c:v>0.217</c:v>
                </c:pt>
                <c:pt idx="28">
                  <c:v>0.183</c:v>
                </c:pt>
                <c:pt idx="29">
                  <c:v>0.20399999999999999</c:v>
                </c:pt>
                <c:pt idx="30">
                  <c:v>0.17499999999999999</c:v>
                </c:pt>
                <c:pt idx="31">
                  <c:v>0.30199999999999999</c:v>
                </c:pt>
                <c:pt idx="32">
                  <c:v>0.27200000000000002</c:v>
                </c:pt>
                <c:pt idx="33">
                  <c:v>0.311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1A-4D58-9F84-62CC40CBABE3}"/>
            </c:ext>
          </c:extLst>
        </c:ser>
        <c:ser>
          <c:idx val="1"/>
          <c:order val="1"/>
          <c:tx>
            <c:strRef>
              <c:f>'Evolution coût pièce HESSAP'!$C$1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bg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'Evolution coût pièce HESSAP'!$A$2:$A$10000</c:f>
              <c:numCache>
                <c:formatCode>General</c:formatCode>
                <c:ptCount val="999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</c:numCache>
            </c:numRef>
          </c:xVal>
          <c:yVal>
            <c:numRef>
              <c:f>'Evolution coût pièce HESSAP'!$C$2:$C$10000</c:f>
              <c:numCache>
                <c:formatCode>General</c:formatCode>
                <c:ptCount val="9999"/>
                <c:pt idx="0">
                  <c:v>0.129</c:v>
                </c:pt>
                <c:pt idx="1">
                  <c:v>0.129</c:v>
                </c:pt>
                <c:pt idx="2">
                  <c:v>0.129</c:v>
                </c:pt>
                <c:pt idx="3">
                  <c:v>0.129</c:v>
                </c:pt>
                <c:pt idx="4">
                  <c:v>0.129</c:v>
                </c:pt>
                <c:pt idx="5">
                  <c:v>0.129</c:v>
                </c:pt>
                <c:pt idx="6">
                  <c:v>0.129</c:v>
                </c:pt>
                <c:pt idx="7">
                  <c:v>0.129</c:v>
                </c:pt>
                <c:pt idx="8">
                  <c:v>0.129</c:v>
                </c:pt>
                <c:pt idx="9">
                  <c:v>0.129</c:v>
                </c:pt>
                <c:pt idx="10">
                  <c:v>0.129</c:v>
                </c:pt>
                <c:pt idx="11">
                  <c:v>0.129</c:v>
                </c:pt>
                <c:pt idx="12">
                  <c:v>0.129</c:v>
                </c:pt>
                <c:pt idx="13">
                  <c:v>0.129</c:v>
                </c:pt>
                <c:pt idx="14">
                  <c:v>0.129</c:v>
                </c:pt>
                <c:pt idx="15">
                  <c:v>0.129</c:v>
                </c:pt>
                <c:pt idx="16">
                  <c:v>0.129</c:v>
                </c:pt>
                <c:pt idx="17">
                  <c:v>0.129</c:v>
                </c:pt>
                <c:pt idx="18">
                  <c:v>0.129</c:v>
                </c:pt>
                <c:pt idx="19">
                  <c:v>0.129</c:v>
                </c:pt>
                <c:pt idx="20">
                  <c:v>0.129</c:v>
                </c:pt>
                <c:pt idx="21">
                  <c:v>0.129</c:v>
                </c:pt>
                <c:pt idx="22">
                  <c:v>0.129</c:v>
                </c:pt>
                <c:pt idx="23">
                  <c:v>0.129</c:v>
                </c:pt>
                <c:pt idx="24">
                  <c:v>0.129</c:v>
                </c:pt>
                <c:pt idx="25">
                  <c:v>0.129</c:v>
                </c:pt>
                <c:pt idx="26">
                  <c:v>0.129</c:v>
                </c:pt>
                <c:pt idx="27">
                  <c:v>0.129</c:v>
                </c:pt>
                <c:pt idx="28">
                  <c:v>0.129</c:v>
                </c:pt>
                <c:pt idx="29">
                  <c:v>0.129</c:v>
                </c:pt>
                <c:pt idx="30">
                  <c:v>0.129</c:v>
                </c:pt>
                <c:pt idx="31">
                  <c:v>0.129</c:v>
                </c:pt>
                <c:pt idx="32">
                  <c:v>0.129</c:v>
                </c:pt>
                <c:pt idx="33">
                  <c:v>0.129</c:v>
                </c:pt>
                <c:pt idx="34">
                  <c:v>0.129</c:v>
                </c:pt>
                <c:pt idx="35">
                  <c:v>0.129</c:v>
                </c:pt>
                <c:pt idx="36">
                  <c:v>0.129</c:v>
                </c:pt>
                <c:pt idx="37">
                  <c:v>0.129</c:v>
                </c:pt>
                <c:pt idx="38">
                  <c:v>0.129</c:v>
                </c:pt>
                <c:pt idx="39">
                  <c:v>0.129</c:v>
                </c:pt>
                <c:pt idx="40">
                  <c:v>0.129</c:v>
                </c:pt>
                <c:pt idx="41">
                  <c:v>0.129</c:v>
                </c:pt>
                <c:pt idx="42">
                  <c:v>0.129</c:v>
                </c:pt>
                <c:pt idx="43">
                  <c:v>0.129</c:v>
                </c:pt>
                <c:pt idx="44">
                  <c:v>0.129</c:v>
                </c:pt>
                <c:pt idx="45">
                  <c:v>0.129</c:v>
                </c:pt>
                <c:pt idx="46">
                  <c:v>0.129</c:v>
                </c:pt>
                <c:pt idx="47">
                  <c:v>0.129</c:v>
                </c:pt>
                <c:pt idx="48">
                  <c:v>0.129</c:v>
                </c:pt>
                <c:pt idx="49">
                  <c:v>0.129</c:v>
                </c:pt>
                <c:pt idx="50">
                  <c:v>0.129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1A-4D58-9F84-62CC40CBA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356392"/>
        <c:axId val="959357112"/>
      </c:scatterChart>
      <c:valAx>
        <c:axId val="959356392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9357112"/>
        <c:crosses val="autoZero"/>
        <c:crossBetween val="midCat"/>
        <c:majorUnit val="1"/>
      </c:valAx>
      <c:valAx>
        <c:axId val="95935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Cout</a:t>
                </a:r>
                <a:r>
                  <a:rPr lang="fr-FR" sz="1200" baseline="0"/>
                  <a:t> pièces</a:t>
                </a:r>
                <a:endParaRPr lang="fr-F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9356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747993</xdr:colOff>
      <xdr:row>1</xdr:row>
      <xdr:rowOff>125507</xdr:rowOff>
    </xdr:from>
    <xdr:to>
      <xdr:col>17</xdr:col>
      <xdr:colOff>290793</xdr:colOff>
      <xdr:row>34</xdr:row>
      <xdr:rowOff>154081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AA236A3-A22E-876C-44C2-F0C94DE53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1</xdr:row>
      <xdr:rowOff>161926</xdr:rowOff>
    </xdr:from>
    <xdr:to>
      <xdr:col>15</xdr:col>
      <xdr:colOff>723900</xdr:colOff>
      <xdr:row>32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E303125-FEC8-492A-878F-F799B5E29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704851</xdr:colOff>
      <xdr:row>0</xdr:row>
      <xdr:rowOff>0</xdr:rowOff>
    </xdr:from>
    <xdr:to>
      <xdr:col>20</xdr:col>
      <xdr:colOff>114301</xdr:colOff>
      <xdr:row>28</xdr:row>
      <xdr:rowOff>28574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152950</xdr:rowOff>
    </xdr:from>
    <xdr:to>
      <xdr:col>11</xdr:col>
      <xdr:colOff>682036</xdr:colOff>
      <xdr:row>61</xdr:row>
      <xdr:rowOff>52567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20446EC-AE1D-3FD9-A39B-4BEB4DF7E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0</xdr:row>
      <xdr:rowOff>19050</xdr:rowOff>
    </xdr:from>
    <xdr:to>
      <xdr:col>20</xdr:col>
      <xdr:colOff>600075</xdr:colOff>
      <xdr:row>31</xdr:row>
      <xdr:rowOff>38100</xdr:rowOff>
    </xdr:to>
    <xdr:graphicFrame macro="">
      <xdr:nvGraphicFramePr>
        <xdr:cNvPr id="19" name="Graphique 1">
          <a:extLst>
            <a:ext uri="{FF2B5EF4-FFF2-40B4-BE49-F238E27FC236}">
              <a16:creationId xmlns:a16="http://schemas.microsoft.com/office/drawing/2014/main" id="{D453D54A-C6DD-4CD0-8312-A3F65A387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180975</xdr:rowOff>
    </xdr:from>
    <xdr:to>
      <xdr:col>19</xdr:col>
      <xdr:colOff>581025</xdr:colOff>
      <xdr:row>33</xdr:row>
      <xdr:rowOff>9525</xdr:rowOff>
    </xdr:to>
    <xdr:graphicFrame macro="">
      <xdr:nvGraphicFramePr>
        <xdr:cNvPr id="7" name="Graphique 1">
          <a:extLst>
            <a:ext uri="{FF2B5EF4-FFF2-40B4-BE49-F238E27FC236}">
              <a16:creationId xmlns:a16="http://schemas.microsoft.com/office/drawing/2014/main" id="{D6A439AA-5689-482D-B8AD-BEE982310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151995</xdr:colOff>
      <xdr:row>2</xdr:row>
      <xdr:rowOff>63688</xdr:rowOff>
    </xdr:from>
    <xdr:to>
      <xdr:col>29</xdr:col>
      <xdr:colOff>294755</xdr:colOff>
      <xdr:row>26</xdr:row>
      <xdr:rowOff>63687</xdr:rowOff>
    </xdr:to>
    <xdr:graphicFrame macro="">
      <xdr:nvGraphicFramePr>
        <xdr:cNvPr id="7" name="Graphique 1">
          <a:extLst>
            <a:ext uri="{FF2B5EF4-FFF2-40B4-BE49-F238E27FC236}">
              <a16:creationId xmlns:a16="http://schemas.microsoft.com/office/drawing/2014/main" id="{9F0B9D53-CE19-158F-5D28-A286F3CE34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153547</xdr:colOff>
      <xdr:row>28</xdr:row>
      <xdr:rowOff>54641</xdr:rowOff>
    </xdr:from>
    <xdr:to>
      <xdr:col>29</xdr:col>
      <xdr:colOff>316033</xdr:colOff>
      <xdr:row>52</xdr:row>
      <xdr:rowOff>54640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5C8C79D-8EDC-4AE2-BD0C-79715E637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194146</xdr:colOff>
      <xdr:row>53</xdr:row>
      <xdr:rowOff>147419</xdr:rowOff>
    </xdr:from>
    <xdr:to>
      <xdr:col>29</xdr:col>
      <xdr:colOff>319361</xdr:colOff>
      <xdr:row>77</xdr:row>
      <xdr:rowOff>147417</xdr:rowOff>
    </xdr:to>
    <xdr:graphicFrame macro="">
      <xdr:nvGraphicFramePr>
        <xdr:cNvPr id="8" name="Graphique 5">
          <a:extLst>
            <a:ext uri="{FF2B5EF4-FFF2-40B4-BE49-F238E27FC236}">
              <a16:creationId xmlns:a16="http://schemas.microsoft.com/office/drawing/2014/main" id="{12B12CA7-6B1C-443B-8AEE-BDAC4AAAFCED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753176</xdr:colOff>
      <xdr:row>2</xdr:row>
      <xdr:rowOff>63217</xdr:rowOff>
    </xdr:from>
    <xdr:to>
      <xdr:col>38</xdr:col>
      <xdr:colOff>161511</xdr:colOff>
      <xdr:row>26</xdr:row>
      <xdr:rowOff>63216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BF4844A-FB15-4AF9-8BFD-261A5F370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25140</xdr:colOff>
      <xdr:row>53</xdr:row>
      <xdr:rowOff>177420</xdr:rowOff>
    </xdr:from>
    <xdr:to>
      <xdr:col>38</xdr:col>
      <xdr:colOff>82826</xdr:colOff>
      <xdr:row>77</xdr:row>
      <xdr:rowOff>177418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F3605EC-4216-44DE-8BA1-0AB29E977091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570860</xdr:colOff>
      <xdr:row>53</xdr:row>
      <xdr:rowOff>168418</xdr:rowOff>
    </xdr:from>
    <xdr:to>
      <xdr:col>48</xdr:col>
      <xdr:colOff>207064</xdr:colOff>
      <xdr:row>77</xdr:row>
      <xdr:rowOff>168417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EB5D39D-9C28-4E85-BD7E-6911C987B807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739081</xdr:colOff>
      <xdr:row>53</xdr:row>
      <xdr:rowOff>161038</xdr:rowOff>
    </xdr:from>
    <xdr:to>
      <xdr:col>58</xdr:col>
      <xdr:colOff>207065</xdr:colOff>
      <xdr:row>77</xdr:row>
      <xdr:rowOff>161037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3E619CF3-20E5-4E31-9244-257E26CE7470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59</xdr:col>
      <xdr:colOff>409424</xdr:colOff>
      <xdr:row>53</xdr:row>
      <xdr:rowOff>185933</xdr:rowOff>
    </xdr:from>
    <xdr:to>
      <xdr:col>67</xdr:col>
      <xdr:colOff>470321</xdr:colOff>
      <xdr:row>77</xdr:row>
      <xdr:rowOff>185931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635D9C9-864E-4C22-9816-C6ABA7CE1C5A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38</xdr:col>
      <xdr:colOff>536863</xdr:colOff>
      <xdr:row>27</xdr:row>
      <xdr:rowOff>121228</xdr:rowOff>
    </xdr:from>
    <xdr:to>
      <xdr:col>46</xdr:col>
      <xdr:colOff>662078</xdr:colOff>
      <xdr:row>51</xdr:row>
      <xdr:rowOff>121226</xdr:rowOff>
    </xdr:to>
    <xdr:graphicFrame macro="">
      <xdr:nvGraphicFramePr>
        <xdr:cNvPr id="11" name="Graphique 5">
          <a:extLst>
            <a:ext uri="{FF2B5EF4-FFF2-40B4-BE49-F238E27FC236}">
              <a16:creationId xmlns:a16="http://schemas.microsoft.com/office/drawing/2014/main" id="{ADC41D80-AA1F-4296-A40A-504B9D9FF865}"/>
            </a:ext>
            <a:ext uri="{147F2762-F138-4A5C-976F-8EAC2B608ADB}">
              <a16:predDERef xmlns:a16="http://schemas.microsoft.com/office/drawing/2014/main" pred="{E84ECCFE-2EB1-4DF3-AA13-D7FB50F3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3388</xdr:colOff>
      <xdr:row>27</xdr:row>
      <xdr:rowOff>173423</xdr:rowOff>
    </xdr:from>
    <xdr:to>
      <xdr:col>38</xdr:col>
      <xdr:colOff>165874</xdr:colOff>
      <xdr:row>51</xdr:row>
      <xdr:rowOff>173422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219E666-5A7D-63AB-D965-BE8DFC271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1</xdr:row>
      <xdr:rowOff>114301</xdr:rowOff>
    </xdr:from>
    <xdr:to>
      <xdr:col>17</xdr:col>
      <xdr:colOff>266700</xdr:colOff>
      <xdr:row>32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E8AAEE6-8E6F-4A6F-BDAA-4EF383DBF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1</xdr:row>
      <xdr:rowOff>114301</xdr:rowOff>
    </xdr:from>
    <xdr:to>
      <xdr:col>15</xdr:col>
      <xdr:colOff>723900</xdr:colOff>
      <xdr:row>32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A680A46-B02B-497E-8E30-B0A489493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0</xdr:row>
      <xdr:rowOff>0</xdr:rowOff>
    </xdr:from>
    <xdr:to>
      <xdr:col>16</xdr:col>
      <xdr:colOff>0</xdr:colOff>
      <xdr:row>26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0</xdr:row>
      <xdr:rowOff>0</xdr:rowOff>
    </xdr:from>
    <xdr:to>
      <xdr:col>15</xdr:col>
      <xdr:colOff>409575</xdr:colOff>
      <xdr:row>25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45705</xdr:rowOff>
    </xdr:from>
    <xdr:to>
      <xdr:col>12</xdr:col>
      <xdr:colOff>1032992</xdr:colOff>
      <xdr:row>49</xdr:row>
      <xdr:rowOff>158931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277ABD9-6A6A-0A8B-85B8-CBF0F6BD3F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66673</xdr:colOff>
      <xdr:row>3</xdr:row>
      <xdr:rowOff>114300</xdr:rowOff>
    </xdr:from>
    <xdr:to>
      <xdr:col>22</xdr:col>
      <xdr:colOff>466724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809EB44-2A32-45BC-A5A2-84A17F82C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161923</xdr:colOff>
      <xdr:row>7</xdr:row>
      <xdr:rowOff>66675</xdr:rowOff>
    </xdr:from>
    <xdr:to>
      <xdr:col>21</xdr:col>
      <xdr:colOff>390524</xdr:colOff>
      <xdr:row>38</xdr:row>
      <xdr:rowOff>85725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B1EA09A8-FCF2-459E-9CEB-CFDBD283D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286310</xdr:colOff>
      <xdr:row>0</xdr:row>
      <xdr:rowOff>188258</xdr:rowOff>
    </xdr:from>
    <xdr:to>
      <xdr:col>18</xdr:col>
      <xdr:colOff>398367</xdr:colOff>
      <xdr:row>36</xdr:row>
      <xdr:rowOff>20170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D35192D8-96AB-4264-8CDA-81A06580A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0</xdr:row>
      <xdr:rowOff>139700</xdr:rowOff>
    </xdr:from>
    <xdr:to>
      <xdr:col>2</xdr:col>
      <xdr:colOff>735648</xdr:colOff>
      <xdr:row>3</xdr:row>
      <xdr:rowOff>144462</xdr:rowOff>
    </xdr:to>
    <xdr:pic>
      <xdr:nvPicPr>
        <xdr:cNvPr id="2" name="Image 1" descr="Une image contenant texte&#10;&#10;Description générée automatiquement">
          <a:extLst>
            <a:ext uri="{FF2B5EF4-FFF2-40B4-BE49-F238E27FC236}">
              <a16:creationId xmlns:a16="http://schemas.microsoft.com/office/drawing/2014/main" id="{C3BC85E7-A235-4FF4-9B8B-EFEEC472A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55600" y="139700"/>
          <a:ext cx="1904048" cy="557212"/>
        </a:xfrm>
        <a:prstGeom prst="rect">
          <a:avLst/>
        </a:prstGeom>
      </xdr:spPr>
    </xdr:pic>
    <xdr:clientData/>
  </xdr:twoCellAnchor>
  <xdr:twoCellAnchor editAs="oneCell">
    <xdr:from>
      <xdr:col>4</xdr:col>
      <xdr:colOff>660400</xdr:colOff>
      <xdr:row>7</xdr:row>
      <xdr:rowOff>25400</xdr:rowOff>
    </xdr:from>
    <xdr:to>
      <xdr:col>7</xdr:col>
      <xdr:colOff>57042</xdr:colOff>
      <xdr:row>13</xdr:row>
      <xdr:rowOff>5682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6F5F205-3372-758D-B571-7B69E60F0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8400" y="1314450"/>
          <a:ext cx="1682642" cy="108518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</xdr:colOff>
      <xdr:row>14</xdr:row>
      <xdr:rowOff>134309</xdr:rowOff>
    </xdr:from>
    <xdr:to>
      <xdr:col>13</xdr:col>
      <xdr:colOff>549734</xdr:colOff>
      <xdr:row>16</xdr:row>
      <xdr:rowOff>99399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5A6E7C1-DB4E-D439-9AD9-8A12AD78A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768350" y="2712409"/>
          <a:ext cx="9687384" cy="33339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S HERNU (EXTERNAL)" refreshedDate="46286.627642824074" createdVersion="8" refreshedVersion="8" minRefreshableVersion="3" recordCount="161" xr:uid="{730A6511-5AD1-4AAC-93F6-8186C6D92F7A}">
  <cacheSource type="worksheet">
    <worksheetSource name="Tableau_plaquette_complet"/>
  </cacheSource>
  <cacheFields count="11">
    <cacheField name="Date-Heure de transaction" numFmtId="164">
      <sharedItems containsNonDate="0" containsDate="1" containsString="0" containsBlank="1" minDate="2026-09-14T02:32:51" maxDate="2026-09-20T21:23:49"/>
    </cacheField>
    <cacheField name="Article" numFmtId="0">
      <sharedItems count="22">
        <s v="Z000 544 318"/>
        <s v="IM02 137 021"/>
        <s v="Z000 546 266"/>
        <s v="Z000 546 265"/>
        <s v="Z000 513 527"/>
        <s v="Z000 522 436"/>
        <s v="Z000 519 285"/>
        <s v="Z000 539 100"/>
        <s v="IM02 137 020"/>
        <s v="Z000 532 588"/>
        <s v="Z000 517 182"/>
        <s v="IM02 137 022"/>
        <s v="Z000 455 182"/>
        <s v="IM02 198 054"/>
        <s v="IM02 209 560"/>
        <s v="PLAQUETTE D"/>
        <s v="EMBOUT D8,6"/>
        <s v="PLAQUETTE FRAISURAGE"/>
        <s v="EMBOUT D13,3"/>
        <s v="PLAQUETTE CHANFREIN"/>
        <s v="EMBOUT D15,3"/>
        <s v="IM02 198 054 " u="1"/>
      </sharedItems>
    </cacheField>
    <cacheField name="Description article " numFmtId="0">
      <sharedItems containsBlank="1"/>
    </cacheField>
    <cacheField name="ID utilisateur" numFmtId="0">
      <sharedItems containsBlank="1"/>
    </cacheField>
    <cacheField name="Nom utilisateur" numFmtId="0">
      <sharedItems containsBlank="1"/>
    </cacheField>
    <cacheField name="Qté" numFmtId="0">
      <sharedItems containsSemiMixedTypes="0" containsString="0" containsNumber="1" containsInteger="1" minValue="0" maxValue="10"/>
    </cacheField>
    <cacheField name="Activité " numFmtId="0">
      <sharedItems count="4">
        <s v="EMAG 1"/>
        <s v="HESSAPP"/>
        <s v="EMAG 2"/>
        <s v="EMAG 3"/>
      </sharedItems>
    </cacheField>
    <cacheField name="OP " numFmtId="0">
      <sharedItems count="5">
        <s v="OP 20"/>
        <s v="OP 15"/>
        <s v="OP 10"/>
        <s v="OP 30"/>
        <s v="OP 40"/>
      </sharedItems>
    </cacheField>
    <cacheField name="Type " numFmtId="0">
      <sharedItems/>
    </cacheField>
    <cacheField name="Disque" numFmtId="0">
      <sharedItems containsBlank="1"/>
    </cacheField>
    <cacheField name="Cout " numFmtId="44">
      <sharedItems containsSemiMixedTypes="0" containsString="0" containsNumber="1" minValue="0" maxValue="2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">
  <r>
    <d v="2026-09-14T02:32:51"/>
    <x v="0"/>
    <s v="Plaquettes rondes"/>
    <s v="u109136"/>
    <s v="WIPLIE FREDERIC"/>
    <n v="10"/>
    <x v="0"/>
    <x v="0"/>
    <s v="PLAQUETTES"/>
    <s v="356x26 RPI"/>
    <n v="136.69999999999999"/>
  </r>
  <r>
    <d v="2026-09-14T08:15:29"/>
    <x v="1"/>
    <s v="Plaquettes ébauches carrées"/>
    <s v="u636817"/>
    <s v="MOCQUEREAU LYDIE"/>
    <n v="5"/>
    <x v="1"/>
    <x v="0"/>
    <s v="PLAQUETTES"/>
    <s v="302x26 RPI"/>
    <n v="40"/>
  </r>
  <r>
    <d v="2026-09-14T08:15:53"/>
    <x v="2"/>
    <s v="Plaquettes d'ébauches carrées"/>
    <s v="u636817"/>
    <s v="MOCQUEREAU LYDIE"/>
    <n v="10"/>
    <x v="1"/>
    <x v="0"/>
    <s v="PLAQUETTES"/>
    <s v="302x26 RPI"/>
    <n v="71.2"/>
  </r>
  <r>
    <d v="2026-09-14T08:16:14"/>
    <x v="3"/>
    <s v="Plaquettes d'ébauches rhombiques"/>
    <s v="u636817"/>
    <s v="MOCQUEREAU LYDIE"/>
    <n v="10"/>
    <x v="1"/>
    <x v="1"/>
    <s v="PLAQUETTES"/>
    <s v="302x26 RPI"/>
    <n v="70"/>
  </r>
  <r>
    <d v="2026-09-14T08:16:42"/>
    <x v="2"/>
    <s v="Plaquettes d'ébauches carrées"/>
    <s v="u636817"/>
    <s v="MOCQUEREAU LYDIE"/>
    <n v="10"/>
    <x v="1"/>
    <x v="2"/>
    <s v="PLAQUETTES"/>
    <s v="302x26 RPI"/>
    <n v="71.2"/>
  </r>
  <r>
    <d v="2026-09-14T08:17:14"/>
    <x v="3"/>
    <s v="Plaquettes d'ébauches rhombiques"/>
    <s v="u636817"/>
    <s v="MOCQUEREAU LYDIE"/>
    <n v="10"/>
    <x v="1"/>
    <x v="3"/>
    <s v="PLAQUETTES"/>
    <s v="302x26 RPI"/>
    <n v="70"/>
  </r>
  <r>
    <d v="2026-09-14T14:08:55"/>
    <x v="0"/>
    <s v="Plaquettes rondes"/>
    <s v="sd13196"/>
    <s v="FRADIN MAXIME"/>
    <n v="10"/>
    <x v="0"/>
    <x v="0"/>
    <s v="PLAQUETTES"/>
    <s v="356x26 RPI"/>
    <n v="136.69999999999999"/>
  </r>
  <r>
    <d v="2026-09-14T14:09:21"/>
    <x v="3"/>
    <s v="Plaquettes d'ébauches rhombiques"/>
    <s v="sd13196"/>
    <s v="FRADIN MAXIME"/>
    <n v="10"/>
    <x v="0"/>
    <x v="0"/>
    <s v="PLAQUETTES"/>
    <s v="356x26 RPI"/>
    <n v="70"/>
  </r>
  <r>
    <d v="2026-09-14T14:44:07"/>
    <x v="3"/>
    <s v="Plaquettes d'ébauches rhombiques"/>
    <s v="U505000"/>
    <s v="RECEVEUR BENOIT"/>
    <n v="10"/>
    <x v="1"/>
    <x v="1"/>
    <s v="PLAQUETTES"/>
    <s v="302x26 RPI"/>
    <n v="70"/>
  </r>
  <r>
    <d v="2026-09-14T17:26:25"/>
    <x v="4"/>
    <s v="Plaquettes de finition"/>
    <s v="sd13196"/>
    <s v="FRADIN MAXIME"/>
    <n v="5"/>
    <x v="0"/>
    <x v="4"/>
    <s v="PLAQUETTES"/>
    <s v="356x26 RPI"/>
    <n v="47.8"/>
  </r>
  <r>
    <d v="2026-09-14T21:32:43"/>
    <x v="3"/>
    <s v="Plaquettes d'ébauches rhombiques"/>
    <s v="101123"/>
    <s v="BRUNET ANDREA"/>
    <n v="10"/>
    <x v="1"/>
    <x v="2"/>
    <s v="PLAQUETTES"/>
    <s v="302x26 RPI"/>
    <n v="70"/>
  </r>
  <r>
    <d v="2026-09-14T21:33:04"/>
    <x v="5"/>
    <s v="Plaquettes rondes"/>
    <s v="101123"/>
    <s v="BRUNET ANDREA"/>
    <n v="10"/>
    <x v="1"/>
    <x v="1"/>
    <s v="PLAQUETTES"/>
    <s v="302x26 RPI"/>
    <n v="108.5"/>
  </r>
  <r>
    <d v="2026-09-14T21:58:22"/>
    <x v="4"/>
    <s v="Plaquettes de finition"/>
    <s v="sd75051"/>
    <s v="COMBALUZIER LUCAS"/>
    <n v="5"/>
    <x v="0"/>
    <x v="4"/>
    <s v="PLAQUETTES"/>
    <s v="356x26 RPI"/>
    <n v="47.8"/>
  </r>
  <r>
    <d v="2026-09-14T21:58:37"/>
    <x v="6"/>
    <s v="Plaquettes de finition triangulaires"/>
    <s v="sd75051"/>
    <s v="COMBALUZIER LUCAS"/>
    <n v="10"/>
    <x v="0"/>
    <x v="4"/>
    <s v="PLAQUETTES"/>
    <s v="356x26 RPI"/>
    <n v="118.7"/>
  </r>
  <r>
    <d v="2026-09-14T21:58:53"/>
    <x v="3"/>
    <s v="Plaquettes d'ébauches rhombiques"/>
    <s v="sd75051"/>
    <s v="COMBALUZIER LUCAS"/>
    <n v="10"/>
    <x v="0"/>
    <x v="4"/>
    <s v="PLAQUETTES"/>
    <s v="356x26 RPI"/>
    <n v="70"/>
  </r>
  <r>
    <d v="2026-09-14T23:56:50"/>
    <x v="7"/>
    <s v="Plaquettes de finition positives"/>
    <s v="j529800"/>
    <s v="MONTCHARMONT BAPTISTE"/>
    <n v="10"/>
    <x v="2"/>
    <x v="4"/>
    <s v="PLAQUETTES"/>
    <s v="330x14"/>
    <n v="87"/>
  </r>
  <r>
    <d v="2026-09-15T00:12:35"/>
    <x v="1"/>
    <s v="Plaquettes ébauches carrées"/>
    <s v="u037238"/>
    <s v="PRIEUR OLIVIER"/>
    <n v="5"/>
    <x v="1"/>
    <x v="0"/>
    <s v="PLAQUETTES"/>
    <s v="302x26 RPI"/>
    <n v="40"/>
  </r>
  <r>
    <d v="2026-09-15T01:27:44"/>
    <x v="0"/>
    <s v="Plaquettes rondes"/>
    <s v="j529800"/>
    <s v="MONTCHARMONT BAPTISTE"/>
    <n v="10"/>
    <x v="3"/>
    <x v="0"/>
    <s v="PLAQUETTES"/>
    <s v="330x14"/>
    <n v="136.69999999999999"/>
  </r>
  <r>
    <d v="2026-09-15T02:27:49"/>
    <x v="0"/>
    <s v="Plaquettes rondes"/>
    <s v="sd75051"/>
    <s v="COMBALUZIER LUCAS"/>
    <n v="10"/>
    <x v="0"/>
    <x v="0"/>
    <s v="PLAQUETTES"/>
    <s v="356x26 RPI"/>
    <n v="136.69999999999999"/>
  </r>
  <r>
    <d v="2026-09-15T05:01:58"/>
    <x v="5"/>
    <s v="Plaquettes rondes"/>
    <s v="042729CA567580"/>
    <s v="BOUCLIER JONATHAN"/>
    <n v="10"/>
    <x v="1"/>
    <x v="1"/>
    <s v="PLAQUETTES"/>
    <s v="302x26 RPI"/>
    <n v="108.5"/>
  </r>
  <r>
    <d v="2026-09-15T05:02:13"/>
    <x v="3"/>
    <s v="Plaquettes d'ébauches rhombiques"/>
    <s v="042729CA567580"/>
    <s v="BOUCLIER JONATHAN"/>
    <n v="10"/>
    <x v="1"/>
    <x v="1"/>
    <s v="PLAQUETTES"/>
    <s v="302x26 RPI"/>
    <n v="70"/>
  </r>
  <r>
    <d v="2026-09-15T05:02:27"/>
    <x v="2"/>
    <s v="Plaquettes d'ébauches carrées"/>
    <s v="042729CA567580"/>
    <s v="BOUCLIER JONATHAN"/>
    <n v="10"/>
    <x v="1"/>
    <x v="1"/>
    <s v="PLAQUETTES"/>
    <s v="302x26 RPI"/>
    <n v="71.2"/>
  </r>
  <r>
    <d v="2026-09-15T07:11:47"/>
    <x v="4"/>
    <s v="Plaquettes de finition"/>
    <s v="040725"/>
    <s v="BARGEOT LUCAS"/>
    <n v="5"/>
    <x v="0"/>
    <x v="4"/>
    <s v="PLAQUETTES"/>
    <s v="356x26 RPI"/>
    <n v="47.8"/>
  </r>
  <r>
    <d v="2026-09-15T07:12:00"/>
    <x v="4"/>
    <s v="Plaquettes de finition"/>
    <s v="040725"/>
    <s v="BARGEOT LUCAS"/>
    <n v="5"/>
    <x v="0"/>
    <x v="4"/>
    <s v="PLAQUETTES"/>
    <s v="356x26 RPI"/>
    <n v="47.8"/>
  </r>
  <r>
    <d v="2026-09-15T08:54:55"/>
    <x v="3"/>
    <s v="Plaquettes d'ébauches rhombiques"/>
    <s v="042729CA567580"/>
    <s v="BOUCLIER JONATHAN"/>
    <n v="10"/>
    <x v="1"/>
    <x v="1"/>
    <s v="PLAQUETTES"/>
    <s v="302x26 RPI"/>
    <n v="70"/>
  </r>
  <r>
    <d v="2026-09-15T09:37:12"/>
    <x v="4"/>
    <s v="Plaquettes de finition"/>
    <s v="020326"/>
    <s v="BARBIER Leandre"/>
    <n v="5"/>
    <x v="3"/>
    <x v="4"/>
    <s v="PLAQUETTES"/>
    <s v="330x28 RPE KO"/>
    <n v="47.8"/>
  </r>
  <r>
    <d v="2026-09-15T09:37:27"/>
    <x v="0"/>
    <s v="Plaquettes rondes"/>
    <s v="020326"/>
    <s v="BARBIER Leandre"/>
    <n v="10"/>
    <x v="3"/>
    <x v="0"/>
    <s v="PLAQUETTES"/>
    <s v="330x28 RPE KO"/>
    <n v="136.69999999999999"/>
  </r>
  <r>
    <d v="2026-09-15T10:16:44"/>
    <x v="6"/>
    <s v="Plaquettes de finition triangulaires"/>
    <s v="020326"/>
    <s v="BARBIER Leandre"/>
    <n v="10"/>
    <x v="2"/>
    <x v="4"/>
    <s v="PLAQUETTES"/>
    <s v="330x14"/>
    <n v="118.7"/>
  </r>
  <r>
    <d v="2026-09-15T10:17:10"/>
    <x v="7"/>
    <s v="Plaquettes de finition positives"/>
    <s v="020326"/>
    <s v="BARBIER Leandre"/>
    <n v="10"/>
    <x v="2"/>
    <x v="4"/>
    <s v="PLAQUETTES"/>
    <s v="330x14"/>
    <n v="87"/>
  </r>
  <r>
    <d v="2026-09-15T16:39:31"/>
    <x v="3"/>
    <s v="Plaquettes d'ébauches rhombiques"/>
    <s v="U505000"/>
    <s v="RECEVEUR BENOIT"/>
    <n v="10"/>
    <x v="1"/>
    <x v="1"/>
    <s v="PLAQUETTES"/>
    <s v="302x26 RPI"/>
    <n v="70"/>
  </r>
  <r>
    <d v="2026-09-15T18:56:39"/>
    <x v="7"/>
    <s v="Plaquettes de finition positives"/>
    <s v="sd13196"/>
    <s v="FRADIN MAXIME"/>
    <n v="10"/>
    <x v="2"/>
    <x v="4"/>
    <s v="PLAQUETTES"/>
    <s v="290x12"/>
    <n v="87"/>
  </r>
  <r>
    <d v="2026-09-15T21:08:04"/>
    <x v="4"/>
    <s v="Plaquettes de finition"/>
    <s v="u037238"/>
    <s v="PRIEUR OLIVIER"/>
    <n v="5"/>
    <x v="1"/>
    <x v="3"/>
    <s v="PLAQUETTES"/>
    <s v="302x26 RPI"/>
    <n v="47.8"/>
  </r>
  <r>
    <d v="2026-09-15T21:08:31"/>
    <x v="1"/>
    <s v="Plaquettes ébauches carrées"/>
    <s v="u037238"/>
    <s v="PRIEUR OLIVIER"/>
    <n v="5"/>
    <x v="1"/>
    <x v="0"/>
    <s v="PLAQUETTES"/>
    <s v="302x26 RPI"/>
    <n v="40"/>
  </r>
  <r>
    <d v="2026-09-15T21:11:37"/>
    <x v="0"/>
    <s v="Plaquettes rondes"/>
    <s v="j529800"/>
    <s v="MONTCHARMONT BAPTISTE"/>
    <n v="10"/>
    <x v="0"/>
    <x v="0"/>
    <s v="PLAQUETTES"/>
    <s v="356x26 RPI"/>
    <n v="136.69999999999999"/>
  </r>
  <r>
    <d v="2026-09-15T21:11:48"/>
    <x v="4"/>
    <s v="Plaquettes de finition"/>
    <s v="j529800"/>
    <s v="MONTCHARMONT BAPTISTE"/>
    <n v="5"/>
    <x v="0"/>
    <x v="4"/>
    <s v="PLAQUETTES"/>
    <s v="356x26 RPI"/>
    <n v="47.8"/>
  </r>
  <r>
    <d v="2026-09-15T21:12:44"/>
    <x v="3"/>
    <s v="Plaquettes d'ébauches rhombiques"/>
    <s v="101123"/>
    <s v="BRUNET ANDREA"/>
    <n v="10"/>
    <x v="1"/>
    <x v="1"/>
    <s v="PLAQUETTES"/>
    <s v="302x26 RPI"/>
    <n v="70"/>
  </r>
  <r>
    <d v="2026-09-15T21:13:02"/>
    <x v="2"/>
    <s v="Plaquettes d'ébauches carrées"/>
    <s v="101123"/>
    <s v="BRUNET ANDREA"/>
    <n v="10"/>
    <x v="1"/>
    <x v="2"/>
    <s v="PLAQUETTES"/>
    <s v="302x26 RPI"/>
    <n v="71.2"/>
  </r>
  <r>
    <d v="2026-09-15T22:43:50"/>
    <x v="6"/>
    <s v="Plaquettes de finition triangulaires"/>
    <s v="j529800"/>
    <s v="MONTCHARMONT BAPTISTE"/>
    <n v="10"/>
    <x v="0"/>
    <x v="4"/>
    <s v="PLAQUETTES"/>
    <s v="356x26 RPI"/>
    <n v="118.7"/>
  </r>
  <r>
    <d v="2026-09-16T01:48:27"/>
    <x v="4"/>
    <s v="Plaquettes de finition"/>
    <s v="j529800"/>
    <s v="MONTCHARMONT BAPTISTE"/>
    <n v="5"/>
    <x v="0"/>
    <x v="4"/>
    <s v="PLAQUETTES"/>
    <s v="356x26 RPI"/>
    <n v="47.8"/>
  </r>
  <r>
    <d v="2026-09-16T05:57:13"/>
    <x v="1"/>
    <s v="Plaquettes ébauches carrées"/>
    <s v="u636817"/>
    <s v="MOCQUEREAU LYDIE"/>
    <n v="5"/>
    <x v="1"/>
    <x v="0"/>
    <s v="PLAQUETTES"/>
    <s v="302x26 RPI"/>
    <n v="40"/>
  </r>
  <r>
    <d v="2026-09-16T09:40:43"/>
    <x v="8"/>
    <s v="Plaquettes de gorges"/>
    <s v="020326"/>
    <s v="BARBIER Leandre"/>
    <n v="10"/>
    <x v="2"/>
    <x v="0"/>
    <s v="PLAQUETTES"/>
    <s v="330x14"/>
    <n v="188"/>
  </r>
  <r>
    <d v="2026-09-16T10:31:52"/>
    <x v="9"/>
    <s v="Plaquettes de finition"/>
    <s v="020326"/>
    <s v="BARBIER Leandre"/>
    <n v="5"/>
    <x v="3"/>
    <x v="2"/>
    <s v="PLAQUETTES"/>
    <s v="330x28 RPE KO"/>
    <n v="44.85"/>
  </r>
  <r>
    <d v="2026-09-16T10:32:30"/>
    <x v="3"/>
    <s v="Plaquettes d'ébauches rhombiques"/>
    <s v="020326"/>
    <s v="BARBIER Leandre"/>
    <n v="10"/>
    <x v="3"/>
    <x v="2"/>
    <s v="PLAQUETTES"/>
    <s v="330x28 RPE KO"/>
    <n v="70"/>
  </r>
  <r>
    <d v="2026-09-16T10:32:44"/>
    <x v="0"/>
    <s v="Plaquettes rondes"/>
    <s v="020326"/>
    <s v="BARBIER Leandre"/>
    <n v="10"/>
    <x v="3"/>
    <x v="0"/>
    <s v="PLAQUETTES"/>
    <s v="330x28 RPE KO"/>
    <n v="136.69999999999999"/>
  </r>
  <r>
    <d v="2026-09-16T10:32:59"/>
    <x v="2"/>
    <s v="Plaquettes d'ébauches carrées"/>
    <s v="020326"/>
    <s v="BARBIER Leandre"/>
    <n v="10"/>
    <x v="2"/>
    <x v="0"/>
    <s v="PLAQUETTES"/>
    <s v="330x14"/>
    <n v="71.2"/>
  </r>
  <r>
    <d v="2026-09-16T21:10:07"/>
    <x v="7"/>
    <s v="Plaquettes de finition positives"/>
    <s v="j529800"/>
    <s v="MONTCHARMONT BAPTISTE"/>
    <n v="10"/>
    <x v="2"/>
    <x v="4"/>
    <s v="PLAQUETTES"/>
    <s v="290x12"/>
    <n v="87"/>
  </r>
  <r>
    <d v="2026-09-16T22:12:32"/>
    <x v="4"/>
    <s v="Plaquettes de finition"/>
    <s v="u037238"/>
    <s v="PRIEUR OLIVIER"/>
    <n v="5"/>
    <x v="1"/>
    <x v="3"/>
    <s v="PLAQUETTES"/>
    <s v="302x26 RPI"/>
    <n v="47.8"/>
  </r>
  <r>
    <d v="2026-09-17T01:28:07"/>
    <x v="4"/>
    <s v="Plaquettes de finition"/>
    <s v="u109136"/>
    <s v="WIPLIE FREDERIC"/>
    <n v="5"/>
    <x v="0"/>
    <x v="4"/>
    <s v="PLAQUETTES"/>
    <s v="356x26 RPI"/>
    <n v="47.8"/>
  </r>
  <r>
    <d v="2026-09-17T01:28:32"/>
    <x v="0"/>
    <s v="Plaquettes rondes"/>
    <s v="u109136"/>
    <s v="WIPLIE FREDERIC"/>
    <n v="10"/>
    <x v="0"/>
    <x v="0"/>
    <s v="PLAQUETTES"/>
    <s v="356x26 RPI"/>
    <n v="136.69999999999999"/>
  </r>
  <r>
    <d v="2026-09-17T05:17:29"/>
    <x v="10"/>
    <s v="Plaquettes de finition triangulaires"/>
    <s v="020326"/>
    <s v="BARBIER Leandre"/>
    <n v="10"/>
    <x v="2"/>
    <x v="4"/>
    <s v="PLAQUETTES"/>
    <s v="290x12"/>
    <n v="138.80000000000001"/>
  </r>
  <r>
    <d v="2026-09-17T05:26:39"/>
    <x v="1"/>
    <s v="Plaquettes ébauches carrées"/>
    <s v="040725"/>
    <s v="BARGEOT LUCAS"/>
    <n v="5"/>
    <x v="0"/>
    <x v="2"/>
    <s v="PLAQUETTES"/>
    <s v="356x26 RPI"/>
    <n v="40"/>
  </r>
  <r>
    <d v="2026-09-17T05:26:55"/>
    <x v="11"/>
    <s v="Plaquettes ébauches rhombiques"/>
    <s v="040725"/>
    <s v="BARGEOT LUCAS"/>
    <n v="5"/>
    <x v="0"/>
    <x v="2"/>
    <s v="PLAQUETTES"/>
    <s v="356x26 RPI"/>
    <n v="40"/>
  </r>
  <r>
    <d v="2026-09-17T05:27:20"/>
    <x v="3"/>
    <s v="Plaquettes d'ébauches rhombiques"/>
    <s v="040725"/>
    <s v="BARGEOT LUCAS"/>
    <n v="10"/>
    <x v="0"/>
    <x v="0"/>
    <s v="PLAQUETTES"/>
    <s v="356x26 RPI"/>
    <n v="70"/>
  </r>
  <r>
    <d v="2026-09-17T05:56:56"/>
    <x v="3"/>
    <s v="Plaquettes d'ébauches rhombiques"/>
    <s v="042729CA567580"/>
    <s v="BOUCLIER JONATHAN"/>
    <n v="10"/>
    <x v="1"/>
    <x v="1"/>
    <s v="PLAQUETTES"/>
    <s v="302x26 RPI"/>
    <n v="70"/>
  </r>
  <r>
    <d v="2026-09-17T06:01:13"/>
    <x v="1"/>
    <s v="Plaquettes ébauches carrées"/>
    <s v="u636817"/>
    <s v="MOCQUEREAU LYDIE"/>
    <n v="5"/>
    <x v="1"/>
    <x v="0"/>
    <s v="PLAQUETTES"/>
    <s v="302x26 RPI"/>
    <n v="40"/>
  </r>
  <r>
    <d v="2026-09-17T06:01:34"/>
    <x v="4"/>
    <s v="Plaquettes de finition"/>
    <s v="u636817"/>
    <s v="MOCQUEREAU LYDIE"/>
    <n v="5"/>
    <x v="1"/>
    <x v="3"/>
    <s v="PLAQUETTES"/>
    <s v="302x26 RPI"/>
    <n v="47.8"/>
  </r>
  <r>
    <d v="2026-09-17T08:04:21"/>
    <x v="2"/>
    <s v="Plaquettes d'ébauches carrées"/>
    <s v="020326"/>
    <s v="BARBIER Leandre"/>
    <n v="10"/>
    <x v="2"/>
    <x v="0"/>
    <s v="PLAQUETTES"/>
    <s v="290x12"/>
    <n v="71.2"/>
  </r>
  <r>
    <d v="2026-09-17T09:21:34"/>
    <x v="5"/>
    <s v="Plaquettes rondes"/>
    <s v="042729CA567580"/>
    <s v="BOUCLIER JONATHAN"/>
    <n v="10"/>
    <x v="1"/>
    <x v="1"/>
    <s v="PLAQUETTES"/>
    <s v="302x26 RPI"/>
    <n v="108.5"/>
  </r>
  <r>
    <d v="2026-09-17T12:02:02"/>
    <x v="7"/>
    <s v="Plaquettes de finition positives"/>
    <s v="020326"/>
    <s v="BARBIER Leandre"/>
    <n v="10"/>
    <x v="2"/>
    <x v="4"/>
    <s v="PLAQUETTES"/>
    <s v="290x12"/>
    <n v="87"/>
  </r>
  <r>
    <d v="2026-09-17T21:03:48"/>
    <x v="4"/>
    <s v="Plaquettes de finition"/>
    <s v="u037238"/>
    <s v="PRIEUR OLIVIER"/>
    <n v="5"/>
    <x v="1"/>
    <x v="3"/>
    <s v="PLAQUETTES"/>
    <s v="302x26 RPI"/>
    <n v="47.8"/>
  </r>
  <r>
    <d v="2026-09-17T21:04:18"/>
    <x v="1"/>
    <s v="Plaquettes ébauches carrées"/>
    <s v="u037238"/>
    <s v="PRIEUR OLIVIER"/>
    <n v="5"/>
    <x v="1"/>
    <x v="0"/>
    <s v="PLAQUETTES"/>
    <s v="302x26 RPI"/>
    <n v="40"/>
  </r>
  <r>
    <d v="2026-09-17T21:04:40"/>
    <x v="3"/>
    <s v="Plaquettes d'ébauches rhombiques"/>
    <s v="u037238"/>
    <s v="PRIEUR OLIVIER"/>
    <n v="10"/>
    <x v="1"/>
    <x v="3"/>
    <s v="PLAQUETTES"/>
    <s v="302x26 RPI"/>
    <n v="70"/>
  </r>
  <r>
    <d v="2026-09-17T21:10:13"/>
    <x v="5"/>
    <s v="Plaquettes rondes"/>
    <s v="101123"/>
    <s v="BRUNET ANDREA"/>
    <n v="10"/>
    <x v="1"/>
    <x v="1"/>
    <s v="PLAQUETTES"/>
    <s v="302x26 RPI"/>
    <n v="108.5"/>
  </r>
  <r>
    <d v="2026-09-17T21:10:35"/>
    <x v="3"/>
    <s v="Plaquettes d'ébauches rhombiques"/>
    <s v="101123"/>
    <s v="BRUNET ANDREA"/>
    <n v="10"/>
    <x v="1"/>
    <x v="1"/>
    <s v="PLAQUETTES"/>
    <s v="302x26 RPI"/>
    <n v="70"/>
  </r>
  <r>
    <d v="2026-09-17T21:10:50"/>
    <x v="2"/>
    <s v="Plaquettes d'ébauches carrées"/>
    <s v="101123"/>
    <s v="BRUNET ANDREA"/>
    <n v="10"/>
    <x v="1"/>
    <x v="2"/>
    <s v="PLAQUETTES"/>
    <s v="302x26 RPI"/>
    <n v="71.2"/>
  </r>
  <r>
    <d v="2026-09-17T21:30:53"/>
    <x v="4"/>
    <s v="Plaquettes de finition"/>
    <s v="j529800"/>
    <s v="MONTCHARMONT BAPTISTE"/>
    <n v="5"/>
    <x v="0"/>
    <x v="4"/>
    <s v="PLAQUETTES"/>
    <s v="356x26 RPI"/>
    <n v="47.8"/>
  </r>
  <r>
    <d v="2026-09-17T21:31:15"/>
    <x v="7"/>
    <s v="Plaquettes de finition positives"/>
    <s v="j529800"/>
    <s v="MONTCHARMONT BAPTISTE"/>
    <n v="10"/>
    <x v="2"/>
    <x v="4"/>
    <s v="PLAQUETTES"/>
    <s v="290x12"/>
    <n v="87"/>
  </r>
  <r>
    <d v="2026-09-17T22:09:48"/>
    <x v="8"/>
    <s v="Plaquettes de gorges"/>
    <s v="j529800"/>
    <s v="MONTCHARMONT BAPTISTE"/>
    <n v="10"/>
    <x v="2"/>
    <x v="0"/>
    <s v="PLAQUETTES"/>
    <s v="330x14"/>
    <n v="188"/>
  </r>
  <r>
    <d v="2026-09-18T00:23:42"/>
    <x v="2"/>
    <s v="Plaquettes d'ébauches carrées"/>
    <s v="u037238"/>
    <s v="PRIEUR OLIVIER"/>
    <n v="10"/>
    <x v="1"/>
    <x v="0"/>
    <s v="PLAQUETTES"/>
    <s v="302x26 RPI"/>
    <n v="71.2"/>
  </r>
  <r>
    <d v="2026-09-18T05:10:10"/>
    <x v="7"/>
    <s v="Plaquettes de finition positives"/>
    <s v="DELIAT C"/>
    <s v="DELIAT CHRISTOPHE"/>
    <n v="10"/>
    <x v="2"/>
    <x v="4"/>
    <s v="PLAQUETTES"/>
    <s v="290x12"/>
    <n v="87"/>
  </r>
  <r>
    <d v="2026-09-18T05:10:27"/>
    <x v="4"/>
    <s v="Plaquettes de finition"/>
    <s v="DELIAT C"/>
    <s v="DELIAT CHRISTOPHE"/>
    <n v="5"/>
    <x v="3"/>
    <x v="4"/>
    <s v="PLAQUETTES"/>
    <s v="330x28 RPE KO"/>
    <n v="47.8"/>
  </r>
  <r>
    <d v="2026-09-18T05:10:44"/>
    <x v="3"/>
    <s v="Plaquettes d'ébauches rhombiques"/>
    <s v="DELIAT C"/>
    <s v="DELIAT CHRISTOPHE"/>
    <n v="10"/>
    <x v="3"/>
    <x v="0"/>
    <s v="PLAQUETTES"/>
    <s v="330x28 RPE KO"/>
    <n v="70"/>
  </r>
  <r>
    <d v="2026-09-18T05:10:58"/>
    <x v="6"/>
    <s v="Plaquettes de finition triangulaires"/>
    <s v="DELIAT C"/>
    <s v="DELIAT CHRISTOPHE"/>
    <n v="10"/>
    <x v="3"/>
    <x v="4"/>
    <s v="PLAQUETTES"/>
    <s v="330x28 RPE KO"/>
    <n v="118.7"/>
  </r>
  <r>
    <d v="2026-09-18T06:00:47"/>
    <x v="4"/>
    <s v="Plaquettes de finition"/>
    <s v="u109136"/>
    <s v="WIPLIE FREDERIC"/>
    <n v="5"/>
    <x v="0"/>
    <x v="4"/>
    <s v="PLAQUETTES"/>
    <s v="356x26 RPI"/>
    <n v="47.8"/>
  </r>
  <r>
    <d v="2026-09-18T07:26:13"/>
    <x v="0"/>
    <s v="Plaquettes rondes"/>
    <s v="DELIAT C"/>
    <s v="DELIAT CHRISTOPHE"/>
    <n v="10"/>
    <x v="3"/>
    <x v="0"/>
    <s v="PLAQUETTES"/>
    <s v="330x28 RPE KO"/>
    <n v="136.69999999999999"/>
  </r>
  <r>
    <d v="2026-09-18T07:26:49"/>
    <x v="3"/>
    <s v="Plaquettes d'ébauches rhombiques"/>
    <s v="DELIAT C"/>
    <s v="DELIAT CHRISTOPHE"/>
    <n v="10"/>
    <x v="3"/>
    <x v="0"/>
    <s v="PLAQUETTES"/>
    <s v="330x28 RPE KO"/>
    <n v="70"/>
  </r>
  <r>
    <d v="2026-09-18T07:27:07"/>
    <x v="2"/>
    <s v="Plaquettes d'ébauches carrées"/>
    <s v="DELIAT C"/>
    <s v="DELIAT CHRISTOPHE"/>
    <n v="10"/>
    <x v="3"/>
    <x v="0"/>
    <s v="PLAQUETTES"/>
    <s v="330x28 RPE KO"/>
    <n v="71.2"/>
  </r>
  <r>
    <d v="2026-09-18T07:29:51"/>
    <x v="3"/>
    <s v="Plaquettes d'ébauches rhombiques"/>
    <s v="DELIAT C"/>
    <s v="DELIAT CHRISTOPHE"/>
    <n v="10"/>
    <x v="2"/>
    <x v="0"/>
    <s v="PLAQUETTES"/>
    <s v="330x14"/>
    <n v="70"/>
  </r>
  <r>
    <d v="2026-09-18T07:30:08"/>
    <x v="2"/>
    <s v="Plaquettes d'ébauches carrées"/>
    <s v="DELIAT C"/>
    <s v="DELIAT CHRISTOPHE"/>
    <n v="10"/>
    <x v="2"/>
    <x v="0"/>
    <s v="PLAQUETTES"/>
    <s v="330x14"/>
    <n v="71.2"/>
  </r>
  <r>
    <d v="2026-09-18T07:31:57"/>
    <x v="12"/>
    <s v="Plaquettes de finition"/>
    <s v="DELIAT C"/>
    <s v="DELIAT CHRISTOPHE"/>
    <n v="10"/>
    <x v="2"/>
    <x v="4"/>
    <s v="PLAQUETTES"/>
    <s v="330x14"/>
    <n v="109.7"/>
  </r>
  <r>
    <d v="2026-09-18T07:32:17"/>
    <x v="10"/>
    <s v="Plaquettes de finition triangulaires"/>
    <s v="DELIAT C"/>
    <s v="DELIAT CHRISTOPHE"/>
    <n v="10"/>
    <x v="2"/>
    <x v="4"/>
    <s v="PLAQUETTES"/>
    <s v="330x14"/>
    <n v="138.80000000000001"/>
  </r>
  <r>
    <d v="2026-09-18T07:32:31"/>
    <x v="4"/>
    <s v="Plaquettes de finition"/>
    <s v="DELIAT C"/>
    <s v="DELIAT CHRISTOPHE"/>
    <n v="5"/>
    <x v="3"/>
    <x v="4"/>
    <s v="PLAQUETTES"/>
    <s v="330x28 RPE KO"/>
    <n v="47.8"/>
  </r>
  <r>
    <d v="2026-09-18T07:32:47"/>
    <x v="12"/>
    <s v="Plaquettes de finition"/>
    <s v="DELIAT C"/>
    <s v="DELIAT CHRISTOPHE"/>
    <n v="10"/>
    <x v="3"/>
    <x v="4"/>
    <s v="PLAQUETTES"/>
    <s v="330x28 RPE KO"/>
    <n v="109.7"/>
  </r>
  <r>
    <d v="2026-09-18T07:33:04"/>
    <x v="6"/>
    <s v="Plaquettes de finition triangulaires"/>
    <s v="DELIAT C"/>
    <s v="DELIAT CHRISTOPHE"/>
    <n v="10"/>
    <x v="3"/>
    <x v="4"/>
    <s v="PLAQUETTES"/>
    <s v="330x28 RPE KO"/>
    <n v="118.7"/>
  </r>
  <r>
    <d v="2026-09-18T07:55:48"/>
    <x v="6"/>
    <s v="Plaquettes de finition triangulaires"/>
    <s v="DELIAT C"/>
    <s v="DELIAT CHRISTOPHE"/>
    <n v="10"/>
    <x v="3"/>
    <x v="4"/>
    <s v="PLAQUETTES"/>
    <s v="330x28 RPE KO"/>
    <n v="118.7"/>
  </r>
  <r>
    <d v="2026-09-18T09:23:58"/>
    <x v="0"/>
    <s v="Plaquettes rondes"/>
    <s v="u109136"/>
    <s v="WIPLIE FREDERIC"/>
    <n v="10"/>
    <x v="0"/>
    <x v="0"/>
    <s v="PLAQUETTES"/>
    <s v="356x26 RPI"/>
    <n v="136.69999999999999"/>
  </r>
  <r>
    <d v="2026-09-18T14:19:36"/>
    <x v="4"/>
    <s v="Plaquettes de finition"/>
    <s v="045C6ECAA77080"/>
    <s v="PERREIRA KEVIN"/>
    <n v="5"/>
    <x v="0"/>
    <x v="4"/>
    <s v="PLAQUETTES"/>
    <s v="356x26 RPI"/>
    <n v="47.8"/>
  </r>
  <r>
    <d v="2026-09-18T14:19:55"/>
    <x v="3"/>
    <s v="Plaquettes d'ébauches rhombiques"/>
    <s v="045C6ECAA77080"/>
    <s v="PERREIRA KEVIN"/>
    <n v="10"/>
    <x v="0"/>
    <x v="0"/>
    <s v="PLAQUETTES"/>
    <s v="356x26 RPI"/>
    <n v="70"/>
  </r>
  <r>
    <d v="2026-09-18T14:20:12"/>
    <x v="1"/>
    <s v="Plaquettes ébauches carrées"/>
    <s v="045C6ECAA77080"/>
    <s v="PERREIRA KEVIN"/>
    <n v="5"/>
    <x v="0"/>
    <x v="2"/>
    <s v="PLAQUETTES"/>
    <s v="356x26 RPI"/>
    <n v="40"/>
  </r>
  <r>
    <d v="2026-09-18T14:20:27"/>
    <x v="11"/>
    <s v="Plaquettes ébauches rhombiques"/>
    <s v="045C6ECAA77080"/>
    <s v="PERREIRA KEVIN"/>
    <n v="5"/>
    <x v="0"/>
    <x v="2"/>
    <s v="PLAQUETTES"/>
    <s v="356x26 RPI"/>
    <n v="40"/>
  </r>
  <r>
    <d v="2026-09-18T16:59:57"/>
    <x v="1"/>
    <s v="Plaquettes ébauches carrées"/>
    <s v="210325"/>
    <s v="DAUTUN ALLAN"/>
    <n v="5"/>
    <x v="1"/>
    <x v="0"/>
    <s v="PLAQUETTES"/>
    <s v="302x26 RPI"/>
    <n v="40"/>
  </r>
  <r>
    <d v="2026-09-18T17:00:15"/>
    <x v="1"/>
    <s v="Plaquettes ébauches carrées"/>
    <s v="210325"/>
    <s v="DAUTUN ALLAN"/>
    <n v="5"/>
    <x v="1"/>
    <x v="0"/>
    <s v="PLAQUETTES"/>
    <s v="302x26 RPI"/>
    <n v="40"/>
  </r>
  <r>
    <d v="2026-09-18T17:00:28"/>
    <x v="4"/>
    <s v="Plaquettes de finition"/>
    <s v="210325"/>
    <s v="DAUTUN ALLAN"/>
    <n v="5"/>
    <x v="1"/>
    <x v="3"/>
    <s v="PLAQUETTES"/>
    <s v="302x26 RPI"/>
    <n v="47.8"/>
  </r>
  <r>
    <d v="2026-09-18T17:00:51"/>
    <x v="4"/>
    <s v="Plaquettes de finition"/>
    <s v="210325"/>
    <s v="DAUTUN ALLAN"/>
    <n v="5"/>
    <x v="1"/>
    <x v="3"/>
    <s v="PLAQUETTES"/>
    <s v="302x26 RPI"/>
    <n v="47.8"/>
  </r>
  <r>
    <d v="2026-09-18T17:01:05"/>
    <x v="3"/>
    <s v="Plaquettes d'ébauches rhombiques"/>
    <s v="210325"/>
    <s v="DAUTUN ALLAN"/>
    <n v="10"/>
    <x v="1"/>
    <x v="3"/>
    <s v="PLAQUETTES"/>
    <s v="302x26 RPI"/>
    <n v="70"/>
  </r>
  <r>
    <d v="2026-09-18T21:01:51"/>
    <x v="5"/>
    <s v="Plaquettes rondes"/>
    <s v="u037238"/>
    <s v="PRIEUR OLIVIER"/>
    <n v="10"/>
    <x v="1"/>
    <x v="1"/>
    <s v="PLAQUETTES"/>
    <s v="302x26 RPI"/>
    <n v="108.5"/>
  </r>
  <r>
    <d v="2026-09-18T21:02:27"/>
    <x v="2"/>
    <s v="Plaquettes d'ébauches carrées"/>
    <s v="u037238"/>
    <s v="PRIEUR OLIVIER"/>
    <n v="10"/>
    <x v="1"/>
    <x v="2"/>
    <s v="PLAQUETTES"/>
    <s v="302x26 RPI"/>
    <n v="71.2"/>
  </r>
  <r>
    <d v="2026-09-18T21:30:01"/>
    <x v="4"/>
    <s v="Plaquettes de finition"/>
    <s v="u037238"/>
    <s v="PRIEUR OLIVIER"/>
    <n v="5"/>
    <x v="1"/>
    <x v="3"/>
    <s v="PLAQUETTES"/>
    <s v="302x26 RPI"/>
    <n v="47.8"/>
  </r>
  <r>
    <d v="2026-09-19T00:50:47"/>
    <x v="3"/>
    <s v="Plaquettes d'ébauches rhombiques"/>
    <s v="j529800"/>
    <s v="MONTCHARMONT BAPTISTE"/>
    <n v="10"/>
    <x v="0"/>
    <x v="4"/>
    <s v="PLAQUETTES"/>
    <s v="356x26 RPI"/>
    <n v="70"/>
  </r>
  <r>
    <d v="2026-09-19T00:51:08"/>
    <x v="4"/>
    <s v="Plaquettes de finition"/>
    <s v="j529800"/>
    <s v="MONTCHARMONT BAPTISTE"/>
    <n v="5"/>
    <x v="0"/>
    <x v="4"/>
    <s v="PLAQUETTES"/>
    <s v="356x26 RPI"/>
    <n v="47.8"/>
  </r>
  <r>
    <d v="2026-09-19T00:51:33"/>
    <x v="0"/>
    <s v="Plaquettes rondes"/>
    <s v="j529800"/>
    <s v="MONTCHARMONT BAPTISTE"/>
    <n v="10"/>
    <x v="0"/>
    <x v="0"/>
    <s v="PLAQUETTES"/>
    <s v="356x26 RPI"/>
    <n v="136.69999999999999"/>
  </r>
  <r>
    <d v="2026-09-19T01:59:06"/>
    <x v="7"/>
    <s v="Plaquettes de finition positives"/>
    <s v="j529800"/>
    <s v="MONTCHARMONT BAPTISTE"/>
    <n v="10"/>
    <x v="2"/>
    <x v="4"/>
    <s v="PLAQUETTES"/>
    <s v="290x12"/>
    <n v="87"/>
  </r>
  <r>
    <d v="2026-09-19T05:03:29"/>
    <x v="3"/>
    <s v="Plaquettes d'ébauches rhombiques"/>
    <s v="DELIAT C"/>
    <s v="DELIAT CHRISTOPHE"/>
    <n v="10"/>
    <x v="2"/>
    <x v="0"/>
    <s v="PLAQUETTES"/>
    <s v="330x14"/>
    <n v="70"/>
  </r>
  <r>
    <d v="2026-09-19T06:03:32"/>
    <x v="7"/>
    <s v="Plaquettes de finition positives"/>
    <s v="DELIAT C"/>
    <s v="DELIAT CHRISTOPHE"/>
    <n v="10"/>
    <x v="2"/>
    <x v="4"/>
    <s v="PLAQUETTES"/>
    <s v="290x12"/>
    <n v="87"/>
  </r>
  <r>
    <d v="2026-09-19T06:03:47"/>
    <x v="4"/>
    <s v="Plaquettes de finition"/>
    <s v="DELIAT C"/>
    <s v="DELIAT CHRISTOPHE"/>
    <n v="5"/>
    <x v="3"/>
    <x v="4"/>
    <s v="PLAQUETTES"/>
    <s v="330x28 RPE KO"/>
    <n v="47.8"/>
  </r>
  <r>
    <d v="2026-09-19T13:22:09"/>
    <x v="3"/>
    <s v="Plaquettes d'ébauches rhombiques"/>
    <s v="DELIAT C"/>
    <s v="DELIAT CHRISTOPHE"/>
    <n v="10"/>
    <x v="3"/>
    <x v="0"/>
    <s v="PLAQUETTES"/>
    <s v="330x28 RPE KO"/>
    <n v="70"/>
  </r>
  <r>
    <d v="2026-09-19T15:15:03"/>
    <x v="1"/>
    <s v="Plaquettes ébauches carrées"/>
    <s v="DELIAT C"/>
    <s v="DELIAT CHRISTOPHE"/>
    <n v="5"/>
    <x v="0"/>
    <x v="2"/>
    <s v="PLAQUETTES"/>
    <s v="356x26 RPI"/>
    <n v="40"/>
  </r>
  <r>
    <d v="2026-09-19T15:15:23"/>
    <x v="11"/>
    <s v="Plaquettes ébauches rhombiques"/>
    <s v="DELIAT C"/>
    <s v="DELIAT CHRISTOPHE"/>
    <n v="5"/>
    <x v="0"/>
    <x v="2"/>
    <s v="PLAQUETTES"/>
    <s v="356x26 RPI"/>
    <n v="40"/>
  </r>
  <r>
    <d v="2026-09-19T15:15:38"/>
    <x v="0"/>
    <s v="Plaquettes rondes"/>
    <s v="DELIAT C"/>
    <s v="DELIAT CHRISTOPHE"/>
    <n v="10"/>
    <x v="0"/>
    <x v="0"/>
    <s v="PLAQUETTES"/>
    <s v="356x26 RPI"/>
    <n v="136.69999999999999"/>
  </r>
  <r>
    <d v="2026-09-19T15:15:54"/>
    <x v="3"/>
    <s v="Plaquettes d'ébauches rhombiques"/>
    <s v="DELIAT C"/>
    <s v="DELIAT CHRISTOPHE"/>
    <n v="10"/>
    <x v="0"/>
    <x v="0"/>
    <s v="PLAQUETTES"/>
    <s v="356x26 RPI"/>
    <n v="70"/>
  </r>
  <r>
    <d v="2026-09-19T15:16:10"/>
    <x v="2"/>
    <s v="Plaquettes d'ébauches carrées"/>
    <s v="DELIAT C"/>
    <s v="DELIAT CHRISTOPHE"/>
    <n v="10"/>
    <x v="0"/>
    <x v="0"/>
    <s v="PLAQUETTES"/>
    <s v="356x26 RPI"/>
    <n v="71.2"/>
  </r>
  <r>
    <d v="2026-09-19T15:16:24"/>
    <x v="4"/>
    <s v="Plaquettes de finition"/>
    <s v="DELIAT C"/>
    <s v="DELIAT CHRISTOPHE"/>
    <n v="5"/>
    <x v="0"/>
    <x v="4"/>
    <s v="PLAQUETTES"/>
    <s v="356x26 RPI"/>
    <n v="47.8"/>
  </r>
  <r>
    <d v="2026-09-19T15:16:38"/>
    <x v="4"/>
    <s v="Plaquettes de finition"/>
    <s v="DELIAT C"/>
    <s v="DELIAT CHRISTOPHE"/>
    <n v="5"/>
    <x v="0"/>
    <x v="4"/>
    <s v="PLAQUETTES"/>
    <s v="356x26 RPI"/>
    <n v="47.8"/>
  </r>
  <r>
    <d v="2026-09-19T15:16:55"/>
    <x v="6"/>
    <s v="Plaquettes de finition triangulaires"/>
    <s v="DELIAT C"/>
    <s v="DELIAT CHRISTOPHE"/>
    <n v="10"/>
    <x v="0"/>
    <x v="4"/>
    <s v="PLAQUETTES"/>
    <s v="356x26 RPI"/>
    <n v="118.7"/>
  </r>
  <r>
    <d v="2026-09-19T15:17:13"/>
    <x v="3"/>
    <s v="Plaquettes d'ébauches rhombiques"/>
    <s v="DELIAT C"/>
    <s v="DELIAT CHRISTOPHE"/>
    <n v="10"/>
    <x v="0"/>
    <x v="0"/>
    <s v="PLAQUETTES"/>
    <s v="356x26 RPI"/>
    <n v="70"/>
  </r>
  <r>
    <d v="2026-09-20T04:08:22"/>
    <x v="0"/>
    <s v="Plaquettes rondes"/>
    <s v="040725"/>
    <s v="BARGEOT LUCAS"/>
    <n v="10"/>
    <x v="0"/>
    <x v="0"/>
    <s v="PLAQUETTES"/>
    <s v="356x26 RPI"/>
    <n v="136.69999999999999"/>
  </r>
  <r>
    <d v="2026-09-20T05:19:06"/>
    <x v="9"/>
    <s v="Plaquettes de finition"/>
    <s v="DELIAT C"/>
    <s v="DELIAT CHRISTOPHE"/>
    <n v="5"/>
    <x v="3"/>
    <x v="2"/>
    <s v="PLAQUETTES"/>
    <s v="330x28 RPE KO"/>
    <n v="44.85"/>
  </r>
  <r>
    <d v="2026-09-20T09:29:39"/>
    <x v="7"/>
    <s v="Plaquettes de finition positives"/>
    <s v="DELIAT C"/>
    <s v="DELIAT CHRISTOPHE"/>
    <n v="10"/>
    <x v="2"/>
    <x v="4"/>
    <s v="PLAQUETTES"/>
    <s v="330x14"/>
    <n v="87"/>
  </r>
  <r>
    <d v="2026-09-20T09:29:55"/>
    <x v="4"/>
    <s v="Plaquettes de finition"/>
    <s v="DELIAT C"/>
    <s v="DELIAT CHRISTOPHE"/>
    <n v="5"/>
    <x v="3"/>
    <x v="4"/>
    <s v="PLAQUETTES"/>
    <s v="330x28 RPE KO"/>
    <n v="47.8"/>
  </r>
  <r>
    <d v="2026-09-20T09:30:10"/>
    <x v="8"/>
    <s v="Plaquettes de gorges"/>
    <s v="DELIAT C"/>
    <s v="DELIAT CHRISTOPHE"/>
    <n v="10"/>
    <x v="2"/>
    <x v="0"/>
    <s v="PLAQUETTES"/>
    <s v="330x14"/>
    <n v="188"/>
  </r>
  <r>
    <d v="2026-09-20T09:30:26"/>
    <x v="8"/>
    <s v="Plaquettes de gorges"/>
    <s v="DELIAT C"/>
    <s v="DELIAT CHRISTOPHE"/>
    <n v="10"/>
    <x v="2"/>
    <x v="0"/>
    <s v="PLAQUETTES"/>
    <s v="330x14"/>
    <n v="188"/>
  </r>
  <r>
    <d v="2026-09-20T09:32:41"/>
    <x v="10"/>
    <s v="Plaquettes de finition triangulaires"/>
    <s v="DELIAT C"/>
    <s v="DELIAT CHRISTOPHE"/>
    <n v="10"/>
    <x v="2"/>
    <x v="4"/>
    <s v="PLAQUETTES"/>
    <s v="330x14"/>
    <n v="138.80000000000001"/>
  </r>
  <r>
    <d v="2026-09-20T09:32:55"/>
    <x v="6"/>
    <s v="Plaquettes de finition triangulaires"/>
    <s v="DELIAT C"/>
    <s v="DELIAT CHRISTOPHE"/>
    <n v="10"/>
    <x v="2"/>
    <x v="4"/>
    <s v="PLAQUETTES"/>
    <s v="330x14"/>
    <n v="118.7"/>
  </r>
  <r>
    <d v="2026-09-20T18:39:02"/>
    <x v="3"/>
    <s v="Plaquettes d'ébauches rhombiques"/>
    <s v="u109136"/>
    <s v="WIPLIE FREDERIC"/>
    <n v="10"/>
    <x v="2"/>
    <x v="0"/>
    <s v="PLAQUETTES"/>
    <s v="330x14"/>
    <n v="70"/>
  </r>
  <r>
    <d v="2026-09-20T18:39:43"/>
    <x v="3"/>
    <s v="Plaquettes d'ébauches rhombiques"/>
    <s v="u109136"/>
    <s v="WIPLIE FREDERIC"/>
    <n v="10"/>
    <x v="2"/>
    <x v="2"/>
    <s v="PLAQUETTES"/>
    <s v="330x14"/>
    <n v="70"/>
  </r>
  <r>
    <d v="2026-09-20T18:42:46"/>
    <x v="11"/>
    <s v="Plaquettes ébauches rhombiques"/>
    <s v="u109136"/>
    <s v="WIPLIE FREDERIC"/>
    <n v="5"/>
    <x v="0"/>
    <x v="2"/>
    <s v="PLAQUETTES"/>
    <s v="356x26 RPI"/>
    <n v="40"/>
  </r>
  <r>
    <d v="2026-09-20T19:20:52"/>
    <x v="11"/>
    <s v="Plaquettes ébauches rhombiques"/>
    <s v="040725"/>
    <s v="BARGEOT LUCAS"/>
    <n v="5"/>
    <x v="0"/>
    <x v="2"/>
    <s v="PLAQUETTES"/>
    <s v="356x26 RPI"/>
    <n v="40"/>
  </r>
  <r>
    <d v="2026-09-20T19:21:05"/>
    <x v="11"/>
    <s v="Plaquettes ébauches rhombiques"/>
    <s v="040725"/>
    <s v="BARGEOT LUCAS"/>
    <n v="5"/>
    <x v="0"/>
    <x v="2"/>
    <s v="PLAQUETTES"/>
    <s v="356x26 RPI"/>
    <n v="40"/>
  </r>
  <r>
    <d v="2026-09-20T20:22:16"/>
    <x v="4"/>
    <s v="Plaquettes de finition"/>
    <s v="040725"/>
    <s v="BARGEOT LUCAS"/>
    <n v="5"/>
    <x v="0"/>
    <x v="4"/>
    <s v="PLAQUETTES"/>
    <s v="356x26 RPI"/>
    <n v="47.8"/>
  </r>
  <r>
    <d v="2026-09-20T20:22:28"/>
    <x v="4"/>
    <s v="Plaquettes de finition"/>
    <s v="040725"/>
    <s v="BARGEOT LUCAS"/>
    <n v="5"/>
    <x v="0"/>
    <x v="4"/>
    <s v="PLAQUETTES"/>
    <s v="356x26 RPI"/>
    <n v="47.8"/>
  </r>
  <r>
    <d v="2026-09-20T20:22:42"/>
    <x v="6"/>
    <s v="Plaquettes de finition triangulaires"/>
    <s v="040725"/>
    <s v="BARGEOT LUCAS"/>
    <n v="10"/>
    <x v="0"/>
    <x v="4"/>
    <s v="PLAQUETTES"/>
    <s v="356x26 RPI"/>
    <n v="118.7"/>
  </r>
  <r>
    <d v="2026-09-20T20:22:54"/>
    <x v="3"/>
    <s v="Plaquettes d'ébauches rhombiques"/>
    <s v="040725"/>
    <s v="BARGEOT LUCAS"/>
    <n v="10"/>
    <x v="2"/>
    <x v="0"/>
    <s v="PLAQUETTES"/>
    <s v="356x26 RPI"/>
    <n v="70"/>
  </r>
  <r>
    <d v="2026-09-20T21:23:24"/>
    <x v="11"/>
    <s v="Plaquettes ébauches rhombiques"/>
    <s v="u109136"/>
    <s v="WIPLIE FREDERIC"/>
    <n v="5"/>
    <x v="0"/>
    <x v="2"/>
    <s v="PLAQUETTES"/>
    <s v="356x26 RPI"/>
    <n v="40"/>
  </r>
  <r>
    <d v="2026-09-20T21:23:49"/>
    <x v="1"/>
    <s v="Plaquettes ébauches carrées"/>
    <s v="u109136"/>
    <s v="WIPLIE FREDERIC"/>
    <n v="5"/>
    <x v="0"/>
    <x v="2"/>
    <s v="PLAQUETTES"/>
    <s v="356x26 RPI"/>
    <n v="40"/>
  </r>
  <r>
    <m/>
    <x v="13"/>
    <m/>
    <m/>
    <m/>
    <n v="0"/>
    <x v="0"/>
    <x v="2"/>
    <s v="PLAQUETTES"/>
    <s v="304x28 RPE"/>
    <n v="0"/>
  </r>
  <r>
    <m/>
    <x v="14"/>
    <m/>
    <m/>
    <m/>
    <n v="0"/>
    <x v="0"/>
    <x v="2"/>
    <s v="PLAQUETTES"/>
    <s v="304x28 RPE"/>
    <n v="0"/>
  </r>
  <r>
    <m/>
    <x v="13"/>
    <m/>
    <m/>
    <m/>
    <n v="4"/>
    <x v="0"/>
    <x v="2"/>
    <s v="PLAQUETTES"/>
    <s v="356x26 RPI"/>
    <n v="152"/>
  </r>
  <r>
    <m/>
    <x v="14"/>
    <m/>
    <m/>
    <m/>
    <n v="5"/>
    <x v="0"/>
    <x v="2"/>
    <s v="PLAQUETTES"/>
    <s v="356x26 RPI"/>
    <n v="190"/>
  </r>
  <r>
    <m/>
    <x v="13"/>
    <m/>
    <m/>
    <m/>
    <n v="0"/>
    <x v="2"/>
    <x v="2"/>
    <s v="PLAQUETTES"/>
    <s v="356x26 RPI"/>
    <n v="0"/>
  </r>
  <r>
    <m/>
    <x v="14"/>
    <m/>
    <m/>
    <m/>
    <n v="1"/>
    <x v="2"/>
    <x v="2"/>
    <s v="PLAQUETTES"/>
    <s v="356x26 RPI"/>
    <n v="38"/>
  </r>
  <r>
    <m/>
    <x v="13"/>
    <m/>
    <m/>
    <m/>
    <n v="1"/>
    <x v="2"/>
    <x v="2"/>
    <s v="PLAQUETTES"/>
    <s v="330x14"/>
    <n v="38"/>
  </r>
  <r>
    <m/>
    <x v="14"/>
    <m/>
    <m/>
    <m/>
    <n v="4"/>
    <x v="2"/>
    <x v="2"/>
    <s v="PLAQUETTES"/>
    <s v="330x14"/>
    <n v="152"/>
  </r>
  <r>
    <m/>
    <x v="15"/>
    <m/>
    <m/>
    <m/>
    <n v="0"/>
    <x v="2"/>
    <x v="2"/>
    <s v="PLAQUETTES"/>
    <s v="356x26 RPI"/>
    <n v="0"/>
  </r>
  <r>
    <m/>
    <x v="13"/>
    <m/>
    <m/>
    <m/>
    <n v="0"/>
    <x v="3"/>
    <x v="2"/>
    <s v="PLAQUETTES"/>
    <s v="304x28 RPE"/>
    <n v="0"/>
  </r>
  <r>
    <m/>
    <x v="14"/>
    <m/>
    <m/>
    <m/>
    <n v="0"/>
    <x v="3"/>
    <x v="2"/>
    <s v="PLAQUETTES"/>
    <s v="304x28 RPE"/>
    <n v="0"/>
  </r>
  <r>
    <m/>
    <x v="13"/>
    <m/>
    <m/>
    <m/>
    <n v="0"/>
    <x v="3"/>
    <x v="2"/>
    <s v="PLAQUETTES"/>
    <s v="330x14"/>
    <n v="0"/>
  </r>
  <r>
    <m/>
    <x v="14"/>
    <m/>
    <m/>
    <m/>
    <n v="0"/>
    <x v="3"/>
    <x v="2"/>
    <s v="PLAQUETTES"/>
    <s v="330x14"/>
    <n v="0"/>
  </r>
  <r>
    <m/>
    <x v="16"/>
    <m/>
    <m/>
    <m/>
    <n v="2"/>
    <x v="0"/>
    <x v="3"/>
    <s v="EMBOUT"/>
    <m/>
    <n v="90"/>
  </r>
  <r>
    <m/>
    <x v="17"/>
    <m/>
    <m/>
    <m/>
    <n v="1"/>
    <x v="0"/>
    <x v="3"/>
    <s v="PLAQUETTES"/>
    <m/>
    <n v="10.65"/>
  </r>
  <r>
    <m/>
    <x v="18"/>
    <m/>
    <m/>
    <m/>
    <n v="0"/>
    <x v="0"/>
    <x v="3"/>
    <s v="EMBOUT"/>
    <s v="304x28 RPE"/>
    <n v="0"/>
  </r>
  <r>
    <m/>
    <x v="19"/>
    <m/>
    <m/>
    <m/>
    <n v="0"/>
    <x v="0"/>
    <x v="3"/>
    <s v="PLAQUETTES"/>
    <s v="304x28 RPE"/>
    <n v="0"/>
  </r>
  <r>
    <m/>
    <x v="20"/>
    <m/>
    <m/>
    <m/>
    <n v="4"/>
    <x v="0"/>
    <x v="3"/>
    <s v="EMBOUT"/>
    <s v="356x26 RPI"/>
    <n v="208"/>
  </r>
  <r>
    <m/>
    <x v="19"/>
    <m/>
    <m/>
    <m/>
    <n v="3"/>
    <x v="0"/>
    <x v="3"/>
    <s v="PLAQUETTES"/>
    <s v="356x26 RPI"/>
    <n v="36.54"/>
  </r>
  <r>
    <m/>
    <x v="16"/>
    <m/>
    <m/>
    <m/>
    <n v="2"/>
    <x v="2"/>
    <x v="3"/>
    <s v="EMBOUT"/>
    <m/>
    <n v="90"/>
  </r>
  <r>
    <m/>
    <x v="17"/>
    <m/>
    <m/>
    <m/>
    <n v="1"/>
    <x v="2"/>
    <x v="3"/>
    <s v="PLAQUETTES"/>
    <m/>
    <n v="10.65"/>
  </r>
  <r>
    <m/>
    <x v="18"/>
    <m/>
    <m/>
    <m/>
    <n v="4"/>
    <x v="2"/>
    <x v="3"/>
    <s v="EMBOUT"/>
    <s v="330x14"/>
    <n v="208"/>
  </r>
  <r>
    <m/>
    <x v="19"/>
    <m/>
    <m/>
    <m/>
    <n v="3"/>
    <x v="2"/>
    <x v="3"/>
    <s v="PLAQUETTES"/>
    <s v="330x14"/>
    <n v="36.54"/>
  </r>
  <r>
    <m/>
    <x v="20"/>
    <m/>
    <m/>
    <m/>
    <n v="0"/>
    <x v="2"/>
    <x v="3"/>
    <s v="EMBOUT"/>
    <s v="356x26 RPI"/>
    <n v="0"/>
  </r>
  <r>
    <m/>
    <x v="19"/>
    <m/>
    <m/>
    <m/>
    <n v="0"/>
    <x v="2"/>
    <x v="3"/>
    <s v="PLAQUETTES"/>
    <s v="356x26 RPI"/>
    <n v="0"/>
  </r>
  <r>
    <m/>
    <x v="18"/>
    <m/>
    <m/>
    <m/>
    <n v="1"/>
    <x v="3"/>
    <x v="3"/>
    <s v="EMBOUT"/>
    <s v="330x14"/>
    <n v="12.18"/>
  </r>
  <r>
    <m/>
    <x v="19"/>
    <m/>
    <m/>
    <m/>
    <n v="1"/>
    <x v="3"/>
    <x v="3"/>
    <s v="PLAQUETTES"/>
    <s v="330x14"/>
    <n v="12.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F0BD04-2323-48D9-9655-8BD60D727668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09">
  <location ref="A4:B31" firstHeaderRow="1" firstDataRow="1" firstDataCol="1" rowPageCount="1" colPageCount="1"/>
  <pivotFields count="11">
    <pivotField numFmtId="164" showAll="0"/>
    <pivotField axis="axisRow" showAll="0">
      <items count="23">
        <item x="4"/>
        <item x="3"/>
        <item x="2"/>
        <item x="5"/>
        <item x="7"/>
        <item x="6"/>
        <item x="0"/>
        <item x="16"/>
        <item x="19"/>
        <item x="20"/>
        <item x="17"/>
        <item x="10"/>
        <item x="18"/>
        <item x="9"/>
        <item x="8"/>
        <item m="1" x="21"/>
        <item x="14"/>
        <item x="15"/>
        <item x="1"/>
        <item x="12"/>
        <item x="11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3"/>
        <item h="1" x="1"/>
        <item t="default"/>
      </items>
    </pivotField>
    <pivotField axis="axisRow" showAll="0">
      <items count="6">
        <item x="2"/>
        <item x="0"/>
        <item x="3"/>
        <item x="4"/>
        <item x="1"/>
        <item t="default"/>
      </items>
    </pivotField>
    <pivotField showAll="0"/>
    <pivotField showAll="0"/>
    <pivotField dataField="1" numFmtId="165" showAll="0"/>
  </pivotFields>
  <rowFields count="2">
    <field x="7"/>
    <field x="1"/>
  </rowFields>
  <rowItems count="27">
    <i>
      <x/>
    </i>
    <i r="1">
      <x v="1"/>
    </i>
    <i r="1">
      <x v="13"/>
    </i>
    <i r="1">
      <x v="16"/>
    </i>
    <i r="1">
      <x v="17"/>
    </i>
    <i r="1">
      <x v="18"/>
    </i>
    <i r="1">
      <x v="20"/>
    </i>
    <i r="1">
      <x v="21"/>
    </i>
    <i>
      <x v="1"/>
    </i>
    <i r="1">
      <x v="1"/>
    </i>
    <i r="1">
      <x v="2"/>
    </i>
    <i r="1">
      <x v="6"/>
    </i>
    <i r="1">
      <x v="14"/>
    </i>
    <i>
      <x v="2"/>
    </i>
    <i r="1">
      <x v="7"/>
    </i>
    <i r="1">
      <x v="8"/>
    </i>
    <i r="1">
      <x v="9"/>
    </i>
    <i r="1">
      <x v="10"/>
    </i>
    <i r="1">
      <x v="12"/>
    </i>
    <i>
      <x v="3"/>
    </i>
    <i r="1">
      <x/>
    </i>
    <i r="1">
      <x v="1"/>
    </i>
    <i r="1">
      <x v="4"/>
    </i>
    <i r="1">
      <x v="5"/>
    </i>
    <i r="1">
      <x v="11"/>
    </i>
    <i r="1">
      <x v="19"/>
    </i>
    <i t="grand">
      <x/>
    </i>
  </rowItems>
  <colItems count="1">
    <i/>
  </colItems>
  <pageFields count="1">
    <pageField fld="6" hier="-1"/>
  </pageFields>
  <dataFields count="1">
    <dataField name="Somme de Cout " fld="10" baseField="0" baseItem="0"/>
  </dataFields>
  <chartFormats count="5"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8823E-FEF1-456B-98FF-0446245639F5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30">
  <location ref="A4:B31" firstHeaderRow="1" firstDataRow="1" firstDataCol="1" rowPageCount="1" colPageCount="1"/>
  <pivotFields count="11">
    <pivotField numFmtId="164" showAll="0"/>
    <pivotField axis="axisRow" showAll="0">
      <items count="23">
        <item x="4"/>
        <item x="3"/>
        <item x="2"/>
        <item x="5"/>
        <item x="7"/>
        <item x="6"/>
        <item x="0"/>
        <item x="16"/>
        <item x="19"/>
        <item x="20"/>
        <item x="17"/>
        <item x="10"/>
        <item x="18"/>
        <item x="9"/>
        <item x="8"/>
        <item m="1" x="21"/>
        <item x="14"/>
        <item x="15"/>
        <item x="1"/>
        <item x="12"/>
        <item x="11"/>
        <item x="13"/>
        <item t="default"/>
      </items>
    </pivotField>
    <pivotField showAll="0"/>
    <pivotField showAll="0"/>
    <pivotField showAll="0"/>
    <pivotField dataField="1" showAll="0"/>
    <pivotField axis="axisPage" multipleItemSelectionAllowed="1" showAll="0">
      <items count="5">
        <item x="2"/>
        <item h="1" x="1"/>
        <item x="0"/>
        <item x="3"/>
        <item t="default"/>
      </items>
    </pivotField>
    <pivotField axis="axisRow" showAll="0">
      <items count="6">
        <item x="2"/>
        <item x="0"/>
        <item x="3"/>
        <item x="4"/>
        <item x="1"/>
        <item t="default"/>
      </items>
    </pivotField>
    <pivotField showAll="0"/>
    <pivotField showAll="0"/>
    <pivotField numFmtId="165" showAll="0"/>
  </pivotFields>
  <rowFields count="2">
    <field x="7"/>
    <field x="1"/>
  </rowFields>
  <rowItems count="27">
    <i>
      <x/>
    </i>
    <i r="1">
      <x v="1"/>
    </i>
    <i r="1">
      <x v="13"/>
    </i>
    <i r="1">
      <x v="16"/>
    </i>
    <i r="1">
      <x v="17"/>
    </i>
    <i r="1">
      <x v="18"/>
    </i>
    <i r="1">
      <x v="20"/>
    </i>
    <i r="1">
      <x v="21"/>
    </i>
    <i>
      <x v="1"/>
    </i>
    <i r="1">
      <x v="1"/>
    </i>
    <i r="1">
      <x v="2"/>
    </i>
    <i r="1">
      <x v="6"/>
    </i>
    <i r="1">
      <x v="14"/>
    </i>
    <i>
      <x v="2"/>
    </i>
    <i r="1">
      <x v="7"/>
    </i>
    <i r="1">
      <x v="8"/>
    </i>
    <i r="1">
      <x v="9"/>
    </i>
    <i r="1">
      <x v="10"/>
    </i>
    <i r="1">
      <x v="12"/>
    </i>
    <i>
      <x v="3"/>
    </i>
    <i r="1">
      <x/>
    </i>
    <i r="1">
      <x v="1"/>
    </i>
    <i r="1">
      <x v="4"/>
    </i>
    <i r="1">
      <x v="5"/>
    </i>
    <i r="1">
      <x v="11"/>
    </i>
    <i r="1">
      <x v="19"/>
    </i>
    <i t="grand">
      <x/>
    </i>
  </rowItems>
  <colItems count="1">
    <i/>
  </colItems>
  <pageFields count="1">
    <pageField fld="6" hier="-1"/>
  </pageFields>
  <dataFields count="1">
    <dataField name="Somme de Qté" fld="5" baseField="0" baseItem="0"/>
  </dataFields>
  <chartFormats count="5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C13A1-5D17-418A-AE34-1172C4024935}" name="Tableau croisé dynamique18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02">
  <location ref="A3:B47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Row" showAll="0" sortType="ascending">
      <items count="5">
        <item x="0"/>
        <item x="2"/>
        <item x="3"/>
        <item h="1" x="1"/>
        <item t="default"/>
      </items>
    </pivotField>
    <pivotField showAll="0"/>
    <pivotField showAll="0"/>
    <pivotField showAll="0"/>
    <pivotField dataField="1" showAll="0"/>
  </pivotFields>
  <rowFields count="2">
    <field x="6"/>
    <field x="1"/>
  </rowFields>
  <rowItems count="44">
    <i>
      <x/>
    </i>
    <i r="1">
      <x v="12"/>
    </i>
    <i r="1">
      <x v="7"/>
    </i>
    <i r="1">
      <x v="13"/>
    </i>
    <i r="1">
      <x v="9"/>
    </i>
    <i r="1">
      <x v="20"/>
    </i>
    <i r="1">
      <x v="1"/>
    </i>
    <i r="1">
      <x v="4"/>
    </i>
    <i r="1">
      <x v="18"/>
    </i>
    <i r="1">
      <x v="21"/>
    </i>
    <i r="1">
      <x v="2"/>
    </i>
    <i r="1">
      <x v="14"/>
    </i>
    <i r="1">
      <x v="5"/>
    </i>
    <i r="1">
      <x v="6"/>
    </i>
    <i r="1">
      <x/>
    </i>
    <i>
      <x v="1"/>
    </i>
    <i r="1">
      <x v="11"/>
    </i>
    <i r="1">
      <x v="15"/>
    </i>
    <i r="1">
      <x v="8"/>
    </i>
    <i r="1">
      <x v="13"/>
    </i>
    <i r="1">
      <x v="9"/>
    </i>
    <i r="1">
      <x v="14"/>
    </i>
    <i r="1">
      <x/>
    </i>
    <i r="1">
      <x v="4"/>
    </i>
    <i r="1">
      <x v="19"/>
    </i>
    <i r="1">
      <x v="2"/>
    </i>
    <i r="1">
      <x v="21"/>
    </i>
    <i r="1">
      <x v="5"/>
    </i>
    <i r="1">
      <x v="6"/>
    </i>
    <i r="1">
      <x v="17"/>
    </i>
    <i r="1">
      <x v="1"/>
    </i>
    <i>
      <x v="2"/>
    </i>
    <i r="1">
      <x v="12"/>
    </i>
    <i r="1">
      <x v="9"/>
    </i>
    <i r="1">
      <x v="13"/>
    </i>
    <i r="1">
      <x v="7"/>
    </i>
    <i r="1">
      <x v="19"/>
    </i>
    <i r="1">
      <x v="16"/>
    </i>
    <i r="1">
      <x v="14"/>
    </i>
    <i r="1">
      <x v="5"/>
    </i>
    <i r="1">
      <x/>
    </i>
    <i r="1">
      <x v="21"/>
    </i>
    <i r="1">
      <x v="4"/>
    </i>
    <i t="grand">
      <x/>
    </i>
  </rowItems>
  <colItems count="1">
    <i/>
  </colItems>
  <dataFields count="1">
    <dataField name="Somme de Cout " fld="10" baseField="1" baseItem="0" numFmtId="167"/>
  </dataFields>
  <formats count="1">
    <format dxfId="88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EF12E-15CC-40E9-8351-FF7C21B973D1}" name="Tableau croisé dynamique1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279">
  <location ref="A3:B47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 sortType="ascending">
      <items count="5">
        <item x="0"/>
        <item x="2"/>
        <item x="3"/>
        <item h="1" x="1"/>
        <item t="default"/>
      </items>
    </pivotField>
    <pivotField showAll="0"/>
    <pivotField showAll="0"/>
    <pivotField showAll="0"/>
    <pivotField showAll="0"/>
  </pivotFields>
  <rowFields count="2">
    <field x="6"/>
    <field x="1"/>
  </rowFields>
  <rowItems count="44">
    <i>
      <x/>
    </i>
    <i r="1">
      <x v="12"/>
    </i>
    <i r="1">
      <x v="7"/>
    </i>
    <i r="1">
      <x v="13"/>
    </i>
    <i r="1">
      <x v="9"/>
    </i>
    <i r="1">
      <x v="20"/>
    </i>
    <i r="1">
      <x v="18"/>
    </i>
    <i r="1">
      <x v="14"/>
    </i>
    <i r="1">
      <x v="4"/>
    </i>
    <i r="1">
      <x v="21"/>
    </i>
    <i r="1">
      <x v="1"/>
    </i>
    <i r="1">
      <x v="5"/>
    </i>
    <i r="1">
      <x v="2"/>
    </i>
    <i r="1">
      <x v="6"/>
    </i>
    <i r="1">
      <x/>
    </i>
    <i>
      <x v="1"/>
    </i>
    <i r="1">
      <x v="11"/>
    </i>
    <i r="1">
      <x v="13"/>
    </i>
    <i r="1">
      <x v="15"/>
    </i>
    <i r="1">
      <x v="14"/>
    </i>
    <i r="1">
      <x v="8"/>
    </i>
    <i r="1">
      <x v="9"/>
    </i>
    <i r="1">
      <x v="19"/>
    </i>
    <i r="1">
      <x v="4"/>
    </i>
    <i r="1">
      <x/>
    </i>
    <i r="1">
      <x v="5"/>
    </i>
    <i r="1">
      <x v="2"/>
    </i>
    <i r="1">
      <x v="21"/>
    </i>
    <i r="1">
      <x v="6"/>
    </i>
    <i r="1">
      <x v="1"/>
    </i>
    <i r="1">
      <x v="17"/>
    </i>
    <i>
      <x v="2"/>
    </i>
    <i r="1">
      <x v="13"/>
    </i>
    <i r="1">
      <x v="12"/>
    </i>
    <i r="1">
      <x v="9"/>
    </i>
    <i r="1">
      <x v="7"/>
    </i>
    <i r="1">
      <x v="14"/>
    </i>
    <i r="1">
      <x v="16"/>
    </i>
    <i r="1">
      <x v="19"/>
    </i>
    <i r="1">
      <x v="5"/>
    </i>
    <i r="1">
      <x/>
    </i>
    <i r="1">
      <x v="21"/>
    </i>
    <i r="1">
      <x v="4"/>
    </i>
    <i t="grand">
      <x/>
    </i>
  </rowItems>
  <colItems count="1">
    <i/>
  </colItems>
  <dataFields count="1">
    <dataField name="Somme de Qté" fld="5" baseField="1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27379-2FAF-45E8-BAE3-DD1FA63CB019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67">
  <location ref="M1:N45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 sortType="ascending">
      <items count="5">
        <item x="0"/>
        <item x="2"/>
        <item x="3"/>
        <item h="1" x="1"/>
        <item t="default"/>
      </items>
    </pivotField>
    <pivotField showAll="0"/>
    <pivotField showAll="0"/>
    <pivotField showAll="0"/>
    <pivotField showAll="0"/>
  </pivotFields>
  <rowFields count="2">
    <field x="6"/>
    <field x="1"/>
  </rowFields>
  <rowItems count="44">
    <i>
      <x/>
    </i>
    <i r="1">
      <x v="12"/>
    </i>
    <i r="1">
      <x v="7"/>
    </i>
    <i r="1">
      <x v="13"/>
    </i>
    <i r="1">
      <x v="9"/>
    </i>
    <i r="1">
      <x v="20"/>
    </i>
    <i r="1">
      <x v="18"/>
    </i>
    <i r="1">
      <x v="14"/>
    </i>
    <i r="1">
      <x v="4"/>
    </i>
    <i r="1">
      <x v="21"/>
    </i>
    <i r="1">
      <x v="1"/>
    </i>
    <i r="1">
      <x v="5"/>
    </i>
    <i r="1">
      <x v="2"/>
    </i>
    <i r="1">
      <x v="6"/>
    </i>
    <i r="1">
      <x/>
    </i>
    <i>
      <x v="1"/>
    </i>
    <i r="1">
      <x v="11"/>
    </i>
    <i r="1">
      <x v="13"/>
    </i>
    <i r="1">
      <x v="15"/>
    </i>
    <i r="1">
      <x v="14"/>
    </i>
    <i r="1">
      <x v="8"/>
    </i>
    <i r="1">
      <x v="9"/>
    </i>
    <i r="1">
      <x v="19"/>
    </i>
    <i r="1">
      <x v="4"/>
    </i>
    <i r="1">
      <x/>
    </i>
    <i r="1">
      <x v="5"/>
    </i>
    <i r="1">
      <x v="2"/>
    </i>
    <i r="1">
      <x v="21"/>
    </i>
    <i r="1">
      <x v="6"/>
    </i>
    <i r="1">
      <x v="1"/>
    </i>
    <i r="1">
      <x v="17"/>
    </i>
    <i>
      <x v="2"/>
    </i>
    <i r="1">
      <x v="13"/>
    </i>
    <i r="1">
      <x v="12"/>
    </i>
    <i r="1">
      <x v="9"/>
    </i>
    <i r="1">
      <x v="7"/>
    </i>
    <i r="1">
      <x v="14"/>
    </i>
    <i r="1">
      <x v="16"/>
    </i>
    <i r="1">
      <x v="19"/>
    </i>
    <i r="1">
      <x v="5"/>
    </i>
    <i r="1">
      <x/>
    </i>
    <i r="1">
      <x v="21"/>
    </i>
    <i r="1">
      <x v="4"/>
    </i>
    <i t="grand">
      <x/>
    </i>
  </rowItems>
  <colItems count="1">
    <i/>
  </colItems>
  <dataFields count="1">
    <dataField name="Somme de Qté" fld="5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E74223-6178-4CD5-B909-40055C2EFFF0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02">
  <location ref="A4:B18" firstHeaderRow="1" firstDataRow="1" firstDataCol="1" rowPageCount="1" colPageCount="1"/>
  <pivotFields count="11">
    <pivotField numFmtId="164" showAll="0"/>
    <pivotField axis="axisRow" showAll="0">
      <items count="23">
        <item x="8"/>
        <item x="1"/>
        <item x="4"/>
        <item x="3"/>
        <item x="2"/>
        <item x="5"/>
        <item x="7"/>
        <item x="9"/>
        <item x="6"/>
        <item x="0"/>
        <item x="10"/>
        <item x="14"/>
        <item m="1" x="21"/>
        <item x="15"/>
        <item x="16"/>
        <item x="17"/>
        <item x="18"/>
        <item x="19"/>
        <item x="20"/>
        <item x="12"/>
        <item x="11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h="1" x="2"/>
        <item x="1"/>
        <item h="1" x="0"/>
        <item h="1" x="3"/>
        <item t="default"/>
      </items>
    </pivotField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dataField="1" numFmtId="165" showAll="0"/>
  </pivotFields>
  <rowFields count="2">
    <field x="7"/>
    <field x="1"/>
  </rowFields>
  <rowItems count="14">
    <i>
      <x/>
    </i>
    <i r="1">
      <x v="3"/>
    </i>
    <i r="1">
      <x v="4"/>
    </i>
    <i>
      <x v="1"/>
    </i>
    <i r="1">
      <x v="3"/>
    </i>
    <i r="1">
      <x v="4"/>
    </i>
    <i r="1">
      <x v="5"/>
    </i>
    <i>
      <x v="2"/>
    </i>
    <i r="1">
      <x v="1"/>
    </i>
    <i r="1">
      <x v="4"/>
    </i>
    <i>
      <x v="3"/>
    </i>
    <i r="1">
      <x v="2"/>
    </i>
    <i r="1">
      <x v="3"/>
    </i>
    <i t="grand">
      <x/>
    </i>
  </rowItems>
  <colItems count="1">
    <i/>
  </colItems>
  <pageFields count="1">
    <pageField fld="6" hier="-1"/>
  </pageFields>
  <dataFields count="1">
    <dataField name="Somme de Cout " fld="10" baseField="0" baseItem="0"/>
  </dataFields>
  <chartFormats count="8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83470C-3E39-4AAA-B66A-6BFC0C34EF01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09">
  <location ref="A4:B18" firstHeaderRow="1" firstDataRow="1" firstDataCol="1" rowPageCount="1" colPageCount="1"/>
  <pivotFields count="11">
    <pivotField numFmtId="164" showAll="0"/>
    <pivotField axis="axisRow" showAll="0">
      <items count="23">
        <item x="8"/>
        <item x="1"/>
        <item x="4"/>
        <item x="3"/>
        <item x="2"/>
        <item x="5"/>
        <item x="7"/>
        <item x="9"/>
        <item x="6"/>
        <item x="0"/>
        <item x="10"/>
        <item x="14"/>
        <item m="1" x="21"/>
        <item x="15"/>
        <item x="16"/>
        <item x="17"/>
        <item x="18"/>
        <item x="19"/>
        <item x="20"/>
        <item x="12"/>
        <item x="11"/>
        <item x="13"/>
        <item t="default"/>
      </items>
    </pivotField>
    <pivotField showAll="0"/>
    <pivotField showAll="0"/>
    <pivotField showAll="0"/>
    <pivotField dataField="1" showAll="0"/>
    <pivotField axis="axisPage" multipleItemSelectionAllowed="1" showAll="0">
      <items count="5">
        <item h="1" x="2"/>
        <item x="1"/>
        <item h="1" x="0"/>
        <item h="1" x="3"/>
        <item t="default"/>
      </items>
    </pivotField>
    <pivotField axis="axisRow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numFmtId="165" showAll="0"/>
  </pivotFields>
  <rowFields count="2">
    <field x="7"/>
    <field x="1"/>
  </rowFields>
  <rowItems count="14">
    <i>
      <x/>
    </i>
    <i r="1">
      <x v="3"/>
    </i>
    <i r="1">
      <x v="4"/>
    </i>
    <i>
      <x v="1"/>
    </i>
    <i r="1">
      <x v="3"/>
    </i>
    <i r="1">
      <x v="4"/>
    </i>
    <i r="1">
      <x v="5"/>
    </i>
    <i>
      <x v="2"/>
    </i>
    <i r="1">
      <x v="1"/>
    </i>
    <i r="1">
      <x v="4"/>
    </i>
    <i>
      <x v="3"/>
    </i>
    <i r="1">
      <x v="2"/>
    </i>
    <i r="1">
      <x v="3"/>
    </i>
    <i t="grand">
      <x/>
    </i>
  </rowItems>
  <colItems count="1">
    <i/>
  </colItems>
  <pageFields count="1">
    <pageField fld="6" hier="-1"/>
  </pageFields>
  <dataFields count="1">
    <dataField name="Somme de Qté" fld="5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9EA20-C133-4AAC-84D5-4C643BC3714D}" name="Tableau croisé dynamique19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147">
  <location ref="A3:B10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 sortType="descending">
      <items count="5">
        <item h="1" x="0"/>
        <item h="1" x="2"/>
        <item h="1"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2">
    <field x="6"/>
    <field x="1"/>
  </rowFields>
  <rowItems count="7">
    <i>
      <x v="3"/>
    </i>
    <i r="1">
      <x v="13"/>
    </i>
    <i r="1">
      <x v="14"/>
    </i>
    <i r="1">
      <x v="10"/>
    </i>
    <i r="1">
      <x v="18"/>
    </i>
    <i r="1">
      <x v="7"/>
    </i>
    <i t="grand">
      <x/>
    </i>
  </rowItems>
  <colItems count="1">
    <i/>
  </colItems>
  <dataFields count="1">
    <dataField name="Somme de Qté" fld="5" baseField="1" baseItem="8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4FA8F-42D5-45EA-BAE7-EC9D1E533CBC}" name="Tableau croisé dynamique20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152">
  <location ref="A3:B10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Row" showAll="0" sortType="descending">
      <items count="5">
        <item h="1" x="0"/>
        <item h="1" x="2"/>
        <item h="1"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</pivotFields>
  <rowFields count="2">
    <field x="6"/>
    <field x="1"/>
  </rowFields>
  <rowItems count="7">
    <i>
      <x v="3"/>
    </i>
    <i r="1">
      <x v="13"/>
    </i>
    <i r="1">
      <x v="10"/>
    </i>
    <i r="1">
      <x v="14"/>
    </i>
    <i r="1">
      <x v="7"/>
    </i>
    <i r="1">
      <x v="18"/>
    </i>
    <i t="grand">
      <x/>
    </i>
  </rowItems>
  <colItems count="1">
    <i/>
  </colItems>
  <dataFields count="1">
    <dataField name="Somme de Cout " fld="10" baseField="1" baseItem="8"/>
  </dataField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96963-9C22-4D32-AC22-02D7BFB84BCF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80">
  <location ref="M1:N8" firstHeaderRow="1" firstDataRow="1" firstDataCol="1"/>
  <pivotFields count="11">
    <pivotField showAll="0"/>
    <pivotField axis="axisRow" showAll="0" sortType="descending">
      <items count="23">
        <item x="18"/>
        <item x="20"/>
        <item x="16"/>
        <item m="1" x="21"/>
        <item x="14"/>
        <item x="19"/>
        <item x="17"/>
        <item x="4"/>
        <item x="10"/>
        <item x="6"/>
        <item x="5"/>
        <item x="7"/>
        <item x="0"/>
        <item x="3"/>
        <item x="2"/>
        <item x="8"/>
        <item x="9"/>
        <item x="15"/>
        <item x="1"/>
        <item x="12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 sortType="descending">
      <items count="5">
        <item h="1" x="0"/>
        <item h="1" x="2"/>
        <item h="1"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2">
    <field x="6"/>
    <field x="1"/>
  </rowFields>
  <rowItems count="7">
    <i>
      <x v="3"/>
    </i>
    <i r="1">
      <x v="13"/>
    </i>
    <i r="1">
      <x v="14"/>
    </i>
    <i r="1">
      <x v="10"/>
    </i>
    <i r="1">
      <x v="18"/>
    </i>
    <i r="1">
      <x v="7"/>
    </i>
    <i t="grand">
      <x/>
    </i>
  </rowItems>
  <colItems count="1">
    <i/>
  </colItems>
  <dataFields count="1">
    <dataField name="Somme de Qté" fld="5" baseField="1" baseItem="8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07B21B12-7621-43D0-8850-8B314811A931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653187BA-7652-45D8-B47A-027B2C02409E}" autoFormatId="16" applyNumberFormats="0" applyBorderFormats="0" applyFontFormats="0" applyPatternFormats="0" applyAlignmentFormats="0" applyWidthHeightFormats="0">
  <queryTableRefresh nextId="3">
    <queryTableFields count="2">
      <queryTableField id="1" name="MABEC" tableColumnId="1"/>
      <queryTableField id="2" name="Qté théoriq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3" xr16:uid="{A99E3C91-2392-42A4-89E2-2097AE253C02}" autoFormatId="16" applyNumberFormats="0" applyBorderFormats="0" applyFontFormats="0" applyPatternFormats="0" applyAlignmentFormats="0" applyWidthHeightFormats="0">
  <queryTableRefresh nextId="3">
    <queryTableFields count="2">
      <queryTableField id="1" name="MABEC" tableColumnId="1"/>
      <queryTableField id="2" name="Qté théoriqu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4" xr16:uid="{130FB3CE-66DC-4AC3-86E6-D40BA7871E33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5" xr16:uid="{2FF102A2-E77F-48B3-981D-2842861E3CA0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884AAA9-5DA2-42D9-93E9-9051A6A9264C}" name="Tableau_plaquette_colonne" displayName="Tableau_plaquette_colonne" ref="A3:K145" totalsRowShown="0" headerRowDxfId="165" dataDxfId="164">
  <autoFilter ref="A3:K145" xr:uid="{3884AAA9-5DA2-42D9-93E9-9051A6A9264C}"/>
  <tableColumns count="11">
    <tableColumn id="1" xr3:uid="{CD545AD6-4AA2-4317-A10F-3FCAFE538C59}" name="Date-Heure de transaction" dataDxfId="163"/>
    <tableColumn id="2" xr3:uid="{2A5216C7-BE0C-44C2-93E3-7617829F794C}" name="Article" dataDxfId="162"/>
    <tableColumn id="3" xr3:uid="{00CA89DB-45C9-40CD-82FD-3F25BF19642F}" name="Description article " dataDxfId="161"/>
    <tableColumn id="4" xr3:uid="{06C3DE8D-EB1B-47AC-BA65-07C496D86DA1}" name="ID utilisateur" dataDxfId="160"/>
    <tableColumn id="5" xr3:uid="{8529A99B-DBF7-426F-AED1-F28AC0F9E607}" name="Nom utilisateur" dataDxfId="159"/>
    <tableColumn id="6" xr3:uid="{5F188D3C-C793-4E38-A64D-3121620B32A2}" name="Qté" dataDxfId="158"/>
    <tableColumn id="7" xr3:uid="{9E4B35A1-6DCF-4A56-B099-D8F3FAD81062}" name="Activité " dataDxfId="157"/>
    <tableColumn id="8" xr3:uid="{BDD76242-A890-414F-A2E5-3821E156D977}" name="OP " dataDxfId="156"/>
    <tableColumn id="9" xr3:uid="{5ADE0DF6-23D5-4E57-B2CA-CA43FF478E97}" name="Type " dataDxfId="155"/>
    <tableColumn id="10" xr3:uid="{989578D6-9A69-421C-868E-E0152B6E606D}" name="Disque" dataDxfId="154"/>
    <tableColumn id="11" xr3:uid="{8B2759FD-F307-4F42-A98D-E9F4B6B70814}" name="Cout " dataDxfId="1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BB47AE1-3265-4F0B-B817-77A86104D1F3}" name="Tableau_outil_complet" displayName="Tableau_outil_complet" ref="A3:X134" totalsRowShown="0" headerRowDxfId="152">
  <autoFilter ref="A3:X134" xr:uid="{CBB47AE1-3265-4F0B-B817-77A86104D1F3}"/>
  <tableColumns count="24">
    <tableColumn id="1" xr3:uid="{6AFBF0CE-A1AC-4C62-9A95-CFF889B17A15}" name="Date-Heure de transaction" dataDxfId="151"/>
    <tableColumn id="2" xr3:uid="{749C8A04-A3E7-4DC4-9BAC-07680BA5CC11}" name="Article" dataDxfId="150"/>
    <tableColumn id="3" xr3:uid="{507DE5B5-4BC6-454C-98CA-CBD62E87156B}" name="Description article " dataDxfId="149"/>
    <tableColumn id="4" xr3:uid="{20C4499D-02F0-4914-BA75-BA296A79C136}" name="ID utilisateur" dataDxfId="148"/>
    <tableColumn id="5" xr3:uid="{30A3A0F0-A596-4730-A4AE-DDA119C379BF}" name="Nom utilisateur" dataDxfId="147"/>
    <tableColumn id="6" xr3:uid="{82189DC1-BE4A-4951-A547-B2ACE918A655}" name="Qté" dataDxfId="146"/>
    <tableColumn id="7" xr3:uid="{877DCB79-E904-415F-B573-55BCA73700C5}" name="Activité " dataDxfId="145"/>
    <tableColumn id="8" xr3:uid="{D3896EAA-8D81-4929-AEFD-445FDD764B2E}" name="OP " dataDxfId="144"/>
    <tableColumn id="9" xr3:uid="{B4E5BF9C-5E81-448A-B099-B76C9B188BDF}" name="Type " dataDxfId="143"/>
    <tableColumn id="10" xr3:uid="{F4ED68DE-A47E-49D8-A5A8-1B709AAD8AA7}" name="Disque" dataDxfId="142"/>
    <tableColumn id="11" xr3:uid="{029C69FB-7036-473F-A008-41CB103780C9}" name="Cout " dataDxfId="141"/>
    <tableColumn id="12" xr3:uid="{F49DEC66-E71C-4C7D-B2C1-A77FADFAB1F1}" name="C CBN"/>
    <tableColumn id="13" xr3:uid="{28D14039-E801-41E2-BB0D-44732A040855}" name="S CBN"/>
    <tableColumn id="14" xr3:uid="{19BF174F-400F-459A-A906-E3C9CC590D0B}" name="C CBN2"/>
    <tableColumn id="15" xr3:uid="{CCAF2038-622A-4149-8C05-29061F13B7F8}" name="S CBN3"/>
    <tableColumn id="16" xr3:uid="{88B550C8-46DA-4E17-84CE-E7D136B80AE2}" name="C CBN4"/>
    <tableColumn id="17" xr3:uid="{AD445CF1-182E-495D-8BCB-35FA9D4BD993}" name="S CBN5"/>
    <tableColumn id="18" xr3:uid="{DF1A4843-B0EC-4F94-B339-E2D2DC0A3773}" name="D CBN"/>
    <tableColumn id="19" xr3:uid="{94F208F4-DC25-4AF0-B772-2597CE0CFEDC}" name="C CBN6"/>
    <tableColumn id="20" xr3:uid="{A06F9D8D-8739-4923-900E-B446AC08B47E}" name="S CBN7"/>
    <tableColumn id="21" xr3:uid="{8161BA73-68F7-43E1-8F3B-4EEEC3CBF334}" name="C CBN8"/>
    <tableColumn id="22" xr3:uid="{52F818F4-5AC2-4C8D-B619-58DFE88A62B1}" name="S CBN9"/>
    <tableColumn id="23" xr3:uid="{F2BCE971-98F3-43DB-8943-6FFE3BE115EA}" name="C CBN10"/>
    <tableColumn id="24" xr3:uid="{0D33D2EF-5337-48AA-8043-F0407C58E9E2}" name="S CBN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DFADC-FD28-4F1F-97BD-FAC84D503938}" name="Tableau_roto" displayName="Tableau_roto" ref="A3:U171" totalsRowShown="0" headerRowDxfId="140" dataDxfId="139">
  <autoFilter ref="A3:U171" xr:uid="{B95DFADC-FD28-4F1F-97BD-FAC84D503938}"/>
  <tableColumns count="21">
    <tableColumn id="1" xr3:uid="{BDD36C73-6300-4B98-9A8E-D1A3E7E3639B}" name="Date-Heure de transaction" dataDxfId="138"/>
    <tableColumn id="2" xr3:uid="{0AF1B7C9-91BC-4631-B167-E399EE912EE5}" name="Description " dataDxfId="137"/>
    <tableColumn id="3" xr3:uid="{9659C3C4-6E9D-4784-9817-F502269ADC24}" name="ID Utilisateur" dataDxfId="136"/>
    <tableColumn id="4" xr3:uid="{2A683654-43DF-4C0B-9044-AB589BB84B9A}" name="Nom Utilisateur" dataDxfId="135"/>
    <tableColumn id="5" xr3:uid="{4A44C86D-C098-450C-A7DE-DD69B809690C}" name="Qté" dataDxfId="134"/>
    <tableColumn id="6" xr3:uid="{FCBFDACE-DF79-4763-AF90-4BB9A2CBEC1A}" name="Activité" dataDxfId="133"/>
    <tableColumn id="7" xr3:uid="{883ECA00-C902-4EBC-8983-A67CD3AC16DA}" name="EMBOUT D8.6" dataDxfId="132">
      <calculatedColumnFormula>IF(AND(ISNUMBER(SEARCH("FORET D8,6 COMPLET", $B4)),ISNUMBER(SEARCH("EMAG 2", $F4))), 1*$E4, 0)</calculatedColumnFormula>
    </tableColumn>
    <tableColumn id="8" xr3:uid="{520D8726-2267-4FB3-80DF-F2E7EAE147B6}" name="PLAQUETTE FRAISURAGE" dataDxfId="131">
      <calculatedColumnFormula>IF(AND(ISNUMBER(SEARCH("FORET D8,6 COMPLET", $B4)),ISNUMBER(SEARCH("EMAG 2", $F4))), 1*$E4, 0)</calculatedColumnFormula>
    </tableColumn>
    <tableColumn id="9" xr3:uid="{333603CE-A657-4239-9967-CB66643A4F2F}" name="EMBOUT D13.3" dataDxfId="130">
      <calculatedColumnFormula>IF(AND(ISNUMBER(SEARCH("FORET D13,3 COMPLET", $B4)),ISNUMBER(SEARCH("EMAG 2", $F4))), 1*$E4, 0)</calculatedColumnFormula>
    </tableColumn>
    <tableColumn id="10" xr3:uid="{4AE07AC2-7DA2-445A-8ADF-24BC01314080}" name="PLAQUETTE CHANFREIN " dataDxfId="129">
      <calculatedColumnFormula>IF(AND(ISNUMBER(SEARCH("FORET D13,3 COMPLET", $B4)),ISNUMBER(SEARCH("EMAG 2", $F4))), 2*$E4, 0)</calculatedColumnFormula>
    </tableColumn>
    <tableColumn id="11" xr3:uid="{EA27F758-32BA-4C54-9E89-C9AE55C179FE}" name="EMBOUT D15.3" dataDxfId="128">
      <calculatedColumnFormula>IF(AND(ISNUMBER(SEARCH("FORET D15,3 COMPLET", $B4)),ISNUMBER(SEARCH("EMAG 2", $F4))), 1*$E4, 0)</calculatedColumnFormula>
    </tableColumn>
    <tableColumn id="12" xr3:uid="{5703DAB5-F082-4B5D-8F54-F79F2D6C005A}" name="PLAQUETTE CHANFREIN 2" dataDxfId="127">
      <calculatedColumnFormula>IF(AND(ISNUMBER(SEARCH("FORET D15,3 COMPLET", $B4)),ISNUMBER(SEARCH("EMAG 2", $F4))), 2*$E4, 0)</calculatedColumnFormula>
    </tableColumn>
    <tableColumn id="13" xr3:uid="{B6B438F8-BA0A-430D-BE38-6F326079451E}" name="T5013" dataDxfId="126">
      <calculatedColumnFormula>IF(AND(ISNUMBER(SEARCH("T5013 COMPLET", $B4)),ISNUMBER(SEARCH("EMAG 2", $F4))), 2*$E4, 0)</calculatedColumnFormula>
    </tableColumn>
    <tableColumn id="14" xr3:uid="{CE91EF0F-92CF-423F-815F-B1A5F49C3B99}" name="EMBOUT D8.63" dataDxfId="125">
      <calculatedColumnFormula>IF(AND(ISNUMBER(SEARCH("FORET D8,6 COMPLET", $B4)),ISNUMBER(SEARCH("EMAG 1", $F4))), 1*$E4, 0)</calculatedColumnFormula>
    </tableColumn>
    <tableColumn id="15" xr3:uid="{D2FE72A1-8FCE-4BAE-BC24-3CB63AEED08B}" name="PLAQUETTE FRAISURAGE4" dataDxfId="124">
      <calculatedColumnFormula>IF(AND(ISNUMBER(SEARCH("FORET D8,6 COMPLET", $B4)),ISNUMBER(SEARCH("EMAG 1", $F4))), 1*$E4, 0)</calculatedColumnFormula>
    </tableColumn>
    <tableColumn id="16" xr3:uid="{6568C5F0-41A1-4DAF-A995-A04C2FDA602A}" name="EMBOUT D13.35" dataDxfId="123">
      <calculatedColumnFormula>IF(AND(ISNUMBER(SEARCH("FORET D13,3 COMPLET", $B4)),ISNUMBER(SEARCH("EMAG 1", $F4))), 1*$E4, 0)</calculatedColumnFormula>
    </tableColumn>
    <tableColumn id="17" xr3:uid="{2759B1E7-0A36-4714-BD1D-F94B452DA7C0}" name="PLAQUETTE CHANFREIN 6" dataDxfId="122">
      <calculatedColumnFormula>IF(AND(ISNUMBER(SEARCH("FORET D13,3 COMPLET", $B4)),ISNUMBER(SEARCH("EMAG 1", $F4))), 2*$E4, 0)</calculatedColumnFormula>
    </tableColumn>
    <tableColumn id="18" xr3:uid="{75DA1F2B-7FF6-4658-AB7F-7B67A9BE8C8C}" name="EMBOUT D15.37" dataDxfId="121">
      <calculatedColumnFormula>IF(AND(ISNUMBER(SEARCH("FORET D15,3 COMPLET", $B4)),ISNUMBER(SEARCH("EMAG 1", $F4))), 1*$E4, 0)</calculatedColumnFormula>
    </tableColumn>
    <tableColumn id="19" xr3:uid="{8E7ACFF9-760E-4CD8-AB6B-5ECB1C8FDE9D}" name="PLAQUETTE CHANFREIN 8" dataDxfId="120">
      <calculatedColumnFormula>IF(AND(ISNUMBER(SEARCH("FORET D15,3 COMPLET", $B4)),ISNUMBER(SEARCH("EMAG 1", $F4))), 2*$E4, 0)</calculatedColumnFormula>
    </tableColumn>
    <tableColumn id="20" xr3:uid="{362E9FDD-C355-4625-95B3-22069C4160B5}" name="EMBOUT D13.39" dataDxfId="119">
      <calculatedColumnFormula>IF(AND(ISNUMBER(SEARCH("FORET D13,3 COMPLET", $B4)),ISNUMBER(SEARCH("EMAG 3", $F4))), 1*$E4, 0)</calculatedColumnFormula>
    </tableColumn>
    <tableColumn id="21" xr3:uid="{B910F60E-BB02-410A-B903-37FCEDA9AFCF}" name="PLAQUETTE CHANFREIN 10" dataDxfId="118">
      <calculatedColumnFormula>IF(AND(ISNUMBER(SEARCH("FORET D13,3 COMPLET", $B4)),ISNUMBER(SEARCH("EMAG 3", $F4))), 2*$E4, 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4BAAC6F-BE2D-4721-9E0C-27370A81F7CD}" name="Tableau_plaquette_outil" displayName="Tableau_plaquette_outil" ref="A1:K28" totalsRowShown="0" headerRowDxfId="117" dataDxfId="115" headerRowBorderDxfId="116" tableBorderDxfId="114" totalsRowBorderDxfId="113">
  <autoFilter ref="A1:K28" xr:uid="{74BAAC6F-BE2D-4721-9E0C-27370A81F7CD}"/>
  <tableColumns count="11">
    <tableColumn id="1" xr3:uid="{C83EB200-2E96-4834-BC7C-3F0ED58559D9}" name="Date-Heure de transaction" dataDxfId="112"/>
    <tableColumn id="2" xr3:uid="{BE913C7E-65AF-41F1-B9B0-640EA4EF33D7}" name="Article" dataDxfId="111"/>
    <tableColumn id="3" xr3:uid="{FAD89F88-A30C-49E7-A8E0-3FDA1AE5FE34}" name="Description article " dataDxfId="110"/>
    <tableColumn id="4" xr3:uid="{75C11D2C-A004-4209-9A3B-CD07DE6A14D4}" name="ID utilisateur" dataDxfId="109"/>
    <tableColumn id="5" xr3:uid="{6E7E503A-AB35-4C54-8057-5AB42F16C0C2}" name="Nom utilisateur" dataDxfId="108"/>
    <tableColumn id="6" xr3:uid="{1B5DC409-B94C-423B-A7F9-C68709305564}" name="Qté" dataDxfId="107"/>
    <tableColumn id="7" xr3:uid="{B3B6AE84-14BD-40C6-8B1C-5E29416F5128}" name="Activité " dataDxfId="106"/>
    <tableColumn id="8" xr3:uid="{83F1D5BC-C59F-4C0F-BFE4-78813DAD1F64}" name="OP " dataDxfId="105"/>
    <tableColumn id="9" xr3:uid="{34685031-6FBF-4788-A53B-F932DE595D26}" name="Type " dataDxfId="104"/>
    <tableColumn id="10" xr3:uid="{FD296F45-E4D4-4776-A635-1665C486D1D6}" name="Disque" dataDxfId="103"/>
    <tableColumn id="11" xr3:uid="{7C03302C-367C-47ED-8E09-E2CBC774C7A8}" name="Cout " dataDxfId="102">
      <calculatedColumnFormula>12.18*F2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61FC3A-EF32-4B90-BBCC-605B28E80BA3}" name="Tableau1" displayName="Tableau1" ref="A1:K17" totalsRowShown="0">
  <autoFilter ref="A1:K17" xr:uid="{8961FC3A-EF32-4B90-BBCC-605B28E80BA3}"/>
  <tableColumns count="11">
    <tableColumn id="1" xr3:uid="{658CC7FD-34FF-4C56-B700-CCE6BD1FAA58}" name="Date-Heure de transaction"/>
    <tableColumn id="2" xr3:uid="{4239C2F2-88E7-4F07-AD7A-CC970C49D49B}" name="Article"/>
    <tableColumn id="3" xr3:uid="{633BCC45-684D-4C28-A058-D05D549C7009}" name="Description article "/>
    <tableColumn id="4" xr3:uid="{EF05CE2C-D2CA-4095-9F02-3C7AB74232FD}" name="ID utilisateur"/>
    <tableColumn id="5" xr3:uid="{5CCF0A12-75A9-42C6-98E2-0FEC00B3D15E}" name="Nom utilisateur"/>
    <tableColumn id="6" xr3:uid="{49295F1B-C7A4-472C-89DF-D115CD6E1B28}" name="Qté"/>
    <tableColumn id="7" xr3:uid="{4B6E444C-C65A-4BA3-A219-CE2E2C853DE7}" name="Activité "/>
    <tableColumn id="8" xr3:uid="{7412D286-ED1E-4407-908C-B38C5F7AB2E6}" name="OP "/>
    <tableColumn id="9" xr3:uid="{121D4A0B-1788-4249-9782-A4CBEABC93C0}" name="Type "/>
    <tableColumn id="10" xr3:uid="{D9DD874C-CB05-45E5-825B-088EB25EFA18}" name="Disque"/>
    <tableColumn id="11" xr3:uid="{FC9A3EA2-3289-41D9-BBEE-E6599318A564}" name="Cout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F3297D-CA95-4E51-9CD5-EB1D71DB2371}" name="Tableau2" displayName="Tableau2" ref="A1:K17" totalsRowShown="0">
  <autoFilter ref="A1:K17" xr:uid="{0FF3297D-CA95-4E51-9CD5-EB1D71DB2371}"/>
  <tableColumns count="11">
    <tableColumn id="1" xr3:uid="{B20C772D-D98D-4B6D-955B-A83A10D91B37}" name="Date-Heure de transaction"/>
    <tableColumn id="2" xr3:uid="{4AF931D8-267A-419F-9AE1-C4CA9197C297}" name="Article"/>
    <tableColumn id="3" xr3:uid="{969CFDFA-45DE-4F19-A5CD-32D7AB6227EC}" name="Description article "/>
    <tableColumn id="4" xr3:uid="{9477FBD4-12DC-47AA-9BB8-90CCC1021570}" name="ID utilisateur"/>
    <tableColumn id="5" xr3:uid="{0DBE25F2-8019-4461-9F7F-85D6EE71873B}" name="Nom utilisateur"/>
    <tableColumn id="6" xr3:uid="{F8476484-DCF0-4A0B-88B1-3144309D0FAB}" name="Qté"/>
    <tableColumn id="7" xr3:uid="{C0FE4D26-D36A-460A-94C5-4E49F1F43E2E}" name="Activité "/>
    <tableColumn id="8" xr3:uid="{574B87C1-1D67-45BE-BE21-72E54A1DF4A8}" name="OP "/>
    <tableColumn id="9" xr3:uid="{C502C3FA-C925-404C-82D4-4B196D99FC8F}" name="Type "/>
    <tableColumn id="10" xr3:uid="{03CC924B-AE4A-4A25-AF16-C57450B59312}" name="Disque"/>
    <tableColumn id="11" xr3:uid="{AD421A98-793A-4F9D-9777-75CFB81E4613}" name="Cout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76478C5-56E1-48D0-8774-9F007317B387}" name="Tableau_plaquette_complet" displayName="Tableau_plaquette_complet" ref="A1:K162" tableType="queryTable" totalsRowShown="0" headerRowDxfId="101" dataDxfId="100">
  <autoFilter ref="A1:K162" xr:uid="{D76478C5-56E1-48D0-8774-9F007317B387}"/>
  <tableColumns count="11">
    <tableColumn id="1" xr3:uid="{87747828-F542-4CD6-83B1-18F3B506AEBE}" uniqueName="1" name="Date-Heure de transaction" queryTableFieldId="1" dataDxfId="99"/>
    <tableColumn id="2" xr3:uid="{02A9BE77-1ECF-47D1-B1D7-C932D56668EB}" uniqueName="2" name="Article" queryTableFieldId="2" dataDxfId="98"/>
    <tableColumn id="3" xr3:uid="{0899DC9D-5530-4651-AAFA-B46FA6F9CE48}" uniqueName="3" name="Description article " queryTableFieldId="3" dataDxfId="97"/>
    <tableColumn id="4" xr3:uid="{486B3F1A-A2BD-483F-B99F-B4C1C8CB8F21}" uniqueName="4" name="ID utilisateur" queryTableFieldId="4" dataDxfId="96"/>
    <tableColumn id="5" xr3:uid="{686202A5-4F2F-438A-9A76-0C54ED504B03}" uniqueName="5" name="Nom utilisateur" queryTableFieldId="5" dataDxfId="95"/>
    <tableColumn id="6" xr3:uid="{659ABC28-CE1A-47A0-B34F-B237013B7052}" uniqueName="6" name="Qté" queryTableFieldId="6" dataDxfId="94"/>
    <tableColumn id="7" xr3:uid="{CFCBE2B3-92FA-4F10-B213-2A7AE5F942C0}" uniqueName="7" name="Activité " queryTableFieldId="7" dataDxfId="93"/>
    <tableColumn id="8" xr3:uid="{7243CECF-BFBB-4B56-9FB4-36D47CDB8520}" uniqueName="8" name="OP " queryTableFieldId="8" dataDxfId="92"/>
    <tableColumn id="9" xr3:uid="{144C954F-F866-4652-A5D5-6AA3CB1EF160}" uniqueName="9" name="Type " queryTableFieldId="9" dataDxfId="91"/>
    <tableColumn id="10" xr3:uid="{2C4674F0-5700-46E6-AC96-997D291E01E1}" uniqueName="10" name="Disque" queryTableFieldId="10" dataDxfId="90"/>
    <tableColumn id="11" xr3:uid="{BDEBFA2F-C16C-4919-BCCE-2D6AA6863BB5}" uniqueName="11" name="Cout " queryTableFieldId="11" dataDxfId="89" dataCellStyle="Monétair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BF54D5C-2170-4EA6-AEF7-674AAFDB40C2}" name="Ajouter1" displayName="Ajouter1" ref="I1:J24" tableType="queryTable" totalsRowCount="1">
  <autoFilter ref="I1:J23" xr:uid="{6BF54D5C-2170-4EA6-AEF7-674AAFDB40C2}"/>
  <sortState xmlns:xlrd2="http://schemas.microsoft.com/office/spreadsheetml/2017/richdata2" ref="I2:J23">
    <sortCondition ref="I1:I23"/>
  </sortState>
  <tableColumns count="2">
    <tableColumn id="1" xr3:uid="{6FB1FF24-D78B-487E-B8D9-E41F3ED1CBD1}" uniqueName="1" name="MABEC" totalsRowLabel="Total" queryTableFieldId="1" dataDxfId="87"/>
    <tableColumn id="2" xr3:uid="{203ACA43-FDD2-4101-A1FA-21CBADCAC008}" uniqueName="2" name="Qté théorique" totalsRowFunction="sum" queryTableField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C3FDC00-67B4-4852-AC7C-2364526A85A0}" name="Tableau14" displayName="Tableau14" ref="A1:C25" totalsRowCount="1" tableBorderDxfId="86">
  <autoFilter ref="A1:C24" xr:uid="{1C3FDC00-67B4-4852-AC7C-2364526A85A0}"/>
  <sortState xmlns:xlrd2="http://schemas.microsoft.com/office/spreadsheetml/2017/richdata2" ref="A2:C24">
    <sortCondition descending="1" ref="B1:B24"/>
  </sortState>
  <tableColumns count="3">
    <tableColumn id="1" xr3:uid="{0310BF9D-9CB3-4C61-A3F2-DFC861D504C9}" name="MABEC" totalsRowLabel="Total" dataDxfId="85" totalsRowDxfId="84"/>
    <tableColumn id="2" xr3:uid="{D92EB5F0-E758-4DA0-B343-D415624A41BB}" name="Qté Réelle" totalsRowFunction="sum" dataDxfId="83">
      <calculatedColumnFormula>SUMIF($M$3:$M$55,TRIM(A2),$N$3:$N$55)</calculatedColumnFormula>
    </tableColumn>
    <tableColumn id="3" xr3:uid="{FD838133-68AE-4E6F-868C-08B2C812B179}" name="Qté théorique" totalsRowFunction="sum">
      <calculatedColumnFormula>SUMIF(Ajouter1[MABEC],TRIM(A2),Ajouter1[Qté théorique])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775C6D-E826-43C1-AE31-2A54527D14DB}" name="EMAG1_304" displayName="EMAG1_304" ref="H26:I36" totalsRowShown="0">
  <autoFilter ref="H26:I36" xr:uid="{57775C6D-E826-43C1-AE31-2A54527D14DB}"/>
  <tableColumns count="2">
    <tableColumn id="1" xr3:uid="{30DB89A2-50CE-46F1-BB8A-97620C1BCD46}" name="MABEC"/>
    <tableColumn id="2" xr3:uid="{B232AE36-6A79-445A-B8A5-5A270445D4A1}" name="Qté théorique">
      <calculatedColumnFormula>SUMIF($D$4:$D$21,TRIM(H27),$J$4:$J$21)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FE92C7-1AC1-4518-A758-71C740728C3E}" name="EMAG1_356" displayName="EMAG1_356" ref="H29:I42" totalsRowCount="1">
  <autoFilter ref="H29:I41" xr:uid="{0BFE92C7-1AC1-4518-A758-71C740728C3E}"/>
  <tableColumns count="2">
    <tableColumn id="1" xr3:uid="{33C27270-5862-4A79-8573-6ACED8F6D54B}" name="MABEC"/>
    <tableColumn id="2" xr3:uid="{69763FBE-3B75-4968-8AE7-DA681F4B0F30}" name="Qté théorique" dataDxfId="82">
      <calculatedColumnFormula>SUMIF($D$4:$D$23,TRIM(H30),$J$4:$J$23)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3DD07D-EDCB-4761-990E-F4F6271D2010}" name="EMAG2_290" displayName="EMAG2_290" ref="H22:I32" totalsRowShown="0">
  <autoFilter ref="H22:I32" xr:uid="{4F3DD07D-EDCB-4761-990E-F4F6271D2010}"/>
  <tableColumns count="2">
    <tableColumn id="1" xr3:uid="{F5E3E788-21A4-4C6A-8500-95CE22FF0019}" name="MABEC"/>
    <tableColumn id="2" xr3:uid="{5318B84C-32B9-4272-A515-3BA0BFAF0A3F}" name="Qté théorique" dataDxfId="81">
      <calculatedColumnFormula>SUMIF($D$4:$D$18,TRIM(H23),$J$4:$J$18)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91C69-F3BF-4154-8A01-BDC6DCB72600}" name="EMAG2_330x14" displayName="EMAG2_330x14" ref="H28:I41" totalsRowShown="0">
  <autoFilter ref="H28:I41" xr:uid="{19291C69-F3BF-4154-8A01-BDC6DCB72600}"/>
  <tableColumns count="2">
    <tableColumn id="1" xr3:uid="{7DD4B027-0C8C-439D-A0DD-37D6CB8BB432}" name="MABEC"/>
    <tableColumn id="2" xr3:uid="{DF320B0D-853C-4D6A-97F7-F47508764B7B}" name="Qté théorique" dataDxfId="80">
      <calculatedColumnFormula>SUMIF($D$4:$D$24,TRIM(H29),$J$4:$J$24)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81C37C-4FA8-43DE-910E-79D03B171B32}" name="EMAG2_356" displayName="EMAG2_356" ref="H28:I41" totalsRowShown="0">
  <autoFilter ref="H28:I41" xr:uid="{1B81C37C-4FA8-43DE-910E-79D03B171B32}"/>
  <tableColumns count="2">
    <tableColumn id="1" xr3:uid="{272C78BF-0521-440B-A0B2-2BFCBF34F608}" name="MABEC"/>
    <tableColumn id="2" xr3:uid="{758DD1E1-F9C0-4C25-8C6D-4DA33BDC271F}" name="Qté théorique" dataDxfId="79">
      <calculatedColumnFormula>SUMIF($D$4:$D$24,TRIM(H29),$J$4:$J$24)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00A136-C8C2-437F-928F-4C525824F7E7}" name="EMAG3_290" displayName="EMAG3_290" ref="H22:I32" totalsRowShown="0">
  <autoFilter ref="H22:I32" xr:uid="{3900A136-C8C2-437F-928F-4C525824F7E7}"/>
  <tableColumns count="2">
    <tableColumn id="1" xr3:uid="{603FE0BC-4157-4897-9BAF-B460D5EBCF18}" name="MABEC"/>
    <tableColumn id="2" xr3:uid="{5627DC73-E9CD-4B6A-8911-0D648B1D2AF3}" name="Qté théorique" dataDxfId="78">
      <calculatedColumnFormula>SUMIF($D$4:$D$18,TRIM(H23),$J$4:$J$18)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EF7B8C-3F0D-4431-8286-B48F35E1543B}" name="EMAG3_302" displayName="EMAG3_302" ref="H24:I34" totalsRowShown="0">
  <autoFilter ref="H24:I34" xr:uid="{51EF7B8C-3F0D-4431-8286-B48F35E1543B}"/>
  <tableColumns count="2">
    <tableColumn id="1" xr3:uid="{F80FBF97-A4B7-466B-A299-0030917FB6A5}" name="MABEC"/>
    <tableColumn id="2" xr3:uid="{31451048-0225-4518-8F06-58FDB22CD853}" name="Qté théorique" dataDxfId="77">
      <calculatedColumnFormula>SUMIF($D$4:$D$20,TRIM(H25),$J$4:$J$20)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FBF2654-72A3-41A3-9AE5-D4E78C459A3B}" name="EMAG3_304" displayName="EMAG3_304" ref="H26:I36" totalsRowShown="0">
  <autoFilter ref="H26:I36" xr:uid="{FFBF2654-72A3-41A3-9AE5-D4E78C459A3B}"/>
  <tableColumns count="2">
    <tableColumn id="1" xr3:uid="{71C6FF1D-5681-469F-963F-719254ED58BE}" name="MABEC"/>
    <tableColumn id="2" xr3:uid="{41BC6AC3-3155-4726-A80A-5E7157B089FA}" name="Qté théorique">
      <calculatedColumnFormula>SUMIF($D$4:$D$21,TRIM(H27),$J$4:$J$21)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41B295-267F-4C14-909F-32B9C3B0C9F7}" name="EMAG3_330x14" displayName="EMAG3_330x14" ref="H26:I39" totalsRowShown="0">
  <autoFilter ref="H26:I39" xr:uid="{DD41B295-267F-4C14-909F-32B9C3B0C9F7}"/>
  <tableColumns count="2">
    <tableColumn id="1" xr3:uid="{8DCCF243-C367-494F-8B56-B193265C3C3F}" name="MABEC"/>
    <tableColumn id="2" xr3:uid="{A5C9A3F5-67B6-4D51-89FD-1250C86C7769}" name="Qté théorique" dataDxfId="76">
      <calculatedColumnFormula>SUMIF($D$4:$D$24,TRIM(H27),$J$4:$J$24)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F1D2256-4EED-469E-A6CD-7259C836A20A}" name="EMAG3_330x28" displayName="EMAG3_330x28" ref="H24:I34" totalsRowShown="0">
  <autoFilter ref="H24:I34" xr:uid="{3F1D2256-4EED-469E-A6CD-7259C836A20A}"/>
  <tableColumns count="2">
    <tableColumn id="1" xr3:uid="{676C9BC8-FEF7-485F-AA94-BDE62D3F45DF}" name="MABEC"/>
    <tableColumn id="2" xr3:uid="{452322C2-E0BB-44D3-9C8D-9C3B813AD202}" name="Qté théorique">
      <calculatedColumnFormula>SUMIF($D$4:$D$21,TRIM(H25),$J$4:$J$21)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7003DC8-C32C-49C0-8332-A487A8538764}" name="HESSAP_303" displayName="HESSAP_303" ref="I1:J14" tableType="queryTable" totalsRowCount="1">
  <autoFilter ref="I1:J13" xr:uid="{17003DC8-C32C-49C0-8332-A487A8538764}"/>
  <tableColumns count="2">
    <tableColumn id="1" xr3:uid="{044FD2D9-F380-46F4-9C0A-4B0E1BDBFDE5}" uniqueName="1" name="MABEC" totalsRowLabel="Total" queryTableFieldId="1" dataDxfId="75"/>
    <tableColumn id="2" xr3:uid="{B41C41F9-EE5A-4ED1-BB1E-EBEF8DDC91E3}" uniqueName="2" name="Qté théorique" totalsRowFunction="sum" queryTableField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30583A-5EEA-40EE-B4C9-E6854A454571}" name="Tableau17" displayName="Tableau17" ref="A1:C13" totalsRowCount="1" tableBorderDxfId="74">
  <autoFilter ref="A1:C12" xr:uid="{ED30583A-5EEA-40EE-B4C9-E6854A454571}"/>
  <sortState xmlns:xlrd2="http://schemas.microsoft.com/office/spreadsheetml/2017/richdata2" ref="A2:C12">
    <sortCondition descending="1" ref="B1:B12"/>
  </sortState>
  <tableColumns count="3">
    <tableColumn id="1" xr3:uid="{2955424E-4D08-4A43-A301-AE38DCA3CDEA}" name="MABEC" totalsRowLabel="Total" dataDxfId="73"/>
    <tableColumn id="2" xr3:uid="{ED4F30A3-8B6E-4033-8199-14E729C0D6CD}" name="Qté réelle" totalsRowFunction="sum">
      <calculatedColumnFormula>SUMIF($M$2:$M$12,TRIM(A2),$N$2:$N$12)</calculatedColumnFormula>
    </tableColumn>
    <tableColumn id="3" xr3:uid="{64FF22B8-2A4C-4386-823B-36766B648A84}" name="Qté théorique" totalsRowFunction="sum">
      <calculatedColumnFormula>SUMIF($I$2:$I$13,TRIM(A2),$J$2:$J$13)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ABD7E8E-1649-4E7B-BF0F-E0E214612DAC}" name="HESSAP_302" displayName="HESSAP_302" ref="H21:I33" totalsRowCount="1">
  <autoFilter ref="H21:I32" xr:uid="{7ABD7E8E-1649-4E7B-BF0F-E0E214612DAC}"/>
  <tableColumns count="2">
    <tableColumn id="1" xr3:uid="{2BED03CB-E6B2-4CB1-8C0D-EB37DDE6817C}" name="MABEC"/>
    <tableColumn id="2" xr3:uid="{F3F0635D-DC7D-4FDE-B028-15DEBC6AFC1A}" name="Qté théorique" dataDxfId="72">
      <calculatedColumnFormula>SUMIF($D$4:$D$16,TRIM(H22),$J$4:$J$16)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8D89DCF-B09A-4EF0-B1DB-DD0821028B95}" name="Tableau_plaquette_colonne_1" displayName="Tableau_plaquette_colonne_1" ref="A1:K143" tableType="queryTable" totalsRowShown="0">
  <autoFilter ref="A1:K143" xr:uid="{58D89DCF-B09A-4EF0-B1DB-DD0821028B95}"/>
  <tableColumns count="11">
    <tableColumn id="1" xr3:uid="{249BD64E-5A0E-4F4E-8C82-199B43C33696}" uniqueName="1" name="Date-Heure de transaction" queryTableFieldId="1" dataDxfId="71"/>
    <tableColumn id="2" xr3:uid="{4C4D7822-27B1-40C0-8F3A-C0B4EE4D6488}" uniqueName="2" name="Article" queryTableFieldId="2" dataDxfId="70"/>
    <tableColumn id="3" xr3:uid="{BDB30D4F-EEA5-4B15-845D-7ABC535D363D}" uniqueName="3" name="Description article " queryTableFieldId="3" dataDxfId="69"/>
    <tableColumn id="4" xr3:uid="{F8E70EB7-9110-4B1F-9862-09C2F206B95E}" uniqueName="4" name="ID utilisateur" queryTableFieldId="4" dataDxfId="68"/>
    <tableColumn id="5" xr3:uid="{FECEA694-4AE1-480D-B83B-A43377618C02}" uniqueName="5" name="Nom utilisateur" queryTableFieldId="5" dataDxfId="67"/>
    <tableColumn id="6" xr3:uid="{900166BB-891B-4409-8296-3780630B1C84}" uniqueName="6" name="Qté" queryTableFieldId="6"/>
    <tableColumn id="7" xr3:uid="{1C2FC2AC-4C78-47E2-B617-AA427B06803F}" uniqueName="7" name="Activité " queryTableFieldId="7" dataDxfId="66"/>
    <tableColumn id="8" xr3:uid="{519C736C-7D7A-49D1-8B21-30BC0922F523}" uniqueName="8" name="OP " queryTableFieldId="8" dataDxfId="65"/>
    <tableColumn id="9" xr3:uid="{E6F8D842-71B1-4AB6-9444-CB7373769E3F}" uniqueName="9" name="Type " queryTableFieldId="9" dataDxfId="64"/>
    <tableColumn id="10" xr3:uid="{4E586109-335D-46ED-A10D-992C607FB3C2}" uniqueName="10" name="Disque" queryTableFieldId="10" dataDxfId="63"/>
    <tableColumn id="11" xr3:uid="{ACBABAD5-E0A7-4124-87C7-CDB96DF67FCF}" uniqueName="11" name="Cout " queryTableFieldId="11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587891D-F490-42F8-AA8B-F4096B378189}" name="Tableau_plaquette_outil_1" displayName="Tableau_plaquette_outil_1" ref="A1:K28" tableType="queryTable" totalsRowShown="0">
  <autoFilter ref="A1:K28" xr:uid="{E587891D-F490-42F8-AA8B-F4096B378189}"/>
  <tableColumns count="11">
    <tableColumn id="1" xr3:uid="{BBDF520C-B077-4EC3-AF25-1EA90F1238C9}" uniqueName="1" name="Date-Heure de transaction" queryTableFieldId="1"/>
    <tableColumn id="2" xr3:uid="{A759B3AF-8E83-41FA-8D08-1AB4ED41A962}" uniqueName="2" name="Article" queryTableFieldId="2" dataDxfId="62"/>
    <tableColumn id="3" xr3:uid="{BE0BD9E1-106F-4079-9A45-8521AA58F771}" uniqueName="3" name="Description article " queryTableFieldId="3"/>
    <tableColumn id="4" xr3:uid="{235E9DE5-42BC-4F21-ABF0-0729AF6A4776}" uniqueName="4" name="ID utilisateur" queryTableFieldId="4"/>
    <tableColumn id="5" xr3:uid="{89A9CACF-B11C-4E29-9988-29B843E179E9}" uniqueName="5" name="Nom utilisateur" queryTableFieldId="5"/>
    <tableColumn id="6" xr3:uid="{DFC45378-A931-40C2-8A1A-A3C433BCB93B}" uniqueName="6" name="Qté" queryTableFieldId="6"/>
    <tableColumn id="7" xr3:uid="{E8B488B9-59C3-4969-B368-34A8A5778A3D}" uniqueName="7" name="Activité " queryTableFieldId="7" dataDxfId="61"/>
    <tableColumn id="8" xr3:uid="{1A8EAE23-FBC4-40AE-90D9-8F70F540D706}" uniqueName="8" name="OP " queryTableFieldId="8" dataDxfId="60"/>
    <tableColumn id="9" xr3:uid="{F17DB21C-5AA5-4648-8249-C8A3EC9E4006}" uniqueName="9" name="Type " queryTableFieldId="9" dataDxfId="59"/>
    <tableColumn id="10" xr3:uid="{8B8C157C-8C13-4A97-9767-5C3106D14F2B}" uniqueName="10" name="Disque" queryTableFieldId="10" dataDxfId="58"/>
    <tableColumn id="11" xr3:uid="{4669F584-75D3-4462-995A-26DB8504A499}" uniqueName="11" name="Cout 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0.xml"/><Relationship Id="rId4" Type="http://schemas.openxmlformats.org/officeDocument/2006/relationships/table" Target="../tables/table2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3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237"/>
  <sheetViews>
    <sheetView zoomScale="104" zoomScaleNormal="10" workbookViewId="0">
      <selection activeCell="F4" sqref="F4:F137"/>
    </sheetView>
  </sheetViews>
  <sheetFormatPr baseColWidth="10" defaultColWidth="11.42578125" defaultRowHeight="15" x14ac:dyDescent="0.25"/>
  <cols>
    <col min="1" max="1" width="17.85546875" customWidth="1"/>
    <col min="2" max="2" width="18" customWidth="1"/>
    <col min="3" max="3" width="26.140625" customWidth="1"/>
    <col min="4" max="4" width="13.42578125" customWidth="1"/>
    <col min="5" max="5" width="19.85546875" customWidth="1"/>
    <col min="6" max="6" width="7.42578125" customWidth="1"/>
    <col min="7" max="7" width="11.42578125" customWidth="1"/>
    <col min="8" max="8" width="9" customWidth="1"/>
    <col min="9" max="9" width="13" bestFit="1" customWidth="1"/>
    <col min="10" max="10" width="14" bestFit="1" customWidth="1"/>
    <col min="11" max="11" width="12.85546875" bestFit="1" customWidth="1"/>
    <col min="12" max="12" width="29.85546875" customWidth="1"/>
    <col min="13" max="13" width="11.42578125" customWidth="1"/>
    <col min="253" max="253" width="15.85546875" customWidth="1"/>
    <col min="254" max="255" width="9" customWidth="1"/>
    <col min="256" max="256" width="4" customWidth="1"/>
    <col min="257" max="258" width="9" customWidth="1"/>
    <col min="259" max="259" width="4" customWidth="1"/>
    <col min="260" max="262" width="9" customWidth="1"/>
    <col min="263" max="266" width="6.85546875" customWidth="1"/>
    <col min="267" max="267" width="9" customWidth="1"/>
    <col min="268" max="268" width="29.85546875" customWidth="1"/>
    <col min="509" max="509" width="15.85546875" customWidth="1"/>
    <col min="510" max="511" width="9" customWidth="1"/>
    <col min="512" max="512" width="4" customWidth="1"/>
    <col min="513" max="514" width="9" customWidth="1"/>
    <col min="515" max="515" width="4" customWidth="1"/>
    <col min="516" max="518" width="9" customWidth="1"/>
    <col min="519" max="522" width="6.85546875" customWidth="1"/>
    <col min="523" max="523" width="9" customWidth="1"/>
    <col min="524" max="524" width="29.85546875" customWidth="1"/>
    <col min="765" max="765" width="15.85546875" customWidth="1"/>
    <col min="766" max="767" width="9" customWidth="1"/>
    <col min="768" max="768" width="4" customWidth="1"/>
    <col min="769" max="770" width="9" customWidth="1"/>
    <col min="771" max="771" width="4" customWidth="1"/>
    <col min="772" max="774" width="9" customWidth="1"/>
    <col min="775" max="778" width="6.85546875" customWidth="1"/>
    <col min="779" max="779" width="9" customWidth="1"/>
    <col min="780" max="780" width="29.85546875" customWidth="1"/>
    <col min="1021" max="1021" width="15.85546875" customWidth="1"/>
    <col min="1022" max="1023" width="9" customWidth="1"/>
    <col min="1024" max="1024" width="4" customWidth="1"/>
    <col min="1025" max="1026" width="9" customWidth="1"/>
    <col min="1027" max="1027" width="4" customWidth="1"/>
    <col min="1028" max="1030" width="9" customWidth="1"/>
    <col min="1031" max="1034" width="6.85546875" customWidth="1"/>
    <col min="1035" max="1035" width="9" customWidth="1"/>
    <col min="1036" max="1036" width="29.85546875" customWidth="1"/>
    <col min="1277" max="1277" width="15.85546875" customWidth="1"/>
    <col min="1278" max="1279" width="9" customWidth="1"/>
    <col min="1280" max="1280" width="4" customWidth="1"/>
    <col min="1281" max="1282" width="9" customWidth="1"/>
    <col min="1283" max="1283" width="4" customWidth="1"/>
    <col min="1284" max="1286" width="9" customWidth="1"/>
    <col min="1287" max="1290" width="6.85546875" customWidth="1"/>
    <col min="1291" max="1291" width="9" customWidth="1"/>
    <col min="1292" max="1292" width="29.85546875" customWidth="1"/>
    <col min="1533" max="1533" width="15.85546875" customWidth="1"/>
    <col min="1534" max="1535" width="9" customWidth="1"/>
    <col min="1536" max="1536" width="4" customWidth="1"/>
    <col min="1537" max="1538" width="9" customWidth="1"/>
    <col min="1539" max="1539" width="4" customWidth="1"/>
    <col min="1540" max="1542" width="9" customWidth="1"/>
    <col min="1543" max="1546" width="6.85546875" customWidth="1"/>
    <col min="1547" max="1547" width="9" customWidth="1"/>
    <col min="1548" max="1548" width="29.85546875" customWidth="1"/>
    <col min="1789" max="1789" width="15.85546875" customWidth="1"/>
    <col min="1790" max="1791" width="9" customWidth="1"/>
    <col min="1792" max="1792" width="4" customWidth="1"/>
    <col min="1793" max="1794" width="9" customWidth="1"/>
    <col min="1795" max="1795" width="4" customWidth="1"/>
    <col min="1796" max="1798" width="9" customWidth="1"/>
    <col min="1799" max="1802" width="6.85546875" customWidth="1"/>
    <col min="1803" max="1803" width="9" customWidth="1"/>
    <col min="1804" max="1804" width="29.85546875" customWidth="1"/>
    <col min="2045" max="2045" width="15.85546875" customWidth="1"/>
    <col min="2046" max="2047" width="9" customWidth="1"/>
    <col min="2048" max="2048" width="4" customWidth="1"/>
    <col min="2049" max="2050" width="9" customWidth="1"/>
    <col min="2051" max="2051" width="4" customWidth="1"/>
    <col min="2052" max="2054" width="9" customWidth="1"/>
    <col min="2055" max="2058" width="6.85546875" customWidth="1"/>
    <col min="2059" max="2059" width="9" customWidth="1"/>
    <col min="2060" max="2060" width="29.85546875" customWidth="1"/>
    <col min="2301" max="2301" width="15.85546875" customWidth="1"/>
    <col min="2302" max="2303" width="9" customWidth="1"/>
    <col min="2304" max="2304" width="4" customWidth="1"/>
    <col min="2305" max="2306" width="9" customWidth="1"/>
    <col min="2307" max="2307" width="4" customWidth="1"/>
    <col min="2308" max="2310" width="9" customWidth="1"/>
    <col min="2311" max="2314" width="6.85546875" customWidth="1"/>
    <col min="2315" max="2315" width="9" customWidth="1"/>
    <col min="2316" max="2316" width="29.85546875" customWidth="1"/>
    <col min="2557" max="2557" width="15.85546875" customWidth="1"/>
    <col min="2558" max="2559" width="9" customWidth="1"/>
    <col min="2560" max="2560" width="4" customWidth="1"/>
    <col min="2561" max="2562" width="9" customWidth="1"/>
    <col min="2563" max="2563" width="4" customWidth="1"/>
    <col min="2564" max="2566" width="9" customWidth="1"/>
    <col min="2567" max="2570" width="6.85546875" customWidth="1"/>
    <col min="2571" max="2571" width="9" customWidth="1"/>
    <col min="2572" max="2572" width="29.85546875" customWidth="1"/>
    <col min="2813" max="2813" width="15.85546875" customWidth="1"/>
    <col min="2814" max="2815" width="9" customWidth="1"/>
    <col min="2816" max="2816" width="4" customWidth="1"/>
    <col min="2817" max="2818" width="9" customWidth="1"/>
    <col min="2819" max="2819" width="4" customWidth="1"/>
    <col min="2820" max="2822" width="9" customWidth="1"/>
    <col min="2823" max="2826" width="6.85546875" customWidth="1"/>
    <col min="2827" max="2827" width="9" customWidth="1"/>
    <col min="2828" max="2828" width="29.85546875" customWidth="1"/>
    <col min="3069" max="3069" width="15.85546875" customWidth="1"/>
    <col min="3070" max="3071" width="9" customWidth="1"/>
    <col min="3072" max="3072" width="4" customWidth="1"/>
    <col min="3073" max="3074" width="9" customWidth="1"/>
    <col min="3075" max="3075" width="4" customWidth="1"/>
    <col min="3076" max="3078" width="9" customWidth="1"/>
    <col min="3079" max="3082" width="6.85546875" customWidth="1"/>
    <col min="3083" max="3083" width="9" customWidth="1"/>
    <col min="3084" max="3084" width="29.85546875" customWidth="1"/>
    <col min="3325" max="3325" width="15.85546875" customWidth="1"/>
    <col min="3326" max="3327" width="9" customWidth="1"/>
    <col min="3328" max="3328" width="4" customWidth="1"/>
    <col min="3329" max="3330" width="9" customWidth="1"/>
    <col min="3331" max="3331" width="4" customWidth="1"/>
    <col min="3332" max="3334" width="9" customWidth="1"/>
    <col min="3335" max="3338" width="6.85546875" customWidth="1"/>
    <col min="3339" max="3339" width="9" customWidth="1"/>
    <col min="3340" max="3340" width="29.85546875" customWidth="1"/>
    <col min="3581" max="3581" width="15.85546875" customWidth="1"/>
    <col min="3582" max="3583" width="9" customWidth="1"/>
    <col min="3584" max="3584" width="4" customWidth="1"/>
    <col min="3585" max="3586" width="9" customWidth="1"/>
    <col min="3587" max="3587" width="4" customWidth="1"/>
    <col min="3588" max="3590" width="9" customWidth="1"/>
    <col min="3591" max="3594" width="6.85546875" customWidth="1"/>
    <col min="3595" max="3595" width="9" customWidth="1"/>
    <col min="3596" max="3596" width="29.85546875" customWidth="1"/>
    <col min="3837" max="3837" width="15.85546875" customWidth="1"/>
    <col min="3838" max="3839" width="9" customWidth="1"/>
    <col min="3840" max="3840" width="4" customWidth="1"/>
    <col min="3841" max="3842" width="9" customWidth="1"/>
    <col min="3843" max="3843" width="4" customWidth="1"/>
    <col min="3844" max="3846" width="9" customWidth="1"/>
    <col min="3847" max="3850" width="6.85546875" customWidth="1"/>
    <col min="3851" max="3851" width="9" customWidth="1"/>
    <col min="3852" max="3852" width="29.85546875" customWidth="1"/>
    <col min="4093" max="4093" width="15.85546875" customWidth="1"/>
    <col min="4094" max="4095" width="9" customWidth="1"/>
    <col min="4096" max="4096" width="4" customWidth="1"/>
    <col min="4097" max="4098" width="9" customWidth="1"/>
    <col min="4099" max="4099" width="4" customWidth="1"/>
    <col min="4100" max="4102" width="9" customWidth="1"/>
    <col min="4103" max="4106" width="6.85546875" customWidth="1"/>
    <col min="4107" max="4107" width="9" customWidth="1"/>
    <col min="4108" max="4108" width="29.85546875" customWidth="1"/>
    <col min="4349" max="4349" width="15.85546875" customWidth="1"/>
    <col min="4350" max="4351" width="9" customWidth="1"/>
    <col min="4352" max="4352" width="4" customWidth="1"/>
    <col min="4353" max="4354" width="9" customWidth="1"/>
    <col min="4355" max="4355" width="4" customWidth="1"/>
    <col min="4356" max="4358" width="9" customWidth="1"/>
    <col min="4359" max="4362" width="6.85546875" customWidth="1"/>
    <col min="4363" max="4363" width="9" customWidth="1"/>
    <col min="4364" max="4364" width="29.85546875" customWidth="1"/>
    <col min="4605" max="4605" width="15.85546875" customWidth="1"/>
    <col min="4606" max="4607" width="9" customWidth="1"/>
    <col min="4608" max="4608" width="4" customWidth="1"/>
    <col min="4609" max="4610" width="9" customWidth="1"/>
    <col min="4611" max="4611" width="4" customWidth="1"/>
    <col min="4612" max="4614" width="9" customWidth="1"/>
    <col min="4615" max="4618" width="6.85546875" customWidth="1"/>
    <col min="4619" max="4619" width="9" customWidth="1"/>
    <col min="4620" max="4620" width="29.85546875" customWidth="1"/>
    <col min="4861" max="4861" width="15.85546875" customWidth="1"/>
    <col min="4862" max="4863" width="9" customWidth="1"/>
    <col min="4864" max="4864" width="4" customWidth="1"/>
    <col min="4865" max="4866" width="9" customWidth="1"/>
    <col min="4867" max="4867" width="4" customWidth="1"/>
    <col min="4868" max="4870" width="9" customWidth="1"/>
    <col min="4871" max="4874" width="6.85546875" customWidth="1"/>
    <col min="4875" max="4875" width="9" customWidth="1"/>
    <col min="4876" max="4876" width="29.85546875" customWidth="1"/>
    <col min="5117" max="5117" width="15.85546875" customWidth="1"/>
    <col min="5118" max="5119" width="9" customWidth="1"/>
    <col min="5120" max="5120" width="4" customWidth="1"/>
    <col min="5121" max="5122" width="9" customWidth="1"/>
    <col min="5123" max="5123" width="4" customWidth="1"/>
    <col min="5124" max="5126" width="9" customWidth="1"/>
    <col min="5127" max="5130" width="6.85546875" customWidth="1"/>
    <col min="5131" max="5131" width="9" customWidth="1"/>
    <col min="5132" max="5132" width="29.85546875" customWidth="1"/>
    <col min="5373" max="5373" width="15.85546875" customWidth="1"/>
    <col min="5374" max="5375" width="9" customWidth="1"/>
    <col min="5376" max="5376" width="4" customWidth="1"/>
    <col min="5377" max="5378" width="9" customWidth="1"/>
    <col min="5379" max="5379" width="4" customWidth="1"/>
    <col min="5380" max="5382" width="9" customWidth="1"/>
    <col min="5383" max="5386" width="6.85546875" customWidth="1"/>
    <col min="5387" max="5387" width="9" customWidth="1"/>
    <col min="5388" max="5388" width="29.85546875" customWidth="1"/>
    <col min="5629" max="5629" width="15.85546875" customWidth="1"/>
    <col min="5630" max="5631" width="9" customWidth="1"/>
    <col min="5632" max="5632" width="4" customWidth="1"/>
    <col min="5633" max="5634" width="9" customWidth="1"/>
    <col min="5635" max="5635" width="4" customWidth="1"/>
    <col min="5636" max="5638" width="9" customWidth="1"/>
    <col min="5639" max="5642" width="6.85546875" customWidth="1"/>
    <col min="5643" max="5643" width="9" customWidth="1"/>
    <col min="5644" max="5644" width="29.85546875" customWidth="1"/>
    <col min="5885" max="5885" width="15.85546875" customWidth="1"/>
    <col min="5886" max="5887" width="9" customWidth="1"/>
    <col min="5888" max="5888" width="4" customWidth="1"/>
    <col min="5889" max="5890" width="9" customWidth="1"/>
    <col min="5891" max="5891" width="4" customWidth="1"/>
    <col min="5892" max="5894" width="9" customWidth="1"/>
    <col min="5895" max="5898" width="6.85546875" customWidth="1"/>
    <col min="5899" max="5899" width="9" customWidth="1"/>
    <col min="5900" max="5900" width="29.85546875" customWidth="1"/>
    <col min="6141" max="6141" width="15.85546875" customWidth="1"/>
    <col min="6142" max="6143" width="9" customWidth="1"/>
    <col min="6144" max="6144" width="4" customWidth="1"/>
    <col min="6145" max="6146" width="9" customWidth="1"/>
    <col min="6147" max="6147" width="4" customWidth="1"/>
    <col min="6148" max="6150" width="9" customWidth="1"/>
    <col min="6151" max="6154" width="6.85546875" customWidth="1"/>
    <col min="6155" max="6155" width="9" customWidth="1"/>
    <col min="6156" max="6156" width="29.85546875" customWidth="1"/>
    <col min="6397" max="6397" width="15.85546875" customWidth="1"/>
    <col min="6398" max="6399" width="9" customWidth="1"/>
    <col min="6400" max="6400" width="4" customWidth="1"/>
    <col min="6401" max="6402" width="9" customWidth="1"/>
    <col min="6403" max="6403" width="4" customWidth="1"/>
    <col min="6404" max="6406" width="9" customWidth="1"/>
    <col min="6407" max="6410" width="6.85546875" customWidth="1"/>
    <col min="6411" max="6411" width="9" customWidth="1"/>
    <col min="6412" max="6412" width="29.85546875" customWidth="1"/>
    <col min="6653" max="6653" width="15.85546875" customWidth="1"/>
    <col min="6654" max="6655" width="9" customWidth="1"/>
    <col min="6656" max="6656" width="4" customWidth="1"/>
    <col min="6657" max="6658" width="9" customWidth="1"/>
    <col min="6659" max="6659" width="4" customWidth="1"/>
    <col min="6660" max="6662" width="9" customWidth="1"/>
    <col min="6663" max="6666" width="6.85546875" customWidth="1"/>
    <col min="6667" max="6667" width="9" customWidth="1"/>
    <col min="6668" max="6668" width="29.85546875" customWidth="1"/>
    <col min="6909" max="6909" width="15.85546875" customWidth="1"/>
    <col min="6910" max="6911" width="9" customWidth="1"/>
    <col min="6912" max="6912" width="4" customWidth="1"/>
    <col min="6913" max="6914" width="9" customWidth="1"/>
    <col min="6915" max="6915" width="4" customWidth="1"/>
    <col min="6916" max="6918" width="9" customWidth="1"/>
    <col min="6919" max="6922" width="6.85546875" customWidth="1"/>
    <col min="6923" max="6923" width="9" customWidth="1"/>
    <col min="6924" max="6924" width="29.85546875" customWidth="1"/>
    <col min="7165" max="7165" width="15.85546875" customWidth="1"/>
    <col min="7166" max="7167" width="9" customWidth="1"/>
    <col min="7168" max="7168" width="4" customWidth="1"/>
    <col min="7169" max="7170" width="9" customWidth="1"/>
    <col min="7171" max="7171" width="4" customWidth="1"/>
    <col min="7172" max="7174" width="9" customWidth="1"/>
    <col min="7175" max="7178" width="6.85546875" customWidth="1"/>
    <col min="7179" max="7179" width="9" customWidth="1"/>
    <col min="7180" max="7180" width="29.85546875" customWidth="1"/>
    <col min="7421" max="7421" width="15.85546875" customWidth="1"/>
    <col min="7422" max="7423" width="9" customWidth="1"/>
    <col min="7424" max="7424" width="4" customWidth="1"/>
    <col min="7425" max="7426" width="9" customWidth="1"/>
    <col min="7427" max="7427" width="4" customWidth="1"/>
    <col min="7428" max="7430" width="9" customWidth="1"/>
    <col min="7431" max="7434" width="6.85546875" customWidth="1"/>
    <col min="7435" max="7435" width="9" customWidth="1"/>
    <col min="7436" max="7436" width="29.85546875" customWidth="1"/>
    <col min="7677" max="7677" width="15.85546875" customWidth="1"/>
    <col min="7678" max="7679" width="9" customWidth="1"/>
    <col min="7680" max="7680" width="4" customWidth="1"/>
    <col min="7681" max="7682" width="9" customWidth="1"/>
    <col min="7683" max="7683" width="4" customWidth="1"/>
    <col min="7684" max="7686" width="9" customWidth="1"/>
    <col min="7687" max="7690" width="6.85546875" customWidth="1"/>
    <col min="7691" max="7691" width="9" customWidth="1"/>
    <col min="7692" max="7692" width="29.85546875" customWidth="1"/>
    <col min="7933" max="7933" width="15.85546875" customWidth="1"/>
    <col min="7934" max="7935" width="9" customWidth="1"/>
    <col min="7936" max="7936" width="4" customWidth="1"/>
    <col min="7937" max="7938" width="9" customWidth="1"/>
    <col min="7939" max="7939" width="4" customWidth="1"/>
    <col min="7940" max="7942" width="9" customWidth="1"/>
    <col min="7943" max="7946" width="6.85546875" customWidth="1"/>
    <col min="7947" max="7947" width="9" customWidth="1"/>
    <col min="7948" max="7948" width="29.85546875" customWidth="1"/>
    <col min="8189" max="8189" width="15.85546875" customWidth="1"/>
    <col min="8190" max="8191" width="9" customWidth="1"/>
    <col min="8192" max="8192" width="4" customWidth="1"/>
    <col min="8193" max="8194" width="9" customWidth="1"/>
    <col min="8195" max="8195" width="4" customWidth="1"/>
    <col min="8196" max="8198" width="9" customWidth="1"/>
    <col min="8199" max="8202" width="6.85546875" customWidth="1"/>
    <col min="8203" max="8203" width="9" customWidth="1"/>
    <col min="8204" max="8204" width="29.85546875" customWidth="1"/>
    <col min="8445" max="8445" width="15.85546875" customWidth="1"/>
    <col min="8446" max="8447" width="9" customWidth="1"/>
    <col min="8448" max="8448" width="4" customWidth="1"/>
    <col min="8449" max="8450" width="9" customWidth="1"/>
    <col min="8451" max="8451" width="4" customWidth="1"/>
    <col min="8452" max="8454" width="9" customWidth="1"/>
    <col min="8455" max="8458" width="6.85546875" customWidth="1"/>
    <col min="8459" max="8459" width="9" customWidth="1"/>
    <col min="8460" max="8460" width="29.85546875" customWidth="1"/>
    <col min="8701" max="8701" width="15.85546875" customWidth="1"/>
    <col min="8702" max="8703" width="9" customWidth="1"/>
    <col min="8704" max="8704" width="4" customWidth="1"/>
    <col min="8705" max="8706" width="9" customWidth="1"/>
    <col min="8707" max="8707" width="4" customWidth="1"/>
    <col min="8708" max="8710" width="9" customWidth="1"/>
    <col min="8711" max="8714" width="6.85546875" customWidth="1"/>
    <col min="8715" max="8715" width="9" customWidth="1"/>
    <col min="8716" max="8716" width="29.85546875" customWidth="1"/>
    <col min="8957" max="8957" width="15.85546875" customWidth="1"/>
    <col min="8958" max="8959" width="9" customWidth="1"/>
    <col min="8960" max="8960" width="4" customWidth="1"/>
    <col min="8961" max="8962" width="9" customWidth="1"/>
    <col min="8963" max="8963" width="4" customWidth="1"/>
    <col min="8964" max="8966" width="9" customWidth="1"/>
    <col min="8967" max="8970" width="6.85546875" customWidth="1"/>
    <col min="8971" max="8971" width="9" customWidth="1"/>
    <col min="8972" max="8972" width="29.85546875" customWidth="1"/>
    <col min="9213" max="9213" width="15.85546875" customWidth="1"/>
    <col min="9214" max="9215" width="9" customWidth="1"/>
    <col min="9216" max="9216" width="4" customWidth="1"/>
    <col min="9217" max="9218" width="9" customWidth="1"/>
    <col min="9219" max="9219" width="4" customWidth="1"/>
    <col min="9220" max="9222" width="9" customWidth="1"/>
    <col min="9223" max="9226" width="6.85546875" customWidth="1"/>
    <col min="9227" max="9227" width="9" customWidth="1"/>
    <col min="9228" max="9228" width="29.85546875" customWidth="1"/>
    <col min="9469" max="9469" width="15.85546875" customWidth="1"/>
    <col min="9470" max="9471" width="9" customWidth="1"/>
    <col min="9472" max="9472" width="4" customWidth="1"/>
    <col min="9473" max="9474" width="9" customWidth="1"/>
    <col min="9475" max="9475" width="4" customWidth="1"/>
    <col min="9476" max="9478" width="9" customWidth="1"/>
    <col min="9479" max="9482" width="6.85546875" customWidth="1"/>
    <col min="9483" max="9483" width="9" customWidth="1"/>
    <col min="9484" max="9484" width="29.85546875" customWidth="1"/>
    <col min="9725" max="9725" width="15.85546875" customWidth="1"/>
    <col min="9726" max="9727" width="9" customWidth="1"/>
    <col min="9728" max="9728" width="4" customWidth="1"/>
    <col min="9729" max="9730" width="9" customWidth="1"/>
    <col min="9731" max="9731" width="4" customWidth="1"/>
    <col min="9732" max="9734" width="9" customWidth="1"/>
    <col min="9735" max="9738" width="6.85546875" customWidth="1"/>
    <col min="9739" max="9739" width="9" customWidth="1"/>
    <col min="9740" max="9740" width="29.85546875" customWidth="1"/>
    <col min="9981" max="9981" width="15.85546875" customWidth="1"/>
    <col min="9982" max="9983" width="9" customWidth="1"/>
    <col min="9984" max="9984" width="4" customWidth="1"/>
    <col min="9985" max="9986" width="9" customWidth="1"/>
    <col min="9987" max="9987" width="4" customWidth="1"/>
    <col min="9988" max="9990" width="9" customWidth="1"/>
    <col min="9991" max="9994" width="6.85546875" customWidth="1"/>
    <col min="9995" max="9995" width="9" customWidth="1"/>
    <col min="9996" max="9996" width="29.85546875" customWidth="1"/>
    <col min="10237" max="10237" width="15.85546875" customWidth="1"/>
    <col min="10238" max="10239" width="9" customWidth="1"/>
    <col min="10240" max="10240" width="4" customWidth="1"/>
    <col min="10241" max="10242" width="9" customWidth="1"/>
    <col min="10243" max="10243" width="4" customWidth="1"/>
    <col min="10244" max="10246" width="9" customWidth="1"/>
    <col min="10247" max="10250" width="6.85546875" customWidth="1"/>
    <col min="10251" max="10251" width="9" customWidth="1"/>
    <col min="10252" max="10252" width="29.85546875" customWidth="1"/>
    <col min="10493" max="10493" width="15.85546875" customWidth="1"/>
    <col min="10494" max="10495" width="9" customWidth="1"/>
    <col min="10496" max="10496" width="4" customWidth="1"/>
    <col min="10497" max="10498" width="9" customWidth="1"/>
    <col min="10499" max="10499" width="4" customWidth="1"/>
    <col min="10500" max="10502" width="9" customWidth="1"/>
    <col min="10503" max="10506" width="6.85546875" customWidth="1"/>
    <col min="10507" max="10507" width="9" customWidth="1"/>
    <col min="10508" max="10508" width="29.85546875" customWidth="1"/>
    <col min="10749" max="10749" width="15.85546875" customWidth="1"/>
    <col min="10750" max="10751" width="9" customWidth="1"/>
    <col min="10752" max="10752" width="4" customWidth="1"/>
    <col min="10753" max="10754" width="9" customWidth="1"/>
    <col min="10755" max="10755" width="4" customWidth="1"/>
    <col min="10756" max="10758" width="9" customWidth="1"/>
    <col min="10759" max="10762" width="6.85546875" customWidth="1"/>
    <col min="10763" max="10763" width="9" customWidth="1"/>
    <col min="10764" max="10764" width="29.85546875" customWidth="1"/>
    <col min="11005" max="11005" width="15.85546875" customWidth="1"/>
    <col min="11006" max="11007" width="9" customWidth="1"/>
    <col min="11008" max="11008" width="4" customWidth="1"/>
    <col min="11009" max="11010" width="9" customWidth="1"/>
    <col min="11011" max="11011" width="4" customWidth="1"/>
    <col min="11012" max="11014" width="9" customWidth="1"/>
    <col min="11015" max="11018" width="6.85546875" customWidth="1"/>
    <col min="11019" max="11019" width="9" customWidth="1"/>
    <col min="11020" max="11020" width="29.85546875" customWidth="1"/>
    <col min="11261" max="11261" width="15.85546875" customWidth="1"/>
    <col min="11262" max="11263" width="9" customWidth="1"/>
    <col min="11264" max="11264" width="4" customWidth="1"/>
    <col min="11265" max="11266" width="9" customWidth="1"/>
    <col min="11267" max="11267" width="4" customWidth="1"/>
    <col min="11268" max="11270" width="9" customWidth="1"/>
    <col min="11271" max="11274" width="6.85546875" customWidth="1"/>
    <col min="11275" max="11275" width="9" customWidth="1"/>
    <col min="11276" max="11276" width="29.85546875" customWidth="1"/>
    <col min="11517" max="11517" width="15.85546875" customWidth="1"/>
    <col min="11518" max="11519" width="9" customWidth="1"/>
    <col min="11520" max="11520" width="4" customWidth="1"/>
    <col min="11521" max="11522" width="9" customWidth="1"/>
    <col min="11523" max="11523" width="4" customWidth="1"/>
    <col min="11524" max="11526" width="9" customWidth="1"/>
    <col min="11527" max="11530" width="6.85546875" customWidth="1"/>
    <col min="11531" max="11531" width="9" customWidth="1"/>
    <col min="11532" max="11532" width="29.85546875" customWidth="1"/>
    <col min="11773" max="11773" width="15.85546875" customWidth="1"/>
    <col min="11774" max="11775" width="9" customWidth="1"/>
    <col min="11776" max="11776" width="4" customWidth="1"/>
    <col min="11777" max="11778" width="9" customWidth="1"/>
    <col min="11779" max="11779" width="4" customWidth="1"/>
    <col min="11780" max="11782" width="9" customWidth="1"/>
    <col min="11783" max="11786" width="6.85546875" customWidth="1"/>
    <col min="11787" max="11787" width="9" customWidth="1"/>
    <col min="11788" max="11788" width="29.85546875" customWidth="1"/>
    <col min="12029" max="12029" width="15.85546875" customWidth="1"/>
    <col min="12030" max="12031" width="9" customWidth="1"/>
    <col min="12032" max="12032" width="4" customWidth="1"/>
    <col min="12033" max="12034" width="9" customWidth="1"/>
    <col min="12035" max="12035" width="4" customWidth="1"/>
    <col min="12036" max="12038" width="9" customWidth="1"/>
    <col min="12039" max="12042" width="6.85546875" customWidth="1"/>
    <col min="12043" max="12043" width="9" customWidth="1"/>
    <col min="12044" max="12044" width="29.85546875" customWidth="1"/>
    <col min="12285" max="12285" width="15.85546875" customWidth="1"/>
    <col min="12286" max="12287" width="9" customWidth="1"/>
    <col min="12288" max="12288" width="4" customWidth="1"/>
    <col min="12289" max="12290" width="9" customWidth="1"/>
    <col min="12291" max="12291" width="4" customWidth="1"/>
    <col min="12292" max="12294" width="9" customWidth="1"/>
    <col min="12295" max="12298" width="6.85546875" customWidth="1"/>
    <col min="12299" max="12299" width="9" customWidth="1"/>
    <col min="12300" max="12300" width="29.85546875" customWidth="1"/>
    <col min="12541" max="12541" width="15.85546875" customWidth="1"/>
    <col min="12542" max="12543" width="9" customWidth="1"/>
    <col min="12544" max="12544" width="4" customWidth="1"/>
    <col min="12545" max="12546" width="9" customWidth="1"/>
    <col min="12547" max="12547" width="4" customWidth="1"/>
    <col min="12548" max="12550" width="9" customWidth="1"/>
    <col min="12551" max="12554" width="6.85546875" customWidth="1"/>
    <col min="12555" max="12555" width="9" customWidth="1"/>
    <col min="12556" max="12556" width="29.85546875" customWidth="1"/>
    <col min="12797" max="12797" width="15.85546875" customWidth="1"/>
    <col min="12798" max="12799" width="9" customWidth="1"/>
    <col min="12800" max="12800" width="4" customWidth="1"/>
    <col min="12801" max="12802" width="9" customWidth="1"/>
    <col min="12803" max="12803" width="4" customWidth="1"/>
    <col min="12804" max="12806" width="9" customWidth="1"/>
    <col min="12807" max="12810" width="6.85546875" customWidth="1"/>
    <col min="12811" max="12811" width="9" customWidth="1"/>
    <col min="12812" max="12812" width="29.85546875" customWidth="1"/>
    <col min="13053" max="13053" width="15.85546875" customWidth="1"/>
    <col min="13054" max="13055" width="9" customWidth="1"/>
    <col min="13056" max="13056" width="4" customWidth="1"/>
    <col min="13057" max="13058" width="9" customWidth="1"/>
    <col min="13059" max="13059" width="4" customWidth="1"/>
    <col min="13060" max="13062" width="9" customWidth="1"/>
    <col min="13063" max="13066" width="6.85546875" customWidth="1"/>
    <col min="13067" max="13067" width="9" customWidth="1"/>
    <col min="13068" max="13068" width="29.85546875" customWidth="1"/>
    <col min="13309" max="13309" width="15.85546875" customWidth="1"/>
    <col min="13310" max="13311" width="9" customWidth="1"/>
    <col min="13312" max="13312" width="4" customWidth="1"/>
    <col min="13313" max="13314" width="9" customWidth="1"/>
    <col min="13315" max="13315" width="4" customWidth="1"/>
    <col min="13316" max="13318" width="9" customWidth="1"/>
    <col min="13319" max="13322" width="6.85546875" customWidth="1"/>
    <col min="13323" max="13323" width="9" customWidth="1"/>
    <col min="13324" max="13324" width="29.85546875" customWidth="1"/>
    <col min="13565" max="13565" width="15.85546875" customWidth="1"/>
    <col min="13566" max="13567" width="9" customWidth="1"/>
    <col min="13568" max="13568" width="4" customWidth="1"/>
    <col min="13569" max="13570" width="9" customWidth="1"/>
    <col min="13571" max="13571" width="4" customWidth="1"/>
    <col min="13572" max="13574" width="9" customWidth="1"/>
    <col min="13575" max="13578" width="6.85546875" customWidth="1"/>
    <col min="13579" max="13579" width="9" customWidth="1"/>
    <col min="13580" max="13580" width="29.85546875" customWidth="1"/>
    <col min="13821" max="13821" width="15.85546875" customWidth="1"/>
    <col min="13822" max="13823" width="9" customWidth="1"/>
    <col min="13824" max="13824" width="4" customWidth="1"/>
    <col min="13825" max="13826" width="9" customWidth="1"/>
    <col min="13827" max="13827" width="4" customWidth="1"/>
    <col min="13828" max="13830" width="9" customWidth="1"/>
    <col min="13831" max="13834" width="6.85546875" customWidth="1"/>
    <col min="13835" max="13835" width="9" customWidth="1"/>
    <col min="13836" max="13836" width="29.85546875" customWidth="1"/>
    <col min="14077" max="14077" width="15.85546875" customWidth="1"/>
    <col min="14078" max="14079" width="9" customWidth="1"/>
    <col min="14080" max="14080" width="4" customWidth="1"/>
    <col min="14081" max="14082" width="9" customWidth="1"/>
    <col min="14083" max="14083" width="4" customWidth="1"/>
    <col min="14084" max="14086" width="9" customWidth="1"/>
    <col min="14087" max="14090" width="6.85546875" customWidth="1"/>
    <col min="14091" max="14091" width="9" customWidth="1"/>
    <col min="14092" max="14092" width="29.85546875" customWidth="1"/>
    <col min="14333" max="14333" width="15.85546875" customWidth="1"/>
    <col min="14334" max="14335" width="9" customWidth="1"/>
    <col min="14336" max="14336" width="4" customWidth="1"/>
    <col min="14337" max="14338" width="9" customWidth="1"/>
    <col min="14339" max="14339" width="4" customWidth="1"/>
    <col min="14340" max="14342" width="9" customWidth="1"/>
    <col min="14343" max="14346" width="6.85546875" customWidth="1"/>
    <col min="14347" max="14347" width="9" customWidth="1"/>
    <col min="14348" max="14348" width="29.85546875" customWidth="1"/>
    <col min="14589" max="14589" width="15.85546875" customWidth="1"/>
    <col min="14590" max="14591" width="9" customWidth="1"/>
    <col min="14592" max="14592" width="4" customWidth="1"/>
    <col min="14593" max="14594" width="9" customWidth="1"/>
    <col min="14595" max="14595" width="4" customWidth="1"/>
    <col min="14596" max="14598" width="9" customWidth="1"/>
    <col min="14599" max="14602" width="6.85546875" customWidth="1"/>
    <col min="14603" max="14603" width="9" customWidth="1"/>
    <col min="14604" max="14604" width="29.85546875" customWidth="1"/>
    <col min="14845" max="14845" width="15.85546875" customWidth="1"/>
    <col min="14846" max="14847" width="9" customWidth="1"/>
    <col min="14848" max="14848" width="4" customWidth="1"/>
    <col min="14849" max="14850" width="9" customWidth="1"/>
    <col min="14851" max="14851" width="4" customWidth="1"/>
    <col min="14852" max="14854" width="9" customWidth="1"/>
    <col min="14855" max="14858" width="6.85546875" customWidth="1"/>
    <col min="14859" max="14859" width="9" customWidth="1"/>
    <col min="14860" max="14860" width="29.85546875" customWidth="1"/>
    <col min="15101" max="15101" width="15.85546875" customWidth="1"/>
    <col min="15102" max="15103" width="9" customWidth="1"/>
    <col min="15104" max="15104" width="4" customWidth="1"/>
    <col min="15105" max="15106" width="9" customWidth="1"/>
    <col min="15107" max="15107" width="4" customWidth="1"/>
    <col min="15108" max="15110" width="9" customWidth="1"/>
    <col min="15111" max="15114" width="6.85546875" customWidth="1"/>
    <col min="15115" max="15115" width="9" customWidth="1"/>
    <col min="15116" max="15116" width="29.85546875" customWidth="1"/>
    <col min="15357" max="15357" width="15.85546875" customWidth="1"/>
    <col min="15358" max="15359" width="9" customWidth="1"/>
    <col min="15360" max="15360" width="4" customWidth="1"/>
    <col min="15361" max="15362" width="9" customWidth="1"/>
    <col min="15363" max="15363" width="4" customWidth="1"/>
    <col min="15364" max="15366" width="9" customWidth="1"/>
    <col min="15367" max="15370" width="6.85546875" customWidth="1"/>
    <col min="15371" max="15371" width="9" customWidth="1"/>
    <col min="15372" max="15372" width="29.85546875" customWidth="1"/>
    <col min="15613" max="15613" width="15.85546875" customWidth="1"/>
    <col min="15614" max="15615" width="9" customWidth="1"/>
    <col min="15616" max="15616" width="4" customWidth="1"/>
    <col min="15617" max="15618" width="9" customWidth="1"/>
    <col min="15619" max="15619" width="4" customWidth="1"/>
    <col min="15620" max="15622" width="9" customWidth="1"/>
    <col min="15623" max="15626" width="6.85546875" customWidth="1"/>
    <col min="15627" max="15627" width="9" customWidth="1"/>
    <col min="15628" max="15628" width="29.85546875" customWidth="1"/>
    <col min="15869" max="15869" width="15.85546875" customWidth="1"/>
    <col min="15870" max="15871" width="9" customWidth="1"/>
    <col min="15872" max="15872" width="4" customWidth="1"/>
    <col min="15873" max="15874" width="9" customWidth="1"/>
    <col min="15875" max="15875" width="4" customWidth="1"/>
    <col min="15876" max="15878" width="9" customWidth="1"/>
    <col min="15879" max="15882" width="6.85546875" customWidth="1"/>
    <col min="15883" max="15883" width="9" customWidth="1"/>
    <col min="15884" max="15884" width="29.85546875" customWidth="1"/>
    <col min="16125" max="16125" width="15.85546875" customWidth="1"/>
    <col min="16126" max="16127" width="9" customWidth="1"/>
    <col min="16128" max="16128" width="4" customWidth="1"/>
    <col min="16129" max="16130" width="9" customWidth="1"/>
    <col min="16131" max="16131" width="4" customWidth="1"/>
    <col min="16132" max="16134" width="9" customWidth="1"/>
    <col min="16135" max="16138" width="6.85546875" customWidth="1"/>
    <col min="16139" max="16139" width="9" customWidth="1"/>
    <col min="16140" max="16140" width="29.85546875" customWidth="1"/>
  </cols>
  <sheetData>
    <row r="1" spans="1:15" ht="29.65" customHeight="1" x14ac:dyDescent="0.25">
      <c r="A1" s="145" t="s">
        <v>0</v>
      </c>
      <c r="B1" s="145"/>
      <c r="C1" s="145"/>
      <c r="D1" s="145"/>
      <c r="E1" s="2"/>
      <c r="F1" s="2"/>
      <c r="G1" s="2"/>
      <c r="H1" s="2"/>
      <c r="I1" s="2"/>
      <c r="J1" s="2"/>
      <c r="K1" s="2"/>
    </row>
    <row r="2" spans="1:15" ht="13.3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5" s="4" customFormat="1" ht="18" x14ac:dyDescent="0.25">
      <c r="A3" s="134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</row>
    <row r="4" spans="1:15" x14ac:dyDescent="0.25">
      <c r="A4" s="135">
        <v>46279.106145833335</v>
      </c>
      <c r="B4" s="136" t="s">
        <v>12</v>
      </c>
      <c r="C4" s="136" t="s">
        <v>201</v>
      </c>
      <c r="D4" s="136" t="s">
        <v>207</v>
      </c>
      <c r="E4" s="136" t="s">
        <v>208</v>
      </c>
      <c r="F4" s="137">
        <v>10</v>
      </c>
      <c r="G4" s="136" t="s">
        <v>19</v>
      </c>
      <c r="H4" s="136" t="s">
        <v>14</v>
      </c>
      <c r="I4" s="136" t="s">
        <v>15</v>
      </c>
      <c r="J4" s="136" t="s">
        <v>16</v>
      </c>
      <c r="K4" s="138">
        <v>136.69999999999999</v>
      </c>
      <c r="L4" s="89"/>
      <c r="M4" s="89"/>
    </row>
    <row r="5" spans="1:15" x14ac:dyDescent="0.25">
      <c r="A5" s="135">
        <v>46279.344085648147</v>
      </c>
      <c r="B5" s="136" t="s">
        <v>240</v>
      </c>
      <c r="C5" s="136" t="s">
        <v>241</v>
      </c>
      <c r="D5" s="136" t="s">
        <v>283</v>
      </c>
      <c r="E5" s="136" t="s">
        <v>284</v>
      </c>
      <c r="F5" s="137">
        <v>5</v>
      </c>
      <c r="G5" s="136" t="s">
        <v>32</v>
      </c>
      <c r="H5" s="136" t="s">
        <v>14</v>
      </c>
      <c r="I5" s="136" t="s">
        <v>15</v>
      </c>
      <c r="J5" s="136" t="s">
        <v>34</v>
      </c>
      <c r="K5" s="138">
        <v>40</v>
      </c>
      <c r="L5" s="89"/>
      <c r="M5" s="89"/>
    </row>
    <row r="6" spans="1:15" x14ac:dyDescent="0.25">
      <c r="A6" s="135">
        <v>46279.344363425924</v>
      </c>
      <c r="B6" s="136" t="s">
        <v>23</v>
      </c>
      <c r="C6" s="136" t="s">
        <v>24</v>
      </c>
      <c r="D6" s="136" t="s">
        <v>283</v>
      </c>
      <c r="E6" s="136" t="s">
        <v>284</v>
      </c>
      <c r="F6" s="137">
        <v>10</v>
      </c>
      <c r="G6" s="136" t="s">
        <v>32</v>
      </c>
      <c r="H6" s="136" t="s">
        <v>14</v>
      </c>
      <c r="I6" s="136" t="s">
        <v>15</v>
      </c>
      <c r="J6" s="136" t="s">
        <v>34</v>
      </c>
      <c r="K6" s="138">
        <v>71.2</v>
      </c>
      <c r="L6" s="89"/>
      <c r="M6" s="89"/>
    </row>
    <row r="7" spans="1:15" x14ac:dyDescent="0.25">
      <c r="A7" s="135">
        <v>46279.344606481478</v>
      </c>
      <c r="B7" s="136" t="s">
        <v>22</v>
      </c>
      <c r="C7" s="136" t="s">
        <v>202</v>
      </c>
      <c r="D7" s="136" t="s">
        <v>283</v>
      </c>
      <c r="E7" s="136" t="s">
        <v>284</v>
      </c>
      <c r="F7" s="137">
        <v>10</v>
      </c>
      <c r="G7" s="136" t="s">
        <v>32</v>
      </c>
      <c r="H7" s="136" t="s">
        <v>33</v>
      </c>
      <c r="I7" s="136" t="s">
        <v>15</v>
      </c>
      <c r="J7" s="136" t="s">
        <v>34</v>
      </c>
      <c r="K7" s="138">
        <v>70</v>
      </c>
      <c r="L7" s="89"/>
      <c r="M7" s="89"/>
    </row>
    <row r="8" spans="1:15" x14ac:dyDescent="0.25">
      <c r="A8" s="135">
        <v>46279.344930555555</v>
      </c>
      <c r="B8" s="136" t="s">
        <v>23</v>
      </c>
      <c r="C8" s="136" t="s">
        <v>24</v>
      </c>
      <c r="D8" s="136" t="s">
        <v>283</v>
      </c>
      <c r="E8" s="136" t="s">
        <v>284</v>
      </c>
      <c r="F8" s="137">
        <v>10</v>
      </c>
      <c r="G8" s="136" t="s">
        <v>32</v>
      </c>
      <c r="H8" s="136" t="s">
        <v>39</v>
      </c>
      <c r="I8" s="136" t="s">
        <v>15</v>
      </c>
      <c r="J8" s="136" t="s">
        <v>34</v>
      </c>
      <c r="K8" s="138">
        <v>71.2</v>
      </c>
      <c r="L8" s="89"/>
      <c r="M8" s="89"/>
    </row>
    <row r="9" spans="1:15" x14ac:dyDescent="0.25">
      <c r="A9" s="135">
        <v>46279.345300925925</v>
      </c>
      <c r="B9" s="136" t="s">
        <v>22</v>
      </c>
      <c r="C9" s="136" t="s">
        <v>202</v>
      </c>
      <c r="D9" s="136" t="s">
        <v>283</v>
      </c>
      <c r="E9" s="136" t="s">
        <v>284</v>
      </c>
      <c r="F9" s="137">
        <v>10</v>
      </c>
      <c r="G9" s="136" t="s">
        <v>32</v>
      </c>
      <c r="H9" s="136" t="s">
        <v>38</v>
      </c>
      <c r="I9" s="136" t="s">
        <v>15</v>
      </c>
      <c r="J9" s="136" t="s">
        <v>34</v>
      </c>
      <c r="K9" s="138">
        <v>70</v>
      </c>
      <c r="L9" s="89"/>
      <c r="M9" s="89"/>
      <c r="O9" s="102"/>
    </row>
    <row r="10" spans="1:15" x14ac:dyDescent="0.25">
      <c r="A10" s="135">
        <v>46279.589525462965</v>
      </c>
      <c r="B10" s="136" t="s">
        <v>12</v>
      </c>
      <c r="C10" s="136" t="s">
        <v>201</v>
      </c>
      <c r="D10" s="136" t="s">
        <v>288</v>
      </c>
      <c r="E10" s="136" t="s">
        <v>289</v>
      </c>
      <c r="F10" s="137">
        <v>10</v>
      </c>
      <c r="G10" s="136" t="s">
        <v>19</v>
      </c>
      <c r="H10" s="136" t="s">
        <v>14</v>
      </c>
      <c r="I10" s="136" t="s">
        <v>15</v>
      </c>
      <c r="J10" s="136" t="s">
        <v>16</v>
      </c>
      <c r="K10" s="138">
        <v>136.69999999999999</v>
      </c>
      <c r="L10" s="89"/>
      <c r="M10" s="89"/>
    </row>
    <row r="11" spans="1:15" x14ac:dyDescent="0.25">
      <c r="A11" s="135">
        <v>46279.589826388888</v>
      </c>
      <c r="B11" s="136" t="s">
        <v>22</v>
      </c>
      <c r="C11" s="136" t="s">
        <v>202</v>
      </c>
      <c r="D11" s="136" t="s">
        <v>288</v>
      </c>
      <c r="E11" s="136" t="s">
        <v>289</v>
      </c>
      <c r="F11" s="137">
        <v>10</v>
      </c>
      <c r="G11" s="136" t="s">
        <v>19</v>
      </c>
      <c r="H11" s="136" t="s">
        <v>14</v>
      </c>
      <c r="I11" s="136" t="s">
        <v>15</v>
      </c>
      <c r="J11" s="136" t="s">
        <v>16</v>
      </c>
      <c r="K11" s="138">
        <v>70</v>
      </c>
      <c r="L11" s="89"/>
      <c r="M11" s="89"/>
    </row>
    <row r="12" spans="1:15" x14ac:dyDescent="0.25">
      <c r="A12" s="135">
        <v>46279.613969907405</v>
      </c>
      <c r="B12" s="136" t="s">
        <v>22</v>
      </c>
      <c r="C12" s="136" t="s">
        <v>202</v>
      </c>
      <c r="D12" s="136" t="s">
        <v>290</v>
      </c>
      <c r="E12" s="136" t="s">
        <v>291</v>
      </c>
      <c r="F12" s="137">
        <v>10</v>
      </c>
      <c r="G12" s="136" t="s">
        <v>32</v>
      </c>
      <c r="H12" s="136" t="s">
        <v>33</v>
      </c>
      <c r="I12" s="136" t="s">
        <v>15</v>
      </c>
      <c r="J12" s="136" t="s">
        <v>34</v>
      </c>
      <c r="K12" s="138">
        <v>70</v>
      </c>
      <c r="L12" s="89"/>
      <c r="M12" s="89"/>
    </row>
    <row r="13" spans="1:15" x14ac:dyDescent="0.25">
      <c r="A13" s="135">
        <v>46279.726678240739</v>
      </c>
      <c r="B13" s="136" t="s">
        <v>17</v>
      </c>
      <c r="C13" s="136" t="s">
        <v>18</v>
      </c>
      <c r="D13" s="136" t="s">
        <v>288</v>
      </c>
      <c r="E13" s="136" t="s">
        <v>289</v>
      </c>
      <c r="F13" s="137">
        <v>5</v>
      </c>
      <c r="G13" s="136" t="s">
        <v>19</v>
      </c>
      <c r="H13" s="136" t="s">
        <v>20</v>
      </c>
      <c r="I13" s="136" t="s">
        <v>15</v>
      </c>
      <c r="J13" s="136" t="s">
        <v>16</v>
      </c>
      <c r="K13" s="138">
        <v>47.8</v>
      </c>
      <c r="L13" s="89"/>
      <c r="M13" s="89"/>
    </row>
    <row r="14" spans="1:15" x14ac:dyDescent="0.25">
      <c r="A14" s="135">
        <v>46279.897719907407</v>
      </c>
      <c r="B14" s="136" t="s">
        <v>22</v>
      </c>
      <c r="C14" s="136" t="s">
        <v>202</v>
      </c>
      <c r="D14" s="136" t="s">
        <v>242</v>
      </c>
      <c r="E14" s="136" t="s">
        <v>243</v>
      </c>
      <c r="F14" s="137">
        <v>10</v>
      </c>
      <c r="G14" s="136" t="s">
        <v>32</v>
      </c>
      <c r="H14" s="136" t="s">
        <v>39</v>
      </c>
      <c r="I14" s="136" t="s">
        <v>15</v>
      </c>
      <c r="J14" s="136" t="s">
        <v>34</v>
      </c>
      <c r="K14" s="138">
        <v>70</v>
      </c>
      <c r="L14" s="89"/>
      <c r="M14" s="89"/>
    </row>
    <row r="15" spans="1:15" x14ac:dyDescent="0.25">
      <c r="A15" s="135">
        <v>46279.897962962961</v>
      </c>
      <c r="B15" s="136" t="s">
        <v>25</v>
      </c>
      <c r="C15" s="136" t="s">
        <v>201</v>
      </c>
      <c r="D15" s="136" t="s">
        <v>242</v>
      </c>
      <c r="E15" s="136" t="s">
        <v>243</v>
      </c>
      <c r="F15" s="137">
        <v>10</v>
      </c>
      <c r="G15" s="136" t="s">
        <v>32</v>
      </c>
      <c r="H15" s="136" t="s">
        <v>33</v>
      </c>
      <c r="I15" s="136" t="s">
        <v>15</v>
      </c>
      <c r="J15" s="136" t="s">
        <v>34</v>
      </c>
      <c r="K15" s="138">
        <v>108.5</v>
      </c>
      <c r="L15" s="89"/>
      <c r="M15" s="89"/>
    </row>
    <row r="16" spans="1:15" x14ac:dyDescent="0.25">
      <c r="A16" s="135">
        <v>46279.915532407409</v>
      </c>
      <c r="B16" s="136" t="s">
        <v>17</v>
      </c>
      <c r="C16" s="136" t="s">
        <v>18</v>
      </c>
      <c r="D16" s="136" t="s">
        <v>292</v>
      </c>
      <c r="E16" s="136" t="s">
        <v>293</v>
      </c>
      <c r="F16" s="137">
        <v>5</v>
      </c>
      <c r="G16" s="136" t="s">
        <v>19</v>
      </c>
      <c r="H16" s="136" t="s">
        <v>20</v>
      </c>
      <c r="I16" s="136" t="s">
        <v>15</v>
      </c>
      <c r="J16" s="136" t="s">
        <v>16</v>
      </c>
      <c r="K16" s="138">
        <v>47.8</v>
      </c>
      <c r="L16" s="89"/>
      <c r="M16" s="89"/>
    </row>
    <row r="17" spans="1:13" x14ac:dyDescent="0.25">
      <c r="A17" s="135">
        <v>46279.915706018517</v>
      </c>
      <c r="B17" s="136" t="s">
        <v>35</v>
      </c>
      <c r="C17" s="136" t="s">
        <v>205</v>
      </c>
      <c r="D17" s="136" t="s">
        <v>292</v>
      </c>
      <c r="E17" s="136" t="s">
        <v>293</v>
      </c>
      <c r="F17" s="137">
        <v>10</v>
      </c>
      <c r="G17" s="136" t="s">
        <v>19</v>
      </c>
      <c r="H17" s="136" t="s">
        <v>20</v>
      </c>
      <c r="I17" s="136" t="s">
        <v>15</v>
      </c>
      <c r="J17" s="136" t="s">
        <v>16</v>
      </c>
      <c r="K17" s="138">
        <v>118.7</v>
      </c>
      <c r="L17" s="89"/>
      <c r="M17" s="89"/>
    </row>
    <row r="18" spans="1:13" x14ac:dyDescent="0.25">
      <c r="A18" s="135">
        <v>46279.915891203702</v>
      </c>
      <c r="B18" s="136" t="s">
        <v>22</v>
      </c>
      <c r="C18" s="136" t="s">
        <v>202</v>
      </c>
      <c r="D18" s="136" t="s">
        <v>292</v>
      </c>
      <c r="E18" s="136" t="s">
        <v>293</v>
      </c>
      <c r="F18" s="137">
        <v>10</v>
      </c>
      <c r="G18" s="136" t="s">
        <v>19</v>
      </c>
      <c r="H18" s="136" t="s">
        <v>20</v>
      </c>
      <c r="I18" s="136" t="s">
        <v>15</v>
      </c>
      <c r="J18" s="136" t="s">
        <v>16</v>
      </c>
      <c r="K18" s="138">
        <v>70</v>
      </c>
      <c r="L18" s="104"/>
      <c r="M18" s="89"/>
    </row>
    <row r="19" spans="1:13" x14ac:dyDescent="0.25">
      <c r="A19" s="135">
        <v>46279.997800925928</v>
      </c>
      <c r="B19" s="136" t="s">
        <v>36</v>
      </c>
      <c r="C19" s="136" t="s">
        <v>204</v>
      </c>
      <c r="D19" s="136" t="s">
        <v>30</v>
      </c>
      <c r="E19" s="136" t="s">
        <v>31</v>
      </c>
      <c r="F19" s="137">
        <v>10</v>
      </c>
      <c r="G19" s="136" t="s">
        <v>13</v>
      </c>
      <c r="H19" s="136" t="s">
        <v>20</v>
      </c>
      <c r="I19" s="136" t="s">
        <v>15</v>
      </c>
      <c r="J19" s="136" t="s">
        <v>37</v>
      </c>
      <c r="K19" s="138">
        <v>87</v>
      </c>
      <c r="L19" s="89"/>
      <c r="M19" s="89"/>
    </row>
    <row r="20" spans="1:13" x14ac:dyDescent="0.25">
      <c r="A20" s="135">
        <v>46280.008738425924</v>
      </c>
      <c r="B20" s="136" t="s">
        <v>240</v>
      </c>
      <c r="C20" s="136" t="s">
        <v>241</v>
      </c>
      <c r="D20" s="136" t="s">
        <v>212</v>
      </c>
      <c r="E20" s="136" t="s">
        <v>213</v>
      </c>
      <c r="F20" s="137">
        <v>5</v>
      </c>
      <c r="G20" s="136" t="s">
        <v>32</v>
      </c>
      <c r="H20" s="136" t="s">
        <v>14</v>
      </c>
      <c r="I20" s="136" t="s">
        <v>15</v>
      </c>
      <c r="J20" s="136" t="s">
        <v>34</v>
      </c>
      <c r="K20" s="138">
        <v>40</v>
      </c>
      <c r="L20" s="89"/>
      <c r="M20" s="89"/>
    </row>
    <row r="21" spans="1:13" x14ac:dyDescent="0.25">
      <c r="A21" s="135">
        <v>46280.060925925929</v>
      </c>
      <c r="B21" s="136" t="s">
        <v>12</v>
      </c>
      <c r="C21" s="136" t="s">
        <v>201</v>
      </c>
      <c r="D21" s="136" t="s">
        <v>30</v>
      </c>
      <c r="E21" s="136" t="s">
        <v>31</v>
      </c>
      <c r="F21" s="137">
        <v>10</v>
      </c>
      <c r="G21" s="136" t="s">
        <v>28</v>
      </c>
      <c r="H21" s="136" t="s">
        <v>14</v>
      </c>
      <c r="I21" s="136" t="s">
        <v>15</v>
      </c>
      <c r="J21" s="136" t="s">
        <v>37</v>
      </c>
      <c r="K21" s="138">
        <v>136.69999999999999</v>
      </c>
      <c r="L21" s="89"/>
      <c r="M21" s="89"/>
    </row>
    <row r="22" spans="1:13" x14ac:dyDescent="0.25">
      <c r="A22" s="135">
        <v>46280.102650462963</v>
      </c>
      <c r="B22" s="136" t="s">
        <v>12</v>
      </c>
      <c r="C22" s="136" t="s">
        <v>201</v>
      </c>
      <c r="D22" s="136" t="s">
        <v>292</v>
      </c>
      <c r="E22" s="136" t="s">
        <v>293</v>
      </c>
      <c r="F22" s="137">
        <v>10</v>
      </c>
      <c r="G22" s="136" t="s">
        <v>19</v>
      </c>
      <c r="H22" s="136" t="s">
        <v>14</v>
      </c>
      <c r="I22" s="136" t="s">
        <v>15</v>
      </c>
      <c r="J22" s="136" t="s">
        <v>16</v>
      </c>
      <c r="K22" s="138">
        <v>136.69999999999999</v>
      </c>
      <c r="L22" s="89"/>
      <c r="M22" s="89"/>
    </row>
    <row r="23" spans="1:13" x14ac:dyDescent="0.25">
      <c r="A23" s="135">
        <v>46280.209699074076</v>
      </c>
      <c r="B23" s="136" t="s">
        <v>25</v>
      </c>
      <c r="C23" s="136" t="s">
        <v>201</v>
      </c>
      <c r="D23" s="136" t="s">
        <v>215</v>
      </c>
      <c r="E23" s="136" t="s">
        <v>203</v>
      </c>
      <c r="F23" s="137">
        <v>10</v>
      </c>
      <c r="G23" s="136" t="s">
        <v>32</v>
      </c>
      <c r="H23" s="136" t="s">
        <v>33</v>
      </c>
      <c r="I23" s="136" t="s">
        <v>15</v>
      </c>
      <c r="J23" s="136" t="s">
        <v>34</v>
      </c>
      <c r="K23" s="138">
        <v>108.5</v>
      </c>
      <c r="L23" s="89"/>
      <c r="M23" s="89"/>
    </row>
    <row r="24" spans="1:13" x14ac:dyDescent="0.25">
      <c r="A24" s="135">
        <v>46280.209872685184</v>
      </c>
      <c r="B24" s="136" t="s">
        <v>22</v>
      </c>
      <c r="C24" s="136" t="s">
        <v>202</v>
      </c>
      <c r="D24" s="136" t="s">
        <v>215</v>
      </c>
      <c r="E24" s="136" t="s">
        <v>203</v>
      </c>
      <c r="F24" s="137">
        <v>10</v>
      </c>
      <c r="G24" s="136" t="s">
        <v>32</v>
      </c>
      <c r="H24" s="136" t="s">
        <v>33</v>
      </c>
      <c r="I24" s="136" t="s">
        <v>15</v>
      </c>
      <c r="J24" s="136" t="s">
        <v>34</v>
      </c>
      <c r="K24" s="138">
        <v>70</v>
      </c>
      <c r="L24" s="89"/>
      <c r="M24" s="89"/>
    </row>
    <row r="25" spans="1:13" x14ac:dyDescent="0.25">
      <c r="A25" s="135">
        <v>46280.210034722222</v>
      </c>
      <c r="B25" s="136" t="s">
        <v>23</v>
      </c>
      <c r="C25" s="136" t="s">
        <v>24</v>
      </c>
      <c r="D25" s="136" t="s">
        <v>215</v>
      </c>
      <c r="E25" s="136" t="s">
        <v>203</v>
      </c>
      <c r="F25" s="137">
        <v>10</v>
      </c>
      <c r="G25" s="136" t="s">
        <v>32</v>
      </c>
      <c r="H25" s="136" t="s">
        <v>33</v>
      </c>
      <c r="I25" s="136" t="s">
        <v>15</v>
      </c>
      <c r="J25" s="136" t="s">
        <v>34</v>
      </c>
      <c r="K25" s="138">
        <v>71.2</v>
      </c>
      <c r="L25" s="89"/>
      <c r="M25" s="89"/>
    </row>
    <row r="26" spans="1:13" x14ac:dyDescent="0.25">
      <c r="A26" s="135">
        <v>46280.299849537034</v>
      </c>
      <c r="B26" s="136" t="s">
        <v>17</v>
      </c>
      <c r="C26" s="136" t="s">
        <v>18</v>
      </c>
      <c r="D26" s="136" t="s">
        <v>26</v>
      </c>
      <c r="E26" s="136" t="s">
        <v>27</v>
      </c>
      <c r="F26" s="137">
        <v>5</v>
      </c>
      <c r="G26" s="136" t="s">
        <v>19</v>
      </c>
      <c r="H26" s="136" t="s">
        <v>20</v>
      </c>
      <c r="I26" s="136" t="s">
        <v>15</v>
      </c>
      <c r="J26" s="136" t="s">
        <v>16</v>
      </c>
      <c r="K26" s="138">
        <v>47.8</v>
      </c>
      <c r="L26" s="89"/>
      <c r="M26" s="89"/>
    </row>
    <row r="27" spans="1:13" x14ac:dyDescent="0.25">
      <c r="A27" s="135">
        <v>46280.3</v>
      </c>
      <c r="B27" s="136" t="s">
        <v>17</v>
      </c>
      <c r="C27" s="136" t="s">
        <v>18</v>
      </c>
      <c r="D27" s="136" t="s">
        <v>26</v>
      </c>
      <c r="E27" s="136" t="s">
        <v>27</v>
      </c>
      <c r="F27" s="137">
        <v>5</v>
      </c>
      <c r="G27" s="136" t="s">
        <v>19</v>
      </c>
      <c r="H27" s="136" t="s">
        <v>20</v>
      </c>
      <c r="I27" s="136" t="s">
        <v>15</v>
      </c>
      <c r="J27" s="136" t="s">
        <v>16</v>
      </c>
      <c r="K27" s="138">
        <v>47.8</v>
      </c>
      <c r="L27" s="89"/>
      <c r="M27" s="89"/>
    </row>
    <row r="28" spans="1:13" x14ac:dyDescent="0.25">
      <c r="A28" s="135">
        <v>46280.371469907404</v>
      </c>
      <c r="B28" s="136" t="s">
        <v>22</v>
      </c>
      <c r="C28" s="136" t="s">
        <v>202</v>
      </c>
      <c r="D28" s="136" t="s">
        <v>215</v>
      </c>
      <c r="E28" s="136" t="s">
        <v>203</v>
      </c>
      <c r="F28" s="137">
        <v>10</v>
      </c>
      <c r="G28" s="136" t="s">
        <v>32</v>
      </c>
      <c r="H28" s="136" t="s">
        <v>33</v>
      </c>
      <c r="I28" s="136" t="s">
        <v>15</v>
      </c>
      <c r="J28" s="136" t="s">
        <v>34</v>
      </c>
      <c r="K28" s="138">
        <v>70</v>
      </c>
      <c r="L28" s="89"/>
      <c r="M28" s="89"/>
    </row>
    <row r="29" spans="1:13" x14ac:dyDescent="0.25">
      <c r="A29" s="135">
        <v>46280.400833333333</v>
      </c>
      <c r="B29" s="136" t="s">
        <v>17</v>
      </c>
      <c r="C29" s="136" t="s">
        <v>18</v>
      </c>
      <c r="D29" s="136" t="s">
        <v>236</v>
      </c>
      <c r="E29" s="136" t="s">
        <v>237</v>
      </c>
      <c r="F29" s="137">
        <v>5</v>
      </c>
      <c r="G29" s="136" t="s">
        <v>28</v>
      </c>
      <c r="H29" s="136" t="s">
        <v>20</v>
      </c>
      <c r="I29" s="136" t="s">
        <v>15</v>
      </c>
      <c r="J29" s="136" t="s">
        <v>29</v>
      </c>
      <c r="K29" s="138">
        <v>47.8</v>
      </c>
      <c r="L29" s="89"/>
      <c r="M29" s="89"/>
    </row>
    <row r="30" spans="1:13" x14ac:dyDescent="0.25">
      <c r="A30" s="135">
        <v>46280.401006944441</v>
      </c>
      <c r="B30" s="136" t="s">
        <v>12</v>
      </c>
      <c r="C30" s="136" t="s">
        <v>201</v>
      </c>
      <c r="D30" s="136" t="s">
        <v>236</v>
      </c>
      <c r="E30" s="136" t="s">
        <v>237</v>
      </c>
      <c r="F30" s="137">
        <v>10</v>
      </c>
      <c r="G30" s="136" t="s">
        <v>28</v>
      </c>
      <c r="H30" s="136" t="s">
        <v>14</v>
      </c>
      <c r="I30" s="136" t="s">
        <v>15</v>
      </c>
      <c r="J30" s="136" t="s">
        <v>29</v>
      </c>
      <c r="K30" s="138">
        <v>136.69999999999999</v>
      </c>
      <c r="L30" s="89"/>
      <c r="M30" s="89"/>
    </row>
    <row r="31" spans="1:13" x14ac:dyDescent="0.25">
      <c r="A31" s="135">
        <v>46280.428287037037</v>
      </c>
      <c r="B31" s="136" t="s">
        <v>35</v>
      </c>
      <c r="C31" s="136" t="s">
        <v>205</v>
      </c>
      <c r="D31" s="136" t="s">
        <v>236</v>
      </c>
      <c r="E31" s="136" t="s">
        <v>237</v>
      </c>
      <c r="F31" s="137">
        <v>10</v>
      </c>
      <c r="G31" s="136" t="s">
        <v>13</v>
      </c>
      <c r="H31" s="136" t="s">
        <v>20</v>
      </c>
      <c r="I31" s="136" t="s">
        <v>15</v>
      </c>
      <c r="J31" s="136" t="s">
        <v>37</v>
      </c>
      <c r="K31" s="138">
        <v>118.7</v>
      </c>
      <c r="L31" s="89"/>
      <c r="M31" s="89"/>
    </row>
    <row r="32" spans="1:13" x14ac:dyDescent="0.25">
      <c r="A32" s="135">
        <v>46280.428587962961</v>
      </c>
      <c r="B32" s="136" t="s">
        <v>36</v>
      </c>
      <c r="C32" s="136" t="s">
        <v>204</v>
      </c>
      <c r="D32" s="136" t="s">
        <v>236</v>
      </c>
      <c r="E32" s="136" t="s">
        <v>237</v>
      </c>
      <c r="F32" s="137">
        <v>10</v>
      </c>
      <c r="G32" s="136" t="s">
        <v>13</v>
      </c>
      <c r="H32" s="136" t="s">
        <v>20</v>
      </c>
      <c r="I32" s="136" t="s">
        <v>15</v>
      </c>
      <c r="J32" s="136" t="s">
        <v>37</v>
      </c>
      <c r="K32" s="138">
        <v>87</v>
      </c>
      <c r="L32" s="89"/>
      <c r="M32" s="89"/>
    </row>
    <row r="33" spans="1:13" x14ac:dyDescent="0.25">
      <c r="A33" s="135">
        <v>46280.694108796299</v>
      </c>
      <c r="B33" s="136" t="s">
        <v>22</v>
      </c>
      <c r="C33" s="136" t="s">
        <v>202</v>
      </c>
      <c r="D33" s="136" t="s">
        <v>290</v>
      </c>
      <c r="E33" s="136" t="s">
        <v>291</v>
      </c>
      <c r="F33" s="137">
        <v>10</v>
      </c>
      <c r="G33" s="136" t="s">
        <v>32</v>
      </c>
      <c r="H33" s="136" t="s">
        <v>33</v>
      </c>
      <c r="I33" s="136" t="s">
        <v>15</v>
      </c>
      <c r="J33" s="136" t="s">
        <v>34</v>
      </c>
      <c r="K33" s="138">
        <v>70</v>
      </c>
      <c r="L33" s="89"/>
      <c r="M33" s="89"/>
    </row>
    <row r="34" spans="1:13" x14ac:dyDescent="0.25">
      <c r="A34" s="135">
        <v>46280.789340277777</v>
      </c>
      <c r="B34" s="136" t="s">
        <v>36</v>
      </c>
      <c r="C34" s="136" t="s">
        <v>204</v>
      </c>
      <c r="D34" s="136" t="s">
        <v>288</v>
      </c>
      <c r="E34" s="136" t="s">
        <v>289</v>
      </c>
      <c r="F34" s="137">
        <v>10</v>
      </c>
      <c r="G34" s="136" t="s">
        <v>13</v>
      </c>
      <c r="H34" s="136" t="s">
        <v>20</v>
      </c>
      <c r="I34" s="136" t="s">
        <v>15</v>
      </c>
      <c r="J34" s="136" t="s">
        <v>160</v>
      </c>
      <c r="K34" s="138">
        <v>87</v>
      </c>
      <c r="L34" s="89"/>
      <c r="M34" s="89"/>
    </row>
    <row r="35" spans="1:13" x14ac:dyDescent="0.25">
      <c r="A35" s="135">
        <v>46280.880601851852</v>
      </c>
      <c r="B35" s="136" t="s">
        <v>17</v>
      </c>
      <c r="C35" s="136" t="s">
        <v>18</v>
      </c>
      <c r="D35" s="136" t="s">
        <v>212</v>
      </c>
      <c r="E35" s="136" t="s">
        <v>213</v>
      </c>
      <c r="F35" s="137">
        <v>5</v>
      </c>
      <c r="G35" s="136" t="s">
        <v>32</v>
      </c>
      <c r="H35" s="136" t="s">
        <v>38</v>
      </c>
      <c r="I35" s="136" t="s">
        <v>15</v>
      </c>
      <c r="J35" s="136" t="s">
        <v>34</v>
      </c>
      <c r="K35" s="138">
        <v>47.8</v>
      </c>
      <c r="L35" s="89"/>
      <c r="M35" s="89"/>
    </row>
    <row r="36" spans="1:13" x14ac:dyDescent="0.25">
      <c r="A36" s="135">
        <v>46280.880914351852</v>
      </c>
      <c r="B36" s="136" t="s">
        <v>240</v>
      </c>
      <c r="C36" s="136" t="s">
        <v>241</v>
      </c>
      <c r="D36" s="136" t="s">
        <v>212</v>
      </c>
      <c r="E36" s="136" t="s">
        <v>213</v>
      </c>
      <c r="F36" s="137">
        <v>5</v>
      </c>
      <c r="G36" s="136" t="s">
        <v>32</v>
      </c>
      <c r="H36" s="136" t="s">
        <v>14</v>
      </c>
      <c r="I36" s="136" t="s">
        <v>15</v>
      </c>
      <c r="J36" s="136" t="s">
        <v>34</v>
      </c>
      <c r="K36" s="138">
        <v>40</v>
      </c>
      <c r="L36" s="89"/>
      <c r="M36" s="89"/>
    </row>
    <row r="37" spans="1:13" x14ac:dyDescent="0.25">
      <c r="A37" s="135">
        <v>46280.883067129631</v>
      </c>
      <c r="B37" s="136" t="s">
        <v>12</v>
      </c>
      <c r="C37" s="136" t="s">
        <v>201</v>
      </c>
      <c r="D37" s="136" t="s">
        <v>30</v>
      </c>
      <c r="E37" s="136" t="s">
        <v>31</v>
      </c>
      <c r="F37" s="137">
        <v>10</v>
      </c>
      <c r="G37" s="136" t="s">
        <v>19</v>
      </c>
      <c r="H37" s="136" t="s">
        <v>14</v>
      </c>
      <c r="I37" s="136" t="s">
        <v>15</v>
      </c>
      <c r="J37" s="136" t="s">
        <v>16</v>
      </c>
      <c r="K37" s="138">
        <v>136.69999999999999</v>
      </c>
      <c r="L37" s="89"/>
      <c r="M37" s="89"/>
    </row>
    <row r="38" spans="1:13" x14ac:dyDescent="0.25">
      <c r="A38" s="135">
        <v>46280.883194444446</v>
      </c>
      <c r="B38" s="136" t="s">
        <v>17</v>
      </c>
      <c r="C38" s="136" t="s">
        <v>18</v>
      </c>
      <c r="D38" s="136" t="s">
        <v>30</v>
      </c>
      <c r="E38" s="136" t="s">
        <v>31</v>
      </c>
      <c r="F38" s="137">
        <v>5</v>
      </c>
      <c r="G38" s="136" t="s">
        <v>19</v>
      </c>
      <c r="H38" s="136" t="s">
        <v>20</v>
      </c>
      <c r="I38" s="136" t="s">
        <v>15</v>
      </c>
      <c r="J38" s="136" t="s">
        <v>16</v>
      </c>
      <c r="K38" s="138">
        <v>47.8</v>
      </c>
      <c r="L38" s="89"/>
      <c r="M38" s="89"/>
    </row>
    <row r="39" spans="1:13" x14ac:dyDescent="0.25">
      <c r="A39" s="135">
        <v>46280.883842592593</v>
      </c>
      <c r="B39" s="136" t="s">
        <v>22</v>
      </c>
      <c r="C39" s="136" t="s">
        <v>202</v>
      </c>
      <c r="D39" s="136" t="s">
        <v>242</v>
      </c>
      <c r="E39" s="136" t="s">
        <v>243</v>
      </c>
      <c r="F39" s="137">
        <v>10</v>
      </c>
      <c r="G39" s="136" t="s">
        <v>32</v>
      </c>
      <c r="H39" s="136" t="s">
        <v>33</v>
      </c>
      <c r="I39" s="136" t="s">
        <v>15</v>
      </c>
      <c r="J39" s="136" t="s">
        <v>34</v>
      </c>
      <c r="K39" s="138">
        <v>70</v>
      </c>
      <c r="L39" s="89"/>
      <c r="M39" s="89"/>
    </row>
    <row r="40" spans="1:13" x14ac:dyDescent="0.25">
      <c r="A40" s="135">
        <v>46280.884050925924</v>
      </c>
      <c r="B40" s="136" t="s">
        <v>23</v>
      </c>
      <c r="C40" s="136" t="s">
        <v>24</v>
      </c>
      <c r="D40" s="136" t="s">
        <v>242</v>
      </c>
      <c r="E40" s="136" t="s">
        <v>243</v>
      </c>
      <c r="F40" s="137">
        <v>10</v>
      </c>
      <c r="G40" s="136" t="s">
        <v>32</v>
      </c>
      <c r="H40" s="136" t="s">
        <v>39</v>
      </c>
      <c r="I40" s="136" t="s">
        <v>15</v>
      </c>
      <c r="J40" s="136" t="s">
        <v>34</v>
      </c>
      <c r="K40" s="138">
        <v>71.2</v>
      </c>
      <c r="L40" s="89"/>
      <c r="M40" s="89"/>
    </row>
    <row r="41" spans="1:13" x14ac:dyDescent="0.25">
      <c r="A41" s="135">
        <v>46280.947106481479</v>
      </c>
      <c r="B41" s="136" t="s">
        <v>35</v>
      </c>
      <c r="C41" s="136" t="s">
        <v>205</v>
      </c>
      <c r="D41" s="136" t="s">
        <v>30</v>
      </c>
      <c r="E41" s="136" t="s">
        <v>31</v>
      </c>
      <c r="F41" s="137">
        <v>10</v>
      </c>
      <c r="G41" s="136" t="s">
        <v>19</v>
      </c>
      <c r="H41" s="136" t="s">
        <v>20</v>
      </c>
      <c r="I41" s="136" t="s">
        <v>15</v>
      </c>
      <c r="J41" s="136" t="s">
        <v>16</v>
      </c>
      <c r="K41" s="138">
        <v>118.7</v>
      </c>
      <c r="L41" s="89"/>
      <c r="M41" s="89"/>
    </row>
    <row r="42" spans="1:13" x14ac:dyDescent="0.25">
      <c r="A42" s="135">
        <v>46281.075312499997</v>
      </c>
      <c r="B42" s="136" t="s">
        <v>17</v>
      </c>
      <c r="C42" s="136" t="s">
        <v>18</v>
      </c>
      <c r="D42" s="136" t="s">
        <v>30</v>
      </c>
      <c r="E42" s="136" t="s">
        <v>31</v>
      </c>
      <c r="F42" s="137">
        <v>5</v>
      </c>
      <c r="G42" s="136" t="s">
        <v>19</v>
      </c>
      <c r="H42" s="136" t="s">
        <v>20</v>
      </c>
      <c r="I42" s="136" t="s">
        <v>15</v>
      </c>
      <c r="J42" s="136" t="s">
        <v>16</v>
      </c>
      <c r="K42" s="138">
        <v>47.8</v>
      </c>
      <c r="L42" s="89"/>
      <c r="M42" s="89"/>
    </row>
    <row r="43" spans="1:13" x14ac:dyDescent="0.25">
      <c r="A43" s="135">
        <v>46281.248067129629</v>
      </c>
      <c r="B43" s="136" t="s">
        <v>240</v>
      </c>
      <c r="C43" s="136" t="s">
        <v>241</v>
      </c>
      <c r="D43" s="136" t="s">
        <v>283</v>
      </c>
      <c r="E43" s="136" t="s">
        <v>284</v>
      </c>
      <c r="F43" s="137">
        <v>5</v>
      </c>
      <c r="G43" s="136" t="s">
        <v>32</v>
      </c>
      <c r="H43" s="136" t="s">
        <v>14</v>
      </c>
      <c r="I43" s="136" t="s">
        <v>15</v>
      </c>
      <c r="J43" s="136" t="s">
        <v>34</v>
      </c>
      <c r="K43" s="138">
        <v>40</v>
      </c>
      <c r="L43" s="89"/>
      <c r="M43" s="89"/>
    </row>
    <row r="44" spans="1:13" x14ac:dyDescent="0.25">
      <c r="A44" s="135">
        <v>46281.403275462966</v>
      </c>
      <c r="B44" s="136" t="s">
        <v>40</v>
      </c>
      <c r="C44" s="136" t="s">
        <v>209</v>
      </c>
      <c r="D44" s="136" t="s">
        <v>236</v>
      </c>
      <c r="E44" s="136" t="s">
        <v>237</v>
      </c>
      <c r="F44" s="137">
        <v>10</v>
      </c>
      <c r="G44" s="136" t="s">
        <v>13</v>
      </c>
      <c r="H44" s="136" t="s">
        <v>14</v>
      </c>
      <c r="I44" s="136" t="s">
        <v>15</v>
      </c>
      <c r="J44" s="136" t="s">
        <v>37</v>
      </c>
      <c r="K44" s="138">
        <v>188</v>
      </c>
      <c r="L44" s="89"/>
      <c r="M44" s="89"/>
    </row>
    <row r="45" spans="1:13" x14ac:dyDescent="0.25">
      <c r="A45" s="135">
        <v>46281.438796296294</v>
      </c>
      <c r="B45" s="136" t="s">
        <v>44</v>
      </c>
      <c r="C45" s="136" t="s">
        <v>18</v>
      </c>
      <c r="D45" s="136" t="s">
        <v>236</v>
      </c>
      <c r="E45" s="136" t="s">
        <v>237</v>
      </c>
      <c r="F45" s="137">
        <v>5</v>
      </c>
      <c r="G45" s="136" t="s">
        <v>28</v>
      </c>
      <c r="H45" s="136" t="s">
        <v>39</v>
      </c>
      <c r="I45" s="136" t="s">
        <v>15</v>
      </c>
      <c r="J45" s="136" t="s">
        <v>29</v>
      </c>
      <c r="K45" s="138">
        <v>44.85</v>
      </c>
      <c r="L45" s="89"/>
      <c r="M45" s="89"/>
    </row>
    <row r="46" spans="1:13" x14ac:dyDescent="0.25">
      <c r="A46" s="135">
        <v>46281.439236111109</v>
      </c>
      <c r="B46" s="136" t="s">
        <v>22</v>
      </c>
      <c r="C46" s="136" t="s">
        <v>202</v>
      </c>
      <c r="D46" s="136" t="s">
        <v>236</v>
      </c>
      <c r="E46" s="136" t="s">
        <v>237</v>
      </c>
      <c r="F46" s="137">
        <v>10</v>
      </c>
      <c r="G46" s="136" t="s">
        <v>28</v>
      </c>
      <c r="H46" s="136" t="s">
        <v>39</v>
      </c>
      <c r="I46" s="136" t="s">
        <v>15</v>
      </c>
      <c r="J46" s="136" t="s">
        <v>29</v>
      </c>
      <c r="K46" s="138">
        <v>70</v>
      </c>
      <c r="L46" s="89"/>
      <c r="M46" s="89"/>
    </row>
    <row r="47" spans="1:13" x14ac:dyDescent="0.25">
      <c r="A47" s="135">
        <v>46281.439398148148</v>
      </c>
      <c r="B47" s="136" t="s">
        <v>12</v>
      </c>
      <c r="C47" s="136" t="s">
        <v>201</v>
      </c>
      <c r="D47" s="136" t="s">
        <v>236</v>
      </c>
      <c r="E47" s="136" t="s">
        <v>237</v>
      </c>
      <c r="F47" s="137">
        <v>10</v>
      </c>
      <c r="G47" s="136" t="s">
        <v>28</v>
      </c>
      <c r="H47" s="136" t="s">
        <v>14</v>
      </c>
      <c r="I47" s="136" t="s">
        <v>15</v>
      </c>
      <c r="J47" s="136" t="s">
        <v>29</v>
      </c>
      <c r="K47" s="138">
        <v>136.69999999999999</v>
      </c>
      <c r="L47" s="89"/>
      <c r="M47" s="89"/>
    </row>
    <row r="48" spans="1:13" x14ac:dyDescent="0.25">
      <c r="A48" s="135">
        <v>46281.439571759256</v>
      </c>
      <c r="B48" s="136" t="s">
        <v>23</v>
      </c>
      <c r="C48" s="136" t="s">
        <v>24</v>
      </c>
      <c r="D48" s="136" t="s">
        <v>236</v>
      </c>
      <c r="E48" s="136" t="s">
        <v>237</v>
      </c>
      <c r="F48" s="137">
        <v>10</v>
      </c>
      <c r="G48" s="136" t="s">
        <v>13</v>
      </c>
      <c r="H48" s="136" t="s">
        <v>14</v>
      </c>
      <c r="I48" s="136" t="s">
        <v>15</v>
      </c>
      <c r="J48" s="136" t="s">
        <v>37</v>
      </c>
      <c r="K48" s="138">
        <v>71.2</v>
      </c>
      <c r="L48" s="89"/>
      <c r="M48" s="89"/>
    </row>
    <row r="49" spans="1:13" x14ac:dyDescent="0.25">
      <c r="A49" s="135">
        <v>46281.882025462961</v>
      </c>
      <c r="B49" s="136" t="s">
        <v>36</v>
      </c>
      <c r="C49" s="136" t="s">
        <v>204</v>
      </c>
      <c r="D49" s="136" t="s">
        <v>30</v>
      </c>
      <c r="E49" s="136" t="s">
        <v>31</v>
      </c>
      <c r="F49" s="137">
        <v>10</v>
      </c>
      <c r="G49" s="136" t="s">
        <v>13</v>
      </c>
      <c r="H49" s="136" t="s">
        <v>20</v>
      </c>
      <c r="I49" s="136" t="s">
        <v>15</v>
      </c>
      <c r="J49" s="136" t="s">
        <v>160</v>
      </c>
      <c r="K49" s="138">
        <v>87</v>
      </c>
      <c r="L49" s="89"/>
      <c r="M49" s="89"/>
    </row>
    <row r="50" spans="1:13" x14ac:dyDescent="0.25">
      <c r="A50" s="135">
        <v>46281.925370370373</v>
      </c>
      <c r="B50" s="136" t="s">
        <v>17</v>
      </c>
      <c r="C50" s="136" t="s">
        <v>18</v>
      </c>
      <c r="D50" s="136" t="s">
        <v>212</v>
      </c>
      <c r="E50" s="136" t="s">
        <v>213</v>
      </c>
      <c r="F50" s="137">
        <v>5</v>
      </c>
      <c r="G50" s="136" t="s">
        <v>32</v>
      </c>
      <c r="H50" s="136" t="s">
        <v>38</v>
      </c>
      <c r="I50" s="136" t="s">
        <v>15</v>
      </c>
      <c r="J50" s="136" t="s">
        <v>34</v>
      </c>
      <c r="K50" s="138">
        <v>47.8</v>
      </c>
      <c r="L50" s="89"/>
      <c r="M50" s="89"/>
    </row>
    <row r="51" spans="1:13" x14ac:dyDescent="0.25">
      <c r="A51" s="135">
        <v>46282.061192129629</v>
      </c>
      <c r="B51" s="136" t="s">
        <v>17</v>
      </c>
      <c r="C51" s="136" t="s">
        <v>18</v>
      </c>
      <c r="D51" s="136" t="s">
        <v>207</v>
      </c>
      <c r="E51" s="136" t="s">
        <v>208</v>
      </c>
      <c r="F51" s="137">
        <v>5</v>
      </c>
      <c r="G51" s="136" t="s">
        <v>19</v>
      </c>
      <c r="H51" s="136" t="s">
        <v>20</v>
      </c>
      <c r="I51" s="136" t="s">
        <v>15</v>
      </c>
      <c r="J51" s="136" t="s">
        <v>16</v>
      </c>
      <c r="K51" s="138">
        <v>47.8</v>
      </c>
      <c r="L51" s="89"/>
      <c r="M51" s="89"/>
    </row>
    <row r="52" spans="1:13" x14ac:dyDescent="0.25">
      <c r="A52" s="135">
        <v>46282.061481481483</v>
      </c>
      <c r="B52" s="136" t="s">
        <v>12</v>
      </c>
      <c r="C52" s="136" t="s">
        <v>201</v>
      </c>
      <c r="D52" s="136" t="s">
        <v>207</v>
      </c>
      <c r="E52" s="136" t="s">
        <v>208</v>
      </c>
      <c r="F52" s="137">
        <v>10</v>
      </c>
      <c r="G52" s="136" t="s">
        <v>19</v>
      </c>
      <c r="H52" s="136" t="s">
        <v>14</v>
      </c>
      <c r="I52" s="136" t="s">
        <v>15</v>
      </c>
      <c r="J52" s="136" t="s">
        <v>16</v>
      </c>
      <c r="K52" s="138">
        <v>136.69999999999999</v>
      </c>
      <c r="L52" s="89"/>
      <c r="M52" s="89"/>
    </row>
    <row r="53" spans="1:13" x14ac:dyDescent="0.25">
      <c r="A53" s="135">
        <v>46282.22047453704</v>
      </c>
      <c r="B53" s="136" t="s">
        <v>41</v>
      </c>
      <c r="C53" s="136" t="s">
        <v>205</v>
      </c>
      <c r="D53" s="136" t="s">
        <v>236</v>
      </c>
      <c r="E53" s="136" t="s">
        <v>237</v>
      </c>
      <c r="F53" s="137">
        <v>10</v>
      </c>
      <c r="G53" s="136" t="s">
        <v>13</v>
      </c>
      <c r="H53" s="136" t="s">
        <v>20</v>
      </c>
      <c r="I53" s="136" t="s">
        <v>15</v>
      </c>
      <c r="J53" s="136" t="s">
        <v>160</v>
      </c>
      <c r="K53" s="138">
        <v>138.80000000000001</v>
      </c>
      <c r="L53" s="89"/>
      <c r="M53" s="89"/>
    </row>
    <row r="54" spans="1:13" x14ac:dyDescent="0.25">
      <c r="A54" s="135">
        <v>46282.226840277777</v>
      </c>
      <c r="B54" s="136" t="s">
        <v>240</v>
      </c>
      <c r="C54" s="136" t="s">
        <v>241</v>
      </c>
      <c r="D54" s="136" t="s">
        <v>26</v>
      </c>
      <c r="E54" s="136" t="s">
        <v>27</v>
      </c>
      <c r="F54" s="137">
        <v>5</v>
      </c>
      <c r="G54" s="136" t="s">
        <v>19</v>
      </c>
      <c r="H54" s="136" t="s">
        <v>39</v>
      </c>
      <c r="I54" s="136" t="s">
        <v>15</v>
      </c>
      <c r="J54" s="136" t="s">
        <v>16</v>
      </c>
      <c r="K54" s="138">
        <v>40</v>
      </c>
      <c r="L54" s="89"/>
      <c r="M54" s="89"/>
    </row>
    <row r="55" spans="1:13" x14ac:dyDescent="0.25">
      <c r="A55" s="135">
        <v>46282.227025462962</v>
      </c>
      <c r="B55" s="136" t="s">
        <v>294</v>
      </c>
      <c r="C55" s="136" t="s">
        <v>295</v>
      </c>
      <c r="D55" s="136" t="s">
        <v>26</v>
      </c>
      <c r="E55" s="136" t="s">
        <v>27</v>
      </c>
      <c r="F55" s="137">
        <v>5</v>
      </c>
      <c r="G55" s="136" t="s">
        <v>19</v>
      </c>
      <c r="H55" s="136" t="s">
        <v>39</v>
      </c>
      <c r="I55" s="136" t="s">
        <v>15</v>
      </c>
      <c r="J55" s="136" t="s">
        <v>16</v>
      </c>
      <c r="K55" s="138">
        <v>40</v>
      </c>
      <c r="L55" s="89"/>
      <c r="M55" s="89"/>
    </row>
    <row r="56" spans="1:13" x14ac:dyDescent="0.25">
      <c r="A56" s="135">
        <v>46282.227314814816</v>
      </c>
      <c r="B56" s="136" t="s">
        <v>22</v>
      </c>
      <c r="C56" s="136" t="s">
        <v>202</v>
      </c>
      <c r="D56" s="136" t="s">
        <v>26</v>
      </c>
      <c r="E56" s="136" t="s">
        <v>27</v>
      </c>
      <c r="F56" s="137">
        <v>10</v>
      </c>
      <c r="G56" s="136" t="s">
        <v>19</v>
      </c>
      <c r="H56" s="136" t="s">
        <v>14</v>
      </c>
      <c r="I56" s="136" t="s">
        <v>15</v>
      </c>
      <c r="J56" s="136" t="s">
        <v>16</v>
      </c>
      <c r="K56" s="138">
        <v>70</v>
      </c>
      <c r="L56" s="89"/>
      <c r="M56" s="89"/>
    </row>
    <row r="57" spans="1:13" x14ac:dyDescent="0.25">
      <c r="A57" s="135">
        <v>46282.247870370367</v>
      </c>
      <c r="B57" s="136" t="s">
        <v>22</v>
      </c>
      <c r="C57" s="136" t="s">
        <v>202</v>
      </c>
      <c r="D57" s="136" t="s">
        <v>215</v>
      </c>
      <c r="E57" s="136" t="s">
        <v>203</v>
      </c>
      <c r="F57" s="137">
        <v>10</v>
      </c>
      <c r="G57" s="136" t="s">
        <v>32</v>
      </c>
      <c r="H57" s="136" t="s">
        <v>33</v>
      </c>
      <c r="I57" s="136" t="s">
        <v>15</v>
      </c>
      <c r="J57" s="136" t="s">
        <v>34</v>
      </c>
      <c r="K57" s="138">
        <v>70</v>
      </c>
      <c r="L57" s="89"/>
      <c r="M57" s="89"/>
    </row>
    <row r="58" spans="1:13" x14ac:dyDescent="0.25">
      <c r="A58" s="135">
        <v>46282.250844907408</v>
      </c>
      <c r="B58" s="136" t="s">
        <v>240</v>
      </c>
      <c r="C58" s="136" t="s">
        <v>241</v>
      </c>
      <c r="D58" s="136" t="s">
        <v>283</v>
      </c>
      <c r="E58" s="136" t="s">
        <v>284</v>
      </c>
      <c r="F58" s="137">
        <v>5</v>
      </c>
      <c r="G58" s="136" t="s">
        <v>32</v>
      </c>
      <c r="H58" s="136" t="s">
        <v>14</v>
      </c>
      <c r="I58" s="136" t="s">
        <v>15</v>
      </c>
      <c r="J58" s="136" t="s">
        <v>34</v>
      </c>
      <c r="K58" s="138">
        <v>40</v>
      </c>
      <c r="L58" s="89"/>
      <c r="M58" s="89"/>
    </row>
    <row r="59" spans="1:13" x14ac:dyDescent="0.25">
      <c r="A59" s="135">
        <v>46282.251087962963</v>
      </c>
      <c r="B59" s="136" t="s">
        <v>17</v>
      </c>
      <c r="C59" s="136" t="s">
        <v>18</v>
      </c>
      <c r="D59" s="136" t="s">
        <v>283</v>
      </c>
      <c r="E59" s="136" t="s">
        <v>284</v>
      </c>
      <c r="F59" s="137">
        <v>5</v>
      </c>
      <c r="G59" s="136" t="s">
        <v>32</v>
      </c>
      <c r="H59" s="136" t="s">
        <v>38</v>
      </c>
      <c r="I59" s="136" t="s">
        <v>15</v>
      </c>
      <c r="J59" s="136" t="s">
        <v>34</v>
      </c>
      <c r="K59" s="138">
        <v>47.8</v>
      </c>
      <c r="L59" s="89"/>
      <c r="M59" s="89"/>
    </row>
    <row r="60" spans="1:13" x14ac:dyDescent="0.25">
      <c r="A60" s="135">
        <v>46282.336354166669</v>
      </c>
      <c r="B60" s="136" t="s">
        <v>23</v>
      </c>
      <c r="C60" s="136" t="s">
        <v>24</v>
      </c>
      <c r="D60" s="136" t="s">
        <v>236</v>
      </c>
      <c r="E60" s="136" t="s">
        <v>237</v>
      </c>
      <c r="F60" s="137">
        <v>10</v>
      </c>
      <c r="G60" s="136" t="s">
        <v>13</v>
      </c>
      <c r="H60" s="136" t="s">
        <v>14</v>
      </c>
      <c r="I60" s="136" t="s">
        <v>15</v>
      </c>
      <c r="J60" s="136" t="s">
        <v>160</v>
      </c>
      <c r="K60" s="138">
        <v>71.2</v>
      </c>
      <c r="L60" s="89"/>
      <c r="M60" s="89"/>
    </row>
    <row r="61" spans="1:13" x14ac:dyDescent="0.25">
      <c r="A61" s="135">
        <v>46282.389976851853</v>
      </c>
      <c r="B61" s="136" t="s">
        <v>25</v>
      </c>
      <c r="C61" s="136" t="s">
        <v>201</v>
      </c>
      <c r="D61" s="136" t="s">
        <v>215</v>
      </c>
      <c r="E61" s="136" t="s">
        <v>203</v>
      </c>
      <c r="F61" s="137">
        <v>10</v>
      </c>
      <c r="G61" s="136" t="s">
        <v>32</v>
      </c>
      <c r="H61" s="136" t="s">
        <v>33</v>
      </c>
      <c r="I61" s="136" t="s">
        <v>15</v>
      </c>
      <c r="J61" s="136" t="s">
        <v>34</v>
      </c>
      <c r="K61" s="138">
        <v>108.5</v>
      </c>
      <c r="L61" s="89"/>
      <c r="M61" s="89"/>
    </row>
    <row r="62" spans="1:13" x14ac:dyDescent="0.25">
      <c r="A62" s="135">
        <v>46282.50141203704</v>
      </c>
      <c r="B62" s="136" t="s">
        <v>36</v>
      </c>
      <c r="C62" s="136" t="s">
        <v>204</v>
      </c>
      <c r="D62" s="136" t="s">
        <v>236</v>
      </c>
      <c r="E62" s="136" t="s">
        <v>237</v>
      </c>
      <c r="F62" s="137">
        <v>10</v>
      </c>
      <c r="G62" s="136" t="s">
        <v>13</v>
      </c>
      <c r="H62" s="136" t="s">
        <v>20</v>
      </c>
      <c r="I62" s="136" t="s">
        <v>15</v>
      </c>
      <c r="J62" s="136" t="s">
        <v>160</v>
      </c>
      <c r="K62" s="138">
        <v>87</v>
      </c>
      <c r="L62" s="89"/>
      <c r="M62" s="89"/>
    </row>
    <row r="63" spans="1:13" x14ac:dyDescent="0.25">
      <c r="A63" s="135">
        <v>46282.877638888887</v>
      </c>
      <c r="B63" s="136" t="s">
        <v>17</v>
      </c>
      <c r="C63" s="136" t="s">
        <v>18</v>
      </c>
      <c r="D63" s="136" t="s">
        <v>212</v>
      </c>
      <c r="E63" s="136" t="s">
        <v>213</v>
      </c>
      <c r="F63" s="137">
        <v>5</v>
      </c>
      <c r="G63" s="136" t="s">
        <v>32</v>
      </c>
      <c r="H63" s="136" t="s">
        <v>38</v>
      </c>
      <c r="I63" s="136" t="s">
        <v>15</v>
      </c>
      <c r="J63" s="136" t="s">
        <v>34</v>
      </c>
      <c r="K63" s="138">
        <v>47.8</v>
      </c>
      <c r="L63" s="89"/>
      <c r="M63" s="89"/>
    </row>
    <row r="64" spans="1:13" x14ac:dyDescent="0.25">
      <c r="A64" s="135">
        <v>46282.877986111111</v>
      </c>
      <c r="B64" s="136" t="s">
        <v>240</v>
      </c>
      <c r="C64" s="136" t="s">
        <v>241</v>
      </c>
      <c r="D64" s="136" t="s">
        <v>212</v>
      </c>
      <c r="E64" s="136" t="s">
        <v>213</v>
      </c>
      <c r="F64" s="137">
        <v>5</v>
      </c>
      <c r="G64" s="136" t="s">
        <v>32</v>
      </c>
      <c r="H64" s="136" t="s">
        <v>14</v>
      </c>
      <c r="I64" s="136" t="s">
        <v>15</v>
      </c>
      <c r="J64" s="136" t="s">
        <v>34</v>
      </c>
      <c r="K64" s="138">
        <v>40</v>
      </c>
      <c r="L64" s="89"/>
      <c r="M64" s="89"/>
    </row>
    <row r="65" spans="1:13" x14ac:dyDescent="0.25">
      <c r="A65" s="135">
        <v>46282.878240740742</v>
      </c>
      <c r="B65" s="136" t="s">
        <v>22</v>
      </c>
      <c r="C65" s="136" t="s">
        <v>202</v>
      </c>
      <c r="D65" s="136" t="s">
        <v>212</v>
      </c>
      <c r="E65" s="136" t="s">
        <v>213</v>
      </c>
      <c r="F65" s="137">
        <v>10</v>
      </c>
      <c r="G65" s="136" t="s">
        <v>32</v>
      </c>
      <c r="H65" s="136" t="s">
        <v>38</v>
      </c>
      <c r="I65" s="136" t="s">
        <v>15</v>
      </c>
      <c r="J65" s="136" t="s">
        <v>34</v>
      </c>
      <c r="K65" s="138">
        <v>70</v>
      </c>
      <c r="L65" s="89"/>
      <c r="M65" s="89"/>
    </row>
    <row r="66" spans="1:13" x14ac:dyDescent="0.25">
      <c r="A66" s="135">
        <v>46282.882094907407</v>
      </c>
      <c r="B66" s="136" t="s">
        <v>25</v>
      </c>
      <c r="C66" s="136" t="s">
        <v>201</v>
      </c>
      <c r="D66" s="136" t="s">
        <v>242</v>
      </c>
      <c r="E66" s="136" t="s">
        <v>243</v>
      </c>
      <c r="F66" s="137">
        <v>10</v>
      </c>
      <c r="G66" s="136" t="s">
        <v>32</v>
      </c>
      <c r="H66" s="136" t="s">
        <v>33</v>
      </c>
      <c r="I66" s="136" t="s">
        <v>15</v>
      </c>
      <c r="J66" s="136" t="s">
        <v>34</v>
      </c>
      <c r="K66" s="138">
        <v>108.5</v>
      </c>
      <c r="L66" s="89"/>
      <c r="M66" s="89"/>
    </row>
    <row r="67" spans="1:13" x14ac:dyDescent="0.25">
      <c r="A67" s="135">
        <v>46282.882349537038</v>
      </c>
      <c r="B67" s="136" t="s">
        <v>22</v>
      </c>
      <c r="C67" s="136" t="s">
        <v>202</v>
      </c>
      <c r="D67" s="136" t="s">
        <v>242</v>
      </c>
      <c r="E67" s="136" t="s">
        <v>243</v>
      </c>
      <c r="F67" s="137">
        <v>10</v>
      </c>
      <c r="G67" s="136" t="s">
        <v>32</v>
      </c>
      <c r="H67" s="136" t="s">
        <v>33</v>
      </c>
      <c r="I67" s="136" t="s">
        <v>15</v>
      </c>
      <c r="J67" s="136" t="s">
        <v>34</v>
      </c>
      <c r="K67" s="138">
        <v>70</v>
      </c>
      <c r="L67" s="89"/>
      <c r="M67" s="89"/>
    </row>
    <row r="68" spans="1:13" x14ac:dyDescent="0.25">
      <c r="A68" s="135">
        <v>46282.882523148146</v>
      </c>
      <c r="B68" s="136" t="s">
        <v>23</v>
      </c>
      <c r="C68" s="136" t="s">
        <v>24</v>
      </c>
      <c r="D68" s="136" t="s">
        <v>242</v>
      </c>
      <c r="E68" s="136" t="s">
        <v>243</v>
      </c>
      <c r="F68" s="137">
        <v>10</v>
      </c>
      <c r="G68" s="136" t="s">
        <v>32</v>
      </c>
      <c r="H68" s="136" t="s">
        <v>39</v>
      </c>
      <c r="I68" s="136" t="s">
        <v>15</v>
      </c>
      <c r="J68" s="136" t="s">
        <v>34</v>
      </c>
      <c r="K68" s="138">
        <v>71.2</v>
      </c>
      <c r="L68" s="89"/>
      <c r="M68" s="89"/>
    </row>
    <row r="69" spans="1:13" x14ac:dyDescent="0.25">
      <c r="A69" s="135">
        <v>46282.89644675926</v>
      </c>
      <c r="B69" s="136" t="s">
        <v>17</v>
      </c>
      <c r="C69" s="136" t="s">
        <v>18</v>
      </c>
      <c r="D69" s="136" t="s">
        <v>30</v>
      </c>
      <c r="E69" s="136" t="s">
        <v>31</v>
      </c>
      <c r="F69" s="137">
        <v>5</v>
      </c>
      <c r="G69" s="136" t="s">
        <v>19</v>
      </c>
      <c r="H69" s="136" t="s">
        <v>20</v>
      </c>
      <c r="I69" s="136" t="s">
        <v>15</v>
      </c>
      <c r="J69" s="136" t="s">
        <v>16</v>
      </c>
      <c r="K69" s="138">
        <v>47.8</v>
      </c>
      <c r="L69" s="89"/>
      <c r="M69" s="89"/>
    </row>
    <row r="70" spans="1:13" x14ac:dyDescent="0.25">
      <c r="A70" s="135">
        <v>46282.896701388891</v>
      </c>
      <c r="B70" s="136" t="s">
        <v>36</v>
      </c>
      <c r="C70" s="136" t="s">
        <v>204</v>
      </c>
      <c r="D70" s="136" t="s">
        <v>30</v>
      </c>
      <c r="E70" s="136" t="s">
        <v>31</v>
      </c>
      <c r="F70" s="137">
        <v>10</v>
      </c>
      <c r="G70" s="136" t="s">
        <v>13</v>
      </c>
      <c r="H70" s="136" t="s">
        <v>20</v>
      </c>
      <c r="I70" s="136" t="s">
        <v>15</v>
      </c>
      <c r="J70" s="136" t="s">
        <v>160</v>
      </c>
      <c r="K70" s="138">
        <v>87</v>
      </c>
      <c r="L70" s="89"/>
      <c r="M70" s="89"/>
    </row>
    <row r="71" spans="1:13" x14ac:dyDescent="0.25">
      <c r="A71" s="135">
        <v>46282.923472222225</v>
      </c>
      <c r="B71" s="136" t="s">
        <v>40</v>
      </c>
      <c r="C71" s="136" t="s">
        <v>209</v>
      </c>
      <c r="D71" s="136" t="s">
        <v>30</v>
      </c>
      <c r="E71" s="136" t="s">
        <v>31</v>
      </c>
      <c r="F71" s="137">
        <v>10</v>
      </c>
      <c r="G71" s="136" t="s">
        <v>13</v>
      </c>
      <c r="H71" s="136" t="s">
        <v>14</v>
      </c>
      <c r="I71" s="136" t="s">
        <v>15</v>
      </c>
      <c r="J71" s="136" t="s">
        <v>37</v>
      </c>
      <c r="K71" s="138">
        <v>188</v>
      </c>
      <c r="L71" s="89"/>
      <c r="M71" s="89"/>
    </row>
    <row r="72" spans="1:13" x14ac:dyDescent="0.25">
      <c r="A72" s="135">
        <v>46283.016458333332</v>
      </c>
      <c r="B72" s="136" t="s">
        <v>23</v>
      </c>
      <c r="C72" s="136" t="s">
        <v>24</v>
      </c>
      <c r="D72" s="136" t="s">
        <v>285</v>
      </c>
      <c r="E72" s="136" t="s">
        <v>213</v>
      </c>
      <c r="F72" s="137">
        <v>10</v>
      </c>
      <c r="G72" s="136" t="s">
        <v>32</v>
      </c>
      <c r="H72" s="136" t="s">
        <v>14</v>
      </c>
      <c r="I72" s="136" t="s">
        <v>15</v>
      </c>
      <c r="J72" s="136" t="s">
        <v>34</v>
      </c>
      <c r="K72" s="138">
        <v>71.2</v>
      </c>
      <c r="L72" s="89"/>
      <c r="M72" s="89"/>
    </row>
    <row r="73" spans="1:13" x14ac:dyDescent="0.25">
      <c r="A73" s="135">
        <v>46283.21539351852</v>
      </c>
      <c r="B73" s="136" t="s">
        <v>36</v>
      </c>
      <c r="C73" s="136" t="s">
        <v>204</v>
      </c>
      <c r="D73" s="136" t="s">
        <v>229</v>
      </c>
      <c r="E73" s="136" t="s">
        <v>230</v>
      </c>
      <c r="F73" s="137">
        <v>10</v>
      </c>
      <c r="G73" s="136" t="s">
        <v>13</v>
      </c>
      <c r="H73" s="136" t="s">
        <v>20</v>
      </c>
      <c r="I73" s="136" t="s">
        <v>15</v>
      </c>
      <c r="J73" s="136" t="s">
        <v>160</v>
      </c>
      <c r="K73" s="138">
        <v>87</v>
      </c>
      <c r="L73" s="89"/>
      <c r="M73" s="89"/>
    </row>
    <row r="74" spans="1:13" x14ac:dyDescent="0.25">
      <c r="A74" s="135">
        <v>46283.215590277781</v>
      </c>
      <c r="B74" s="136" t="s">
        <v>17</v>
      </c>
      <c r="C74" s="136" t="s">
        <v>18</v>
      </c>
      <c r="D74" s="136" t="s">
        <v>229</v>
      </c>
      <c r="E74" s="136" t="s">
        <v>230</v>
      </c>
      <c r="F74" s="137">
        <v>5</v>
      </c>
      <c r="G74" s="136" t="s">
        <v>28</v>
      </c>
      <c r="H74" s="136" t="s">
        <v>20</v>
      </c>
      <c r="I74" s="136" t="s">
        <v>15</v>
      </c>
      <c r="J74" s="136" t="s">
        <v>29</v>
      </c>
      <c r="K74" s="138">
        <v>47.8</v>
      </c>
      <c r="L74" s="89"/>
      <c r="M74" s="89"/>
    </row>
    <row r="75" spans="1:13" x14ac:dyDescent="0.25">
      <c r="A75" s="135">
        <v>46283.215787037036</v>
      </c>
      <c r="B75" s="136" t="s">
        <v>22</v>
      </c>
      <c r="C75" s="136" t="s">
        <v>202</v>
      </c>
      <c r="D75" s="136" t="s">
        <v>229</v>
      </c>
      <c r="E75" s="136" t="s">
        <v>230</v>
      </c>
      <c r="F75" s="137">
        <v>10</v>
      </c>
      <c r="G75" s="136" t="s">
        <v>28</v>
      </c>
      <c r="H75" s="136" t="s">
        <v>14</v>
      </c>
      <c r="I75" s="136" t="s">
        <v>15</v>
      </c>
      <c r="J75" s="136" t="s">
        <v>29</v>
      </c>
      <c r="K75" s="138">
        <v>70</v>
      </c>
      <c r="L75" s="89"/>
      <c r="M75" s="89"/>
    </row>
    <row r="76" spans="1:13" x14ac:dyDescent="0.25">
      <c r="A76" s="135">
        <v>46283.215949074074</v>
      </c>
      <c r="B76" s="136" t="s">
        <v>35</v>
      </c>
      <c r="C76" s="136" t="s">
        <v>205</v>
      </c>
      <c r="D76" s="136" t="s">
        <v>229</v>
      </c>
      <c r="E76" s="136" t="s">
        <v>230</v>
      </c>
      <c r="F76" s="137">
        <v>10</v>
      </c>
      <c r="G76" s="136" t="s">
        <v>28</v>
      </c>
      <c r="H76" s="136" t="s">
        <v>20</v>
      </c>
      <c r="I76" s="136" t="s">
        <v>15</v>
      </c>
      <c r="J76" s="136" t="s">
        <v>29</v>
      </c>
      <c r="K76" s="138">
        <v>118.7</v>
      </c>
      <c r="L76" s="89"/>
      <c r="M76" s="89"/>
    </row>
    <row r="77" spans="1:13" x14ac:dyDescent="0.25">
      <c r="A77" s="135">
        <v>46283.250543981485</v>
      </c>
      <c r="B77" s="136" t="s">
        <v>17</v>
      </c>
      <c r="C77" s="136" t="s">
        <v>18</v>
      </c>
      <c r="D77" s="136" t="s">
        <v>207</v>
      </c>
      <c r="E77" s="136" t="s">
        <v>208</v>
      </c>
      <c r="F77" s="137">
        <v>5</v>
      </c>
      <c r="G77" s="136" t="s">
        <v>19</v>
      </c>
      <c r="H77" s="136" t="s">
        <v>20</v>
      </c>
      <c r="I77" s="136" t="s">
        <v>15</v>
      </c>
      <c r="J77" s="136" t="s">
        <v>16</v>
      </c>
      <c r="K77" s="138">
        <v>47.8</v>
      </c>
      <c r="L77" s="89"/>
      <c r="M77" s="89"/>
    </row>
    <row r="78" spans="1:13" x14ac:dyDescent="0.25">
      <c r="A78" s="135">
        <v>46283.309872685182</v>
      </c>
      <c r="B78" s="136" t="s">
        <v>12</v>
      </c>
      <c r="C78" s="136" t="s">
        <v>201</v>
      </c>
      <c r="D78" s="136" t="s">
        <v>229</v>
      </c>
      <c r="E78" s="136" t="s">
        <v>230</v>
      </c>
      <c r="F78" s="137">
        <v>10</v>
      </c>
      <c r="G78" s="136" t="s">
        <v>28</v>
      </c>
      <c r="H78" s="136" t="s">
        <v>14</v>
      </c>
      <c r="I78" s="136" t="s">
        <v>15</v>
      </c>
      <c r="J78" s="136" t="s">
        <v>29</v>
      </c>
      <c r="K78" s="138">
        <v>136.69999999999999</v>
      </c>
      <c r="L78" s="89"/>
      <c r="M78" s="89"/>
    </row>
    <row r="79" spans="1:13" x14ac:dyDescent="0.25">
      <c r="A79" s="135">
        <v>46283.310289351852</v>
      </c>
      <c r="B79" s="136" t="s">
        <v>22</v>
      </c>
      <c r="C79" s="136" t="s">
        <v>202</v>
      </c>
      <c r="D79" s="136" t="s">
        <v>229</v>
      </c>
      <c r="E79" s="136" t="s">
        <v>230</v>
      </c>
      <c r="F79" s="137">
        <v>10</v>
      </c>
      <c r="G79" s="136" t="s">
        <v>28</v>
      </c>
      <c r="H79" s="136" t="s">
        <v>14</v>
      </c>
      <c r="I79" s="136" t="s">
        <v>15</v>
      </c>
      <c r="J79" s="136" t="s">
        <v>29</v>
      </c>
      <c r="K79" s="138">
        <v>70</v>
      </c>
      <c r="L79" s="89"/>
      <c r="M79" s="89"/>
    </row>
    <row r="80" spans="1:13" x14ac:dyDescent="0.25">
      <c r="A80" s="135">
        <v>46283.310497685183</v>
      </c>
      <c r="B80" s="136" t="s">
        <v>23</v>
      </c>
      <c r="C80" s="136" t="s">
        <v>24</v>
      </c>
      <c r="D80" s="136" t="s">
        <v>229</v>
      </c>
      <c r="E80" s="136" t="s">
        <v>230</v>
      </c>
      <c r="F80" s="137">
        <v>10</v>
      </c>
      <c r="G80" s="136" t="s">
        <v>28</v>
      </c>
      <c r="H80" s="136" t="s">
        <v>14</v>
      </c>
      <c r="I80" s="136" t="s">
        <v>15</v>
      </c>
      <c r="J80" s="136" t="s">
        <v>29</v>
      </c>
      <c r="K80" s="138">
        <v>71.2</v>
      </c>
      <c r="L80" s="89"/>
      <c r="M80" s="89"/>
    </row>
    <row r="81" spans="1:13" x14ac:dyDescent="0.25">
      <c r="A81" s="135">
        <v>46283.312395833331</v>
      </c>
      <c r="B81" s="136" t="s">
        <v>22</v>
      </c>
      <c r="C81" s="136" t="s">
        <v>202</v>
      </c>
      <c r="D81" s="136" t="s">
        <v>229</v>
      </c>
      <c r="E81" s="136" t="s">
        <v>230</v>
      </c>
      <c r="F81" s="137">
        <v>10</v>
      </c>
      <c r="G81" s="136" t="s">
        <v>13</v>
      </c>
      <c r="H81" s="136" t="s">
        <v>14</v>
      </c>
      <c r="I81" s="136" t="s">
        <v>15</v>
      </c>
      <c r="J81" s="136" t="s">
        <v>37</v>
      </c>
      <c r="K81" s="138">
        <v>70</v>
      </c>
      <c r="L81" s="89"/>
      <c r="M81" s="89"/>
    </row>
    <row r="82" spans="1:13" x14ac:dyDescent="0.25">
      <c r="A82" s="135">
        <v>46283.312592592592</v>
      </c>
      <c r="B82" s="136" t="s">
        <v>23</v>
      </c>
      <c r="C82" s="136" t="s">
        <v>24</v>
      </c>
      <c r="D82" s="136" t="s">
        <v>229</v>
      </c>
      <c r="E82" s="136" t="s">
        <v>230</v>
      </c>
      <c r="F82" s="137">
        <v>10</v>
      </c>
      <c r="G82" s="136" t="s">
        <v>13</v>
      </c>
      <c r="H82" s="136" t="s">
        <v>14</v>
      </c>
      <c r="I82" s="136" t="s">
        <v>15</v>
      </c>
      <c r="J82" s="136" t="s">
        <v>37</v>
      </c>
      <c r="K82" s="138">
        <v>71.2</v>
      </c>
      <c r="L82" s="89"/>
      <c r="M82" s="89"/>
    </row>
    <row r="83" spans="1:13" x14ac:dyDescent="0.25">
      <c r="A83" s="135">
        <v>46283.313854166663</v>
      </c>
      <c r="B83" s="136" t="s">
        <v>120</v>
      </c>
      <c r="C83" s="136" t="s">
        <v>18</v>
      </c>
      <c r="D83" s="136" t="s">
        <v>229</v>
      </c>
      <c r="E83" s="136" t="s">
        <v>230</v>
      </c>
      <c r="F83" s="137">
        <v>10</v>
      </c>
      <c r="G83" s="136" t="s">
        <v>13</v>
      </c>
      <c r="H83" s="136" t="s">
        <v>20</v>
      </c>
      <c r="I83" s="136" t="s">
        <v>15</v>
      </c>
      <c r="J83" s="136" t="s">
        <v>37</v>
      </c>
      <c r="K83" s="138">
        <v>109.7</v>
      </c>
      <c r="L83" s="89"/>
      <c r="M83" s="89"/>
    </row>
    <row r="84" spans="1:13" x14ac:dyDescent="0.25">
      <c r="A84" s="135">
        <v>46283.314085648148</v>
      </c>
      <c r="B84" s="136" t="s">
        <v>41</v>
      </c>
      <c r="C84" s="136" t="s">
        <v>205</v>
      </c>
      <c r="D84" s="136" t="s">
        <v>229</v>
      </c>
      <c r="E84" s="136" t="s">
        <v>230</v>
      </c>
      <c r="F84" s="137">
        <v>10</v>
      </c>
      <c r="G84" s="136" t="s">
        <v>13</v>
      </c>
      <c r="H84" s="136" t="s">
        <v>20</v>
      </c>
      <c r="I84" s="136" t="s">
        <v>15</v>
      </c>
      <c r="J84" s="136" t="s">
        <v>37</v>
      </c>
      <c r="K84" s="138">
        <v>138.80000000000001</v>
      </c>
      <c r="L84" s="89"/>
      <c r="M84" s="89"/>
    </row>
    <row r="85" spans="1:13" x14ac:dyDescent="0.25">
      <c r="A85" s="135">
        <v>46283.314247685186</v>
      </c>
      <c r="B85" s="136" t="s">
        <v>17</v>
      </c>
      <c r="C85" s="136" t="s">
        <v>18</v>
      </c>
      <c r="D85" s="136" t="s">
        <v>229</v>
      </c>
      <c r="E85" s="136" t="s">
        <v>230</v>
      </c>
      <c r="F85" s="137">
        <v>5</v>
      </c>
      <c r="G85" s="136" t="s">
        <v>28</v>
      </c>
      <c r="H85" s="136" t="s">
        <v>20</v>
      </c>
      <c r="I85" s="136" t="s">
        <v>15</v>
      </c>
      <c r="J85" s="136" t="s">
        <v>29</v>
      </c>
      <c r="K85" s="138">
        <v>47.8</v>
      </c>
      <c r="L85" s="89"/>
      <c r="M85" s="89"/>
    </row>
    <row r="86" spans="1:13" ht="15" customHeight="1" x14ac:dyDescent="0.25">
      <c r="A86" s="135">
        <v>46283.314432870371</v>
      </c>
      <c r="B86" s="136" t="s">
        <v>120</v>
      </c>
      <c r="C86" s="136" t="s">
        <v>18</v>
      </c>
      <c r="D86" s="136" t="s">
        <v>229</v>
      </c>
      <c r="E86" s="136" t="s">
        <v>230</v>
      </c>
      <c r="F86" s="137">
        <v>10</v>
      </c>
      <c r="G86" s="136" t="s">
        <v>28</v>
      </c>
      <c r="H86" s="136" t="s">
        <v>20</v>
      </c>
      <c r="I86" s="136" t="s">
        <v>15</v>
      </c>
      <c r="J86" s="136" t="s">
        <v>29</v>
      </c>
      <c r="K86" s="138">
        <v>109.7</v>
      </c>
      <c r="L86" s="89"/>
      <c r="M86" s="89"/>
    </row>
    <row r="87" spans="1:13" ht="15" customHeight="1" x14ac:dyDescent="0.25">
      <c r="A87" s="135">
        <v>46283.314629629633</v>
      </c>
      <c r="B87" s="136" t="s">
        <v>35</v>
      </c>
      <c r="C87" s="136" t="s">
        <v>205</v>
      </c>
      <c r="D87" s="136" t="s">
        <v>229</v>
      </c>
      <c r="E87" s="136" t="s">
        <v>230</v>
      </c>
      <c r="F87" s="137">
        <v>10</v>
      </c>
      <c r="G87" s="136" t="s">
        <v>28</v>
      </c>
      <c r="H87" s="136" t="s">
        <v>20</v>
      </c>
      <c r="I87" s="136" t="s">
        <v>15</v>
      </c>
      <c r="J87" s="136" t="s">
        <v>29</v>
      </c>
      <c r="K87" s="138">
        <v>118.7</v>
      </c>
      <c r="L87" s="89"/>
      <c r="M87" s="89"/>
    </row>
    <row r="88" spans="1:13" x14ac:dyDescent="0.25">
      <c r="A88" s="135">
        <v>46283.330416666664</v>
      </c>
      <c r="B88" s="136" t="s">
        <v>35</v>
      </c>
      <c r="C88" s="136" t="s">
        <v>205</v>
      </c>
      <c r="D88" s="136" t="s">
        <v>229</v>
      </c>
      <c r="E88" s="136" t="s">
        <v>230</v>
      </c>
      <c r="F88" s="137">
        <v>10</v>
      </c>
      <c r="G88" s="136" t="s">
        <v>28</v>
      </c>
      <c r="H88" s="136" t="s">
        <v>20</v>
      </c>
      <c r="I88" s="136" t="s">
        <v>15</v>
      </c>
      <c r="J88" s="136" t="s">
        <v>29</v>
      </c>
      <c r="K88" s="138">
        <v>118.7</v>
      </c>
      <c r="L88" s="89"/>
      <c r="M88" s="89"/>
    </row>
    <row r="89" spans="1:13" x14ac:dyDescent="0.25">
      <c r="A89" s="135">
        <v>46283.391643518517</v>
      </c>
      <c r="B89" s="136" t="s">
        <v>12</v>
      </c>
      <c r="C89" s="136" t="s">
        <v>201</v>
      </c>
      <c r="D89" s="136" t="s">
        <v>207</v>
      </c>
      <c r="E89" s="136" t="s">
        <v>208</v>
      </c>
      <c r="F89" s="137">
        <v>10</v>
      </c>
      <c r="G89" s="136" t="s">
        <v>19</v>
      </c>
      <c r="H89" s="136" t="s">
        <v>14</v>
      </c>
      <c r="I89" s="136" t="s">
        <v>15</v>
      </c>
      <c r="J89" s="136" t="s">
        <v>16</v>
      </c>
      <c r="K89" s="138">
        <v>136.69999999999999</v>
      </c>
      <c r="L89" s="89"/>
      <c r="M89" s="89"/>
    </row>
    <row r="90" spans="1:13" ht="15" customHeight="1" x14ac:dyDescent="0.25">
      <c r="A90" s="135">
        <v>46283.596944444442</v>
      </c>
      <c r="B90" s="136" t="s">
        <v>17</v>
      </c>
      <c r="C90" s="136" t="s">
        <v>18</v>
      </c>
      <c r="D90" s="136" t="s">
        <v>281</v>
      </c>
      <c r="E90" s="136" t="s">
        <v>282</v>
      </c>
      <c r="F90" s="137">
        <v>5</v>
      </c>
      <c r="G90" s="136" t="s">
        <v>19</v>
      </c>
      <c r="H90" s="136" t="s">
        <v>20</v>
      </c>
      <c r="I90" s="136" t="s">
        <v>15</v>
      </c>
      <c r="J90" s="136" t="s">
        <v>16</v>
      </c>
      <c r="K90" s="138">
        <v>47.8</v>
      </c>
      <c r="L90" s="89"/>
      <c r="M90" s="89"/>
    </row>
    <row r="91" spans="1:13" x14ac:dyDescent="0.25">
      <c r="A91" s="135">
        <v>46283.59716435185</v>
      </c>
      <c r="B91" s="136" t="s">
        <v>22</v>
      </c>
      <c r="C91" s="136" t="s">
        <v>202</v>
      </c>
      <c r="D91" s="136" t="s">
        <v>281</v>
      </c>
      <c r="E91" s="136" t="s">
        <v>282</v>
      </c>
      <c r="F91" s="137">
        <v>10</v>
      </c>
      <c r="G91" s="136" t="s">
        <v>19</v>
      </c>
      <c r="H91" s="136" t="s">
        <v>14</v>
      </c>
      <c r="I91" s="136" t="s">
        <v>15</v>
      </c>
      <c r="J91" s="136" t="s">
        <v>16</v>
      </c>
      <c r="K91" s="138">
        <v>70</v>
      </c>
      <c r="L91" s="89"/>
      <c r="M91" s="89"/>
    </row>
    <row r="92" spans="1:13" x14ac:dyDescent="0.25">
      <c r="A92" s="135">
        <v>46283.597361111111</v>
      </c>
      <c r="B92" s="136" t="s">
        <v>240</v>
      </c>
      <c r="C92" s="136" t="s">
        <v>241</v>
      </c>
      <c r="D92" s="136" t="s">
        <v>281</v>
      </c>
      <c r="E92" s="136" t="s">
        <v>282</v>
      </c>
      <c r="F92" s="137">
        <v>5</v>
      </c>
      <c r="G92" s="136" t="s">
        <v>19</v>
      </c>
      <c r="H92" s="136" t="s">
        <v>39</v>
      </c>
      <c r="I92" s="136" t="s">
        <v>15</v>
      </c>
      <c r="J92" s="136" t="s">
        <v>16</v>
      </c>
      <c r="K92" s="138">
        <v>40</v>
      </c>
      <c r="L92" s="89"/>
      <c r="M92" s="89"/>
    </row>
    <row r="93" spans="1:13" x14ac:dyDescent="0.25">
      <c r="A93" s="135">
        <v>46283.597534722219</v>
      </c>
      <c r="B93" s="136" t="s">
        <v>294</v>
      </c>
      <c r="C93" s="136" t="s">
        <v>295</v>
      </c>
      <c r="D93" s="136" t="s">
        <v>281</v>
      </c>
      <c r="E93" s="136" t="s">
        <v>282</v>
      </c>
      <c r="F93" s="137">
        <v>5</v>
      </c>
      <c r="G93" s="136" t="s">
        <v>19</v>
      </c>
      <c r="H93" s="136" t="s">
        <v>39</v>
      </c>
      <c r="I93" s="136" t="s">
        <v>15</v>
      </c>
      <c r="J93" s="136" t="s">
        <v>16</v>
      </c>
      <c r="K93" s="138">
        <v>40</v>
      </c>
      <c r="L93" s="89"/>
      <c r="M93" s="89"/>
    </row>
    <row r="94" spans="1:13" x14ac:dyDescent="0.25">
      <c r="A94" s="135">
        <v>46283.708298611113</v>
      </c>
      <c r="B94" s="136" t="s">
        <v>240</v>
      </c>
      <c r="C94" s="136" t="s">
        <v>241</v>
      </c>
      <c r="D94" s="136" t="s">
        <v>234</v>
      </c>
      <c r="E94" s="136" t="s">
        <v>235</v>
      </c>
      <c r="F94" s="137">
        <v>5</v>
      </c>
      <c r="G94" s="136" t="s">
        <v>32</v>
      </c>
      <c r="H94" s="136" t="s">
        <v>14</v>
      </c>
      <c r="I94" s="136" t="s">
        <v>15</v>
      </c>
      <c r="J94" s="136" t="s">
        <v>34</v>
      </c>
      <c r="K94" s="138">
        <v>40</v>
      </c>
      <c r="L94" s="89"/>
      <c r="M94" s="89"/>
    </row>
    <row r="95" spans="1:13" x14ac:dyDescent="0.25">
      <c r="A95" s="135">
        <v>46283.708506944444</v>
      </c>
      <c r="B95" s="136" t="s">
        <v>240</v>
      </c>
      <c r="C95" s="136" t="s">
        <v>241</v>
      </c>
      <c r="D95" s="136" t="s">
        <v>234</v>
      </c>
      <c r="E95" s="136" t="s">
        <v>235</v>
      </c>
      <c r="F95" s="137">
        <v>5</v>
      </c>
      <c r="G95" s="136" t="s">
        <v>32</v>
      </c>
      <c r="H95" s="136" t="s">
        <v>14</v>
      </c>
      <c r="I95" s="136" t="s">
        <v>15</v>
      </c>
      <c r="J95" s="136" t="s">
        <v>34</v>
      </c>
      <c r="K95" s="138">
        <v>40</v>
      </c>
      <c r="L95" s="89"/>
      <c r="M95" s="89"/>
    </row>
    <row r="96" spans="1:13" x14ac:dyDescent="0.25">
      <c r="A96" s="135">
        <v>46283.708657407406</v>
      </c>
      <c r="B96" s="136" t="s">
        <v>17</v>
      </c>
      <c r="C96" s="136" t="s">
        <v>18</v>
      </c>
      <c r="D96" s="136" t="s">
        <v>234</v>
      </c>
      <c r="E96" s="136" t="s">
        <v>235</v>
      </c>
      <c r="F96" s="137">
        <v>5</v>
      </c>
      <c r="G96" s="136" t="s">
        <v>32</v>
      </c>
      <c r="H96" s="136" t="s">
        <v>38</v>
      </c>
      <c r="I96" s="136" t="s">
        <v>15</v>
      </c>
      <c r="J96" s="136" t="s">
        <v>34</v>
      </c>
      <c r="K96" s="138">
        <v>47.8</v>
      </c>
      <c r="L96" s="89"/>
      <c r="M96" s="89"/>
    </row>
    <row r="97" spans="1:13" x14ac:dyDescent="0.25">
      <c r="A97" s="135">
        <v>46283.708923611113</v>
      </c>
      <c r="B97" s="136" t="s">
        <v>17</v>
      </c>
      <c r="C97" s="136" t="s">
        <v>18</v>
      </c>
      <c r="D97" s="136" t="s">
        <v>234</v>
      </c>
      <c r="E97" s="136" t="s">
        <v>235</v>
      </c>
      <c r="F97" s="137">
        <v>5</v>
      </c>
      <c r="G97" s="136" t="s">
        <v>32</v>
      </c>
      <c r="H97" s="136" t="s">
        <v>38</v>
      </c>
      <c r="I97" s="136" t="s">
        <v>15</v>
      </c>
      <c r="J97" s="136" t="s">
        <v>34</v>
      </c>
      <c r="K97" s="138">
        <v>47.8</v>
      </c>
      <c r="L97" s="89"/>
      <c r="M97" s="89"/>
    </row>
    <row r="98" spans="1:13" x14ac:dyDescent="0.25">
      <c r="A98" s="135">
        <v>46283.709085648145</v>
      </c>
      <c r="B98" s="136" t="s">
        <v>22</v>
      </c>
      <c r="C98" s="136" t="s">
        <v>202</v>
      </c>
      <c r="D98" s="136" t="s">
        <v>234</v>
      </c>
      <c r="E98" s="136" t="s">
        <v>235</v>
      </c>
      <c r="F98" s="137">
        <v>10</v>
      </c>
      <c r="G98" s="136" t="s">
        <v>32</v>
      </c>
      <c r="H98" s="136" t="s">
        <v>38</v>
      </c>
      <c r="I98" s="136" t="s">
        <v>15</v>
      </c>
      <c r="J98" s="136" t="s">
        <v>34</v>
      </c>
      <c r="K98" s="138">
        <v>70</v>
      </c>
      <c r="L98" s="89"/>
      <c r="M98" s="89"/>
    </row>
    <row r="99" spans="1:13" x14ac:dyDescent="0.25">
      <c r="A99" s="135">
        <v>46283.876284722224</v>
      </c>
      <c r="B99" s="136" t="s">
        <v>25</v>
      </c>
      <c r="C99" s="136" t="s">
        <v>201</v>
      </c>
      <c r="D99" s="136" t="s">
        <v>212</v>
      </c>
      <c r="E99" s="136" t="s">
        <v>213</v>
      </c>
      <c r="F99" s="137">
        <v>10</v>
      </c>
      <c r="G99" s="136" t="s">
        <v>32</v>
      </c>
      <c r="H99" s="136" t="s">
        <v>33</v>
      </c>
      <c r="I99" s="136" t="s">
        <v>15</v>
      </c>
      <c r="J99" s="136" t="s">
        <v>34</v>
      </c>
      <c r="K99" s="138">
        <v>108.5</v>
      </c>
      <c r="L99" s="89"/>
      <c r="M99" s="89"/>
    </row>
    <row r="100" spans="1:13" x14ac:dyDescent="0.25">
      <c r="A100" s="135">
        <v>46283.876701388886</v>
      </c>
      <c r="B100" s="136" t="s">
        <v>23</v>
      </c>
      <c r="C100" s="136" t="s">
        <v>24</v>
      </c>
      <c r="D100" s="136" t="s">
        <v>212</v>
      </c>
      <c r="E100" s="136" t="s">
        <v>213</v>
      </c>
      <c r="F100" s="137">
        <v>10</v>
      </c>
      <c r="G100" s="136" t="s">
        <v>32</v>
      </c>
      <c r="H100" s="136" t="s">
        <v>39</v>
      </c>
      <c r="I100" s="136" t="s">
        <v>15</v>
      </c>
      <c r="J100" s="136" t="s">
        <v>34</v>
      </c>
      <c r="K100" s="138">
        <v>71.2</v>
      </c>
      <c r="L100" s="89"/>
      <c r="M100" s="89"/>
    </row>
    <row r="101" spans="1:13" x14ac:dyDescent="0.25">
      <c r="A101" s="135">
        <v>46283.895844907405</v>
      </c>
      <c r="B101" s="136" t="s">
        <v>17</v>
      </c>
      <c r="C101" s="136" t="s">
        <v>18</v>
      </c>
      <c r="D101" s="136" t="s">
        <v>212</v>
      </c>
      <c r="E101" s="136" t="s">
        <v>213</v>
      </c>
      <c r="F101" s="137">
        <v>5</v>
      </c>
      <c r="G101" s="136" t="s">
        <v>32</v>
      </c>
      <c r="H101" s="136" t="s">
        <v>38</v>
      </c>
      <c r="I101" s="136" t="s">
        <v>15</v>
      </c>
      <c r="J101" s="136" t="s">
        <v>34</v>
      </c>
      <c r="K101" s="138">
        <v>47.8</v>
      </c>
      <c r="L101" s="89"/>
      <c r="M101" s="89"/>
    </row>
    <row r="102" spans="1:13" x14ac:dyDescent="0.25">
      <c r="A102" s="135">
        <v>46284.035266203704</v>
      </c>
      <c r="B102" s="136" t="s">
        <v>22</v>
      </c>
      <c r="C102" s="136" t="s">
        <v>202</v>
      </c>
      <c r="D102" s="136" t="s">
        <v>30</v>
      </c>
      <c r="E102" s="136" t="s">
        <v>31</v>
      </c>
      <c r="F102" s="137">
        <v>10</v>
      </c>
      <c r="G102" s="136" t="s">
        <v>19</v>
      </c>
      <c r="H102" s="136" t="s">
        <v>20</v>
      </c>
      <c r="I102" s="136" t="s">
        <v>15</v>
      </c>
      <c r="J102" s="136" t="s">
        <v>16</v>
      </c>
      <c r="K102" s="138">
        <v>70</v>
      </c>
      <c r="L102" s="89"/>
      <c r="M102" s="89"/>
    </row>
    <row r="103" spans="1:13" x14ac:dyDescent="0.25">
      <c r="A103" s="135">
        <v>46284.035509259258</v>
      </c>
      <c r="B103" s="136" t="s">
        <v>17</v>
      </c>
      <c r="C103" s="136" t="s">
        <v>18</v>
      </c>
      <c r="D103" s="136" t="s">
        <v>30</v>
      </c>
      <c r="E103" s="136" t="s">
        <v>31</v>
      </c>
      <c r="F103" s="137">
        <v>5</v>
      </c>
      <c r="G103" s="136" t="s">
        <v>19</v>
      </c>
      <c r="H103" s="136" t="s">
        <v>20</v>
      </c>
      <c r="I103" s="136" t="s">
        <v>15</v>
      </c>
      <c r="J103" s="136" t="s">
        <v>16</v>
      </c>
      <c r="K103" s="138">
        <v>47.8</v>
      </c>
      <c r="L103" s="89"/>
      <c r="M103" s="89"/>
    </row>
    <row r="104" spans="1:13" x14ac:dyDescent="0.25">
      <c r="A104" s="135">
        <v>46284.035798611112</v>
      </c>
      <c r="B104" s="136" t="s">
        <v>12</v>
      </c>
      <c r="C104" s="136" t="s">
        <v>201</v>
      </c>
      <c r="D104" s="136" t="s">
        <v>30</v>
      </c>
      <c r="E104" s="136" t="s">
        <v>31</v>
      </c>
      <c r="F104" s="137">
        <v>10</v>
      </c>
      <c r="G104" s="136" t="s">
        <v>19</v>
      </c>
      <c r="H104" s="136" t="s">
        <v>14</v>
      </c>
      <c r="I104" s="136" t="s">
        <v>15</v>
      </c>
      <c r="J104" s="136" t="s">
        <v>16</v>
      </c>
      <c r="K104" s="138">
        <v>136.69999999999999</v>
      </c>
      <c r="L104" s="89"/>
      <c r="M104" s="89"/>
    </row>
    <row r="105" spans="1:13" x14ac:dyDescent="0.25">
      <c r="A105" s="135">
        <v>46284.082708333335</v>
      </c>
      <c r="B105" s="136" t="s">
        <v>36</v>
      </c>
      <c r="C105" s="136" t="s">
        <v>204</v>
      </c>
      <c r="D105" s="136" t="s">
        <v>30</v>
      </c>
      <c r="E105" s="136" t="s">
        <v>31</v>
      </c>
      <c r="F105" s="137">
        <v>10</v>
      </c>
      <c r="G105" s="136" t="s">
        <v>13</v>
      </c>
      <c r="H105" s="136" t="s">
        <v>20</v>
      </c>
      <c r="I105" s="136" t="s">
        <v>15</v>
      </c>
      <c r="J105" s="136" t="s">
        <v>160</v>
      </c>
      <c r="K105" s="138">
        <v>87</v>
      </c>
      <c r="L105" s="89"/>
      <c r="M105" s="89"/>
    </row>
    <row r="106" spans="1:13" x14ac:dyDescent="0.25">
      <c r="A106" s="135">
        <v>46284.210752314815</v>
      </c>
      <c r="B106" s="136" t="s">
        <v>22</v>
      </c>
      <c r="C106" s="136" t="s">
        <v>202</v>
      </c>
      <c r="D106" s="136" t="s">
        <v>229</v>
      </c>
      <c r="E106" s="136" t="s">
        <v>230</v>
      </c>
      <c r="F106" s="137">
        <v>10</v>
      </c>
      <c r="G106" s="136" t="s">
        <v>13</v>
      </c>
      <c r="H106" s="136" t="s">
        <v>14</v>
      </c>
      <c r="I106" s="136" t="s">
        <v>15</v>
      </c>
      <c r="J106" s="136" t="s">
        <v>37</v>
      </c>
      <c r="K106" s="138">
        <v>70</v>
      </c>
      <c r="L106" s="89"/>
      <c r="M106" s="89"/>
    </row>
    <row r="107" spans="1:13" x14ac:dyDescent="0.25">
      <c r="A107" s="135">
        <v>46284.252453703702</v>
      </c>
      <c r="B107" s="136" t="s">
        <v>36</v>
      </c>
      <c r="C107" s="136" t="s">
        <v>204</v>
      </c>
      <c r="D107" s="136" t="s">
        <v>229</v>
      </c>
      <c r="E107" s="136" t="s">
        <v>230</v>
      </c>
      <c r="F107" s="137">
        <v>10</v>
      </c>
      <c r="G107" s="136" t="s">
        <v>13</v>
      </c>
      <c r="H107" s="136" t="s">
        <v>20</v>
      </c>
      <c r="I107" s="136" t="s">
        <v>15</v>
      </c>
      <c r="J107" s="136" t="s">
        <v>160</v>
      </c>
      <c r="K107" s="138">
        <v>87</v>
      </c>
      <c r="L107" s="89"/>
      <c r="M107" s="89"/>
    </row>
    <row r="108" spans="1:13" x14ac:dyDescent="0.25">
      <c r="A108" s="135">
        <v>46284.252627314818</v>
      </c>
      <c r="B108" s="136" t="s">
        <v>17</v>
      </c>
      <c r="C108" s="136" t="s">
        <v>18</v>
      </c>
      <c r="D108" s="136" t="s">
        <v>229</v>
      </c>
      <c r="E108" s="136" t="s">
        <v>230</v>
      </c>
      <c r="F108" s="137">
        <v>5</v>
      </c>
      <c r="G108" s="136" t="s">
        <v>28</v>
      </c>
      <c r="H108" s="136" t="s">
        <v>20</v>
      </c>
      <c r="I108" s="136" t="s">
        <v>15</v>
      </c>
      <c r="J108" s="136" t="s">
        <v>29</v>
      </c>
      <c r="K108" s="138">
        <v>47.8</v>
      </c>
      <c r="L108" s="89"/>
      <c r="M108" s="89"/>
    </row>
    <row r="109" spans="1:13" x14ac:dyDescent="0.25">
      <c r="A109" s="135">
        <v>46284.55704861111</v>
      </c>
      <c r="B109" s="136" t="s">
        <v>22</v>
      </c>
      <c r="C109" s="136" t="s">
        <v>202</v>
      </c>
      <c r="D109" s="136" t="s">
        <v>229</v>
      </c>
      <c r="E109" s="136" t="s">
        <v>230</v>
      </c>
      <c r="F109" s="137">
        <v>10</v>
      </c>
      <c r="G109" s="136" t="s">
        <v>28</v>
      </c>
      <c r="H109" s="136" t="s">
        <v>14</v>
      </c>
      <c r="I109" s="136" t="s">
        <v>15</v>
      </c>
      <c r="J109" s="136" t="s">
        <v>29</v>
      </c>
      <c r="K109" s="138">
        <v>70</v>
      </c>
      <c r="L109" s="89"/>
      <c r="M109" s="89"/>
    </row>
    <row r="110" spans="1:13" x14ac:dyDescent="0.25">
      <c r="A110" s="135">
        <v>46284.635451388887</v>
      </c>
      <c r="B110" s="136" t="s">
        <v>240</v>
      </c>
      <c r="C110" s="136" t="s">
        <v>241</v>
      </c>
      <c r="D110" s="136" t="s">
        <v>229</v>
      </c>
      <c r="E110" s="136" t="s">
        <v>230</v>
      </c>
      <c r="F110" s="137">
        <v>5</v>
      </c>
      <c r="G110" s="136" t="s">
        <v>19</v>
      </c>
      <c r="H110" s="136" t="s">
        <v>39</v>
      </c>
      <c r="I110" s="136" t="s">
        <v>15</v>
      </c>
      <c r="J110" s="136" t="s">
        <v>16</v>
      </c>
      <c r="K110" s="138">
        <v>40</v>
      </c>
      <c r="L110" s="89"/>
      <c r="M110" s="89"/>
    </row>
    <row r="111" spans="1:13" x14ac:dyDescent="0.25">
      <c r="A111" s="135">
        <v>46284.635682870372</v>
      </c>
      <c r="B111" s="136" t="s">
        <v>294</v>
      </c>
      <c r="C111" s="136" t="s">
        <v>295</v>
      </c>
      <c r="D111" s="136" t="s">
        <v>229</v>
      </c>
      <c r="E111" s="136" t="s">
        <v>230</v>
      </c>
      <c r="F111" s="137">
        <v>5</v>
      </c>
      <c r="G111" s="136" t="s">
        <v>19</v>
      </c>
      <c r="H111" s="136" t="s">
        <v>39</v>
      </c>
      <c r="I111" s="136" t="s">
        <v>15</v>
      </c>
      <c r="J111" s="136" t="s">
        <v>16</v>
      </c>
      <c r="K111" s="138">
        <v>40</v>
      </c>
      <c r="L111" s="89"/>
      <c r="M111" s="89"/>
    </row>
    <row r="112" spans="1:13" x14ac:dyDescent="0.25">
      <c r="A112" s="135">
        <v>46284.63585648148</v>
      </c>
      <c r="B112" s="136" t="s">
        <v>12</v>
      </c>
      <c r="C112" s="136" t="s">
        <v>201</v>
      </c>
      <c r="D112" s="136" t="s">
        <v>229</v>
      </c>
      <c r="E112" s="136" t="s">
        <v>230</v>
      </c>
      <c r="F112" s="137">
        <v>10</v>
      </c>
      <c r="G112" s="136" t="s">
        <v>19</v>
      </c>
      <c r="H112" s="136" t="s">
        <v>14</v>
      </c>
      <c r="I112" s="136" t="s">
        <v>15</v>
      </c>
      <c r="J112" s="136" t="s">
        <v>16</v>
      </c>
      <c r="K112" s="138">
        <v>136.69999999999999</v>
      </c>
      <c r="L112" s="89"/>
      <c r="M112" s="89"/>
    </row>
    <row r="113" spans="1:13" x14ac:dyDescent="0.25">
      <c r="A113" s="135">
        <v>46284.636041666665</v>
      </c>
      <c r="B113" s="136" t="s">
        <v>22</v>
      </c>
      <c r="C113" s="136" t="s">
        <v>202</v>
      </c>
      <c r="D113" s="136" t="s">
        <v>229</v>
      </c>
      <c r="E113" s="136" t="s">
        <v>230</v>
      </c>
      <c r="F113" s="137">
        <v>10</v>
      </c>
      <c r="G113" s="136" t="s">
        <v>19</v>
      </c>
      <c r="H113" s="136" t="s">
        <v>14</v>
      </c>
      <c r="I113" s="136" t="s">
        <v>15</v>
      </c>
      <c r="J113" s="136" t="s">
        <v>16</v>
      </c>
      <c r="K113" s="138">
        <v>70</v>
      </c>
      <c r="L113" s="89"/>
      <c r="M113" s="89"/>
    </row>
    <row r="114" spans="1:13" x14ac:dyDescent="0.25">
      <c r="A114" s="135">
        <v>46284.63622685185</v>
      </c>
      <c r="B114" s="136" t="s">
        <v>23</v>
      </c>
      <c r="C114" s="136" t="s">
        <v>24</v>
      </c>
      <c r="D114" s="136" t="s">
        <v>229</v>
      </c>
      <c r="E114" s="136" t="s">
        <v>230</v>
      </c>
      <c r="F114" s="137">
        <v>10</v>
      </c>
      <c r="G114" s="136" t="s">
        <v>19</v>
      </c>
      <c r="H114" s="136" t="s">
        <v>14</v>
      </c>
      <c r="I114" s="136" t="s">
        <v>15</v>
      </c>
      <c r="J114" s="136" t="s">
        <v>16</v>
      </c>
      <c r="K114" s="138">
        <v>71.2</v>
      </c>
      <c r="L114" s="89"/>
      <c r="M114" s="89"/>
    </row>
    <row r="115" spans="1:13" x14ac:dyDescent="0.25">
      <c r="A115" s="135">
        <v>46284.636388888888</v>
      </c>
      <c r="B115" s="136" t="s">
        <v>17</v>
      </c>
      <c r="C115" s="136" t="s">
        <v>18</v>
      </c>
      <c r="D115" s="136" t="s">
        <v>229</v>
      </c>
      <c r="E115" s="136" t="s">
        <v>230</v>
      </c>
      <c r="F115" s="137">
        <v>5</v>
      </c>
      <c r="G115" s="136" t="s">
        <v>19</v>
      </c>
      <c r="H115" s="136" t="s">
        <v>20</v>
      </c>
      <c r="I115" s="136" t="s">
        <v>15</v>
      </c>
      <c r="J115" s="136" t="s">
        <v>16</v>
      </c>
      <c r="K115" s="138">
        <v>47.8</v>
      </c>
      <c r="L115" s="89"/>
      <c r="M115" s="89"/>
    </row>
    <row r="116" spans="1:13" x14ac:dyDescent="0.25">
      <c r="A116" s="135">
        <v>46284.636550925927</v>
      </c>
      <c r="B116" s="136" t="s">
        <v>17</v>
      </c>
      <c r="C116" s="136" t="s">
        <v>18</v>
      </c>
      <c r="D116" s="136" t="s">
        <v>229</v>
      </c>
      <c r="E116" s="136" t="s">
        <v>230</v>
      </c>
      <c r="F116" s="137">
        <v>5</v>
      </c>
      <c r="G116" s="136" t="s">
        <v>19</v>
      </c>
      <c r="H116" s="136" t="s">
        <v>20</v>
      </c>
      <c r="I116" s="136" t="s">
        <v>15</v>
      </c>
      <c r="J116" s="136" t="s">
        <v>16</v>
      </c>
      <c r="K116" s="138">
        <v>47.8</v>
      </c>
      <c r="L116" s="89"/>
      <c r="M116" s="89"/>
    </row>
    <row r="117" spans="1:13" x14ac:dyDescent="0.25">
      <c r="A117" s="135">
        <v>46284.636747685188</v>
      </c>
      <c r="B117" s="136" t="s">
        <v>35</v>
      </c>
      <c r="C117" s="136" t="s">
        <v>205</v>
      </c>
      <c r="D117" s="136" t="s">
        <v>229</v>
      </c>
      <c r="E117" s="136" t="s">
        <v>230</v>
      </c>
      <c r="F117" s="137">
        <v>10</v>
      </c>
      <c r="G117" s="136" t="s">
        <v>19</v>
      </c>
      <c r="H117" s="136" t="s">
        <v>20</v>
      </c>
      <c r="I117" s="136" t="s">
        <v>15</v>
      </c>
      <c r="J117" s="136" t="s">
        <v>16</v>
      </c>
      <c r="K117" s="138">
        <v>118.7</v>
      </c>
      <c r="L117" s="89"/>
      <c r="M117" s="89"/>
    </row>
    <row r="118" spans="1:13" x14ac:dyDescent="0.25">
      <c r="A118" s="135">
        <v>46284.636956018519</v>
      </c>
      <c r="B118" s="136" t="s">
        <v>22</v>
      </c>
      <c r="C118" s="136" t="s">
        <v>202</v>
      </c>
      <c r="D118" s="136" t="s">
        <v>229</v>
      </c>
      <c r="E118" s="136" t="s">
        <v>230</v>
      </c>
      <c r="F118" s="137">
        <v>10</v>
      </c>
      <c r="G118" s="136" t="s">
        <v>19</v>
      </c>
      <c r="H118" s="136" t="s">
        <v>14</v>
      </c>
      <c r="I118" s="136" t="s">
        <v>15</v>
      </c>
      <c r="J118" s="136" t="s">
        <v>16</v>
      </c>
      <c r="K118" s="138">
        <v>70</v>
      </c>
      <c r="L118" s="89"/>
      <c r="M118" s="89"/>
    </row>
    <row r="119" spans="1:13" x14ac:dyDescent="0.25">
      <c r="A119" s="135">
        <v>46285.172476851854</v>
      </c>
      <c r="B119" s="136" t="s">
        <v>12</v>
      </c>
      <c r="C119" s="136" t="s">
        <v>201</v>
      </c>
      <c r="D119" s="136" t="s">
        <v>26</v>
      </c>
      <c r="E119" s="136" t="s">
        <v>27</v>
      </c>
      <c r="F119" s="137">
        <v>10</v>
      </c>
      <c r="G119" s="136" t="s">
        <v>19</v>
      </c>
      <c r="H119" s="136" t="s">
        <v>14</v>
      </c>
      <c r="I119" s="136" t="s">
        <v>15</v>
      </c>
      <c r="J119" s="136" t="s">
        <v>16</v>
      </c>
      <c r="K119" s="138">
        <v>136.69999999999999</v>
      </c>
      <c r="L119" s="89"/>
      <c r="M119" s="89"/>
    </row>
    <row r="120" spans="1:13" x14ac:dyDescent="0.25">
      <c r="A120" s="135">
        <v>46285.221597222226</v>
      </c>
      <c r="B120" s="136" t="s">
        <v>44</v>
      </c>
      <c r="C120" s="136" t="s">
        <v>18</v>
      </c>
      <c r="D120" s="136" t="s">
        <v>229</v>
      </c>
      <c r="E120" s="136" t="s">
        <v>230</v>
      </c>
      <c r="F120" s="137">
        <v>5</v>
      </c>
      <c r="G120" s="136" t="s">
        <v>28</v>
      </c>
      <c r="H120" s="136" t="s">
        <v>39</v>
      </c>
      <c r="I120" s="136" t="s">
        <v>15</v>
      </c>
      <c r="J120" s="136" t="s">
        <v>29</v>
      </c>
      <c r="K120" s="138">
        <v>44.85</v>
      </c>
      <c r="L120" s="89"/>
      <c r="M120" s="89"/>
    </row>
    <row r="121" spans="1:13" x14ac:dyDescent="0.25">
      <c r="A121" s="135">
        <v>46285.395590277774</v>
      </c>
      <c r="B121" s="136" t="s">
        <v>36</v>
      </c>
      <c r="C121" s="136" t="s">
        <v>204</v>
      </c>
      <c r="D121" s="136" t="s">
        <v>229</v>
      </c>
      <c r="E121" s="136" t="s">
        <v>230</v>
      </c>
      <c r="F121" s="137">
        <v>10</v>
      </c>
      <c r="G121" s="136" t="s">
        <v>13</v>
      </c>
      <c r="H121" s="136" t="s">
        <v>20</v>
      </c>
      <c r="I121" s="136" t="s">
        <v>15</v>
      </c>
      <c r="J121" s="136" t="s">
        <v>37</v>
      </c>
      <c r="K121" s="138">
        <v>87</v>
      </c>
      <c r="L121" s="89"/>
      <c r="M121" s="89"/>
    </row>
    <row r="122" spans="1:13" x14ac:dyDescent="0.25">
      <c r="A122" s="135">
        <v>46285.395775462966</v>
      </c>
      <c r="B122" s="136" t="s">
        <v>17</v>
      </c>
      <c r="C122" s="136" t="s">
        <v>18</v>
      </c>
      <c r="D122" s="136" t="s">
        <v>229</v>
      </c>
      <c r="E122" s="136" t="s">
        <v>230</v>
      </c>
      <c r="F122" s="137">
        <v>5</v>
      </c>
      <c r="G122" s="136" t="s">
        <v>28</v>
      </c>
      <c r="H122" s="136" t="s">
        <v>20</v>
      </c>
      <c r="I122" s="136" t="s">
        <v>15</v>
      </c>
      <c r="J122" s="136" t="s">
        <v>29</v>
      </c>
      <c r="K122" s="138">
        <v>47.8</v>
      </c>
      <c r="L122" s="89"/>
      <c r="M122" s="89"/>
    </row>
    <row r="123" spans="1:13" x14ac:dyDescent="0.25">
      <c r="A123" s="135">
        <v>46285.395949074074</v>
      </c>
      <c r="B123" s="136" t="s">
        <v>40</v>
      </c>
      <c r="C123" s="136" t="s">
        <v>209</v>
      </c>
      <c r="D123" s="136" t="s">
        <v>229</v>
      </c>
      <c r="E123" s="136" t="s">
        <v>230</v>
      </c>
      <c r="F123" s="137">
        <v>10</v>
      </c>
      <c r="G123" s="136" t="s">
        <v>13</v>
      </c>
      <c r="H123" s="136" t="s">
        <v>14</v>
      </c>
      <c r="I123" s="136" t="s">
        <v>15</v>
      </c>
      <c r="J123" s="136" t="s">
        <v>37</v>
      </c>
      <c r="K123" s="138">
        <v>188</v>
      </c>
      <c r="L123" s="89"/>
      <c r="M123" s="89"/>
    </row>
    <row r="124" spans="1:13" x14ac:dyDescent="0.25">
      <c r="A124" s="135">
        <v>46285.396134259259</v>
      </c>
      <c r="B124" s="136" t="s">
        <v>40</v>
      </c>
      <c r="C124" s="136" t="s">
        <v>209</v>
      </c>
      <c r="D124" s="136" t="s">
        <v>229</v>
      </c>
      <c r="E124" s="136" t="s">
        <v>230</v>
      </c>
      <c r="F124" s="137">
        <v>10</v>
      </c>
      <c r="G124" s="136" t="s">
        <v>13</v>
      </c>
      <c r="H124" s="136" t="s">
        <v>14</v>
      </c>
      <c r="I124" s="136" t="s">
        <v>15</v>
      </c>
      <c r="J124" s="136" t="s">
        <v>37</v>
      </c>
      <c r="K124" s="138">
        <v>188</v>
      </c>
      <c r="L124" s="89"/>
      <c r="M124" s="89"/>
    </row>
    <row r="125" spans="1:13" x14ac:dyDescent="0.25">
      <c r="A125" s="135">
        <v>46285.397696759261</v>
      </c>
      <c r="B125" s="136" t="s">
        <v>41</v>
      </c>
      <c r="C125" s="136" t="s">
        <v>205</v>
      </c>
      <c r="D125" s="136" t="s">
        <v>229</v>
      </c>
      <c r="E125" s="136" t="s">
        <v>230</v>
      </c>
      <c r="F125" s="137">
        <v>10</v>
      </c>
      <c r="G125" s="136" t="s">
        <v>13</v>
      </c>
      <c r="H125" s="136" t="s">
        <v>20</v>
      </c>
      <c r="I125" s="136" t="s">
        <v>15</v>
      </c>
      <c r="J125" s="136" t="s">
        <v>37</v>
      </c>
      <c r="K125" s="138">
        <v>138.80000000000001</v>
      </c>
      <c r="L125" s="89"/>
      <c r="M125" s="89"/>
    </row>
    <row r="126" spans="1:13" x14ac:dyDescent="0.25">
      <c r="A126" s="135">
        <v>46285.397858796299</v>
      </c>
      <c r="B126" s="136" t="s">
        <v>35</v>
      </c>
      <c r="C126" s="136" t="s">
        <v>205</v>
      </c>
      <c r="D126" s="136" t="s">
        <v>229</v>
      </c>
      <c r="E126" s="136" t="s">
        <v>230</v>
      </c>
      <c r="F126" s="137">
        <v>10</v>
      </c>
      <c r="G126" s="136" t="s">
        <v>13</v>
      </c>
      <c r="H126" s="136" t="s">
        <v>20</v>
      </c>
      <c r="I126" s="136" t="s">
        <v>15</v>
      </c>
      <c r="J126" s="136" t="s">
        <v>37</v>
      </c>
      <c r="K126" s="138">
        <v>118.7</v>
      </c>
      <c r="L126" s="89"/>
      <c r="M126" s="89"/>
    </row>
    <row r="127" spans="1:13" x14ac:dyDescent="0.25">
      <c r="A127" s="135">
        <v>46285.777106481481</v>
      </c>
      <c r="B127" s="136" t="s">
        <v>22</v>
      </c>
      <c r="C127" s="136" t="s">
        <v>202</v>
      </c>
      <c r="D127" s="136" t="s">
        <v>207</v>
      </c>
      <c r="E127" s="136" t="s">
        <v>208</v>
      </c>
      <c r="F127" s="137">
        <v>10</v>
      </c>
      <c r="G127" s="136" t="s">
        <v>13</v>
      </c>
      <c r="H127" s="136" t="s">
        <v>14</v>
      </c>
      <c r="I127" s="136" t="s">
        <v>15</v>
      </c>
      <c r="J127" s="136" t="s">
        <v>37</v>
      </c>
      <c r="K127" s="138">
        <v>70</v>
      </c>
      <c r="L127" s="89"/>
      <c r="M127" s="89"/>
    </row>
    <row r="128" spans="1:13" x14ac:dyDescent="0.25">
      <c r="A128" s="135">
        <v>46285.777581018519</v>
      </c>
      <c r="B128" s="136" t="s">
        <v>22</v>
      </c>
      <c r="C128" s="136" t="s">
        <v>202</v>
      </c>
      <c r="D128" s="136" t="s">
        <v>207</v>
      </c>
      <c r="E128" s="136" t="s">
        <v>208</v>
      </c>
      <c r="F128" s="137">
        <v>10</v>
      </c>
      <c r="G128" s="136" t="s">
        <v>13</v>
      </c>
      <c r="H128" s="136" t="s">
        <v>39</v>
      </c>
      <c r="I128" s="136" t="s">
        <v>15</v>
      </c>
      <c r="J128" s="136" t="s">
        <v>37</v>
      </c>
      <c r="K128" s="138">
        <v>70</v>
      </c>
      <c r="L128" s="89"/>
      <c r="M128" s="89"/>
    </row>
    <row r="129" spans="1:13" x14ac:dyDescent="0.25">
      <c r="A129" s="135">
        <v>46285.779699074075</v>
      </c>
      <c r="B129" s="136" t="s">
        <v>294</v>
      </c>
      <c r="C129" s="136" t="s">
        <v>295</v>
      </c>
      <c r="D129" s="136" t="s">
        <v>207</v>
      </c>
      <c r="E129" s="136" t="s">
        <v>208</v>
      </c>
      <c r="F129" s="137">
        <v>5</v>
      </c>
      <c r="G129" s="136" t="s">
        <v>19</v>
      </c>
      <c r="H129" s="136" t="s">
        <v>39</v>
      </c>
      <c r="I129" s="136" t="s">
        <v>15</v>
      </c>
      <c r="J129" s="136" t="s">
        <v>16</v>
      </c>
      <c r="K129" s="138">
        <v>40</v>
      </c>
      <c r="L129" s="89"/>
      <c r="M129" s="89"/>
    </row>
    <row r="130" spans="1:13" x14ac:dyDescent="0.25">
      <c r="A130" s="135">
        <v>46285.806157407409</v>
      </c>
      <c r="B130" s="136" t="s">
        <v>294</v>
      </c>
      <c r="C130" s="136" t="s">
        <v>295</v>
      </c>
      <c r="D130" s="136" t="s">
        <v>26</v>
      </c>
      <c r="E130" s="136" t="s">
        <v>27</v>
      </c>
      <c r="F130" s="137">
        <v>5</v>
      </c>
      <c r="G130" s="136" t="s">
        <v>19</v>
      </c>
      <c r="H130" s="136" t="s">
        <v>39</v>
      </c>
      <c r="I130" s="136" t="s">
        <v>15</v>
      </c>
      <c r="J130" s="136" t="s">
        <v>16</v>
      </c>
      <c r="K130" s="138">
        <v>40</v>
      </c>
      <c r="L130" s="89"/>
      <c r="M130" s="89"/>
    </row>
    <row r="131" spans="1:13" x14ac:dyDescent="0.25">
      <c r="A131" s="135">
        <v>46285.806307870371</v>
      </c>
      <c r="B131" s="136" t="s">
        <v>294</v>
      </c>
      <c r="C131" s="136" t="s">
        <v>295</v>
      </c>
      <c r="D131" s="136" t="s">
        <v>26</v>
      </c>
      <c r="E131" s="136" t="s">
        <v>27</v>
      </c>
      <c r="F131" s="137">
        <v>5</v>
      </c>
      <c r="G131" s="136" t="s">
        <v>19</v>
      </c>
      <c r="H131" s="136" t="s">
        <v>39</v>
      </c>
      <c r="I131" s="136" t="s">
        <v>15</v>
      </c>
      <c r="J131" s="136" t="s">
        <v>16</v>
      </c>
      <c r="K131" s="138">
        <v>40</v>
      </c>
      <c r="L131" s="89"/>
      <c r="M131" s="89"/>
    </row>
    <row r="132" spans="1:13" x14ac:dyDescent="0.25">
      <c r="A132" s="135">
        <v>46285.848796296297</v>
      </c>
      <c r="B132" s="136" t="s">
        <v>17</v>
      </c>
      <c r="C132" s="136" t="s">
        <v>18</v>
      </c>
      <c r="D132" s="136" t="s">
        <v>26</v>
      </c>
      <c r="E132" s="136" t="s">
        <v>27</v>
      </c>
      <c r="F132" s="137">
        <v>5</v>
      </c>
      <c r="G132" s="136" t="s">
        <v>19</v>
      </c>
      <c r="H132" s="136" t="s">
        <v>20</v>
      </c>
      <c r="I132" s="136" t="s">
        <v>15</v>
      </c>
      <c r="J132" s="136" t="s">
        <v>16</v>
      </c>
      <c r="K132" s="138">
        <v>47.8</v>
      </c>
      <c r="L132" s="89"/>
      <c r="M132" s="89"/>
    </row>
    <row r="133" spans="1:13" x14ac:dyDescent="0.25">
      <c r="A133" s="135">
        <v>46285.848935185182</v>
      </c>
      <c r="B133" s="136" t="s">
        <v>17</v>
      </c>
      <c r="C133" s="136" t="s">
        <v>18</v>
      </c>
      <c r="D133" s="136" t="s">
        <v>26</v>
      </c>
      <c r="E133" s="136" t="s">
        <v>27</v>
      </c>
      <c r="F133" s="137">
        <v>5</v>
      </c>
      <c r="G133" s="136" t="s">
        <v>19</v>
      </c>
      <c r="H133" s="136" t="s">
        <v>20</v>
      </c>
      <c r="I133" s="136" t="s">
        <v>15</v>
      </c>
      <c r="J133" s="136" t="s">
        <v>16</v>
      </c>
      <c r="K133" s="138">
        <v>47.8</v>
      </c>
      <c r="L133" s="89"/>
      <c r="M133" s="89"/>
    </row>
    <row r="134" spans="1:13" x14ac:dyDescent="0.25">
      <c r="A134" s="135">
        <v>46285.849097222221</v>
      </c>
      <c r="B134" s="136" t="s">
        <v>35</v>
      </c>
      <c r="C134" s="136" t="s">
        <v>205</v>
      </c>
      <c r="D134" s="136" t="s">
        <v>26</v>
      </c>
      <c r="E134" s="136" t="s">
        <v>27</v>
      </c>
      <c r="F134" s="137">
        <v>10</v>
      </c>
      <c r="G134" s="136" t="s">
        <v>19</v>
      </c>
      <c r="H134" s="136" t="s">
        <v>20</v>
      </c>
      <c r="I134" s="136" t="s">
        <v>15</v>
      </c>
      <c r="J134" s="136" t="s">
        <v>16</v>
      </c>
      <c r="K134" s="138">
        <v>118.7</v>
      </c>
      <c r="L134" s="89"/>
      <c r="M134" s="89"/>
    </row>
    <row r="135" spans="1:13" x14ac:dyDescent="0.25">
      <c r="A135" s="135">
        <v>46285.849236111113</v>
      </c>
      <c r="B135" s="136" t="s">
        <v>22</v>
      </c>
      <c r="C135" s="136" t="s">
        <v>202</v>
      </c>
      <c r="D135" s="136" t="s">
        <v>26</v>
      </c>
      <c r="E135" s="136" t="s">
        <v>27</v>
      </c>
      <c r="F135" s="137">
        <v>10</v>
      </c>
      <c r="G135" s="136" t="s">
        <v>13</v>
      </c>
      <c r="H135" s="136" t="s">
        <v>14</v>
      </c>
      <c r="I135" s="136" t="s">
        <v>15</v>
      </c>
      <c r="J135" s="136" t="s">
        <v>16</v>
      </c>
      <c r="K135" s="138">
        <v>70</v>
      </c>
      <c r="L135" s="89"/>
      <c r="M135" s="89"/>
    </row>
    <row r="136" spans="1:13" x14ac:dyDescent="0.25">
      <c r="A136" s="135">
        <v>46285.891250000001</v>
      </c>
      <c r="B136" s="136" t="s">
        <v>294</v>
      </c>
      <c r="C136" s="136" t="s">
        <v>295</v>
      </c>
      <c r="D136" s="136" t="s">
        <v>207</v>
      </c>
      <c r="E136" s="136" t="s">
        <v>208</v>
      </c>
      <c r="F136" s="137">
        <v>5</v>
      </c>
      <c r="G136" s="136" t="s">
        <v>19</v>
      </c>
      <c r="H136" s="136" t="s">
        <v>39</v>
      </c>
      <c r="I136" s="136" t="s">
        <v>15</v>
      </c>
      <c r="J136" s="136" t="s">
        <v>16</v>
      </c>
      <c r="K136" s="138">
        <v>40</v>
      </c>
      <c r="L136" s="89"/>
      <c r="M136" s="89"/>
    </row>
    <row r="137" spans="1:13" x14ac:dyDescent="0.25">
      <c r="A137" s="135">
        <v>46285.891539351855</v>
      </c>
      <c r="B137" s="136" t="s">
        <v>240</v>
      </c>
      <c r="C137" s="136" t="s">
        <v>241</v>
      </c>
      <c r="D137" s="136" t="s">
        <v>207</v>
      </c>
      <c r="E137" s="136" t="s">
        <v>208</v>
      </c>
      <c r="F137" s="137">
        <v>5</v>
      </c>
      <c r="G137" s="136" t="s">
        <v>19</v>
      </c>
      <c r="H137" s="136" t="s">
        <v>39</v>
      </c>
      <c r="I137" s="136" t="s">
        <v>15</v>
      </c>
      <c r="J137" s="136" t="s">
        <v>16</v>
      </c>
      <c r="K137" s="138">
        <v>40</v>
      </c>
      <c r="L137" s="89"/>
      <c r="M137" s="89"/>
    </row>
    <row r="138" spans="1:13" x14ac:dyDescent="0.25">
      <c r="A138" s="135"/>
      <c r="B138" s="136"/>
      <c r="C138" s="136"/>
      <c r="D138" s="136"/>
      <c r="E138" s="136"/>
      <c r="F138" s="137"/>
      <c r="G138" s="136"/>
      <c r="H138" s="136"/>
      <c r="I138" s="136"/>
      <c r="J138" s="136"/>
      <c r="K138" s="138"/>
      <c r="L138" s="89"/>
      <c r="M138" s="89"/>
    </row>
    <row r="139" spans="1:13" x14ac:dyDescent="0.25">
      <c r="A139" s="135"/>
      <c r="B139" s="136"/>
      <c r="C139" s="136"/>
      <c r="D139" s="136"/>
      <c r="E139" s="136"/>
      <c r="F139" s="137"/>
      <c r="G139" s="136"/>
      <c r="H139" s="136"/>
      <c r="I139" s="136"/>
      <c r="J139" s="136"/>
      <c r="K139" s="138"/>
      <c r="L139" s="89"/>
      <c r="M139" s="89"/>
    </row>
    <row r="140" spans="1:13" x14ac:dyDescent="0.25">
      <c r="A140" s="135"/>
      <c r="B140" s="136"/>
      <c r="C140" s="136"/>
      <c r="D140" s="136"/>
      <c r="E140" s="136"/>
      <c r="F140" s="137"/>
      <c r="G140" s="136"/>
      <c r="H140" s="136"/>
      <c r="I140" s="136"/>
      <c r="J140" s="136"/>
      <c r="K140" s="138"/>
      <c r="L140" s="89"/>
      <c r="M140" s="89"/>
    </row>
    <row r="141" spans="1:13" x14ac:dyDescent="0.25">
      <c r="A141" s="135"/>
      <c r="B141" s="136"/>
      <c r="C141" s="136"/>
      <c r="D141" s="136"/>
      <c r="E141" s="136"/>
      <c r="F141" s="137"/>
      <c r="G141" s="136"/>
      <c r="H141" s="136"/>
      <c r="I141" s="136"/>
      <c r="J141" s="136"/>
      <c r="K141" s="138"/>
      <c r="L141" s="89"/>
      <c r="M141" s="89"/>
    </row>
    <row r="142" spans="1:13" x14ac:dyDescent="0.25">
      <c r="A142" s="135"/>
      <c r="B142" s="136"/>
      <c r="C142" s="136"/>
      <c r="D142" s="136"/>
      <c r="E142" s="136"/>
      <c r="F142" s="137"/>
      <c r="G142" s="136"/>
      <c r="H142" s="136"/>
      <c r="I142" s="136"/>
      <c r="J142" s="136"/>
      <c r="K142" s="138"/>
      <c r="L142" s="89"/>
      <c r="M142" s="89"/>
    </row>
    <row r="143" spans="1:13" x14ac:dyDescent="0.25">
      <c r="A143" s="135"/>
      <c r="B143" s="136"/>
      <c r="C143" s="136"/>
      <c r="D143" s="136"/>
      <c r="E143" s="136"/>
      <c r="F143" s="137"/>
      <c r="G143" s="136"/>
      <c r="H143" s="136"/>
      <c r="I143" s="136"/>
      <c r="J143" s="136"/>
      <c r="K143" s="138"/>
      <c r="L143" s="89"/>
      <c r="M143" s="89"/>
    </row>
    <row r="144" spans="1:13" x14ac:dyDescent="0.25">
      <c r="A144" s="135"/>
      <c r="B144" s="136"/>
      <c r="C144" s="136"/>
      <c r="D144" s="136"/>
      <c r="E144" s="136"/>
      <c r="F144" s="137"/>
      <c r="G144" s="136"/>
      <c r="H144" s="136"/>
      <c r="I144" s="136"/>
      <c r="J144" s="136"/>
      <c r="K144" s="138"/>
      <c r="L144" s="89"/>
      <c r="M144" s="89"/>
    </row>
    <row r="145" spans="1:13" x14ac:dyDescent="0.25">
      <c r="A145" s="135"/>
      <c r="B145" s="136"/>
      <c r="C145" s="136"/>
      <c r="D145" s="136"/>
      <c r="E145" s="136"/>
      <c r="F145" s="137"/>
      <c r="G145" s="136"/>
      <c r="H145" s="136"/>
      <c r="I145" s="136"/>
      <c r="J145" s="136"/>
      <c r="K145" s="138"/>
      <c r="L145" s="89"/>
      <c r="M145" s="89"/>
    </row>
    <row r="146" spans="1:13" x14ac:dyDescent="0.25">
      <c r="A146" s="97"/>
      <c r="B146" s="98"/>
      <c r="C146" s="98"/>
      <c r="D146" s="98"/>
      <c r="E146" s="98"/>
      <c r="F146" s="99"/>
      <c r="G146" s="98"/>
      <c r="H146" s="98"/>
      <c r="I146" s="98"/>
      <c r="J146" s="98"/>
      <c r="K146" s="100"/>
      <c r="L146" s="89"/>
      <c r="M146" s="89"/>
    </row>
    <row r="147" spans="1:13" x14ac:dyDescent="0.25">
      <c r="A147" s="97"/>
      <c r="B147" s="98"/>
      <c r="C147" s="98"/>
      <c r="D147" s="98"/>
      <c r="E147" s="98"/>
      <c r="F147" s="99"/>
      <c r="G147" s="98"/>
      <c r="H147" s="98"/>
      <c r="I147" s="98"/>
      <c r="J147" s="98"/>
      <c r="K147" s="100"/>
      <c r="L147" s="89"/>
      <c r="M147" s="89"/>
    </row>
    <row r="148" spans="1:13" x14ac:dyDescent="0.25">
      <c r="A148" s="97"/>
      <c r="B148" s="98"/>
      <c r="C148" s="98"/>
      <c r="D148" s="98"/>
      <c r="E148" s="98"/>
      <c r="F148" s="99"/>
      <c r="G148" s="98"/>
      <c r="H148" s="98"/>
      <c r="I148" s="98"/>
      <c r="J148" s="98"/>
      <c r="K148" s="100"/>
      <c r="L148" s="89"/>
      <c r="M148" s="89"/>
    </row>
    <row r="149" spans="1:13" x14ac:dyDescent="0.25">
      <c r="A149" s="97"/>
      <c r="B149" s="98"/>
      <c r="C149" s="98"/>
      <c r="D149" s="98"/>
      <c r="E149" s="98"/>
      <c r="F149" s="99"/>
      <c r="G149" s="98"/>
      <c r="H149" s="98"/>
      <c r="I149" s="98"/>
      <c r="J149" s="98"/>
      <c r="K149" s="100"/>
      <c r="L149" s="89"/>
      <c r="M149" s="89"/>
    </row>
    <row r="150" spans="1:13" x14ac:dyDescent="0.25">
      <c r="A150" s="97"/>
      <c r="B150" s="98"/>
      <c r="C150" s="98"/>
      <c r="D150" s="98"/>
      <c r="E150" s="98"/>
      <c r="F150" s="99"/>
      <c r="G150" s="98"/>
      <c r="H150" s="98"/>
      <c r="I150" s="98"/>
      <c r="J150" s="98"/>
      <c r="K150" s="100"/>
      <c r="L150" s="89"/>
      <c r="M150" s="89"/>
    </row>
    <row r="151" spans="1:13" x14ac:dyDescent="0.25">
      <c r="A151" s="97"/>
      <c r="B151" s="98"/>
      <c r="C151" s="98"/>
      <c r="D151" s="98"/>
      <c r="E151" s="98"/>
      <c r="F151" s="99"/>
      <c r="G151" s="98"/>
      <c r="H151" s="98"/>
      <c r="I151" s="98"/>
      <c r="J151" s="98"/>
      <c r="K151" s="100"/>
      <c r="L151" s="89"/>
      <c r="M151" s="89"/>
    </row>
    <row r="152" spans="1:13" x14ac:dyDescent="0.25">
      <c r="A152" s="97"/>
      <c r="B152" s="98"/>
      <c r="C152" s="98"/>
      <c r="D152" s="98"/>
      <c r="E152" s="98"/>
      <c r="F152" s="99"/>
      <c r="G152" s="98"/>
      <c r="H152" s="98"/>
      <c r="I152" s="98"/>
      <c r="J152" s="98"/>
      <c r="K152" s="100"/>
      <c r="L152" s="89"/>
      <c r="M152" s="89"/>
    </row>
    <row r="153" spans="1:13" x14ac:dyDescent="0.25">
      <c r="A153" s="97"/>
      <c r="B153" s="98"/>
      <c r="C153" s="98"/>
      <c r="D153" s="98"/>
      <c r="E153" s="98"/>
      <c r="F153" s="99"/>
      <c r="G153" s="98"/>
      <c r="H153" s="98"/>
      <c r="I153" s="98"/>
      <c r="J153" s="98"/>
      <c r="K153" s="100"/>
      <c r="L153" s="89"/>
      <c r="M153" s="89"/>
    </row>
    <row r="154" spans="1:13" x14ac:dyDescent="0.25">
      <c r="A154" s="97"/>
      <c r="B154" s="98"/>
      <c r="C154" s="98"/>
      <c r="D154" s="98"/>
      <c r="E154" s="98"/>
      <c r="F154" s="99"/>
      <c r="G154" s="98"/>
      <c r="H154" s="98"/>
      <c r="I154" s="98"/>
      <c r="J154" s="98"/>
      <c r="K154" s="100"/>
      <c r="L154" s="89"/>
      <c r="M154" s="89"/>
    </row>
    <row r="155" spans="1:13" x14ac:dyDescent="0.25">
      <c r="A155" s="97"/>
      <c r="B155" s="98"/>
      <c r="C155" s="98"/>
      <c r="D155" s="98"/>
      <c r="E155" s="98"/>
      <c r="F155" s="99"/>
      <c r="G155" s="98"/>
      <c r="H155" s="98"/>
      <c r="I155" s="98"/>
      <c r="J155" s="98"/>
      <c r="K155" s="100"/>
      <c r="L155" s="89"/>
      <c r="M155" s="89"/>
    </row>
    <row r="156" spans="1:13" x14ac:dyDescent="0.25">
      <c r="A156" s="97"/>
      <c r="B156" s="98"/>
      <c r="C156" s="98"/>
      <c r="D156" s="98"/>
      <c r="E156" s="98"/>
      <c r="F156" s="99"/>
      <c r="G156" s="98"/>
      <c r="H156" s="98"/>
      <c r="I156" s="98"/>
      <c r="J156" s="98"/>
      <c r="K156" s="100"/>
      <c r="L156" s="89"/>
      <c r="M156" s="89"/>
    </row>
    <row r="157" spans="1:13" x14ac:dyDescent="0.25">
      <c r="A157" s="97"/>
      <c r="B157" s="98"/>
      <c r="C157" s="98"/>
      <c r="D157" s="98"/>
      <c r="E157" s="98"/>
      <c r="F157" s="99"/>
      <c r="G157" s="98"/>
      <c r="H157" s="98"/>
      <c r="I157" s="98"/>
      <c r="J157" s="98"/>
      <c r="K157" s="100"/>
      <c r="L157" s="89"/>
      <c r="M157" s="89"/>
    </row>
    <row r="158" spans="1:13" x14ac:dyDescent="0.25">
      <c r="A158" s="97"/>
      <c r="B158" s="98"/>
      <c r="C158" s="98"/>
      <c r="D158" s="98"/>
      <c r="E158" s="98"/>
      <c r="F158" s="99"/>
      <c r="G158" s="98"/>
      <c r="H158" s="98"/>
      <c r="I158" s="98"/>
      <c r="J158" s="98"/>
      <c r="K158" s="100"/>
      <c r="L158" s="89"/>
      <c r="M158" s="89"/>
    </row>
    <row r="159" spans="1:13" x14ac:dyDescent="0.25">
      <c r="A159" s="97"/>
      <c r="B159" s="98"/>
      <c r="C159" s="98"/>
      <c r="D159" s="98"/>
      <c r="E159" s="98"/>
      <c r="F159" s="99"/>
      <c r="G159" s="98"/>
      <c r="H159" s="98"/>
      <c r="I159" s="98"/>
      <c r="J159" s="98"/>
      <c r="K159" s="100"/>
      <c r="L159" s="89"/>
      <c r="M159" s="89"/>
    </row>
    <row r="160" spans="1:13" x14ac:dyDescent="0.25">
      <c r="A160" s="97"/>
      <c r="B160" s="98"/>
      <c r="C160" s="98"/>
      <c r="D160" s="98"/>
      <c r="E160" s="98"/>
      <c r="F160" s="99"/>
      <c r="G160" s="98"/>
      <c r="H160" s="98"/>
      <c r="I160" s="98"/>
      <c r="J160" s="98"/>
      <c r="K160" s="100"/>
      <c r="L160" s="89"/>
      <c r="M160" s="89"/>
    </row>
    <row r="161" spans="1:13" x14ac:dyDescent="0.25">
      <c r="A161" s="97"/>
      <c r="B161" s="98"/>
      <c r="C161" s="98"/>
      <c r="D161" s="98"/>
      <c r="E161" s="98"/>
      <c r="F161" s="99"/>
      <c r="G161" s="98"/>
      <c r="H161" s="98"/>
      <c r="I161" s="98"/>
      <c r="J161" s="98"/>
      <c r="K161" s="100"/>
      <c r="L161" s="89"/>
      <c r="M161" s="89"/>
    </row>
    <row r="162" spans="1:13" x14ac:dyDescent="0.25">
      <c r="A162" s="97"/>
      <c r="B162" s="98"/>
      <c r="C162" s="98"/>
      <c r="D162" s="98"/>
      <c r="E162" s="98"/>
      <c r="F162" s="99"/>
      <c r="G162" s="98"/>
      <c r="H162" s="98"/>
      <c r="I162" s="98"/>
      <c r="J162" s="98"/>
      <c r="K162" s="100"/>
      <c r="L162" s="89"/>
      <c r="M162" s="89"/>
    </row>
    <row r="163" spans="1:13" x14ac:dyDescent="0.25">
      <c r="A163" s="97"/>
      <c r="B163" s="98"/>
      <c r="C163" s="98"/>
      <c r="D163" s="98"/>
      <c r="E163" s="98"/>
      <c r="F163" s="99"/>
      <c r="G163" s="98"/>
      <c r="H163" s="98"/>
      <c r="I163" s="98"/>
      <c r="J163" s="98"/>
      <c r="K163" s="100"/>
      <c r="L163" s="89"/>
      <c r="M163" s="89"/>
    </row>
    <row r="164" spans="1:13" x14ac:dyDescent="0.25">
      <c r="A164" s="97"/>
      <c r="B164" s="98"/>
      <c r="C164" s="98"/>
      <c r="D164" s="98"/>
      <c r="E164" s="98"/>
      <c r="F164" s="99"/>
      <c r="G164" s="98"/>
      <c r="H164" s="98"/>
      <c r="I164" s="98"/>
      <c r="J164" s="98"/>
      <c r="K164" s="100"/>
      <c r="L164" s="89"/>
      <c r="M164" s="89"/>
    </row>
    <row r="165" spans="1:13" x14ac:dyDescent="0.25">
      <c r="A165" s="97"/>
      <c r="B165" s="98"/>
      <c r="C165" s="98"/>
      <c r="D165" s="98"/>
      <c r="E165" s="98"/>
      <c r="F165" s="99"/>
      <c r="G165" s="98"/>
      <c r="H165" s="98"/>
      <c r="I165" s="98"/>
      <c r="J165" s="98"/>
      <c r="K165" s="100"/>
      <c r="L165" s="89"/>
      <c r="M165" s="89"/>
    </row>
    <row r="166" spans="1:13" x14ac:dyDescent="0.25">
      <c r="A166" s="97"/>
      <c r="B166" s="98"/>
      <c r="C166" s="98"/>
      <c r="D166" s="98"/>
      <c r="E166" s="98"/>
      <c r="F166" s="99"/>
      <c r="G166" s="98"/>
      <c r="H166" s="98"/>
      <c r="I166" s="98"/>
      <c r="J166" s="98"/>
      <c r="K166" s="100"/>
      <c r="L166" s="89"/>
      <c r="M166" s="89"/>
    </row>
    <row r="167" spans="1:13" x14ac:dyDescent="0.25">
      <c r="A167" s="97"/>
      <c r="B167" s="98"/>
      <c r="C167" s="98"/>
      <c r="D167" s="98"/>
      <c r="E167" s="98"/>
      <c r="F167" s="99"/>
      <c r="G167" s="98"/>
      <c r="H167" s="98"/>
      <c r="I167" s="98"/>
      <c r="J167" s="98"/>
      <c r="K167" s="100"/>
      <c r="L167" s="89"/>
      <c r="M167" s="89"/>
    </row>
    <row r="168" spans="1:13" x14ac:dyDescent="0.25">
      <c r="A168" s="97"/>
      <c r="B168" s="98"/>
      <c r="C168" s="98"/>
      <c r="D168" s="98"/>
      <c r="E168" s="98"/>
      <c r="F168" s="99"/>
      <c r="G168" s="98"/>
      <c r="H168" s="98"/>
      <c r="I168" s="98"/>
      <c r="J168" s="98"/>
      <c r="K168" s="100"/>
      <c r="L168" s="89"/>
      <c r="M168" s="89"/>
    </row>
    <row r="169" spans="1:13" x14ac:dyDescent="0.25">
      <c r="A169" s="97"/>
      <c r="B169" s="98"/>
      <c r="C169" s="98"/>
      <c r="D169" s="98"/>
      <c r="E169" s="98"/>
      <c r="F169" s="99"/>
      <c r="G169" s="98"/>
      <c r="H169" s="98"/>
      <c r="I169" s="98"/>
      <c r="J169" s="98"/>
      <c r="K169" s="100"/>
      <c r="L169" s="89"/>
      <c r="M169" s="89"/>
    </row>
    <row r="170" spans="1:13" x14ac:dyDescent="0.25">
      <c r="A170" s="97"/>
      <c r="B170" s="98"/>
      <c r="C170" s="98"/>
      <c r="D170" s="98"/>
      <c r="E170" s="98"/>
      <c r="F170" s="99"/>
      <c r="G170" s="98"/>
      <c r="H170" s="98"/>
      <c r="I170" s="98"/>
      <c r="J170" s="98"/>
      <c r="K170" s="100"/>
      <c r="L170" s="89"/>
      <c r="M170" s="89"/>
    </row>
    <row r="171" spans="1:13" x14ac:dyDescent="0.25">
      <c r="A171" s="97"/>
      <c r="B171" s="98"/>
      <c r="C171" s="98"/>
      <c r="D171" s="98"/>
      <c r="E171" s="98"/>
      <c r="F171" s="99"/>
      <c r="G171" s="98"/>
      <c r="H171" s="98"/>
      <c r="I171" s="98"/>
      <c r="J171" s="98"/>
      <c r="K171" s="100"/>
      <c r="L171" s="89"/>
      <c r="M171" s="89"/>
    </row>
    <row r="172" spans="1:13" x14ac:dyDescent="0.25">
      <c r="A172" s="97"/>
      <c r="B172" s="98"/>
      <c r="C172" s="98"/>
      <c r="D172" s="98"/>
      <c r="E172" s="98"/>
      <c r="F172" s="99"/>
      <c r="G172" s="98"/>
      <c r="H172" s="98"/>
      <c r="I172" s="98"/>
      <c r="J172" s="98"/>
      <c r="K172" s="100"/>
      <c r="L172" s="89"/>
      <c r="M172" s="89"/>
    </row>
    <row r="173" spans="1:13" x14ac:dyDescent="0.25">
      <c r="A173" s="97"/>
      <c r="B173" s="98"/>
      <c r="C173" s="98"/>
      <c r="D173" s="98"/>
      <c r="E173" s="98"/>
      <c r="F173" s="99"/>
      <c r="G173" s="98"/>
      <c r="H173" s="98"/>
      <c r="I173" s="98"/>
      <c r="J173" s="98"/>
      <c r="K173" s="100"/>
      <c r="L173" s="89"/>
      <c r="M173" s="89"/>
    </row>
    <row r="174" spans="1:13" x14ac:dyDescent="0.25">
      <c r="A174" s="97"/>
      <c r="B174" s="98"/>
      <c r="C174" s="98"/>
      <c r="D174" s="98"/>
      <c r="E174" s="98"/>
      <c r="F174" s="99"/>
      <c r="G174" s="98"/>
      <c r="H174" s="98"/>
      <c r="I174" s="98"/>
      <c r="J174" s="98"/>
      <c r="K174" s="100"/>
      <c r="L174" s="89"/>
      <c r="M174" s="89"/>
    </row>
    <row r="175" spans="1:13" x14ac:dyDescent="0.25">
      <c r="A175" s="106"/>
      <c r="B175" s="107"/>
      <c r="C175" s="107"/>
      <c r="D175" s="107"/>
      <c r="E175" s="107"/>
      <c r="F175" s="108"/>
      <c r="G175" s="107"/>
      <c r="H175" s="107"/>
      <c r="I175" s="107"/>
      <c r="J175" s="107"/>
      <c r="K175" s="111"/>
      <c r="L175" s="89"/>
      <c r="M175" s="89"/>
    </row>
    <row r="176" spans="1:13" x14ac:dyDescent="0.25">
      <c r="A176" s="106"/>
      <c r="B176" s="107"/>
      <c r="C176" s="107"/>
      <c r="D176" s="107"/>
      <c r="E176" s="107"/>
      <c r="F176" s="108"/>
      <c r="G176" s="107"/>
      <c r="H176" s="107"/>
      <c r="I176" s="107"/>
      <c r="J176" s="107"/>
      <c r="K176" s="111"/>
      <c r="L176" s="89"/>
      <c r="M176" s="89"/>
    </row>
    <row r="177" spans="1:11" x14ac:dyDescent="0.25">
      <c r="A177" s="97"/>
      <c r="B177" s="98"/>
      <c r="C177" s="98"/>
      <c r="D177" s="98"/>
      <c r="E177" s="98"/>
      <c r="F177" s="99"/>
      <c r="G177" s="98"/>
      <c r="H177" s="98"/>
      <c r="I177" s="98"/>
      <c r="J177" s="98"/>
      <c r="K177" s="100"/>
    </row>
    <row r="178" spans="1:11" x14ac:dyDescent="0.25">
      <c r="A178" s="97"/>
      <c r="B178" s="98"/>
      <c r="C178" s="98"/>
      <c r="D178" s="98"/>
      <c r="E178" s="98"/>
      <c r="F178" s="99"/>
      <c r="G178" s="98"/>
      <c r="H178" s="98"/>
      <c r="I178" s="98"/>
      <c r="J178" s="98"/>
      <c r="K178" s="100"/>
    </row>
    <row r="179" spans="1:11" x14ac:dyDescent="0.25">
      <c r="A179" s="97"/>
      <c r="B179" s="98"/>
      <c r="C179" s="98"/>
      <c r="D179" s="98"/>
      <c r="E179" s="98"/>
      <c r="F179" s="99"/>
      <c r="G179" s="98"/>
      <c r="H179" s="98"/>
      <c r="I179" s="98"/>
      <c r="J179" s="98"/>
      <c r="K179" s="100"/>
    </row>
    <row r="180" spans="1:11" x14ac:dyDescent="0.25">
      <c r="A180" s="97"/>
      <c r="B180" s="98"/>
      <c r="C180" s="98"/>
      <c r="D180" s="98"/>
      <c r="E180" s="98"/>
      <c r="F180" s="99"/>
      <c r="G180" s="98"/>
      <c r="H180" s="98"/>
      <c r="I180" s="98"/>
      <c r="J180" s="98"/>
      <c r="K180" s="100"/>
    </row>
    <row r="181" spans="1:11" x14ac:dyDescent="0.25">
      <c r="A181" s="97"/>
      <c r="B181" s="98"/>
      <c r="C181" s="98"/>
      <c r="D181" s="98"/>
      <c r="E181" s="98"/>
      <c r="F181" s="99"/>
      <c r="G181" s="98"/>
      <c r="H181" s="98"/>
      <c r="I181" s="98"/>
      <c r="J181" s="98"/>
      <c r="K181" s="100"/>
    </row>
    <row r="182" spans="1:11" x14ac:dyDescent="0.25">
      <c r="A182" s="97"/>
      <c r="B182" s="98"/>
      <c r="C182" s="98"/>
      <c r="D182" s="98"/>
      <c r="E182" s="98"/>
      <c r="F182" s="99"/>
      <c r="G182" s="98"/>
      <c r="H182" s="98"/>
      <c r="I182" s="98"/>
      <c r="J182" s="98"/>
      <c r="K182" s="100"/>
    </row>
    <row r="183" spans="1:11" x14ac:dyDescent="0.25">
      <c r="A183" s="97"/>
      <c r="B183" s="98"/>
      <c r="C183" s="98"/>
      <c r="D183" s="98"/>
      <c r="E183" s="98"/>
      <c r="F183" s="99"/>
      <c r="G183" s="98"/>
      <c r="H183" s="98"/>
      <c r="I183" s="98"/>
      <c r="J183" s="98"/>
      <c r="K183" s="100"/>
    </row>
    <row r="184" spans="1:11" x14ac:dyDescent="0.25">
      <c r="A184" s="97"/>
      <c r="B184" s="98"/>
      <c r="C184" s="98"/>
      <c r="D184" s="98"/>
      <c r="E184" s="98"/>
      <c r="F184" s="99"/>
      <c r="G184" s="98"/>
      <c r="H184" s="98"/>
      <c r="I184" s="98"/>
      <c r="J184" s="98"/>
      <c r="K184" s="100"/>
    </row>
    <row r="185" spans="1:11" x14ac:dyDescent="0.25">
      <c r="A185" s="97"/>
      <c r="B185" s="98"/>
      <c r="C185" s="98"/>
      <c r="D185" s="98"/>
      <c r="E185" s="98"/>
      <c r="F185" s="99"/>
      <c r="G185" s="98"/>
      <c r="H185" s="98"/>
      <c r="I185" s="98"/>
      <c r="J185" s="98"/>
      <c r="K185" s="100"/>
    </row>
    <row r="186" spans="1:11" x14ac:dyDescent="0.25">
      <c r="A186" s="97"/>
      <c r="B186" s="98"/>
      <c r="C186" s="98"/>
      <c r="D186" s="98"/>
      <c r="E186" s="98"/>
      <c r="F186" s="99"/>
      <c r="G186" s="98"/>
      <c r="H186" s="98"/>
      <c r="I186" s="98"/>
      <c r="J186" s="98"/>
      <c r="K186" s="100"/>
    </row>
    <row r="187" spans="1:11" x14ac:dyDescent="0.25">
      <c r="A187" s="97"/>
      <c r="B187" s="98"/>
      <c r="C187" s="98"/>
      <c r="D187" s="98"/>
      <c r="E187" s="98"/>
      <c r="F187" s="99"/>
      <c r="G187" s="98"/>
      <c r="H187" s="98"/>
      <c r="I187" s="98"/>
      <c r="J187" s="98"/>
      <c r="K187" s="100"/>
    </row>
    <row r="188" spans="1:11" x14ac:dyDescent="0.25">
      <c r="A188" s="97"/>
      <c r="B188" s="98"/>
      <c r="C188" s="98"/>
      <c r="D188" s="98"/>
      <c r="E188" s="98"/>
      <c r="F188" s="99"/>
      <c r="G188" s="98"/>
      <c r="H188" s="98"/>
      <c r="I188" s="98"/>
      <c r="J188" s="98"/>
      <c r="K188" s="100"/>
    </row>
    <row r="189" spans="1:11" x14ac:dyDescent="0.25">
      <c r="A189" s="97"/>
      <c r="B189" s="98"/>
      <c r="C189" s="98"/>
      <c r="D189" s="98"/>
      <c r="E189" s="98"/>
      <c r="F189" s="99"/>
      <c r="G189" s="98"/>
      <c r="H189" s="98"/>
      <c r="I189" s="98"/>
      <c r="J189" s="98"/>
      <c r="K189" s="100"/>
    </row>
    <row r="190" spans="1:11" x14ac:dyDescent="0.25">
      <c r="A190" s="97"/>
      <c r="B190" s="98"/>
      <c r="C190" s="98"/>
      <c r="D190" s="98"/>
      <c r="E190" s="98"/>
      <c r="F190" s="99"/>
      <c r="G190" s="98"/>
      <c r="H190" s="98"/>
      <c r="I190" s="98"/>
      <c r="J190" s="98"/>
      <c r="K190" s="100"/>
    </row>
    <row r="191" spans="1:11" x14ac:dyDescent="0.25">
      <c r="A191" s="97"/>
      <c r="B191" s="98"/>
      <c r="C191" s="98"/>
      <c r="D191" s="98"/>
      <c r="E191" s="98"/>
      <c r="F191" s="99"/>
      <c r="G191" s="98"/>
      <c r="H191" s="98"/>
      <c r="I191" s="98"/>
      <c r="J191" s="98"/>
      <c r="K191" s="100"/>
    </row>
    <row r="192" spans="1:11" x14ac:dyDescent="0.25">
      <c r="A192" s="97"/>
      <c r="B192" s="98"/>
      <c r="C192" s="98"/>
      <c r="D192" s="98"/>
      <c r="E192" s="98"/>
      <c r="F192" s="99"/>
      <c r="G192" s="98"/>
      <c r="H192" s="98"/>
      <c r="I192" s="98"/>
      <c r="J192" s="98"/>
      <c r="K192" s="100"/>
    </row>
    <row r="193" spans="1:11" x14ac:dyDescent="0.25">
      <c r="A193" s="97"/>
      <c r="B193" s="98"/>
      <c r="C193" s="98"/>
      <c r="D193" s="98"/>
      <c r="E193" s="98"/>
      <c r="F193" s="99"/>
      <c r="G193" s="98"/>
      <c r="H193" s="98"/>
      <c r="I193" s="98"/>
      <c r="J193" s="98"/>
      <c r="K193" s="100"/>
    </row>
    <row r="194" spans="1:11" x14ac:dyDescent="0.25">
      <c r="A194" s="97"/>
      <c r="B194" s="98"/>
      <c r="C194" s="98"/>
      <c r="D194" s="98"/>
      <c r="E194" s="98"/>
      <c r="F194" s="99"/>
      <c r="G194" s="98"/>
      <c r="H194" s="98"/>
      <c r="I194" s="98"/>
      <c r="J194" s="98"/>
      <c r="K194" s="100"/>
    </row>
    <row r="195" spans="1:11" x14ac:dyDescent="0.25">
      <c r="A195" s="97"/>
      <c r="B195" s="98"/>
      <c r="C195" s="98"/>
      <c r="D195" s="98"/>
      <c r="E195" s="98"/>
      <c r="F195" s="99"/>
      <c r="G195" s="98"/>
      <c r="H195" s="98"/>
      <c r="I195" s="98"/>
      <c r="J195" s="98"/>
      <c r="K195" s="100"/>
    </row>
    <row r="196" spans="1:11" x14ac:dyDescent="0.25">
      <c r="A196" s="97"/>
      <c r="B196" s="98"/>
      <c r="C196" s="98"/>
      <c r="D196" s="98"/>
      <c r="E196" s="98"/>
      <c r="F196" s="99"/>
      <c r="G196" s="98"/>
      <c r="H196" s="98"/>
      <c r="I196" s="98"/>
      <c r="J196" s="98"/>
      <c r="K196" s="100"/>
    </row>
    <row r="197" spans="1:11" x14ac:dyDescent="0.25">
      <c r="A197" s="97"/>
      <c r="B197" s="98"/>
      <c r="C197" s="98"/>
      <c r="D197" s="98"/>
      <c r="E197" s="98"/>
      <c r="F197" s="103"/>
      <c r="G197" s="98"/>
      <c r="H197" s="98"/>
      <c r="I197" s="98"/>
      <c r="J197" s="98"/>
      <c r="K197" s="100"/>
    </row>
    <row r="198" spans="1:11" x14ac:dyDescent="0.25">
      <c r="A198" s="97"/>
      <c r="B198" s="98"/>
      <c r="C198" s="98"/>
      <c r="D198" s="98"/>
      <c r="E198" s="98"/>
      <c r="F198" s="103"/>
      <c r="G198" s="98"/>
      <c r="H198" s="98"/>
      <c r="I198" s="98"/>
      <c r="J198" s="98"/>
      <c r="K198" s="100"/>
    </row>
    <row r="199" spans="1:11" x14ac:dyDescent="0.25">
      <c r="A199" s="97"/>
      <c r="B199" s="98"/>
      <c r="C199" s="98"/>
      <c r="D199" s="98"/>
      <c r="E199" s="98"/>
      <c r="F199" s="103"/>
      <c r="G199" s="98"/>
      <c r="H199" s="98"/>
      <c r="I199" s="98"/>
      <c r="J199" s="98"/>
      <c r="K199" s="100"/>
    </row>
    <row r="200" spans="1:11" x14ac:dyDescent="0.25">
      <c r="A200" s="97"/>
      <c r="B200" s="98"/>
      <c r="C200" s="98"/>
      <c r="D200" s="98"/>
      <c r="E200" s="98"/>
      <c r="F200" s="103"/>
      <c r="G200" s="98"/>
      <c r="H200" s="98"/>
      <c r="I200" s="98"/>
      <c r="J200" s="98"/>
      <c r="K200" s="100"/>
    </row>
    <row r="201" spans="1:11" x14ac:dyDescent="0.25">
      <c r="A201" s="97"/>
      <c r="B201" s="98"/>
      <c r="C201" s="98"/>
      <c r="D201" s="98"/>
      <c r="E201" s="98"/>
      <c r="F201" s="103"/>
      <c r="G201" s="98"/>
      <c r="H201" s="98"/>
      <c r="I201" s="98"/>
      <c r="J201" s="98"/>
      <c r="K201" s="100"/>
    </row>
    <row r="202" spans="1:11" x14ac:dyDescent="0.25">
      <c r="A202" s="97"/>
      <c r="B202" s="98"/>
      <c r="C202" s="98"/>
      <c r="D202" s="98"/>
      <c r="E202" s="98"/>
      <c r="F202" s="103"/>
      <c r="G202" s="98"/>
      <c r="H202" s="98"/>
      <c r="I202" s="98"/>
      <c r="J202" s="98"/>
      <c r="K202" s="100"/>
    </row>
    <row r="203" spans="1:11" x14ac:dyDescent="0.25">
      <c r="A203" s="97"/>
      <c r="B203" s="98"/>
      <c r="C203" s="98"/>
      <c r="D203" s="98"/>
      <c r="E203" s="98"/>
      <c r="F203" s="103"/>
      <c r="G203" s="98"/>
      <c r="H203" s="98"/>
      <c r="I203" s="98"/>
      <c r="J203" s="98"/>
      <c r="K203" s="100"/>
    </row>
    <row r="204" spans="1:11" x14ac:dyDescent="0.25">
      <c r="A204" s="97"/>
      <c r="B204" s="98"/>
      <c r="C204" s="98"/>
      <c r="D204" s="98"/>
      <c r="E204" s="98"/>
      <c r="F204" s="99"/>
      <c r="G204" s="98"/>
      <c r="H204" s="98"/>
      <c r="I204" s="98"/>
      <c r="J204" s="98"/>
      <c r="K204" s="100"/>
    </row>
    <row r="205" spans="1:11" x14ac:dyDescent="0.25">
      <c r="A205" s="97"/>
      <c r="B205" s="98"/>
      <c r="C205" s="98"/>
      <c r="D205" s="98"/>
      <c r="E205" s="98"/>
      <c r="F205" s="99"/>
      <c r="G205" s="98"/>
      <c r="H205" s="98"/>
      <c r="I205" s="98"/>
      <c r="J205" s="98"/>
      <c r="K205" s="100"/>
    </row>
    <row r="206" spans="1:11" x14ac:dyDescent="0.25">
      <c r="A206" s="97"/>
      <c r="B206" s="98"/>
      <c r="C206" s="98"/>
      <c r="D206" s="98"/>
      <c r="E206" s="98"/>
      <c r="F206" s="99"/>
      <c r="G206" s="98"/>
      <c r="H206" s="98"/>
      <c r="I206" s="98"/>
      <c r="J206" s="98"/>
      <c r="K206" s="100"/>
    </row>
    <row r="207" spans="1:11" x14ac:dyDescent="0.25">
      <c r="A207" s="97"/>
      <c r="B207" s="98"/>
      <c r="C207" s="98"/>
      <c r="D207" s="98"/>
      <c r="E207" s="98"/>
      <c r="F207" s="99"/>
      <c r="G207" s="98"/>
      <c r="H207" s="98"/>
      <c r="I207" s="98"/>
      <c r="J207" s="98"/>
      <c r="K207" s="100"/>
    </row>
    <row r="208" spans="1:11" x14ac:dyDescent="0.25">
      <c r="A208" s="85"/>
    </row>
    <row r="209" spans="1:1" x14ac:dyDescent="0.25">
      <c r="A209" s="85"/>
    </row>
    <row r="210" spans="1:1" x14ac:dyDescent="0.25">
      <c r="A210" s="85"/>
    </row>
    <row r="211" spans="1:1" x14ac:dyDescent="0.25">
      <c r="A211" s="85"/>
    </row>
    <row r="212" spans="1:1" x14ac:dyDescent="0.25">
      <c r="A212" s="85"/>
    </row>
    <row r="213" spans="1:1" x14ac:dyDescent="0.25">
      <c r="A213" s="85"/>
    </row>
    <row r="214" spans="1:1" x14ac:dyDescent="0.25">
      <c r="A214" s="85"/>
    </row>
    <row r="215" spans="1:1" x14ac:dyDescent="0.25">
      <c r="A215" s="85"/>
    </row>
    <row r="216" spans="1:1" x14ac:dyDescent="0.25">
      <c r="A216" s="85"/>
    </row>
    <row r="217" spans="1:1" x14ac:dyDescent="0.25">
      <c r="A217" s="85"/>
    </row>
    <row r="218" spans="1:1" x14ac:dyDescent="0.25">
      <c r="A218" s="85"/>
    </row>
    <row r="219" spans="1:1" x14ac:dyDescent="0.25">
      <c r="A219" s="85"/>
    </row>
    <row r="220" spans="1:1" x14ac:dyDescent="0.25">
      <c r="A220" s="85"/>
    </row>
    <row r="221" spans="1:1" x14ac:dyDescent="0.25">
      <c r="A221" s="85"/>
    </row>
    <row r="222" spans="1:1" x14ac:dyDescent="0.25">
      <c r="A222" s="85"/>
    </row>
    <row r="223" spans="1:1" x14ac:dyDescent="0.25">
      <c r="A223" s="85"/>
    </row>
    <row r="225" spans="1:6" x14ac:dyDescent="0.25">
      <c r="A225" s="85"/>
    </row>
    <row r="227" spans="1:6" x14ac:dyDescent="0.25">
      <c r="A227" s="85"/>
    </row>
    <row r="228" spans="1:6" x14ac:dyDescent="0.25">
      <c r="A228" s="85"/>
    </row>
    <row r="229" spans="1:6" x14ac:dyDescent="0.25">
      <c r="A229" s="85"/>
    </row>
    <row r="231" spans="1:6" x14ac:dyDescent="0.25">
      <c r="A231" s="85"/>
    </row>
    <row r="233" spans="1:6" x14ac:dyDescent="0.25">
      <c r="A233" s="85"/>
    </row>
    <row r="235" spans="1:6" x14ac:dyDescent="0.25">
      <c r="A235" s="86" t="s">
        <v>54</v>
      </c>
    </row>
    <row r="237" spans="1:6" x14ac:dyDescent="0.25">
      <c r="F237" s="102"/>
    </row>
  </sheetData>
  <sortState xmlns:xlrd2="http://schemas.microsoft.com/office/spreadsheetml/2017/richdata2" ref="A3:K3">
    <sortCondition ref="K3"/>
  </sortState>
  <mergeCells count="1">
    <mergeCell ref="A1:D1"/>
  </mergeCells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X203"/>
  <sheetViews>
    <sheetView topLeftCell="E1" zoomScale="85" zoomScaleNormal="40" workbookViewId="0">
      <selection activeCell="M4" sqref="M4"/>
    </sheetView>
  </sheetViews>
  <sheetFormatPr baseColWidth="10" defaultColWidth="11.42578125" defaultRowHeight="15" x14ac:dyDescent="0.25"/>
  <cols>
    <col min="1" max="1" width="70.140625" bestFit="1" customWidth="1"/>
    <col min="2" max="2" width="16.140625" bestFit="1" customWidth="1"/>
    <col min="3" max="3" width="19.5703125" customWidth="1"/>
    <col min="4" max="4" width="14.5703125" customWidth="1"/>
    <col min="5" max="5" width="23" bestFit="1" customWidth="1"/>
    <col min="6" max="6" width="8.28515625" bestFit="1" customWidth="1"/>
    <col min="7" max="7" width="10.42578125" customWidth="1"/>
    <col min="8" max="8" width="6.140625" customWidth="1"/>
    <col min="9" max="9" width="19.5703125" bestFit="1" customWidth="1"/>
    <col min="10" max="10" width="10.5703125" bestFit="1" customWidth="1"/>
    <col min="11" max="11" width="7.5703125" customWidth="1"/>
    <col min="14" max="14" width="12.7109375" customWidth="1"/>
    <col min="15" max="15" width="12.5703125" customWidth="1"/>
    <col min="16" max="16" width="12.7109375" customWidth="1"/>
    <col min="17" max="17" width="12.5703125" customWidth="1"/>
    <col min="19" max="19" width="12.7109375" customWidth="1"/>
    <col min="20" max="20" width="12.5703125" customWidth="1"/>
    <col min="21" max="21" width="12.7109375" customWidth="1"/>
    <col min="22" max="22" width="12.5703125" customWidth="1"/>
    <col min="23" max="23" width="13.5703125" customWidth="1"/>
    <col min="24" max="24" width="13" customWidth="1"/>
  </cols>
  <sheetData>
    <row r="1" spans="1:24" ht="29.65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24" ht="13.3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46" t="s">
        <v>56</v>
      </c>
      <c r="M2" s="146"/>
      <c r="N2" s="146" t="s">
        <v>57</v>
      </c>
      <c r="O2" s="146"/>
      <c r="P2" s="146" t="s">
        <v>58</v>
      </c>
      <c r="Q2" s="146"/>
      <c r="R2" s="146"/>
      <c r="S2" s="146" t="s">
        <v>59</v>
      </c>
      <c r="T2" s="146"/>
      <c r="U2" s="146" t="s">
        <v>60</v>
      </c>
      <c r="V2" s="146"/>
      <c r="W2" s="146" t="s">
        <v>61</v>
      </c>
      <c r="X2" s="146"/>
    </row>
    <row r="3" spans="1:24" s="4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4" t="s">
        <v>62</v>
      </c>
      <c r="M3" s="4" t="s">
        <v>63</v>
      </c>
      <c r="N3" s="4" t="s">
        <v>255</v>
      </c>
      <c r="O3" s="4" t="s">
        <v>256</v>
      </c>
      <c r="P3" s="4" t="s">
        <v>257</v>
      </c>
      <c r="Q3" s="4" t="s">
        <v>258</v>
      </c>
      <c r="R3" s="4" t="s">
        <v>64</v>
      </c>
      <c r="S3" s="4" t="s">
        <v>259</v>
      </c>
      <c r="T3" s="4" t="s">
        <v>260</v>
      </c>
      <c r="U3" s="4" t="s">
        <v>261</v>
      </c>
      <c r="V3" s="4" t="s">
        <v>262</v>
      </c>
      <c r="W3" s="4" t="s">
        <v>263</v>
      </c>
      <c r="X3" s="4" t="s">
        <v>264</v>
      </c>
    </row>
    <row r="4" spans="1:24" x14ac:dyDescent="0.25">
      <c r="A4" s="135">
        <v>46279.547939814816</v>
      </c>
      <c r="B4" s="136" t="s">
        <v>197</v>
      </c>
      <c r="C4" s="136" t="s">
        <v>197</v>
      </c>
      <c r="D4" s="136" t="s">
        <v>288</v>
      </c>
      <c r="E4" s="136" t="s">
        <v>289</v>
      </c>
      <c r="F4" s="137">
        <v>1</v>
      </c>
      <c r="G4" s="136" t="s">
        <v>19</v>
      </c>
      <c r="H4" s="136" t="s">
        <v>39</v>
      </c>
      <c r="I4" s="136" t="s">
        <v>195</v>
      </c>
      <c r="J4" s="136" t="s">
        <v>16</v>
      </c>
      <c r="K4" s="138">
        <v>0</v>
      </c>
      <c r="L4">
        <f>(IF(AND(ISNUMBER(SEARCH("T511 CBN COMPLET",$B4)),ISNUMBER(SEARCH("EMAG 1",$G4)),ISNUMBER(SEARCH("304x28 RPE",$J4))),1*$F4,(IF(AND(ISNUMBER(SEARCH("T513 CBN COMPLET",$B4)),ISNUMBER(SEARCH("EMAG 1",$G4)),ISNUMBER(SEARCH("304x28 RPE",$J4))),2*$F4,0))))</f>
        <v>0</v>
      </c>
      <c r="M4">
        <f>(IF(AND(ISNUMBER(SEARCH("T511 CBN COMPLET",$B4)),ISNUMBER(SEARCH("EMAG 1",$G4)),ISNUMBER(SEARCH("304x28 RPE",$J4))),1*$F4,(IF(AND(ISNUMBER(SEARCH("T515 CBN COMPLET",$B4)),ISNUMBER(SEARCH("EMAG 1",$G4)),ISNUMBER(SEARCH("304x28 RPE",$J4))),2*$F4,0))))</f>
        <v>0</v>
      </c>
      <c r="N4">
        <f>(IF(AND(ISNUMBER(SEARCH("T517 CBN COMPLET",$B4)),ISNUMBER(SEARCH("EMAG 1",$G4)),ISNUMBER(SEARCH("356x26 RPI",$J4))),1*$F4,(IF(AND(ISNUMBER(SEARCH("T513 CBN COMPLET",$B4)),ISNUMBER(SEARCH("EMAG 1",$G4)),ISNUMBER(SEARCH("356x26 RPI",$J4))),2*$F4,(IF(AND(ISNUMBER(SEARCH("T519 CBN COMPLET",$B4)),ISNUMBER(SEARCH("EMAG 1",$G4)),ISNUMBER(SEARCH("356x26 RPI",$J4))),1*$F4,0))))))</f>
        <v>2</v>
      </c>
      <c r="O4">
        <f>(IF(AND(ISNUMBER(SEARCH("T517 CBN COMPLET",$B4)),ISNUMBER(SEARCH("EMAG 1",$G4)),ISNUMBER(SEARCH("356x26 RPI",$J4))),1*$F4,(IF(AND(ISNUMBER(SEARCH("T519 CBN COMPLET",$B4)),ISNUMBER(SEARCH("EMAG 1",$G4)),ISNUMBER(SEARCH("356x26 RPI",$J4))),1*$F4,0))))</f>
        <v>0</v>
      </c>
      <c r="P4">
        <f>(IF(AND(ISNUMBER(SEARCH("T517 CBN COMPLET",$B4)),ISNUMBER(SEARCH("EMAG 2",$G4)),ISNUMBER(SEARCH("356x26 RPI",$J4))),1*$F4,(IF(AND(ISNUMBER(SEARCH("T513 CBN COMPLET",$B4)),ISNUMBER(SEARCH("EMAG 2",$G4)),ISNUMBER(SEARCH("356x26 RPI",$J4))),2*$F4,(IF(AND(ISNUMBER(SEARCH("T519 CBN COMPLET",$B4)),ISNUMBER(SEARCH("EMAG 2",$G4)),ISNUMBER(SEARCH("356x26 RPI",$J4))),1*$F4,0))))))</f>
        <v>0</v>
      </c>
      <c r="Q4">
        <f t="shared" ref="Q4:Q67" si="0">IF(AND(ISNUMBER(SEARCH("T517 CBN COMPLET",$B4)),ISNUMBER(SEARCH("EMAG 2",$G4)),ISNUMBER(SEARCH("356x26 RPI",$J4))),$F4,IF(AND(ISNUMBER(SEARCH("T519 CBN COMPLET",$B4)),ISNUMBER(SEARCH("EMAG 2",$G4)),ISNUMBER(SEARCH("356x26 RPI",$J4))),$F4,IF(AND(ISNUMBER(SEARCH("T5013 COMPLET",$B4)),ISNUMBER(SEARCH("EMAG 2",$G4)),ISNUMBER(SEARCH("356x26 RPI",$J4))),2*$F4,0)))</f>
        <v>0</v>
      </c>
      <c r="R4">
        <f>(IF(AND(ISNUMBER(SEARCH("T5013 COMPLET",$B4)),ISNUMBER(SEARCH("EMAG 2",$G4)),ISNUMBER(SEARCH("356x26 RPI",$J4))),1*$F4,(IF(AND(ISNUMBER(SEARCH("T5013 CBN COMPLET",$B4)),ISNUMBER(SEARCH("EMAG 2",$G4)),ISNUMBER(SEARCH("356x26 RPI",$J4))),1*$F4,0))))</f>
        <v>0</v>
      </c>
      <c r="S4">
        <f>(IF(AND(ISNUMBER(SEARCH("T517 CBN COMPLET",$B4)),ISNUMBER(SEARCH("EMAG 2",$G4)),ISNUMBER(SEARCH("330x14",$J4))),1*$F4,(IF(AND(ISNUMBER(SEARCH("T513 CBN COMPLET",$B4)),ISNUMBER(SEARCH("EMAG 2",$G4)),ISNUMBER(SEARCH("330x14",$J4))),2*$F4,(IF(AND(ISNUMBER(SEARCH("T519 CBN COMPLET",$B4)),ISNUMBER(SEARCH("EMAG 2",$G4)),ISNUMBER(SEARCH("330x14",$J4))),1*$F4,0))))))</f>
        <v>0</v>
      </c>
      <c r="T4">
        <f>(IF(AND(ISNUMBER(SEARCH("T517 CBN COMPLET",$B4)),ISNUMBER(SEARCH("EMAG 2",$G4)),ISNUMBER(SEARCH("330x14",$J4))),1*$F4,(IF(AND(ISNUMBER(SEARCH("T519 CBN COMPLET",$B4)),ISNUMBER(SEARCH("EMAG 2",$G4)),ISNUMBER(SEARCH("330x14",$J4))),1*$F4,0))))</f>
        <v>0</v>
      </c>
      <c r="U4">
        <f>(IF(AND(ISNUMBER(SEARCH("T511 CBN COMPLET",$B4)),ISNUMBER(SEARCH("EMAG 3",$G4)),ISNUMBER(SEARCH("304x28 RPE",$J4))),1*$F4,(IF(AND(ISNUMBER(SEARCH("T513 CBN COMPLET",$B4)),ISNUMBER(SEARCH("EMAG 3",$G4)),ISNUMBER(SEARCH("304x28 RPE",$J4))),2*$F4,0))))</f>
        <v>0</v>
      </c>
      <c r="V4">
        <f>(IF(AND(ISNUMBER(SEARCH("T511 CBN COMPLET",$B4)),ISNUMBER(SEARCH("EMAG 3",$G4)),ISNUMBER(SEARCH("304x28 RPE",$J4))),1*$F4,(IF(AND(ISNUMBER(SEARCH("T515 CBN COMPLET",$B4)),ISNUMBER(SEARCH("EMAG 3",$G4)),ISNUMBER(SEARCH("304x28 RPE",$J4))),2*$F4,0))))</f>
        <v>0</v>
      </c>
      <c r="W4">
        <f>(IF(AND(ISNUMBER(SEARCH("T517 CBN COMPLET",$B4)),ISNUMBER(SEARCH("EMAG 3",$G4)),ISNUMBER(SEARCH("330x14",$J4))),1*$F4,(IF(AND(ISNUMBER(SEARCH("T513 CBN COMPLET",$B4)),ISNUMBER(SEARCH("EMAG 3",$G4)),ISNUMBER(SEARCH("330x14",$J4))),2*$F4,(IF(AND(ISNUMBER(SEARCH("T519 CBN COMPLET",$B4)),ISNUMBER(SEARCH("EMAG 3",$G4)),ISNUMBER(SEARCH("330x14",$J4))),1*$F4,0))))))</f>
        <v>0</v>
      </c>
      <c r="X4">
        <f>(IF(AND(ISNUMBER(SEARCH("T517 CBN COMPLET",$B4)),ISNUMBER(SEARCH("EMAG 3",$G4)),ISNUMBER(SEARCH("330x14",$J4))),1*$F4,(IF(AND(ISNUMBER(SEARCH("T519 CBN COMPLET",$B4)),ISNUMBER(SEARCH("EMAG 3",$G4)),ISNUMBER(SEARCH("330x14",$J4))),1*$F4,0))))</f>
        <v>0</v>
      </c>
    </row>
    <row r="5" spans="1:24" x14ac:dyDescent="0.25">
      <c r="A5" s="135">
        <v>46279.548148148147</v>
      </c>
      <c r="B5" s="136" t="s">
        <v>197</v>
      </c>
      <c r="C5" s="136" t="s">
        <v>197</v>
      </c>
      <c r="D5" s="136" t="s">
        <v>288</v>
      </c>
      <c r="E5" s="136" t="s">
        <v>289</v>
      </c>
      <c r="F5" s="137">
        <v>1</v>
      </c>
      <c r="G5" s="136" t="s">
        <v>19</v>
      </c>
      <c r="H5" s="136" t="s">
        <v>39</v>
      </c>
      <c r="I5" s="136" t="s">
        <v>195</v>
      </c>
      <c r="J5" s="136" t="s">
        <v>16</v>
      </c>
      <c r="K5" s="138">
        <v>0</v>
      </c>
      <c r="L5">
        <f t="shared" ref="L5:L68" si="1">(IF(AND(ISNUMBER(SEARCH("T511 CBN COMPLET",$B5)),ISNUMBER(SEARCH("EMAG 1",$G5)),ISNUMBER(SEARCH("304x28 RPE",$J5))),1*$F5,(IF(AND(ISNUMBER(SEARCH("T513 CBN COMPLET",$B5)),ISNUMBER(SEARCH("EMAG 1",$G5)),ISNUMBER(SEARCH("304x28 RPE",$J5))),2*$F5,0))))</f>
        <v>0</v>
      </c>
      <c r="M5">
        <f t="shared" ref="M5:M68" si="2">(IF(AND(ISNUMBER(SEARCH("T511 CBN COMPLET",$B5)),ISNUMBER(SEARCH("EMAG 1",$G5)),ISNUMBER(SEARCH("304x28 RPE",$J5))),1*$F5,(IF(AND(ISNUMBER(SEARCH("T515 CBN COMPLET",$B5)),ISNUMBER(SEARCH("EMAG 1",$G5)),ISNUMBER(SEARCH("304x28 RPE",$J5))),2*$F5,0))))</f>
        <v>0</v>
      </c>
      <c r="N5">
        <f t="shared" ref="N5:N68" si="3">(IF(AND(ISNUMBER(SEARCH("T517 CBN COMPLET",$B5)),ISNUMBER(SEARCH("EMAG 1",$G5)),ISNUMBER(SEARCH("356x26 RPI",$J5))),1*$F5,(IF(AND(ISNUMBER(SEARCH("T513 CBN COMPLET",$B5)),ISNUMBER(SEARCH("EMAG 1",$G5)),ISNUMBER(SEARCH("356x26 RPI",$J5))),2*$F5,(IF(AND(ISNUMBER(SEARCH("T519 CBN COMPLET",$B5)),ISNUMBER(SEARCH("EMAG 1",$G5)),ISNUMBER(SEARCH("356x26 RPI",$J5))),1*$F5,0))))))</f>
        <v>2</v>
      </c>
      <c r="O5">
        <f t="shared" ref="O5:O68" si="4">(IF(AND(ISNUMBER(SEARCH("T517 CBN COMPLET",$B5)),ISNUMBER(SEARCH("EMAG 1",$G5)),ISNUMBER(SEARCH("356x26 RPI",$J5))),1*$F5,(IF(AND(ISNUMBER(SEARCH("T519 CBN COMPLET",$B5)),ISNUMBER(SEARCH("EMAG 1",$G5)),ISNUMBER(SEARCH("356x26 RPI",$J5))),1*$F5,0))))</f>
        <v>0</v>
      </c>
      <c r="P5">
        <f t="shared" ref="P5:P68" si="5">(IF(AND(ISNUMBER(SEARCH("T517 CBN COMPLET",$B5)),ISNUMBER(SEARCH("EMAG 2",$G5)),ISNUMBER(SEARCH("356x26 RPI",$J5))),1*$F5,(IF(AND(ISNUMBER(SEARCH("T513 CBN COMPLET",$B5)),ISNUMBER(SEARCH("EMAG 2",$G5)),ISNUMBER(SEARCH("356x26 RPI",$J5))),2*$F5,(IF(AND(ISNUMBER(SEARCH("T519 CBN COMPLET",$B5)),ISNUMBER(SEARCH("EMAG 2",$G5)),ISNUMBER(SEARCH("356x26 RPI",$J5))),1*$F5,0))))))</f>
        <v>0</v>
      </c>
      <c r="Q5">
        <f t="shared" si="0"/>
        <v>0</v>
      </c>
      <c r="R5">
        <f t="shared" ref="R5:R68" si="6">(IF(AND(ISNUMBER(SEARCH("T5013 COMPLET",$B5)),ISNUMBER(SEARCH("EMAG 2",$G5)),ISNUMBER(SEARCH("356x26 RPI",$J5))),1*$F5,(IF(AND(ISNUMBER(SEARCH("T5013 CBN COMPLET",$B5)),ISNUMBER(SEARCH("EMAG 2",$G5)),ISNUMBER(SEARCH("356x26 RPI",$J5))),1*$F5,0))))</f>
        <v>0</v>
      </c>
      <c r="S5">
        <f t="shared" ref="S5:S68" si="7">(IF(AND(ISNUMBER(SEARCH("T517 CBN COMPLET",$B5)),ISNUMBER(SEARCH("EMAG 2",$G5)),ISNUMBER(SEARCH("330x14",$J5))),1*$F5,(IF(AND(ISNUMBER(SEARCH("T513 CBN COMPLET",$B5)),ISNUMBER(SEARCH("EMAG 2",$G5)),ISNUMBER(SEARCH("330x14",$J5))),2*$F5,(IF(AND(ISNUMBER(SEARCH("T519 CBN COMPLET",$B5)),ISNUMBER(SEARCH("EMAG 2",$G5)),ISNUMBER(SEARCH("330x14",$J5))),1*$F5,0))))))</f>
        <v>0</v>
      </c>
      <c r="T5">
        <f t="shared" ref="T5:T68" si="8">(IF(AND(ISNUMBER(SEARCH("T517 CBN COMPLET",$B5)),ISNUMBER(SEARCH("EMAG 2",$G5)),ISNUMBER(SEARCH("330x14",$J5))),1*$F5,(IF(AND(ISNUMBER(SEARCH("T519 CBN COMPLET",$B5)),ISNUMBER(SEARCH("EMAG 2",$G5)),ISNUMBER(SEARCH("330x14",$J5))),1*$F5,0))))</f>
        <v>0</v>
      </c>
      <c r="U5">
        <f t="shared" ref="U5:U68" si="9">(IF(AND(ISNUMBER(SEARCH("T511 CBN COMPLET",$B5)),ISNUMBER(SEARCH("EMAG 3",$G5)),ISNUMBER(SEARCH("304x28 RPE",$J5))),1*$F5,(IF(AND(ISNUMBER(SEARCH("T513 CBN COMPLET",$B5)),ISNUMBER(SEARCH("EMAG 3",$G5)),ISNUMBER(SEARCH("304x28 RPE",$J5))),2*$F5,0))))</f>
        <v>0</v>
      </c>
      <c r="V5">
        <f t="shared" ref="V5:V68" si="10">(IF(AND(ISNUMBER(SEARCH("T511 CBN COMPLET",$B5)),ISNUMBER(SEARCH("EMAG 3",$G5)),ISNUMBER(SEARCH("304x28 RPE",$J5))),1*$F5,(IF(AND(ISNUMBER(SEARCH("T515 CBN COMPLET",$B5)),ISNUMBER(SEARCH("EMAG 3",$G5)),ISNUMBER(SEARCH("304x28 RPE",$J5))),2*$F5,0))))</f>
        <v>0</v>
      </c>
      <c r="W5">
        <f t="shared" ref="W5:W68" si="11">(IF(AND(ISNUMBER(SEARCH("T517 CBN COMPLET",$B5)),ISNUMBER(SEARCH("EMAG 3",$G5)),ISNUMBER(SEARCH("330x14",$J5))),1*$F5,(IF(AND(ISNUMBER(SEARCH("T513 CBN COMPLET",$B5)),ISNUMBER(SEARCH("EMAG 3",$G5)),ISNUMBER(SEARCH("330x14",$J5))),2*$F5,(IF(AND(ISNUMBER(SEARCH("T519 CBN COMPLET",$B5)),ISNUMBER(SEARCH("EMAG 3",$G5)),ISNUMBER(SEARCH("330x14",$J5))),1*$F5,0))))))</f>
        <v>0</v>
      </c>
      <c r="X5">
        <f t="shared" ref="X5:X68" si="12">(IF(AND(ISNUMBER(SEARCH("T517 CBN COMPLET",$B5)),ISNUMBER(SEARCH("EMAG 3",$G5)),ISNUMBER(SEARCH("330x14",$J5))),1*$F5,(IF(AND(ISNUMBER(SEARCH("T519 CBN COMPLET",$B5)),ISNUMBER(SEARCH("EMAG 3",$G5)),ISNUMBER(SEARCH("330x14",$J5))),1*$F5,0))))</f>
        <v>0</v>
      </c>
    </row>
    <row r="6" spans="1:24" x14ac:dyDescent="0.25">
      <c r="A6" s="135">
        <v>46279.548391203702</v>
      </c>
      <c r="B6" s="136" t="s">
        <v>65</v>
      </c>
      <c r="C6" s="136" t="s">
        <v>65</v>
      </c>
      <c r="D6" s="136" t="s">
        <v>288</v>
      </c>
      <c r="E6" s="136" t="s">
        <v>289</v>
      </c>
      <c r="F6" s="137">
        <v>1</v>
      </c>
      <c r="G6" s="136" t="s">
        <v>19</v>
      </c>
      <c r="H6" s="136" t="s">
        <v>39</v>
      </c>
      <c r="I6" s="136" t="s">
        <v>196</v>
      </c>
      <c r="J6" s="136" t="s">
        <v>16</v>
      </c>
      <c r="K6" s="138">
        <v>0</v>
      </c>
      <c r="L6">
        <f t="shared" si="1"/>
        <v>0</v>
      </c>
      <c r="M6">
        <f t="shared" si="2"/>
        <v>0</v>
      </c>
      <c r="N6">
        <f t="shared" si="3"/>
        <v>1</v>
      </c>
      <c r="O6">
        <f t="shared" si="4"/>
        <v>1</v>
      </c>
      <c r="P6">
        <f t="shared" si="5"/>
        <v>0</v>
      </c>
      <c r="Q6">
        <f t="shared" si="0"/>
        <v>0</v>
      </c>
      <c r="R6">
        <f t="shared" si="6"/>
        <v>0</v>
      </c>
      <c r="S6">
        <f t="shared" si="7"/>
        <v>0</v>
      </c>
      <c r="T6">
        <f t="shared" si="8"/>
        <v>0</v>
      </c>
      <c r="U6">
        <f t="shared" si="9"/>
        <v>0</v>
      </c>
      <c r="V6">
        <f t="shared" si="10"/>
        <v>0</v>
      </c>
      <c r="W6">
        <f t="shared" si="11"/>
        <v>0</v>
      </c>
      <c r="X6">
        <f t="shared" si="12"/>
        <v>0</v>
      </c>
    </row>
    <row r="7" spans="1:24" x14ac:dyDescent="0.25">
      <c r="A7" s="135">
        <v>46279.548622685186</v>
      </c>
      <c r="B7" s="136" t="s">
        <v>65</v>
      </c>
      <c r="C7" s="136" t="s">
        <v>65</v>
      </c>
      <c r="D7" s="136" t="s">
        <v>288</v>
      </c>
      <c r="E7" s="136" t="s">
        <v>289</v>
      </c>
      <c r="F7" s="137">
        <v>1</v>
      </c>
      <c r="G7" s="136" t="s">
        <v>19</v>
      </c>
      <c r="H7" s="136" t="s">
        <v>39</v>
      </c>
      <c r="I7" s="136" t="s">
        <v>196</v>
      </c>
      <c r="J7" s="136" t="s">
        <v>16</v>
      </c>
      <c r="K7" s="138">
        <v>0</v>
      </c>
      <c r="L7">
        <f t="shared" si="1"/>
        <v>0</v>
      </c>
      <c r="M7">
        <f t="shared" si="2"/>
        <v>0</v>
      </c>
      <c r="N7">
        <f t="shared" si="3"/>
        <v>1</v>
      </c>
      <c r="O7">
        <f t="shared" si="4"/>
        <v>1</v>
      </c>
      <c r="P7">
        <f t="shared" si="5"/>
        <v>0</v>
      </c>
      <c r="Q7">
        <f t="shared" si="0"/>
        <v>0</v>
      </c>
      <c r="R7">
        <f t="shared" si="6"/>
        <v>0</v>
      </c>
      <c r="S7">
        <f t="shared" si="7"/>
        <v>0</v>
      </c>
      <c r="T7">
        <f t="shared" si="8"/>
        <v>0</v>
      </c>
      <c r="U7">
        <f t="shared" si="9"/>
        <v>0</v>
      </c>
      <c r="V7">
        <f t="shared" si="10"/>
        <v>0</v>
      </c>
      <c r="W7">
        <f t="shared" si="11"/>
        <v>0</v>
      </c>
      <c r="X7">
        <f t="shared" si="12"/>
        <v>0</v>
      </c>
    </row>
    <row r="8" spans="1:24" x14ac:dyDescent="0.25">
      <c r="A8" s="135">
        <v>46279.548842592594</v>
      </c>
      <c r="B8" s="136" t="s">
        <v>67</v>
      </c>
      <c r="C8" s="136" t="s">
        <v>67</v>
      </c>
      <c r="D8" s="136" t="s">
        <v>288</v>
      </c>
      <c r="E8" s="136" t="s">
        <v>289</v>
      </c>
      <c r="F8" s="137">
        <v>1</v>
      </c>
      <c r="G8" s="136" t="s">
        <v>19</v>
      </c>
      <c r="H8" s="136" t="s">
        <v>39</v>
      </c>
      <c r="I8" s="136" t="s">
        <v>195</v>
      </c>
      <c r="J8" s="136" t="s">
        <v>16</v>
      </c>
      <c r="K8" s="138">
        <v>0</v>
      </c>
      <c r="L8">
        <f t="shared" si="1"/>
        <v>0</v>
      </c>
      <c r="M8">
        <f t="shared" si="2"/>
        <v>0</v>
      </c>
      <c r="N8">
        <f t="shared" si="3"/>
        <v>1</v>
      </c>
      <c r="O8">
        <f t="shared" si="4"/>
        <v>1</v>
      </c>
      <c r="P8">
        <f t="shared" si="5"/>
        <v>0</v>
      </c>
      <c r="Q8">
        <f t="shared" si="0"/>
        <v>0</v>
      </c>
      <c r="R8">
        <f t="shared" si="6"/>
        <v>0</v>
      </c>
      <c r="S8">
        <f t="shared" si="7"/>
        <v>0</v>
      </c>
      <c r="T8">
        <f t="shared" si="8"/>
        <v>0</v>
      </c>
      <c r="U8">
        <f t="shared" si="9"/>
        <v>0</v>
      </c>
      <c r="V8">
        <f t="shared" si="10"/>
        <v>0</v>
      </c>
      <c r="W8">
        <f t="shared" si="11"/>
        <v>0</v>
      </c>
      <c r="X8">
        <f t="shared" si="12"/>
        <v>0</v>
      </c>
    </row>
    <row r="9" spans="1:24" x14ac:dyDescent="0.25">
      <c r="A9" s="135">
        <v>46279.549050925925</v>
      </c>
      <c r="B9" s="136" t="s">
        <v>67</v>
      </c>
      <c r="C9" s="136" t="s">
        <v>67</v>
      </c>
      <c r="D9" s="136" t="s">
        <v>288</v>
      </c>
      <c r="E9" s="136" t="s">
        <v>289</v>
      </c>
      <c r="F9" s="137">
        <v>1</v>
      </c>
      <c r="G9" s="136" t="s">
        <v>19</v>
      </c>
      <c r="H9" s="136" t="s">
        <v>39</v>
      </c>
      <c r="I9" s="136" t="s">
        <v>195</v>
      </c>
      <c r="J9" s="136" t="s">
        <v>16</v>
      </c>
      <c r="K9" s="138">
        <v>0</v>
      </c>
      <c r="L9">
        <f t="shared" si="1"/>
        <v>0</v>
      </c>
      <c r="M9">
        <f t="shared" si="2"/>
        <v>0</v>
      </c>
      <c r="N9">
        <f t="shared" si="3"/>
        <v>1</v>
      </c>
      <c r="O9">
        <f t="shared" si="4"/>
        <v>1</v>
      </c>
      <c r="P9">
        <f t="shared" si="5"/>
        <v>0</v>
      </c>
      <c r="Q9">
        <f t="shared" si="0"/>
        <v>0</v>
      </c>
      <c r="R9">
        <f t="shared" si="6"/>
        <v>0</v>
      </c>
      <c r="S9">
        <f t="shared" si="7"/>
        <v>0</v>
      </c>
      <c r="T9">
        <f t="shared" si="8"/>
        <v>0</v>
      </c>
      <c r="U9">
        <f t="shared" si="9"/>
        <v>0</v>
      </c>
      <c r="V9">
        <f t="shared" si="10"/>
        <v>0</v>
      </c>
      <c r="W9">
        <f t="shared" si="11"/>
        <v>0</v>
      </c>
      <c r="X9">
        <f t="shared" si="12"/>
        <v>0</v>
      </c>
    </row>
    <row r="10" spans="1:24" x14ac:dyDescent="0.25">
      <c r="A10" s="135">
        <v>46279.556805555556</v>
      </c>
      <c r="B10" s="136" t="s">
        <v>65</v>
      </c>
      <c r="C10" s="136" t="s">
        <v>65</v>
      </c>
      <c r="D10" s="136" t="s">
        <v>288</v>
      </c>
      <c r="E10" s="136" t="s">
        <v>289</v>
      </c>
      <c r="F10" s="137">
        <v>1</v>
      </c>
      <c r="G10" s="136" t="s">
        <v>19</v>
      </c>
      <c r="H10" s="136" t="s">
        <v>39</v>
      </c>
      <c r="I10" s="136" t="s">
        <v>195</v>
      </c>
      <c r="J10" s="136" t="s">
        <v>16</v>
      </c>
      <c r="K10" s="138">
        <v>0</v>
      </c>
      <c r="L10">
        <f t="shared" si="1"/>
        <v>0</v>
      </c>
      <c r="M10">
        <f t="shared" si="2"/>
        <v>0</v>
      </c>
      <c r="N10">
        <f t="shared" si="3"/>
        <v>1</v>
      </c>
      <c r="O10">
        <f t="shared" si="4"/>
        <v>1</v>
      </c>
      <c r="P10">
        <f t="shared" si="5"/>
        <v>0</v>
      </c>
      <c r="Q10">
        <f t="shared" si="0"/>
        <v>0</v>
      </c>
      <c r="R10">
        <f t="shared" si="6"/>
        <v>0</v>
      </c>
      <c r="S10">
        <f t="shared" si="7"/>
        <v>0</v>
      </c>
      <c r="T10">
        <f t="shared" si="8"/>
        <v>0</v>
      </c>
      <c r="U10">
        <f t="shared" si="9"/>
        <v>0</v>
      </c>
      <c r="V10">
        <f t="shared" si="10"/>
        <v>0</v>
      </c>
      <c r="W10">
        <f t="shared" si="11"/>
        <v>0</v>
      </c>
      <c r="X10">
        <f t="shared" si="12"/>
        <v>0</v>
      </c>
    </row>
    <row r="11" spans="1:24" x14ac:dyDescent="0.25">
      <c r="A11" s="135">
        <v>46279.611215277779</v>
      </c>
      <c r="B11" s="136" t="s">
        <v>197</v>
      </c>
      <c r="C11" s="136" t="s">
        <v>197</v>
      </c>
      <c r="D11" s="136" t="s">
        <v>210</v>
      </c>
      <c r="E11" s="136" t="s">
        <v>211</v>
      </c>
      <c r="F11" s="137">
        <v>1</v>
      </c>
      <c r="G11" s="136" t="s">
        <v>13</v>
      </c>
      <c r="H11" s="136" t="s">
        <v>39</v>
      </c>
      <c r="I11" s="136" t="s">
        <v>66</v>
      </c>
      <c r="J11" s="136" t="s">
        <v>37</v>
      </c>
      <c r="K11" s="138">
        <v>0</v>
      </c>
      <c r="L11">
        <f t="shared" si="1"/>
        <v>0</v>
      </c>
      <c r="M11">
        <f t="shared" si="2"/>
        <v>0</v>
      </c>
      <c r="N11">
        <f t="shared" si="3"/>
        <v>0</v>
      </c>
      <c r="O11">
        <f t="shared" si="4"/>
        <v>0</v>
      </c>
      <c r="P11">
        <f t="shared" si="5"/>
        <v>0</v>
      </c>
      <c r="Q11">
        <f t="shared" si="0"/>
        <v>0</v>
      </c>
      <c r="R11">
        <f t="shared" si="6"/>
        <v>0</v>
      </c>
      <c r="S11">
        <f t="shared" si="7"/>
        <v>2</v>
      </c>
      <c r="T11">
        <f t="shared" si="8"/>
        <v>0</v>
      </c>
      <c r="U11">
        <f t="shared" si="9"/>
        <v>0</v>
      </c>
      <c r="V11">
        <f t="shared" si="10"/>
        <v>0</v>
      </c>
      <c r="W11">
        <f t="shared" si="11"/>
        <v>0</v>
      </c>
      <c r="X11">
        <f t="shared" si="12"/>
        <v>0</v>
      </c>
    </row>
    <row r="12" spans="1:24" x14ac:dyDescent="0.25">
      <c r="A12" s="135">
        <v>46279.611377314817</v>
      </c>
      <c r="B12" s="136" t="s">
        <v>65</v>
      </c>
      <c r="C12" s="136" t="s">
        <v>65</v>
      </c>
      <c r="D12" s="136" t="s">
        <v>210</v>
      </c>
      <c r="E12" s="136" t="s">
        <v>211</v>
      </c>
      <c r="F12" s="137">
        <v>1</v>
      </c>
      <c r="G12" s="136" t="s">
        <v>13</v>
      </c>
      <c r="H12" s="136" t="s">
        <v>39</v>
      </c>
      <c r="I12" s="136" t="s">
        <v>66</v>
      </c>
      <c r="J12" s="136" t="s">
        <v>37</v>
      </c>
      <c r="K12" s="138">
        <v>0</v>
      </c>
      <c r="L12">
        <f t="shared" si="1"/>
        <v>0</v>
      </c>
      <c r="M12">
        <f t="shared" si="2"/>
        <v>0</v>
      </c>
      <c r="N12">
        <f t="shared" si="3"/>
        <v>0</v>
      </c>
      <c r="O12">
        <f t="shared" si="4"/>
        <v>0</v>
      </c>
      <c r="P12">
        <f t="shared" si="5"/>
        <v>0</v>
      </c>
      <c r="Q12">
        <f t="shared" si="0"/>
        <v>0</v>
      </c>
      <c r="R12">
        <f t="shared" si="6"/>
        <v>0</v>
      </c>
      <c r="S12">
        <f t="shared" si="7"/>
        <v>1</v>
      </c>
      <c r="T12">
        <f t="shared" si="8"/>
        <v>1</v>
      </c>
      <c r="U12">
        <f t="shared" si="9"/>
        <v>0</v>
      </c>
      <c r="V12">
        <f t="shared" si="10"/>
        <v>0</v>
      </c>
      <c r="W12">
        <f t="shared" si="11"/>
        <v>0</v>
      </c>
      <c r="X12">
        <f t="shared" si="12"/>
        <v>0</v>
      </c>
    </row>
    <row r="13" spans="1:24" x14ac:dyDescent="0.25">
      <c r="A13" s="135">
        <v>46279.741446759261</v>
      </c>
      <c r="B13" s="136" t="s">
        <v>197</v>
      </c>
      <c r="C13" s="136" t="s">
        <v>197</v>
      </c>
      <c r="D13" s="136" t="s">
        <v>296</v>
      </c>
      <c r="E13" s="136" t="s">
        <v>297</v>
      </c>
      <c r="F13" s="137">
        <v>1</v>
      </c>
      <c r="G13" s="136" t="s">
        <v>13</v>
      </c>
      <c r="H13" s="136" t="s">
        <v>39</v>
      </c>
      <c r="I13" s="136" t="s">
        <v>66</v>
      </c>
      <c r="J13" s="136" t="s">
        <v>37</v>
      </c>
      <c r="K13" s="138">
        <v>0</v>
      </c>
      <c r="L13">
        <f t="shared" si="1"/>
        <v>0</v>
      </c>
      <c r="M13">
        <f t="shared" si="2"/>
        <v>0</v>
      </c>
      <c r="N13">
        <f t="shared" si="3"/>
        <v>0</v>
      </c>
      <c r="O13">
        <f t="shared" si="4"/>
        <v>0</v>
      </c>
      <c r="P13">
        <f t="shared" si="5"/>
        <v>0</v>
      </c>
      <c r="Q13">
        <f t="shared" si="0"/>
        <v>0</v>
      </c>
      <c r="R13">
        <f t="shared" si="6"/>
        <v>0</v>
      </c>
      <c r="S13">
        <f t="shared" si="7"/>
        <v>2</v>
      </c>
      <c r="T13">
        <f t="shared" si="8"/>
        <v>0</v>
      </c>
      <c r="U13">
        <f t="shared" si="9"/>
        <v>0</v>
      </c>
      <c r="V13">
        <f t="shared" si="10"/>
        <v>0</v>
      </c>
      <c r="W13">
        <f t="shared" si="11"/>
        <v>0</v>
      </c>
      <c r="X13">
        <f t="shared" si="12"/>
        <v>0</v>
      </c>
    </row>
    <row r="14" spans="1:24" x14ac:dyDescent="0.25">
      <c r="A14" s="135">
        <v>46279.741678240738</v>
      </c>
      <c r="B14" s="136" t="s">
        <v>65</v>
      </c>
      <c r="C14" s="136" t="s">
        <v>65</v>
      </c>
      <c r="D14" s="136" t="s">
        <v>296</v>
      </c>
      <c r="E14" s="136" t="s">
        <v>297</v>
      </c>
      <c r="F14" s="137">
        <v>1</v>
      </c>
      <c r="G14" s="136" t="s">
        <v>13</v>
      </c>
      <c r="H14" s="136" t="s">
        <v>39</v>
      </c>
      <c r="I14" s="136" t="s">
        <v>66</v>
      </c>
      <c r="J14" s="136" t="s">
        <v>37</v>
      </c>
      <c r="K14" s="138">
        <v>0</v>
      </c>
      <c r="L14">
        <f t="shared" si="1"/>
        <v>0</v>
      </c>
      <c r="M14">
        <f t="shared" si="2"/>
        <v>0</v>
      </c>
      <c r="N14">
        <f>(IF(AND(ISNUMBER(SEARCH("T517 CBN COMPLET",$B14)),ISNUMBER(SEARCH("EMAG 1",$G14)),ISNUMBER(SEARCH("356x26 RPI",$J14))),1*$F14,(IF(AND(ISNUMBER(SEARCH("T513 CBN COMPLET",$B14)),ISNUMBER(SEARCH("EMAG 1",$G14)),ISNUMBER(SEARCH("356x26 RPI",$J14))),2*$F14,(IF(AND(ISNUMBER(SEARCH("T519 CBN COMPLET",$B14)),ISNUMBER(SEARCH("EMAG 1",$G14)),ISNUMBER(SEARCH("356x26 RPI",$J14))),1*$F14,0))))))</f>
        <v>0</v>
      </c>
      <c r="O14">
        <f>(IF(AND(ISNUMBER(SEARCH("T517 CBN COMPLET",$B14)),ISNUMBER(SEARCH("EMAG 1",$G14)),ISNUMBER(SEARCH("356x26 RPI",$J14))),1*$F14,(IF(AND(ISNUMBER(SEARCH("T519 CBN COMPLET",$B14)),ISNUMBER(SEARCH("EMAG 1",$G14)),ISNUMBER(SEARCH("356x26 RPI",$J14))),1*$F14,0))))</f>
        <v>0</v>
      </c>
      <c r="P14">
        <f t="shared" si="5"/>
        <v>0</v>
      </c>
      <c r="Q14">
        <f t="shared" si="0"/>
        <v>0</v>
      </c>
      <c r="R14">
        <f t="shared" si="6"/>
        <v>0</v>
      </c>
      <c r="S14">
        <f t="shared" si="7"/>
        <v>1</v>
      </c>
      <c r="T14">
        <f t="shared" si="8"/>
        <v>1</v>
      </c>
      <c r="U14">
        <f t="shared" si="9"/>
        <v>0</v>
      </c>
      <c r="V14">
        <f t="shared" si="10"/>
        <v>0</v>
      </c>
      <c r="W14">
        <f t="shared" si="11"/>
        <v>0</v>
      </c>
      <c r="X14">
        <f t="shared" si="12"/>
        <v>0</v>
      </c>
    </row>
    <row r="15" spans="1:24" x14ac:dyDescent="0.25">
      <c r="A15" s="135">
        <v>46279.741875</v>
      </c>
      <c r="B15" s="136" t="s">
        <v>67</v>
      </c>
      <c r="C15" s="136" t="s">
        <v>67</v>
      </c>
      <c r="D15" s="136" t="s">
        <v>296</v>
      </c>
      <c r="E15" s="136" t="s">
        <v>297</v>
      </c>
      <c r="F15" s="137">
        <v>1</v>
      </c>
      <c r="G15" s="136" t="s">
        <v>13</v>
      </c>
      <c r="H15" s="136" t="s">
        <v>39</v>
      </c>
      <c r="I15" s="136" t="s">
        <v>66</v>
      </c>
      <c r="J15" s="136" t="s">
        <v>37</v>
      </c>
      <c r="K15" s="138">
        <v>0</v>
      </c>
      <c r="L15">
        <f t="shared" si="1"/>
        <v>0</v>
      </c>
      <c r="M15">
        <f t="shared" si="2"/>
        <v>0</v>
      </c>
      <c r="N15">
        <f t="shared" si="3"/>
        <v>0</v>
      </c>
      <c r="O15">
        <f t="shared" si="4"/>
        <v>0</v>
      </c>
      <c r="P15">
        <f t="shared" si="5"/>
        <v>0</v>
      </c>
      <c r="Q15">
        <f t="shared" si="0"/>
        <v>0</v>
      </c>
      <c r="R15">
        <f t="shared" si="6"/>
        <v>0</v>
      </c>
      <c r="S15">
        <f t="shared" si="7"/>
        <v>1</v>
      </c>
      <c r="T15">
        <f t="shared" si="8"/>
        <v>1</v>
      </c>
      <c r="U15">
        <f t="shared" si="9"/>
        <v>0</v>
      </c>
      <c r="V15">
        <f t="shared" si="10"/>
        <v>0</v>
      </c>
      <c r="W15">
        <f t="shared" si="11"/>
        <v>0</v>
      </c>
      <c r="X15">
        <f t="shared" si="12"/>
        <v>0</v>
      </c>
    </row>
    <row r="16" spans="1:24" x14ac:dyDescent="0.25">
      <c r="A16" s="135">
        <v>46279.743159722224</v>
      </c>
      <c r="B16" s="136" t="s">
        <v>65</v>
      </c>
      <c r="C16" s="136" t="s">
        <v>65</v>
      </c>
      <c r="D16" s="136" t="s">
        <v>288</v>
      </c>
      <c r="E16" s="136" t="s">
        <v>289</v>
      </c>
      <c r="F16" s="137">
        <v>1</v>
      </c>
      <c r="G16" s="136" t="s">
        <v>19</v>
      </c>
      <c r="H16" s="136" t="s">
        <v>39</v>
      </c>
      <c r="I16" s="136" t="s">
        <v>195</v>
      </c>
      <c r="J16" s="136" t="s">
        <v>16</v>
      </c>
      <c r="K16" s="138">
        <v>0</v>
      </c>
      <c r="L16">
        <f t="shared" si="1"/>
        <v>0</v>
      </c>
      <c r="M16">
        <f t="shared" si="2"/>
        <v>0</v>
      </c>
      <c r="N16">
        <f t="shared" si="3"/>
        <v>1</v>
      </c>
      <c r="O16">
        <f t="shared" si="4"/>
        <v>1</v>
      </c>
      <c r="P16">
        <f t="shared" si="5"/>
        <v>0</v>
      </c>
      <c r="Q16">
        <f t="shared" si="0"/>
        <v>0</v>
      </c>
      <c r="R16">
        <f t="shared" si="6"/>
        <v>0</v>
      </c>
      <c r="S16">
        <f t="shared" si="7"/>
        <v>0</v>
      </c>
      <c r="T16">
        <f t="shared" si="8"/>
        <v>0</v>
      </c>
      <c r="U16">
        <f t="shared" si="9"/>
        <v>0</v>
      </c>
      <c r="V16">
        <f t="shared" si="10"/>
        <v>0</v>
      </c>
      <c r="W16">
        <f t="shared" si="11"/>
        <v>0</v>
      </c>
      <c r="X16">
        <f t="shared" si="12"/>
        <v>0</v>
      </c>
    </row>
    <row r="17" spans="1:24" x14ac:dyDescent="0.25">
      <c r="A17" s="135">
        <v>46279.743333333332</v>
      </c>
      <c r="B17" s="136" t="s">
        <v>65</v>
      </c>
      <c r="C17" s="136" t="s">
        <v>65</v>
      </c>
      <c r="D17" s="136" t="s">
        <v>288</v>
      </c>
      <c r="E17" s="136" t="s">
        <v>289</v>
      </c>
      <c r="F17" s="137">
        <v>1</v>
      </c>
      <c r="G17" s="136" t="s">
        <v>19</v>
      </c>
      <c r="H17" s="136" t="s">
        <v>39</v>
      </c>
      <c r="I17" s="136" t="s">
        <v>195</v>
      </c>
      <c r="J17" s="136" t="s">
        <v>16</v>
      </c>
      <c r="K17" s="138">
        <v>0</v>
      </c>
      <c r="L17">
        <f t="shared" si="1"/>
        <v>0</v>
      </c>
      <c r="M17">
        <f t="shared" si="2"/>
        <v>0</v>
      </c>
      <c r="N17">
        <f t="shared" si="3"/>
        <v>1</v>
      </c>
      <c r="O17">
        <f t="shared" si="4"/>
        <v>1</v>
      </c>
      <c r="P17">
        <f t="shared" si="5"/>
        <v>0</v>
      </c>
      <c r="Q17">
        <f t="shared" si="0"/>
        <v>0</v>
      </c>
      <c r="R17">
        <f t="shared" si="6"/>
        <v>0</v>
      </c>
      <c r="S17">
        <f t="shared" si="7"/>
        <v>0</v>
      </c>
      <c r="T17">
        <f t="shared" si="8"/>
        <v>0</v>
      </c>
      <c r="U17">
        <f t="shared" si="9"/>
        <v>0</v>
      </c>
      <c r="V17">
        <f t="shared" si="10"/>
        <v>0</v>
      </c>
      <c r="W17">
        <f t="shared" si="11"/>
        <v>0</v>
      </c>
      <c r="X17">
        <f t="shared" si="12"/>
        <v>0</v>
      </c>
    </row>
    <row r="18" spans="1:24" x14ac:dyDescent="0.25">
      <c r="A18" s="135">
        <v>46279.743692129632</v>
      </c>
      <c r="B18" s="136" t="s">
        <v>65</v>
      </c>
      <c r="C18" s="136" t="s">
        <v>65</v>
      </c>
      <c r="D18" s="136" t="s">
        <v>288</v>
      </c>
      <c r="E18" s="136" t="s">
        <v>289</v>
      </c>
      <c r="F18" s="137">
        <v>1</v>
      </c>
      <c r="G18" s="136" t="s">
        <v>19</v>
      </c>
      <c r="H18" s="136" t="s">
        <v>39</v>
      </c>
      <c r="I18" s="136" t="s">
        <v>195</v>
      </c>
      <c r="J18" s="136" t="s">
        <v>16</v>
      </c>
      <c r="K18" s="138">
        <v>0</v>
      </c>
      <c r="L18">
        <f t="shared" si="1"/>
        <v>0</v>
      </c>
      <c r="M18">
        <f t="shared" si="2"/>
        <v>0</v>
      </c>
      <c r="N18">
        <f t="shared" si="3"/>
        <v>1</v>
      </c>
      <c r="O18">
        <f t="shared" si="4"/>
        <v>1</v>
      </c>
      <c r="P18">
        <f t="shared" si="5"/>
        <v>0</v>
      </c>
      <c r="Q18">
        <f t="shared" si="0"/>
        <v>0</v>
      </c>
      <c r="R18">
        <f t="shared" si="6"/>
        <v>0</v>
      </c>
      <c r="S18">
        <f t="shared" si="7"/>
        <v>0</v>
      </c>
      <c r="T18">
        <f t="shared" si="8"/>
        <v>0</v>
      </c>
      <c r="U18">
        <f t="shared" si="9"/>
        <v>0</v>
      </c>
      <c r="V18">
        <f t="shared" si="10"/>
        <v>0</v>
      </c>
      <c r="W18">
        <f t="shared" si="11"/>
        <v>0</v>
      </c>
      <c r="X18">
        <f t="shared" si="12"/>
        <v>0</v>
      </c>
    </row>
    <row r="19" spans="1:24" x14ac:dyDescent="0.25">
      <c r="A19" s="135">
        <v>46279.801307870373</v>
      </c>
      <c r="B19" s="136" t="s">
        <v>197</v>
      </c>
      <c r="C19" s="136" t="s">
        <v>197</v>
      </c>
      <c r="D19" s="136" t="s">
        <v>296</v>
      </c>
      <c r="E19" s="136" t="s">
        <v>297</v>
      </c>
      <c r="F19" s="137">
        <v>1</v>
      </c>
      <c r="G19" s="136" t="s">
        <v>13</v>
      </c>
      <c r="H19" s="136" t="s">
        <v>39</v>
      </c>
      <c r="I19" s="136" t="s">
        <v>66</v>
      </c>
      <c r="J19" s="136" t="s">
        <v>37</v>
      </c>
      <c r="K19" s="138">
        <v>0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0"/>
        <v>0</v>
      </c>
      <c r="R19">
        <f t="shared" si="6"/>
        <v>0</v>
      </c>
      <c r="S19">
        <f t="shared" si="7"/>
        <v>2</v>
      </c>
      <c r="T19">
        <f t="shared" si="8"/>
        <v>0</v>
      </c>
      <c r="U19">
        <f t="shared" si="9"/>
        <v>0</v>
      </c>
      <c r="V19">
        <f t="shared" si="10"/>
        <v>0</v>
      </c>
      <c r="W19">
        <f t="shared" si="11"/>
        <v>0</v>
      </c>
      <c r="X19">
        <f t="shared" si="12"/>
        <v>0</v>
      </c>
    </row>
    <row r="20" spans="1:24" x14ac:dyDescent="0.25">
      <c r="A20" s="135">
        <v>46279.883900462963</v>
      </c>
      <c r="B20" s="136" t="s">
        <v>67</v>
      </c>
      <c r="C20" s="136" t="s">
        <v>67</v>
      </c>
      <c r="D20" s="136" t="s">
        <v>30</v>
      </c>
      <c r="E20" s="136" t="s">
        <v>31</v>
      </c>
      <c r="F20" s="137">
        <v>1</v>
      </c>
      <c r="G20" s="136" t="s">
        <v>19</v>
      </c>
      <c r="H20" s="136" t="s">
        <v>39</v>
      </c>
      <c r="I20" s="136" t="s">
        <v>195</v>
      </c>
      <c r="J20" s="136" t="s">
        <v>16</v>
      </c>
      <c r="K20" s="138">
        <v>0</v>
      </c>
      <c r="L20">
        <f t="shared" si="1"/>
        <v>0</v>
      </c>
      <c r="M20">
        <f t="shared" si="2"/>
        <v>0</v>
      </c>
      <c r="N20">
        <f t="shared" si="3"/>
        <v>1</v>
      </c>
      <c r="O20">
        <f t="shared" si="4"/>
        <v>1</v>
      </c>
      <c r="P20">
        <f t="shared" si="5"/>
        <v>0</v>
      </c>
      <c r="Q20">
        <f t="shared" si="0"/>
        <v>0</v>
      </c>
      <c r="R20">
        <f t="shared" si="6"/>
        <v>0</v>
      </c>
      <c r="S20">
        <f t="shared" si="7"/>
        <v>0</v>
      </c>
      <c r="T20">
        <f t="shared" si="8"/>
        <v>0</v>
      </c>
      <c r="U20">
        <f t="shared" si="9"/>
        <v>0</v>
      </c>
      <c r="V20">
        <f t="shared" si="10"/>
        <v>0</v>
      </c>
      <c r="W20">
        <f t="shared" si="11"/>
        <v>0</v>
      </c>
      <c r="X20">
        <f t="shared" si="12"/>
        <v>0</v>
      </c>
    </row>
    <row r="21" spans="1:24" x14ac:dyDescent="0.25">
      <c r="A21" s="135">
        <v>46279.889652777776</v>
      </c>
      <c r="B21" s="136" t="s">
        <v>65</v>
      </c>
      <c r="C21" s="136" t="s">
        <v>65</v>
      </c>
      <c r="D21" s="136" t="s">
        <v>292</v>
      </c>
      <c r="E21" s="136" t="s">
        <v>293</v>
      </c>
      <c r="F21" s="137">
        <v>1</v>
      </c>
      <c r="G21" s="136" t="s">
        <v>19</v>
      </c>
      <c r="H21" s="136" t="s">
        <v>39</v>
      </c>
      <c r="I21" s="136" t="s">
        <v>195</v>
      </c>
      <c r="J21" s="136" t="s">
        <v>16</v>
      </c>
      <c r="K21" s="138">
        <v>0</v>
      </c>
      <c r="L21">
        <f t="shared" si="1"/>
        <v>0</v>
      </c>
      <c r="M21">
        <f t="shared" si="2"/>
        <v>0</v>
      </c>
      <c r="N21">
        <f t="shared" si="3"/>
        <v>1</v>
      </c>
      <c r="O21">
        <f t="shared" si="4"/>
        <v>1</v>
      </c>
      <c r="P21">
        <f t="shared" si="5"/>
        <v>0</v>
      </c>
      <c r="Q21">
        <f t="shared" si="0"/>
        <v>0</v>
      </c>
      <c r="R21">
        <f t="shared" si="6"/>
        <v>0</v>
      </c>
      <c r="S21">
        <f t="shared" si="7"/>
        <v>0</v>
      </c>
      <c r="T21">
        <f t="shared" si="8"/>
        <v>0</v>
      </c>
      <c r="U21">
        <f t="shared" si="9"/>
        <v>0</v>
      </c>
      <c r="V21">
        <f t="shared" si="10"/>
        <v>0</v>
      </c>
      <c r="W21">
        <f t="shared" si="11"/>
        <v>0</v>
      </c>
      <c r="X21">
        <f t="shared" si="12"/>
        <v>0</v>
      </c>
    </row>
    <row r="22" spans="1:24" x14ac:dyDescent="0.25">
      <c r="A22" s="135">
        <v>46279.88994212963</v>
      </c>
      <c r="B22" s="136" t="s">
        <v>67</v>
      </c>
      <c r="C22" s="136" t="s">
        <v>67</v>
      </c>
      <c r="D22" s="136" t="s">
        <v>298</v>
      </c>
      <c r="E22" s="136" t="s">
        <v>293</v>
      </c>
      <c r="F22" s="137">
        <v>1</v>
      </c>
      <c r="G22" s="136" t="s">
        <v>19</v>
      </c>
      <c r="H22" s="136" t="s">
        <v>39</v>
      </c>
      <c r="I22" s="136" t="s">
        <v>195</v>
      </c>
      <c r="J22" s="136" t="s">
        <v>16</v>
      </c>
      <c r="K22" s="138">
        <v>0</v>
      </c>
      <c r="L22">
        <f t="shared" si="1"/>
        <v>0</v>
      </c>
      <c r="M22">
        <f t="shared" si="2"/>
        <v>0</v>
      </c>
      <c r="N22">
        <f t="shared" si="3"/>
        <v>1</v>
      </c>
      <c r="O22">
        <f t="shared" si="4"/>
        <v>1</v>
      </c>
      <c r="P22">
        <f t="shared" si="5"/>
        <v>0</v>
      </c>
      <c r="Q22">
        <f t="shared" si="0"/>
        <v>0</v>
      </c>
      <c r="R22">
        <f t="shared" si="6"/>
        <v>0</v>
      </c>
      <c r="S22">
        <f t="shared" si="7"/>
        <v>0</v>
      </c>
      <c r="T22">
        <f t="shared" si="8"/>
        <v>0</v>
      </c>
      <c r="U22">
        <f t="shared" si="9"/>
        <v>0</v>
      </c>
      <c r="V22">
        <f t="shared" si="10"/>
        <v>0</v>
      </c>
      <c r="W22">
        <f t="shared" si="11"/>
        <v>0</v>
      </c>
      <c r="X22">
        <f t="shared" si="12"/>
        <v>0</v>
      </c>
    </row>
    <row r="23" spans="1:24" x14ac:dyDescent="0.25">
      <c r="A23" s="135">
        <v>46279.890150462961</v>
      </c>
      <c r="B23" s="136" t="s">
        <v>65</v>
      </c>
      <c r="C23" s="136" t="s">
        <v>65</v>
      </c>
      <c r="D23" s="136" t="s">
        <v>292</v>
      </c>
      <c r="E23" s="136" t="s">
        <v>293</v>
      </c>
      <c r="F23" s="137">
        <v>1</v>
      </c>
      <c r="G23" s="136" t="s">
        <v>19</v>
      </c>
      <c r="H23" s="136" t="s">
        <v>39</v>
      </c>
      <c r="I23" s="136" t="s">
        <v>196</v>
      </c>
      <c r="J23" s="136" t="s">
        <v>16</v>
      </c>
      <c r="K23" s="138">
        <v>0</v>
      </c>
      <c r="L23">
        <f t="shared" si="1"/>
        <v>0</v>
      </c>
      <c r="M23">
        <f t="shared" si="2"/>
        <v>0</v>
      </c>
      <c r="N23">
        <f t="shared" si="3"/>
        <v>1</v>
      </c>
      <c r="O23">
        <f t="shared" si="4"/>
        <v>1</v>
      </c>
      <c r="P23">
        <f t="shared" si="5"/>
        <v>0</v>
      </c>
      <c r="Q23">
        <f t="shared" si="0"/>
        <v>0</v>
      </c>
      <c r="R23">
        <f t="shared" si="6"/>
        <v>0</v>
      </c>
      <c r="S23">
        <f t="shared" si="7"/>
        <v>0</v>
      </c>
      <c r="T23">
        <f t="shared" si="8"/>
        <v>0</v>
      </c>
      <c r="U23">
        <f t="shared" si="9"/>
        <v>0</v>
      </c>
      <c r="V23">
        <f t="shared" si="10"/>
        <v>0</v>
      </c>
      <c r="W23">
        <f t="shared" si="11"/>
        <v>0</v>
      </c>
      <c r="X23">
        <f t="shared" si="12"/>
        <v>0</v>
      </c>
    </row>
    <row r="24" spans="1:24" x14ac:dyDescent="0.25">
      <c r="A24" s="135">
        <v>46279.890370370369</v>
      </c>
      <c r="B24" s="136" t="s">
        <v>67</v>
      </c>
      <c r="C24" s="136" t="s">
        <v>67</v>
      </c>
      <c r="D24" s="136" t="s">
        <v>292</v>
      </c>
      <c r="E24" s="136" t="s">
        <v>293</v>
      </c>
      <c r="F24" s="137">
        <v>1</v>
      </c>
      <c r="G24" s="136" t="s">
        <v>19</v>
      </c>
      <c r="H24" s="136" t="s">
        <v>39</v>
      </c>
      <c r="I24" s="136" t="s">
        <v>196</v>
      </c>
      <c r="J24" s="136" t="s">
        <v>16</v>
      </c>
      <c r="K24" s="138">
        <v>0</v>
      </c>
      <c r="L24">
        <f t="shared" si="1"/>
        <v>0</v>
      </c>
      <c r="M24">
        <f t="shared" si="2"/>
        <v>0</v>
      </c>
      <c r="N24">
        <f t="shared" si="3"/>
        <v>1</v>
      </c>
      <c r="O24">
        <f t="shared" si="4"/>
        <v>1</v>
      </c>
      <c r="P24">
        <f t="shared" si="5"/>
        <v>0</v>
      </c>
      <c r="Q24">
        <f t="shared" si="0"/>
        <v>0</v>
      </c>
      <c r="R24">
        <f t="shared" si="6"/>
        <v>0</v>
      </c>
      <c r="S24">
        <f t="shared" si="7"/>
        <v>0</v>
      </c>
      <c r="T24">
        <f t="shared" si="8"/>
        <v>0</v>
      </c>
      <c r="U24">
        <f t="shared" si="9"/>
        <v>0</v>
      </c>
      <c r="V24">
        <f t="shared" si="10"/>
        <v>0</v>
      </c>
      <c r="W24">
        <f t="shared" si="11"/>
        <v>0</v>
      </c>
      <c r="X24">
        <f t="shared" si="12"/>
        <v>0</v>
      </c>
    </row>
    <row r="25" spans="1:24" x14ac:dyDescent="0.25">
      <c r="A25" s="135">
        <v>46279.890601851854</v>
      </c>
      <c r="B25" s="136" t="s">
        <v>65</v>
      </c>
      <c r="C25" s="136" t="s">
        <v>65</v>
      </c>
      <c r="D25" s="136" t="s">
        <v>30</v>
      </c>
      <c r="E25" s="136" t="s">
        <v>31</v>
      </c>
      <c r="F25" s="137">
        <v>1</v>
      </c>
      <c r="G25" s="136" t="s">
        <v>19</v>
      </c>
      <c r="H25" s="136" t="s">
        <v>39</v>
      </c>
      <c r="I25" s="136" t="s">
        <v>195</v>
      </c>
      <c r="J25" s="136" t="s">
        <v>16</v>
      </c>
      <c r="K25" s="138">
        <v>0</v>
      </c>
      <c r="L25">
        <f t="shared" si="1"/>
        <v>0</v>
      </c>
      <c r="M25">
        <f t="shared" si="2"/>
        <v>0</v>
      </c>
      <c r="N25">
        <f t="shared" si="3"/>
        <v>1</v>
      </c>
      <c r="O25">
        <f t="shared" si="4"/>
        <v>1</v>
      </c>
      <c r="P25">
        <f t="shared" si="5"/>
        <v>0</v>
      </c>
      <c r="Q25">
        <f t="shared" si="0"/>
        <v>0</v>
      </c>
      <c r="R25">
        <f t="shared" si="6"/>
        <v>0</v>
      </c>
      <c r="S25">
        <f t="shared" si="7"/>
        <v>0</v>
      </c>
      <c r="T25">
        <f t="shared" si="8"/>
        <v>0</v>
      </c>
      <c r="U25">
        <f t="shared" si="9"/>
        <v>0</v>
      </c>
      <c r="V25">
        <f t="shared" si="10"/>
        <v>0</v>
      </c>
      <c r="W25">
        <f t="shared" si="11"/>
        <v>0</v>
      </c>
      <c r="X25">
        <f t="shared" si="12"/>
        <v>0</v>
      </c>
    </row>
    <row r="26" spans="1:24" x14ac:dyDescent="0.25">
      <c r="A26" s="135">
        <v>46279.890949074077</v>
      </c>
      <c r="B26" s="136" t="s">
        <v>206</v>
      </c>
      <c r="C26" s="136" t="s">
        <v>206</v>
      </c>
      <c r="D26" s="136" t="s">
        <v>30</v>
      </c>
      <c r="E26" s="136" t="s">
        <v>31</v>
      </c>
      <c r="F26" s="137">
        <v>1</v>
      </c>
      <c r="G26" s="136" t="s">
        <v>13</v>
      </c>
      <c r="H26" s="136" t="s">
        <v>39</v>
      </c>
      <c r="I26" s="136" t="s">
        <v>66</v>
      </c>
      <c r="J26" s="136" t="s">
        <v>37</v>
      </c>
      <c r="K26" s="138">
        <v>0</v>
      </c>
      <c r="L26">
        <f t="shared" si="1"/>
        <v>0</v>
      </c>
      <c r="M26">
        <f t="shared" si="2"/>
        <v>0</v>
      </c>
      <c r="N26">
        <f t="shared" si="3"/>
        <v>0</v>
      </c>
      <c r="O26">
        <f t="shared" si="4"/>
        <v>0</v>
      </c>
      <c r="P26">
        <f t="shared" si="5"/>
        <v>0</v>
      </c>
      <c r="Q26">
        <f t="shared" si="0"/>
        <v>0</v>
      </c>
      <c r="R26">
        <f t="shared" si="6"/>
        <v>0</v>
      </c>
      <c r="S26">
        <f t="shared" si="7"/>
        <v>2</v>
      </c>
      <c r="T26">
        <f t="shared" si="8"/>
        <v>0</v>
      </c>
      <c r="U26">
        <f t="shared" si="9"/>
        <v>0</v>
      </c>
      <c r="V26">
        <f t="shared" si="10"/>
        <v>0</v>
      </c>
      <c r="W26">
        <f t="shared" si="11"/>
        <v>0</v>
      </c>
      <c r="X26">
        <f t="shared" si="12"/>
        <v>0</v>
      </c>
    </row>
    <row r="27" spans="1:24" x14ac:dyDescent="0.25">
      <c r="A27" s="135">
        <v>46279.892025462963</v>
      </c>
      <c r="B27" s="136" t="s">
        <v>67</v>
      </c>
      <c r="C27" s="136" t="s">
        <v>67</v>
      </c>
      <c r="D27" s="136" t="s">
        <v>298</v>
      </c>
      <c r="E27" s="136" t="s">
        <v>293</v>
      </c>
      <c r="F27" s="137">
        <v>1</v>
      </c>
      <c r="G27" s="136" t="s">
        <v>19</v>
      </c>
      <c r="H27" s="136" t="s">
        <v>39</v>
      </c>
      <c r="I27" s="136" t="s">
        <v>196</v>
      </c>
      <c r="J27" s="136" t="s">
        <v>16</v>
      </c>
      <c r="K27" s="138">
        <v>0</v>
      </c>
      <c r="L27">
        <f t="shared" si="1"/>
        <v>0</v>
      </c>
      <c r="M27">
        <f t="shared" si="2"/>
        <v>0</v>
      </c>
      <c r="N27">
        <f t="shared" si="3"/>
        <v>1</v>
      </c>
      <c r="O27">
        <f t="shared" si="4"/>
        <v>1</v>
      </c>
      <c r="P27">
        <f t="shared" si="5"/>
        <v>0</v>
      </c>
      <c r="Q27">
        <f t="shared" si="0"/>
        <v>0</v>
      </c>
      <c r="R27">
        <f t="shared" si="6"/>
        <v>0</v>
      </c>
      <c r="S27">
        <f t="shared" si="7"/>
        <v>0</v>
      </c>
      <c r="T27">
        <f t="shared" si="8"/>
        <v>0</v>
      </c>
      <c r="U27">
        <f t="shared" si="9"/>
        <v>0</v>
      </c>
      <c r="V27">
        <f t="shared" si="10"/>
        <v>0</v>
      </c>
      <c r="W27">
        <f t="shared" si="11"/>
        <v>0</v>
      </c>
      <c r="X27">
        <f t="shared" si="12"/>
        <v>0</v>
      </c>
    </row>
    <row r="28" spans="1:24" x14ac:dyDescent="0.25">
      <c r="A28" s="135">
        <v>46279.923819444448</v>
      </c>
      <c r="B28" s="136" t="s">
        <v>65</v>
      </c>
      <c r="C28" s="136" t="s">
        <v>65</v>
      </c>
      <c r="D28" s="136" t="s">
        <v>298</v>
      </c>
      <c r="E28" s="136" t="s">
        <v>293</v>
      </c>
      <c r="F28" s="137">
        <v>1</v>
      </c>
      <c r="G28" s="136" t="s">
        <v>19</v>
      </c>
      <c r="H28" s="136" t="s">
        <v>39</v>
      </c>
      <c r="I28" s="136" t="s">
        <v>195</v>
      </c>
      <c r="J28" s="136" t="s">
        <v>16</v>
      </c>
      <c r="K28" s="138">
        <v>0</v>
      </c>
      <c r="L28">
        <f t="shared" si="1"/>
        <v>0</v>
      </c>
      <c r="M28">
        <f t="shared" si="2"/>
        <v>0</v>
      </c>
      <c r="N28">
        <f t="shared" si="3"/>
        <v>1</v>
      </c>
      <c r="O28">
        <f t="shared" si="4"/>
        <v>1</v>
      </c>
      <c r="P28">
        <f t="shared" si="5"/>
        <v>0</v>
      </c>
      <c r="Q28">
        <f t="shared" si="0"/>
        <v>0</v>
      </c>
      <c r="R28">
        <f t="shared" si="6"/>
        <v>0</v>
      </c>
      <c r="S28">
        <f t="shared" si="7"/>
        <v>0</v>
      </c>
      <c r="T28">
        <f t="shared" si="8"/>
        <v>0</v>
      </c>
      <c r="U28">
        <f t="shared" si="9"/>
        <v>0</v>
      </c>
      <c r="V28">
        <f t="shared" si="10"/>
        <v>0</v>
      </c>
      <c r="W28">
        <f t="shared" si="11"/>
        <v>0</v>
      </c>
      <c r="X28">
        <f t="shared" si="12"/>
        <v>0</v>
      </c>
    </row>
    <row r="29" spans="1:24" x14ac:dyDescent="0.25">
      <c r="A29" s="135">
        <v>46279.924131944441</v>
      </c>
      <c r="B29" s="136" t="s">
        <v>197</v>
      </c>
      <c r="C29" s="136" t="s">
        <v>197</v>
      </c>
      <c r="D29" s="136" t="s">
        <v>298</v>
      </c>
      <c r="E29" s="136" t="s">
        <v>293</v>
      </c>
      <c r="F29" s="137">
        <v>1</v>
      </c>
      <c r="G29" s="136" t="s">
        <v>19</v>
      </c>
      <c r="H29" s="136" t="s">
        <v>39</v>
      </c>
      <c r="I29" s="136" t="s">
        <v>195</v>
      </c>
      <c r="J29" s="136" t="s">
        <v>16</v>
      </c>
      <c r="K29" s="138">
        <v>0</v>
      </c>
      <c r="L29">
        <f t="shared" si="1"/>
        <v>0</v>
      </c>
      <c r="M29">
        <f t="shared" si="2"/>
        <v>0</v>
      </c>
      <c r="N29">
        <f t="shared" si="3"/>
        <v>2</v>
      </c>
      <c r="O29">
        <f t="shared" si="4"/>
        <v>0</v>
      </c>
      <c r="P29">
        <f t="shared" si="5"/>
        <v>0</v>
      </c>
      <c r="Q29">
        <f t="shared" si="0"/>
        <v>0</v>
      </c>
      <c r="R29">
        <f t="shared" si="6"/>
        <v>0</v>
      </c>
      <c r="S29">
        <f t="shared" si="7"/>
        <v>0</v>
      </c>
      <c r="T29">
        <f t="shared" si="8"/>
        <v>0</v>
      </c>
      <c r="U29">
        <f t="shared" si="9"/>
        <v>0</v>
      </c>
      <c r="V29">
        <f t="shared" si="10"/>
        <v>0</v>
      </c>
      <c r="W29">
        <f t="shared" si="11"/>
        <v>0</v>
      </c>
      <c r="X29">
        <f t="shared" si="12"/>
        <v>0</v>
      </c>
    </row>
    <row r="30" spans="1:24" x14ac:dyDescent="0.25">
      <c r="A30" s="135">
        <v>46280.135497685187</v>
      </c>
      <c r="B30" s="136" t="s">
        <v>67</v>
      </c>
      <c r="C30" s="136" t="s">
        <v>67</v>
      </c>
      <c r="D30" s="136" t="s">
        <v>30</v>
      </c>
      <c r="E30" s="136" t="s">
        <v>31</v>
      </c>
      <c r="F30" s="137">
        <v>1</v>
      </c>
      <c r="G30" s="136" t="s">
        <v>19</v>
      </c>
      <c r="H30" s="136" t="s">
        <v>39</v>
      </c>
      <c r="I30" s="136" t="s">
        <v>196</v>
      </c>
      <c r="J30" s="136" t="s">
        <v>16</v>
      </c>
      <c r="K30" s="138">
        <v>0</v>
      </c>
      <c r="L30">
        <f t="shared" si="1"/>
        <v>0</v>
      </c>
      <c r="M30">
        <f t="shared" si="2"/>
        <v>0</v>
      </c>
      <c r="N30">
        <f t="shared" si="3"/>
        <v>1</v>
      </c>
      <c r="O30">
        <f t="shared" si="4"/>
        <v>1</v>
      </c>
      <c r="P30">
        <f t="shared" si="5"/>
        <v>0</v>
      </c>
      <c r="Q30">
        <f t="shared" si="0"/>
        <v>0</v>
      </c>
      <c r="R30">
        <f t="shared" si="6"/>
        <v>0</v>
      </c>
      <c r="S30">
        <f t="shared" si="7"/>
        <v>0</v>
      </c>
      <c r="T30">
        <f t="shared" si="8"/>
        <v>0</v>
      </c>
      <c r="U30">
        <f t="shared" si="9"/>
        <v>0</v>
      </c>
      <c r="V30">
        <f t="shared" si="10"/>
        <v>0</v>
      </c>
      <c r="W30">
        <f t="shared" si="11"/>
        <v>0</v>
      </c>
      <c r="X30">
        <f t="shared" si="12"/>
        <v>0</v>
      </c>
    </row>
    <row r="31" spans="1:24" x14ac:dyDescent="0.25">
      <c r="A31" s="135">
        <v>46280.214432870373</v>
      </c>
      <c r="B31" s="136" t="s">
        <v>197</v>
      </c>
      <c r="C31" s="136" t="s">
        <v>197</v>
      </c>
      <c r="D31" s="136" t="s">
        <v>236</v>
      </c>
      <c r="E31" s="136" t="s">
        <v>237</v>
      </c>
      <c r="F31" s="137">
        <v>1</v>
      </c>
      <c r="G31" s="136" t="s">
        <v>13</v>
      </c>
      <c r="H31" s="136" t="s">
        <v>39</v>
      </c>
      <c r="I31" s="136" t="s">
        <v>66</v>
      </c>
      <c r="J31" s="136" t="s">
        <v>37</v>
      </c>
      <c r="K31" s="138">
        <v>0</v>
      </c>
      <c r="L31">
        <f t="shared" si="1"/>
        <v>0</v>
      </c>
      <c r="M31">
        <f t="shared" si="2"/>
        <v>0</v>
      </c>
      <c r="N31">
        <f t="shared" si="3"/>
        <v>0</v>
      </c>
      <c r="O31">
        <f t="shared" si="4"/>
        <v>0</v>
      </c>
      <c r="P31">
        <f t="shared" si="5"/>
        <v>0</v>
      </c>
      <c r="Q31">
        <f t="shared" si="0"/>
        <v>0</v>
      </c>
      <c r="R31">
        <f t="shared" si="6"/>
        <v>0</v>
      </c>
      <c r="S31">
        <f t="shared" si="7"/>
        <v>2</v>
      </c>
      <c r="T31">
        <f t="shared" si="8"/>
        <v>0</v>
      </c>
      <c r="U31">
        <f t="shared" si="9"/>
        <v>0</v>
      </c>
      <c r="V31">
        <f t="shared" si="10"/>
        <v>0</v>
      </c>
      <c r="W31">
        <f t="shared" si="11"/>
        <v>0</v>
      </c>
      <c r="X31">
        <f t="shared" si="12"/>
        <v>0</v>
      </c>
    </row>
    <row r="32" spans="1:24" x14ac:dyDescent="0.25">
      <c r="A32" s="135">
        <v>46280.274814814817</v>
      </c>
      <c r="B32" s="136" t="s">
        <v>197</v>
      </c>
      <c r="C32" s="136" t="s">
        <v>197</v>
      </c>
      <c r="D32" s="136" t="s">
        <v>236</v>
      </c>
      <c r="E32" s="136" t="s">
        <v>237</v>
      </c>
      <c r="F32" s="137">
        <v>1</v>
      </c>
      <c r="G32" s="136" t="s">
        <v>13</v>
      </c>
      <c r="H32" s="136" t="s">
        <v>39</v>
      </c>
      <c r="I32" s="136" t="s">
        <v>66</v>
      </c>
      <c r="J32" s="136" t="s">
        <v>37</v>
      </c>
      <c r="K32" s="138">
        <v>0</v>
      </c>
      <c r="L32">
        <f t="shared" si="1"/>
        <v>0</v>
      </c>
      <c r="M32">
        <f t="shared" si="2"/>
        <v>0</v>
      </c>
      <c r="N32">
        <f t="shared" si="3"/>
        <v>0</v>
      </c>
      <c r="O32">
        <f t="shared" si="4"/>
        <v>0</v>
      </c>
      <c r="P32">
        <f t="shared" si="5"/>
        <v>0</v>
      </c>
      <c r="Q32">
        <f t="shared" si="0"/>
        <v>0</v>
      </c>
      <c r="R32">
        <f t="shared" si="6"/>
        <v>0</v>
      </c>
      <c r="S32">
        <f t="shared" si="7"/>
        <v>2</v>
      </c>
      <c r="T32">
        <f t="shared" si="8"/>
        <v>0</v>
      </c>
      <c r="U32">
        <f t="shared" si="9"/>
        <v>0</v>
      </c>
      <c r="V32">
        <f t="shared" si="10"/>
        <v>0</v>
      </c>
      <c r="W32">
        <f t="shared" si="11"/>
        <v>0</v>
      </c>
      <c r="X32">
        <f t="shared" si="12"/>
        <v>0</v>
      </c>
    </row>
    <row r="33" spans="1:24" x14ac:dyDescent="0.25">
      <c r="A33" s="135">
        <v>46280.274976851855</v>
      </c>
      <c r="B33" s="136" t="s">
        <v>65</v>
      </c>
      <c r="C33" s="136" t="s">
        <v>65</v>
      </c>
      <c r="D33" s="136" t="s">
        <v>236</v>
      </c>
      <c r="E33" s="136" t="s">
        <v>237</v>
      </c>
      <c r="F33" s="137">
        <v>1</v>
      </c>
      <c r="G33" s="136" t="s">
        <v>13</v>
      </c>
      <c r="H33" s="136" t="s">
        <v>39</v>
      </c>
      <c r="I33" s="136" t="s">
        <v>66</v>
      </c>
      <c r="J33" s="136" t="s">
        <v>37</v>
      </c>
      <c r="K33" s="138">
        <v>0</v>
      </c>
      <c r="L33">
        <f t="shared" si="1"/>
        <v>0</v>
      </c>
      <c r="M33">
        <f t="shared" si="2"/>
        <v>0</v>
      </c>
      <c r="N33">
        <f t="shared" si="3"/>
        <v>0</v>
      </c>
      <c r="O33">
        <f t="shared" si="4"/>
        <v>0</v>
      </c>
      <c r="P33">
        <f t="shared" si="5"/>
        <v>0</v>
      </c>
      <c r="Q33">
        <f t="shared" si="0"/>
        <v>0</v>
      </c>
      <c r="R33">
        <f t="shared" si="6"/>
        <v>0</v>
      </c>
      <c r="S33">
        <f t="shared" si="7"/>
        <v>1</v>
      </c>
      <c r="T33">
        <f t="shared" si="8"/>
        <v>1</v>
      </c>
      <c r="U33">
        <f t="shared" si="9"/>
        <v>0</v>
      </c>
      <c r="V33">
        <f t="shared" si="10"/>
        <v>0</v>
      </c>
      <c r="W33">
        <f t="shared" si="11"/>
        <v>0</v>
      </c>
      <c r="X33">
        <f t="shared" si="12"/>
        <v>0</v>
      </c>
    </row>
    <row r="34" spans="1:24" x14ac:dyDescent="0.25">
      <c r="A34" s="135">
        <v>46280.514745370368</v>
      </c>
      <c r="B34" s="136" t="s">
        <v>67</v>
      </c>
      <c r="C34" s="136" t="s">
        <v>67</v>
      </c>
      <c r="D34" s="136" t="s">
        <v>236</v>
      </c>
      <c r="E34" s="136" t="s">
        <v>237</v>
      </c>
      <c r="F34" s="137">
        <v>1</v>
      </c>
      <c r="G34" s="136" t="s">
        <v>13</v>
      </c>
      <c r="H34" s="136" t="s">
        <v>39</v>
      </c>
      <c r="I34" s="136" t="s">
        <v>66</v>
      </c>
      <c r="J34" s="136" t="s">
        <v>37</v>
      </c>
      <c r="K34" s="138">
        <v>0</v>
      </c>
      <c r="L34">
        <f t="shared" si="1"/>
        <v>0</v>
      </c>
      <c r="M34">
        <f t="shared" si="2"/>
        <v>0</v>
      </c>
      <c r="N34">
        <f t="shared" si="3"/>
        <v>0</v>
      </c>
      <c r="O34">
        <f t="shared" si="4"/>
        <v>0</v>
      </c>
      <c r="P34">
        <f t="shared" si="5"/>
        <v>0</v>
      </c>
      <c r="Q34">
        <f t="shared" si="0"/>
        <v>0</v>
      </c>
      <c r="R34">
        <f t="shared" si="6"/>
        <v>0</v>
      </c>
      <c r="S34">
        <f t="shared" si="7"/>
        <v>1</v>
      </c>
      <c r="T34">
        <f t="shared" si="8"/>
        <v>1</v>
      </c>
      <c r="U34">
        <f t="shared" si="9"/>
        <v>0</v>
      </c>
      <c r="V34">
        <f t="shared" si="10"/>
        <v>0</v>
      </c>
      <c r="W34">
        <f t="shared" si="11"/>
        <v>0</v>
      </c>
      <c r="X34">
        <f t="shared" si="12"/>
        <v>0</v>
      </c>
    </row>
    <row r="35" spans="1:24" x14ac:dyDescent="0.25">
      <c r="A35" s="135">
        <v>46280.562222222223</v>
      </c>
      <c r="B35" s="136" t="s">
        <v>206</v>
      </c>
      <c r="C35" s="136" t="s">
        <v>206</v>
      </c>
      <c r="D35" s="136" t="s">
        <v>288</v>
      </c>
      <c r="E35" s="136" t="s">
        <v>289</v>
      </c>
      <c r="F35" s="137">
        <v>1</v>
      </c>
      <c r="G35" s="136" t="s">
        <v>13</v>
      </c>
      <c r="H35" s="136" t="s">
        <v>39</v>
      </c>
      <c r="I35" s="136" t="s">
        <v>66</v>
      </c>
      <c r="J35" s="136" t="s">
        <v>37</v>
      </c>
      <c r="K35" s="138">
        <v>0</v>
      </c>
      <c r="L35">
        <f t="shared" si="1"/>
        <v>0</v>
      </c>
      <c r="M35">
        <f t="shared" si="2"/>
        <v>0</v>
      </c>
      <c r="N35">
        <f t="shared" si="3"/>
        <v>0</v>
      </c>
      <c r="O35">
        <f t="shared" si="4"/>
        <v>0</v>
      </c>
      <c r="P35">
        <f t="shared" si="5"/>
        <v>0</v>
      </c>
      <c r="Q35">
        <f t="shared" si="0"/>
        <v>0</v>
      </c>
      <c r="R35">
        <f t="shared" si="6"/>
        <v>0</v>
      </c>
      <c r="S35">
        <f t="shared" si="7"/>
        <v>2</v>
      </c>
      <c r="T35">
        <f t="shared" si="8"/>
        <v>0</v>
      </c>
      <c r="U35">
        <f t="shared" si="9"/>
        <v>0</v>
      </c>
      <c r="V35">
        <f t="shared" si="10"/>
        <v>0</v>
      </c>
      <c r="W35">
        <f t="shared" si="11"/>
        <v>0</v>
      </c>
      <c r="X35">
        <f t="shared" si="12"/>
        <v>0</v>
      </c>
    </row>
    <row r="36" spans="1:24" x14ac:dyDescent="0.25">
      <c r="A36" s="135">
        <v>46280.630798611113</v>
      </c>
      <c r="B36" s="136" t="s">
        <v>206</v>
      </c>
      <c r="C36" s="136" t="s">
        <v>206</v>
      </c>
      <c r="D36" s="136" t="s">
        <v>288</v>
      </c>
      <c r="E36" s="136" t="s">
        <v>289</v>
      </c>
      <c r="F36" s="137">
        <v>1</v>
      </c>
      <c r="G36" s="136" t="s">
        <v>13</v>
      </c>
      <c r="H36" s="136" t="s">
        <v>39</v>
      </c>
      <c r="I36" s="136" t="s">
        <v>66</v>
      </c>
      <c r="J36" s="136" t="s">
        <v>37</v>
      </c>
      <c r="K36" s="138">
        <v>0</v>
      </c>
      <c r="L36">
        <f t="shared" si="1"/>
        <v>0</v>
      </c>
      <c r="M36">
        <f t="shared" si="2"/>
        <v>0</v>
      </c>
      <c r="N36">
        <f t="shared" si="3"/>
        <v>0</v>
      </c>
      <c r="O36">
        <f t="shared" si="4"/>
        <v>0</v>
      </c>
      <c r="P36">
        <f t="shared" si="5"/>
        <v>0</v>
      </c>
      <c r="Q36">
        <f t="shared" si="0"/>
        <v>0</v>
      </c>
      <c r="R36">
        <f t="shared" si="6"/>
        <v>0</v>
      </c>
      <c r="S36">
        <f t="shared" si="7"/>
        <v>2</v>
      </c>
      <c r="T36">
        <f t="shared" si="8"/>
        <v>0</v>
      </c>
      <c r="U36">
        <f t="shared" si="9"/>
        <v>0</v>
      </c>
      <c r="V36">
        <f t="shared" si="10"/>
        <v>0</v>
      </c>
      <c r="W36">
        <f t="shared" si="11"/>
        <v>0</v>
      </c>
      <c r="X36">
        <f t="shared" si="12"/>
        <v>0</v>
      </c>
    </row>
    <row r="37" spans="1:24" x14ac:dyDescent="0.25">
      <c r="A37" s="135">
        <v>46280.630949074075</v>
      </c>
      <c r="B37" s="136" t="s">
        <v>65</v>
      </c>
      <c r="C37" s="136" t="s">
        <v>65</v>
      </c>
      <c r="D37" s="136" t="s">
        <v>288</v>
      </c>
      <c r="E37" s="136" t="s">
        <v>289</v>
      </c>
      <c r="F37" s="137">
        <v>1</v>
      </c>
      <c r="G37" s="136" t="s">
        <v>13</v>
      </c>
      <c r="H37" s="136" t="s">
        <v>39</v>
      </c>
      <c r="I37" s="136" t="s">
        <v>66</v>
      </c>
      <c r="J37" s="136" t="s">
        <v>37</v>
      </c>
      <c r="K37" s="138">
        <v>0</v>
      </c>
      <c r="L37">
        <f t="shared" si="1"/>
        <v>0</v>
      </c>
      <c r="M37">
        <f t="shared" si="2"/>
        <v>0</v>
      </c>
      <c r="N37">
        <f t="shared" si="3"/>
        <v>0</v>
      </c>
      <c r="O37">
        <f t="shared" si="4"/>
        <v>0</v>
      </c>
      <c r="P37">
        <f t="shared" si="5"/>
        <v>0</v>
      </c>
      <c r="Q37">
        <f t="shared" si="0"/>
        <v>0</v>
      </c>
      <c r="R37">
        <f t="shared" si="6"/>
        <v>0</v>
      </c>
      <c r="S37">
        <f t="shared" si="7"/>
        <v>1</v>
      </c>
      <c r="T37">
        <f t="shared" si="8"/>
        <v>1</v>
      </c>
      <c r="U37">
        <f t="shared" si="9"/>
        <v>0</v>
      </c>
      <c r="V37">
        <f t="shared" si="10"/>
        <v>0</v>
      </c>
      <c r="W37">
        <f t="shared" si="11"/>
        <v>0</v>
      </c>
      <c r="X37">
        <f t="shared" si="12"/>
        <v>0</v>
      </c>
    </row>
    <row r="38" spans="1:24" x14ac:dyDescent="0.25">
      <c r="A38" s="135">
        <v>46280.632824074077</v>
      </c>
      <c r="B38" s="136" t="s">
        <v>65</v>
      </c>
      <c r="C38" s="136" t="s">
        <v>65</v>
      </c>
      <c r="D38" s="136" t="s">
        <v>281</v>
      </c>
      <c r="E38" s="136" t="s">
        <v>282</v>
      </c>
      <c r="F38" s="137">
        <v>1</v>
      </c>
      <c r="G38" s="136" t="s">
        <v>19</v>
      </c>
      <c r="H38" s="136" t="s">
        <v>39</v>
      </c>
      <c r="I38" s="136" t="s">
        <v>195</v>
      </c>
      <c r="J38" s="136" t="s">
        <v>16</v>
      </c>
      <c r="K38" s="138">
        <v>0</v>
      </c>
      <c r="L38">
        <f t="shared" si="1"/>
        <v>0</v>
      </c>
      <c r="M38">
        <f t="shared" si="2"/>
        <v>0</v>
      </c>
      <c r="N38">
        <f t="shared" si="3"/>
        <v>1</v>
      </c>
      <c r="O38">
        <f t="shared" si="4"/>
        <v>1</v>
      </c>
      <c r="P38">
        <f t="shared" si="5"/>
        <v>0</v>
      </c>
      <c r="Q38">
        <f t="shared" si="0"/>
        <v>0</v>
      </c>
      <c r="R38">
        <f t="shared" si="6"/>
        <v>0</v>
      </c>
      <c r="S38">
        <f t="shared" si="7"/>
        <v>0</v>
      </c>
      <c r="T38">
        <f t="shared" si="8"/>
        <v>0</v>
      </c>
      <c r="U38">
        <f t="shared" si="9"/>
        <v>0</v>
      </c>
      <c r="V38">
        <f t="shared" si="10"/>
        <v>0</v>
      </c>
      <c r="W38">
        <f t="shared" si="11"/>
        <v>0</v>
      </c>
      <c r="X38">
        <f t="shared" si="12"/>
        <v>0</v>
      </c>
    </row>
    <row r="39" spans="1:24" x14ac:dyDescent="0.25">
      <c r="A39" s="135">
        <v>46280.632997685185</v>
      </c>
      <c r="B39" s="136" t="s">
        <v>67</v>
      </c>
      <c r="C39" s="136" t="s">
        <v>67</v>
      </c>
      <c r="D39" s="136" t="s">
        <v>281</v>
      </c>
      <c r="E39" s="136" t="s">
        <v>282</v>
      </c>
      <c r="F39" s="137">
        <v>1</v>
      </c>
      <c r="G39" s="136" t="s">
        <v>19</v>
      </c>
      <c r="H39" s="136" t="s">
        <v>39</v>
      </c>
      <c r="I39" s="136" t="s">
        <v>195</v>
      </c>
      <c r="J39" s="136" t="s">
        <v>16</v>
      </c>
      <c r="K39" s="138">
        <v>0</v>
      </c>
      <c r="L39">
        <f t="shared" si="1"/>
        <v>0</v>
      </c>
      <c r="M39">
        <f t="shared" si="2"/>
        <v>0</v>
      </c>
      <c r="N39">
        <f t="shared" si="3"/>
        <v>1</v>
      </c>
      <c r="O39">
        <f t="shared" si="4"/>
        <v>1</v>
      </c>
      <c r="P39">
        <f t="shared" si="5"/>
        <v>0</v>
      </c>
      <c r="Q39">
        <f t="shared" si="0"/>
        <v>0</v>
      </c>
      <c r="R39">
        <f t="shared" si="6"/>
        <v>0</v>
      </c>
      <c r="S39">
        <f t="shared" si="7"/>
        <v>0</v>
      </c>
      <c r="T39">
        <f t="shared" si="8"/>
        <v>0</v>
      </c>
      <c r="U39">
        <f t="shared" si="9"/>
        <v>0</v>
      </c>
      <c r="V39">
        <f t="shared" si="10"/>
        <v>0</v>
      </c>
      <c r="W39">
        <f t="shared" si="11"/>
        <v>0</v>
      </c>
      <c r="X39">
        <f t="shared" si="12"/>
        <v>0</v>
      </c>
    </row>
    <row r="40" spans="1:24" x14ac:dyDescent="0.25">
      <c r="A40" s="135">
        <v>46280.778761574074</v>
      </c>
      <c r="B40" s="136" t="s">
        <v>206</v>
      </c>
      <c r="C40" s="136" t="s">
        <v>206</v>
      </c>
      <c r="D40" s="136" t="s">
        <v>288</v>
      </c>
      <c r="E40" s="136" t="s">
        <v>289</v>
      </c>
      <c r="F40" s="137">
        <v>1</v>
      </c>
      <c r="G40" s="136" t="s">
        <v>13</v>
      </c>
      <c r="H40" s="136" t="s">
        <v>39</v>
      </c>
      <c r="I40" s="136" t="s">
        <v>66</v>
      </c>
      <c r="J40" s="136" t="s">
        <v>37</v>
      </c>
      <c r="K40" s="138">
        <v>0</v>
      </c>
      <c r="L40">
        <f t="shared" si="1"/>
        <v>0</v>
      </c>
      <c r="M40">
        <f t="shared" si="2"/>
        <v>0</v>
      </c>
      <c r="N40">
        <f t="shared" si="3"/>
        <v>0</v>
      </c>
      <c r="O40">
        <f t="shared" si="4"/>
        <v>0</v>
      </c>
      <c r="P40">
        <f t="shared" si="5"/>
        <v>0</v>
      </c>
      <c r="Q40">
        <f t="shared" si="0"/>
        <v>0</v>
      </c>
      <c r="R40">
        <f t="shared" si="6"/>
        <v>0</v>
      </c>
      <c r="S40">
        <f t="shared" si="7"/>
        <v>2</v>
      </c>
      <c r="T40">
        <f t="shared" si="8"/>
        <v>0</v>
      </c>
      <c r="U40">
        <f t="shared" si="9"/>
        <v>0</v>
      </c>
      <c r="V40">
        <f t="shared" si="10"/>
        <v>0</v>
      </c>
      <c r="W40">
        <f t="shared" si="11"/>
        <v>0</v>
      </c>
      <c r="X40">
        <f t="shared" si="12"/>
        <v>0</v>
      </c>
    </row>
    <row r="41" spans="1:24" x14ac:dyDescent="0.25">
      <c r="A41" s="135">
        <v>46280.778981481482</v>
      </c>
      <c r="B41" s="136" t="s">
        <v>67</v>
      </c>
      <c r="C41" s="136" t="s">
        <v>67</v>
      </c>
      <c r="D41" s="136" t="s">
        <v>288</v>
      </c>
      <c r="E41" s="136" t="s">
        <v>289</v>
      </c>
      <c r="F41" s="137">
        <v>1</v>
      </c>
      <c r="G41" s="136" t="s">
        <v>13</v>
      </c>
      <c r="H41" s="136" t="s">
        <v>39</v>
      </c>
      <c r="I41" s="136" t="s">
        <v>66</v>
      </c>
      <c r="J41" s="136" t="s">
        <v>37</v>
      </c>
      <c r="K41" s="138">
        <v>0</v>
      </c>
      <c r="L41">
        <f t="shared" si="1"/>
        <v>0</v>
      </c>
      <c r="M41">
        <f t="shared" si="2"/>
        <v>0</v>
      </c>
      <c r="N41">
        <f t="shared" si="3"/>
        <v>0</v>
      </c>
      <c r="O41">
        <f t="shared" si="4"/>
        <v>0</v>
      </c>
      <c r="P41">
        <f t="shared" si="5"/>
        <v>0</v>
      </c>
      <c r="Q41">
        <f t="shared" si="0"/>
        <v>0</v>
      </c>
      <c r="R41">
        <f t="shared" si="6"/>
        <v>0</v>
      </c>
      <c r="S41">
        <f t="shared" si="7"/>
        <v>1</v>
      </c>
      <c r="T41">
        <f t="shared" si="8"/>
        <v>1</v>
      </c>
      <c r="U41">
        <f t="shared" si="9"/>
        <v>0</v>
      </c>
      <c r="V41">
        <f t="shared" si="10"/>
        <v>0</v>
      </c>
      <c r="W41">
        <f t="shared" si="11"/>
        <v>0</v>
      </c>
      <c r="X41">
        <f t="shared" si="12"/>
        <v>0</v>
      </c>
    </row>
    <row r="42" spans="1:24" x14ac:dyDescent="0.25">
      <c r="A42" s="135">
        <v>46280.851111111115</v>
      </c>
      <c r="B42" s="136" t="s">
        <v>206</v>
      </c>
      <c r="C42" s="136" t="s">
        <v>206</v>
      </c>
      <c r="D42" s="136" t="s">
        <v>288</v>
      </c>
      <c r="E42" s="136" t="s">
        <v>289</v>
      </c>
      <c r="F42" s="137">
        <v>1</v>
      </c>
      <c r="G42" s="136" t="s">
        <v>13</v>
      </c>
      <c r="H42" s="136" t="s">
        <v>39</v>
      </c>
      <c r="I42" s="136" t="s">
        <v>66</v>
      </c>
      <c r="J42" s="136" t="s">
        <v>37</v>
      </c>
      <c r="K42" s="138">
        <v>0</v>
      </c>
      <c r="L42">
        <f t="shared" si="1"/>
        <v>0</v>
      </c>
      <c r="M42">
        <f t="shared" si="2"/>
        <v>0</v>
      </c>
      <c r="N42">
        <f t="shared" si="3"/>
        <v>0</v>
      </c>
      <c r="O42">
        <f t="shared" si="4"/>
        <v>0</v>
      </c>
      <c r="P42">
        <f t="shared" si="5"/>
        <v>0</v>
      </c>
      <c r="Q42">
        <f t="shared" si="0"/>
        <v>0</v>
      </c>
      <c r="R42">
        <f t="shared" si="6"/>
        <v>0</v>
      </c>
      <c r="S42">
        <f t="shared" si="7"/>
        <v>2</v>
      </c>
      <c r="T42">
        <f t="shared" si="8"/>
        <v>0</v>
      </c>
      <c r="U42">
        <f t="shared" si="9"/>
        <v>0</v>
      </c>
      <c r="V42">
        <f t="shared" si="10"/>
        <v>0</v>
      </c>
      <c r="W42">
        <f t="shared" si="11"/>
        <v>0</v>
      </c>
      <c r="X42">
        <f t="shared" si="12"/>
        <v>0</v>
      </c>
    </row>
    <row r="43" spans="1:24" x14ac:dyDescent="0.25">
      <c r="A43" s="135">
        <v>46280.883356481485</v>
      </c>
      <c r="B43" s="136" t="s">
        <v>65</v>
      </c>
      <c r="C43" s="136" t="s">
        <v>65</v>
      </c>
      <c r="D43" s="136" t="s">
        <v>30</v>
      </c>
      <c r="E43" s="136" t="s">
        <v>31</v>
      </c>
      <c r="F43" s="137">
        <v>1</v>
      </c>
      <c r="G43" s="136" t="s">
        <v>19</v>
      </c>
      <c r="H43" s="136" t="s">
        <v>39</v>
      </c>
      <c r="I43" s="136" t="s">
        <v>195</v>
      </c>
      <c r="J43" s="136" t="s">
        <v>16</v>
      </c>
      <c r="K43" s="138">
        <v>0</v>
      </c>
      <c r="L43">
        <f t="shared" si="1"/>
        <v>0</v>
      </c>
      <c r="M43">
        <f t="shared" si="2"/>
        <v>0</v>
      </c>
      <c r="N43">
        <f t="shared" si="3"/>
        <v>1</v>
      </c>
      <c r="O43">
        <f t="shared" si="4"/>
        <v>1</v>
      </c>
      <c r="P43">
        <f t="shared" si="5"/>
        <v>0</v>
      </c>
      <c r="Q43">
        <f t="shared" si="0"/>
        <v>0</v>
      </c>
      <c r="R43">
        <f t="shared" si="6"/>
        <v>0</v>
      </c>
      <c r="S43">
        <f t="shared" si="7"/>
        <v>0</v>
      </c>
      <c r="T43">
        <f t="shared" si="8"/>
        <v>0</v>
      </c>
      <c r="U43">
        <f t="shared" si="9"/>
        <v>0</v>
      </c>
      <c r="V43">
        <f t="shared" si="10"/>
        <v>0</v>
      </c>
      <c r="W43">
        <f t="shared" si="11"/>
        <v>0</v>
      </c>
      <c r="X43">
        <f t="shared" si="12"/>
        <v>0</v>
      </c>
    </row>
    <row r="44" spans="1:24" x14ac:dyDescent="0.25">
      <c r="A44" s="135">
        <v>46281.398333333331</v>
      </c>
      <c r="B44" s="136" t="s">
        <v>286</v>
      </c>
      <c r="C44" s="136" t="s">
        <v>286</v>
      </c>
      <c r="D44" s="136" t="s">
        <v>236</v>
      </c>
      <c r="E44" s="136" t="s">
        <v>237</v>
      </c>
      <c r="F44" s="137">
        <v>1</v>
      </c>
      <c r="G44" s="136" t="s">
        <v>13</v>
      </c>
      <c r="H44" s="136" t="s">
        <v>39</v>
      </c>
      <c r="I44" s="136" t="s">
        <v>66</v>
      </c>
      <c r="J44" s="136" t="s">
        <v>160</v>
      </c>
      <c r="K44" s="138">
        <v>0</v>
      </c>
      <c r="L44">
        <f t="shared" si="1"/>
        <v>0</v>
      </c>
      <c r="M44">
        <f t="shared" si="2"/>
        <v>0</v>
      </c>
      <c r="N44">
        <f t="shared" si="3"/>
        <v>0</v>
      </c>
      <c r="O44">
        <f t="shared" si="4"/>
        <v>0</v>
      </c>
      <c r="P44">
        <f t="shared" si="5"/>
        <v>0</v>
      </c>
      <c r="Q44">
        <f t="shared" si="0"/>
        <v>0</v>
      </c>
      <c r="R44">
        <f t="shared" si="6"/>
        <v>0</v>
      </c>
      <c r="S44">
        <f t="shared" si="7"/>
        <v>0</v>
      </c>
      <c r="T44">
        <f t="shared" si="8"/>
        <v>0</v>
      </c>
      <c r="U44">
        <f t="shared" si="9"/>
        <v>0</v>
      </c>
      <c r="V44">
        <f t="shared" si="10"/>
        <v>0</v>
      </c>
      <c r="W44">
        <f t="shared" si="11"/>
        <v>0</v>
      </c>
      <c r="X44">
        <f t="shared" si="12"/>
        <v>0</v>
      </c>
    </row>
    <row r="45" spans="1:24" x14ac:dyDescent="0.25">
      <c r="A45" s="135">
        <v>46281.398506944446</v>
      </c>
      <c r="B45" s="136" t="s">
        <v>287</v>
      </c>
      <c r="C45" s="136" t="s">
        <v>287</v>
      </c>
      <c r="D45" s="136" t="s">
        <v>236</v>
      </c>
      <c r="E45" s="136" t="s">
        <v>237</v>
      </c>
      <c r="F45" s="137">
        <v>1</v>
      </c>
      <c r="G45" s="136" t="s">
        <v>13</v>
      </c>
      <c r="H45" s="136" t="s">
        <v>39</v>
      </c>
      <c r="I45" s="136" t="s">
        <v>66</v>
      </c>
      <c r="J45" s="136" t="s">
        <v>160</v>
      </c>
      <c r="K45" s="138">
        <v>0</v>
      </c>
      <c r="L45">
        <f t="shared" si="1"/>
        <v>0</v>
      </c>
      <c r="M45">
        <f t="shared" si="2"/>
        <v>0</v>
      </c>
      <c r="N45">
        <f t="shared" si="3"/>
        <v>0</v>
      </c>
      <c r="O45">
        <f t="shared" si="4"/>
        <v>0</v>
      </c>
      <c r="P45">
        <f t="shared" si="5"/>
        <v>0</v>
      </c>
      <c r="Q45">
        <f t="shared" si="0"/>
        <v>0</v>
      </c>
      <c r="R45">
        <f t="shared" si="6"/>
        <v>0</v>
      </c>
      <c r="S45">
        <f t="shared" si="7"/>
        <v>0</v>
      </c>
      <c r="T45">
        <f t="shared" si="8"/>
        <v>0</v>
      </c>
      <c r="U45">
        <f t="shared" si="9"/>
        <v>0</v>
      </c>
      <c r="V45">
        <f t="shared" si="10"/>
        <v>0</v>
      </c>
      <c r="W45">
        <f t="shared" si="11"/>
        <v>0</v>
      </c>
      <c r="X45">
        <f t="shared" si="12"/>
        <v>0</v>
      </c>
    </row>
    <row r="46" spans="1:24" x14ac:dyDescent="0.25">
      <c r="A46" s="135">
        <v>46281.398645833331</v>
      </c>
      <c r="B46" s="136" t="s">
        <v>197</v>
      </c>
      <c r="C46" s="136" t="s">
        <v>197</v>
      </c>
      <c r="D46" s="136" t="s">
        <v>236</v>
      </c>
      <c r="E46" s="136" t="s">
        <v>237</v>
      </c>
      <c r="F46" s="137">
        <v>1</v>
      </c>
      <c r="G46" s="136" t="s">
        <v>13</v>
      </c>
      <c r="H46" s="136" t="s">
        <v>39</v>
      </c>
      <c r="I46" s="136" t="s">
        <v>66</v>
      </c>
      <c r="J46" s="136" t="s">
        <v>37</v>
      </c>
      <c r="K46" s="138">
        <v>0</v>
      </c>
      <c r="L46">
        <f t="shared" si="1"/>
        <v>0</v>
      </c>
      <c r="M46">
        <f t="shared" si="2"/>
        <v>0</v>
      </c>
      <c r="N46">
        <f t="shared" si="3"/>
        <v>0</v>
      </c>
      <c r="O46">
        <f t="shared" si="4"/>
        <v>0</v>
      </c>
      <c r="P46">
        <f t="shared" si="5"/>
        <v>0</v>
      </c>
      <c r="Q46">
        <f t="shared" si="0"/>
        <v>0</v>
      </c>
      <c r="R46">
        <f t="shared" si="6"/>
        <v>0</v>
      </c>
      <c r="S46">
        <f t="shared" si="7"/>
        <v>2</v>
      </c>
      <c r="T46">
        <f t="shared" si="8"/>
        <v>0</v>
      </c>
      <c r="U46">
        <f t="shared" si="9"/>
        <v>0</v>
      </c>
      <c r="V46">
        <f t="shared" si="10"/>
        <v>0</v>
      </c>
      <c r="W46">
        <f t="shared" si="11"/>
        <v>0</v>
      </c>
      <c r="X46">
        <f t="shared" si="12"/>
        <v>0</v>
      </c>
    </row>
    <row r="47" spans="1:24" x14ac:dyDescent="0.25">
      <c r="A47" s="135">
        <v>46281.398796296293</v>
      </c>
      <c r="B47" s="136" t="s">
        <v>65</v>
      </c>
      <c r="C47" s="136" t="s">
        <v>65</v>
      </c>
      <c r="D47" s="136" t="s">
        <v>236</v>
      </c>
      <c r="E47" s="136" t="s">
        <v>237</v>
      </c>
      <c r="F47" s="137">
        <v>1</v>
      </c>
      <c r="G47" s="136" t="s">
        <v>13</v>
      </c>
      <c r="H47" s="136" t="s">
        <v>39</v>
      </c>
      <c r="I47" s="136" t="s">
        <v>66</v>
      </c>
      <c r="J47" s="136" t="s">
        <v>37</v>
      </c>
      <c r="K47" s="138">
        <v>0</v>
      </c>
      <c r="L47">
        <f t="shared" si="1"/>
        <v>0</v>
      </c>
      <c r="M47">
        <f t="shared" si="2"/>
        <v>0</v>
      </c>
      <c r="N47">
        <f t="shared" si="3"/>
        <v>0</v>
      </c>
      <c r="O47">
        <f t="shared" si="4"/>
        <v>0</v>
      </c>
      <c r="P47">
        <f t="shared" si="5"/>
        <v>0</v>
      </c>
      <c r="Q47">
        <f t="shared" si="0"/>
        <v>0</v>
      </c>
      <c r="R47">
        <f t="shared" si="6"/>
        <v>0</v>
      </c>
      <c r="S47">
        <f t="shared" si="7"/>
        <v>1</v>
      </c>
      <c r="T47">
        <f t="shared" si="8"/>
        <v>1</v>
      </c>
      <c r="U47">
        <f t="shared" si="9"/>
        <v>0</v>
      </c>
      <c r="V47">
        <f t="shared" si="10"/>
        <v>0</v>
      </c>
      <c r="W47">
        <f t="shared" si="11"/>
        <v>0</v>
      </c>
      <c r="X47">
        <f t="shared" si="12"/>
        <v>0</v>
      </c>
    </row>
    <row r="48" spans="1:24" x14ac:dyDescent="0.25">
      <c r="A48" s="135">
        <v>46281.398935185185</v>
      </c>
      <c r="B48" s="136" t="s">
        <v>67</v>
      </c>
      <c r="C48" s="136" t="s">
        <v>67</v>
      </c>
      <c r="D48" s="136" t="s">
        <v>236</v>
      </c>
      <c r="E48" s="136" t="s">
        <v>237</v>
      </c>
      <c r="F48" s="137">
        <v>1</v>
      </c>
      <c r="G48" s="136" t="s">
        <v>13</v>
      </c>
      <c r="H48" s="136" t="s">
        <v>39</v>
      </c>
      <c r="I48" s="136" t="s">
        <v>66</v>
      </c>
      <c r="J48" s="136" t="s">
        <v>37</v>
      </c>
      <c r="K48" s="138">
        <v>0</v>
      </c>
      <c r="L48">
        <f t="shared" si="1"/>
        <v>0</v>
      </c>
      <c r="M48">
        <f t="shared" si="2"/>
        <v>0</v>
      </c>
      <c r="N48">
        <f t="shared" si="3"/>
        <v>0</v>
      </c>
      <c r="O48">
        <f t="shared" si="4"/>
        <v>0</v>
      </c>
      <c r="P48">
        <f t="shared" si="5"/>
        <v>0</v>
      </c>
      <c r="Q48">
        <f t="shared" si="0"/>
        <v>0</v>
      </c>
      <c r="R48">
        <f t="shared" si="6"/>
        <v>0</v>
      </c>
      <c r="S48">
        <f t="shared" si="7"/>
        <v>1</v>
      </c>
      <c r="T48">
        <f t="shared" si="8"/>
        <v>1</v>
      </c>
      <c r="U48">
        <f t="shared" si="9"/>
        <v>0</v>
      </c>
      <c r="V48">
        <f t="shared" si="10"/>
        <v>0</v>
      </c>
      <c r="W48">
        <f t="shared" si="11"/>
        <v>0</v>
      </c>
      <c r="X48">
        <f t="shared" si="12"/>
        <v>0</v>
      </c>
    </row>
    <row r="49" spans="1:24" x14ac:dyDescent="0.25">
      <c r="A49" s="135">
        <v>46281.661863425928</v>
      </c>
      <c r="B49" s="136" t="s">
        <v>206</v>
      </c>
      <c r="C49" s="136" t="s">
        <v>206</v>
      </c>
      <c r="D49" s="136" t="s">
        <v>288</v>
      </c>
      <c r="E49" s="136" t="s">
        <v>289</v>
      </c>
      <c r="F49" s="137">
        <v>1</v>
      </c>
      <c r="G49" s="136" t="s">
        <v>13</v>
      </c>
      <c r="H49" s="136" t="s">
        <v>39</v>
      </c>
      <c r="I49" s="136" t="s">
        <v>66</v>
      </c>
      <c r="J49" s="136" t="s">
        <v>160</v>
      </c>
      <c r="K49" s="138">
        <v>0</v>
      </c>
      <c r="L49">
        <f t="shared" si="1"/>
        <v>0</v>
      </c>
      <c r="M49">
        <f t="shared" si="2"/>
        <v>0</v>
      </c>
      <c r="N49">
        <f t="shared" si="3"/>
        <v>0</v>
      </c>
      <c r="O49">
        <f t="shared" si="4"/>
        <v>0</v>
      </c>
      <c r="P49">
        <f t="shared" si="5"/>
        <v>0</v>
      </c>
      <c r="Q49">
        <f t="shared" si="0"/>
        <v>0</v>
      </c>
      <c r="R49">
        <f t="shared" si="6"/>
        <v>0</v>
      </c>
      <c r="S49">
        <f t="shared" si="7"/>
        <v>0</v>
      </c>
      <c r="T49">
        <f t="shared" si="8"/>
        <v>0</v>
      </c>
      <c r="U49">
        <f t="shared" si="9"/>
        <v>0</v>
      </c>
      <c r="V49">
        <f t="shared" si="10"/>
        <v>0</v>
      </c>
      <c r="W49">
        <f t="shared" si="11"/>
        <v>0</v>
      </c>
      <c r="X49">
        <f t="shared" si="12"/>
        <v>0</v>
      </c>
    </row>
    <row r="50" spans="1:24" x14ac:dyDescent="0.25">
      <c r="A50" s="135">
        <v>46281.743321759262</v>
      </c>
      <c r="B50" s="136" t="s">
        <v>286</v>
      </c>
      <c r="C50" s="136" t="s">
        <v>286</v>
      </c>
      <c r="D50" s="136" t="s">
        <v>288</v>
      </c>
      <c r="E50" s="136" t="s">
        <v>289</v>
      </c>
      <c r="F50" s="137">
        <v>1</v>
      </c>
      <c r="G50" s="136" t="s">
        <v>13</v>
      </c>
      <c r="H50" s="136" t="s">
        <v>39</v>
      </c>
      <c r="I50" s="136" t="s">
        <v>66</v>
      </c>
      <c r="J50" s="136" t="s">
        <v>160</v>
      </c>
      <c r="K50" s="138">
        <v>0</v>
      </c>
      <c r="L50">
        <f t="shared" si="1"/>
        <v>0</v>
      </c>
      <c r="M50">
        <f t="shared" si="2"/>
        <v>0</v>
      </c>
      <c r="N50">
        <f t="shared" si="3"/>
        <v>0</v>
      </c>
      <c r="O50">
        <f t="shared" si="4"/>
        <v>0</v>
      </c>
      <c r="P50">
        <f t="shared" si="5"/>
        <v>0</v>
      </c>
      <c r="Q50">
        <f t="shared" si="0"/>
        <v>0</v>
      </c>
      <c r="R50">
        <f t="shared" si="6"/>
        <v>0</v>
      </c>
      <c r="S50">
        <f t="shared" si="7"/>
        <v>0</v>
      </c>
      <c r="T50">
        <f t="shared" si="8"/>
        <v>0</v>
      </c>
      <c r="U50">
        <f t="shared" si="9"/>
        <v>0</v>
      </c>
      <c r="V50">
        <f t="shared" si="10"/>
        <v>0</v>
      </c>
      <c r="W50">
        <f t="shared" si="11"/>
        <v>0</v>
      </c>
      <c r="X50">
        <f t="shared" si="12"/>
        <v>0</v>
      </c>
    </row>
    <row r="51" spans="1:24" x14ac:dyDescent="0.25">
      <c r="A51" s="135">
        <v>46281.743530092594</v>
      </c>
      <c r="B51" s="136" t="s">
        <v>206</v>
      </c>
      <c r="C51" s="136" t="s">
        <v>206</v>
      </c>
      <c r="D51" s="136" t="s">
        <v>288</v>
      </c>
      <c r="E51" s="136" t="s">
        <v>289</v>
      </c>
      <c r="F51" s="137">
        <v>1</v>
      </c>
      <c r="G51" s="136" t="s">
        <v>13</v>
      </c>
      <c r="H51" s="136" t="s">
        <v>39</v>
      </c>
      <c r="I51" s="136" t="s">
        <v>66</v>
      </c>
      <c r="J51" s="136" t="s">
        <v>160</v>
      </c>
      <c r="K51" s="138">
        <v>0</v>
      </c>
      <c r="L51">
        <f t="shared" si="1"/>
        <v>0</v>
      </c>
      <c r="M51">
        <f t="shared" si="2"/>
        <v>0</v>
      </c>
      <c r="N51">
        <f t="shared" si="3"/>
        <v>0</v>
      </c>
      <c r="O51">
        <f t="shared" si="4"/>
        <v>0</v>
      </c>
      <c r="P51">
        <f t="shared" si="5"/>
        <v>0</v>
      </c>
      <c r="Q51">
        <f t="shared" si="0"/>
        <v>0</v>
      </c>
      <c r="R51">
        <f t="shared" si="6"/>
        <v>0</v>
      </c>
      <c r="S51">
        <f t="shared" si="7"/>
        <v>0</v>
      </c>
      <c r="T51">
        <f t="shared" si="8"/>
        <v>0</v>
      </c>
      <c r="U51">
        <f t="shared" si="9"/>
        <v>0</v>
      </c>
      <c r="V51">
        <f t="shared" si="10"/>
        <v>0</v>
      </c>
      <c r="W51">
        <f t="shared" si="11"/>
        <v>0</v>
      </c>
      <c r="X51">
        <f t="shared" si="12"/>
        <v>0</v>
      </c>
    </row>
    <row r="52" spans="1:24" x14ac:dyDescent="0.25">
      <c r="A52" s="135">
        <v>46281.743819444448</v>
      </c>
      <c r="B52" s="136" t="s">
        <v>287</v>
      </c>
      <c r="C52" s="136" t="s">
        <v>287</v>
      </c>
      <c r="D52" s="136" t="s">
        <v>288</v>
      </c>
      <c r="E52" s="136" t="s">
        <v>289</v>
      </c>
      <c r="F52" s="137">
        <v>1</v>
      </c>
      <c r="G52" s="136" t="s">
        <v>13</v>
      </c>
      <c r="H52" s="136" t="s">
        <v>39</v>
      </c>
      <c r="I52" s="136" t="s">
        <v>66</v>
      </c>
      <c r="J52" s="136" t="s">
        <v>160</v>
      </c>
      <c r="K52" s="138">
        <v>0</v>
      </c>
      <c r="L52">
        <f t="shared" si="1"/>
        <v>0</v>
      </c>
      <c r="M52">
        <f t="shared" si="2"/>
        <v>0</v>
      </c>
      <c r="N52">
        <f t="shared" si="3"/>
        <v>0</v>
      </c>
      <c r="O52">
        <f t="shared" si="4"/>
        <v>0</v>
      </c>
      <c r="P52">
        <f t="shared" si="5"/>
        <v>0</v>
      </c>
      <c r="Q52">
        <f t="shared" si="0"/>
        <v>0</v>
      </c>
      <c r="R52">
        <f t="shared" si="6"/>
        <v>0</v>
      </c>
      <c r="S52">
        <f t="shared" si="7"/>
        <v>0</v>
      </c>
      <c r="T52">
        <f t="shared" si="8"/>
        <v>0</v>
      </c>
      <c r="U52">
        <f t="shared" si="9"/>
        <v>0</v>
      </c>
      <c r="V52">
        <f t="shared" si="10"/>
        <v>0</v>
      </c>
      <c r="W52">
        <f t="shared" si="11"/>
        <v>0</v>
      </c>
      <c r="X52">
        <f t="shared" si="12"/>
        <v>0</v>
      </c>
    </row>
    <row r="53" spans="1:24" x14ac:dyDescent="0.25">
      <c r="A53" s="135">
        <v>46281.826331018521</v>
      </c>
      <c r="B53" s="136" t="s">
        <v>206</v>
      </c>
      <c r="C53" s="136" t="s">
        <v>206</v>
      </c>
      <c r="D53" s="136" t="s">
        <v>288</v>
      </c>
      <c r="E53" s="136" t="s">
        <v>289</v>
      </c>
      <c r="F53" s="137">
        <v>1</v>
      </c>
      <c r="G53" s="136" t="s">
        <v>13</v>
      </c>
      <c r="H53" s="136" t="s">
        <v>39</v>
      </c>
      <c r="I53" s="136" t="s">
        <v>66</v>
      </c>
      <c r="J53" s="136" t="s">
        <v>160</v>
      </c>
      <c r="K53" s="138">
        <v>0</v>
      </c>
      <c r="L53">
        <f t="shared" si="1"/>
        <v>0</v>
      </c>
      <c r="M53">
        <f t="shared" si="2"/>
        <v>0</v>
      </c>
      <c r="N53">
        <f t="shared" si="3"/>
        <v>0</v>
      </c>
      <c r="O53">
        <f t="shared" si="4"/>
        <v>0</v>
      </c>
      <c r="P53">
        <f t="shared" si="5"/>
        <v>0</v>
      </c>
      <c r="Q53">
        <f t="shared" si="0"/>
        <v>0</v>
      </c>
      <c r="R53">
        <f t="shared" si="6"/>
        <v>0</v>
      </c>
      <c r="S53">
        <f t="shared" si="7"/>
        <v>0</v>
      </c>
      <c r="T53">
        <f t="shared" si="8"/>
        <v>0</v>
      </c>
      <c r="U53">
        <f t="shared" si="9"/>
        <v>0</v>
      </c>
      <c r="V53">
        <f t="shared" si="10"/>
        <v>0</v>
      </c>
      <c r="W53">
        <f t="shared" si="11"/>
        <v>0</v>
      </c>
      <c r="X53">
        <f t="shared" si="12"/>
        <v>0</v>
      </c>
    </row>
    <row r="54" spans="1:24" x14ac:dyDescent="0.25">
      <c r="A54" s="135">
        <v>46281.881782407407</v>
      </c>
      <c r="B54" s="136" t="s">
        <v>197</v>
      </c>
      <c r="C54" s="136" t="s">
        <v>197</v>
      </c>
      <c r="D54" s="136" t="s">
        <v>30</v>
      </c>
      <c r="E54" s="136" t="s">
        <v>31</v>
      </c>
      <c r="F54" s="137">
        <v>1</v>
      </c>
      <c r="G54" s="136" t="s">
        <v>13</v>
      </c>
      <c r="H54" s="136" t="s">
        <v>39</v>
      </c>
      <c r="I54" s="136" t="s">
        <v>66</v>
      </c>
      <c r="J54" s="136" t="s">
        <v>16</v>
      </c>
      <c r="K54" s="138">
        <v>0</v>
      </c>
      <c r="L54">
        <f t="shared" si="1"/>
        <v>0</v>
      </c>
      <c r="M54">
        <f t="shared" si="2"/>
        <v>0</v>
      </c>
      <c r="N54">
        <f t="shared" si="3"/>
        <v>0</v>
      </c>
      <c r="O54">
        <f t="shared" si="4"/>
        <v>0</v>
      </c>
      <c r="P54">
        <f t="shared" si="5"/>
        <v>2</v>
      </c>
      <c r="Q54">
        <f t="shared" si="0"/>
        <v>0</v>
      </c>
      <c r="R54">
        <f t="shared" si="6"/>
        <v>0</v>
      </c>
      <c r="S54">
        <f t="shared" si="7"/>
        <v>0</v>
      </c>
      <c r="T54">
        <f t="shared" si="8"/>
        <v>0</v>
      </c>
      <c r="U54">
        <f t="shared" si="9"/>
        <v>0</v>
      </c>
      <c r="V54">
        <f t="shared" si="10"/>
        <v>0</v>
      </c>
      <c r="W54">
        <f t="shared" si="11"/>
        <v>0</v>
      </c>
      <c r="X54">
        <f t="shared" si="12"/>
        <v>0</v>
      </c>
    </row>
    <row r="55" spans="1:24" x14ac:dyDescent="0.25">
      <c r="A55" s="135">
        <v>46281.882337962961</v>
      </c>
      <c r="B55" s="136" t="s">
        <v>65</v>
      </c>
      <c r="C55" s="136" t="s">
        <v>65</v>
      </c>
      <c r="D55" s="136" t="s">
        <v>30</v>
      </c>
      <c r="E55" s="136" t="s">
        <v>31</v>
      </c>
      <c r="F55" s="137">
        <v>1</v>
      </c>
      <c r="G55" s="136" t="s">
        <v>13</v>
      </c>
      <c r="H55" s="136" t="s">
        <v>39</v>
      </c>
      <c r="I55" s="136" t="s">
        <v>66</v>
      </c>
      <c r="J55" s="136" t="s">
        <v>16</v>
      </c>
      <c r="K55" s="138">
        <v>0</v>
      </c>
      <c r="L55">
        <f t="shared" si="1"/>
        <v>0</v>
      </c>
      <c r="M55">
        <f t="shared" si="2"/>
        <v>0</v>
      </c>
      <c r="N55">
        <f t="shared" si="3"/>
        <v>0</v>
      </c>
      <c r="O55">
        <f t="shared" si="4"/>
        <v>0</v>
      </c>
      <c r="P55">
        <f t="shared" si="5"/>
        <v>1</v>
      </c>
      <c r="Q55">
        <f t="shared" si="0"/>
        <v>1</v>
      </c>
      <c r="R55">
        <f t="shared" si="6"/>
        <v>0</v>
      </c>
      <c r="S55">
        <f t="shared" si="7"/>
        <v>0</v>
      </c>
      <c r="T55">
        <f t="shared" si="8"/>
        <v>0</v>
      </c>
      <c r="U55">
        <f t="shared" si="9"/>
        <v>0</v>
      </c>
      <c r="V55">
        <f t="shared" si="10"/>
        <v>0</v>
      </c>
      <c r="W55">
        <f t="shared" si="11"/>
        <v>0</v>
      </c>
      <c r="X55">
        <f t="shared" si="12"/>
        <v>0</v>
      </c>
    </row>
    <row r="56" spans="1:24" x14ac:dyDescent="0.25">
      <c r="A56" s="135">
        <v>46282.091620370367</v>
      </c>
      <c r="B56" s="136" t="s">
        <v>197</v>
      </c>
      <c r="C56" s="136" t="s">
        <v>197</v>
      </c>
      <c r="D56" s="136" t="s">
        <v>30</v>
      </c>
      <c r="E56" s="136" t="s">
        <v>31</v>
      </c>
      <c r="F56" s="137">
        <v>1</v>
      </c>
      <c r="G56" s="136" t="s">
        <v>19</v>
      </c>
      <c r="H56" s="136" t="s">
        <v>39</v>
      </c>
      <c r="I56" s="136" t="s">
        <v>196</v>
      </c>
      <c r="J56" s="136" t="s">
        <v>16</v>
      </c>
      <c r="K56" s="138">
        <v>0</v>
      </c>
      <c r="L56">
        <f t="shared" si="1"/>
        <v>0</v>
      </c>
      <c r="M56">
        <f t="shared" si="2"/>
        <v>0</v>
      </c>
      <c r="N56">
        <f t="shared" si="3"/>
        <v>2</v>
      </c>
      <c r="O56">
        <f t="shared" si="4"/>
        <v>0</v>
      </c>
      <c r="P56">
        <f t="shared" si="5"/>
        <v>0</v>
      </c>
      <c r="Q56">
        <f t="shared" si="0"/>
        <v>0</v>
      </c>
      <c r="R56">
        <f t="shared" si="6"/>
        <v>0</v>
      </c>
      <c r="S56">
        <f t="shared" si="7"/>
        <v>0</v>
      </c>
      <c r="T56">
        <f t="shared" si="8"/>
        <v>0</v>
      </c>
      <c r="U56">
        <f t="shared" si="9"/>
        <v>0</v>
      </c>
      <c r="V56">
        <f t="shared" si="10"/>
        <v>0</v>
      </c>
      <c r="W56">
        <f t="shared" si="11"/>
        <v>0</v>
      </c>
      <c r="X56">
        <f t="shared" si="12"/>
        <v>0</v>
      </c>
    </row>
    <row r="57" spans="1:24" x14ac:dyDescent="0.25">
      <c r="A57" s="135">
        <v>46282.213113425925</v>
      </c>
      <c r="B57" s="136" t="s">
        <v>286</v>
      </c>
      <c r="C57" s="136" t="s">
        <v>286</v>
      </c>
      <c r="D57" s="136" t="s">
        <v>236</v>
      </c>
      <c r="E57" s="136" t="s">
        <v>237</v>
      </c>
      <c r="F57" s="137">
        <v>1</v>
      </c>
      <c r="G57" s="136" t="s">
        <v>13</v>
      </c>
      <c r="H57" s="136" t="s">
        <v>39</v>
      </c>
      <c r="I57" s="136" t="s">
        <v>66</v>
      </c>
      <c r="J57" s="136" t="s">
        <v>160</v>
      </c>
      <c r="K57" s="138">
        <v>0</v>
      </c>
      <c r="L57">
        <f t="shared" si="1"/>
        <v>0</v>
      </c>
      <c r="M57">
        <f t="shared" si="2"/>
        <v>0</v>
      </c>
      <c r="N57">
        <f t="shared" si="3"/>
        <v>0</v>
      </c>
      <c r="O57">
        <f t="shared" si="4"/>
        <v>0</v>
      </c>
      <c r="P57">
        <f t="shared" si="5"/>
        <v>0</v>
      </c>
      <c r="Q57">
        <f t="shared" si="0"/>
        <v>0</v>
      </c>
      <c r="R57">
        <f t="shared" si="6"/>
        <v>0</v>
      </c>
      <c r="S57">
        <f t="shared" si="7"/>
        <v>0</v>
      </c>
      <c r="T57">
        <f t="shared" si="8"/>
        <v>0</v>
      </c>
      <c r="U57">
        <f t="shared" si="9"/>
        <v>0</v>
      </c>
      <c r="V57">
        <f t="shared" si="10"/>
        <v>0</v>
      </c>
      <c r="W57">
        <f t="shared" si="11"/>
        <v>0</v>
      </c>
      <c r="X57">
        <f t="shared" si="12"/>
        <v>0</v>
      </c>
    </row>
    <row r="58" spans="1:24" x14ac:dyDescent="0.25">
      <c r="A58" s="135">
        <v>46282.213287037041</v>
      </c>
      <c r="B58" s="136" t="s">
        <v>287</v>
      </c>
      <c r="C58" s="136" t="s">
        <v>287</v>
      </c>
      <c r="D58" s="136" t="s">
        <v>236</v>
      </c>
      <c r="E58" s="136" t="s">
        <v>237</v>
      </c>
      <c r="F58" s="137">
        <v>1</v>
      </c>
      <c r="G58" s="136" t="s">
        <v>13</v>
      </c>
      <c r="H58" s="136" t="s">
        <v>39</v>
      </c>
      <c r="I58" s="136" t="s">
        <v>66</v>
      </c>
      <c r="J58" s="136" t="s">
        <v>160</v>
      </c>
      <c r="K58" s="138">
        <v>0</v>
      </c>
      <c r="L58">
        <f t="shared" si="1"/>
        <v>0</v>
      </c>
      <c r="M58">
        <f t="shared" si="2"/>
        <v>0</v>
      </c>
      <c r="N58">
        <f t="shared" si="3"/>
        <v>0</v>
      </c>
      <c r="O58">
        <f t="shared" si="4"/>
        <v>0</v>
      </c>
      <c r="P58">
        <f t="shared" si="5"/>
        <v>0</v>
      </c>
      <c r="Q58">
        <f t="shared" si="0"/>
        <v>0</v>
      </c>
      <c r="R58">
        <f t="shared" si="6"/>
        <v>0</v>
      </c>
      <c r="S58">
        <f t="shared" si="7"/>
        <v>0</v>
      </c>
      <c r="T58">
        <f t="shared" si="8"/>
        <v>0</v>
      </c>
      <c r="U58">
        <f t="shared" si="9"/>
        <v>0</v>
      </c>
      <c r="V58">
        <f t="shared" si="10"/>
        <v>0</v>
      </c>
      <c r="W58">
        <f t="shared" si="11"/>
        <v>0</v>
      </c>
      <c r="X58">
        <f t="shared" si="12"/>
        <v>0</v>
      </c>
    </row>
    <row r="59" spans="1:24" x14ac:dyDescent="0.25">
      <c r="A59" s="135">
        <v>46282.372372685182</v>
      </c>
      <c r="B59" s="136" t="s">
        <v>65</v>
      </c>
      <c r="C59" s="136" t="s">
        <v>65</v>
      </c>
      <c r="D59" s="136" t="s">
        <v>26</v>
      </c>
      <c r="E59" s="136" t="s">
        <v>27</v>
      </c>
      <c r="F59" s="137">
        <v>1</v>
      </c>
      <c r="G59" s="136" t="s">
        <v>19</v>
      </c>
      <c r="H59" s="136" t="s">
        <v>39</v>
      </c>
      <c r="I59" s="136" t="s">
        <v>195</v>
      </c>
      <c r="J59" s="136" t="s">
        <v>16</v>
      </c>
      <c r="K59" s="138">
        <v>0</v>
      </c>
      <c r="L59">
        <f t="shared" si="1"/>
        <v>0</v>
      </c>
      <c r="M59">
        <f t="shared" si="2"/>
        <v>0</v>
      </c>
      <c r="N59">
        <f t="shared" si="3"/>
        <v>1</v>
      </c>
      <c r="O59">
        <f t="shared" si="4"/>
        <v>1</v>
      </c>
      <c r="P59">
        <f t="shared" si="5"/>
        <v>0</v>
      </c>
      <c r="Q59">
        <f t="shared" si="0"/>
        <v>0</v>
      </c>
      <c r="R59">
        <f t="shared" si="6"/>
        <v>0</v>
      </c>
      <c r="S59">
        <f t="shared" si="7"/>
        <v>0</v>
      </c>
      <c r="T59">
        <f t="shared" si="8"/>
        <v>0</v>
      </c>
      <c r="U59">
        <f t="shared" si="9"/>
        <v>0</v>
      </c>
      <c r="V59">
        <f t="shared" si="10"/>
        <v>0</v>
      </c>
      <c r="W59">
        <f t="shared" si="11"/>
        <v>0</v>
      </c>
      <c r="X59">
        <f t="shared" si="12"/>
        <v>0</v>
      </c>
    </row>
    <row r="60" spans="1:24" x14ac:dyDescent="0.25">
      <c r="A60" s="135">
        <v>46282.372488425928</v>
      </c>
      <c r="B60" s="136" t="s">
        <v>65</v>
      </c>
      <c r="C60" s="136" t="s">
        <v>65</v>
      </c>
      <c r="D60" s="136" t="s">
        <v>26</v>
      </c>
      <c r="E60" s="136" t="s">
        <v>27</v>
      </c>
      <c r="F60" s="137">
        <v>1</v>
      </c>
      <c r="G60" s="136" t="s">
        <v>19</v>
      </c>
      <c r="H60" s="136" t="s">
        <v>39</v>
      </c>
      <c r="I60" s="136" t="s">
        <v>196</v>
      </c>
      <c r="J60" s="136" t="s">
        <v>16</v>
      </c>
      <c r="K60" s="138">
        <v>0</v>
      </c>
      <c r="L60">
        <f t="shared" si="1"/>
        <v>0</v>
      </c>
      <c r="M60">
        <f t="shared" si="2"/>
        <v>0</v>
      </c>
      <c r="N60">
        <f t="shared" si="3"/>
        <v>1</v>
      </c>
      <c r="O60">
        <f t="shared" si="4"/>
        <v>1</v>
      </c>
      <c r="P60">
        <f t="shared" si="5"/>
        <v>0</v>
      </c>
      <c r="Q60">
        <f t="shared" si="0"/>
        <v>0</v>
      </c>
      <c r="R60">
        <f t="shared" si="6"/>
        <v>0</v>
      </c>
      <c r="S60">
        <f t="shared" si="7"/>
        <v>0</v>
      </c>
      <c r="T60">
        <f t="shared" si="8"/>
        <v>0</v>
      </c>
      <c r="U60">
        <f t="shared" si="9"/>
        <v>0</v>
      </c>
      <c r="V60">
        <f t="shared" si="10"/>
        <v>0</v>
      </c>
      <c r="W60">
        <f t="shared" si="11"/>
        <v>0</v>
      </c>
      <c r="X60">
        <f t="shared" si="12"/>
        <v>0</v>
      </c>
    </row>
    <row r="61" spans="1:24" x14ac:dyDescent="0.25">
      <c r="A61" s="135">
        <v>46282.372604166667</v>
      </c>
      <c r="B61" s="136" t="s">
        <v>67</v>
      </c>
      <c r="C61" s="136" t="s">
        <v>67</v>
      </c>
      <c r="D61" s="136" t="s">
        <v>26</v>
      </c>
      <c r="E61" s="136" t="s">
        <v>27</v>
      </c>
      <c r="F61" s="137">
        <v>1</v>
      </c>
      <c r="G61" s="136" t="s">
        <v>19</v>
      </c>
      <c r="H61" s="136" t="s">
        <v>39</v>
      </c>
      <c r="I61" s="136" t="s">
        <v>196</v>
      </c>
      <c r="J61" s="136" t="s">
        <v>16</v>
      </c>
      <c r="K61" s="138">
        <v>0</v>
      </c>
      <c r="L61">
        <f t="shared" si="1"/>
        <v>0</v>
      </c>
      <c r="M61">
        <f t="shared" si="2"/>
        <v>0</v>
      </c>
      <c r="N61">
        <f t="shared" si="3"/>
        <v>1</v>
      </c>
      <c r="O61">
        <f t="shared" si="4"/>
        <v>1</v>
      </c>
      <c r="P61">
        <f t="shared" si="5"/>
        <v>0</v>
      </c>
      <c r="Q61">
        <f t="shared" si="0"/>
        <v>0</v>
      </c>
      <c r="R61">
        <f t="shared" si="6"/>
        <v>0</v>
      </c>
      <c r="S61">
        <f t="shared" si="7"/>
        <v>0</v>
      </c>
      <c r="T61">
        <f t="shared" si="8"/>
        <v>0</v>
      </c>
      <c r="U61">
        <f t="shared" si="9"/>
        <v>0</v>
      </c>
      <c r="V61">
        <f t="shared" si="10"/>
        <v>0</v>
      </c>
      <c r="W61">
        <f t="shared" si="11"/>
        <v>0</v>
      </c>
      <c r="X61">
        <f t="shared" si="12"/>
        <v>0</v>
      </c>
    </row>
    <row r="62" spans="1:24" x14ac:dyDescent="0.25">
      <c r="A62" s="135">
        <v>46282.372766203705</v>
      </c>
      <c r="B62" s="136" t="s">
        <v>67</v>
      </c>
      <c r="C62" s="136" t="s">
        <v>67</v>
      </c>
      <c r="D62" s="136" t="s">
        <v>26</v>
      </c>
      <c r="E62" s="136" t="s">
        <v>27</v>
      </c>
      <c r="F62" s="137">
        <v>1</v>
      </c>
      <c r="G62" s="136" t="s">
        <v>19</v>
      </c>
      <c r="H62" s="136" t="s">
        <v>39</v>
      </c>
      <c r="I62" s="136" t="s">
        <v>195</v>
      </c>
      <c r="J62" s="136" t="s">
        <v>16</v>
      </c>
      <c r="K62" s="138">
        <v>0</v>
      </c>
      <c r="L62">
        <f t="shared" si="1"/>
        <v>0</v>
      </c>
      <c r="M62">
        <f t="shared" si="2"/>
        <v>0</v>
      </c>
      <c r="N62">
        <f t="shared" si="3"/>
        <v>1</v>
      </c>
      <c r="O62">
        <f t="shared" si="4"/>
        <v>1</v>
      </c>
      <c r="P62">
        <f t="shared" si="5"/>
        <v>0</v>
      </c>
      <c r="Q62">
        <f t="shared" si="0"/>
        <v>0</v>
      </c>
      <c r="R62">
        <f t="shared" si="6"/>
        <v>0</v>
      </c>
      <c r="S62">
        <f t="shared" si="7"/>
        <v>0</v>
      </c>
      <c r="T62">
        <f t="shared" si="8"/>
        <v>0</v>
      </c>
      <c r="U62">
        <f t="shared" si="9"/>
        <v>0</v>
      </c>
      <c r="V62">
        <f t="shared" si="10"/>
        <v>0</v>
      </c>
      <c r="W62">
        <f t="shared" si="11"/>
        <v>0</v>
      </c>
      <c r="X62">
        <f t="shared" si="12"/>
        <v>0</v>
      </c>
    </row>
    <row r="63" spans="1:24" x14ac:dyDescent="0.25">
      <c r="A63" s="135">
        <v>46282.376018518517</v>
      </c>
      <c r="B63" s="136" t="s">
        <v>287</v>
      </c>
      <c r="C63" s="136" t="s">
        <v>287</v>
      </c>
      <c r="D63" s="136" t="s">
        <v>236</v>
      </c>
      <c r="E63" s="136" t="s">
        <v>237</v>
      </c>
      <c r="F63" s="137">
        <v>1</v>
      </c>
      <c r="G63" s="136" t="s">
        <v>13</v>
      </c>
      <c r="H63" s="136" t="s">
        <v>39</v>
      </c>
      <c r="I63" s="136" t="s">
        <v>66</v>
      </c>
      <c r="J63" s="136" t="s">
        <v>160</v>
      </c>
      <c r="K63" s="138">
        <v>0</v>
      </c>
      <c r="L63">
        <f t="shared" si="1"/>
        <v>0</v>
      </c>
      <c r="M63">
        <f t="shared" si="2"/>
        <v>0</v>
      </c>
      <c r="N63">
        <f t="shared" si="3"/>
        <v>0</v>
      </c>
      <c r="O63">
        <f t="shared" si="4"/>
        <v>0</v>
      </c>
      <c r="P63">
        <f t="shared" si="5"/>
        <v>0</v>
      </c>
      <c r="Q63">
        <f t="shared" si="0"/>
        <v>0</v>
      </c>
      <c r="R63">
        <f t="shared" si="6"/>
        <v>0</v>
      </c>
      <c r="S63">
        <f t="shared" si="7"/>
        <v>0</v>
      </c>
      <c r="T63">
        <f t="shared" si="8"/>
        <v>0</v>
      </c>
      <c r="U63">
        <f t="shared" si="9"/>
        <v>0</v>
      </c>
      <c r="V63">
        <f t="shared" si="10"/>
        <v>0</v>
      </c>
      <c r="W63">
        <f t="shared" si="11"/>
        <v>0</v>
      </c>
      <c r="X63">
        <f t="shared" si="12"/>
        <v>0</v>
      </c>
    </row>
    <row r="64" spans="1:24" x14ac:dyDescent="0.25">
      <c r="A64" s="135">
        <v>46282.510833333334</v>
      </c>
      <c r="B64" s="136" t="s">
        <v>206</v>
      </c>
      <c r="C64" s="136" t="s">
        <v>206</v>
      </c>
      <c r="D64" s="136" t="s">
        <v>236</v>
      </c>
      <c r="E64" s="136" t="s">
        <v>237</v>
      </c>
      <c r="F64" s="137">
        <v>1</v>
      </c>
      <c r="G64" s="136" t="s">
        <v>13</v>
      </c>
      <c r="H64" s="136" t="s">
        <v>39</v>
      </c>
      <c r="I64" s="136" t="s">
        <v>66</v>
      </c>
      <c r="J64" s="136" t="s">
        <v>160</v>
      </c>
      <c r="K64" s="138">
        <v>0</v>
      </c>
      <c r="L64">
        <f t="shared" si="1"/>
        <v>0</v>
      </c>
      <c r="M64">
        <f t="shared" si="2"/>
        <v>0</v>
      </c>
      <c r="N64">
        <f t="shared" si="3"/>
        <v>0</v>
      </c>
      <c r="O64">
        <f t="shared" si="4"/>
        <v>0</v>
      </c>
      <c r="P64">
        <f t="shared" si="5"/>
        <v>0</v>
      </c>
      <c r="Q64">
        <f t="shared" si="0"/>
        <v>0</v>
      </c>
      <c r="R64">
        <f t="shared" si="6"/>
        <v>0</v>
      </c>
      <c r="S64">
        <f t="shared" si="7"/>
        <v>0</v>
      </c>
      <c r="T64">
        <f t="shared" si="8"/>
        <v>0</v>
      </c>
      <c r="U64">
        <f t="shared" si="9"/>
        <v>0</v>
      </c>
      <c r="V64">
        <f t="shared" si="10"/>
        <v>0</v>
      </c>
      <c r="W64">
        <f t="shared" si="11"/>
        <v>0</v>
      </c>
      <c r="X64">
        <f t="shared" si="12"/>
        <v>0</v>
      </c>
    </row>
    <row r="65" spans="1:24" x14ac:dyDescent="0.25">
      <c r="A65" s="135">
        <v>46282.524953703702</v>
      </c>
      <c r="B65" s="136" t="s">
        <v>67</v>
      </c>
      <c r="C65" s="136" t="s">
        <v>67</v>
      </c>
      <c r="D65" s="136" t="s">
        <v>26</v>
      </c>
      <c r="E65" s="136" t="s">
        <v>27</v>
      </c>
      <c r="F65" s="137">
        <v>1</v>
      </c>
      <c r="G65" s="136" t="s">
        <v>19</v>
      </c>
      <c r="H65" s="136" t="s">
        <v>39</v>
      </c>
      <c r="I65" s="136" t="s">
        <v>196</v>
      </c>
      <c r="J65" s="136" t="s">
        <v>16</v>
      </c>
      <c r="K65" s="138">
        <v>0</v>
      </c>
      <c r="L65">
        <f t="shared" si="1"/>
        <v>0</v>
      </c>
      <c r="M65">
        <f t="shared" si="2"/>
        <v>0</v>
      </c>
      <c r="N65">
        <f t="shared" si="3"/>
        <v>1</v>
      </c>
      <c r="O65">
        <f t="shared" si="4"/>
        <v>1</v>
      </c>
      <c r="P65">
        <f t="shared" si="5"/>
        <v>0</v>
      </c>
      <c r="Q65">
        <f t="shared" si="0"/>
        <v>0</v>
      </c>
      <c r="R65">
        <f t="shared" si="6"/>
        <v>0</v>
      </c>
      <c r="S65">
        <f t="shared" si="7"/>
        <v>0</v>
      </c>
      <c r="T65">
        <f t="shared" si="8"/>
        <v>0</v>
      </c>
      <c r="U65">
        <f t="shared" si="9"/>
        <v>0</v>
      </c>
      <c r="V65">
        <f t="shared" si="10"/>
        <v>0</v>
      </c>
      <c r="W65">
        <f t="shared" si="11"/>
        <v>0</v>
      </c>
      <c r="X65">
        <f t="shared" si="12"/>
        <v>0</v>
      </c>
    </row>
    <row r="66" spans="1:24" x14ac:dyDescent="0.25">
      <c r="A66" s="135">
        <v>46282.553761574076</v>
      </c>
      <c r="B66" s="136" t="s">
        <v>206</v>
      </c>
      <c r="C66" s="136" t="s">
        <v>206</v>
      </c>
      <c r="D66" s="136" t="s">
        <v>210</v>
      </c>
      <c r="E66" s="136" t="s">
        <v>211</v>
      </c>
      <c r="F66" s="137">
        <v>1</v>
      </c>
      <c r="G66" s="136" t="s">
        <v>13</v>
      </c>
      <c r="H66" s="136" t="s">
        <v>39</v>
      </c>
      <c r="I66" s="136" t="s">
        <v>66</v>
      </c>
      <c r="J66" s="136" t="s">
        <v>160</v>
      </c>
      <c r="K66" s="138">
        <v>0</v>
      </c>
      <c r="L66">
        <f t="shared" si="1"/>
        <v>0</v>
      </c>
      <c r="M66">
        <f t="shared" si="2"/>
        <v>0</v>
      </c>
      <c r="N66">
        <f t="shared" si="3"/>
        <v>0</v>
      </c>
      <c r="O66">
        <f t="shared" si="4"/>
        <v>0</v>
      </c>
      <c r="P66">
        <f t="shared" si="5"/>
        <v>0</v>
      </c>
      <c r="Q66">
        <f t="shared" si="0"/>
        <v>0</v>
      </c>
      <c r="R66">
        <f t="shared" si="6"/>
        <v>0</v>
      </c>
      <c r="S66">
        <f t="shared" si="7"/>
        <v>0</v>
      </c>
      <c r="T66">
        <f t="shared" si="8"/>
        <v>0</v>
      </c>
      <c r="U66">
        <f t="shared" si="9"/>
        <v>0</v>
      </c>
      <c r="V66">
        <f t="shared" si="10"/>
        <v>0</v>
      </c>
      <c r="W66">
        <f t="shared" si="11"/>
        <v>0</v>
      </c>
      <c r="X66">
        <f t="shared" si="12"/>
        <v>0</v>
      </c>
    </row>
    <row r="67" spans="1:24" x14ac:dyDescent="0.25">
      <c r="A67" s="135">
        <v>46282.558182870373</v>
      </c>
      <c r="B67" s="136" t="s">
        <v>65</v>
      </c>
      <c r="C67" s="136" t="s">
        <v>65</v>
      </c>
      <c r="D67" s="136" t="s">
        <v>249</v>
      </c>
      <c r="E67" s="136" t="s">
        <v>299</v>
      </c>
      <c r="F67" s="137">
        <v>1</v>
      </c>
      <c r="G67" s="136" t="s">
        <v>19</v>
      </c>
      <c r="H67" s="136" t="s">
        <v>39</v>
      </c>
      <c r="I67" s="136" t="s">
        <v>195</v>
      </c>
      <c r="J67" s="136" t="s">
        <v>300</v>
      </c>
      <c r="K67" s="138">
        <v>0</v>
      </c>
      <c r="L67">
        <f t="shared" si="1"/>
        <v>0</v>
      </c>
      <c r="M67">
        <f t="shared" si="2"/>
        <v>0</v>
      </c>
      <c r="N67">
        <f t="shared" si="3"/>
        <v>0</v>
      </c>
      <c r="O67">
        <f t="shared" si="4"/>
        <v>0</v>
      </c>
      <c r="P67">
        <f t="shared" si="5"/>
        <v>0</v>
      </c>
      <c r="Q67">
        <f t="shared" si="0"/>
        <v>0</v>
      </c>
      <c r="R67">
        <f t="shared" si="6"/>
        <v>0</v>
      </c>
      <c r="S67">
        <f t="shared" si="7"/>
        <v>0</v>
      </c>
      <c r="T67">
        <f t="shared" si="8"/>
        <v>0</v>
      </c>
      <c r="U67">
        <f t="shared" si="9"/>
        <v>0</v>
      </c>
      <c r="V67">
        <f t="shared" si="10"/>
        <v>0</v>
      </c>
      <c r="W67">
        <f t="shared" si="11"/>
        <v>0</v>
      </c>
      <c r="X67">
        <f t="shared" si="12"/>
        <v>0</v>
      </c>
    </row>
    <row r="68" spans="1:24" x14ac:dyDescent="0.25">
      <c r="A68" s="135">
        <v>46282.558391203704</v>
      </c>
      <c r="B68" s="136" t="s">
        <v>65</v>
      </c>
      <c r="C68" s="136" t="s">
        <v>65</v>
      </c>
      <c r="D68" s="136" t="s">
        <v>249</v>
      </c>
      <c r="E68" s="136" t="s">
        <v>299</v>
      </c>
      <c r="F68" s="137">
        <v>-1</v>
      </c>
      <c r="G68" s="136" t="s">
        <v>19</v>
      </c>
      <c r="H68" s="136" t="s">
        <v>39</v>
      </c>
      <c r="I68" s="136" t="s">
        <v>195</v>
      </c>
      <c r="J68" s="136" t="s">
        <v>300</v>
      </c>
      <c r="K68" s="138">
        <v>0</v>
      </c>
      <c r="L68">
        <f t="shared" si="1"/>
        <v>0</v>
      </c>
      <c r="M68">
        <f t="shared" si="2"/>
        <v>0</v>
      </c>
      <c r="N68">
        <f t="shared" si="3"/>
        <v>0</v>
      </c>
      <c r="O68">
        <f t="shared" si="4"/>
        <v>0</v>
      </c>
      <c r="P68">
        <f t="shared" si="5"/>
        <v>0</v>
      </c>
      <c r="Q68">
        <f t="shared" ref="Q68:Q99" si="13">IF(AND(ISNUMBER(SEARCH("T517 CBN COMPLET",$B68)),ISNUMBER(SEARCH("EMAG 2",$G68)),ISNUMBER(SEARCH("356x26 RPI",$J68))),$F68,IF(AND(ISNUMBER(SEARCH("T519 CBN COMPLET",$B68)),ISNUMBER(SEARCH("EMAG 2",$G68)),ISNUMBER(SEARCH("356x26 RPI",$J68))),$F68,IF(AND(ISNUMBER(SEARCH("T5013 COMPLET",$B68)),ISNUMBER(SEARCH("EMAG 2",$G68)),ISNUMBER(SEARCH("356x26 RPI",$J68))),2*$F68,0)))</f>
        <v>0</v>
      </c>
      <c r="R68">
        <f t="shared" si="6"/>
        <v>0</v>
      </c>
      <c r="S68">
        <f t="shared" si="7"/>
        <v>0</v>
      </c>
      <c r="T68">
        <f t="shared" si="8"/>
        <v>0</v>
      </c>
      <c r="U68">
        <f t="shared" si="9"/>
        <v>0</v>
      </c>
      <c r="V68">
        <f t="shared" si="10"/>
        <v>0</v>
      </c>
      <c r="W68">
        <f t="shared" si="11"/>
        <v>0</v>
      </c>
      <c r="X68">
        <f t="shared" si="12"/>
        <v>0</v>
      </c>
    </row>
    <row r="69" spans="1:24" x14ac:dyDescent="0.25">
      <c r="A69" s="135">
        <v>46282.886203703703</v>
      </c>
      <c r="B69" s="136" t="s">
        <v>67</v>
      </c>
      <c r="C69" s="136" t="s">
        <v>67</v>
      </c>
      <c r="D69" s="136" t="s">
        <v>30</v>
      </c>
      <c r="E69" s="136" t="s">
        <v>31</v>
      </c>
      <c r="F69" s="137">
        <v>1</v>
      </c>
      <c r="G69" s="136" t="s">
        <v>19</v>
      </c>
      <c r="H69" s="136" t="s">
        <v>39</v>
      </c>
      <c r="I69" s="136" t="s">
        <v>196</v>
      </c>
      <c r="J69" s="136" t="s">
        <v>16</v>
      </c>
      <c r="K69" s="138">
        <v>0</v>
      </c>
      <c r="L69">
        <f t="shared" ref="L69:L100" si="14">(IF(AND(ISNUMBER(SEARCH("T511 CBN COMPLET",$B69)),ISNUMBER(SEARCH("EMAG 1",$G69)),ISNUMBER(SEARCH("304x28 RPE",$J69))),1*$F69,(IF(AND(ISNUMBER(SEARCH("T513 CBN COMPLET",$B69)),ISNUMBER(SEARCH("EMAG 1",$G69)),ISNUMBER(SEARCH("304x28 RPE",$J69))),2*$F69,0))))</f>
        <v>0</v>
      </c>
      <c r="M69">
        <f t="shared" ref="M69:M100" si="15">(IF(AND(ISNUMBER(SEARCH("T511 CBN COMPLET",$B69)),ISNUMBER(SEARCH("EMAG 1",$G69)),ISNUMBER(SEARCH("304x28 RPE",$J69))),1*$F69,(IF(AND(ISNUMBER(SEARCH("T515 CBN COMPLET",$B69)),ISNUMBER(SEARCH("EMAG 1",$G69)),ISNUMBER(SEARCH("304x28 RPE",$J69))),2*$F69,0))))</f>
        <v>0</v>
      </c>
      <c r="N69">
        <f t="shared" ref="N69:N100" si="16">(IF(AND(ISNUMBER(SEARCH("T517 CBN COMPLET",$B69)),ISNUMBER(SEARCH("EMAG 1",$G69)),ISNUMBER(SEARCH("356x26 RPI",$J69))),1*$F69,(IF(AND(ISNUMBER(SEARCH("T513 CBN COMPLET",$B69)),ISNUMBER(SEARCH("EMAG 1",$G69)),ISNUMBER(SEARCH("356x26 RPI",$J69))),2*$F69,(IF(AND(ISNUMBER(SEARCH("T519 CBN COMPLET",$B69)),ISNUMBER(SEARCH("EMAG 1",$G69)),ISNUMBER(SEARCH("356x26 RPI",$J69))),1*$F69,0))))))</f>
        <v>1</v>
      </c>
      <c r="O69">
        <f t="shared" ref="O69:O100" si="17">(IF(AND(ISNUMBER(SEARCH("T517 CBN COMPLET",$B69)),ISNUMBER(SEARCH("EMAG 1",$G69)),ISNUMBER(SEARCH("356x26 RPI",$J69))),1*$F69,(IF(AND(ISNUMBER(SEARCH("T519 CBN COMPLET",$B69)),ISNUMBER(SEARCH("EMAG 1",$G69)),ISNUMBER(SEARCH("356x26 RPI",$J69))),1*$F69,0))))</f>
        <v>1</v>
      </c>
      <c r="P69">
        <f t="shared" ref="P69:P100" si="18">(IF(AND(ISNUMBER(SEARCH("T517 CBN COMPLET",$B69)),ISNUMBER(SEARCH("EMAG 2",$G69)),ISNUMBER(SEARCH("356x26 RPI",$J69))),1*$F69,(IF(AND(ISNUMBER(SEARCH("T513 CBN COMPLET",$B69)),ISNUMBER(SEARCH("EMAG 2",$G69)),ISNUMBER(SEARCH("356x26 RPI",$J69))),2*$F69,(IF(AND(ISNUMBER(SEARCH("T519 CBN COMPLET",$B69)),ISNUMBER(SEARCH("EMAG 2",$G69)),ISNUMBER(SEARCH("356x26 RPI",$J69))),1*$F69,0))))))</f>
        <v>0</v>
      </c>
      <c r="Q69">
        <f t="shared" si="13"/>
        <v>0</v>
      </c>
      <c r="R69">
        <f t="shared" ref="R69:R100" si="19">(IF(AND(ISNUMBER(SEARCH("T5013 COMPLET",$B69)),ISNUMBER(SEARCH("EMAG 2",$G69)),ISNUMBER(SEARCH("356x26 RPI",$J69))),1*$F69,(IF(AND(ISNUMBER(SEARCH("T5013 CBN COMPLET",$B69)),ISNUMBER(SEARCH("EMAG 2",$G69)),ISNUMBER(SEARCH("356x26 RPI",$J69))),1*$F69,0))))</f>
        <v>0</v>
      </c>
      <c r="S69">
        <f t="shared" ref="S69:S100" si="20">(IF(AND(ISNUMBER(SEARCH("T517 CBN COMPLET",$B69)),ISNUMBER(SEARCH("EMAG 2",$G69)),ISNUMBER(SEARCH("330x14",$J69))),1*$F69,(IF(AND(ISNUMBER(SEARCH("T513 CBN COMPLET",$B69)),ISNUMBER(SEARCH("EMAG 2",$G69)),ISNUMBER(SEARCH("330x14",$J69))),2*$F69,(IF(AND(ISNUMBER(SEARCH("T519 CBN COMPLET",$B69)),ISNUMBER(SEARCH("EMAG 2",$G69)),ISNUMBER(SEARCH("330x14",$J69))),1*$F69,0))))))</f>
        <v>0</v>
      </c>
      <c r="T69">
        <f t="shared" ref="T69:T100" si="21">(IF(AND(ISNUMBER(SEARCH("T517 CBN COMPLET",$B69)),ISNUMBER(SEARCH("EMAG 2",$G69)),ISNUMBER(SEARCH("330x14",$J69))),1*$F69,(IF(AND(ISNUMBER(SEARCH("T519 CBN COMPLET",$B69)),ISNUMBER(SEARCH("EMAG 2",$G69)),ISNUMBER(SEARCH("330x14",$J69))),1*$F69,0))))</f>
        <v>0</v>
      </c>
      <c r="U69">
        <f t="shared" ref="U69:U100" si="22">(IF(AND(ISNUMBER(SEARCH("T511 CBN COMPLET",$B69)),ISNUMBER(SEARCH("EMAG 3",$G69)),ISNUMBER(SEARCH("304x28 RPE",$J69))),1*$F69,(IF(AND(ISNUMBER(SEARCH("T513 CBN COMPLET",$B69)),ISNUMBER(SEARCH("EMAG 3",$G69)),ISNUMBER(SEARCH("304x28 RPE",$J69))),2*$F69,0))))</f>
        <v>0</v>
      </c>
      <c r="V69">
        <f t="shared" ref="V69:V100" si="23">(IF(AND(ISNUMBER(SEARCH("T511 CBN COMPLET",$B69)),ISNUMBER(SEARCH("EMAG 3",$G69)),ISNUMBER(SEARCH("304x28 RPE",$J69))),1*$F69,(IF(AND(ISNUMBER(SEARCH("T515 CBN COMPLET",$B69)),ISNUMBER(SEARCH("EMAG 3",$G69)),ISNUMBER(SEARCH("304x28 RPE",$J69))),2*$F69,0))))</f>
        <v>0</v>
      </c>
      <c r="W69">
        <f t="shared" ref="W69:W100" si="24">(IF(AND(ISNUMBER(SEARCH("T517 CBN COMPLET",$B69)),ISNUMBER(SEARCH("EMAG 3",$G69)),ISNUMBER(SEARCH("330x14",$J69))),1*$F69,(IF(AND(ISNUMBER(SEARCH("T513 CBN COMPLET",$B69)),ISNUMBER(SEARCH("EMAG 3",$G69)),ISNUMBER(SEARCH("330x14",$J69))),2*$F69,(IF(AND(ISNUMBER(SEARCH("T519 CBN COMPLET",$B69)),ISNUMBER(SEARCH("EMAG 3",$G69)),ISNUMBER(SEARCH("330x14",$J69))),1*$F69,0))))))</f>
        <v>0</v>
      </c>
      <c r="X69">
        <f t="shared" ref="X69:X100" si="25">(IF(AND(ISNUMBER(SEARCH("T517 CBN COMPLET",$B69)),ISNUMBER(SEARCH("EMAG 3",$G69)),ISNUMBER(SEARCH("330x14",$J69))),1*$F69,(IF(AND(ISNUMBER(SEARCH("T519 CBN COMPLET",$B69)),ISNUMBER(SEARCH("EMAG 3",$G69)),ISNUMBER(SEARCH("330x14",$J69))),1*$F69,0))))</f>
        <v>0</v>
      </c>
    </row>
    <row r="70" spans="1:24" x14ac:dyDescent="0.25">
      <c r="A70" s="135">
        <v>46282.978831018518</v>
      </c>
      <c r="B70" s="136" t="s">
        <v>197</v>
      </c>
      <c r="C70" s="136" t="s">
        <v>197</v>
      </c>
      <c r="D70" s="136" t="s">
        <v>30</v>
      </c>
      <c r="E70" s="136" t="s">
        <v>31</v>
      </c>
      <c r="F70" s="137">
        <v>1</v>
      </c>
      <c r="G70" s="136" t="s">
        <v>19</v>
      </c>
      <c r="H70" s="136" t="s">
        <v>39</v>
      </c>
      <c r="I70" s="136" t="s">
        <v>196</v>
      </c>
      <c r="J70" s="136" t="s">
        <v>16</v>
      </c>
      <c r="K70" s="138">
        <v>0</v>
      </c>
      <c r="L70">
        <f t="shared" si="14"/>
        <v>0</v>
      </c>
      <c r="M70">
        <f t="shared" si="15"/>
        <v>0</v>
      </c>
      <c r="N70">
        <f t="shared" si="16"/>
        <v>2</v>
      </c>
      <c r="O70">
        <f t="shared" si="17"/>
        <v>0</v>
      </c>
      <c r="P70">
        <f t="shared" si="18"/>
        <v>0</v>
      </c>
      <c r="Q70">
        <f t="shared" si="13"/>
        <v>0</v>
      </c>
      <c r="R70">
        <f t="shared" si="19"/>
        <v>0</v>
      </c>
      <c r="S70">
        <f t="shared" si="20"/>
        <v>0</v>
      </c>
      <c r="T70">
        <f t="shared" si="21"/>
        <v>0</v>
      </c>
      <c r="U70">
        <f t="shared" si="22"/>
        <v>0</v>
      </c>
      <c r="V70">
        <f t="shared" si="23"/>
        <v>0</v>
      </c>
      <c r="W70">
        <f t="shared" si="24"/>
        <v>0</v>
      </c>
      <c r="X70">
        <f t="shared" si="25"/>
        <v>0</v>
      </c>
    </row>
    <row r="71" spans="1:24" x14ac:dyDescent="0.25">
      <c r="A71" s="135">
        <v>46283.058263888888</v>
      </c>
      <c r="B71" s="136" t="s">
        <v>286</v>
      </c>
      <c r="C71" s="136" t="s">
        <v>286</v>
      </c>
      <c r="D71" s="136" t="s">
        <v>30</v>
      </c>
      <c r="E71" s="136" t="s">
        <v>31</v>
      </c>
      <c r="F71" s="137">
        <v>1</v>
      </c>
      <c r="G71" s="136" t="s">
        <v>13</v>
      </c>
      <c r="H71" s="136" t="s">
        <v>39</v>
      </c>
      <c r="I71" s="136" t="s">
        <v>66</v>
      </c>
      <c r="J71" s="136" t="s">
        <v>160</v>
      </c>
      <c r="K71" s="138">
        <v>0</v>
      </c>
      <c r="L71">
        <f t="shared" si="14"/>
        <v>0</v>
      </c>
      <c r="M71">
        <f t="shared" si="15"/>
        <v>0</v>
      </c>
      <c r="N71">
        <f t="shared" si="16"/>
        <v>0</v>
      </c>
      <c r="O71">
        <f t="shared" si="17"/>
        <v>0</v>
      </c>
      <c r="P71">
        <f t="shared" si="18"/>
        <v>0</v>
      </c>
      <c r="Q71">
        <f t="shared" si="13"/>
        <v>0</v>
      </c>
      <c r="R71">
        <f t="shared" si="19"/>
        <v>0</v>
      </c>
      <c r="S71">
        <f t="shared" si="20"/>
        <v>0</v>
      </c>
      <c r="T71">
        <f t="shared" si="21"/>
        <v>0</v>
      </c>
      <c r="U71">
        <f t="shared" si="22"/>
        <v>0</v>
      </c>
      <c r="V71">
        <f t="shared" si="23"/>
        <v>0</v>
      </c>
      <c r="W71">
        <f t="shared" si="24"/>
        <v>0</v>
      </c>
      <c r="X71">
        <f t="shared" si="25"/>
        <v>0</v>
      </c>
    </row>
    <row r="72" spans="1:24" x14ac:dyDescent="0.25">
      <c r="A72" s="135">
        <v>46283.238564814812</v>
      </c>
      <c r="B72" s="136" t="s">
        <v>287</v>
      </c>
      <c r="C72" s="136" t="s">
        <v>287</v>
      </c>
      <c r="D72" s="136" t="s">
        <v>229</v>
      </c>
      <c r="E72" s="136" t="s">
        <v>230</v>
      </c>
      <c r="F72" s="137">
        <v>1</v>
      </c>
      <c r="G72" s="136" t="s">
        <v>13</v>
      </c>
      <c r="H72" s="136" t="s">
        <v>39</v>
      </c>
      <c r="I72" s="136" t="s">
        <v>66</v>
      </c>
      <c r="J72" s="136" t="s">
        <v>160</v>
      </c>
      <c r="K72" s="138">
        <v>0</v>
      </c>
      <c r="L72">
        <f t="shared" si="14"/>
        <v>0</v>
      </c>
      <c r="M72">
        <f t="shared" si="15"/>
        <v>0</v>
      </c>
      <c r="N72">
        <f t="shared" si="16"/>
        <v>0</v>
      </c>
      <c r="O72">
        <f t="shared" si="17"/>
        <v>0</v>
      </c>
      <c r="P72">
        <f t="shared" si="18"/>
        <v>0</v>
      </c>
      <c r="Q72">
        <f t="shared" si="13"/>
        <v>0</v>
      </c>
      <c r="R72">
        <f t="shared" si="19"/>
        <v>0</v>
      </c>
      <c r="S72">
        <f t="shared" si="20"/>
        <v>0</v>
      </c>
      <c r="T72">
        <f t="shared" si="21"/>
        <v>0</v>
      </c>
      <c r="U72">
        <f t="shared" si="22"/>
        <v>0</v>
      </c>
      <c r="V72">
        <f t="shared" si="23"/>
        <v>0</v>
      </c>
      <c r="W72">
        <f t="shared" si="24"/>
        <v>0</v>
      </c>
      <c r="X72">
        <f t="shared" si="25"/>
        <v>0</v>
      </c>
    </row>
    <row r="73" spans="1:24" x14ac:dyDescent="0.25">
      <c r="A73" s="135">
        <v>46283.597685185188</v>
      </c>
      <c r="B73" s="136" t="s">
        <v>65</v>
      </c>
      <c r="C73" s="136" t="s">
        <v>65</v>
      </c>
      <c r="D73" s="136" t="s">
        <v>281</v>
      </c>
      <c r="E73" s="136" t="s">
        <v>282</v>
      </c>
      <c r="F73" s="137">
        <v>1</v>
      </c>
      <c r="G73" s="136" t="s">
        <v>19</v>
      </c>
      <c r="H73" s="136" t="s">
        <v>39</v>
      </c>
      <c r="I73" s="136" t="s">
        <v>195</v>
      </c>
      <c r="J73" s="136" t="s">
        <v>16</v>
      </c>
      <c r="K73" s="138">
        <v>0</v>
      </c>
      <c r="L73">
        <f t="shared" si="14"/>
        <v>0</v>
      </c>
      <c r="M73">
        <f t="shared" si="15"/>
        <v>0</v>
      </c>
      <c r="N73">
        <f t="shared" si="16"/>
        <v>1</v>
      </c>
      <c r="O73">
        <f t="shared" si="17"/>
        <v>1</v>
      </c>
      <c r="P73">
        <f t="shared" si="18"/>
        <v>0</v>
      </c>
      <c r="Q73">
        <f t="shared" si="13"/>
        <v>0</v>
      </c>
      <c r="R73">
        <f t="shared" si="19"/>
        <v>0</v>
      </c>
      <c r="S73">
        <f t="shared" si="20"/>
        <v>0</v>
      </c>
      <c r="T73">
        <f t="shared" si="21"/>
        <v>0</v>
      </c>
      <c r="U73">
        <f t="shared" si="22"/>
        <v>0</v>
      </c>
      <c r="V73">
        <f t="shared" si="23"/>
        <v>0</v>
      </c>
      <c r="W73">
        <f t="shared" si="24"/>
        <v>0</v>
      </c>
      <c r="X73">
        <f t="shared" si="25"/>
        <v>0</v>
      </c>
    </row>
    <row r="74" spans="1:24" x14ac:dyDescent="0.25">
      <c r="A74" s="135">
        <v>46283.597858796296</v>
      </c>
      <c r="B74" s="136" t="s">
        <v>65</v>
      </c>
      <c r="C74" s="136" t="s">
        <v>65</v>
      </c>
      <c r="D74" s="136" t="s">
        <v>281</v>
      </c>
      <c r="E74" s="136" t="s">
        <v>282</v>
      </c>
      <c r="F74" s="137">
        <v>1</v>
      </c>
      <c r="G74" s="136" t="s">
        <v>19</v>
      </c>
      <c r="H74" s="136" t="s">
        <v>39</v>
      </c>
      <c r="I74" s="136" t="s">
        <v>196</v>
      </c>
      <c r="J74" s="136" t="s">
        <v>16</v>
      </c>
      <c r="K74" s="138">
        <v>0</v>
      </c>
      <c r="L74">
        <f t="shared" ref="L74:L83" si="26">(IF(AND(ISNUMBER(SEARCH("T511 CBN COMPLET",$B74)),ISNUMBER(SEARCH("EMAG 1",$G74)),ISNUMBER(SEARCH("304x28 RPE",$J74))),1*$F74,(IF(AND(ISNUMBER(SEARCH("T513 CBN COMPLET",$B74)),ISNUMBER(SEARCH("EMAG 1",$G74)),ISNUMBER(SEARCH("304x28 RPE",$J74))),2*$F74,0))))</f>
        <v>0</v>
      </c>
      <c r="M74">
        <f t="shared" ref="M74:M83" si="27">(IF(AND(ISNUMBER(SEARCH("T511 CBN COMPLET",$B74)),ISNUMBER(SEARCH("EMAG 1",$G74)),ISNUMBER(SEARCH("304x28 RPE",$J74))),1*$F74,(IF(AND(ISNUMBER(SEARCH("T515 CBN COMPLET",$B74)),ISNUMBER(SEARCH("EMAG 1",$G74)),ISNUMBER(SEARCH("304x28 RPE",$J74))),2*$F74,0))))</f>
        <v>0</v>
      </c>
      <c r="N74">
        <f t="shared" ref="N74:N83" si="28">(IF(AND(ISNUMBER(SEARCH("T517 CBN COMPLET",$B74)),ISNUMBER(SEARCH("EMAG 1",$G74)),ISNUMBER(SEARCH("356x26 RPI",$J74))),1*$F74,(IF(AND(ISNUMBER(SEARCH("T513 CBN COMPLET",$B74)),ISNUMBER(SEARCH("EMAG 1",$G74)),ISNUMBER(SEARCH("356x26 RPI",$J74))),2*$F74,(IF(AND(ISNUMBER(SEARCH("T519 CBN COMPLET",$B74)),ISNUMBER(SEARCH("EMAG 1",$G74)),ISNUMBER(SEARCH("356x26 RPI",$J74))),1*$F74,0))))))</f>
        <v>1</v>
      </c>
      <c r="O74">
        <f t="shared" ref="O74:O83" si="29">(IF(AND(ISNUMBER(SEARCH("T517 CBN COMPLET",$B74)),ISNUMBER(SEARCH("EMAG 1",$G74)),ISNUMBER(SEARCH("356x26 RPI",$J74))),1*$F74,(IF(AND(ISNUMBER(SEARCH("T519 CBN COMPLET",$B74)),ISNUMBER(SEARCH("EMAG 1",$G74)),ISNUMBER(SEARCH("356x26 RPI",$J74))),1*$F74,0))))</f>
        <v>1</v>
      </c>
      <c r="P74">
        <f t="shared" ref="P74:P83" si="30">(IF(AND(ISNUMBER(SEARCH("T517 CBN COMPLET",$B74)),ISNUMBER(SEARCH("EMAG 2",$G74)),ISNUMBER(SEARCH("356x26 RPI",$J74))),1*$F74,(IF(AND(ISNUMBER(SEARCH("T513 CBN COMPLET",$B74)),ISNUMBER(SEARCH("EMAG 2",$G74)),ISNUMBER(SEARCH("356x26 RPI",$J74))),2*$F74,(IF(AND(ISNUMBER(SEARCH("T519 CBN COMPLET",$B74)),ISNUMBER(SEARCH("EMAG 2",$G74)),ISNUMBER(SEARCH("356x26 RPI",$J74))),1*$F74,0))))))</f>
        <v>0</v>
      </c>
      <c r="Q74">
        <f t="shared" ref="Q74:Q83" si="31">IF(AND(ISNUMBER(SEARCH("T517 CBN COMPLET",$B74)),ISNUMBER(SEARCH("EMAG 2",$G74)),ISNUMBER(SEARCH("356x26 RPI",$J74))),$F74,IF(AND(ISNUMBER(SEARCH("T519 CBN COMPLET",$B74)),ISNUMBER(SEARCH("EMAG 2",$G74)),ISNUMBER(SEARCH("356x26 RPI",$J74))),$F74,IF(AND(ISNUMBER(SEARCH("T5013 COMPLET",$B74)),ISNUMBER(SEARCH("EMAG 2",$G74)),ISNUMBER(SEARCH("356x26 RPI",$J74))),2*$F74,0)))</f>
        <v>0</v>
      </c>
      <c r="R74">
        <f t="shared" ref="R74:R83" si="32">(IF(AND(ISNUMBER(SEARCH("T5013 COMPLET",$B74)),ISNUMBER(SEARCH("EMAG 2",$G74)),ISNUMBER(SEARCH("356x26 RPI",$J74))),1*$F74,(IF(AND(ISNUMBER(SEARCH("T5013 CBN COMPLET",$B74)),ISNUMBER(SEARCH("EMAG 2",$G74)),ISNUMBER(SEARCH("356x26 RPI",$J74))),1*$F74,0))))</f>
        <v>0</v>
      </c>
      <c r="S74">
        <f t="shared" ref="S74:S83" si="33">(IF(AND(ISNUMBER(SEARCH("T517 CBN COMPLET",$B74)),ISNUMBER(SEARCH("EMAG 2",$G74)),ISNUMBER(SEARCH("330x14",$J74))),1*$F74,(IF(AND(ISNUMBER(SEARCH("T513 CBN COMPLET",$B74)),ISNUMBER(SEARCH("EMAG 2",$G74)),ISNUMBER(SEARCH("330x14",$J74))),2*$F74,(IF(AND(ISNUMBER(SEARCH("T519 CBN COMPLET",$B74)),ISNUMBER(SEARCH("EMAG 2",$G74)),ISNUMBER(SEARCH("330x14",$J74))),1*$F74,0))))))</f>
        <v>0</v>
      </c>
      <c r="T74">
        <f t="shared" ref="T74:T83" si="34">(IF(AND(ISNUMBER(SEARCH("T517 CBN COMPLET",$B74)),ISNUMBER(SEARCH("EMAG 2",$G74)),ISNUMBER(SEARCH("330x14",$J74))),1*$F74,(IF(AND(ISNUMBER(SEARCH("T519 CBN COMPLET",$B74)),ISNUMBER(SEARCH("EMAG 2",$G74)),ISNUMBER(SEARCH("330x14",$J74))),1*$F74,0))))</f>
        <v>0</v>
      </c>
      <c r="U74">
        <f t="shared" ref="U74:U83" si="35">(IF(AND(ISNUMBER(SEARCH("T511 CBN COMPLET",$B74)),ISNUMBER(SEARCH("EMAG 3",$G74)),ISNUMBER(SEARCH("304x28 RPE",$J74))),1*$F74,(IF(AND(ISNUMBER(SEARCH("T513 CBN COMPLET",$B74)),ISNUMBER(SEARCH("EMAG 3",$G74)),ISNUMBER(SEARCH("304x28 RPE",$J74))),2*$F74,0))))</f>
        <v>0</v>
      </c>
      <c r="V74">
        <f t="shared" ref="V74:V83" si="36">(IF(AND(ISNUMBER(SEARCH("T511 CBN COMPLET",$B74)),ISNUMBER(SEARCH("EMAG 3",$G74)),ISNUMBER(SEARCH("304x28 RPE",$J74))),1*$F74,(IF(AND(ISNUMBER(SEARCH("T515 CBN COMPLET",$B74)),ISNUMBER(SEARCH("EMAG 3",$G74)),ISNUMBER(SEARCH("304x28 RPE",$J74))),2*$F74,0))))</f>
        <v>0</v>
      </c>
      <c r="W74">
        <f t="shared" ref="W74:W83" si="37">(IF(AND(ISNUMBER(SEARCH("T517 CBN COMPLET",$B74)),ISNUMBER(SEARCH("EMAG 3",$G74)),ISNUMBER(SEARCH("330x14",$J74))),1*$F74,(IF(AND(ISNUMBER(SEARCH("T513 CBN COMPLET",$B74)),ISNUMBER(SEARCH("EMAG 3",$G74)),ISNUMBER(SEARCH("330x14",$J74))),2*$F74,(IF(AND(ISNUMBER(SEARCH("T519 CBN COMPLET",$B74)),ISNUMBER(SEARCH("EMAG 3",$G74)),ISNUMBER(SEARCH("330x14",$J74))),1*$F74,0))))))</f>
        <v>0</v>
      </c>
      <c r="X74">
        <f t="shared" ref="X74:X83" si="38">(IF(AND(ISNUMBER(SEARCH("T517 CBN COMPLET",$B74)),ISNUMBER(SEARCH("EMAG 3",$G74)),ISNUMBER(SEARCH("330x14",$J74))),1*$F74,(IF(AND(ISNUMBER(SEARCH("T519 CBN COMPLET",$B74)),ISNUMBER(SEARCH("EMAG 3",$G74)),ISNUMBER(SEARCH("330x14",$J74))),1*$F74,0))))</f>
        <v>0</v>
      </c>
    </row>
    <row r="75" spans="1:24" x14ac:dyDescent="0.25">
      <c r="A75" s="135">
        <v>46283.686724537038</v>
      </c>
      <c r="B75" s="136" t="s">
        <v>286</v>
      </c>
      <c r="C75" s="136" t="s">
        <v>286</v>
      </c>
      <c r="D75" s="136" t="s">
        <v>210</v>
      </c>
      <c r="E75" s="136" t="s">
        <v>211</v>
      </c>
      <c r="F75" s="137">
        <v>1</v>
      </c>
      <c r="G75" s="136" t="s">
        <v>13</v>
      </c>
      <c r="H75" s="136" t="s">
        <v>39</v>
      </c>
      <c r="I75" s="136" t="s">
        <v>66</v>
      </c>
      <c r="J75" s="136" t="s">
        <v>160</v>
      </c>
      <c r="K75" s="138">
        <v>0</v>
      </c>
      <c r="L75">
        <f t="shared" si="26"/>
        <v>0</v>
      </c>
      <c r="M75">
        <f t="shared" si="27"/>
        <v>0</v>
      </c>
      <c r="N75">
        <f t="shared" si="28"/>
        <v>0</v>
      </c>
      <c r="O75">
        <f t="shared" si="29"/>
        <v>0</v>
      </c>
      <c r="P75">
        <f t="shared" si="30"/>
        <v>0</v>
      </c>
      <c r="Q75">
        <f t="shared" si="31"/>
        <v>0</v>
      </c>
      <c r="R75">
        <f t="shared" si="32"/>
        <v>0</v>
      </c>
      <c r="S75">
        <f t="shared" si="33"/>
        <v>0</v>
      </c>
      <c r="T75">
        <f t="shared" si="34"/>
        <v>0</v>
      </c>
      <c r="U75">
        <f t="shared" si="35"/>
        <v>0</v>
      </c>
      <c r="V75">
        <f t="shared" si="36"/>
        <v>0</v>
      </c>
      <c r="W75">
        <f t="shared" si="37"/>
        <v>0</v>
      </c>
      <c r="X75">
        <f t="shared" si="38"/>
        <v>0</v>
      </c>
    </row>
    <row r="76" spans="1:24" x14ac:dyDescent="0.25">
      <c r="A76" s="135">
        <v>46283.686921296299</v>
      </c>
      <c r="B76" s="136" t="s">
        <v>206</v>
      </c>
      <c r="C76" s="136" t="s">
        <v>206</v>
      </c>
      <c r="D76" s="136" t="s">
        <v>210</v>
      </c>
      <c r="E76" s="136" t="s">
        <v>211</v>
      </c>
      <c r="F76" s="137">
        <v>1</v>
      </c>
      <c r="G76" s="136" t="s">
        <v>13</v>
      </c>
      <c r="H76" s="136" t="s">
        <v>39</v>
      </c>
      <c r="I76" s="136" t="s">
        <v>66</v>
      </c>
      <c r="J76" s="136" t="s">
        <v>160</v>
      </c>
      <c r="K76" s="138">
        <v>0</v>
      </c>
      <c r="L76">
        <f t="shared" si="26"/>
        <v>0</v>
      </c>
      <c r="M76">
        <f t="shared" si="27"/>
        <v>0</v>
      </c>
      <c r="N76">
        <f t="shared" si="28"/>
        <v>0</v>
      </c>
      <c r="O76">
        <f t="shared" si="29"/>
        <v>0</v>
      </c>
      <c r="P76">
        <f t="shared" si="30"/>
        <v>0</v>
      </c>
      <c r="Q76">
        <f t="shared" si="31"/>
        <v>0</v>
      </c>
      <c r="R76">
        <f t="shared" si="32"/>
        <v>0</v>
      </c>
      <c r="S76">
        <f t="shared" si="33"/>
        <v>0</v>
      </c>
      <c r="T76">
        <f t="shared" si="34"/>
        <v>0</v>
      </c>
      <c r="U76">
        <f t="shared" si="35"/>
        <v>0</v>
      </c>
      <c r="V76">
        <f t="shared" si="36"/>
        <v>0</v>
      </c>
      <c r="W76">
        <f t="shared" si="37"/>
        <v>0</v>
      </c>
      <c r="X76">
        <f t="shared" si="38"/>
        <v>0</v>
      </c>
    </row>
    <row r="77" spans="1:24" x14ac:dyDescent="0.25">
      <c r="A77" s="135">
        <v>46283.687037037038</v>
      </c>
      <c r="B77" s="136" t="s">
        <v>287</v>
      </c>
      <c r="C77" s="136" t="s">
        <v>287</v>
      </c>
      <c r="D77" s="136" t="s">
        <v>210</v>
      </c>
      <c r="E77" s="136" t="s">
        <v>211</v>
      </c>
      <c r="F77" s="137">
        <v>1</v>
      </c>
      <c r="G77" s="136" t="s">
        <v>13</v>
      </c>
      <c r="H77" s="136" t="s">
        <v>39</v>
      </c>
      <c r="I77" s="136" t="s">
        <v>66</v>
      </c>
      <c r="J77" s="136" t="s">
        <v>160</v>
      </c>
      <c r="K77" s="138">
        <v>0</v>
      </c>
      <c r="L77">
        <f t="shared" si="26"/>
        <v>0</v>
      </c>
      <c r="M77">
        <f t="shared" si="27"/>
        <v>0</v>
      </c>
      <c r="N77">
        <f t="shared" si="28"/>
        <v>0</v>
      </c>
      <c r="O77">
        <f t="shared" si="29"/>
        <v>0</v>
      </c>
      <c r="P77">
        <f t="shared" si="30"/>
        <v>0</v>
      </c>
      <c r="Q77">
        <f t="shared" si="31"/>
        <v>0</v>
      </c>
      <c r="R77">
        <f t="shared" si="32"/>
        <v>0</v>
      </c>
      <c r="S77">
        <f t="shared" si="33"/>
        <v>0</v>
      </c>
      <c r="T77">
        <f t="shared" si="34"/>
        <v>0</v>
      </c>
      <c r="U77">
        <f t="shared" si="35"/>
        <v>0</v>
      </c>
      <c r="V77">
        <f t="shared" si="36"/>
        <v>0</v>
      </c>
      <c r="W77">
        <f t="shared" si="37"/>
        <v>0</v>
      </c>
      <c r="X77">
        <f t="shared" si="38"/>
        <v>0</v>
      </c>
    </row>
    <row r="78" spans="1:24" x14ac:dyDescent="0.25">
      <c r="A78" s="135">
        <v>46284.069097222222</v>
      </c>
      <c r="B78" s="136" t="s">
        <v>206</v>
      </c>
      <c r="C78" s="136" t="s">
        <v>206</v>
      </c>
      <c r="D78" s="136" t="s">
        <v>30</v>
      </c>
      <c r="E78" s="136" t="s">
        <v>31</v>
      </c>
      <c r="F78" s="137">
        <v>1</v>
      </c>
      <c r="G78" s="136" t="s">
        <v>13</v>
      </c>
      <c r="H78" s="136" t="s">
        <v>39</v>
      </c>
      <c r="I78" s="136" t="s">
        <v>66</v>
      </c>
      <c r="J78" s="136" t="s">
        <v>160</v>
      </c>
      <c r="K78" s="138">
        <v>0</v>
      </c>
      <c r="L78">
        <f t="shared" si="26"/>
        <v>0</v>
      </c>
      <c r="M78">
        <f t="shared" si="27"/>
        <v>0</v>
      </c>
      <c r="N78">
        <f t="shared" si="28"/>
        <v>0</v>
      </c>
      <c r="O78">
        <f t="shared" si="29"/>
        <v>0</v>
      </c>
      <c r="P78">
        <f t="shared" si="30"/>
        <v>0</v>
      </c>
      <c r="Q78">
        <f t="shared" si="31"/>
        <v>0</v>
      </c>
      <c r="R78">
        <f t="shared" si="32"/>
        <v>0</v>
      </c>
      <c r="S78">
        <f t="shared" si="33"/>
        <v>0</v>
      </c>
      <c r="T78">
        <f t="shared" si="34"/>
        <v>0</v>
      </c>
      <c r="U78">
        <f t="shared" si="35"/>
        <v>0</v>
      </c>
      <c r="V78">
        <f t="shared" si="36"/>
        <v>0</v>
      </c>
      <c r="W78">
        <f t="shared" si="37"/>
        <v>0</v>
      </c>
      <c r="X78">
        <f t="shared" si="38"/>
        <v>0</v>
      </c>
    </row>
    <row r="79" spans="1:24" x14ac:dyDescent="0.25">
      <c r="A79" s="135">
        <v>46284.071875000001</v>
      </c>
      <c r="B79" s="136" t="s">
        <v>197</v>
      </c>
      <c r="C79" s="136" t="s">
        <v>197</v>
      </c>
      <c r="D79" s="136" t="s">
        <v>30</v>
      </c>
      <c r="E79" s="136" t="s">
        <v>31</v>
      </c>
      <c r="F79" s="137">
        <v>1</v>
      </c>
      <c r="G79" s="136" t="s">
        <v>13</v>
      </c>
      <c r="H79" s="136" t="s">
        <v>39</v>
      </c>
      <c r="I79" s="136" t="s">
        <v>66</v>
      </c>
      <c r="J79" s="136" t="s">
        <v>16</v>
      </c>
      <c r="K79" s="138">
        <v>0</v>
      </c>
      <c r="L79">
        <f t="shared" si="26"/>
        <v>0</v>
      </c>
      <c r="M79">
        <f t="shared" si="27"/>
        <v>0</v>
      </c>
      <c r="N79">
        <f t="shared" si="28"/>
        <v>0</v>
      </c>
      <c r="O79">
        <f t="shared" si="29"/>
        <v>0</v>
      </c>
      <c r="P79">
        <f t="shared" si="30"/>
        <v>2</v>
      </c>
      <c r="Q79">
        <f t="shared" si="31"/>
        <v>0</v>
      </c>
      <c r="R79">
        <f t="shared" si="32"/>
        <v>0</v>
      </c>
      <c r="S79">
        <f t="shared" si="33"/>
        <v>0</v>
      </c>
      <c r="T79">
        <f t="shared" si="34"/>
        <v>0</v>
      </c>
      <c r="U79">
        <f t="shared" si="35"/>
        <v>0</v>
      </c>
      <c r="V79">
        <f t="shared" si="36"/>
        <v>0</v>
      </c>
      <c r="W79">
        <f t="shared" si="37"/>
        <v>0</v>
      </c>
      <c r="X79">
        <f t="shared" si="38"/>
        <v>0</v>
      </c>
    </row>
    <row r="80" spans="1:24" x14ac:dyDescent="0.25">
      <c r="A80" s="135">
        <v>46284.390590277777</v>
      </c>
      <c r="B80" s="136" t="s">
        <v>67</v>
      </c>
      <c r="C80" s="136" t="s">
        <v>67</v>
      </c>
      <c r="D80" s="136" t="s">
        <v>229</v>
      </c>
      <c r="E80" s="136" t="s">
        <v>230</v>
      </c>
      <c r="F80" s="137">
        <v>1</v>
      </c>
      <c r="G80" s="136" t="s">
        <v>13</v>
      </c>
      <c r="H80" s="136" t="s">
        <v>39</v>
      </c>
      <c r="I80" s="136" t="s">
        <v>66</v>
      </c>
      <c r="J80" s="136" t="s">
        <v>37</v>
      </c>
      <c r="K80" s="138">
        <v>0</v>
      </c>
      <c r="L80">
        <f t="shared" si="26"/>
        <v>0</v>
      </c>
      <c r="M80">
        <f t="shared" si="27"/>
        <v>0</v>
      </c>
      <c r="N80">
        <f t="shared" si="28"/>
        <v>0</v>
      </c>
      <c r="O80">
        <f t="shared" si="29"/>
        <v>0</v>
      </c>
      <c r="P80">
        <f t="shared" si="30"/>
        <v>0</v>
      </c>
      <c r="Q80">
        <f t="shared" si="31"/>
        <v>0</v>
      </c>
      <c r="R80">
        <f t="shared" si="32"/>
        <v>0</v>
      </c>
      <c r="S80">
        <f t="shared" si="33"/>
        <v>1</v>
      </c>
      <c r="T80">
        <f t="shared" si="34"/>
        <v>1</v>
      </c>
      <c r="U80">
        <f t="shared" si="35"/>
        <v>0</v>
      </c>
      <c r="V80">
        <f t="shared" si="36"/>
        <v>0</v>
      </c>
      <c r="W80">
        <f t="shared" si="37"/>
        <v>0</v>
      </c>
      <c r="X80">
        <f t="shared" si="38"/>
        <v>0</v>
      </c>
    </row>
    <row r="81" spans="1:24" x14ac:dyDescent="0.25">
      <c r="A81" s="135"/>
      <c r="B81" s="136"/>
      <c r="C81" s="136"/>
      <c r="D81" s="136"/>
      <c r="E81" s="136"/>
      <c r="F81" s="137"/>
      <c r="G81" s="136"/>
      <c r="H81" s="136"/>
      <c r="I81" s="136"/>
      <c r="J81" s="136"/>
      <c r="K81" s="138"/>
      <c r="L81">
        <f t="shared" si="26"/>
        <v>0</v>
      </c>
      <c r="M81">
        <f t="shared" si="27"/>
        <v>0</v>
      </c>
      <c r="N81">
        <f t="shared" si="28"/>
        <v>0</v>
      </c>
      <c r="O81">
        <f t="shared" si="29"/>
        <v>0</v>
      </c>
      <c r="P81">
        <f t="shared" si="30"/>
        <v>0</v>
      </c>
      <c r="Q81">
        <f t="shared" si="31"/>
        <v>0</v>
      </c>
      <c r="R81">
        <f t="shared" si="32"/>
        <v>0</v>
      </c>
      <c r="S81">
        <f t="shared" si="33"/>
        <v>0</v>
      </c>
      <c r="T81">
        <f t="shared" si="34"/>
        <v>0</v>
      </c>
      <c r="U81">
        <f t="shared" si="35"/>
        <v>0</v>
      </c>
      <c r="V81">
        <f t="shared" si="36"/>
        <v>0</v>
      </c>
      <c r="W81">
        <f t="shared" si="37"/>
        <v>0</v>
      </c>
      <c r="X81">
        <f t="shared" si="38"/>
        <v>0</v>
      </c>
    </row>
    <row r="82" spans="1:24" x14ac:dyDescent="0.25">
      <c r="A82" s="135"/>
      <c r="B82" s="136"/>
      <c r="C82" s="136"/>
      <c r="D82" s="136"/>
      <c r="E82" s="136"/>
      <c r="F82" s="137"/>
      <c r="G82" s="136"/>
      <c r="H82" s="136"/>
      <c r="I82" s="136"/>
      <c r="J82" s="136"/>
      <c r="K82" s="138"/>
      <c r="L82">
        <f t="shared" si="26"/>
        <v>0</v>
      </c>
      <c r="M82">
        <f t="shared" si="27"/>
        <v>0</v>
      </c>
      <c r="N82">
        <f t="shared" si="28"/>
        <v>0</v>
      </c>
      <c r="O82">
        <f t="shared" si="29"/>
        <v>0</v>
      </c>
      <c r="P82">
        <f t="shared" si="30"/>
        <v>0</v>
      </c>
      <c r="Q82">
        <f t="shared" si="31"/>
        <v>0</v>
      </c>
      <c r="R82">
        <f t="shared" si="32"/>
        <v>0</v>
      </c>
      <c r="S82">
        <f t="shared" si="33"/>
        <v>0</v>
      </c>
      <c r="T82">
        <f t="shared" si="34"/>
        <v>0</v>
      </c>
      <c r="U82">
        <f t="shared" si="35"/>
        <v>0</v>
      </c>
      <c r="V82">
        <f t="shared" si="36"/>
        <v>0</v>
      </c>
      <c r="W82">
        <f t="shared" si="37"/>
        <v>0</v>
      </c>
      <c r="X82">
        <f t="shared" si="38"/>
        <v>0</v>
      </c>
    </row>
    <row r="83" spans="1:24" x14ac:dyDescent="0.25">
      <c r="A83" s="135"/>
      <c r="B83" s="136"/>
      <c r="C83" s="136"/>
      <c r="D83" s="136"/>
      <c r="E83" s="136"/>
      <c r="F83" s="137"/>
      <c r="G83" s="136"/>
      <c r="H83" s="136"/>
      <c r="I83" s="136"/>
      <c r="J83" s="136"/>
      <c r="K83" s="138"/>
      <c r="L83">
        <f t="shared" si="26"/>
        <v>0</v>
      </c>
      <c r="M83">
        <f t="shared" si="27"/>
        <v>0</v>
      </c>
      <c r="N83">
        <f t="shared" si="28"/>
        <v>0</v>
      </c>
      <c r="O83">
        <f t="shared" si="29"/>
        <v>0</v>
      </c>
      <c r="P83">
        <f t="shared" si="30"/>
        <v>0</v>
      </c>
      <c r="Q83">
        <f t="shared" si="31"/>
        <v>0</v>
      </c>
      <c r="R83">
        <f t="shared" si="32"/>
        <v>0</v>
      </c>
      <c r="S83">
        <f t="shared" si="33"/>
        <v>0</v>
      </c>
      <c r="T83">
        <f t="shared" si="34"/>
        <v>0</v>
      </c>
      <c r="U83">
        <f t="shared" si="35"/>
        <v>0</v>
      </c>
      <c r="V83">
        <f t="shared" si="36"/>
        <v>0</v>
      </c>
      <c r="W83">
        <f t="shared" si="37"/>
        <v>0</v>
      </c>
      <c r="X83">
        <f t="shared" si="38"/>
        <v>0</v>
      </c>
    </row>
    <row r="84" spans="1:24" x14ac:dyDescent="0.25">
      <c r="A84" s="135"/>
      <c r="B84" s="136"/>
      <c r="C84" s="136"/>
      <c r="D84" s="136"/>
      <c r="E84" s="136"/>
      <c r="F84" s="137"/>
      <c r="G84" s="136"/>
      <c r="H84" s="136"/>
      <c r="I84" s="136"/>
      <c r="J84" s="136"/>
      <c r="K84" s="138"/>
      <c r="L84">
        <f t="shared" si="14"/>
        <v>0</v>
      </c>
      <c r="M84">
        <f t="shared" si="15"/>
        <v>0</v>
      </c>
      <c r="N84">
        <f t="shared" si="16"/>
        <v>0</v>
      </c>
      <c r="O84">
        <f t="shared" si="17"/>
        <v>0</v>
      </c>
      <c r="P84">
        <f t="shared" si="18"/>
        <v>0</v>
      </c>
      <c r="Q84">
        <f t="shared" si="13"/>
        <v>0</v>
      </c>
      <c r="R84">
        <f t="shared" si="19"/>
        <v>0</v>
      </c>
      <c r="S84">
        <f t="shared" si="20"/>
        <v>0</v>
      </c>
      <c r="T84">
        <f t="shared" si="21"/>
        <v>0</v>
      </c>
      <c r="U84">
        <f t="shared" si="22"/>
        <v>0</v>
      </c>
      <c r="V84">
        <f t="shared" si="23"/>
        <v>0</v>
      </c>
      <c r="W84">
        <f t="shared" si="24"/>
        <v>0</v>
      </c>
      <c r="X84">
        <f t="shared" si="25"/>
        <v>0</v>
      </c>
    </row>
    <row r="85" spans="1:24" x14ac:dyDescent="0.25">
      <c r="A85" s="135"/>
      <c r="B85" s="136"/>
      <c r="C85" s="136"/>
      <c r="D85" s="136"/>
      <c r="E85" s="136"/>
      <c r="F85" s="137"/>
      <c r="G85" s="136"/>
      <c r="H85" s="136"/>
      <c r="I85" s="136"/>
      <c r="J85" s="136"/>
      <c r="K85" s="138"/>
      <c r="L85">
        <f t="shared" si="14"/>
        <v>0</v>
      </c>
      <c r="M85">
        <f t="shared" si="15"/>
        <v>0</v>
      </c>
      <c r="N85">
        <f t="shared" si="16"/>
        <v>0</v>
      </c>
      <c r="O85">
        <f t="shared" si="17"/>
        <v>0</v>
      </c>
      <c r="P85">
        <f t="shared" si="18"/>
        <v>0</v>
      </c>
      <c r="Q85">
        <f t="shared" si="13"/>
        <v>0</v>
      </c>
      <c r="R85">
        <f t="shared" si="19"/>
        <v>0</v>
      </c>
      <c r="S85">
        <f t="shared" si="20"/>
        <v>0</v>
      </c>
      <c r="T85">
        <f t="shared" si="21"/>
        <v>0</v>
      </c>
      <c r="U85">
        <f t="shared" si="22"/>
        <v>0</v>
      </c>
      <c r="V85">
        <f t="shared" si="23"/>
        <v>0</v>
      </c>
      <c r="W85">
        <f t="shared" si="24"/>
        <v>0</v>
      </c>
      <c r="X85">
        <f t="shared" si="25"/>
        <v>0</v>
      </c>
    </row>
    <row r="86" spans="1:24" x14ac:dyDescent="0.25">
      <c r="A86" s="135"/>
      <c r="B86" s="136"/>
      <c r="C86" s="136"/>
      <c r="D86" s="136"/>
      <c r="E86" s="136"/>
      <c r="F86" s="137"/>
      <c r="G86" s="136"/>
      <c r="H86" s="136"/>
      <c r="I86" s="136"/>
      <c r="J86" s="136"/>
      <c r="K86" s="138"/>
      <c r="L86">
        <f>(IF(AND(ISNUMBER(SEARCH("T511 CBN COMPLET",$B86)),ISNUMBER(SEARCH("EMAG 1",#REF!)),ISNUMBER(SEARCH("304x28 RPE",$J86))),1*$G86,(IF(AND(ISNUMBER(SEARCH("T513 CBN COMPLET",$B86)),ISNUMBER(SEARCH("EMAG 1",#REF!)),ISNUMBER(SEARCH("304x28 RPE",$J86))),2*$G86,0))))</f>
        <v>0</v>
      </c>
      <c r="M86">
        <f>(IF(AND(ISNUMBER(SEARCH("T511 CBN COMPLET",$B86)),ISNUMBER(SEARCH("EMAG 1",#REF!)),ISNUMBER(SEARCH("304x28 RPE",$J86))),1*$G86,(IF(AND(ISNUMBER(SEARCH("T515 CBN COMPLET",$B86)),ISNUMBER(SEARCH("EMAG 1",#REF!)),ISNUMBER(SEARCH("304x28 RPE",$J86))),2*$G86,0))))</f>
        <v>0</v>
      </c>
      <c r="N86">
        <f>(IF(AND(ISNUMBER(SEARCH("T517 CBN COMPLET",$B86)),ISNUMBER(SEARCH("EMAG 1",#REF!)),ISNUMBER(SEARCH("356x26 RPI",$J86))),1*$G86,(IF(AND(ISNUMBER(SEARCH("T513 CBN COMPLET",$B86)),ISNUMBER(SEARCH("EMAG 1",#REF!)),ISNUMBER(SEARCH("356x26 RPI",$J86))),2*$G86,(IF(AND(ISNUMBER(SEARCH("T519 CBN COMPLET",$B86)),ISNUMBER(SEARCH("EMAG 1",#REF!)),ISNUMBER(SEARCH("356x26 RPI",$J86))),1*$G86,0))))))</f>
        <v>0</v>
      </c>
      <c r="O86">
        <f>(IF(AND(ISNUMBER(SEARCH("T517 CBN COMPLET",$B86)),ISNUMBER(SEARCH("EMAG 1",#REF!)),ISNUMBER(SEARCH("356x26 RPI",$J86))),1*$G86,(IF(AND(ISNUMBER(SEARCH("T519 CBN COMPLET",$B86)),ISNUMBER(SEARCH("EMAG 1",#REF!)),ISNUMBER(SEARCH("356x26 RPI",$J86))),1*$G86,0))))</f>
        <v>0</v>
      </c>
      <c r="P86">
        <f>(IF(AND(ISNUMBER(SEARCH("T517 CBN COMPLET",$B86)),ISNUMBER(SEARCH("EMAG 2",#REF!)),ISNUMBER(SEARCH("356x26 RPI",$J86))),1*$G86,(IF(AND(ISNUMBER(SEARCH("T513 CBN COMPLET",$B86)),ISNUMBER(SEARCH("EMAG 2",#REF!)),ISNUMBER(SEARCH("356x26 RPI",$J86))),2*$G86,(IF(AND(ISNUMBER(SEARCH("T519 CBN COMPLET",$B86)),ISNUMBER(SEARCH("EMAG 2",#REF!)),ISNUMBER(SEARCH("356x26 RPI",$J86))),1*$G86,0))))))</f>
        <v>0</v>
      </c>
      <c r="Q86">
        <f t="shared" si="13"/>
        <v>0</v>
      </c>
      <c r="R86">
        <f>(IF(AND(ISNUMBER(SEARCH("T5013 COMPLET",$B86)),ISNUMBER(SEARCH("EMAG 2",$G86)),ISNUMBER(SEARCH("356x26 RPI",$J86))),1*$F86,(IF(AND(ISNUMBER(SEARCH("T5013 CBN COMPLET",$B86)),ISNUMBER(SEARCH("EMAG 2",$G86)),ISNUMBER(SEARCH("356x26 RPI",$J86))),1*$F86,0))))</f>
        <v>0</v>
      </c>
      <c r="S86">
        <f>(IF(AND(ISNUMBER(SEARCH("T517 CBN COMPLET",$B86)),ISNUMBER(SEARCH("EMAG 2",#REF!)),ISNUMBER(SEARCH("330x14",$J86))),1*$G86,(IF(AND(ISNUMBER(SEARCH("T513 CBN COMPLET",$B86)),ISNUMBER(SEARCH("EMAG 2",#REF!)),ISNUMBER(SEARCH("330x14",$J86))),2*$G86,(IF(AND(ISNUMBER(SEARCH("T519 CBN COMPLET",$B86)),ISNUMBER(SEARCH("EMAG 2",#REF!)),ISNUMBER(SEARCH("330x14",$J86))),1*$G86,0))))))</f>
        <v>0</v>
      </c>
      <c r="T86">
        <f>(IF(AND(ISNUMBER(SEARCH("T517 CBN COMPLET",$B86)),ISNUMBER(SEARCH("EMAG 2",#REF!)),ISNUMBER(SEARCH("330x14",$J86))),1*$G86,(IF(AND(ISNUMBER(SEARCH("T519 CBN COMPLET",$B86)),ISNUMBER(SEARCH("EMAG 2",#REF!)),ISNUMBER(SEARCH("330x14",$J86))),1*$G86,0))))</f>
        <v>0</v>
      </c>
      <c r="U86">
        <f>(IF(AND(ISNUMBER(SEARCH("T511 CBN COMPLET",$B86)),ISNUMBER(SEARCH("EMAG 3",#REF!)),ISNUMBER(SEARCH("304x28 RPE",$J86))),1*$G86,(IF(AND(ISNUMBER(SEARCH("T513 CBN COMPLET",$B86)),ISNUMBER(SEARCH("EMAG 3",#REF!)),ISNUMBER(SEARCH("304x28 RPE",$J86))),2*$G86,0))))</f>
        <v>0</v>
      </c>
      <c r="V86">
        <f>(IF(AND(ISNUMBER(SEARCH("T511 CBN COMPLET",$B86)),ISNUMBER(SEARCH("EMAG 3",#REF!)),ISNUMBER(SEARCH("304x28 RPE",$J86))),1*$G86,(IF(AND(ISNUMBER(SEARCH("T515 CBN COMPLET",$B86)),ISNUMBER(SEARCH("EMAG 3",#REF!)),ISNUMBER(SEARCH("304x28 RPE",$J86))),2*$G86,0))))</f>
        <v>0</v>
      </c>
      <c r="W86">
        <f>(IF(AND(ISNUMBER(SEARCH("T517 CBN COMPLET",$B86)),ISNUMBER(SEARCH("EMAG 3",#REF!)),ISNUMBER(SEARCH("330x14",$J86))),1*$G86,(IF(AND(ISNUMBER(SEARCH("T513 CBN COMPLET",$B86)),ISNUMBER(SEARCH("EMAG 3",#REF!)),ISNUMBER(SEARCH("330x14",$J86))),2*$G86,(IF(AND(ISNUMBER(SEARCH("T519 CBN COMPLET",$B86)),ISNUMBER(SEARCH("EMAG 3",#REF!)),ISNUMBER(SEARCH("330x14",$J86))),1*$G86,0))))))</f>
        <v>0</v>
      </c>
      <c r="X86">
        <f>(IF(AND(ISNUMBER(SEARCH("T517 CBN COMPLET",$B86)),ISNUMBER(SEARCH("EMAG 3",#REF!)),ISNUMBER(SEARCH("330x14",$J86))),1*$G86,(IF(AND(ISNUMBER(SEARCH("T519 CBN COMPLET",$B86)),ISNUMBER(SEARCH("EMAG 3",#REF!)),ISNUMBER(SEARCH("330x14",$J86))),1*$G86,0))))</f>
        <v>0</v>
      </c>
    </row>
    <row r="87" spans="1:24" x14ac:dyDescent="0.25">
      <c r="A87" s="135"/>
      <c r="B87" s="136"/>
      <c r="C87" s="136"/>
      <c r="D87" s="136"/>
      <c r="E87" s="136"/>
      <c r="F87" s="137"/>
      <c r="G87" s="136"/>
      <c r="H87" s="136"/>
      <c r="I87" s="136"/>
      <c r="J87" s="136"/>
      <c r="K87" s="138"/>
      <c r="L87">
        <f>(IF(AND(ISNUMBER(SEARCH("T511 CBN COMPLET",$B87)),ISNUMBER(SEARCH("EMAG 1",#REF!)),ISNUMBER(SEARCH("304x28 RPE",$J87))),1*#REF!,(IF(AND(ISNUMBER(SEARCH("T513 CBN COMPLET",$B87)),ISNUMBER(SEARCH("EMAG 1",#REF!)),ISNUMBER(SEARCH("304x28 RPE",$J87))),2*#REF!,0))))</f>
        <v>0</v>
      </c>
      <c r="M87">
        <f>(IF(AND(ISNUMBER(SEARCH("T511 CBN COMPLET",$B87)),ISNUMBER(SEARCH("EMAG 1",#REF!)),ISNUMBER(SEARCH("304x28 RPE",$J87))),1*#REF!,(IF(AND(ISNUMBER(SEARCH("T515 CBN COMPLET",$B87)),ISNUMBER(SEARCH("EMAG 1",#REF!)),ISNUMBER(SEARCH("304x28 RPE",$J87))),2*#REF!,0))))</f>
        <v>0</v>
      </c>
      <c r="N87">
        <f>(IF(AND(ISNUMBER(SEARCH("T517 CBN COMPLET",$B87)),ISNUMBER(SEARCH("EMAG 1",#REF!)),ISNUMBER(SEARCH("356x26 RPI",$J87))),1*#REF!,(IF(AND(ISNUMBER(SEARCH("T513 CBN COMPLET",$B87)),ISNUMBER(SEARCH("EMAG 1",#REF!)),ISNUMBER(SEARCH("356x26 RPI",$J87))),2*#REF!,(IF(AND(ISNUMBER(SEARCH("T519 CBN COMPLET",$B87)),ISNUMBER(SEARCH("EMAG 1",#REF!)),ISNUMBER(SEARCH("356x26 RPI",$J87))),1*#REF!,0))))))</f>
        <v>0</v>
      </c>
      <c r="O87">
        <f>(IF(AND(ISNUMBER(SEARCH("T517 CBN COMPLET",$B87)),ISNUMBER(SEARCH("EMAG 1",#REF!)),ISNUMBER(SEARCH("356x26 RPI",$J87))),1*#REF!,(IF(AND(ISNUMBER(SEARCH("T519 CBN COMPLET",$B87)),ISNUMBER(SEARCH("EMAG 1",#REF!)),ISNUMBER(SEARCH("356x26 RPI",$J87))),1*#REF!,0))))</f>
        <v>0</v>
      </c>
      <c r="P87">
        <f>(IF(AND(ISNUMBER(SEARCH("T517 CBN COMPLET",$B87)),ISNUMBER(SEARCH("EMAG 2",#REF!)),ISNUMBER(SEARCH("356x26 RPI",$J87))),1*#REF!,(IF(AND(ISNUMBER(SEARCH("T513 CBN COMPLET",$B87)),ISNUMBER(SEARCH("EMAG 2",#REF!)),ISNUMBER(SEARCH("356x26 RPI",$J87))),2*#REF!,(IF(AND(ISNUMBER(SEARCH("T519 CBN COMPLET",$B87)),ISNUMBER(SEARCH("EMAG 2",#REF!)),ISNUMBER(SEARCH("356x26 RPI",$J87))),1*#REF!,0))))))</f>
        <v>0</v>
      </c>
      <c r="Q87">
        <f>IF(AND(ISNUMBER(SEARCH("T517 CBN COMPLET",$B87)),ISNUMBER(SEARCH("EMAG 2",$G87)),ISNUMBER(SEARCH("356x26 RPI",$J87))),$F87,IF(AND(ISNUMBER(SEARCH("T519 CBN COMPLET",$B87)),ISNUMBER(SEARCH("EMAG 2",$G87)),ISNUMBER(SEARCH("356x26 RPI",$J87))),$F87,IF(AND(ISNUMBER(SEARCH("T5013 COMPLET",$B87)),ISNUMBER(SEARCH("EMAG 2",$G87)),ISNUMBER(SEARCH("356x26 RPI",$J87))),2*$F87,0)))</f>
        <v>0</v>
      </c>
      <c r="R87">
        <f>(IF(AND(ISNUMBER(SEARCH("T5013 COMPLET",$B87)),ISNUMBER(SEARCH("EMAG 2",$G87)),ISNUMBER(SEARCH("356x26 RPI",$J87))),1*$F87,(IF(AND(ISNUMBER(SEARCH("T5013 CBN COMPLET",$B87)),ISNUMBER(SEARCH("EMAG 2",$G87)),ISNUMBER(SEARCH("356x26 RPI",$J87))),1*$G87,0))))</f>
        <v>0</v>
      </c>
      <c r="S87">
        <f>(IF(AND(ISNUMBER(SEARCH("T517 CBN COMPLET",$B87)),ISNUMBER(SEARCH("EMAG 2",#REF!)),ISNUMBER(SEARCH("330x14",$J87))),1*#REF!,(IF(AND(ISNUMBER(SEARCH("T513 CBN COMPLET",$B87)),ISNUMBER(SEARCH("EMAG 2",#REF!)),ISNUMBER(SEARCH("330x14",$J87))),2*#REF!,(IF(AND(ISNUMBER(SEARCH("T519 CBN COMPLET",$B87)),ISNUMBER(SEARCH("EMAG 2",#REF!)),ISNUMBER(SEARCH("330x14",$J87))),1*#REF!,0))))))</f>
        <v>0</v>
      </c>
      <c r="T87">
        <f>(IF(AND(ISNUMBER(SEARCH("T517 CBN COMPLET",$B87)),ISNUMBER(SEARCH("EMAG 2",#REF!)),ISNUMBER(SEARCH("330x14",$J87))),1*#REF!,(IF(AND(ISNUMBER(SEARCH("T519 CBN COMPLET",$B87)),ISNUMBER(SEARCH("EMAG 2",#REF!)),ISNUMBER(SEARCH("330x14",$J87))),1*#REF!,0))))</f>
        <v>0</v>
      </c>
      <c r="U87">
        <f>(IF(AND(ISNUMBER(SEARCH("T511 CBN COMPLET",$B87)),ISNUMBER(SEARCH("EMAG 3",#REF!)),ISNUMBER(SEARCH("304x28 RPE",$J87))),1*#REF!,(IF(AND(ISNUMBER(SEARCH("T513 CBN COMPLET",$B87)),ISNUMBER(SEARCH("EMAG 3",#REF!)),ISNUMBER(SEARCH("304x28 RPE",$J87))),2*#REF!,0))))</f>
        <v>0</v>
      </c>
      <c r="V87">
        <f>(IF(AND(ISNUMBER(SEARCH("T511 CBN COMPLET",$B87)),ISNUMBER(SEARCH("EMAG 3",#REF!)),ISNUMBER(SEARCH("304x28 RPE",$J87))),1*#REF!,(IF(AND(ISNUMBER(SEARCH("T515 CBN COMPLET",$B87)),ISNUMBER(SEARCH("EMAG 3",#REF!)),ISNUMBER(SEARCH("304x28 RPE",$J87))),2*#REF!,0))))</f>
        <v>0</v>
      </c>
      <c r="W87">
        <f>(IF(AND(ISNUMBER(SEARCH("T517 CBN COMPLET",$B87)),ISNUMBER(SEARCH("EMAG 3",#REF!)),ISNUMBER(SEARCH("330x14",$J87))),1*#REF!,(IF(AND(ISNUMBER(SEARCH("T513 CBN COMPLET",$B87)),ISNUMBER(SEARCH("EMAG 3",#REF!)),ISNUMBER(SEARCH("330x14",$J87))),2*#REF!,(IF(AND(ISNUMBER(SEARCH("T519 CBN COMPLET",$B87)),ISNUMBER(SEARCH("EMAG 3",#REF!)),ISNUMBER(SEARCH("330x14",$J87))),1*#REF!,0))))))</f>
        <v>0</v>
      </c>
      <c r="X87">
        <f>(IF(AND(ISNUMBER(SEARCH("T517 CBN COMPLET",$B87)),ISNUMBER(SEARCH("EMAG 3",#REF!)),ISNUMBER(SEARCH("330x14",$J87))),1*#REF!,(IF(AND(ISNUMBER(SEARCH("T519 CBN COMPLET",$B87)),ISNUMBER(SEARCH("EMAG 3",#REF!)),ISNUMBER(SEARCH("330x14",$J87))),1*#REF!,0))))</f>
        <v>0</v>
      </c>
    </row>
    <row r="88" spans="1:24" x14ac:dyDescent="0.25">
      <c r="A88" s="135"/>
      <c r="B88" s="136"/>
      <c r="C88" s="136"/>
      <c r="D88" s="136"/>
      <c r="E88" s="136"/>
      <c r="F88" s="137"/>
      <c r="G88" s="136"/>
      <c r="H88" s="136"/>
      <c r="I88" s="136"/>
      <c r="J88" s="136"/>
      <c r="K88" s="138"/>
      <c r="L88">
        <f>(IF(AND(ISNUMBER(SEARCH("T511 CBN COMPLET",$B88)),ISNUMBER(SEARCH("EMAG 1",#REF!)),ISNUMBER(SEARCH("304x28 RPE",$J88))),1*#REF!,(IF(AND(ISNUMBER(SEARCH("T513 CBN COMPLET",$B88)),ISNUMBER(SEARCH("EMAG 1",#REF!)),ISNUMBER(SEARCH("304x28 RPE",$J88))),2*#REF!,0))))</f>
        <v>0</v>
      </c>
      <c r="M88">
        <f>(IF(AND(ISNUMBER(SEARCH("T511 CBN COMPLET",$B88)),ISNUMBER(SEARCH("EMAG 1",#REF!)),ISNUMBER(SEARCH("304x28 RPE",$J88))),1*#REF!,(IF(AND(ISNUMBER(SEARCH("T515 CBN COMPLET",$B88)),ISNUMBER(SEARCH("EMAG 1",#REF!)),ISNUMBER(SEARCH("304x28 RPE",$J88))),2*#REF!,0))))</f>
        <v>0</v>
      </c>
      <c r="N88">
        <f>(IF(AND(ISNUMBER(SEARCH("T517 CBN COMPLET",$B88)),ISNUMBER(SEARCH("EMAG 1",#REF!)),ISNUMBER(SEARCH("356x26 RPI",$J88))),1*#REF!,(IF(AND(ISNUMBER(SEARCH("T513 CBN COMPLET",$B88)),ISNUMBER(SEARCH("EMAG 1",#REF!)),ISNUMBER(SEARCH("356x26 RPI",$J88))),2*#REF!,(IF(AND(ISNUMBER(SEARCH("T519 CBN COMPLET",$B88)),ISNUMBER(SEARCH("EMAG 1",#REF!)),ISNUMBER(SEARCH("356x26 RPI",$J88))),1*#REF!,0))))))</f>
        <v>0</v>
      </c>
      <c r="O88">
        <f>(IF(AND(ISNUMBER(SEARCH("T517 CBN COMPLET",$B88)),ISNUMBER(SEARCH("EMAG 1",#REF!)),ISNUMBER(SEARCH("356x26 RPI",$J88))),1*#REF!,(IF(AND(ISNUMBER(SEARCH("T519 CBN COMPLET",$B88)),ISNUMBER(SEARCH("EMAG 1",#REF!)),ISNUMBER(SEARCH("356x26 RPI",$J88))),1*#REF!,0))))</f>
        <v>0</v>
      </c>
      <c r="P88">
        <f>(IF(AND(ISNUMBER(SEARCH("T517 CBN COMPLET",$B88)),ISNUMBER(SEARCH("EMAG 2",#REF!)),ISNUMBER(SEARCH("356x26 RPI",$J88))),1*#REF!,(IF(AND(ISNUMBER(SEARCH("T513 CBN COMPLET",$B88)),ISNUMBER(SEARCH("EMAG 2",#REF!)),ISNUMBER(SEARCH("356x26 RPI",$J88))),2*#REF!,(IF(AND(ISNUMBER(SEARCH("T519 CBN COMPLET",$B88)),ISNUMBER(SEARCH("EMAG 2",#REF!)),ISNUMBER(SEARCH("356x26 RPI",$J88))),1*#REF!,0))))))</f>
        <v>0</v>
      </c>
      <c r="Q88">
        <f t="shared" si="13"/>
        <v>0</v>
      </c>
      <c r="R88">
        <f t="shared" ref="R88:R99" si="39">(IF(AND(ISNUMBER(SEARCH("T5013 COMPLET",$B88)),ISNUMBER(SEARCH("EMAG 2",$G88)),ISNUMBER(SEARCH("356x26 RPI",$J88))),1*$F88,(IF(AND(ISNUMBER(SEARCH("T5013 CBN COMPLET",$B88)),ISNUMBER(SEARCH("EMAG 2",$G88)),ISNUMBER(SEARCH("356x26 RPI",$J88))),1*$G88,0))))</f>
        <v>0</v>
      </c>
      <c r="S88">
        <f>(IF(AND(ISNUMBER(SEARCH("T517 CBN COMPLET",$B88)),ISNUMBER(SEARCH("EMAG 2",#REF!)),ISNUMBER(SEARCH("330x14",$J88))),1*#REF!,(IF(AND(ISNUMBER(SEARCH("T513 CBN COMPLET",$B88)),ISNUMBER(SEARCH("EMAG 2",#REF!)),ISNUMBER(SEARCH("330x14",$J88))),2*#REF!,(IF(AND(ISNUMBER(SEARCH("T519 CBN COMPLET",$B88)),ISNUMBER(SEARCH("EMAG 2",#REF!)),ISNUMBER(SEARCH("330x14",$J88))),1*#REF!,0))))))</f>
        <v>0</v>
      </c>
      <c r="T88">
        <f>(IF(AND(ISNUMBER(SEARCH("T517 CBN COMPLET",$B88)),ISNUMBER(SEARCH("EMAG 2",#REF!)),ISNUMBER(SEARCH("330x14",$J88))),1*#REF!,(IF(AND(ISNUMBER(SEARCH("T519 CBN COMPLET",$B88)),ISNUMBER(SEARCH("EMAG 2",#REF!)),ISNUMBER(SEARCH("330x14",$J88))),1*#REF!,0))))</f>
        <v>0</v>
      </c>
      <c r="U88">
        <f>(IF(AND(ISNUMBER(SEARCH("T511 CBN COMPLET",$B88)),ISNUMBER(SEARCH("EMAG 3",#REF!)),ISNUMBER(SEARCH("304x28 RPE",$J88))),1*#REF!,(IF(AND(ISNUMBER(SEARCH("T513 CBN COMPLET",$B88)),ISNUMBER(SEARCH("EMAG 3",#REF!)),ISNUMBER(SEARCH("304x28 RPE",$J88))),2*#REF!,0))))</f>
        <v>0</v>
      </c>
      <c r="V88">
        <f>(IF(AND(ISNUMBER(SEARCH("T511 CBN COMPLET",$B88)),ISNUMBER(SEARCH("EMAG 3",#REF!)),ISNUMBER(SEARCH("304x28 RPE",$J88))),1*#REF!,(IF(AND(ISNUMBER(SEARCH("T515 CBN COMPLET",$B88)),ISNUMBER(SEARCH("EMAG 3",#REF!)),ISNUMBER(SEARCH("304x28 RPE",$J88))),2*#REF!,0))))</f>
        <v>0</v>
      </c>
      <c r="W88">
        <f>(IF(AND(ISNUMBER(SEARCH("T517 CBN COMPLET",$B88)),ISNUMBER(SEARCH("EMAG 3",#REF!)),ISNUMBER(SEARCH("330x14",$J88))),1*#REF!,(IF(AND(ISNUMBER(SEARCH("T513 CBN COMPLET",$B88)),ISNUMBER(SEARCH("EMAG 3",#REF!)),ISNUMBER(SEARCH("330x14",$J88))),2*#REF!,(IF(AND(ISNUMBER(SEARCH("T519 CBN COMPLET",$B88)),ISNUMBER(SEARCH("EMAG 3",#REF!)),ISNUMBER(SEARCH("330x14",$J88))),1*#REF!,0))))))</f>
        <v>0</v>
      </c>
      <c r="X88">
        <f>(IF(AND(ISNUMBER(SEARCH("T517 CBN COMPLET",$B88)),ISNUMBER(SEARCH("EMAG 3",#REF!)),ISNUMBER(SEARCH("330x14",$J88))),1*#REF!,(IF(AND(ISNUMBER(SEARCH("T519 CBN COMPLET",$B88)),ISNUMBER(SEARCH("EMAG 3",#REF!)),ISNUMBER(SEARCH("330x14",$J88))),1*#REF!,0))))</f>
        <v>0</v>
      </c>
    </row>
    <row r="89" spans="1:24" x14ac:dyDescent="0.25">
      <c r="A89" s="135"/>
      <c r="B89" s="136"/>
      <c r="C89" s="136"/>
      <c r="D89" s="136"/>
      <c r="E89" s="136"/>
      <c r="F89" s="137"/>
      <c r="G89" s="136"/>
      <c r="H89" s="136"/>
      <c r="I89" s="136"/>
      <c r="J89" s="136"/>
      <c r="K89" s="138"/>
      <c r="L89">
        <f>(IF(AND(ISNUMBER(SEARCH("T511 CBN COMPLET",$B89)),ISNUMBER(SEARCH("EMAG 1",#REF!)),ISNUMBER(SEARCH("304x28 RPE",$J89))),1*#REF!,(IF(AND(ISNUMBER(SEARCH("T513 CBN COMPLET",$B89)),ISNUMBER(SEARCH("EMAG 1",#REF!)),ISNUMBER(SEARCH("304x28 RPE",$J89))),2*#REF!,0))))</f>
        <v>0</v>
      </c>
      <c r="M89">
        <f>(IF(AND(ISNUMBER(SEARCH("T511 CBN COMPLET",$B89)),ISNUMBER(SEARCH("EMAG 1",#REF!)),ISNUMBER(SEARCH("304x28 RPE",$J89))),1*#REF!,(IF(AND(ISNUMBER(SEARCH("T515 CBN COMPLET",$B89)),ISNUMBER(SEARCH("EMAG 1",#REF!)),ISNUMBER(SEARCH("304x28 RPE",$J89))),2*#REF!,0))))</f>
        <v>0</v>
      </c>
      <c r="N89">
        <f>(IF(AND(ISNUMBER(SEARCH("T517 CBN COMPLET",$B89)),ISNUMBER(SEARCH("EMAG 1",#REF!)),ISNUMBER(SEARCH("356x26 RPI",$J89))),1*#REF!,(IF(AND(ISNUMBER(SEARCH("T513 CBN COMPLET",$B89)),ISNUMBER(SEARCH("EMAG 1",#REF!)),ISNUMBER(SEARCH("356x26 RPI",$J89))),2*#REF!,(IF(AND(ISNUMBER(SEARCH("T519 CBN COMPLET",$B89)),ISNUMBER(SEARCH("EMAG 1",#REF!)),ISNUMBER(SEARCH("356x26 RPI",$J89))),1*#REF!,0))))))</f>
        <v>0</v>
      </c>
      <c r="O89">
        <f>(IF(AND(ISNUMBER(SEARCH("T517 CBN COMPLET",$B89)),ISNUMBER(SEARCH("EMAG 1",#REF!)),ISNUMBER(SEARCH("356x26 RPI",$J89))),1*#REF!,(IF(AND(ISNUMBER(SEARCH("T519 CBN COMPLET",$B89)),ISNUMBER(SEARCH("EMAG 1",#REF!)),ISNUMBER(SEARCH("356x26 RPI",$J89))),1*#REF!,0))))</f>
        <v>0</v>
      </c>
      <c r="P89">
        <f>(IF(AND(ISNUMBER(SEARCH("T517 CBN COMPLET",$B89)),ISNUMBER(SEARCH("EMAG 2",#REF!)),ISNUMBER(SEARCH("356x26 RPI",$J89))),1*#REF!,(IF(AND(ISNUMBER(SEARCH("T513 CBN COMPLET",$B89)),ISNUMBER(SEARCH("EMAG 2",#REF!)),ISNUMBER(SEARCH("356x26 RPI",$J89))),2*#REF!,(IF(AND(ISNUMBER(SEARCH("T519 CBN COMPLET",$B89)),ISNUMBER(SEARCH("EMAG 2",#REF!)),ISNUMBER(SEARCH("356x26 RPI",$J89))),1*#REF!,0))))))</f>
        <v>0</v>
      </c>
      <c r="Q89">
        <f t="shared" si="13"/>
        <v>0</v>
      </c>
      <c r="R89">
        <f t="shared" si="39"/>
        <v>0</v>
      </c>
      <c r="S89">
        <f>(IF(AND(ISNUMBER(SEARCH("T517 CBN COMPLET",$B89)),ISNUMBER(SEARCH("EMAG 2",#REF!)),ISNUMBER(SEARCH("330x14",$J89))),1*#REF!,(IF(AND(ISNUMBER(SEARCH("T513 CBN COMPLET",$B89)),ISNUMBER(SEARCH("EMAG 2",#REF!)),ISNUMBER(SEARCH("330x14",$J89))),2*#REF!,(IF(AND(ISNUMBER(SEARCH("T519 CBN COMPLET",$B89)),ISNUMBER(SEARCH("EMAG 2",#REF!)),ISNUMBER(SEARCH("330x14",$J89))),1*#REF!,0))))))</f>
        <v>0</v>
      </c>
      <c r="T89">
        <f>(IF(AND(ISNUMBER(SEARCH("T517 CBN COMPLET",$B89)),ISNUMBER(SEARCH("EMAG 2",#REF!)),ISNUMBER(SEARCH("330x14",$J89))),1*#REF!,(IF(AND(ISNUMBER(SEARCH("T519 CBN COMPLET",$B89)),ISNUMBER(SEARCH("EMAG 2",#REF!)),ISNUMBER(SEARCH("330x14",$J89))),1*#REF!,0))))</f>
        <v>0</v>
      </c>
      <c r="U89">
        <f>(IF(AND(ISNUMBER(SEARCH("T511 CBN COMPLET",$B89)),ISNUMBER(SEARCH("EMAG 3",#REF!)),ISNUMBER(SEARCH("304x28 RPE",$J89))),1*#REF!,(IF(AND(ISNUMBER(SEARCH("T513 CBN COMPLET",$B89)),ISNUMBER(SEARCH("EMAG 3",#REF!)),ISNUMBER(SEARCH("304x28 RPE",$J89))),2*#REF!,0))))</f>
        <v>0</v>
      </c>
      <c r="V89">
        <f>(IF(AND(ISNUMBER(SEARCH("T511 CBN COMPLET",$B89)),ISNUMBER(SEARCH("EMAG 3",#REF!)),ISNUMBER(SEARCH("304x28 RPE",$J89))),1*#REF!,(IF(AND(ISNUMBER(SEARCH("T515 CBN COMPLET",$B89)),ISNUMBER(SEARCH("EMAG 3",#REF!)),ISNUMBER(SEARCH("304x28 RPE",$J89))),2*#REF!,0))))</f>
        <v>0</v>
      </c>
      <c r="W89">
        <f>(IF(AND(ISNUMBER(SEARCH("T517 CBN COMPLET",$B89)),ISNUMBER(SEARCH("EMAG 3",#REF!)),ISNUMBER(SEARCH("330x14",$J89))),1*#REF!,(IF(AND(ISNUMBER(SEARCH("T513 CBN COMPLET",$B89)),ISNUMBER(SEARCH("EMAG 3",#REF!)),ISNUMBER(SEARCH("330x14",$J89))),2*#REF!,(IF(AND(ISNUMBER(SEARCH("T519 CBN COMPLET",$B89)),ISNUMBER(SEARCH("EMAG 3",#REF!)),ISNUMBER(SEARCH("330x14",$J89))),1*#REF!,0))))))</f>
        <v>0</v>
      </c>
      <c r="X89">
        <f>(IF(AND(ISNUMBER(SEARCH("T517 CBN COMPLET",$B89)),ISNUMBER(SEARCH("EMAG 3",#REF!)),ISNUMBER(SEARCH("330x14",$J89))),1*#REF!,(IF(AND(ISNUMBER(SEARCH("T519 CBN COMPLET",$B89)),ISNUMBER(SEARCH("EMAG 3",#REF!)),ISNUMBER(SEARCH("330x14",$J89))),1*#REF!,0))))</f>
        <v>0</v>
      </c>
    </row>
    <row r="90" spans="1:24" x14ac:dyDescent="0.25">
      <c r="A90" s="135"/>
      <c r="B90" s="136"/>
      <c r="C90" s="136"/>
      <c r="D90" s="136"/>
      <c r="E90" s="136"/>
      <c r="F90" s="137"/>
      <c r="G90" s="136"/>
      <c r="H90" s="136"/>
      <c r="I90" s="136"/>
      <c r="J90" s="136"/>
      <c r="K90" s="138"/>
      <c r="L90">
        <f>(IF(AND(ISNUMBER(SEARCH("T511 CBN COMPLET",$B90)),ISNUMBER(SEARCH("EMAG 1",#REF!)),ISNUMBER(SEARCH("304x28 RPE",$J90))),1*#REF!,(IF(AND(ISNUMBER(SEARCH("T513 CBN COMPLET",$B90)),ISNUMBER(SEARCH("EMAG 1",#REF!)),ISNUMBER(SEARCH("304x28 RPE",$J90))),2*#REF!,0))))</f>
        <v>0</v>
      </c>
      <c r="M90">
        <f>(IF(AND(ISNUMBER(SEARCH("T511 CBN COMPLET",$B90)),ISNUMBER(SEARCH("EMAG 1",#REF!)),ISNUMBER(SEARCH("304x28 RPE",$J90))),1*#REF!,(IF(AND(ISNUMBER(SEARCH("T515 CBN COMPLET",$B90)),ISNUMBER(SEARCH("EMAG 1",#REF!)),ISNUMBER(SEARCH("304x28 RPE",$J90))),2*#REF!,0))))</f>
        <v>0</v>
      </c>
      <c r="N90">
        <f>(IF(AND(ISNUMBER(SEARCH("T517 CBN COMPLET",$B90)),ISNUMBER(SEARCH("EMAG 1",#REF!)),ISNUMBER(SEARCH("356x26 RPI",$J90))),1*#REF!,(IF(AND(ISNUMBER(SEARCH("T513 CBN COMPLET",$B90)),ISNUMBER(SEARCH("EMAG 1",#REF!)),ISNUMBER(SEARCH("356x26 RPI",$J90))),2*#REF!,(IF(AND(ISNUMBER(SEARCH("T519 CBN COMPLET",$B90)),ISNUMBER(SEARCH("EMAG 1",#REF!)),ISNUMBER(SEARCH("356x26 RPI",$J90))),1*#REF!,0))))))</f>
        <v>0</v>
      </c>
      <c r="O90">
        <f>(IF(AND(ISNUMBER(SEARCH("T517 CBN COMPLET",$B90)),ISNUMBER(SEARCH("EMAG 1",#REF!)),ISNUMBER(SEARCH("356x26 RPI",$J90))),1*#REF!,(IF(AND(ISNUMBER(SEARCH("T519 CBN COMPLET",$B90)),ISNUMBER(SEARCH("EMAG 1",#REF!)),ISNUMBER(SEARCH("356x26 RPI",$J90))),1*#REF!,0))))</f>
        <v>0</v>
      </c>
      <c r="P90">
        <f>(IF(AND(ISNUMBER(SEARCH("T517 CBN COMPLET",$B90)),ISNUMBER(SEARCH("EMAG 2",#REF!)),ISNUMBER(SEARCH("356x26 RPI",$J90))),1*#REF!,(IF(AND(ISNUMBER(SEARCH("T513 CBN COMPLET",$B90)),ISNUMBER(SEARCH("EMAG 2",#REF!)),ISNUMBER(SEARCH("356x26 RPI",$J90))),2*#REF!,(IF(AND(ISNUMBER(SEARCH("T519 CBN COMPLET",$B90)),ISNUMBER(SEARCH("EMAG 2",#REF!)),ISNUMBER(SEARCH("356x26 RPI",$J90))),1*#REF!,0))))))</f>
        <v>0</v>
      </c>
      <c r="Q90">
        <f t="shared" si="13"/>
        <v>0</v>
      </c>
      <c r="R90">
        <f t="shared" si="39"/>
        <v>0</v>
      </c>
      <c r="S90">
        <f>(IF(AND(ISNUMBER(SEARCH("T517 CBN COMPLET",$B90)),ISNUMBER(SEARCH("EMAG 2",#REF!)),ISNUMBER(SEARCH("330x14",$J90))),1*#REF!,(IF(AND(ISNUMBER(SEARCH("T513 CBN COMPLET",$B90)),ISNUMBER(SEARCH("EMAG 2",#REF!)),ISNUMBER(SEARCH("330x14",$J90))),2*#REF!,(IF(AND(ISNUMBER(SEARCH("T519 CBN COMPLET",$B90)),ISNUMBER(SEARCH("EMAG 2",#REF!)),ISNUMBER(SEARCH("330x14",$J90))),1*#REF!,0))))))</f>
        <v>0</v>
      </c>
      <c r="T90">
        <f>(IF(AND(ISNUMBER(SEARCH("T517 CBN COMPLET",$B90)),ISNUMBER(SEARCH("EMAG 2",#REF!)),ISNUMBER(SEARCH("330x14",$J90))),1*#REF!,(IF(AND(ISNUMBER(SEARCH("T519 CBN COMPLET",$B90)),ISNUMBER(SEARCH("EMAG 2",#REF!)),ISNUMBER(SEARCH("330x14",$J90))),1*#REF!,0))))</f>
        <v>0</v>
      </c>
      <c r="U90">
        <f>(IF(AND(ISNUMBER(SEARCH("T511 CBN COMPLET",$B90)),ISNUMBER(SEARCH("EMAG 3",#REF!)),ISNUMBER(SEARCH("304x28 RPE",$J90))),1*#REF!,(IF(AND(ISNUMBER(SEARCH("T513 CBN COMPLET",$B90)),ISNUMBER(SEARCH("EMAG 3",#REF!)),ISNUMBER(SEARCH("304x28 RPE",$J90))),2*#REF!,0))))</f>
        <v>0</v>
      </c>
      <c r="V90">
        <f>(IF(AND(ISNUMBER(SEARCH("T511 CBN COMPLET",$B90)),ISNUMBER(SEARCH("EMAG 3",#REF!)),ISNUMBER(SEARCH("304x28 RPE",$J90))),1*#REF!,(IF(AND(ISNUMBER(SEARCH("T515 CBN COMPLET",$B90)),ISNUMBER(SEARCH("EMAG 3",#REF!)),ISNUMBER(SEARCH("304x28 RPE",$J90))),2*#REF!,0))))</f>
        <v>0</v>
      </c>
      <c r="W90">
        <f>(IF(AND(ISNUMBER(SEARCH("T517 CBN COMPLET",$B90)),ISNUMBER(SEARCH("EMAG 3",#REF!)),ISNUMBER(SEARCH("330x14",$J90))),1*#REF!,(IF(AND(ISNUMBER(SEARCH("T513 CBN COMPLET",$B90)),ISNUMBER(SEARCH("EMAG 3",#REF!)),ISNUMBER(SEARCH("330x14",$J90))),2*#REF!,(IF(AND(ISNUMBER(SEARCH("T519 CBN COMPLET",$B90)),ISNUMBER(SEARCH("EMAG 3",#REF!)),ISNUMBER(SEARCH("330x14",$J90))),1*#REF!,0))))))</f>
        <v>0</v>
      </c>
      <c r="X90">
        <f>(IF(AND(ISNUMBER(SEARCH("T517 CBN COMPLET",$B90)),ISNUMBER(SEARCH("EMAG 3",#REF!)),ISNUMBER(SEARCH("330x14",$J90))),1*#REF!,(IF(AND(ISNUMBER(SEARCH("T519 CBN COMPLET",$B90)),ISNUMBER(SEARCH("EMAG 3",#REF!)),ISNUMBER(SEARCH("330x14",$J90))),1*#REF!,0))))</f>
        <v>0</v>
      </c>
    </row>
    <row r="91" spans="1:24" x14ac:dyDescent="0.25">
      <c r="A91" s="135"/>
      <c r="B91" s="136"/>
      <c r="C91" s="136"/>
      <c r="D91" s="136"/>
      <c r="E91" s="136"/>
      <c r="F91" s="137"/>
      <c r="G91" s="136"/>
      <c r="H91" s="136"/>
      <c r="I91" s="136"/>
      <c r="J91" s="136"/>
      <c r="K91" s="138"/>
      <c r="L91">
        <f>(IF(AND(ISNUMBER(SEARCH("T511 CBN COMPLET",$B91)),ISNUMBER(SEARCH("EMAG 1",#REF!)),ISNUMBER(SEARCH("304x28 RPE",$J91))),1*#REF!,(IF(AND(ISNUMBER(SEARCH("T513 CBN COMPLET",$B91)),ISNUMBER(SEARCH("EMAG 1",#REF!)),ISNUMBER(SEARCH("304x28 RPE",$J91))),2*#REF!,0))))</f>
        <v>0</v>
      </c>
      <c r="M91">
        <f>(IF(AND(ISNUMBER(SEARCH("T511 CBN COMPLET",$B91)),ISNUMBER(SEARCH("EMAG 1",#REF!)),ISNUMBER(SEARCH("304x28 RPE",$J91))),1*#REF!,(IF(AND(ISNUMBER(SEARCH("T515 CBN COMPLET",$B91)),ISNUMBER(SEARCH("EMAG 1",#REF!)),ISNUMBER(SEARCH("304x28 RPE",$J91))),2*#REF!,0))))</f>
        <v>0</v>
      </c>
      <c r="N91">
        <f>(IF(AND(ISNUMBER(SEARCH("T517 CBN COMPLET",$B91)),ISNUMBER(SEARCH("EMAG 1",#REF!)),ISNUMBER(SEARCH("356x26 RPI",$J91))),1*#REF!,(IF(AND(ISNUMBER(SEARCH("T513 CBN COMPLET",$B91)),ISNUMBER(SEARCH("EMAG 1",#REF!)),ISNUMBER(SEARCH("356x26 RPI",$J91))),2*#REF!,(IF(AND(ISNUMBER(SEARCH("T519 CBN COMPLET",$B91)),ISNUMBER(SEARCH("EMAG 1",#REF!)),ISNUMBER(SEARCH("356x26 RPI",$J91))),1*#REF!,0))))))</f>
        <v>0</v>
      </c>
      <c r="O91">
        <f>(IF(AND(ISNUMBER(SEARCH("T517 CBN COMPLET",$B91)),ISNUMBER(SEARCH("EMAG 1",#REF!)),ISNUMBER(SEARCH("356x26 RPI",$J91))),1*#REF!,(IF(AND(ISNUMBER(SEARCH("T519 CBN COMPLET",$B91)),ISNUMBER(SEARCH("EMAG 1",#REF!)),ISNUMBER(SEARCH("356x26 RPI",$J91))),1*#REF!,0))))</f>
        <v>0</v>
      </c>
      <c r="P91">
        <f>(IF(AND(ISNUMBER(SEARCH("T517 CBN COMPLET",$B91)),ISNUMBER(SEARCH("EMAG 2",#REF!)),ISNUMBER(SEARCH("356x26 RPI",$J91))),1*#REF!,(IF(AND(ISNUMBER(SEARCH("T513 CBN COMPLET",$B91)),ISNUMBER(SEARCH("EMAG 2",#REF!)),ISNUMBER(SEARCH("356x26 RPI",$J91))),2*#REF!,(IF(AND(ISNUMBER(SEARCH("T519 CBN COMPLET",$B91)),ISNUMBER(SEARCH("EMAG 2",#REF!)),ISNUMBER(SEARCH("356x26 RPI",$J91))),1*#REF!,0))))))</f>
        <v>0</v>
      </c>
      <c r="Q91">
        <f t="shared" si="13"/>
        <v>0</v>
      </c>
      <c r="R91">
        <f t="shared" si="39"/>
        <v>0</v>
      </c>
      <c r="S91">
        <f>(IF(AND(ISNUMBER(SEARCH("T517 CBN COMPLET",$B91)),ISNUMBER(SEARCH("EMAG 2",#REF!)),ISNUMBER(SEARCH("330x14",$J91))),1*#REF!,(IF(AND(ISNUMBER(SEARCH("T513 CBN COMPLET",$B91)),ISNUMBER(SEARCH("EMAG 2",#REF!)),ISNUMBER(SEARCH("330x14",$J91))),2*#REF!,(IF(AND(ISNUMBER(SEARCH("T519 CBN COMPLET",$B91)),ISNUMBER(SEARCH("EMAG 2",#REF!)),ISNUMBER(SEARCH("330x14",$J91))),1*#REF!,0))))))</f>
        <v>0</v>
      </c>
      <c r="T91">
        <f>(IF(AND(ISNUMBER(SEARCH("T517 CBN COMPLET",$B91)),ISNUMBER(SEARCH("EMAG 2",#REF!)),ISNUMBER(SEARCH("330x14",$J91))),1*#REF!,(IF(AND(ISNUMBER(SEARCH("T519 CBN COMPLET",$B91)),ISNUMBER(SEARCH("EMAG 2",#REF!)),ISNUMBER(SEARCH("330x14",$J91))),1*#REF!,0))))</f>
        <v>0</v>
      </c>
      <c r="U91">
        <f>(IF(AND(ISNUMBER(SEARCH("T511 CBN COMPLET",$B91)),ISNUMBER(SEARCH("EMAG 3",#REF!)),ISNUMBER(SEARCH("304x28 RPE",$J91))),1*#REF!,(IF(AND(ISNUMBER(SEARCH("T513 CBN COMPLET",$B91)),ISNUMBER(SEARCH("EMAG 3",#REF!)),ISNUMBER(SEARCH("304x28 RPE",$J91))),2*#REF!,0))))</f>
        <v>0</v>
      </c>
      <c r="V91">
        <f>(IF(AND(ISNUMBER(SEARCH("T511 CBN COMPLET",$B91)),ISNUMBER(SEARCH("EMAG 3",#REF!)),ISNUMBER(SEARCH("304x28 RPE",$J91))),1*#REF!,(IF(AND(ISNUMBER(SEARCH("T515 CBN COMPLET",$B91)),ISNUMBER(SEARCH("EMAG 3",#REF!)),ISNUMBER(SEARCH("304x28 RPE",$J91))),2*#REF!,0))))</f>
        <v>0</v>
      </c>
      <c r="W91">
        <f>(IF(AND(ISNUMBER(SEARCH("T517 CBN COMPLET",$B91)),ISNUMBER(SEARCH("EMAG 3",#REF!)),ISNUMBER(SEARCH("330x14",$J91))),1*#REF!,(IF(AND(ISNUMBER(SEARCH("T513 CBN COMPLET",$B91)),ISNUMBER(SEARCH("EMAG 3",#REF!)),ISNUMBER(SEARCH("330x14",$J91))),2*#REF!,(IF(AND(ISNUMBER(SEARCH("T519 CBN COMPLET",$B91)),ISNUMBER(SEARCH("EMAG 3",#REF!)),ISNUMBER(SEARCH("330x14",$J91))),1*#REF!,0))))))</f>
        <v>0</v>
      </c>
      <c r="X91">
        <f>(IF(AND(ISNUMBER(SEARCH("T517 CBN COMPLET",$B91)),ISNUMBER(SEARCH("EMAG 3",#REF!)),ISNUMBER(SEARCH("330x14",$J91))),1*#REF!,(IF(AND(ISNUMBER(SEARCH("T519 CBN COMPLET",$B91)),ISNUMBER(SEARCH("EMAG 3",#REF!)),ISNUMBER(SEARCH("330x14",$J91))),1*#REF!,0))))</f>
        <v>0</v>
      </c>
    </row>
    <row r="92" spans="1:24" x14ac:dyDescent="0.25">
      <c r="A92" s="135"/>
      <c r="B92" s="136"/>
      <c r="C92" s="136"/>
      <c r="D92" s="136"/>
      <c r="E92" s="136"/>
      <c r="F92" s="137"/>
      <c r="G92" s="136"/>
      <c r="H92" s="136"/>
      <c r="I92" s="136"/>
      <c r="J92" s="136"/>
      <c r="K92" s="138"/>
      <c r="L92">
        <f>(IF(AND(ISNUMBER(SEARCH("T511 CBN COMPLET",$B92)),ISNUMBER(SEARCH("EMAG 1",#REF!)),ISNUMBER(SEARCH("304x28 RPE",$J92))),1*#REF!,(IF(AND(ISNUMBER(SEARCH("T513 CBN COMPLET",$B92)),ISNUMBER(SEARCH("EMAG 1",#REF!)),ISNUMBER(SEARCH("304x28 RPE",$J92))),2*#REF!,0))))</f>
        <v>0</v>
      </c>
      <c r="M92">
        <f>(IF(AND(ISNUMBER(SEARCH("T511 CBN COMPLET",$B92)),ISNUMBER(SEARCH("EMAG 1",#REF!)),ISNUMBER(SEARCH("304x28 RPE",$J92))),1*#REF!,(IF(AND(ISNUMBER(SEARCH("T515 CBN COMPLET",$B92)),ISNUMBER(SEARCH("EMAG 1",#REF!)),ISNUMBER(SEARCH("304x28 RPE",$J92))),2*#REF!,0))))</f>
        <v>0</v>
      </c>
      <c r="N92">
        <f>(IF(AND(ISNUMBER(SEARCH("T517 CBN COMPLET",$B92)),ISNUMBER(SEARCH("EMAG 1",#REF!)),ISNUMBER(SEARCH("356x26 RPI",$J92))),1*#REF!,(IF(AND(ISNUMBER(SEARCH("T513 CBN COMPLET",$B92)),ISNUMBER(SEARCH("EMAG 1",#REF!)),ISNUMBER(SEARCH("356x26 RPI",$J92))),2*#REF!,(IF(AND(ISNUMBER(SEARCH("T519 CBN COMPLET",$B92)),ISNUMBER(SEARCH("EMAG 1",#REF!)),ISNUMBER(SEARCH("356x26 RPI",$J92))),1*#REF!,0))))))</f>
        <v>0</v>
      </c>
      <c r="O92">
        <f>(IF(AND(ISNUMBER(SEARCH("T517 CBN COMPLET",$B92)),ISNUMBER(SEARCH("EMAG 1",#REF!)),ISNUMBER(SEARCH("356x26 RPI",$J92))),1*#REF!,(IF(AND(ISNUMBER(SEARCH("T519 CBN COMPLET",$B92)),ISNUMBER(SEARCH("EMAG 1",#REF!)),ISNUMBER(SEARCH("356x26 RPI",$J92))),1*#REF!,0))))</f>
        <v>0</v>
      </c>
      <c r="P92">
        <f>(IF(AND(ISNUMBER(SEARCH("T517 CBN COMPLET",$B92)),ISNUMBER(SEARCH("EMAG 2",#REF!)),ISNUMBER(SEARCH("356x26 RPI",$J92))),1*#REF!,(IF(AND(ISNUMBER(SEARCH("T513 CBN COMPLET",$B92)),ISNUMBER(SEARCH("EMAG 2",#REF!)),ISNUMBER(SEARCH("356x26 RPI",$J92))),2*#REF!,(IF(AND(ISNUMBER(SEARCH("T519 CBN COMPLET",$B92)),ISNUMBER(SEARCH("EMAG 2",#REF!)),ISNUMBER(SEARCH("356x26 RPI",$J92))),1*#REF!,0))))))</f>
        <v>0</v>
      </c>
      <c r="Q92">
        <f t="shared" si="13"/>
        <v>0</v>
      </c>
      <c r="R92">
        <f t="shared" si="39"/>
        <v>0</v>
      </c>
      <c r="S92">
        <f>(IF(AND(ISNUMBER(SEARCH("T517 CBN COMPLET",$B92)),ISNUMBER(SEARCH("EMAG 2",#REF!)),ISNUMBER(SEARCH("330x14",$J92))),1*#REF!,(IF(AND(ISNUMBER(SEARCH("T513 CBN COMPLET",$B92)),ISNUMBER(SEARCH("EMAG 2",#REF!)),ISNUMBER(SEARCH("330x14",$J92))),2*#REF!,(IF(AND(ISNUMBER(SEARCH("T519 CBN COMPLET",$B92)),ISNUMBER(SEARCH("EMAG 2",#REF!)),ISNUMBER(SEARCH("330x14",$J92))),1*#REF!,0))))))</f>
        <v>0</v>
      </c>
      <c r="T92">
        <f>(IF(AND(ISNUMBER(SEARCH("T517 CBN COMPLET",$B92)),ISNUMBER(SEARCH("EMAG 2",#REF!)),ISNUMBER(SEARCH("330x14",$J92))),1*#REF!,(IF(AND(ISNUMBER(SEARCH("T519 CBN COMPLET",$B92)),ISNUMBER(SEARCH("EMAG 2",#REF!)),ISNUMBER(SEARCH("330x14",$J92))),1*#REF!,0))))</f>
        <v>0</v>
      </c>
      <c r="U92">
        <f>(IF(AND(ISNUMBER(SEARCH("T511 CBN COMPLET",$B92)),ISNUMBER(SEARCH("EMAG 3",#REF!)),ISNUMBER(SEARCH("304x28 RPE",$J92))),1*#REF!,(IF(AND(ISNUMBER(SEARCH("T513 CBN COMPLET",$B92)),ISNUMBER(SEARCH("EMAG 3",#REF!)),ISNUMBER(SEARCH("304x28 RPE",$J92))),2*#REF!,0))))</f>
        <v>0</v>
      </c>
      <c r="V92">
        <f>(IF(AND(ISNUMBER(SEARCH("T511 CBN COMPLET",$B92)),ISNUMBER(SEARCH("EMAG 3",#REF!)),ISNUMBER(SEARCH("304x28 RPE",$J92))),1*#REF!,(IF(AND(ISNUMBER(SEARCH("T515 CBN COMPLET",$B92)),ISNUMBER(SEARCH("EMAG 3",#REF!)),ISNUMBER(SEARCH("304x28 RPE",$J92))),2*#REF!,0))))</f>
        <v>0</v>
      </c>
      <c r="W92">
        <f>(IF(AND(ISNUMBER(SEARCH("T517 CBN COMPLET",$B92)),ISNUMBER(SEARCH("EMAG 3",#REF!)),ISNUMBER(SEARCH("330x14",$J92))),1*#REF!,(IF(AND(ISNUMBER(SEARCH("T513 CBN COMPLET",$B92)),ISNUMBER(SEARCH("EMAG 3",#REF!)),ISNUMBER(SEARCH("330x14",$J92))),2*#REF!,(IF(AND(ISNUMBER(SEARCH("T519 CBN COMPLET",$B92)),ISNUMBER(SEARCH("EMAG 3",#REF!)),ISNUMBER(SEARCH("330x14",$J92))),1*#REF!,0))))))</f>
        <v>0</v>
      </c>
      <c r="X92">
        <f>(IF(AND(ISNUMBER(SEARCH("T517 CBN COMPLET",$B92)),ISNUMBER(SEARCH("EMAG 3",#REF!)),ISNUMBER(SEARCH("330x14",$J92))),1*#REF!,(IF(AND(ISNUMBER(SEARCH("T519 CBN COMPLET",$B92)),ISNUMBER(SEARCH("EMAG 3",#REF!)),ISNUMBER(SEARCH("330x14",$J92))),1*#REF!,0))))</f>
        <v>0</v>
      </c>
    </row>
    <row r="93" spans="1:24" x14ac:dyDescent="0.25">
      <c r="A93" s="135"/>
      <c r="B93" s="136"/>
      <c r="C93" s="136"/>
      <c r="D93" s="136"/>
      <c r="E93" s="136"/>
      <c r="F93" s="137"/>
      <c r="G93" s="136"/>
      <c r="H93" s="136"/>
      <c r="I93" s="136"/>
      <c r="J93" s="136"/>
      <c r="K93" s="138"/>
      <c r="L93">
        <f>(IF(AND(ISNUMBER(SEARCH("T511 CBN COMPLET",$B93)),ISNUMBER(SEARCH("EMAG 1",#REF!)),ISNUMBER(SEARCH("304x28 RPE",$J93))),1*#REF!,(IF(AND(ISNUMBER(SEARCH("T513 CBN COMPLET",$B93)),ISNUMBER(SEARCH("EMAG 1",#REF!)),ISNUMBER(SEARCH("304x28 RPE",$J93))),2*#REF!,0))))</f>
        <v>0</v>
      </c>
      <c r="M93">
        <f>(IF(AND(ISNUMBER(SEARCH("T511 CBN COMPLET",$B93)),ISNUMBER(SEARCH("EMAG 1",#REF!)),ISNUMBER(SEARCH("304x28 RPE",$J93))),1*#REF!,(IF(AND(ISNUMBER(SEARCH("T515 CBN COMPLET",$B93)),ISNUMBER(SEARCH("EMAG 1",#REF!)),ISNUMBER(SEARCH("304x28 RPE",$J93))),2*#REF!,0))))</f>
        <v>0</v>
      </c>
      <c r="N93">
        <f>(IF(AND(ISNUMBER(SEARCH("T517 CBN COMPLET",$B93)),ISNUMBER(SEARCH("EMAG 1",#REF!)),ISNUMBER(SEARCH("356x26 RPI",$J93))),1*#REF!,(IF(AND(ISNUMBER(SEARCH("T513 CBN COMPLET",$B93)),ISNUMBER(SEARCH("EMAG 1",#REF!)),ISNUMBER(SEARCH("356x26 RPI",$J93))),2*#REF!,(IF(AND(ISNUMBER(SEARCH("T519 CBN COMPLET",$B93)),ISNUMBER(SEARCH("EMAG 1",#REF!)),ISNUMBER(SEARCH("356x26 RPI",$J93))),1*#REF!,0))))))</f>
        <v>0</v>
      </c>
      <c r="O93">
        <f>(IF(AND(ISNUMBER(SEARCH("T517 CBN COMPLET",$B93)),ISNUMBER(SEARCH("EMAG 1",#REF!)),ISNUMBER(SEARCH("356x26 RPI",$J93))),1*#REF!,(IF(AND(ISNUMBER(SEARCH("T519 CBN COMPLET",$B93)),ISNUMBER(SEARCH("EMAG 1",#REF!)),ISNUMBER(SEARCH("356x26 RPI",$J93))),1*#REF!,0))))</f>
        <v>0</v>
      </c>
      <c r="P93">
        <f>(IF(AND(ISNUMBER(SEARCH("T517 CBN COMPLET",$B93)),ISNUMBER(SEARCH("EMAG 2",#REF!)),ISNUMBER(SEARCH("356x26 RPI",$J93))),1*#REF!,(IF(AND(ISNUMBER(SEARCH("T513 CBN COMPLET",$B93)),ISNUMBER(SEARCH("EMAG 2",#REF!)),ISNUMBER(SEARCH("356x26 RPI",$J93))),2*#REF!,(IF(AND(ISNUMBER(SEARCH("T519 CBN COMPLET",$B93)),ISNUMBER(SEARCH("EMAG 2",#REF!)),ISNUMBER(SEARCH("356x26 RPI",$J93))),1*#REF!,0))))))</f>
        <v>0</v>
      </c>
      <c r="Q93">
        <f t="shared" si="13"/>
        <v>0</v>
      </c>
      <c r="R93">
        <f t="shared" si="39"/>
        <v>0</v>
      </c>
      <c r="S93">
        <f>(IF(AND(ISNUMBER(SEARCH("T517 CBN COMPLET",$B93)),ISNUMBER(SEARCH("EMAG 2",#REF!)),ISNUMBER(SEARCH("330x14",$J93))),1*#REF!,(IF(AND(ISNUMBER(SEARCH("T513 CBN COMPLET",$B93)),ISNUMBER(SEARCH("EMAG 2",#REF!)),ISNUMBER(SEARCH("330x14",$J93))),2*#REF!,(IF(AND(ISNUMBER(SEARCH("T519 CBN COMPLET",$B93)),ISNUMBER(SEARCH("EMAG 2",#REF!)),ISNUMBER(SEARCH("330x14",$J93))),1*#REF!,0))))))</f>
        <v>0</v>
      </c>
      <c r="T93">
        <f>(IF(AND(ISNUMBER(SEARCH("T517 CBN COMPLET",$B93)),ISNUMBER(SEARCH("EMAG 2",#REF!)),ISNUMBER(SEARCH("330x14",$J93))),1*#REF!,(IF(AND(ISNUMBER(SEARCH("T519 CBN COMPLET",$B93)),ISNUMBER(SEARCH("EMAG 2",#REF!)),ISNUMBER(SEARCH("330x14",$J93))),1*#REF!,0))))</f>
        <v>0</v>
      </c>
      <c r="U93">
        <f>(IF(AND(ISNUMBER(SEARCH("T511 CBN COMPLET",$B93)),ISNUMBER(SEARCH("EMAG 3",#REF!)),ISNUMBER(SEARCH("304x28 RPE",$J93))),1*#REF!,(IF(AND(ISNUMBER(SEARCH("T513 CBN COMPLET",$B93)),ISNUMBER(SEARCH("EMAG 3",#REF!)),ISNUMBER(SEARCH("304x28 RPE",$J93))),2*#REF!,0))))</f>
        <v>0</v>
      </c>
      <c r="V93">
        <f>(IF(AND(ISNUMBER(SEARCH("T511 CBN COMPLET",$B93)),ISNUMBER(SEARCH("EMAG 3",#REF!)),ISNUMBER(SEARCH("304x28 RPE",$J93))),1*#REF!,(IF(AND(ISNUMBER(SEARCH("T515 CBN COMPLET",$B93)),ISNUMBER(SEARCH("EMAG 3",#REF!)),ISNUMBER(SEARCH("304x28 RPE",$J93))),2*#REF!,0))))</f>
        <v>0</v>
      </c>
      <c r="W93">
        <f>(IF(AND(ISNUMBER(SEARCH("T517 CBN COMPLET",$B93)),ISNUMBER(SEARCH("EMAG 3",#REF!)),ISNUMBER(SEARCH("330x14",$J93))),1*#REF!,(IF(AND(ISNUMBER(SEARCH("T513 CBN COMPLET",$B93)),ISNUMBER(SEARCH("EMAG 3",#REF!)),ISNUMBER(SEARCH("330x14",$J93))),2*#REF!,(IF(AND(ISNUMBER(SEARCH("T519 CBN COMPLET",$B93)),ISNUMBER(SEARCH("EMAG 3",#REF!)),ISNUMBER(SEARCH("330x14",$J93))),1*#REF!,0))))))</f>
        <v>0</v>
      </c>
      <c r="X93">
        <f>(IF(AND(ISNUMBER(SEARCH("T517 CBN COMPLET",$B93)),ISNUMBER(SEARCH("EMAG 3",#REF!)),ISNUMBER(SEARCH("330x14",$J93))),1*#REF!,(IF(AND(ISNUMBER(SEARCH("T519 CBN COMPLET",$B93)),ISNUMBER(SEARCH("EMAG 3",#REF!)),ISNUMBER(SEARCH("330x14",$J93))),1*#REF!,0))))</f>
        <v>0</v>
      </c>
    </row>
    <row r="94" spans="1:24" x14ac:dyDescent="0.25">
      <c r="A94" s="135"/>
      <c r="B94" s="136"/>
      <c r="C94" s="136"/>
      <c r="D94" s="136"/>
      <c r="E94" s="136"/>
      <c r="F94" s="137"/>
      <c r="G94" s="136"/>
      <c r="H94" s="136"/>
      <c r="I94" s="136"/>
      <c r="J94" s="136"/>
      <c r="K94" s="138"/>
      <c r="L94">
        <f>(IF(AND(ISNUMBER(SEARCH("T511 CBN COMPLET",$B94)),ISNUMBER(SEARCH("EMAG 1",#REF!)),ISNUMBER(SEARCH("304x28 RPE",$J94))),1*#REF!,(IF(AND(ISNUMBER(SEARCH("T513 CBN COMPLET",$B94)),ISNUMBER(SEARCH("EMAG 1",#REF!)),ISNUMBER(SEARCH("304x28 RPE",$J94))),2*#REF!,0))))</f>
        <v>0</v>
      </c>
      <c r="M94">
        <f>(IF(AND(ISNUMBER(SEARCH("T511 CBN COMPLET",$B94)),ISNUMBER(SEARCH("EMAG 1",#REF!)),ISNUMBER(SEARCH("304x28 RPE",$J94))),1*#REF!,(IF(AND(ISNUMBER(SEARCH("T515 CBN COMPLET",$B94)),ISNUMBER(SEARCH("EMAG 1",#REF!)),ISNUMBER(SEARCH("304x28 RPE",$J94))),2*#REF!,0))))</f>
        <v>0</v>
      </c>
      <c r="N94">
        <f>(IF(AND(ISNUMBER(SEARCH("T517 CBN COMPLET",$B94)),ISNUMBER(SEARCH("EMAG 1",#REF!)),ISNUMBER(SEARCH("356x26 RPI",$J94))),1*#REF!,(IF(AND(ISNUMBER(SEARCH("T513 CBN COMPLET",$B94)),ISNUMBER(SEARCH("EMAG 1",#REF!)),ISNUMBER(SEARCH("356x26 RPI",$J94))),2*#REF!,(IF(AND(ISNUMBER(SEARCH("T519 CBN COMPLET",$B94)),ISNUMBER(SEARCH("EMAG 1",#REF!)),ISNUMBER(SEARCH("356x26 RPI",$J94))),1*#REF!,0))))))</f>
        <v>0</v>
      </c>
      <c r="O94">
        <f>(IF(AND(ISNUMBER(SEARCH("T517 CBN COMPLET",$B94)),ISNUMBER(SEARCH("EMAG 1",#REF!)),ISNUMBER(SEARCH("356x26 RPI",$J94))),1*#REF!,(IF(AND(ISNUMBER(SEARCH("T519 CBN COMPLET",$B94)),ISNUMBER(SEARCH("EMAG 1",#REF!)),ISNUMBER(SEARCH("356x26 RPI",$J94))),1*#REF!,0))))</f>
        <v>0</v>
      </c>
      <c r="P94">
        <f>(IF(AND(ISNUMBER(SEARCH("T517 CBN COMPLET",$B94)),ISNUMBER(SEARCH("EMAG 2",#REF!)),ISNUMBER(SEARCH("356x26 RPI",$J94))),1*#REF!,(IF(AND(ISNUMBER(SEARCH("T513 CBN COMPLET",$B94)),ISNUMBER(SEARCH("EMAG 2",#REF!)),ISNUMBER(SEARCH("356x26 RPI",$J94))),2*#REF!,(IF(AND(ISNUMBER(SEARCH("T519 CBN COMPLET",$B94)),ISNUMBER(SEARCH("EMAG 2",#REF!)),ISNUMBER(SEARCH("356x26 RPI",$J94))),1*#REF!,0))))))</f>
        <v>0</v>
      </c>
      <c r="Q94">
        <f t="shared" si="13"/>
        <v>0</v>
      </c>
      <c r="R94">
        <f t="shared" si="39"/>
        <v>0</v>
      </c>
      <c r="S94">
        <f>(IF(AND(ISNUMBER(SEARCH("T517 CBN COMPLET",$B94)),ISNUMBER(SEARCH("EMAG 2",#REF!)),ISNUMBER(SEARCH("330x14",$J94))),1*#REF!,(IF(AND(ISNUMBER(SEARCH("T513 CBN COMPLET",$B94)),ISNUMBER(SEARCH("EMAG 2",#REF!)),ISNUMBER(SEARCH("330x14",$J94))),2*#REF!,(IF(AND(ISNUMBER(SEARCH("T519 CBN COMPLET",$B94)),ISNUMBER(SEARCH("EMAG 2",#REF!)),ISNUMBER(SEARCH("330x14",$J94))),1*#REF!,0))))))</f>
        <v>0</v>
      </c>
      <c r="T94">
        <f>(IF(AND(ISNUMBER(SEARCH("T517 CBN COMPLET",$B94)),ISNUMBER(SEARCH("EMAG 2",#REF!)),ISNUMBER(SEARCH("330x14",$J94))),1*#REF!,(IF(AND(ISNUMBER(SEARCH("T519 CBN COMPLET",$B94)),ISNUMBER(SEARCH("EMAG 2",#REF!)),ISNUMBER(SEARCH("330x14",$J94))),1*#REF!,0))))</f>
        <v>0</v>
      </c>
      <c r="U94">
        <f>(IF(AND(ISNUMBER(SEARCH("T511 CBN COMPLET",$B94)),ISNUMBER(SEARCH("EMAG 3",#REF!)),ISNUMBER(SEARCH("304x28 RPE",$J94))),1*#REF!,(IF(AND(ISNUMBER(SEARCH("T513 CBN COMPLET",$B94)),ISNUMBER(SEARCH("EMAG 3",#REF!)),ISNUMBER(SEARCH("304x28 RPE",$J94))),2*#REF!,0))))</f>
        <v>0</v>
      </c>
      <c r="V94">
        <f>(IF(AND(ISNUMBER(SEARCH("T511 CBN COMPLET",$B94)),ISNUMBER(SEARCH("EMAG 3",#REF!)),ISNUMBER(SEARCH("304x28 RPE",$J94))),1*#REF!,(IF(AND(ISNUMBER(SEARCH("T515 CBN COMPLET",$B94)),ISNUMBER(SEARCH("EMAG 3",#REF!)),ISNUMBER(SEARCH("304x28 RPE",$J94))),2*#REF!,0))))</f>
        <v>0</v>
      </c>
      <c r="W94">
        <f>(IF(AND(ISNUMBER(SEARCH("T517 CBN COMPLET",$B94)),ISNUMBER(SEARCH("EMAG 3",#REF!)),ISNUMBER(SEARCH("330x14",$J94))),1*#REF!,(IF(AND(ISNUMBER(SEARCH("T513 CBN COMPLET",$B94)),ISNUMBER(SEARCH("EMAG 3",#REF!)),ISNUMBER(SEARCH("330x14",$J94))),2*#REF!,(IF(AND(ISNUMBER(SEARCH("T519 CBN COMPLET",$B94)),ISNUMBER(SEARCH("EMAG 3",#REF!)),ISNUMBER(SEARCH("330x14",$J94))),1*#REF!,0))))))</f>
        <v>0</v>
      </c>
      <c r="X94">
        <f>(IF(AND(ISNUMBER(SEARCH("T517 CBN COMPLET",$B94)),ISNUMBER(SEARCH("EMAG 3",#REF!)),ISNUMBER(SEARCH("330x14",$J94))),1*#REF!,(IF(AND(ISNUMBER(SEARCH("T519 CBN COMPLET",$B94)),ISNUMBER(SEARCH("EMAG 3",#REF!)),ISNUMBER(SEARCH("330x14",$J94))),1*#REF!,0))))</f>
        <v>0</v>
      </c>
    </row>
    <row r="95" spans="1:24" x14ac:dyDescent="0.25">
      <c r="A95" s="135"/>
      <c r="B95" s="136"/>
      <c r="C95" s="136"/>
      <c r="D95" s="136"/>
      <c r="E95" s="136"/>
      <c r="F95" s="137"/>
      <c r="G95" s="136"/>
      <c r="H95" s="136"/>
      <c r="I95" s="136"/>
      <c r="J95" s="136"/>
      <c r="K95" s="138"/>
      <c r="L95">
        <f>(IF(AND(ISNUMBER(SEARCH("T511 CBN COMPLET",$B95)),ISNUMBER(SEARCH("EMAG 1",#REF!)),ISNUMBER(SEARCH("304x28 RPE",$J95))),1*#REF!,(IF(AND(ISNUMBER(SEARCH("T513 CBN COMPLET",$B95)),ISNUMBER(SEARCH("EMAG 1",#REF!)),ISNUMBER(SEARCH("304x28 RPE",$J95))),2*#REF!,0))))</f>
        <v>0</v>
      </c>
      <c r="M95">
        <f>(IF(AND(ISNUMBER(SEARCH("T511 CBN COMPLET",$B95)),ISNUMBER(SEARCH("EMAG 1",#REF!)),ISNUMBER(SEARCH("304x28 RPE",$J95))),1*#REF!,(IF(AND(ISNUMBER(SEARCH("T515 CBN COMPLET",$B95)),ISNUMBER(SEARCH("EMAG 1",#REF!)),ISNUMBER(SEARCH("304x28 RPE",$J95))),2*#REF!,0))))</f>
        <v>0</v>
      </c>
      <c r="N95">
        <f>(IF(AND(ISNUMBER(SEARCH("T517 CBN COMPLET",$B95)),ISNUMBER(SEARCH("EMAG 1",#REF!)),ISNUMBER(SEARCH("356x26 RPI",$J95))),1*#REF!,(IF(AND(ISNUMBER(SEARCH("T513 CBN COMPLET",$B95)),ISNUMBER(SEARCH("EMAG 1",#REF!)),ISNUMBER(SEARCH("356x26 RPI",$J95))),2*#REF!,(IF(AND(ISNUMBER(SEARCH("T519 CBN COMPLET",$B95)),ISNUMBER(SEARCH("EMAG 1",#REF!)),ISNUMBER(SEARCH("356x26 RPI",$J95))),1*#REF!,0))))))</f>
        <v>0</v>
      </c>
      <c r="O95">
        <f>(IF(AND(ISNUMBER(SEARCH("T517 CBN COMPLET",$B95)),ISNUMBER(SEARCH("EMAG 1",#REF!)),ISNUMBER(SEARCH("356x26 RPI",$J95))),1*#REF!,(IF(AND(ISNUMBER(SEARCH("T519 CBN COMPLET",$B95)),ISNUMBER(SEARCH("EMAG 1",#REF!)),ISNUMBER(SEARCH("356x26 RPI",$J95))),1*#REF!,0))))</f>
        <v>0</v>
      </c>
      <c r="P95">
        <f>(IF(AND(ISNUMBER(SEARCH("T517 CBN COMPLET",$B95)),ISNUMBER(SEARCH("EMAG 2",#REF!)),ISNUMBER(SEARCH("356x26 RPI",$J95))),1*#REF!,(IF(AND(ISNUMBER(SEARCH("T513 CBN COMPLET",$B95)),ISNUMBER(SEARCH("EMAG 2",#REF!)),ISNUMBER(SEARCH("356x26 RPI",$J95))),2*#REF!,(IF(AND(ISNUMBER(SEARCH("T519 CBN COMPLET",$B95)),ISNUMBER(SEARCH("EMAG 2",#REF!)),ISNUMBER(SEARCH("356x26 RPI",$J95))),1*#REF!,0))))))</f>
        <v>0</v>
      </c>
      <c r="Q95">
        <f t="shared" si="13"/>
        <v>0</v>
      </c>
      <c r="R95">
        <f t="shared" si="39"/>
        <v>0</v>
      </c>
      <c r="S95">
        <f>(IF(AND(ISNUMBER(SEARCH("T517 CBN COMPLET",$B95)),ISNUMBER(SEARCH("EMAG 2",#REF!)),ISNUMBER(SEARCH("330x14",$J95))),1*#REF!,(IF(AND(ISNUMBER(SEARCH("T513 CBN COMPLET",$B95)),ISNUMBER(SEARCH("EMAG 2",#REF!)),ISNUMBER(SEARCH("330x14",$J95))),2*#REF!,(IF(AND(ISNUMBER(SEARCH("T519 CBN COMPLET",$B95)),ISNUMBER(SEARCH("EMAG 2",#REF!)),ISNUMBER(SEARCH("330x14",$J95))),1*#REF!,0))))))</f>
        <v>0</v>
      </c>
      <c r="T95">
        <f>(IF(AND(ISNUMBER(SEARCH("T517 CBN COMPLET",$B95)),ISNUMBER(SEARCH("EMAG 2",#REF!)),ISNUMBER(SEARCH("330x14",$J95))),1*#REF!,(IF(AND(ISNUMBER(SEARCH("T519 CBN COMPLET",$B95)),ISNUMBER(SEARCH("EMAG 2",#REF!)),ISNUMBER(SEARCH("330x14",$J95))),1*#REF!,0))))</f>
        <v>0</v>
      </c>
      <c r="U95">
        <f>(IF(AND(ISNUMBER(SEARCH("T511 CBN COMPLET",$B95)),ISNUMBER(SEARCH("EMAG 3",#REF!)),ISNUMBER(SEARCH("304x28 RPE",$J95))),1*#REF!,(IF(AND(ISNUMBER(SEARCH("T513 CBN COMPLET",$B95)),ISNUMBER(SEARCH("EMAG 3",#REF!)),ISNUMBER(SEARCH("304x28 RPE",$J95))),2*#REF!,0))))</f>
        <v>0</v>
      </c>
      <c r="V95">
        <f>(IF(AND(ISNUMBER(SEARCH("T511 CBN COMPLET",$B95)),ISNUMBER(SEARCH("EMAG 3",#REF!)),ISNUMBER(SEARCH("304x28 RPE",$J95))),1*#REF!,(IF(AND(ISNUMBER(SEARCH("T515 CBN COMPLET",$B95)),ISNUMBER(SEARCH("EMAG 3",#REF!)),ISNUMBER(SEARCH("304x28 RPE",$J95))),2*#REF!,0))))</f>
        <v>0</v>
      </c>
      <c r="W95">
        <f>(IF(AND(ISNUMBER(SEARCH("T517 CBN COMPLET",$B95)),ISNUMBER(SEARCH("EMAG 3",#REF!)),ISNUMBER(SEARCH("330x14",$J95))),1*#REF!,(IF(AND(ISNUMBER(SEARCH("T513 CBN COMPLET",$B95)),ISNUMBER(SEARCH("EMAG 3",#REF!)),ISNUMBER(SEARCH("330x14",$J95))),2*#REF!,(IF(AND(ISNUMBER(SEARCH("T519 CBN COMPLET",$B95)),ISNUMBER(SEARCH("EMAG 3",#REF!)),ISNUMBER(SEARCH("330x14",$J95))),1*#REF!,0))))))</f>
        <v>0</v>
      </c>
      <c r="X95">
        <f>(IF(AND(ISNUMBER(SEARCH("T517 CBN COMPLET",$B95)),ISNUMBER(SEARCH("EMAG 3",#REF!)),ISNUMBER(SEARCH("330x14",$J95))),1*#REF!,(IF(AND(ISNUMBER(SEARCH("T519 CBN COMPLET",$B95)),ISNUMBER(SEARCH("EMAG 3",#REF!)),ISNUMBER(SEARCH("330x14",$J95))),1*#REF!,0))))</f>
        <v>0</v>
      </c>
    </row>
    <row r="96" spans="1:24" x14ac:dyDescent="0.25">
      <c r="A96" s="135"/>
      <c r="B96" s="136"/>
      <c r="C96" s="136"/>
      <c r="D96" s="136"/>
      <c r="E96" s="136"/>
      <c r="F96" s="137"/>
      <c r="G96" s="136"/>
      <c r="H96" s="136"/>
      <c r="I96" s="136"/>
      <c r="J96" s="136"/>
      <c r="K96" s="138"/>
      <c r="L96">
        <f>(IF(AND(ISNUMBER(SEARCH("T511 CBN COMPLET",$B96)),ISNUMBER(SEARCH("EMAG 1",#REF!)),ISNUMBER(SEARCH("304x28 RPE",$J96))),1*#REF!,(IF(AND(ISNUMBER(SEARCH("T513 CBN COMPLET",$B96)),ISNUMBER(SEARCH("EMAG 1",#REF!)),ISNUMBER(SEARCH("304x28 RPE",$J96))),2*#REF!,0))))</f>
        <v>0</v>
      </c>
      <c r="M96">
        <f>(IF(AND(ISNUMBER(SEARCH("T511 CBN COMPLET",$B96)),ISNUMBER(SEARCH("EMAG 1",#REF!)),ISNUMBER(SEARCH("304x28 RPE",$J96))),1*#REF!,(IF(AND(ISNUMBER(SEARCH("T515 CBN COMPLET",$B96)),ISNUMBER(SEARCH("EMAG 1",#REF!)),ISNUMBER(SEARCH("304x28 RPE",$J96))),2*#REF!,0))))</f>
        <v>0</v>
      </c>
      <c r="N96">
        <f>(IF(AND(ISNUMBER(SEARCH("T517 CBN COMPLET",$B96)),ISNUMBER(SEARCH("EMAG 1",#REF!)),ISNUMBER(SEARCH("356x26 RPI",$J96))),1*#REF!,(IF(AND(ISNUMBER(SEARCH("T513 CBN COMPLET",$B96)),ISNUMBER(SEARCH("EMAG 1",#REF!)),ISNUMBER(SEARCH("356x26 RPI",$J96))),2*#REF!,(IF(AND(ISNUMBER(SEARCH("T519 CBN COMPLET",$B96)),ISNUMBER(SEARCH("EMAG 1",#REF!)),ISNUMBER(SEARCH("356x26 RPI",$J96))),1*#REF!,0))))))</f>
        <v>0</v>
      </c>
      <c r="O96">
        <f>(IF(AND(ISNUMBER(SEARCH("T517 CBN COMPLET",$B96)),ISNUMBER(SEARCH("EMAG 1",#REF!)),ISNUMBER(SEARCH("356x26 RPI",$J96))),1*#REF!,(IF(AND(ISNUMBER(SEARCH("T519 CBN COMPLET",$B96)),ISNUMBER(SEARCH("EMAG 1",#REF!)),ISNUMBER(SEARCH("356x26 RPI",$J96))),1*#REF!,0))))</f>
        <v>0</v>
      </c>
      <c r="P96">
        <f>(IF(AND(ISNUMBER(SEARCH("T517 CBN COMPLET",$B96)),ISNUMBER(SEARCH("EMAG 2",#REF!)),ISNUMBER(SEARCH("356x26 RPI",$J96))),1*#REF!,(IF(AND(ISNUMBER(SEARCH("T513 CBN COMPLET",$B96)),ISNUMBER(SEARCH("EMAG 2",#REF!)),ISNUMBER(SEARCH("356x26 RPI",$J96))),2*#REF!,(IF(AND(ISNUMBER(SEARCH("T519 CBN COMPLET",$B96)),ISNUMBER(SEARCH("EMAG 2",#REF!)),ISNUMBER(SEARCH("356x26 RPI",$J96))),1*#REF!,0))))))</f>
        <v>0</v>
      </c>
      <c r="Q96">
        <f t="shared" si="13"/>
        <v>0</v>
      </c>
      <c r="R96">
        <f t="shared" si="39"/>
        <v>0</v>
      </c>
      <c r="S96">
        <f>(IF(AND(ISNUMBER(SEARCH("T517 CBN COMPLET",$B96)),ISNUMBER(SEARCH("EMAG 2",#REF!)),ISNUMBER(SEARCH("330x14",$J96))),1*#REF!,(IF(AND(ISNUMBER(SEARCH("T513 CBN COMPLET",$B96)),ISNUMBER(SEARCH("EMAG 2",#REF!)),ISNUMBER(SEARCH("330x14",$J96))),2*#REF!,(IF(AND(ISNUMBER(SEARCH("T519 CBN COMPLET",$B96)),ISNUMBER(SEARCH("EMAG 2",#REF!)),ISNUMBER(SEARCH("330x14",$J96))),1*#REF!,0))))))</f>
        <v>0</v>
      </c>
      <c r="T96">
        <f>(IF(AND(ISNUMBER(SEARCH("T517 CBN COMPLET",$B96)),ISNUMBER(SEARCH("EMAG 2",#REF!)),ISNUMBER(SEARCH("330x14",$J96))),1*#REF!,(IF(AND(ISNUMBER(SEARCH("T519 CBN COMPLET",$B96)),ISNUMBER(SEARCH("EMAG 2",#REF!)),ISNUMBER(SEARCH("330x14",$J96))),1*#REF!,0))))</f>
        <v>0</v>
      </c>
      <c r="U96">
        <f>(IF(AND(ISNUMBER(SEARCH("T511 CBN COMPLET",$B96)),ISNUMBER(SEARCH("EMAG 3",#REF!)),ISNUMBER(SEARCH("304x28 RPE",$J96))),1*#REF!,(IF(AND(ISNUMBER(SEARCH("T513 CBN COMPLET",$B96)),ISNUMBER(SEARCH("EMAG 3",#REF!)),ISNUMBER(SEARCH("304x28 RPE",$J96))),2*#REF!,0))))</f>
        <v>0</v>
      </c>
      <c r="V96">
        <f>(IF(AND(ISNUMBER(SEARCH("T511 CBN COMPLET",$B96)),ISNUMBER(SEARCH("EMAG 3",#REF!)),ISNUMBER(SEARCH("304x28 RPE",$J96))),1*#REF!,(IF(AND(ISNUMBER(SEARCH("T515 CBN COMPLET",$B96)),ISNUMBER(SEARCH("EMAG 3",#REF!)),ISNUMBER(SEARCH("304x28 RPE",$J96))),2*#REF!,0))))</f>
        <v>0</v>
      </c>
      <c r="W96">
        <f>(IF(AND(ISNUMBER(SEARCH("T517 CBN COMPLET",$B96)),ISNUMBER(SEARCH("EMAG 3",#REF!)),ISNUMBER(SEARCH("330x14",$J96))),1*#REF!,(IF(AND(ISNUMBER(SEARCH("T513 CBN COMPLET",$B96)),ISNUMBER(SEARCH("EMAG 3",#REF!)),ISNUMBER(SEARCH("330x14",$J96))),2*#REF!,(IF(AND(ISNUMBER(SEARCH("T519 CBN COMPLET",$B96)),ISNUMBER(SEARCH("EMAG 3",#REF!)),ISNUMBER(SEARCH("330x14",$J96))),1*#REF!,0))))))</f>
        <v>0</v>
      </c>
      <c r="X96">
        <f>(IF(AND(ISNUMBER(SEARCH("T517 CBN COMPLET",$B96)),ISNUMBER(SEARCH("EMAG 3",#REF!)),ISNUMBER(SEARCH("330x14",$J96))),1*#REF!,(IF(AND(ISNUMBER(SEARCH("T519 CBN COMPLET",$B96)),ISNUMBER(SEARCH("EMAG 3",#REF!)),ISNUMBER(SEARCH("330x14",$J96))),1*#REF!,0))))</f>
        <v>0</v>
      </c>
    </row>
    <row r="97" spans="1:24" x14ac:dyDescent="0.25">
      <c r="A97" s="135"/>
      <c r="B97" s="136"/>
      <c r="C97" s="136"/>
      <c r="D97" s="136"/>
      <c r="E97" s="136"/>
      <c r="F97" s="137"/>
      <c r="G97" s="136"/>
      <c r="H97" s="136"/>
      <c r="I97" s="136"/>
      <c r="J97" s="136"/>
      <c r="K97" s="138"/>
      <c r="L97">
        <f>(IF(AND(ISNUMBER(SEARCH("T511 CBN COMPLET",$B97)),ISNUMBER(SEARCH("EMAG 1",#REF!)),ISNUMBER(SEARCH("304x28 RPE",$J97))),1*$G97,(IF(AND(ISNUMBER(SEARCH("T513 CBN COMPLET",$B97)),ISNUMBER(SEARCH("EMAG 1",#REF!)),ISNUMBER(SEARCH("304x28 RPE",$J97))),2*$G97,0))))</f>
        <v>0</v>
      </c>
      <c r="M97">
        <f>(IF(AND(ISNUMBER(SEARCH("T511 CBN COMPLET",$B97)),ISNUMBER(SEARCH("EMAG 1",#REF!)),ISNUMBER(SEARCH("304x28 RPE",$J97))),1*$G97,(IF(AND(ISNUMBER(SEARCH("T515 CBN COMPLET",$B97)),ISNUMBER(SEARCH("EMAG 1",#REF!)),ISNUMBER(SEARCH("304x28 RPE",$J97))),2*$G97,0))))</f>
        <v>0</v>
      </c>
      <c r="N97">
        <f>(IF(AND(ISNUMBER(SEARCH("T517 CBN COMPLET",$B97)),ISNUMBER(SEARCH("EMAG 1",#REF!)),ISNUMBER(SEARCH("356x26 RPI",$J97))),1*$G97,(IF(AND(ISNUMBER(SEARCH("T513 CBN COMPLET",$B97)),ISNUMBER(SEARCH("EMAG 1",#REF!)),ISNUMBER(SEARCH("356x26 RPI",$J97))),2*$G97,(IF(AND(ISNUMBER(SEARCH("T519 CBN COMPLET",$B97)),ISNUMBER(SEARCH("EMAG 1",#REF!)),ISNUMBER(SEARCH("356x26 RPI",$J97))),1*$G97,0))))))</f>
        <v>0</v>
      </c>
      <c r="O97">
        <f>(IF(AND(ISNUMBER(SEARCH("T517 CBN COMPLET",$B97)),ISNUMBER(SEARCH("EMAG 1",#REF!)),ISNUMBER(SEARCH("356x26 RPI",$J97))),1*$G97,(IF(AND(ISNUMBER(SEARCH("T519 CBN COMPLET",$B97)),ISNUMBER(SEARCH("EMAG 1",#REF!)),ISNUMBER(SEARCH("356x26 RPI",$J97))),1*$G97,0))))</f>
        <v>0</v>
      </c>
      <c r="P97">
        <f>(IF(AND(ISNUMBER(SEARCH("T517 CBN COMPLET",$B97)),ISNUMBER(SEARCH("EMAG 2",#REF!)),ISNUMBER(SEARCH("356x26 RPI",$J97))),1*$G97,(IF(AND(ISNUMBER(SEARCH("T513 CBN COMPLET",$B97)),ISNUMBER(SEARCH("EMAG 2",#REF!)),ISNUMBER(SEARCH("356x26 RPI",$J97))),2*$G97,(IF(AND(ISNUMBER(SEARCH("T519 CBN COMPLET",$B97)),ISNUMBER(SEARCH("EMAG 2",#REF!)),ISNUMBER(SEARCH("356x26 RPI",$J97))),1*$G97,0))))))</f>
        <v>0</v>
      </c>
      <c r="Q97">
        <f t="shared" si="13"/>
        <v>0</v>
      </c>
      <c r="R97">
        <f t="shared" si="39"/>
        <v>0</v>
      </c>
      <c r="S97">
        <f>(IF(AND(ISNUMBER(SEARCH("T517 CBN COMPLET",$B97)),ISNUMBER(SEARCH("EMAG 2",#REF!)),ISNUMBER(SEARCH("330x14",$J97))),1*$G97,(IF(AND(ISNUMBER(SEARCH("T513 CBN COMPLET",$B97)),ISNUMBER(SEARCH("EMAG 2",#REF!)),ISNUMBER(SEARCH("330x14",$J97))),2*$G97,(IF(AND(ISNUMBER(SEARCH("T519 CBN COMPLET",$B97)),ISNUMBER(SEARCH("EMAG 2",#REF!)),ISNUMBER(SEARCH("330x14",$J97))),1*$G97,0))))))</f>
        <v>0</v>
      </c>
      <c r="T97">
        <f>(IF(AND(ISNUMBER(SEARCH("T517 CBN COMPLET",$B97)),ISNUMBER(SEARCH("EMAG 2",#REF!)),ISNUMBER(SEARCH("330x14",$J97))),1*$G97,(IF(AND(ISNUMBER(SEARCH("T519 CBN COMPLET",$B97)),ISNUMBER(SEARCH("EMAG 2",#REF!)),ISNUMBER(SEARCH("330x14",$J97))),1*$G97,0))))</f>
        <v>0</v>
      </c>
      <c r="U97">
        <f>(IF(AND(ISNUMBER(SEARCH("T511 CBN COMPLET",$B97)),ISNUMBER(SEARCH("EMAG 3",#REF!)),ISNUMBER(SEARCH("304x28 RPE",$J97))),1*$G97,(IF(AND(ISNUMBER(SEARCH("T513 CBN COMPLET",$B97)),ISNUMBER(SEARCH("EMAG 3",#REF!)),ISNUMBER(SEARCH("304x28 RPE",$J97))),2*$G97,0))))</f>
        <v>0</v>
      </c>
      <c r="V97">
        <f>(IF(AND(ISNUMBER(SEARCH("T511 CBN COMPLET",$B97)),ISNUMBER(SEARCH("EMAG 3",#REF!)),ISNUMBER(SEARCH("304x28 RPE",$J97))),1*$G97,(IF(AND(ISNUMBER(SEARCH("T515 CBN COMPLET",$B97)),ISNUMBER(SEARCH("EMAG 3",#REF!)),ISNUMBER(SEARCH("304x28 RPE",$J97))),2*$G97,0))))</f>
        <v>0</v>
      </c>
      <c r="W97">
        <f>(IF(AND(ISNUMBER(SEARCH("T517 CBN COMPLET",$B97)),ISNUMBER(SEARCH("EMAG 3",#REF!)),ISNUMBER(SEARCH("330x14",$J97))),1*$G97,(IF(AND(ISNUMBER(SEARCH("T513 CBN COMPLET",$B97)),ISNUMBER(SEARCH("EMAG 3",#REF!)),ISNUMBER(SEARCH("330x14",$J97))),2*$G97,(IF(AND(ISNUMBER(SEARCH("T519 CBN COMPLET",$B97)),ISNUMBER(SEARCH("EMAG 3",#REF!)),ISNUMBER(SEARCH("330x14",$J97))),1*$G97,0))))))</f>
        <v>0</v>
      </c>
      <c r="X97">
        <f>(IF(AND(ISNUMBER(SEARCH("T517 CBN COMPLET",$B97)),ISNUMBER(SEARCH("EMAG 3",#REF!)),ISNUMBER(SEARCH("330x14",$J97))),1*$G97,(IF(AND(ISNUMBER(SEARCH("T519 CBN COMPLET",$B97)),ISNUMBER(SEARCH("EMAG 3",#REF!)),ISNUMBER(SEARCH("330x14",$J97))),1*$G97,0))))</f>
        <v>0</v>
      </c>
    </row>
    <row r="98" spans="1:24" x14ac:dyDescent="0.25">
      <c r="A98" s="135"/>
      <c r="B98" s="136"/>
      <c r="C98" s="136"/>
      <c r="D98" s="136"/>
      <c r="E98" s="136"/>
      <c r="F98" s="137"/>
      <c r="G98" s="136"/>
      <c r="H98" s="136"/>
      <c r="I98" s="136"/>
      <c r="J98" s="136"/>
      <c r="K98" s="138"/>
      <c r="L98">
        <f>(IF(AND(ISNUMBER(SEARCH("T511 CBN COMPLET",$B98)),ISNUMBER(SEARCH("EMAG 1",#REF!)),ISNUMBER(SEARCH("304x28 RPE",$J98))),1*$G98,(IF(AND(ISNUMBER(SEARCH("T513 CBN COMPLET",$B98)),ISNUMBER(SEARCH("EMAG 1",#REF!)),ISNUMBER(SEARCH("304x28 RPE",$J98))),2*$G98,0))))</f>
        <v>0</v>
      </c>
      <c r="M98">
        <f>(IF(AND(ISNUMBER(SEARCH("T511 CBN COMPLET",$B98)),ISNUMBER(SEARCH("EMAG 1",#REF!)),ISNUMBER(SEARCH("304x28 RPE",$J98))),1*$G98,(IF(AND(ISNUMBER(SEARCH("T515 CBN COMPLET",$B98)),ISNUMBER(SEARCH("EMAG 1",#REF!)),ISNUMBER(SEARCH("304x28 RPE",$J98))),2*$G98,0))))</f>
        <v>0</v>
      </c>
      <c r="N98">
        <f>(IF(AND(ISNUMBER(SEARCH("T517 CBN COMPLET",$B98)),ISNUMBER(SEARCH("EMAG 1",#REF!)),ISNUMBER(SEARCH("356x26 RPI",$J98))),1*$G98,(IF(AND(ISNUMBER(SEARCH("T513 CBN COMPLET",$B98)),ISNUMBER(SEARCH("EMAG 1",#REF!)),ISNUMBER(SEARCH("356x26 RPI",$J98))),2*$G98,(IF(AND(ISNUMBER(SEARCH("T519 CBN COMPLET",$B98)),ISNUMBER(SEARCH("EMAG 1",#REF!)),ISNUMBER(SEARCH("356x26 RPI",$J98))),1*$G98,0))))))</f>
        <v>0</v>
      </c>
      <c r="O98">
        <f>(IF(AND(ISNUMBER(SEARCH("T517 CBN COMPLET",$B98)),ISNUMBER(SEARCH("EMAG 1",#REF!)),ISNUMBER(SEARCH("356x26 RPI",$J98))),1*$G98,(IF(AND(ISNUMBER(SEARCH("T519 CBN COMPLET",$B98)),ISNUMBER(SEARCH("EMAG 1",#REF!)),ISNUMBER(SEARCH("356x26 RPI",$J98))),1*$G98,0))))</f>
        <v>0</v>
      </c>
      <c r="P98">
        <f>(IF(AND(ISNUMBER(SEARCH("T517 CBN COMPLET",$B98)),ISNUMBER(SEARCH("EMAG 2",#REF!)),ISNUMBER(SEARCH("356x26 RPI",$J98))),1*$G98,(IF(AND(ISNUMBER(SEARCH("T513 CBN COMPLET",$B98)),ISNUMBER(SEARCH("EMAG 2",#REF!)),ISNUMBER(SEARCH("356x26 RPI",$J98))),2*$G98,(IF(AND(ISNUMBER(SEARCH("T519 CBN COMPLET",$B98)),ISNUMBER(SEARCH("EMAG 2",#REF!)),ISNUMBER(SEARCH("356x26 RPI",$J98))),1*$G98,0))))))</f>
        <v>0</v>
      </c>
      <c r="Q98">
        <f t="shared" si="13"/>
        <v>0</v>
      </c>
      <c r="R98">
        <f t="shared" si="39"/>
        <v>0</v>
      </c>
      <c r="S98">
        <f>(IF(AND(ISNUMBER(SEARCH("T517 CBN COMPLET",$B98)),ISNUMBER(SEARCH("EMAG 2",#REF!)),ISNUMBER(SEARCH("330x14",$J98))),1*$G98,(IF(AND(ISNUMBER(SEARCH("T513 CBN COMPLET",$B98)),ISNUMBER(SEARCH("EMAG 2",#REF!)),ISNUMBER(SEARCH("330x14",$J98))),2*$G98,(IF(AND(ISNUMBER(SEARCH("T519 CBN COMPLET",$B98)),ISNUMBER(SEARCH("EMAG 2",#REF!)),ISNUMBER(SEARCH("330x14",$J98))),1*$G98,0))))))</f>
        <v>0</v>
      </c>
      <c r="T98">
        <f>(IF(AND(ISNUMBER(SEARCH("T517 CBN COMPLET",$B98)),ISNUMBER(SEARCH("EMAG 2",#REF!)),ISNUMBER(SEARCH("330x14",$J98))),1*$G98,(IF(AND(ISNUMBER(SEARCH("T519 CBN COMPLET",$B98)),ISNUMBER(SEARCH("EMAG 2",#REF!)),ISNUMBER(SEARCH("330x14",$J98))),1*$G98,0))))</f>
        <v>0</v>
      </c>
      <c r="U98">
        <f>(IF(AND(ISNUMBER(SEARCH("T511 CBN COMPLET",$B98)),ISNUMBER(SEARCH("EMAG 3",#REF!)),ISNUMBER(SEARCH("304x28 RPE",$J98))),1*$G98,(IF(AND(ISNUMBER(SEARCH("T513 CBN COMPLET",$B98)),ISNUMBER(SEARCH("EMAG 3",#REF!)),ISNUMBER(SEARCH("304x28 RPE",$J98))),2*$G98,0))))</f>
        <v>0</v>
      </c>
      <c r="V98">
        <f>(IF(AND(ISNUMBER(SEARCH("T511 CBN COMPLET",$B98)),ISNUMBER(SEARCH("EMAG 3",#REF!)),ISNUMBER(SEARCH("304x28 RPE",$J98))),1*$G98,(IF(AND(ISNUMBER(SEARCH("T515 CBN COMPLET",$B98)),ISNUMBER(SEARCH("EMAG 3",#REF!)),ISNUMBER(SEARCH("304x28 RPE",$J98))),2*$G98,0))))</f>
        <v>0</v>
      </c>
      <c r="W98">
        <f>(IF(AND(ISNUMBER(SEARCH("T517 CBN COMPLET",$B98)),ISNUMBER(SEARCH("EMAG 3",#REF!)),ISNUMBER(SEARCH("330x14",$J98))),1*$G98,(IF(AND(ISNUMBER(SEARCH("T513 CBN COMPLET",$B98)),ISNUMBER(SEARCH("EMAG 3",#REF!)),ISNUMBER(SEARCH("330x14",$J98))),2*$G98,(IF(AND(ISNUMBER(SEARCH("T519 CBN COMPLET",$B98)),ISNUMBER(SEARCH("EMAG 3",#REF!)),ISNUMBER(SEARCH("330x14",$J98))),1*$G98,0))))))</f>
        <v>0</v>
      </c>
      <c r="X98">
        <f>(IF(AND(ISNUMBER(SEARCH("T517 CBN COMPLET",$B98)),ISNUMBER(SEARCH("EMAG 3",#REF!)),ISNUMBER(SEARCH("330x14",$J98))),1*$G98,(IF(AND(ISNUMBER(SEARCH("T519 CBN COMPLET",$B98)),ISNUMBER(SEARCH("EMAG 3",#REF!)),ISNUMBER(SEARCH("330x14",$J98))),1*$G98,0))))</f>
        <v>0</v>
      </c>
    </row>
    <row r="99" spans="1:24" x14ac:dyDescent="0.25">
      <c r="A99" s="135"/>
      <c r="B99" s="136"/>
      <c r="C99" s="136"/>
      <c r="D99" s="136"/>
      <c r="E99" s="136"/>
      <c r="F99" s="137"/>
      <c r="G99" s="136"/>
      <c r="H99" s="136"/>
      <c r="I99" s="136"/>
      <c r="J99" s="136"/>
      <c r="K99" s="138"/>
      <c r="L99">
        <f>(IF(AND(ISNUMBER(SEARCH("T511 CBN COMPLET",$B99)),ISNUMBER(SEARCH("EMAG 1",#REF!)),ISNUMBER(SEARCH("304x28 RPE",$J99))),1*$G99,(IF(AND(ISNUMBER(SEARCH("T513 CBN COMPLET",$B99)),ISNUMBER(SEARCH("EMAG 1",#REF!)),ISNUMBER(SEARCH("304x28 RPE",$J99))),2*$G99,0))))</f>
        <v>0</v>
      </c>
      <c r="M99">
        <f>(IF(AND(ISNUMBER(SEARCH("T511 CBN COMPLET",$B99)),ISNUMBER(SEARCH("EMAG 1",#REF!)),ISNUMBER(SEARCH("304x28 RPE",$J99))),1*$G99,(IF(AND(ISNUMBER(SEARCH("T515 CBN COMPLET",$B99)),ISNUMBER(SEARCH("EMAG 1",#REF!)),ISNUMBER(SEARCH("304x28 RPE",$J99))),2*$G99,0))))</f>
        <v>0</v>
      </c>
      <c r="N99">
        <f>(IF(AND(ISNUMBER(SEARCH("T517 CBN COMPLET",$B99)),ISNUMBER(SEARCH("EMAG 1",#REF!)),ISNUMBER(SEARCH("356x26 RPI",$J99))),1*$G99,(IF(AND(ISNUMBER(SEARCH("T513 CBN COMPLET",$B99)),ISNUMBER(SEARCH("EMAG 1",#REF!)),ISNUMBER(SEARCH("356x26 RPI",$J99))),2*$G99,(IF(AND(ISNUMBER(SEARCH("T519 CBN COMPLET",$B99)),ISNUMBER(SEARCH("EMAG 1",#REF!)),ISNUMBER(SEARCH("356x26 RPI",$J99))),1*$G99,0))))))</f>
        <v>0</v>
      </c>
      <c r="O99">
        <f>(IF(AND(ISNUMBER(SEARCH("T517 CBN COMPLET",$B99)),ISNUMBER(SEARCH("EMAG 1",#REF!)),ISNUMBER(SEARCH("356x26 RPI",$J99))),1*$G99,(IF(AND(ISNUMBER(SEARCH("T519 CBN COMPLET",$B99)),ISNUMBER(SEARCH("EMAG 1",#REF!)),ISNUMBER(SEARCH("356x26 RPI",$J99))),1*$G99,0))))</f>
        <v>0</v>
      </c>
      <c r="P99">
        <f>(IF(AND(ISNUMBER(SEARCH("T517 CBN COMPLET",$B99)),ISNUMBER(SEARCH("EMAG 2",#REF!)),ISNUMBER(SEARCH("356x26 RPI",$J99))),1*$G99,(IF(AND(ISNUMBER(SEARCH("T513 CBN COMPLET",$B99)),ISNUMBER(SEARCH("EMAG 2",#REF!)),ISNUMBER(SEARCH("356x26 RPI",$J99))),2*$G99,(IF(AND(ISNUMBER(SEARCH("T519 CBN COMPLET",$B99)),ISNUMBER(SEARCH("EMAG 2",#REF!)),ISNUMBER(SEARCH("356x26 RPI",$J99))),1*$G99,0))))))</f>
        <v>0</v>
      </c>
      <c r="Q99">
        <f t="shared" si="13"/>
        <v>0</v>
      </c>
      <c r="R99">
        <f t="shared" si="39"/>
        <v>0</v>
      </c>
      <c r="S99">
        <f>(IF(AND(ISNUMBER(SEARCH("T517 CBN COMPLET",$B99)),ISNUMBER(SEARCH("EMAG 2",#REF!)),ISNUMBER(SEARCH("330x14",$J99))),1*$G99,(IF(AND(ISNUMBER(SEARCH("T513 CBN COMPLET",$B99)),ISNUMBER(SEARCH("EMAG 2",#REF!)),ISNUMBER(SEARCH("330x14",$J99))),2*$G99,(IF(AND(ISNUMBER(SEARCH("T519 CBN COMPLET",$B99)),ISNUMBER(SEARCH("EMAG 2",#REF!)),ISNUMBER(SEARCH("330x14",$J99))),1*$G99,0))))))</f>
        <v>0</v>
      </c>
      <c r="T99">
        <f>(IF(AND(ISNUMBER(SEARCH("T517 CBN COMPLET",$B99)),ISNUMBER(SEARCH("EMAG 2",#REF!)),ISNUMBER(SEARCH("330x14",$J99))),1*$G99,(IF(AND(ISNUMBER(SEARCH("T519 CBN COMPLET",$B99)),ISNUMBER(SEARCH("EMAG 2",#REF!)),ISNUMBER(SEARCH("330x14",$J99))),1*$G99,0))))</f>
        <v>0</v>
      </c>
      <c r="U99">
        <f>(IF(AND(ISNUMBER(SEARCH("T511 CBN COMPLET",$B99)),ISNUMBER(SEARCH("EMAG 3",#REF!)),ISNUMBER(SEARCH("304x28 RPE",$J99))),1*$G99,(IF(AND(ISNUMBER(SEARCH("T513 CBN COMPLET",$B99)),ISNUMBER(SEARCH("EMAG 3",#REF!)),ISNUMBER(SEARCH("304x28 RPE",$J99))),2*$G99,0))))</f>
        <v>0</v>
      </c>
      <c r="V99">
        <f>(IF(AND(ISNUMBER(SEARCH("T511 CBN COMPLET",$B99)),ISNUMBER(SEARCH("EMAG 3",#REF!)),ISNUMBER(SEARCH("304x28 RPE",$J99))),1*$G99,(IF(AND(ISNUMBER(SEARCH("T515 CBN COMPLET",$B99)),ISNUMBER(SEARCH("EMAG 3",#REF!)),ISNUMBER(SEARCH("304x28 RPE",$J99))),2*$G99,0))))</f>
        <v>0</v>
      </c>
      <c r="W99">
        <f>(IF(AND(ISNUMBER(SEARCH("T517 CBN COMPLET",$B99)),ISNUMBER(SEARCH("EMAG 3",#REF!)),ISNUMBER(SEARCH("330x14",$J99))),1*$G99,(IF(AND(ISNUMBER(SEARCH("T513 CBN COMPLET",$B99)),ISNUMBER(SEARCH("EMAG 3",#REF!)),ISNUMBER(SEARCH("330x14",$J99))),2*$G99,(IF(AND(ISNUMBER(SEARCH("T519 CBN COMPLET",$B99)),ISNUMBER(SEARCH("EMAG 3",#REF!)),ISNUMBER(SEARCH("330x14",$J99))),1*$G99,0))))))</f>
        <v>0</v>
      </c>
      <c r="X99">
        <f>(IF(AND(ISNUMBER(SEARCH("T517 CBN COMPLET",$B99)),ISNUMBER(SEARCH("EMAG 3",#REF!)),ISNUMBER(SEARCH("330x14",$J99))),1*$G99,(IF(AND(ISNUMBER(SEARCH("T519 CBN COMPLET",$B99)),ISNUMBER(SEARCH("EMAG 3",#REF!)),ISNUMBER(SEARCH("330x14",$J99))),1*$G99,0))))</f>
        <v>0</v>
      </c>
    </row>
    <row r="100" spans="1:24" x14ac:dyDescent="0.25">
      <c r="A100" s="135"/>
      <c r="B100" s="136"/>
      <c r="C100" s="136"/>
      <c r="D100" s="136"/>
      <c r="E100" s="136"/>
      <c r="F100" s="137"/>
      <c r="G100" s="136"/>
      <c r="H100" s="136"/>
      <c r="I100" s="136"/>
      <c r="J100" s="136"/>
      <c r="K100" s="138"/>
      <c r="L100">
        <f t="shared" si="14"/>
        <v>0</v>
      </c>
      <c r="M100">
        <f t="shared" si="15"/>
        <v>0</v>
      </c>
      <c r="N100">
        <f t="shared" si="16"/>
        <v>0</v>
      </c>
      <c r="O100">
        <f t="shared" si="17"/>
        <v>0</v>
      </c>
      <c r="P100">
        <f t="shared" si="18"/>
        <v>0</v>
      </c>
      <c r="Q100">
        <f t="shared" ref="Q100" si="40">IF(AND(ISNUMBER(SEARCH("T517 CBN COMPLET",$B100)),ISNUMBER(SEARCH("EMAG 2",$G100)),ISNUMBER(SEARCH("356x26 RPI",$J100))),$F100,IF(AND(ISNUMBER(SEARCH("T519 CBN COMPLET",$B100)),ISNUMBER(SEARCH("EMAG 2",$G100)),ISNUMBER(SEARCH("356x26 RPI",$J100))),$F100,IF(AND(ISNUMBER(SEARCH("T5013 COMPLET",$B100)),ISNUMBER(SEARCH("EMAG 2",$G100)),ISNUMBER(SEARCH("356x26 RPI",$J100))),$F100,0)))</f>
        <v>0</v>
      </c>
      <c r="R100">
        <f t="shared" si="19"/>
        <v>0</v>
      </c>
      <c r="S100">
        <f t="shared" si="20"/>
        <v>0</v>
      </c>
      <c r="T100">
        <f t="shared" si="21"/>
        <v>0</v>
      </c>
      <c r="U100">
        <f t="shared" si="22"/>
        <v>0</v>
      </c>
      <c r="V100">
        <f t="shared" si="23"/>
        <v>0</v>
      </c>
      <c r="W100">
        <f t="shared" si="24"/>
        <v>0</v>
      </c>
      <c r="X100">
        <f t="shared" si="25"/>
        <v>0</v>
      </c>
    </row>
    <row r="101" spans="1:24" x14ac:dyDescent="0.25">
      <c r="A101" s="135"/>
      <c r="B101" s="136"/>
      <c r="C101" s="136"/>
      <c r="D101" s="136"/>
      <c r="E101" s="136"/>
      <c r="F101" s="137"/>
      <c r="G101" s="136"/>
      <c r="H101" s="136"/>
      <c r="I101" s="136"/>
      <c r="J101" s="136"/>
      <c r="K101" s="138"/>
    </row>
    <row r="102" spans="1:24" x14ac:dyDescent="0.25">
      <c r="A102" s="135"/>
      <c r="B102" s="136"/>
      <c r="C102" s="136"/>
      <c r="D102" s="136"/>
      <c r="E102" s="136"/>
      <c r="F102" s="137"/>
      <c r="G102" s="136"/>
      <c r="H102" s="136"/>
      <c r="I102" s="136"/>
      <c r="J102" s="136"/>
      <c r="K102" s="138"/>
    </row>
    <row r="103" spans="1:24" x14ac:dyDescent="0.25">
      <c r="A103" s="135"/>
      <c r="B103" s="136"/>
      <c r="C103" s="136"/>
      <c r="D103" s="136"/>
      <c r="E103" s="136"/>
      <c r="F103" s="137"/>
      <c r="G103" s="136"/>
      <c r="H103" s="136"/>
      <c r="I103" s="136"/>
      <c r="J103" s="136"/>
      <c r="K103" s="138"/>
    </row>
    <row r="104" spans="1:24" x14ac:dyDescent="0.25">
      <c r="A104" s="135"/>
      <c r="B104" s="136"/>
      <c r="C104" s="136"/>
      <c r="D104" s="136"/>
      <c r="E104" s="136"/>
      <c r="F104" s="137"/>
      <c r="G104" s="136"/>
      <c r="H104" s="136"/>
      <c r="I104" s="136"/>
      <c r="J104" s="136"/>
      <c r="K104" s="138"/>
    </row>
    <row r="105" spans="1:24" x14ac:dyDescent="0.25">
      <c r="A105" s="135"/>
      <c r="B105" s="136"/>
      <c r="C105" s="136"/>
      <c r="D105" s="136"/>
      <c r="E105" s="136"/>
      <c r="F105" s="137"/>
      <c r="G105" s="136"/>
      <c r="H105" s="136"/>
      <c r="I105" s="136"/>
      <c r="J105" s="136"/>
      <c r="K105" s="138"/>
    </row>
    <row r="106" spans="1:24" x14ac:dyDescent="0.25">
      <c r="A106" s="135"/>
      <c r="B106" s="136"/>
      <c r="C106" s="136"/>
      <c r="D106" s="136"/>
      <c r="E106" s="136"/>
      <c r="F106" s="137"/>
      <c r="G106" s="136"/>
      <c r="H106" s="136"/>
      <c r="I106" s="136"/>
      <c r="J106" s="136"/>
      <c r="K106" s="138"/>
    </row>
    <row r="107" spans="1:24" x14ac:dyDescent="0.25">
      <c r="A107" s="135"/>
      <c r="B107" s="136"/>
      <c r="C107" s="136"/>
      <c r="D107" s="136"/>
      <c r="E107" s="136"/>
      <c r="F107" s="137"/>
      <c r="G107" s="136"/>
      <c r="H107" s="136"/>
      <c r="I107" s="136"/>
      <c r="J107" s="136"/>
      <c r="K107" s="138"/>
    </row>
    <row r="108" spans="1:24" x14ac:dyDescent="0.25">
      <c r="A108" s="135"/>
      <c r="B108" s="136"/>
      <c r="C108" s="136"/>
      <c r="D108" s="136"/>
      <c r="E108" s="136"/>
      <c r="F108" s="137"/>
      <c r="G108" s="136"/>
      <c r="H108" s="136"/>
      <c r="I108" s="136"/>
      <c r="J108" s="136"/>
      <c r="K108" s="138"/>
    </row>
    <row r="109" spans="1:24" x14ac:dyDescent="0.25">
      <c r="A109" s="135"/>
      <c r="B109" s="136"/>
      <c r="C109" s="136"/>
      <c r="D109" s="136"/>
      <c r="E109" s="136"/>
      <c r="F109" s="137"/>
      <c r="G109" s="136"/>
      <c r="H109" s="136"/>
      <c r="I109" s="136"/>
      <c r="J109" s="136"/>
      <c r="K109" s="138"/>
    </row>
    <row r="110" spans="1:24" x14ac:dyDescent="0.25">
      <c r="A110" s="135"/>
      <c r="B110" s="136"/>
      <c r="C110" s="136"/>
      <c r="D110" s="136"/>
      <c r="E110" s="136"/>
      <c r="F110" s="137"/>
      <c r="G110" s="136"/>
      <c r="H110" s="136"/>
      <c r="I110" s="136"/>
      <c r="J110" s="136"/>
      <c r="K110" s="138"/>
    </row>
    <row r="111" spans="1:24" x14ac:dyDescent="0.25">
      <c r="A111" s="135"/>
      <c r="B111" s="136"/>
      <c r="C111" s="136"/>
      <c r="D111" s="136"/>
      <c r="E111" s="136"/>
      <c r="F111" s="137"/>
      <c r="G111" s="136"/>
      <c r="H111" s="136"/>
      <c r="I111" s="136"/>
      <c r="J111" s="136"/>
      <c r="K111" s="138"/>
    </row>
    <row r="112" spans="1:24" x14ac:dyDescent="0.25">
      <c r="A112" s="135"/>
      <c r="B112" s="136"/>
      <c r="C112" s="136"/>
      <c r="D112" s="136"/>
      <c r="E112" s="136"/>
      <c r="F112" s="137"/>
      <c r="G112" s="136"/>
      <c r="H112" s="136"/>
      <c r="I112" s="136"/>
      <c r="J112" s="136"/>
      <c r="K112" s="138"/>
    </row>
    <row r="113" spans="1:11" x14ac:dyDescent="0.25">
      <c r="A113" s="135"/>
      <c r="B113" s="136"/>
      <c r="C113" s="136"/>
      <c r="D113" s="136"/>
      <c r="E113" s="136"/>
      <c r="F113" s="137"/>
      <c r="G113" s="136"/>
      <c r="H113" s="136"/>
      <c r="I113" s="136"/>
      <c r="J113" s="136"/>
      <c r="K113" s="138"/>
    </row>
    <row r="114" spans="1:11" x14ac:dyDescent="0.25">
      <c r="A114" s="135"/>
      <c r="B114" s="136"/>
      <c r="C114" s="136"/>
      <c r="D114" s="136"/>
      <c r="E114" s="136"/>
      <c r="F114" s="137"/>
      <c r="G114" s="136"/>
      <c r="H114" s="136"/>
      <c r="I114" s="136"/>
      <c r="J114" s="136"/>
      <c r="K114" s="138"/>
    </row>
    <row r="115" spans="1:11" x14ac:dyDescent="0.25">
      <c r="A115" s="135"/>
      <c r="B115" s="136"/>
      <c r="C115" s="136"/>
      <c r="D115" s="136"/>
      <c r="E115" s="136"/>
      <c r="F115" s="137"/>
      <c r="G115" s="136"/>
      <c r="H115" s="136"/>
      <c r="I115" s="136"/>
      <c r="J115" s="136"/>
      <c r="K115" s="138"/>
    </row>
    <row r="116" spans="1:11" x14ac:dyDescent="0.25">
      <c r="A116" s="135"/>
      <c r="B116" s="136"/>
      <c r="C116" s="136"/>
      <c r="D116" s="136"/>
      <c r="E116" s="136"/>
      <c r="F116" s="137"/>
      <c r="G116" s="136"/>
      <c r="H116" s="136"/>
      <c r="I116" s="136"/>
      <c r="J116" s="136"/>
      <c r="K116" s="138"/>
    </row>
    <row r="117" spans="1:11" x14ac:dyDescent="0.25">
      <c r="A117" s="135"/>
      <c r="B117" s="136"/>
      <c r="C117" s="136"/>
      <c r="D117" s="136"/>
      <c r="E117" s="136"/>
      <c r="F117" s="137"/>
      <c r="G117" s="136"/>
      <c r="H117" s="136"/>
      <c r="I117" s="136"/>
      <c r="J117" s="136"/>
      <c r="K117" s="138"/>
    </row>
    <row r="118" spans="1:11" x14ac:dyDescent="0.25">
      <c r="A118" s="135"/>
      <c r="B118" s="136"/>
      <c r="C118" s="136"/>
      <c r="D118" s="136"/>
      <c r="E118" s="136"/>
      <c r="F118" s="137"/>
      <c r="G118" s="136"/>
      <c r="H118" s="136"/>
      <c r="I118" s="136"/>
      <c r="J118" s="136"/>
      <c r="K118" s="138"/>
    </row>
    <row r="119" spans="1:11" x14ac:dyDescent="0.25">
      <c r="A119" s="135"/>
      <c r="B119" s="136"/>
      <c r="C119" s="136"/>
      <c r="D119" s="136"/>
      <c r="E119" s="136"/>
      <c r="F119" s="137"/>
      <c r="G119" s="136"/>
      <c r="H119" s="136"/>
      <c r="I119" s="136"/>
      <c r="J119" s="136"/>
      <c r="K119" s="138"/>
    </row>
    <row r="120" spans="1:11" x14ac:dyDescent="0.25">
      <c r="A120" s="135"/>
      <c r="B120" s="136"/>
      <c r="C120" s="136"/>
      <c r="D120" s="136"/>
      <c r="E120" s="136"/>
      <c r="F120" s="137"/>
      <c r="G120" s="136"/>
      <c r="H120" s="136"/>
      <c r="I120" s="136"/>
      <c r="J120" s="136"/>
      <c r="K120" s="138"/>
    </row>
    <row r="121" spans="1:11" x14ac:dyDescent="0.25">
      <c r="A121" s="135"/>
      <c r="B121" s="136"/>
      <c r="C121" s="136"/>
      <c r="D121" s="136"/>
      <c r="E121" s="136"/>
      <c r="F121" s="137"/>
      <c r="G121" s="136"/>
      <c r="H121" s="136"/>
      <c r="I121" s="136"/>
      <c r="J121" s="136"/>
      <c r="K121" s="138"/>
    </row>
    <row r="122" spans="1:11" x14ac:dyDescent="0.25">
      <c r="A122" s="135"/>
      <c r="B122" s="136"/>
      <c r="C122" s="136"/>
      <c r="D122" s="136"/>
      <c r="E122" s="136"/>
      <c r="F122" s="137"/>
      <c r="G122" s="136"/>
      <c r="H122" s="136"/>
      <c r="I122" s="136"/>
      <c r="J122" s="136"/>
      <c r="K122" s="138"/>
    </row>
    <row r="123" spans="1:11" x14ac:dyDescent="0.25">
      <c r="A123" s="135"/>
      <c r="B123" s="136"/>
      <c r="C123" s="136"/>
      <c r="D123" s="136"/>
      <c r="E123" s="136"/>
      <c r="F123" s="137"/>
      <c r="G123" s="136"/>
      <c r="H123" s="136"/>
      <c r="I123" s="136"/>
      <c r="J123" s="136"/>
      <c r="K123" s="138"/>
    </row>
    <row r="124" spans="1:11" x14ac:dyDescent="0.25">
      <c r="A124" s="135"/>
      <c r="B124" s="136"/>
      <c r="C124" s="136"/>
      <c r="D124" s="136"/>
      <c r="E124" s="136"/>
      <c r="F124" s="137"/>
      <c r="G124" s="136"/>
      <c r="H124" s="136"/>
      <c r="I124" s="136"/>
      <c r="J124" s="136"/>
      <c r="K124" s="138"/>
    </row>
    <row r="125" spans="1:11" x14ac:dyDescent="0.25">
      <c r="A125" s="135"/>
      <c r="B125" s="136"/>
      <c r="C125" s="136"/>
      <c r="D125" s="136"/>
      <c r="E125" s="136"/>
      <c r="F125" s="137"/>
      <c r="G125" s="136"/>
      <c r="H125" s="136"/>
      <c r="I125" s="136"/>
      <c r="J125" s="136"/>
      <c r="K125" s="138"/>
    </row>
    <row r="126" spans="1:11" x14ac:dyDescent="0.25">
      <c r="A126" s="135"/>
      <c r="B126" s="136"/>
      <c r="C126" s="136"/>
      <c r="D126" s="136"/>
      <c r="E126" s="136"/>
      <c r="F126" s="137"/>
      <c r="G126" s="136"/>
      <c r="H126" s="136"/>
      <c r="I126" s="136"/>
      <c r="J126" s="136"/>
      <c r="K126" s="138"/>
    </row>
    <row r="127" spans="1:11" x14ac:dyDescent="0.25">
      <c r="A127" s="135"/>
      <c r="B127" s="136"/>
      <c r="C127" s="136"/>
      <c r="D127" s="136"/>
      <c r="E127" s="136"/>
      <c r="F127" s="137"/>
      <c r="G127" s="136"/>
      <c r="H127" s="136"/>
      <c r="I127" s="136"/>
      <c r="J127" s="136"/>
      <c r="K127" s="138"/>
    </row>
    <row r="128" spans="1:11" x14ac:dyDescent="0.25">
      <c r="A128" s="135"/>
      <c r="B128" s="136"/>
      <c r="C128" s="136"/>
      <c r="D128" s="136"/>
      <c r="E128" s="136"/>
      <c r="F128" s="137"/>
      <c r="G128" s="136"/>
      <c r="H128" s="136"/>
      <c r="I128" s="136"/>
      <c r="J128" s="136"/>
      <c r="K128" s="138"/>
    </row>
    <row r="129" spans="1:11" x14ac:dyDescent="0.25">
      <c r="A129" s="135"/>
      <c r="B129" s="136"/>
      <c r="C129" s="136"/>
      <c r="D129" s="136"/>
      <c r="E129" s="136"/>
      <c r="F129" s="137"/>
      <c r="G129" s="136"/>
      <c r="H129" s="136"/>
      <c r="I129" s="136"/>
      <c r="J129" s="136"/>
      <c r="K129" s="138"/>
    </row>
    <row r="130" spans="1:11" x14ac:dyDescent="0.25">
      <c r="A130" s="135"/>
      <c r="B130" s="136"/>
      <c r="C130" s="136"/>
      <c r="D130" s="136"/>
      <c r="E130" s="136"/>
      <c r="F130" s="137"/>
      <c r="G130" s="136"/>
      <c r="H130" s="136"/>
      <c r="I130" s="136"/>
      <c r="J130" s="136"/>
      <c r="K130" s="138"/>
    </row>
    <row r="131" spans="1:11" x14ac:dyDescent="0.25">
      <c r="A131" s="135"/>
      <c r="B131" s="136"/>
      <c r="C131" s="136"/>
      <c r="D131" s="136"/>
      <c r="E131" s="136"/>
      <c r="F131" s="137"/>
      <c r="G131" s="136"/>
      <c r="H131" s="136"/>
      <c r="I131" s="136"/>
      <c r="J131" s="136"/>
      <c r="K131" s="138"/>
    </row>
    <row r="132" spans="1:11" x14ac:dyDescent="0.25">
      <c r="A132" s="135"/>
      <c r="B132" s="136"/>
      <c r="C132" s="136"/>
      <c r="D132" s="136"/>
      <c r="E132" s="136"/>
      <c r="F132" s="137"/>
      <c r="G132" s="136"/>
      <c r="H132" s="136"/>
      <c r="I132" s="136"/>
      <c r="J132" s="136"/>
      <c r="K132" s="138"/>
    </row>
    <row r="133" spans="1:11" x14ac:dyDescent="0.25">
      <c r="A133" s="135"/>
      <c r="B133" s="136"/>
      <c r="C133" s="136"/>
      <c r="D133" s="136"/>
      <c r="E133" s="136"/>
      <c r="F133" s="137"/>
      <c r="G133" s="136"/>
      <c r="H133" s="136"/>
      <c r="I133" s="136"/>
      <c r="J133" s="136"/>
      <c r="K133" s="138"/>
    </row>
    <row r="134" spans="1:11" x14ac:dyDescent="0.25">
      <c r="A134" s="135"/>
      <c r="B134" s="136"/>
      <c r="C134" s="136"/>
      <c r="D134" s="136"/>
      <c r="E134" s="136"/>
      <c r="F134" s="137"/>
      <c r="G134" s="136"/>
      <c r="H134" s="136"/>
      <c r="I134" s="136"/>
      <c r="J134" s="136"/>
      <c r="K134" s="138"/>
    </row>
    <row r="135" spans="1:11" x14ac:dyDescent="0.25">
      <c r="A135" s="97"/>
      <c r="B135" s="98"/>
      <c r="C135" s="98"/>
      <c r="D135" s="98"/>
      <c r="E135" s="98"/>
      <c r="F135" s="99"/>
      <c r="G135" s="98"/>
      <c r="H135" s="98"/>
      <c r="I135" s="98"/>
      <c r="J135" s="98"/>
      <c r="K135" s="100"/>
    </row>
    <row r="136" spans="1:11" x14ac:dyDescent="0.25">
      <c r="A136" s="97"/>
      <c r="B136" s="98"/>
      <c r="C136" s="98"/>
      <c r="D136" s="98"/>
      <c r="E136" s="98"/>
      <c r="F136" s="99"/>
      <c r="G136" s="98"/>
      <c r="H136" s="98"/>
      <c r="I136" s="98"/>
      <c r="J136" s="98"/>
      <c r="K136" s="100"/>
    </row>
    <row r="137" spans="1:11" x14ac:dyDescent="0.25">
      <c r="A137" s="97"/>
      <c r="B137" s="98"/>
      <c r="C137" s="98"/>
      <c r="D137" s="98"/>
      <c r="E137" s="98"/>
      <c r="F137" s="99"/>
      <c r="G137" s="98"/>
      <c r="H137" s="98"/>
      <c r="I137" s="98"/>
      <c r="J137" s="98"/>
      <c r="K137" s="100"/>
    </row>
    <row r="138" spans="1:11" x14ac:dyDescent="0.25">
      <c r="A138" s="97"/>
      <c r="B138" s="98"/>
      <c r="C138" s="98"/>
      <c r="D138" s="98"/>
      <c r="E138" s="98"/>
      <c r="F138" s="99"/>
      <c r="G138" s="98"/>
      <c r="H138" s="98"/>
      <c r="I138" s="98"/>
      <c r="J138" s="98"/>
      <c r="K138" s="100"/>
    </row>
    <row r="139" spans="1:11" x14ac:dyDescent="0.25">
      <c r="A139" s="97"/>
      <c r="B139" s="98"/>
      <c r="C139" s="98"/>
      <c r="D139" s="98"/>
      <c r="E139" s="98"/>
      <c r="F139" s="99"/>
      <c r="G139" s="98"/>
      <c r="H139" s="98"/>
      <c r="I139" s="98"/>
      <c r="J139" s="98"/>
      <c r="K139" s="100"/>
    </row>
    <row r="140" spans="1:11" x14ac:dyDescent="0.25">
      <c r="A140" s="97"/>
      <c r="B140" s="98"/>
      <c r="C140" s="98"/>
      <c r="D140" s="98"/>
      <c r="E140" s="98"/>
      <c r="F140" s="99"/>
      <c r="G140" s="98"/>
      <c r="H140" s="98"/>
      <c r="I140" s="98"/>
      <c r="J140" s="98"/>
      <c r="K140" s="100"/>
    </row>
    <row r="141" spans="1:11" x14ac:dyDescent="0.25">
      <c r="A141" s="97"/>
      <c r="B141" s="98"/>
      <c r="C141" s="98"/>
      <c r="D141" s="98"/>
      <c r="E141" s="98"/>
      <c r="F141" s="99"/>
      <c r="G141" s="98"/>
      <c r="H141" s="98"/>
      <c r="I141" s="98"/>
      <c r="J141" s="98"/>
      <c r="K141" s="100"/>
    </row>
    <row r="142" spans="1:11" x14ac:dyDescent="0.25">
      <c r="A142" s="97"/>
      <c r="B142" s="98"/>
      <c r="C142" s="98"/>
      <c r="D142" s="98"/>
      <c r="E142" s="98"/>
      <c r="F142" s="99"/>
      <c r="G142" s="98"/>
      <c r="H142" s="98"/>
      <c r="I142" s="98"/>
      <c r="J142" s="98"/>
      <c r="K142" s="100"/>
    </row>
    <row r="143" spans="1:11" x14ac:dyDescent="0.25">
      <c r="A143" s="97"/>
      <c r="B143" s="98"/>
      <c r="C143" s="98"/>
      <c r="D143" s="98"/>
      <c r="E143" s="98"/>
      <c r="F143" s="99"/>
      <c r="G143" s="98"/>
      <c r="H143" s="98"/>
      <c r="I143" s="98"/>
      <c r="J143" s="98"/>
      <c r="K143" s="100"/>
    </row>
    <row r="144" spans="1:11" x14ac:dyDescent="0.25">
      <c r="A144" s="97"/>
      <c r="B144" s="98"/>
      <c r="C144" s="98"/>
      <c r="D144" s="98"/>
      <c r="E144" s="98"/>
      <c r="F144" s="99"/>
      <c r="G144" s="98"/>
      <c r="H144" s="98"/>
      <c r="I144" s="98"/>
      <c r="J144" s="98"/>
      <c r="K144" s="100"/>
    </row>
    <row r="145" spans="1:11" x14ac:dyDescent="0.25">
      <c r="A145" s="97"/>
      <c r="B145" s="98"/>
      <c r="C145" s="98"/>
      <c r="D145" s="98"/>
      <c r="E145" s="98"/>
      <c r="F145" s="99"/>
      <c r="G145" s="98"/>
      <c r="H145" s="98"/>
      <c r="I145" s="98"/>
      <c r="J145" s="98"/>
      <c r="K145" s="100"/>
    </row>
    <row r="146" spans="1:11" x14ac:dyDescent="0.25">
      <c r="A146" s="97"/>
      <c r="B146" s="98"/>
      <c r="C146" s="98"/>
      <c r="D146" s="98"/>
      <c r="E146" s="98"/>
      <c r="F146" s="99"/>
      <c r="G146" s="98"/>
      <c r="H146" s="98"/>
      <c r="I146" s="98"/>
      <c r="J146" s="98"/>
      <c r="K146" s="100"/>
    </row>
    <row r="147" spans="1:11" x14ac:dyDescent="0.25">
      <c r="A147" s="97"/>
      <c r="B147" s="98"/>
      <c r="C147" s="98"/>
      <c r="D147" s="98"/>
      <c r="E147" s="98"/>
      <c r="F147" s="99"/>
      <c r="G147" s="98"/>
      <c r="H147" s="98"/>
      <c r="I147" s="98"/>
      <c r="J147" s="98"/>
      <c r="K147" s="100"/>
    </row>
    <row r="148" spans="1:11" x14ac:dyDescent="0.25">
      <c r="A148" s="97"/>
      <c r="B148" s="98"/>
      <c r="C148" s="98"/>
      <c r="D148" s="98"/>
      <c r="E148" s="98"/>
      <c r="F148" s="99"/>
      <c r="G148" s="98"/>
      <c r="H148" s="98"/>
      <c r="I148" s="98"/>
      <c r="J148" s="98"/>
      <c r="K148" s="100"/>
    </row>
    <row r="149" spans="1:11" x14ac:dyDescent="0.25">
      <c r="A149" s="97"/>
      <c r="B149" s="98"/>
      <c r="C149" s="98"/>
      <c r="D149" s="98"/>
      <c r="E149" s="98"/>
      <c r="F149" s="99"/>
      <c r="G149" s="98"/>
      <c r="H149" s="98"/>
      <c r="I149" s="98"/>
      <c r="J149" s="98"/>
      <c r="K149" s="100"/>
    </row>
    <row r="150" spans="1:11" x14ac:dyDescent="0.25">
      <c r="A150" s="97"/>
      <c r="B150" s="98"/>
      <c r="C150" s="98"/>
      <c r="D150" s="98"/>
      <c r="E150" s="98"/>
      <c r="F150" s="99"/>
      <c r="G150" s="98"/>
      <c r="H150" s="98"/>
      <c r="I150" s="98"/>
      <c r="J150" s="98"/>
      <c r="K150" s="100"/>
    </row>
    <row r="151" spans="1:11" x14ac:dyDescent="0.25">
      <c r="A151" s="97"/>
      <c r="B151" s="98"/>
      <c r="C151" s="98"/>
      <c r="D151" s="98"/>
      <c r="E151" s="98"/>
      <c r="F151" s="99"/>
      <c r="G151" s="98"/>
      <c r="H151" s="98"/>
      <c r="I151" s="98"/>
      <c r="J151" s="98"/>
      <c r="K151" s="100"/>
    </row>
    <row r="152" spans="1:11" x14ac:dyDescent="0.25">
      <c r="A152" s="97"/>
      <c r="B152" s="98"/>
      <c r="C152" s="98"/>
      <c r="D152" s="98"/>
      <c r="E152" s="98"/>
      <c r="F152" s="99"/>
      <c r="G152" s="98"/>
      <c r="H152" s="98"/>
      <c r="I152" s="98"/>
      <c r="J152" s="98"/>
      <c r="K152" s="100"/>
    </row>
    <row r="153" spans="1:11" x14ac:dyDescent="0.25">
      <c r="A153" s="97"/>
      <c r="B153" s="98"/>
      <c r="C153" s="98"/>
      <c r="D153" s="98"/>
      <c r="E153" s="98"/>
      <c r="F153" s="99"/>
      <c r="G153" s="98"/>
      <c r="H153" s="98"/>
      <c r="I153" s="98"/>
      <c r="J153" s="98"/>
      <c r="K153" s="100"/>
    </row>
    <row r="154" spans="1:11" x14ac:dyDescent="0.25">
      <c r="A154" s="97"/>
      <c r="B154" s="98"/>
      <c r="C154" s="98"/>
      <c r="D154" s="98"/>
      <c r="E154" s="98"/>
      <c r="F154" s="99"/>
      <c r="G154" s="98"/>
      <c r="H154" s="98"/>
      <c r="I154" s="98"/>
      <c r="J154" s="98"/>
      <c r="K154" s="100"/>
    </row>
    <row r="155" spans="1:11" x14ac:dyDescent="0.25">
      <c r="A155" s="97"/>
      <c r="B155" s="98"/>
      <c r="C155" s="98"/>
      <c r="D155" s="98"/>
      <c r="E155" s="98"/>
      <c r="F155" s="99"/>
      <c r="G155" s="98"/>
      <c r="H155" s="98"/>
      <c r="I155" s="98"/>
      <c r="J155" s="98"/>
      <c r="K155" s="100"/>
    </row>
    <row r="156" spans="1:11" x14ac:dyDescent="0.25">
      <c r="A156" s="97"/>
      <c r="B156" s="98"/>
      <c r="C156" s="98"/>
      <c r="D156" s="98"/>
      <c r="E156" s="98"/>
      <c r="F156" s="99"/>
      <c r="G156" s="98"/>
      <c r="H156" s="98"/>
      <c r="I156" s="98"/>
      <c r="J156" s="98"/>
      <c r="K156" s="100"/>
    </row>
    <row r="157" spans="1:11" x14ac:dyDescent="0.25">
      <c r="A157" s="97"/>
      <c r="B157" s="98"/>
      <c r="C157" s="98"/>
      <c r="D157" s="98"/>
      <c r="E157" s="98"/>
      <c r="F157" s="99"/>
      <c r="G157" s="98"/>
      <c r="H157" s="98"/>
      <c r="I157" s="98"/>
      <c r="J157" s="98"/>
      <c r="K157" s="100"/>
    </row>
    <row r="158" spans="1:11" x14ac:dyDescent="0.25">
      <c r="A158" s="97"/>
      <c r="B158" s="98"/>
      <c r="C158" s="98"/>
      <c r="D158" s="98"/>
      <c r="E158" s="98"/>
      <c r="F158" s="99"/>
      <c r="G158" s="98"/>
      <c r="H158" s="98"/>
      <c r="I158" s="98"/>
      <c r="J158" s="98"/>
      <c r="K158" s="100"/>
    </row>
    <row r="159" spans="1:11" x14ac:dyDescent="0.25">
      <c r="A159" s="97"/>
      <c r="B159" s="98"/>
      <c r="C159" s="98"/>
      <c r="D159" s="98"/>
      <c r="E159" s="98"/>
      <c r="F159" s="99"/>
      <c r="G159" s="98"/>
      <c r="H159" s="98"/>
      <c r="I159" s="98"/>
      <c r="J159" s="98"/>
      <c r="K159" s="100"/>
    </row>
    <row r="160" spans="1:11" x14ac:dyDescent="0.25">
      <c r="A160" s="97"/>
      <c r="B160" s="98"/>
      <c r="C160" s="98"/>
      <c r="D160" s="98"/>
      <c r="E160" s="98"/>
      <c r="F160" s="99"/>
      <c r="G160" s="98"/>
      <c r="H160" s="98"/>
      <c r="I160" s="98"/>
      <c r="J160" s="98"/>
      <c r="K160" s="100"/>
    </row>
    <row r="161" spans="1:11" x14ac:dyDescent="0.25">
      <c r="A161" s="97"/>
      <c r="B161" s="98"/>
      <c r="C161" s="98"/>
      <c r="D161" s="98"/>
      <c r="E161" s="98"/>
      <c r="F161" s="99"/>
      <c r="G161" s="98"/>
      <c r="H161" s="98"/>
      <c r="I161" s="98"/>
      <c r="J161" s="98"/>
      <c r="K161" s="100"/>
    </row>
    <row r="162" spans="1:11" x14ac:dyDescent="0.25">
      <c r="A162" s="97"/>
      <c r="B162" s="98"/>
      <c r="C162" s="98"/>
      <c r="D162" s="98"/>
      <c r="E162" s="98"/>
      <c r="F162" s="99"/>
      <c r="G162" s="98"/>
      <c r="H162" s="98"/>
      <c r="I162" s="98"/>
      <c r="J162" s="98"/>
      <c r="K162" s="100"/>
    </row>
    <row r="163" spans="1:11" x14ac:dyDescent="0.25">
      <c r="A163" s="97"/>
      <c r="B163" s="98"/>
      <c r="C163" s="98"/>
      <c r="D163" s="98"/>
      <c r="E163" s="98"/>
      <c r="F163" s="99"/>
      <c r="G163" s="98"/>
      <c r="H163" s="98"/>
      <c r="I163" s="98"/>
      <c r="J163" s="98"/>
      <c r="K163" s="100"/>
    </row>
    <row r="164" spans="1:11" x14ac:dyDescent="0.25">
      <c r="A164" s="97"/>
      <c r="B164" s="98"/>
      <c r="C164" s="98"/>
      <c r="D164" s="98"/>
      <c r="E164" s="98"/>
      <c r="F164" s="99"/>
      <c r="G164" s="98"/>
      <c r="H164" s="98"/>
      <c r="I164" s="98"/>
      <c r="J164" s="98"/>
      <c r="K164" s="100"/>
    </row>
    <row r="165" spans="1:11" x14ac:dyDescent="0.25">
      <c r="A165" s="97"/>
      <c r="B165" s="98"/>
      <c r="C165" s="98"/>
      <c r="D165" s="98"/>
      <c r="E165" s="98"/>
      <c r="F165" s="99"/>
      <c r="G165" s="98"/>
      <c r="H165" s="98"/>
      <c r="I165" s="98"/>
      <c r="J165" s="98"/>
      <c r="K165" s="100"/>
    </row>
    <row r="166" spans="1:11" x14ac:dyDescent="0.25">
      <c r="A166" s="97"/>
      <c r="B166" s="98"/>
      <c r="C166" s="98"/>
      <c r="D166" s="98"/>
      <c r="E166" s="98"/>
      <c r="F166" s="99"/>
      <c r="G166" s="98"/>
      <c r="H166" s="98"/>
      <c r="I166" s="98"/>
      <c r="J166" s="98"/>
      <c r="K166" s="100"/>
    </row>
    <row r="167" spans="1:11" x14ac:dyDescent="0.25">
      <c r="A167" s="97"/>
      <c r="B167" s="98"/>
      <c r="C167" s="98"/>
      <c r="D167" s="98"/>
      <c r="E167" s="98"/>
      <c r="F167" s="99"/>
      <c r="G167" s="98"/>
      <c r="H167" s="98"/>
      <c r="I167" s="98"/>
      <c r="J167" s="98"/>
      <c r="K167" s="100"/>
    </row>
    <row r="168" spans="1:11" x14ac:dyDescent="0.25">
      <c r="A168" s="97"/>
      <c r="B168" s="98"/>
      <c r="C168" s="98"/>
      <c r="D168" s="98"/>
      <c r="E168" s="98"/>
      <c r="F168" s="99"/>
      <c r="G168" s="98"/>
      <c r="H168" s="98"/>
      <c r="I168" s="98"/>
      <c r="J168" s="98"/>
      <c r="K168" s="100"/>
    </row>
    <row r="169" spans="1:11" x14ac:dyDescent="0.25">
      <c r="A169" s="97"/>
      <c r="B169" s="98"/>
      <c r="C169" s="98"/>
      <c r="D169" s="98"/>
      <c r="E169" s="98"/>
      <c r="F169" s="99"/>
      <c r="G169" s="98"/>
      <c r="H169" s="98"/>
      <c r="I169" s="98"/>
      <c r="J169" s="98"/>
      <c r="K169" s="100"/>
    </row>
    <row r="170" spans="1:11" x14ac:dyDescent="0.25">
      <c r="A170" s="97"/>
      <c r="B170" s="98"/>
      <c r="C170" s="98"/>
      <c r="D170" s="98"/>
      <c r="E170" s="98"/>
      <c r="F170" s="99"/>
      <c r="G170" s="98"/>
      <c r="H170" s="98"/>
      <c r="I170" s="98"/>
      <c r="J170" s="98"/>
      <c r="K170" s="100"/>
    </row>
    <row r="171" spans="1:11" x14ac:dyDescent="0.25">
      <c r="A171" s="97"/>
      <c r="B171" s="98"/>
      <c r="C171" s="98"/>
      <c r="D171" s="98"/>
      <c r="E171" s="98"/>
      <c r="F171" s="99"/>
      <c r="G171" s="98"/>
      <c r="H171" s="98"/>
      <c r="I171" s="98"/>
      <c r="J171" s="98"/>
      <c r="K171" s="100"/>
    </row>
    <row r="172" spans="1:11" x14ac:dyDescent="0.25">
      <c r="A172" s="97"/>
      <c r="B172" s="98"/>
      <c r="C172" s="98"/>
      <c r="D172" s="98"/>
      <c r="E172" s="98"/>
      <c r="F172" s="99"/>
      <c r="G172" s="98"/>
      <c r="H172" s="98"/>
      <c r="I172" s="98"/>
      <c r="J172" s="98"/>
      <c r="K172" s="100"/>
    </row>
    <row r="173" spans="1:11" x14ac:dyDescent="0.25">
      <c r="A173" s="97"/>
      <c r="B173" s="98"/>
      <c r="C173" s="98"/>
      <c r="D173" s="98"/>
      <c r="E173" s="98"/>
      <c r="F173" s="99"/>
      <c r="G173" s="98"/>
      <c r="H173" s="98"/>
      <c r="I173" s="98"/>
      <c r="J173" s="98"/>
      <c r="K173" s="100"/>
    </row>
    <row r="174" spans="1:11" x14ac:dyDescent="0.25">
      <c r="A174" s="97"/>
      <c r="B174" s="98"/>
      <c r="C174" s="98"/>
      <c r="D174" s="98"/>
      <c r="E174" s="98"/>
      <c r="F174" s="99"/>
      <c r="G174" s="98"/>
      <c r="H174" s="98"/>
      <c r="I174" s="98"/>
      <c r="J174" s="98"/>
      <c r="K174" s="100"/>
    </row>
    <row r="175" spans="1:11" x14ac:dyDescent="0.25">
      <c r="A175" s="97"/>
      <c r="B175" s="98"/>
      <c r="C175" s="98"/>
      <c r="D175" s="98"/>
      <c r="E175" s="98"/>
      <c r="F175" s="99"/>
      <c r="G175" s="98"/>
      <c r="H175" s="98"/>
      <c r="I175" s="98"/>
      <c r="J175" s="98"/>
      <c r="K175" s="100"/>
    </row>
    <row r="176" spans="1:11" x14ac:dyDescent="0.25">
      <c r="A176" s="97"/>
      <c r="B176" s="98"/>
      <c r="C176" s="98"/>
      <c r="D176" s="98"/>
      <c r="E176" s="98"/>
      <c r="F176" s="99"/>
      <c r="G176" s="98"/>
      <c r="H176" s="98"/>
      <c r="I176" s="98"/>
      <c r="J176" s="98"/>
      <c r="K176" s="100"/>
    </row>
    <row r="177" spans="1:11" x14ac:dyDescent="0.25">
      <c r="A177" s="97"/>
      <c r="B177" s="98"/>
      <c r="C177" s="98"/>
      <c r="D177" s="98"/>
      <c r="E177" s="98"/>
      <c r="F177" s="99"/>
      <c r="G177" s="98"/>
      <c r="H177" s="98"/>
      <c r="I177" s="98"/>
      <c r="J177" s="98"/>
      <c r="K177" s="100"/>
    </row>
    <row r="178" spans="1:11" x14ac:dyDescent="0.25">
      <c r="A178" s="97"/>
      <c r="B178" s="98"/>
      <c r="C178" s="98"/>
      <c r="D178" s="98"/>
      <c r="E178" s="98"/>
      <c r="F178" s="99"/>
      <c r="G178" s="98"/>
      <c r="H178" s="98"/>
      <c r="I178" s="98"/>
      <c r="J178" s="98"/>
      <c r="K178" s="100"/>
    </row>
    <row r="179" spans="1:11" x14ac:dyDescent="0.25">
      <c r="A179" s="97"/>
      <c r="B179" s="98"/>
      <c r="C179" s="98"/>
      <c r="D179" s="98"/>
      <c r="E179" s="98"/>
      <c r="F179" s="99"/>
      <c r="G179" s="98"/>
      <c r="H179" s="98"/>
      <c r="I179" s="98"/>
      <c r="J179" s="98"/>
      <c r="K179" s="100"/>
    </row>
    <row r="180" spans="1:11" x14ac:dyDescent="0.25">
      <c r="A180" s="97"/>
      <c r="B180" s="98"/>
      <c r="C180" s="98"/>
      <c r="D180" s="98"/>
      <c r="E180" s="98"/>
      <c r="F180" s="99"/>
      <c r="G180" s="98"/>
      <c r="H180" s="98"/>
      <c r="I180" s="98"/>
      <c r="J180" s="98"/>
      <c r="K180" s="100"/>
    </row>
    <row r="181" spans="1:11" x14ac:dyDescent="0.25">
      <c r="A181" s="97"/>
      <c r="B181" s="98"/>
      <c r="C181" s="98"/>
      <c r="D181" s="98"/>
      <c r="E181" s="98"/>
      <c r="F181" s="99"/>
      <c r="G181" s="98"/>
      <c r="H181" s="98"/>
      <c r="I181" s="98"/>
      <c r="J181" s="98"/>
      <c r="K181" s="100"/>
    </row>
    <row r="182" spans="1:11" x14ac:dyDescent="0.25">
      <c r="A182" s="97"/>
      <c r="B182" s="98"/>
      <c r="C182" s="98"/>
      <c r="D182" s="98"/>
      <c r="E182" s="98"/>
      <c r="F182" s="99"/>
      <c r="G182" s="98"/>
      <c r="H182" s="98"/>
      <c r="I182" s="98"/>
      <c r="J182" s="98"/>
      <c r="K182" s="100"/>
    </row>
    <row r="183" spans="1:11" x14ac:dyDescent="0.25">
      <c r="A183" s="97"/>
      <c r="B183" s="98"/>
      <c r="C183" s="98"/>
      <c r="D183" s="98"/>
      <c r="E183" s="98"/>
      <c r="F183" s="99"/>
      <c r="G183" s="98"/>
      <c r="H183" s="98"/>
      <c r="I183" s="98"/>
      <c r="J183" s="98"/>
      <c r="K183" s="100"/>
    </row>
    <row r="184" spans="1:11" x14ac:dyDescent="0.25">
      <c r="A184" s="97"/>
      <c r="B184" s="98"/>
      <c r="C184" s="98"/>
      <c r="D184" s="98"/>
      <c r="E184" s="98"/>
      <c r="F184" s="99"/>
      <c r="G184" s="98"/>
      <c r="H184" s="98"/>
      <c r="I184" s="98"/>
      <c r="J184" s="98"/>
      <c r="K184" s="100"/>
    </row>
    <row r="185" spans="1:11" x14ac:dyDescent="0.25">
      <c r="A185" s="97"/>
      <c r="B185" s="98"/>
      <c r="C185" s="98"/>
      <c r="D185" s="98"/>
      <c r="E185" s="98"/>
      <c r="F185" s="99"/>
      <c r="G185" s="98"/>
      <c r="H185" s="98"/>
      <c r="I185" s="98"/>
      <c r="J185" s="98"/>
      <c r="K185" s="100"/>
    </row>
    <row r="186" spans="1:11" x14ac:dyDescent="0.25">
      <c r="A186" s="97"/>
      <c r="B186" s="98"/>
      <c r="C186" s="98"/>
      <c r="D186" s="98"/>
      <c r="E186" s="98"/>
      <c r="F186" s="99"/>
      <c r="G186" s="98"/>
      <c r="H186" s="98"/>
      <c r="I186" s="98"/>
      <c r="J186" s="98"/>
      <c r="K186" s="100"/>
    </row>
    <row r="187" spans="1:11" x14ac:dyDescent="0.25">
      <c r="A187" s="97"/>
      <c r="B187" s="98"/>
      <c r="C187" s="98"/>
      <c r="D187" s="98"/>
      <c r="E187" s="98"/>
      <c r="F187" s="99"/>
      <c r="G187" s="98"/>
      <c r="H187" s="98"/>
      <c r="I187" s="98"/>
      <c r="J187" s="98"/>
      <c r="K187" s="100"/>
    </row>
    <row r="188" spans="1:11" x14ac:dyDescent="0.25">
      <c r="A188" s="97"/>
      <c r="B188" s="98"/>
      <c r="C188" s="98"/>
      <c r="D188" s="98"/>
      <c r="E188" s="98"/>
      <c r="F188" s="99"/>
      <c r="G188" s="98"/>
      <c r="H188" s="98"/>
      <c r="I188" s="98"/>
      <c r="J188" s="98"/>
      <c r="K188" s="100"/>
    </row>
    <row r="189" spans="1:11" x14ac:dyDescent="0.25">
      <c r="A189" s="97"/>
      <c r="B189" s="98"/>
      <c r="C189" s="98"/>
      <c r="D189" s="98"/>
      <c r="E189" s="98"/>
      <c r="F189" s="99"/>
      <c r="G189" s="98"/>
      <c r="H189" s="98"/>
      <c r="I189" s="98"/>
      <c r="J189" s="98"/>
      <c r="K189" s="100"/>
    </row>
    <row r="190" spans="1:11" x14ac:dyDescent="0.25">
      <c r="A190" s="97"/>
      <c r="B190" s="98"/>
      <c r="C190" s="98"/>
      <c r="D190" s="98"/>
      <c r="E190" s="98"/>
      <c r="F190" s="99"/>
      <c r="G190" s="98"/>
      <c r="H190" s="98"/>
      <c r="I190" s="98"/>
      <c r="J190" s="98"/>
      <c r="K190" s="100"/>
    </row>
    <row r="191" spans="1:11" x14ac:dyDescent="0.25">
      <c r="A191" s="97"/>
      <c r="B191" s="98"/>
      <c r="C191" s="98"/>
      <c r="D191" s="98"/>
      <c r="E191" s="98"/>
      <c r="F191" s="99"/>
      <c r="G191" s="98"/>
      <c r="H191" s="98"/>
      <c r="I191" s="98"/>
      <c r="J191" s="98"/>
      <c r="K191" s="100"/>
    </row>
    <row r="192" spans="1:11" x14ac:dyDescent="0.25">
      <c r="A192" s="97"/>
      <c r="B192" s="98"/>
      <c r="C192" s="98"/>
      <c r="D192" s="98"/>
      <c r="E192" s="98"/>
      <c r="F192" s="99"/>
      <c r="G192" s="98"/>
      <c r="H192" s="98"/>
      <c r="I192" s="98"/>
      <c r="J192" s="98"/>
      <c r="K192" s="100"/>
    </row>
    <row r="193" spans="1:11" x14ac:dyDescent="0.25">
      <c r="A193" s="97"/>
      <c r="B193" s="98"/>
      <c r="C193" s="98"/>
      <c r="D193" s="98"/>
      <c r="E193" s="98"/>
      <c r="F193" s="99"/>
      <c r="G193" s="98"/>
      <c r="H193" s="98"/>
      <c r="I193" s="98"/>
      <c r="J193" s="98"/>
      <c r="K193" s="100"/>
    </row>
    <row r="194" spans="1:11" x14ac:dyDescent="0.25">
      <c r="A194" s="97"/>
      <c r="B194" s="98"/>
      <c r="C194" s="98"/>
      <c r="D194" s="98"/>
      <c r="E194" s="98"/>
      <c r="F194" s="99"/>
      <c r="G194" s="98"/>
      <c r="H194" s="98"/>
      <c r="I194" s="98"/>
      <c r="J194" s="98"/>
      <c r="K194" s="100"/>
    </row>
    <row r="195" spans="1:11" x14ac:dyDescent="0.25">
      <c r="A195" s="97"/>
      <c r="B195" s="98"/>
      <c r="C195" s="98"/>
      <c r="D195" s="98"/>
      <c r="E195" s="98"/>
      <c r="F195" s="99"/>
      <c r="G195" s="98"/>
      <c r="H195" s="98"/>
      <c r="I195" s="98"/>
      <c r="J195" s="98"/>
      <c r="K195" s="100"/>
    </row>
    <row r="196" spans="1:11" x14ac:dyDescent="0.25">
      <c r="A196" s="97"/>
      <c r="B196" s="98"/>
      <c r="C196" s="98"/>
      <c r="D196" s="98"/>
      <c r="E196" s="98"/>
      <c r="F196" s="99"/>
      <c r="G196" s="98"/>
      <c r="H196" s="98"/>
      <c r="I196" s="98"/>
      <c r="J196" s="98"/>
      <c r="K196" s="100"/>
    </row>
    <row r="197" spans="1:11" x14ac:dyDescent="0.25">
      <c r="A197" s="97"/>
      <c r="B197" s="98"/>
      <c r="C197" s="98"/>
      <c r="D197" s="98"/>
      <c r="E197" s="98"/>
      <c r="F197" s="99"/>
      <c r="G197" s="98"/>
      <c r="H197" s="98"/>
      <c r="I197" s="98"/>
      <c r="J197" s="98"/>
      <c r="K197" s="100"/>
    </row>
    <row r="198" spans="1:11" x14ac:dyDescent="0.25">
      <c r="A198" s="97"/>
      <c r="B198" s="98"/>
      <c r="C198" s="98"/>
      <c r="D198" s="98"/>
      <c r="E198" s="98"/>
      <c r="F198" s="99"/>
      <c r="G198" s="98"/>
      <c r="H198" s="98"/>
      <c r="I198" s="98"/>
      <c r="J198" s="98"/>
      <c r="K198" s="100"/>
    </row>
    <row r="199" spans="1:11" x14ac:dyDescent="0.25">
      <c r="A199" s="97"/>
      <c r="B199" s="98"/>
      <c r="C199" s="98"/>
      <c r="D199" s="98"/>
      <c r="E199" s="98"/>
      <c r="F199" s="99"/>
      <c r="G199" s="98"/>
      <c r="H199" s="98"/>
      <c r="I199" s="98"/>
      <c r="J199" s="98"/>
      <c r="K199" s="100"/>
    </row>
    <row r="200" spans="1:11" x14ac:dyDescent="0.25">
      <c r="A200" s="97"/>
      <c r="B200" s="98"/>
      <c r="C200" s="98"/>
      <c r="D200" s="98"/>
      <c r="E200" s="98"/>
      <c r="F200" s="99"/>
      <c r="G200" s="98"/>
      <c r="H200" s="98"/>
      <c r="I200" s="98"/>
      <c r="J200" s="98"/>
      <c r="K200" s="100"/>
    </row>
    <row r="201" spans="1:11" x14ac:dyDescent="0.25">
      <c r="A201" s="97"/>
      <c r="B201" s="98"/>
      <c r="C201" s="98"/>
      <c r="D201" s="98"/>
      <c r="E201" s="98"/>
      <c r="F201" s="99"/>
      <c r="G201" s="98"/>
      <c r="H201" s="98"/>
      <c r="I201" s="98"/>
      <c r="J201" s="98"/>
      <c r="K201" s="100"/>
    </row>
    <row r="202" spans="1:11" x14ac:dyDescent="0.25">
      <c r="A202" s="97"/>
      <c r="B202" s="98"/>
      <c r="C202" s="98"/>
      <c r="D202" s="98"/>
      <c r="E202" s="98"/>
      <c r="F202" s="99"/>
      <c r="G202" s="98"/>
      <c r="H202" s="98"/>
      <c r="I202" s="98"/>
      <c r="J202" s="98"/>
      <c r="K202" s="100"/>
    </row>
    <row r="203" spans="1:11" x14ac:dyDescent="0.25">
      <c r="A203" s="97"/>
      <c r="B203" s="98"/>
      <c r="C203" s="98"/>
      <c r="D203" s="98"/>
      <c r="E203" s="98"/>
      <c r="F203" s="99"/>
      <c r="G203" s="98"/>
      <c r="H203" s="98"/>
      <c r="I203" s="98"/>
      <c r="J203" s="98"/>
      <c r="K203" s="100"/>
    </row>
  </sheetData>
  <mergeCells count="6">
    <mergeCell ref="W2:X2"/>
    <mergeCell ref="L2:M2"/>
    <mergeCell ref="N2:O2"/>
    <mergeCell ref="S2:T2"/>
    <mergeCell ref="U2:V2"/>
    <mergeCell ref="P2:R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U444"/>
  <sheetViews>
    <sheetView zoomScale="124" zoomScaleNormal="40" workbookViewId="0">
      <selection activeCell="E4" sqref="E4:E63"/>
    </sheetView>
  </sheetViews>
  <sheetFormatPr baseColWidth="10" defaultColWidth="11.42578125" defaultRowHeight="15" x14ac:dyDescent="0.25"/>
  <cols>
    <col min="1" max="1" width="70.140625" bestFit="1" customWidth="1"/>
    <col min="2" max="2" width="25.5703125" bestFit="1" customWidth="1"/>
    <col min="3" max="3" width="17.140625" bestFit="1" customWidth="1"/>
    <col min="4" max="4" width="20.42578125" bestFit="1" customWidth="1"/>
    <col min="5" max="5" width="9.42578125" bestFit="1" customWidth="1"/>
    <col min="6" max="6" width="12.7109375" bestFit="1" customWidth="1"/>
    <col min="7" max="7" width="18.85546875" customWidth="1"/>
    <col min="8" max="8" width="30.85546875" customWidth="1"/>
    <col min="9" max="9" width="20" customWidth="1"/>
    <col min="10" max="10" width="30.140625" customWidth="1"/>
    <col min="11" max="11" width="20" customWidth="1"/>
    <col min="12" max="12" width="31.5703125" customWidth="1"/>
    <col min="13" max="13" width="26.85546875" customWidth="1"/>
    <col min="14" max="14" width="20.42578125" customWidth="1"/>
    <col min="15" max="15" width="32.42578125" customWidth="1"/>
    <col min="16" max="16" width="21.42578125" customWidth="1"/>
    <col min="17" max="17" width="31.5703125" customWidth="1"/>
    <col min="18" max="18" width="21.42578125" customWidth="1"/>
    <col min="19" max="19" width="31.5703125" customWidth="1"/>
    <col min="20" max="20" width="21.42578125" customWidth="1"/>
    <col min="21" max="21" width="32.7109375" customWidth="1"/>
  </cols>
  <sheetData>
    <row r="1" spans="1:21" ht="22.5" x14ac:dyDescent="0.25">
      <c r="A1" s="1" t="s">
        <v>0</v>
      </c>
      <c r="B1" s="2"/>
      <c r="C1" s="2"/>
      <c r="D1" s="2"/>
      <c r="E1" s="2"/>
      <c r="F1" s="2"/>
    </row>
    <row r="2" spans="1:21" ht="22.5" x14ac:dyDescent="0.25">
      <c r="A2" s="2"/>
      <c r="B2" s="2"/>
      <c r="C2" s="2"/>
      <c r="D2" s="2"/>
      <c r="E2" s="2"/>
      <c r="F2" s="2"/>
      <c r="G2" s="120" t="s">
        <v>13</v>
      </c>
      <c r="H2" s="121"/>
      <c r="I2" s="121"/>
      <c r="J2" s="121"/>
      <c r="K2" s="121"/>
      <c r="L2" s="121"/>
      <c r="M2" s="122"/>
      <c r="N2" s="119" t="s">
        <v>19</v>
      </c>
      <c r="O2" s="119"/>
      <c r="P2" s="119"/>
      <c r="Q2" s="119"/>
      <c r="R2" s="119"/>
      <c r="S2" s="119"/>
      <c r="T2" s="119" t="s">
        <v>28</v>
      </c>
      <c r="U2" s="119"/>
    </row>
    <row r="3" spans="1:21" x14ac:dyDescent="0.25">
      <c r="A3" s="3" t="s">
        <v>1</v>
      </c>
      <c r="B3" s="3" t="s">
        <v>68</v>
      </c>
      <c r="C3" s="3" t="s">
        <v>69</v>
      </c>
      <c r="D3" s="3" t="s">
        <v>70</v>
      </c>
      <c r="E3" s="3" t="s">
        <v>6</v>
      </c>
      <c r="F3" s="3" t="s">
        <v>71</v>
      </c>
      <c r="G3" s="94" t="s">
        <v>72</v>
      </c>
      <c r="H3" s="94" t="s">
        <v>50</v>
      </c>
      <c r="I3" s="94" t="s">
        <v>73</v>
      </c>
      <c r="J3" s="94" t="s">
        <v>74</v>
      </c>
      <c r="K3" s="94" t="s">
        <v>75</v>
      </c>
      <c r="L3" s="94" t="s">
        <v>265</v>
      </c>
      <c r="M3" s="94" t="s">
        <v>76</v>
      </c>
      <c r="N3" s="94" t="s">
        <v>266</v>
      </c>
      <c r="O3" s="94" t="s">
        <v>267</v>
      </c>
      <c r="P3" s="94" t="s">
        <v>268</v>
      </c>
      <c r="Q3" s="94" t="s">
        <v>269</v>
      </c>
      <c r="R3" s="94" t="s">
        <v>270</v>
      </c>
      <c r="S3" s="94" t="s">
        <v>271</v>
      </c>
      <c r="T3" s="94" t="s">
        <v>272</v>
      </c>
      <c r="U3" s="94" t="s">
        <v>273</v>
      </c>
    </row>
    <row r="4" spans="1:21" x14ac:dyDescent="0.25">
      <c r="A4" s="135">
        <v>46279.319097222222</v>
      </c>
      <c r="B4" s="136" t="s">
        <v>220</v>
      </c>
      <c r="C4" s="136" t="s">
        <v>249</v>
      </c>
      <c r="D4" s="136" t="s">
        <v>250</v>
      </c>
      <c r="E4" s="137">
        <v>9</v>
      </c>
      <c r="F4" s="136" t="s">
        <v>19</v>
      </c>
      <c r="G4" s="32">
        <f>IF(AND(ISNUMBER(SEARCH("FORET D8,6 COMPLET", $B4)),ISNUMBER(SEARCH("EMAG 2", $F4))), 1*$E4, 0)</f>
        <v>0</v>
      </c>
      <c r="H4" s="32">
        <f>IF(AND(ISNUMBER(SEARCH("FORET D8,6 COMPLET", $B4)),ISNUMBER(SEARCH("EMAG 2", $F4))), 1*$E4, 0)</f>
        <v>0</v>
      </c>
      <c r="I4" s="32">
        <f>IF(AND(ISNUMBER(SEARCH("FORET D13,3 COMPLET", $B4)),ISNUMBER(SEARCH("EMAG 2", $F4))), 1*$E4, 0)</f>
        <v>0</v>
      </c>
      <c r="J4" s="32">
        <f>IF(AND(ISNUMBER(SEARCH("FORET D13,3 COMPLET", $B4)),ISNUMBER(SEARCH("EMAG 2", $F4))), 2*$E4, 0)</f>
        <v>0</v>
      </c>
      <c r="K4" s="32">
        <f>IF(AND(ISNUMBER(SEARCH("FORET D15,3 COMPLET", $B4)),ISNUMBER(SEARCH("EMAG 2", $F4))), 1*$E4, 0)</f>
        <v>0</v>
      </c>
      <c r="L4" s="32">
        <f>IF(AND(ISNUMBER(SEARCH("FORET D15,3 COMPLET", $B4)),ISNUMBER(SEARCH("EMAG 2", $F4))), 2*$E4, 0)</f>
        <v>0</v>
      </c>
      <c r="M4" s="32">
        <f>IF(AND(ISNUMBER(SEARCH("T5013 COMPLET", $B4)),ISNUMBER(SEARCH("EMAG 2", $F4))), 2*$E4, 0)</f>
        <v>0</v>
      </c>
      <c r="N4" s="32">
        <f>IF(AND(ISNUMBER(SEARCH("FORET D8,6 COMPLET", $B4)),ISNUMBER(SEARCH("EMAG 1", $F4))), 1*$E4, 0)</f>
        <v>0</v>
      </c>
      <c r="O4" s="32">
        <f>IF(AND(ISNUMBER(SEARCH("FORET D8,6 COMPLET", $B4)),ISNUMBER(SEARCH("EMAG 1", $F4))), 1*$E4, 0)</f>
        <v>0</v>
      </c>
      <c r="P4" s="32">
        <f>IF(AND(ISNUMBER(SEARCH("FORET D13,3 COMPLET", $B4)),ISNUMBER(SEARCH("EMAG 1", $F4))), 1*$E4, 0)</f>
        <v>0</v>
      </c>
      <c r="Q4" s="32">
        <f>IF(AND(ISNUMBER(SEARCH("FORET D13,3 COMPLET", $B4)),ISNUMBER(SEARCH("EMAG 1", $F4))), 2*$E4, 0)</f>
        <v>0</v>
      </c>
      <c r="R4" s="32">
        <f>IF(AND(ISNUMBER(SEARCH("FORET D15,3 COMPLET", $B4)),ISNUMBER(SEARCH("EMAG 1", $F4))), 1*$E4, 0)</f>
        <v>0</v>
      </c>
      <c r="S4" s="32">
        <f>IF(AND(ISNUMBER(SEARCH("FORET D15,3 COMPLET", $B4)),ISNUMBER(SEARCH("EMAG 1", $F4))), 2*$E4, 0)</f>
        <v>0</v>
      </c>
      <c r="T4" s="32">
        <f>IF(AND(ISNUMBER(SEARCH("FORET D13,3 COMPLET", $B4)),ISNUMBER(SEARCH("EMAG 3", $F4))), 1*$E4, 0)</f>
        <v>0</v>
      </c>
      <c r="U4" s="32">
        <f>IF(AND(ISNUMBER(SEARCH("FORET D13,3 COMPLET", $B4)),ISNUMBER(SEARCH("EMAG 3", $F4))), 2*$E4, 0)</f>
        <v>0</v>
      </c>
    </row>
    <row r="5" spans="1:21" x14ac:dyDescent="0.25">
      <c r="A5" s="135">
        <v>46279.348414351851</v>
      </c>
      <c r="B5" s="136" t="s">
        <v>221</v>
      </c>
      <c r="C5" s="136" t="s">
        <v>249</v>
      </c>
      <c r="D5" s="136" t="s">
        <v>250</v>
      </c>
      <c r="E5" s="137">
        <v>10</v>
      </c>
      <c r="F5" s="136" t="s">
        <v>19</v>
      </c>
      <c r="G5" s="32">
        <f t="shared" ref="G5:H67" si="0">IF(AND(ISNUMBER(SEARCH("FORET D8,6 COMPLET", $B5)),ISNUMBER(SEARCH("EMAG 2", $F5))), 1*$E5, 0)</f>
        <v>0</v>
      </c>
      <c r="H5" s="32">
        <f t="shared" si="0"/>
        <v>0</v>
      </c>
      <c r="I5" s="32">
        <f t="shared" ref="I5:I68" si="1">IF(AND(ISNUMBER(SEARCH("FORET D13,3 COMPLET", $B5)),ISNUMBER(SEARCH("EMAG 2", $F5))), 1*$E5, 0)</f>
        <v>0</v>
      </c>
      <c r="J5" s="32">
        <f t="shared" ref="J5:J68" si="2">IF(AND(ISNUMBER(SEARCH("FORET D13,3 COMPLET", $B5)),ISNUMBER(SEARCH("EMAG 2", $F5))), 2*$E5, 0)</f>
        <v>0</v>
      </c>
      <c r="K5" s="32">
        <f t="shared" ref="K5:K68" si="3">IF(AND(ISNUMBER(SEARCH("FORET D15,3 COMPLET", $B5)),ISNUMBER(SEARCH("EMAG 2", $F5))), 1*$E5, 0)</f>
        <v>0</v>
      </c>
      <c r="L5" s="32">
        <f t="shared" ref="L5:L68" si="4">IF(AND(ISNUMBER(SEARCH("FORET D15,3 COMPLET", $B5)),ISNUMBER(SEARCH("EMAG 2", $F5))), 2*$E5, 0)</f>
        <v>0</v>
      </c>
      <c r="M5" s="32">
        <f t="shared" ref="M5:M68" si="5">IF(AND(ISNUMBER(SEARCH("T5013 COMPLET", $B5)),ISNUMBER(SEARCH("EMAG 2", $F5))), 2*$E5, 0)</f>
        <v>0</v>
      </c>
      <c r="N5" s="32">
        <f t="shared" ref="N5:O68" si="6">IF(AND(ISNUMBER(SEARCH("FORET D8,6 COMPLET", $B5)),ISNUMBER(SEARCH("EMAG 1", $F5))), 1*$E5, 0)</f>
        <v>0</v>
      </c>
      <c r="O5" s="32">
        <f t="shared" si="6"/>
        <v>0</v>
      </c>
      <c r="P5" s="32">
        <f t="shared" ref="P5:P68" si="7">IF(AND(ISNUMBER(SEARCH("FORET D13,3 COMPLET", $B5)),ISNUMBER(SEARCH("EMAG 1", $F5))), 1*$E5, 0)</f>
        <v>0</v>
      </c>
      <c r="Q5" s="32">
        <f t="shared" ref="Q5:Q68" si="8">IF(AND(ISNUMBER(SEARCH("FORET D13,3 COMPLET", $B5)),ISNUMBER(SEARCH("EMAG 1", $F5))), 2*$E5, 0)</f>
        <v>0</v>
      </c>
      <c r="R5" s="32">
        <f t="shared" ref="R5:R68" si="9">IF(AND(ISNUMBER(SEARCH("FORET D15,3 COMPLET", $B5)),ISNUMBER(SEARCH("EMAG 1", $F5))), 1*$E5, 0)</f>
        <v>0</v>
      </c>
      <c r="S5" s="32">
        <f t="shared" ref="S5:S68" si="10">IF(AND(ISNUMBER(SEARCH("FORET D15,3 COMPLET", $B5)),ISNUMBER(SEARCH("EMAG 1", $F5))), 2*$E5, 0)</f>
        <v>0</v>
      </c>
      <c r="T5" s="32">
        <f t="shared" ref="T5:T68" si="11">IF(AND(ISNUMBER(SEARCH("FORET D13,3 COMPLET", $B5)),ISNUMBER(SEARCH("EMAG 3", $F5))), 1*$E5, 0)</f>
        <v>0</v>
      </c>
      <c r="U5" s="32">
        <f t="shared" ref="U5:U68" si="12">IF(AND(ISNUMBER(SEARCH("FORET D13,3 COMPLET", $B5)),ISNUMBER(SEARCH("EMAG 3", $F5))), 2*$E5, 0)</f>
        <v>0</v>
      </c>
    </row>
    <row r="6" spans="1:21" x14ac:dyDescent="0.25">
      <c r="A6" s="135">
        <v>46279.374745370369</v>
      </c>
      <c r="B6" s="136" t="s">
        <v>221</v>
      </c>
      <c r="C6" s="136" t="s">
        <v>249</v>
      </c>
      <c r="D6" s="136" t="s">
        <v>250</v>
      </c>
      <c r="E6" s="137">
        <v>10</v>
      </c>
      <c r="F6" s="136" t="s">
        <v>19</v>
      </c>
      <c r="G6" s="32">
        <f t="shared" si="0"/>
        <v>0</v>
      </c>
      <c r="H6" s="32">
        <f t="shared" si="0"/>
        <v>0</v>
      </c>
      <c r="I6" s="32">
        <f t="shared" si="1"/>
        <v>0</v>
      </c>
      <c r="J6" s="32">
        <f t="shared" si="2"/>
        <v>0</v>
      </c>
      <c r="K6" s="32">
        <f t="shared" si="3"/>
        <v>0</v>
      </c>
      <c r="L6" s="32">
        <f t="shared" si="4"/>
        <v>0</v>
      </c>
      <c r="M6" s="32">
        <f t="shared" si="5"/>
        <v>0</v>
      </c>
      <c r="N6" s="32">
        <f t="shared" si="6"/>
        <v>0</v>
      </c>
      <c r="O6" s="32">
        <f t="shared" si="6"/>
        <v>0</v>
      </c>
      <c r="P6" s="32">
        <f t="shared" si="7"/>
        <v>0</v>
      </c>
      <c r="Q6" s="32">
        <f t="shared" si="8"/>
        <v>0</v>
      </c>
      <c r="R6" s="32">
        <f t="shared" si="9"/>
        <v>0</v>
      </c>
      <c r="S6" s="32">
        <f t="shared" si="10"/>
        <v>0</v>
      </c>
      <c r="T6" s="32">
        <f>IF(AND(ISNUMBER(SEARCH("FORET D13,3 COMPLET", $B6)),ISNUMBER(SEARCH("EMAG 3", $F6))), 1*$E6, 0)</f>
        <v>0</v>
      </c>
      <c r="U6" s="32">
        <f t="shared" si="12"/>
        <v>0</v>
      </c>
    </row>
    <row r="7" spans="1:21" x14ac:dyDescent="0.25">
      <c r="A7" s="135">
        <v>46279.379120370373</v>
      </c>
      <c r="B7" s="136" t="s">
        <v>228</v>
      </c>
      <c r="C7" s="136" t="s">
        <v>249</v>
      </c>
      <c r="D7" s="136" t="s">
        <v>250</v>
      </c>
      <c r="E7" s="137">
        <v>1</v>
      </c>
      <c r="F7" s="136" t="s">
        <v>225</v>
      </c>
      <c r="G7" s="32">
        <f t="shared" si="0"/>
        <v>0</v>
      </c>
      <c r="H7" s="32">
        <f t="shared" si="0"/>
        <v>0</v>
      </c>
      <c r="I7" s="32">
        <f t="shared" si="1"/>
        <v>0</v>
      </c>
      <c r="J7" s="32">
        <f t="shared" si="2"/>
        <v>0</v>
      </c>
      <c r="K7" s="32">
        <f t="shared" si="3"/>
        <v>0</v>
      </c>
      <c r="L7" s="32">
        <f t="shared" si="4"/>
        <v>0</v>
      </c>
      <c r="M7" s="32">
        <f t="shared" si="5"/>
        <v>0</v>
      </c>
      <c r="N7" s="32">
        <f t="shared" si="6"/>
        <v>0</v>
      </c>
      <c r="O7" s="32">
        <f t="shared" si="6"/>
        <v>0</v>
      </c>
      <c r="P7" s="32">
        <f t="shared" si="7"/>
        <v>0</v>
      </c>
      <c r="Q7" s="32">
        <f t="shared" si="8"/>
        <v>0</v>
      </c>
      <c r="R7" s="32">
        <f t="shared" si="9"/>
        <v>0</v>
      </c>
      <c r="S7" s="32">
        <f t="shared" si="10"/>
        <v>0</v>
      </c>
      <c r="T7" s="32">
        <f t="shared" si="11"/>
        <v>0</v>
      </c>
      <c r="U7" s="32">
        <f t="shared" si="12"/>
        <v>0</v>
      </c>
    </row>
    <row r="8" spans="1:21" x14ac:dyDescent="0.25">
      <c r="A8" s="135">
        <v>46279.506956018522</v>
      </c>
      <c r="B8" s="136" t="s">
        <v>219</v>
      </c>
      <c r="C8" s="136" t="s">
        <v>26</v>
      </c>
      <c r="D8" s="136" t="s">
        <v>27</v>
      </c>
      <c r="E8" s="137">
        <v>1</v>
      </c>
      <c r="F8" s="136" t="s">
        <v>28</v>
      </c>
      <c r="G8" s="32">
        <f t="shared" si="0"/>
        <v>0</v>
      </c>
      <c r="H8" s="32">
        <f t="shared" si="0"/>
        <v>0</v>
      </c>
      <c r="I8" s="32">
        <f t="shared" si="1"/>
        <v>0</v>
      </c>
      <c r="J8" s="32">
        <f t="shared" si="2"/>
        <v>0</v>
      </c>
      <c r="K8" s="32">
        <f t="shared" si="3"/>
        <v>0</v>
      </c>
      <c r="L8" s="32">
        <f t="shared" si="4"/>
        <v>0</v>
      </c>
      <c r="M8" s="32">
        <f t="shared" si="5"/>
        <v>0</v>
      </c>
      <c r="N8" s="32">
        <f t="shared" si="6"/>
        <v>0</v>
      </c>
      <c r="O8" s="32">
        <f t="shared" si="6"/>
        <v>0</v>
      </c>
      <c r="P8" s="32">
        <f t="shared" si="7"/>
        <v>0</v>
      </c>
      <c r="Q8" s="32">
        <f t="shared" si="8"/>
        <v>0</v>
      </c>
      <c r="R8" s="32">
        <f t="shared" si="9"/>
        <v>0</v>
      </c>
      <c r="S8" s="32">
        <f t="shared" si="10"/>
        <v>0</v>
      </c>
      <c r="T8" s="32">
        <f t="shared" si="11"/>
        <v>0</v>
      </c>
      <c r="U8" s="32">
        <f t="shared" si="12"/>
        <v>0</v>
      </c>
    </row>
    <row r="9" spans="1:21" x14ac:dyDescent="0.25">
      <c r="A9" s="135">
        <v>46279.507291666669</v>
      </c>
      <c r="B9" s="136" t="s">
        <v>216</v>
      </c>
      <c r="C9" s="136" t="s">
        <v>26</v>
      </c>
      <c r="D9" s="136" t="s">
        <v>27</v>
      </c>
      <c r="E9" s="137">
        <v>1</v>
      </c>
      <c r="F9" s="136" t="s">
        <v>13</v>
      </c>
      <c r="G9" s="32">
        <f t="shared" si="0"/>
        <v>0</v>
      </c>
      <c r="H9" s="32">
        <f t="shared" si="0"/>
        <v>0</v>
      </c>
      <c r="I9" s="32">
        <f t="shared" si="1"/>
        <v>1</v>
      </c>
      <c r="J9" s="32">
        <f t="shared" si="2"/>
        <v>2</v>
      </c>
      <c r="K9" s="32">
        <f t="shared" si="3"/>
        <v>0</v>
      </c>
      <c r="L9" s="32">
        <f t="shared" si="4"/>
        <v>0</v>
      </c>
      <c r="M9" s="32">
        <f t="shared" si="5"/>
        <v>0</v>
      </c>
      <c r="N9" s="32">
        <f t="shared" si="6"/>
        <v>0</v>
      </c>
      <c r="O9" s="32">
        <f t="shared" si="6"/>
        <v>0</v>
      </c>
      <c r="P9" s="32">
        <f t="shared" si="7"/>
        <v>0</v>
      </c>
      <c r="Q9" s="32">
        <f t="shared" si="8"/>
        <v>0</v>
      </c>
      <c r="R9" s="32">
        <f t="shared" si="9"/>
        <v>0</v>
      </c>
      <c r="S9" s="32">
        <f t="shared" si="10"/>
        <v>0</v>
      </c>
      <c r="T9" s="32">
        <f t="shared" si="11"/>
        <v>0</v>
      </c>
      <c r="U9" s="32">
        <f t="shared" si="12"/>
        <v>0</v>
      </c>
    </row>
    <row r="10" spans="1:21" x14ac:dyDescent="0.25">
      <c r="A10" s="135">
        <v>46279.599699074075</v>
      </c>
      <c r="B10" s="136" t="s">
        <v>228</v>
      </c>
      <c r="C10" s="136" t="s">
        <v>223</v>
      </c>
      <c r="D10" s="136" t="s">
        <v>224</v>
      </c>
      <c r="E10" s="137">
        <v>1</v>
      </c>
      <c r="F10" s="136" t="s">
        <v>225</v>
      </c>
      <c r="G10" s="32">
        <f t="shared" si="0"/>
        <v>0</v>
      </c>
      <c r="H10" s="32">
        <f t="shared" si="0"/>
        <v>0</v>
      </c>
      <c r="I10" s="32">
        <f t="shared" si="1"/>
        <v>0</v>
      </c>
      <c r="J10" s="32">
        <f t="shared" si="2"/>
        <v>0</v>
      </c>
      <c r="K10" s="32">
        <f t="shared" si="3"/>
        <v>0</v>
      </c>
      <c r="L10" s="32">
        <f t="shared" si="4"/>
        <v>0</v>
      </c>
      <c r="M10" s="32">
        <f t="shared" si="5"/>
        <v>0</v>
      </c>
      <c r="N10" s="32">
        <f t="shared" si="6"/>
        <v>0</v>
      </c>
      <c r="O10" s="32">
        <f t="shared" si="6"/>
        <v>0</v>
      </c>
      <c r="P10" s="32">
        <f t="shared" si="7"/>
        <v>0</v>
      </c>
      <c r="Q10" s="32">
        <f t="shared" si="8"/>
        <v>0</v>
      </c>
      <c r="R10" s="32">
        <f t="shared" si="9"/>
        <v>0</v>
      </c>
      <c r="S10" s="32">
        <f t="shared" si="10"/>
        <v>0</v>
      </c>
      <c r="T10" s="32">
        <f t="shared" si="11"/>
        <v>0</v>
      </c>
      <c r="U10" s="32">
        <f t="shared" si="12"/>
        <v>0</v>
      </c>
    </row>
    <row r="11" spans="1:21" x14ac:dyDescent="0.25">
      <c r="A11" s="135">
        <v>46279.616747685184</v>
      </c>
      <c r="B11" s="136" t="s">
        <v>238</v>
      </c>
      <c r="C11" s="136" t="s">
        <v>249</v>
      </c>
      <c r="D11" s="136" t="s">
        <v>250</v>
      </c>
      <c r="E11" s="137">
        <v>1</v>
      </c>
      <c r="F11" s="136" t="s">
        <v>19</v>
      </c>
      <c r="G11" s="32">
        <f t="shared" si="0"/>
        <v>0</v>
      </c>
      <c r="H11" s="32">
        <f t="shared" si="0"/>
        <v>0</v>
      </c>
      <c r="I11" s="32">
        <f t="shared" si="1"/>
        <v>0</v>
      </c>
      <c r="J11" s="32">
        <f t="shared" si="2"/>
        <v>0</v>
      </c>
      <c r="K11" s="32">
        <f t="shared" si="3"/>
        <v>0</v>
      </c>
      <c r="L11" s="32">
        <f t="shared" si="4"/>
        <v>0</v>
      </c>
      <c r="M11" s="32">
        <f t="shared" si="5"/>
        <v>0</v>
      </c>
      <c r="N11" s="32">
        <f t="shared" si="6"/>
        <v>0</v>
      </c>
      <c r="O11" s="32">
        <f t="shared" si="6"/>
        <v>0</v>
      </c>
      <c r="P11" s="32">
        <f t="shared" si="7"/>
        <v>0</v>
      </c>
      <c r="Q11" s="32">
        <f t="shared" si="8"/>
        <v>0</v>
      </c>
      <c r="R11" s="32">
        <f t="shared" si="9"/>
        <v>0</v>
      </c>
      <c r="S11" s="32">
        <f t="shared" si="10"/>
        <v>0</v>
      </c>
      <c r="T11" s="32">
        <f t="shared" si="11"/>
        <v>0</v>
      </c>
      <c r="U11" s="32">
        <f t="shared" si="12"/>
        <v>0</v>
      </c>
    </row>
    <row r="12" spans="1:21" x14ac:dyDescent="0.25">
      <c r="A12" s="135">
        <v>46279.617222222223</v>
      </c>
      <c r="B12" s="136" t="s">
        <v>222</v>
      </c>
      <c r="C12" s="136" t="s">
        <v>249</v>
      </c>
      <c r="D12" s="136" t="s">
        <v>250</v>
      </c>
      <c r="E12" s="137">
        <v>3</v>
      </c>
      <c r="F12" s="136" t="s">
        <v>19</v>
      </c>
      <c r="G12" s="32">
        <f t="shared" si="0"/>
        <v>0</v>
      </c>
      <c r="H12" s="32">
        <f t="shared" si="0"/>
        <v>0</v>
      </c>
      <c r="I12" s="32">
        <f t="shared" si="1"/>
        <v>0</v>
      </c>
      <c r="J12" s="32">
        <f t="shared" si="2"/>
        <v>0</v>
      </c>
      <c r="K12" s="32">
        <f t="shared" si="3"/>
        <v>0</v>
      </c>
      <c r="L12" s="32">
        <f t="shared" si="4"/>
        <v>0</v>
      </c>
      <c r="M12" s="32">
        <f t="shared" si="5"/>
        <v>0</v>
      </c>
      <c r="N12" s="32">
        <f t="shared" si="6"/>
        <v>0</v>
      </c>
      <c r="O12" s="32">
        <f t="shared" si="6"/>
        <v>0</v>
      </c>
      <c r="P12" s="32">
        <f t="shared" si="7"/>
        <v>0</v>
      </c>
      <c r="Q12" s="32">
        <f t="shared" si="8"/>
        <v>0</v>
      </c>
      <c r="R12" s="32">
        <f t="shared" si="9"/>
        <v>0</v>
      </c>
      <c r="S12" s="32">
        <f t="shared" si="10"/>
        <v>0</v>
      </c>
      <c r="T12" s="32">
        <f t="shared" si="11"/>
        <v>0</v>
      </c>
      <c r="U12" s="32">
        <f t="shared" si="12"/>
        <v>0</v>
      </c>
    </row>
    <row r="13" spans="1:21" x14ac:dyDescent="0.25">
      <c r="A13" s="135">
        <v>46279.617592592593</v>
      </c>
      <c r="B13" s="136" t="s">
        <v>251</v>
      </c>
      <c r="C13" s="136" t="s">
        <v>249</v>
      </c>
      <c r="D13" s="136" t="s">
        <v>250</v>
      </c>
      <c r="E13" s="137">
        <v>2</v>
      </c>
      <c r="F13" s="136" t="s">
        <v>19</v>
      </c>
      <c r="G13" s="32">
        <f t="shared" si="0"/>
        <v>0</v>
      </c>
      <c r="H13" s="32">
        <f t="shared" si="0"/>
        <v>0</v>
      </c>
      <c r="I13" s="32">
        <f t="shared" si="1"/>
        <v>0</v>
      </c>
      <c r="J13" s="32">
        <f t="shared" si="2"/>
        <v>0</v>
      </c>
      <c r="K13" s="32">
        <f t="shared" si="3"/>
        <v>0</v>
      </c>
      <c r="L13" s="32">
        <f t="shared" si="4"/>
        <v>0</v>
      </c>
      <c r="M13" s="32">
        <f t="shared" si="5"/>
        <v>0</v>
      </c>
      <c r="N13" s="32">
        <f>IF(AND(ISNUMBER(SEARCH("FORET D8,6 COMPLET", $B13)),ISNUMBER(SEARCH("EMAG 1", $F13))), 1*$E13, 0)</f>
        <v>0</v>
      </c>
      <c r="O13" s="32">
        <f t="shared" si="6"/>
        <v>0</v>
      </c>
      <c r="P13" s="32">
        <f t="shared" si="7"/>
        <v>0</v>
      </c>
      <c r="Q13" s="32">
        <f t="shared" si="8"/>
        <v>0</v>
      </c>
      <c r="R13" s="32">
        <f t="shared" si="9"/>
        <v>0</v>
      </c>
      <c r="S13" s="32">
        <f t="shared" si="10"/>
        <v>0</v>
      </c>
      <c r="T13" s="32">
        <f t="shared" si="11"/>
        <v>0</v>
      </c>
      <c r="U13" s="32">
        <f t="shared" si="12"/>
        <v>0</v>
      </c>
    </row>
    <row r="14" spans="1:21" x14ac:dyDescent="0.25">
      <c r="A14" s="135">
        <v>46279.620879629627</v>
      </c>
      <c r="B14" s="136" t="s">
        <v>238</v>
      </c>
      <c r="C14" s="136" t="s">
        <v>249</v>
      </c>
      <c r="D14" s="136" t="s">
        <v>250</v>
      </c>
      <c r="E14" s="137">
        <v>1</v>
      </c>
      <c r="F14" s="136" t="s">
        <v>19</v>
      </c>
      <c r="G14" s="32">
        <f t="shared" si="0"/>
        <v>0</v>
      </c>
      <c r="H14" s="32">
        <f t="shared" si="0"/>
        <v>0</v>
      </c>
      <c r="I14" s="32">
        <f t="shared" si="1"/>
        <v>0</v>
      </c>
      <c r="J14" s="32">
        <f t="shared" si="2"/>
        <v>0</v>
      </c>
      <c r="K14" s="32">
        <f t="shared" si="3"/>
        <v>0</v>
      </c>
      <c r="L14" s="32">
        <f t="shared" si="4"/>
        <v>0</v>
      </c>
      <c r="M14" s="32">
        <f t="shared" si="5"/>
        <v>0</v>
      </c>
      <c r="N14" s="32">
        <f t="shared" si="6"/>
        <v>0</v>
      </c>
      <c r="O14" s="32">
        <f t="shared" si="6"/>
        <v>0</v>
      </c>
      <c r="P14" s="32">
        <f t="shared" si="7"/>
        <v>0</v>
      </c>
      <c r="Q14" s="32">
        <f t="shared" si="8"/>
        <v>0</v>
      </c>
      <c r="R14" s="32">
        <f t="shared" si="9"/>
        <v>0</v>
      </c>
      <c r="S14" s="32">
        <f t="shared" si="10"/>
        <v>0</v>
      </c>
      <c r="T14" s="32">
        <f t="shared" si="11"/>
        <v>0</v>
      </c>
      <c r="U14" s="32">
        <f t="shared" si="12"/>
        <v>0</v>
      </c>
    </row>
    <row r="15" spans="1:21" x14ac:dyDescent="0.25">
      <c r="A15" s="135">
        <v>46279.691550925927</v>
      </c>
      <c r="B15" s="136" t="s">
        <v>226</v>
      </c>
      <c r="C15" s="136" t="s">
        <v>288</v>
      </c>
      <c r="D15" s="136" t="s">
        <v>289</v>
      </c>
      <c r="E15" s="137">
        <v>1</v>
      </c>
      <c r="F15" s="136" t="s">
        <v>19</v>
      </c>
      <c r="G15" s="32">
        <f t="shared" si="0"/>
        <v>0</v>
      </c>
      <c r="H15" s="32">
        <f t="shared" si="0"/>
        <v>0</v>
      </c>
      <c r="I15" s="32">
        <f t="shared" si="1"/>
        <v>0</v>
      </c>
      <c r="J15" s="32">
        <f t="shared" si="2"/>
        <v>0</v>
      </c>
      <c r="K15" s="32">
        <f t="shared" si="3"/>
        <v>0</v>
      </c>
      <c r="L15" s="32">
        <f t="shared" si="4"/>
        <v>0</v>
      </c>
      <c r="M15" s="32">
        <f t="shared" si="5"/>
        <v>0</v>
      </c>
      <c r="N15" s="32">
        <f t="shared" si="6"/>
        <v>0</v>
      </c>
      <c r="O15" s="32">
        <f t="shared" si="6"/>
        <v>0</v>
      </c>
      <c r="P15" s="32">
        <f t="shared" si="7"/>
        <v>0</v>
      </c>
      <c r="Q15" s="32">
        <f t="shared" si="8"/>
        <v>0</v>
      </c>
      <c r="R15" s="32">
        <f t="shared" si="9"/>
        <v>1</v>
      </c>
      <c r="S15" s="32">
        <f t="shared" si="10"/>
        <v>2</v>
      </c>
      <c r="T15" s="32">
        <f t="shared" si="11"/>
        <v>0</v>
      </c>
      <c r="U15" s="32">
        <f t="shared" si="12"/>
        <v>0</v>
      </c>
    </row>
    <row r="16" spans="1:21" x14ac:dyDescent="0.25">
      <c r="A16" s="135">
        <v>46279.695914351854</v>
      </c>
      <c r="B16" s="136" t="s">
        <v>226</v>
      </c>
      <c r="C16" s="136" t="s">
        <v>288</v>
      </c>
      <c r="D16" s="136" t="s">
        <v>289</v>
      </c>
      <c r="E16" s="137">
        <v>1</v>
      </c>
      <c r="F16" s="136" t="s">
        <v>19</v>
      </c>
      <c r="G16" s="32">
        <f t="shared" si="0"/>
        <v>0</v>
      </c>
      <c r="H16" s="32">
        <f t="shared" si="0"/>
        <v>0</v>
      </c>
      <c r="I16" s="32">
        <f t="shared" si="1"/>
        <v>0</v>
      </c>
      <c r="J16" s="32">
        <f t="shared" si="2"/>
        <v>0</v>
      </c>
      <c r="K16" s="32">
        <f t="shared" si="3"/>
        <v>0</v>
      </c>
      <c r="L16" s="32">
        <f t="shared" si="4"/>
        <v>0</v>
      </c>
      <c r="M16" s="32">
        <f t="shared" si="5"/>
        <v>0</v>
      </c>
      <c r="N16" s="32">
        <f t="shared" si="6"/>
        <v>0</v>
      </c>
      <c r="O16" s="32">
        <f t="shared" si="6"/>
        <v>0</v>
      </c>
      <c r="P16" s="32">
        <f t="shared" si="7"/>
        <v>0</v>
      </c>
      <c r="Q16" s="32">
        <f t="shared" si="8"/>
        <v>0</v>
      </c>
      <c r="R16" s="32">
        <f t="shared" si="9"/>
        <v>1</v>
      </c>
      <c r="S16" s="32">
        <f t="shared" si="10"/>
        <v>2</v>
      </c>
      <c r="T16" s="32">
        <f t="shared" si="11"/>
        <v>0</v>
      </c>
      <c r="U16" s="32">
        <f t="shared" si="12"/>
        <v>0</v>
      </c>
    </row>
    <row r="17" spans="1:21" x14ac:dyDescent="0.25">
      <c r="A17" s="135">
        <v>46280.013877314814</v>
      </c>
      <c r="B17" s="136" t="s">
        <v>219</v>
      </c>
      <c r="C17" s="136" t="s">
        <v>232</v>
      </c>
      <c r="D17" s="136" t="s">
        <v>233</v>
      </c>
      <c r="E17" s="137">
        <v>1</v>
      </c>
      <c r="F17" s="136" t="s">
        <v>218</v>
      </c>
      <c r="G17" s="32">
        <f t="shared" si="0"/>
        <v>0</v>
      </c>
      <c r="H17" s="32">
        <f t="shared" si="0"/>
        <v>0</v>
      </c>
      <c r="I17" s="32">
        <f t="shared" si="1"/>
        <v>0</v>
      </c>
      <c r="J17" s="32">
        <f t="shared" si="2"/>
        <v>0</v>
      </c>
      <c r="K17" s="32">
        <f t="shared" si="3"/>
        <v>0</v>
      </c>
      <c r="L17" s="32">
        <f t="shared" si="4"/>
        <v>0</v>
      </c>
      <c r="M17" s="32">
        <f t="shared" si="5"/>
        <v>0</v>
      </c>
      <c r="N17" s="32">
        <f t="shared" si="6"/>
        <v>0</v>
      </c>
      <c r="O17" s="32">
        <f t="shared" si="6"/>
        <v>0</v>
      </c>
      <c r="P17" s="32">
        <f t="shared" si="7"/>
        <v>0</v>
      </c>
      <c r="Q17" s="32">
        <f t="shared" si="8"/>
        <v>0</v>
      </c>
      <c r="R17" s="32">
        <f t="shared" si="9"/>
        <v>0</v>
      </c>
      <c r="S17" s="32">
        <f t="shared" si="10"/>
        <v>0</v>
      </c>
      <c r="T17" s="32">
        <f t="shared" si="11"/>
        <v>0</v>
      </c>
      <c r="U17" s="32">
        <f t="shared" si="12"/>
        <v>0</v>
      </c>
    </row>
    <row r="18" spans="1:21" x14ac:dyDescent="0.25">
      <c r="A18" s="135">
        <v>46280.091967592591</v>
      </c>
      <c r="B18" s="136" t="s">
        <v>301</v>
      </c>
      <c r="C18" s="136" t="s">
        <v>277</v>
      </c>
      <c r="D18" s="136" t="s">
        <v>278</v>
      </c>
      <c r="E18" s="137">
        <v>1</v>
      </c>
      <c r="F18" s="136" t="s">
        <v>302</v>
      </c>
      <c r="G18" s="32">
        <f t="shared" si="0"/>
        <v>0</v>
      </c>
      <c r="H18" s="32">
        <f t="shared" si="0"/>
        <v>0</v>
      </c>
      <c r="I18" s="32">
        <f t="shared" si="1"/>
        <v>0</v>
      </c>
      <c r="J18" s="32">
        <f t="shared" si="2"/>
        <v>0</v>
      </c>
      <c r="K18" s="32">
        <f t="shared" si="3"/>
        <v>0</v>
      </c>
      <c r="L18" s="32">
        <f t="shared" si="4"/>
        <v>0</v>
      </c>
      <c r="M18" s="32">
        <f t="shared" si="5"/>
        <v>0</v>
      </c>
      <c r="N18" s="32">
        <f t="shared" si="6"/>
        <v>0</v>
      </c>
      <c r="O18" s="32">
        <f t="shared" si="6"/>
        <v>0</v>
      </c>
      <c r="P18" s="32">
        <f t="shared" si="7"/>
        <v>0</v>
      </c>
      <c r="Q18" s="32">
        <f t="shared" si="8"/>
        <v>0</v>
      </c>
      <c r="R18" s="32">
        <f t="shared" si="9"/>
        <v>0</v>
      </c>
      <c r="S18" s="32">
        <f t="shared" si="10"/>
        <v>0</v>
      </c>
      <c r="T18" s="32">
        <f t="shared" si="11"/>
        <v>0</v>
      </c>
      <c r="U18" s="32">
        <f t="shared" si="12"/>
        <v>0</v>
      </c>
    </row>
    <row r="19" spans="1:21" x14ac:dyDescent="0.25">
      <c r="A19" s="135">
        <v>46280.257395833331</v>
      </c>
      <c r="B19" s="136" t="s">
        <v>217</v>
      </c>
      <c r="C19" s="136" t="s">
        <v>252</v>
      </c>
      <c r="D19" s="136" t="s">
        <v>253</v>
      </c>
      <c r="E19" s="137">
        <v>1</v>
      </c>
      <c r="F19" s="136" t="s">
        <v>218</v>
      </c>
      <c r="G19" s="32">
        <f t="shared" si="0"/>
        <v>0</v>
      </c>
      <c r="H19" s="32">
        <f t="shared" si="0"/>
        <v>0</v>
      </c>
      <c r="I19" s="32">
        <f t="shared" si="1"/>
        <v>0</v>
      </c>
      <c r="J19" s="32">
        <f t="shared" si="2"/>
        <v>0</v>
      </c>
      <c r="K19" s="32">
        <f t="shared" si="3"/>
        <v>0</v>
      </c>
      <c r="L19" s="32">
        <f t="shared" si="4"/>
        <v>0</v>
      </c>
      <c r="M19" s="32">
        <f t="shared" si="5"/>
        <v>0</v>
      </c>
      <c r="N19" s="32">
        <f t="shared" si="6"/>
        <v>0</v>
      </c>
      <c r="O19" s="32">
        <f t="shared" si="6"/>
        <v>0</v>
      </c>
      <c r="P19" s="32">
        <f t="shared" si="7"/>
        <v>0</v>
      </c>
      <c r="Q19" s="32">
        <f t="shared" si="8"/>
        <v>0</v>
      </c>
      <c r="R19" s="32">
        <f t="shared" si="9"/>
        <v>0</v>
      </c>
      <c r="S19" s="32">
        <f t="shared" si="10"/>
        <v>0</v>
      </c>
      <c r="T19" s="32">
        <f t="shared" si="11"/>
        <v>0</v>
      </c>
      <c r="U19" s="32">
        <f t="shared" si="12"/>
        <v>0</v>
      </c>
    </row>
    <row r="20" spans="1:21" x14ac:dyDescent="0.25">
      <c r="A20" s="135">
        <v>46280.257523148146</v>
      </c>
      <c r="B20" s="136" t="s">
        <v>219</v>
      </c>
      <c r="C20" s="136" t="s">
        <v>252</v>
      </c>
      <c r="D20" s="136" t="s">
        <v>253</v>
      </c>
      <c r="E20" s="137">
        <v>1</v>
      </c>
      <c r="F20" s="136" t="s">
        <v>218</v>
      </c>
      <c r="G20" s="32">
        <f t="shared" si="0"/>
        <v>0</v>
      </c>
      <c r="H20" s="32">
        <f t="shared" si="0"/>
        <v>0</v>
      </c>
      <c r="I20" s="32">
        <f t="shared" si="1"/>
        <v>0</v>
      </c>
      <c r="J20" s="32">
        <f t="shared" si="2"/>
        <v>0</v>
      </c>
      <c r="K20" s="32">
        <f t="shared" si="3"/>
        <v>0</v>
      </c>
      <c r="L20" s="32">
        <f t="shared" si="4"/>
        <v>0</v>
      </c>
      <c r="M20" s="32">
        <f t="shared" si="5"/>
        <v>0</v>
      </c>
      <c r="N20" s="32">
        <f t="shared" si="6"/>
        <v>0</v>
      </c>
      <c r="O20" s="32">
        <f t="shared" si="6"/>
        <v>0</v>
      </c>
      <c r="P20" s="32">
        <f t="shared" si="7"/>
        <v>0</v>
      </c>
      <c r="Q20" s="32">
        <f t="shared" si="8"/>
        <v>0</v>
      </c>
      <c r="R20" s="32">
        <f t="shared" si="9"/>
        <v>0</v>
      </c>
      <c r="S20" s="32">
        <f t="shared" si="10"/>
        <v>0</v>
      </c>
      <c r="T20" s="32">
        <f t="shared" si="11"/>
        <v>0</v>
      </c>
      <c r="U20" s="32">
        <f t="shared" si="12"/>
        <v>0</v>
      </c>
    </row>
    <row r="21" spans="1:21" x14ac:dyDescent="0.25">
      <c r="A21" s="135">
        <v>46280.262731481482</v>
      </c>
      <c r="B21" s="136" t="s">
        <v>216</v>
      </c>
      <c r="C21" s="136" t="s">
        <v>244</v>
      </c>
      <c r="D21" s="136" t="s">
        <v>245</v>
      </c>
      <c r="E21" s="137">
        <v>1</v>
      </c>
      <c r="F21" s="136" t="s">
        <v>13</v>
      </c>
      <c r="G21" s="32">
        <f t="shared" si="0"/>
        <v>0</v>
      </c>
      <c r="H21" s="32">
        <f t="shared" si="0"/>
        <v>0</v>
      </c>
      <c r="I21" s="32">
        <f t="shared" si="1"/>
        <v>1</v>
      </c>
      <c r="J21" s="32">
        <f t="shared" si="2"/>
        <v>2</v>
      </c>
      <c r="K21" s="32">
        <f t="shared" si="3"/>
        <v>0</v>
      </c>
      <c r="L21" s="32">
        <f t="shared" si="4"/>
        <v>0</v>
      </c>
      <c r="M21" s="32">
        <f t="shared" si="5"/>
        <v>0</v>
      </c>
      <c r="N21" s="32">
        <f t="shared" si="6"/>
        <v>0</v>
      </c>
      <c r="O21" s="32">
        <f t="shared" si="6"/>
        <v>0</v>
      </c>
      <c r="P21" s="32">
        <f t="shared" si="7"/>
        <v>0</v>
      </c>
      <c r="Q21" s="32">
        <f t="shared" si="8"/>
        <v>0</v>
      </c>
      <c r="R21" s="32">
        <f t="shared" si="9"/>
        <v>0</v>
      </c>
      <c r="S21" s="32">
        <f t="shared" si="10"/>
        <v>0</v>
      </c>
      <c r="T21" s="32">
        <f t="shared" si="11"/>
        <v>0</v>
      </c>
      <c r="U21" s="32">
        <f t="shared" si="12"/>
        <v>0</v>
      </c>
    </row>
    <row r="22" spans="1:21" x14ac:dyDescent="0.25">
      <c r="A22" s="135">
        <v>46280.263009259259</v>
      </c>
      <c r="B22" s="136" t="s">
        <v>219</v>
      </c>
      <c r="C22" s="136" t="s">
        <v>244</v>
      </c>
      <c r="D22" s="136" t="s">
        <v>245</v>
      </c>
      <c r="E22" s="137">
        <v>1</v>
      </c>
      <c r="F22" s="136" t="s">
        <v>28</v>
      </c>
      <c r="G22" s="32">
        <f t="shared" si="0"/>
        <v>0</v>
      </c>
      <c r="H22" s="32">
        <f t="shared" si="0"/>
        <v>0</v>
      </c>
      <c r="I22" s="32">
        <f t="shared" si="1"/>
        <v>0</v>
      </c>
      <c r="J22" s="32">
        <f t="shared" si="2"/>
        <v>0</v>
      </c>
      <c r="K22" s="32">
        <f t="shared" si="3"/>
        <v>0</v>
      </c>
      <c r="L22" s="32">
        <f t="shared" si="4"/>
        <v>0</v>
      </c>
      <c r="M22" s="32">
        <f t="shared" si="5"/>
        <v>0</v>
      </c>
      <c r="N22" s="32">
        <f t="shared" si="6"/>
        <v>0</v>
      </c>
      <c r="O22" s="32">
        <f t="shared" si="6"/>
        <v>0</v>
      </c>
      <c r="P22" s="32">
        <f t="shared" si="7"/>
        <v>0</v>
      </c>
      <c r="Q22" s="32">
        <f t="shared" si="8"/>
        <v>0</v>
      </c>
      <c r="R22" s="32">
        <f t="shared" si="9"/>
        <v>0</v>
      </c>
      <c r="S22" s="32">
        <f t="shared" si="10"/>
        <v>0</v>
      </c>
      <c r="T22" s="32">
        <f t="shared" si="11"/>
        <v>0</v>
      </c>
      <c r="U22" s="32">
        <f t="shared" si="12"/>
        <v>0</v>
      </c>
    </row>
    <row r="23" spans="1:21" x14ac:dyDescent="0.25">
      <c r="A23" s="135">
        <v>46280.584062499998</v>
      </c>
      <c r="B23" s="136" t="s">
        <v>222</v>
      </c>
      <c r="C23" s="136" t="s">
        <v>249</v>
      </c>
      <c r="D23" s="136" t="s">
        <v>250</v>
      </c>
      <c r="E23" s="137">
        <v>1</v>
      </c>
      <c r="F23" s="136" t="s">
        <v>28</v>
      </c>
      <c r="G23" s="32">
        <f t="shared" si="0"/>
        <v>0</v>
      </c>
      <c r="H23" s="32">
        <f t="shared" si="0"/>
        <v>0</v>
      </c>
      <c r="I23" s="32">
        <f t="shared" si="1"/>
        <v>0</v>
      </c>
      <c r="J23" s="32">
        <f t="shared" si="2"/>
        <v>0</v>
      </c>
      <c r="K23" s="32">
        <f t="shared" si="3"/>
        <v>0</v>
      </c>
      <c r="L23" s="32">
        <f t="shared" si="4"/>
        <v>0</v>
      </c>
      <c r="M23" s="32">
        <f t="shared" si="5"/>
        <v>0</v>
      </c>
      <c r="N23" s="32">
        <f t="shared" si="6"/>
        <v>0</v>
      </c>
      <c r="O23" s="32">
        <f t="shared" si="6"/>
        <v>0</v>
      </c>
      <c r="P23" s="32">
        <f t="shared" si="7"/>
        <v>0</v>
      </c>
      <c r="Q23" s="32">
        <f t="shared" si="8"/>
        <v>0</v>
      </c>
      <c r="R23" s="32">
        <f t="shared" si="9"/>
        <v>0</v>
      </c>
      <c r="S23" s="32">
        <f t="shared" si="10"/>
        <v>0</v>
      </c>
      <c r="T23" s="32">
        <f t="shared" si="11"/>
        <v>0</v>
      </c>
      <c r="U23" s="32">
        <f t="shared" si="12"/>
        <v>0</v>
      </c>
    </row>
    <row r="24" spans="1:21" x14ac:dyDescent="0.25">
      <c r="A24" s="135">
        <v>46280.585300925923</v>
      </c>
      <c r="B24" s="136" t="s">
        <v>303</v>
      </c>
      <c r="C24" s="136" t="s">
        <v>249</v>
      </c>
      <c r="D24" s="136" t="s">
        <v>250</v>
      </c>
      <c r="E24" s="137">
        <v>1</v>
      </c>
      <c r="F24" s="136" t="s">
        <v>19</v>
      </c>
      <c r="G24" s="32">
        <f t="shared" si="0"/>
        <v>0</v>
      </c>
      <c r="H24" s="32">
        <f t="shared" si="0"/>
        <v>0</v>
      </c>
      <c r="I24" s="32">
        <f t="shared" si="1"/>
        <v>0</v>
      </c>
      <c r="J24" s="32">
        <f t="shared" si="2"/>
        <v>0</v>
      </c>
      <c r="K24" s="32">
        <f t="shared" si="3"/>
        <v>0</v>
      </c>
      <c r="L24" s="32">
        <f t="shared" si="4"/>
        <v>0</v>
      </c>
      <c r="M24" s="32">
        <f t="shared" si="5"/>
        <v>0</v>
      </c>
      <c r="N24" s="32">
        <f t="shared" si="6"/>
        <v>0</v>
      </c>
      <c r="O24" s="32">
        <f t="shared" si="6"/>
        <v>0</v>
      </c>
      <c r="P24" s="32">
        <f t="shared" si="7"/>
        <v>0</v>
      </c>
      <c r="Q24" s="32">
        <f t="shared" si="8"/>
        <v>0</v>
      </c>
      <c r="R24" s="32">
        <f t="shared" si="9"/>
        <v>0</v>
      </c>
      <c r="S24" s="32">
        <f t="shared" si="10"/>
        <v>0</v>
      </c>
      <c r="T24" s="32">
        <f t="shared" si="11"/>
        <v>0</v>
      </c>
      <c r="U24" s="32">
        <f t="shared" si="12"/>
        <v>0</v>
      </c>
    </row>
    <row r="25" spans="1:21" x14ac:dyDescent="0.25">
      <c r="A25" s="135">
        <v>46280.587418981479</v>
      </c>
      <c r="B25" s="136" t="s">
        <v>238</v>
      </c>
      <c r="C25" s="136" t="s">
        <v>249</v>
      </c>
      <c r="D25" s="136" t="s">
        <v>250</v>
      </c>
      <c r="E25" s="137">
        <v>1</v>
      </c>
      <c r="F25" s="136" t="s">
        <v>19</v>
      </c>
      <c r="G25" s="32">
        <f t="shared" si="0"/>
        <v>0</v>
      </c>
      <c r="H25" s="32">
        <f t="shared" si="0"/>
        <v>0</v>
      </c>
      <c r="I25" s="32">
        <f t="shared" si="1"/>
        <v>0</v>
      </c>
      <c r="J25" s="32">
        <f t="shared" si="2"/>
        <v>0</v>
      </c>
      <c r="K25" s="32">
        <f t="shared" si="3"/>
        <v>0</v>
      </c>
      <c r="L25" s="32">
        <f t="shared" si="4"/>
        <v>0</v>
      </c>
      <c r="M25" s="32">
        <f t="shared" si="5"/>
        <v>0</v>
      </c>
      <c r="N25" s="32">
        <f t="shared" si="6"/>
        <v>0</v>
      </c>
      <c r="O25" s="32">
        <f t="shared" si="6"/>
        <v>0</v>
      </c>
      <c r="P25" s="32">
        <f t="shared" si="7"/>
        <v>0</v>
      </c>
      <c r="Q25" s="32">
        <f t="shared" si="8"/>
        <v>0</v>
      </c>
      <c r="R25" s="32">
        <f t="shared" si="9"/>
        <v>0</v>
      </c>
      <c r="S25" s="32">
        <f t="shared" si="10"/>
        <v>0</v>
      </c>
      <c r="T25" s="32">
        <f t="shared" si="11"/>
        <v>0</v>
      </c>
      <c r="U25" s="32">
        <f t="shared" si="12"/>
        <v>0</v>
      </c>
    </row>
    <row r="26" spans="1:21" x14ac:dyDescent="0.25">
      <c r="A26" s="135">
        <v>46280.975497685184</v>
      </c>
      <c r="B26" s="136" t="s">
        <v>219</v>
      </c>
      <c r="C26" s="136" t="s">
        <v>207</v>
      </c>
      <c r="D26" s="136" t="s">
        <v>208</v>
      </c>
      <c r="E26" s="137">
        <v>1</v>
      </c>
      <c r="F26" s="136" t="s">
        <v>13</v>
      </c>
      <c r="G26" s="32">
        <f t="shared" si="0"/>
        <v>1</v>
      </c>
      <c r="H26" s="32">
        <f t="shared" si="0"/>
        <v>1</v>
      </c>
      <c r="I26" s="32">
        <f t="shared" si="1"/>
        <v>0</v>
      </c>
      <c r="J26" s="32">
        <f t="shared" si="2"/>
        <v>0</v>
      </c>
      <c r="K26" s="32">
        <f t="shared" si="3"/>
        <v>0</v>
      </c>
      <c r="L26" s="32">
        <f t="shared" si="4"/>
        <v>0</v>
      </c>
      <c r="M26" s="32">
        <f t="shared" si="5"/>
        <v>0</v>
      </c>
      <c r="N26" s="32">
        <f t="shared" si="6"/>
        <v>0</v>
      </c>
      <c r="O26" s="32">
        <f t="shared" si="6"/>
        <v>0</v>
      </c>
      <c r="P26" s="32">
        <f t="shared" si="7"/>
        <v>0</v>
      </c>
      <c r="Q26" s="32">
        <f t="shared" si="8"/>
        <v>0</v>
      </c>
      <c r="R26" s="32">
        <f t="shared" si="9"/>
        <v>0</v>
      </c>
      <c r="S26" s="32">
        <f t="shared" si="10"/>
        <v>0</v>
      </c>
      <c r="T26" s="32">
        <f t="shared" si="11"/>
        <v>0</v>
      </c>
      <c r="U26" s="32">
        <f t="shared" si="12"/>
        <v>0</v>
      </c>
    </row>
    <row r="27" spans="1:21" x14ac:dyDescent="0.25">
      <c r="A27" s="135">
        <v>46281.108680555553</v>
      </c>
      <c r="B27" s="136" t="s">
        <v>217</v>
      </c>
      <c r="C27" s="136" t="s">
        <v>232</v>
      </c>
      <c r="D27" s="136" t="s">
        <v>233</v>
      </c>
      <c r="E27" s="137">
        <v>1</v>
      </c>
      <c r="F27" s="136" t="s">
        <v>227</v>
      </c>
      <c r="G27" s="32">
        <f t="shared" si="0"/>
        <v>0</v>
      </c>
      <c r="H27" s="32">
        <f t="shared" si="0"/>
        <v>0</v>
      </c>
      <c r="I27" s="32">
        <f t="shared" si="1"/>
        <v>0</v>
      </c>
      <c r="J27" s="32">
        <f t="shared" si="2"/>
        <v>0</v>
      </c>
      <c r="K27" s="32">
        <f t="shared" si="3"/>
        <v>0</v>
      </c>
      <c r="L27" s="32">
        <f t="shared" si="4"/>
        <v>0</v>
      </c>
      <c r="M27" s="32">
        <f t="shared" si="5"/>
        <v>0</v>
      </c>
      <c r="N27" s="32">
        <f t="shared" si="6"/>
        <v>0</v>
      </c>
      <c r="O27" s="32">
        <f t="shared" si="6"/>
        <v>0</v>
      </c>
      <c r="P27" s="32">
        <f t="shared" si="7"/>
        <v>0</v>
      </c>
      <c r="Q27" s="32">
        <f t="shared" si="8"/>
        <v>0</v>
      </c>
      <c r="R27" s="32">
        <f t="shared" si="9"/>
        <v>0</v>
      </c>
      <c r="S27" s="32">
        <f t="shared" si="10"/>
        <v>0</v>
      </c>
      <c r="T27" s="32">
        <f t="shared" si="11"/>
        <v>0</v>
      </c>
      <c r="U27" s="32">
        <f t="shared" si="12"/>
        <v>0</v>
      </c>
    </row>
    <row r="28" spans="1:21" x14ac:dyDescent="0.25">
      <c r="A28" s="135">
        <v>46281.108831018515</v>
      </c>
      <c r="B28" s="136" t="s">
        <v>219</v>
      </c>
      <c r="C28" s="136" t="s">
        <v>232</v>
      </c>
      <c r="D28" s="136" t="s">
        <v>233</v>
      </c>
      <c r="E28" s="137">
        <v>1</v>
      </c>
      <c r="F28" s="136" t="s">
        <v>227</v>
      </c>
      <c r="G28" s="32">
        <f t="shared" si="0"/>
        <v>0</v>
      </c>
      <c r="H28" s="32">
        <f t="shared" si="0"/>
        <v>0</v>
      </c>
      <c r="I28" s="32">
        <f t="shared" si="1"/>
        <v>0</v>
      </c>
      <c r="J28" s="32">
        <f t="shared" si="2"/>
        <v>0</v>
      </c>
      <c r="K28" s="32">
        <f t="shared" si="3"/>
        <v>0</v>
      </c>
      <c r="L28" s="32">
        <f t="shared" si="4"/>
        <v>0</v>
      </c>
      <c r="M28" s="32">
        <f t="shared" si="5"/>
        <v>0</v>
      </c>
      <c r="N28" s="32">
        <f t="shared" si="6"/>
        <v>0</v>
      </c>
      <c r="O28" s="32">
        <f t="shared" si="6"/>
        <v>0</v>
      </c>
      <c r="P28" s="32">
        <f t="shared" si="7"/>
        <v>0</v>
      </c>
      <c r="Q28" s="32">
        <f t="shared" si="8"/>
        <v>0</v>
      </c>
      <c r="R28" s="32">
        <f t="shared" si="9"/>
        <v>0</v>
      </c>
      <c r="S28" s="32">
        <f t="shared" si="10"/>
        <v>0</v>
      </c>
      <c r="T28" s="32">
        <f t="shared" si="11"/>
        <v>0</v>
      </c>
      <c r="U28" s="32">
        <f t="shared" si="12"/>
        <v>0</v>
      </c>
    </row>
    <row r="29" spans="1:21" x14ac:dyDescent="0.25">
      <c r="A29" s="135">
        <v>46281.108993055554</v>
      </c>
      <c r="B29" s="136" t="s">
        <v>219</v>
      </c>
      <c r="C29" s="136" t="s">
        <v>232</v>
      </c>
      <c r="D29" s="136" t="s">
        <v>233</v>
      </c>
      <c r="E29" s="137">
        <v>1</v>
      </c>
      <c r="F29" s="136" t="s">
        <v>218</v>
      </c>
      <c r="G29" s="32">
        <f t="shared" si="0"/>
        <v>0</v>
      </c>
      <c r="H29" s="32">
        <f t="shared" si="0"/>
        <v>0</v>
      </c>
      <c r="I29" s="32">
        <f t="shared" si="1"/>
        <v>0</v>
      </c>
      <c r="J29" s="32">
        <f t="shared" si="2"/>
        <v>0</v>
      </c>
      <c r="K29" s="32">
        <f t="shared" si="3"/>
        <v>0</v>
      </c>
      <c r="L29" s="32">
        <f t="shared" si="4"/>
        <v>0</v>
      </c>
      <c r="M29" s="32">
        <f t="shared" si="5"/>
        <v>0</v>
      </c>
      <c r="N29" s="32">
        <f t="shared" si="6"/>
        <v>0</v>
      </c>
      <c r="O29" s="32">
        <f t="shared" si="6"/>
        <v>0</v>
      </c>
      <c r="P29" s="32">
        <f t="shared" si="7"/>
        <v>0</v>
      </c>
      <c r="Q29" s="32">
        <f t="shared" si="8"/>
        <v>0</v>
      </c>
      <c r="R29" s="32">
        <f t="shared" si="9"/>
        <v>0</v>
      </c>
      <c r="S29" s="32">
        <f t="shared" si="10"/>
        <v>0</v>
      </c>
      <c r="T29" s="32">
        <f t="shared" si="11"/>
        <v>0</v>
      </c>
      <c r="U29" s="32">
        <f t="shared" si="12"/>
        <v>0</v>
      </c>
    </row>
    <row r="30" spans="1:21" x14ac:dyDescent="0.25">
      <c r="A30" s="135">
        <v>46281.109236111108</v>
      </c>
      <c r="B30" s="136" t="s">
        <v>217</v>
      </c>
      <c r="C30" s="136" t="s">
        <v>232</v>
      </c>
      <c r="D30" s="136" t="s">
        <v>233</v>
      </c>
      <c r="E30" s="137">
        <v>1</v>
      </c>
      <c r="F30" s="136" t="s">
        <v>218</v>
      </c>
      <c r="G30" s="32">
        <f t="shared" si="0"/>
        <v>0</v>
      </c>
      <c r="H30" s="32">
        <f t="shared" si="0"/>
        <v>0</v>
      </c>
      <c r="I30" s="32">
        <f t="shared" si="1"/>
        <v>0</v>
      </c>
      <c r="J30" s="32">
        <f t="shared" si="2"/>
        <v>0</v>
      </c>
      <c r="K30" s="32">
        <f t="shared" si="3"/>
        <v>0</v>
      </c>
      <c r="L30" s="32">
        <f t="shared" si="4"/>
        <v>0</v>
      </c>
      <c r="M30" s="32">
        <f t="shared" si="5"/>
        <v>0</v>
      </c>
      <c r="N30" s="32">
        <f t="shared" si="6"/>
        <v>0</v>
      </c>
      <c r="O30" s="32">
        <f t="shared" si="6"/>
        <v>0</v>
      </c>
      <c r="P30" s="32">
        <f t="shared" si="7"/>
        <v>0</v>
      </c>
      <c r="Q30" s="32">
        <f t="shared" si="8"/>
        <v>0</v>
      </c>
      <c r="R30" s="32">
        <f t="shared" si="9"/>
        <v>0</v>
      </c>
      <c r="S30" s="32">
        <f t="shared" si="10"/>
        <v>0</v>
      </c>
      <c r="T30" s="32">
        <f t="shared" si="11"/>
        <v>0</v>
      </c>
      <c r="U30" s="32">
        <f t="shared" si="12"/>
        <v>0</v>
      </c>
    </row>
    <row r="31" spans="1:21" x14ac:dyDescent="0.25">
      <c r="A31" s="135">
        <v>46281.196226851855</v>
      </c>
      <c r="B31" s="136" t="s">
        <v>304</v>
      </c>
      <c r="C31" s="136" t="s">
        <v>30</v>
      </c>
      <c r="D31" s="136" t="s">
        <v>31</v>
      </c>
      <c r="E31" s="137">
        <v>1</v>
      </c>
      <c r="F31" s="136" t="s">
        <v>13</v>
      </c>
      <c r="G31" s="32">
        <f t="shared" si="0"/>
        <v>0</v>
      </c>
      <c r="H31" s="32">
        <f t="shared" si="0"/>
        <v>0</v>
      </c>
      <c r="I31" s="32">
        <f t="shared" si="1"/>
        <v>0</v>
      </c>
      <c r="J31" s="32">
        <f t="shared" si="2"/>
        <v>0</v>
      </c>
      <c r="K31" s="32">
        <f t="shared" si="3"/>
        <v>0</v>
      </c>
      <c r="L31" s="32">
        <f t="shared" si="4"/>
        <v>0</v>
      </c>
      <c r="M31" s="32">
        <f t="shared" si="5"/>
        <v>0</v>
      </c>
      <c r="N31" s="32">
        <f t="shared" si="6"/>
        <v>0</v>
      </c>
      <c r="O31" s="32">
        <f t="shared" si="6"/>
        <v>0</v>
      </c>
      <c r="P31" s="32">
        <f t="shared" si="7"/>
        <v>0</v>
      </c>
      <c r="Q31" s="32">
        <f t="shared" si="8"/>
        <v>0</v>
      </c>
      <c r="R31" s="32">
        <f t="shared" si="9"/>
        <v>0</v>
      </c>
      <c r="S31" s="32">
        <f t="shared" si="10"/>
        <v>0</v>
      </c>
      <c r="T31" s="32">
        <f t="shared" si="11"/>
        <v>0</v>
      </c>
      <c r="U31" s="32">
        <f t="shared" si="12"/>
        <v>0</v>
      </c>
    </row>
    <row r="32" spans="1:21" x14ac:dyDescent="0.25">
      <c r="A32" s="135">
        <v>46281.337569444448</v>
      </c>
      <c r="B32" s="136" t="s">
        <v>305</v>
      </c>
      <c r="C32" s="136" t="s">
        <v>249</v>
      </c>
      <c r="D32" s="136" t="s">
        <v>250</v>
      </c>
      <c r="E32" s="137">
        <v>1</v>
      </c>
      <c r="F32" s="136" t="s">
        <v>231</v>
      </c>
      <c r="G32" s="32">
        <f t="shared" si="0"/>
        <v>0</v>
      </c>
      <c r="H32" s="32">
        <f t="shared" si="0"/>
        <v>0</v>
      </c>
      <c r="I32" s="32">
        <f t="shared" si="1"/>
        <v>0</v>
      </c>
      <c r="J32" s="32">
        <f t="shared" si="2"/>
        <v>0</v>
      </c>
      <c r="K32" s="32">
        <f t="shared" si="3"/>
        <v>0</v>
      </c>
      <c r="L32" s="32">
        <f t="shared" si="4"/>
        <v>0</v>
      </c>
      <c r="M32" s="32">
        <f t="shared" si="5"/>
        <v>0</v>
      </c>
      <c r="N32" s="32">
        <f t="shared" si="6"/>
        <v>0</v>
      </c>
      <c r="O32" s="32">
        <f t="shared" si="6"/>
        <v>0</v>
      </c>
      <c r="P32" s="32">
        <f t="shared" si="7"/>
        <v>0</v>
      </c>
      <c r="Q32" s="32">
        <f t="shared" si="8"/>
        <v>0</v>
      </c>
      <c r="R32" s="32">
        <f t="shared" si="9"/>
        <v>0</v>
      </c>
      <c r="S32" s="32">
        <f t="shared" si="10"/>
        <v>0</v>
      </c>
      <c r="T32" s="32">
        <f t="shared" si="11"/>
        <v>0</v>
      </c>
      <c r="U32" s="32">
        <f t="shared" si="12"/>
        <v>0</v>
      </c>
    </row>
    <row r="33" spans="1:21" x14ac:dyDescent="0.25">
      <c r="A33" s="135">
        <v>46281.386111111111</v>
      </c>
      <c r="B33" s="136" t="s">
        <v>228</v>
      </c>
      <c r="C33" s="136" t="s">
        <v>223</v>
      </c>
      <c r="D33" s="136" t="s">
        <v>224</v>
      </c>
      <c r="E33" s="137">
        <v>1</v>
      </c>
      <c r="F33" s="136" t="s">
        <v>225</v>
      </c>
      <c r="G33" s="32">
        <f t="shared" si="0"/>
        <v>0</v>
      </c>
      <c r="H33" s="32">
        <f t="shared" si="0"/>
        <v>0</v>
      </c>
      <c r="I33" s="32">
        <f t="shared" si="1"/>
        <v>0</v>
      </c>
      <c r="J33" s="32">
        <f t="shared" si="2"/>
        <v>0</v>
      </c>
      <c r="K33" s="32">
        <f t="shared" si="3"/>
        <v>0</v>
      </c>
      <c r="L33" s="32">
        <f t="shared" si="4"/>
        <v>0</v>
      </c>
      <c r="M33" s="32">
        <f t="shared" si="5"/>
        <v>0</v>
      </c>
      <c r="N33" s="32">
        <f t="shared" si="6"/>
        <v>0</v>
      </c>
      <c r="O33" s="32">
        <f t="shared" si="6"/>
        <v>0</v>
      </c>
      <c r="P33" s="32">
        <f t="shared" si="7"/>
        <v>0</v>
      </c>
      <c r="Q33" s="32">
        <f t="shared" si="8"/>
        <v>0</v>
      </c>
      <c r="R33" s="32">
        <f t="shared" si="9"/>
        <v>0</v>
      </c>
      <c r="S33" s="32">
        <f t="shared" si="10"/>
        <v>0</v>
      </c>
      <c r="T33" s="32">
        <f t="shared" si="11"/>
        <v>0</v>
      </c>
      <c r="U33" s="32">
        <f t="shared" si="12"/>
        <v>0</v>
      </c>
    </row>
    <row r="34" spans="1:21" x14ac:dyDescent="0.25">
      <c r="A34" s="135">
        <v>46281.403124999997</v>
      </c>
      <c r="B34" s="136" t="s">
        <v>246</v>
      </c>
      <c r="C34" s="136" t="s">
        <v>249</v>
      </c>
      <c r="D34" s="136" t="s">
        <v>250</v>
      </c>
      <c r="E34" s="137">
        <v>1</v>
      </c>
      <c r="F34" s="136" t="s">
        <v>28</v>
      </c>
      <c r="G34" s="32">
        <f t="shared" si="0"/>
        <v>0</v>
      </c>
      <c r="H34" s="32">
        <f t="shared" si="0"/>
        <v>0</v>
      </c>
      <c r="I34" s="32">
        <f t="shared" si="1"/>
        <v>0</v>
      </c>
      <c r="J34" s="32">
        <f t="shared" si="2"/>
        <v>0</v>
      </c>
      <c r="K34" s="32">
        <f t="shared" si="3"/>
        <v>0</v>
      </c>
      <c r="L34" s="32">
        <f t="shared" si="4"/>
        <v>0</v>
      </c>
      <c r="M34" s="32">
        <f t="shared" si="5"/>
        <v>0</v>
      </c>
      <c r="N34" s="32">
        <f t="shared" si="6"/>
        <v>0</v>
      </c>
      <c r="O34" s="32">
        <f t="shared" si="6"/>
        <v>0</v>
      </c>
      <c r="P34" s="32">
        <f t="shared" si="7"/>
        <v>0</v>
      </c>
      <c r="Q34" s="32">
        <f t="shared" si="8"/>
        <v>0</v>
      </c>
      <c r="R34" s="32">
        <f t="shared" si="9"/>
        <v>0</v>
      </c>
      <c r="S34" s="32">
        <f t="shared" si="10"/>
        <v>0</v>
      </c>
      <c r="T34" s="32">
        <f t="shared" si="11"/>
        <v>0</v>
      </c>
      <c r="U34" s="32">
        <f t="shared" si="12"/>
        <v>0</v>
      </c>
    </row>
    <row r="35" spans="1:21" x14ac:dyDescent="0.25">
      <c r="A35" s="135">
        <v>46281.570462962962</v>
      </c>
      <c r="B35" s="136" t="s">
        <v>222</v>
      </c>
      <c r="C35" s="136" t="s">
        <v>249</v>
      </c>
      <c r="D35" s="136" t="s">
        <v>250</v>
      </c>
      <c r="E35" s="137">
        <v>1</v>
      </c>
      <c r="F35" s="136" t="s">
        <v>28</v>
      </c>
      <c r="G35" s="32">
        <f t="shared" si="0"/>
        <v>0</v>
      </c>
      <c r="H35" s="32">
        <f t="shared" si="0"/>
        <v>0</v>
      </c>
      <c r="I35" s="32">
        <f t="shared" si="1"/>
        <v>0</v>
      </c>
      <c r="J35" s="32">
        <f t="shared" si="2"/>
        <v>0</v>
      </c>
      <c r="K35" s="32">
        <f t="shared" si="3"/>
        <v>0</v>
      </c>
      <c r="L35" s="32">
        <f t="shared" si="4"/>
        <v>0</v>
      </c>
      <c r="M35" s="32">
        <f t="shared" si="5"/>
        <v>0</v>
      </c>
      <c r="N35" s="32">
        <f t="shared" si="6"/>
        <v>0</v>
      </c>
      <c r="O35" s="32">
        <f t="shared" si="6"/>
        <v>0</v>
      </c>
      <c r="P35" s="32">
        <f t="shared" si="7"/>
        <v>0</v>
      </c>
      <c r="Q35" s="32">
        <f t="shared" si="8"/>
        <v>0</v>
      </c>
      <c r="R35" s="32">
        <f t="shared" si="9"/>
        <v>0</v>
      </c>
      <c r="S35" s="32">
        <f t="shared" si="10"/>
        <v>0</v>
      </c>
      <c r="T35" s="32">
        <f t="shared" si="11"/>
        <v>0</v>
      </c>
      <c r="U35" s="32">
        <f t="shared" si="12"/>
        <v>0</v>
      </c>
    </row>
    <row r="36" spans="1:21" x14ac:dyDescent="0.25">
      <c r="A36" s="135">
        <v>46281.617881944447</v>
      </c>
      <c r="B36" s="136" t="s">
        <v>279</v>
      </c>
      <c r="C36" s="136" t="s">
        <v>249</v>
      </c>
      <c r="D36" s="136" t="s">
        <v>250</v>
      </c>
      <c r="E36" s="137">
        <v>4</v>
      </c>
      <c r="F36" s="136" t="s">
        <v>32</v>
      </c>
      <c r="G36" s="32">
        <f t="shared" si="0"/>
        <v>0</v>
      </c>
      <c r="H36" s="32">
        <f t="shared" si="0"/>
        <v>0</v>
      </c>
      <c r="I36" s="32">
        <f t="shared" si="1"/>
        <v>0</v>
      </c>
      <c r="J36" s="32">
        <f t="shared" si="2"/>
        <v>0</v>
      </c>
      <c r="K36" s="32">
        <f t="shared" si="3"/>
        <v>0</v>
      </c>
      <c r="L36" s="32">
        <f t="shared" si="4"/>
        <v>0</v>
      </c>
      <c r="M36" s="32">
        <f t="shared" si="5"/>
        <v>0</v>
      </c>
      <c r="N36" s="32">
        <f t="shared" si="6"/>
        <v>0</v>
      </c>
      <c r="O36" s="32">
        <f t="shared" si="6"/>
        <v>0</v>
      </c>
      <c r="P36" s="32">
        <f t="shared" si="7"/>
        <v>0</v>
      </c>
      <c r="Q36" s="32">
        <f t="shared" si="8"/>
        <v>0</v>
      </c>
      <c r="R36" s="32">
        <f t="shared" si="9"/>
        <v>0</v>
      </c>
      <c r="S36" s="32">
        <f t="shared" si="10"/>
        <v>0</v>
      </c>
      <c r="T36" s="32">
        <f t="shared" si="11"/>
        <v>0</v>
      </c>
      <c r="U36" s="32">
        <f t="shared" si="12"/>
        <v>0</v>
      </c>
    </row>
    <row r="37" spans="1:21" x14ac:dyDescent="0.25">
      <c r="A37" s="135">
        <v>46281.618460648147</v>
      </c>
      <c r="B37" s="136" t="s">
        <v>280</v>
      </c>
      <c r="C37" s="136" t="s">
        <v>249</v>
      </c>
      <c r="D37" s="136" t="s">
        <v>250</v>
      </c>
      <c r="E37" s="137">
        <v>2</v>
      </c>
      <c r="F37" s="136" t="s">
        <v>32</v>
      </c>
      <c r="G37" s="32">
        <f t="shared" si="0"/>
        <v>0</v>
      </c>
      <c r="H37" s="32">
        <f t="shared" si="0"/>
        <v>0</v>
      </c>
      <c r="I37" s="32">
        <f t="shared" si="1"/>
        <v>0</v>
      </c>
      <c r="J37" s="32">
        <f t="shared" si="2"/>
        <v>0</v>
      </c>
      <c r="K37" s="32">
        <f t="shared" si="3"/>
        <v>0</v>
      </c>
      <c r="L37" s="32">
        <f t="shared" si="4"/>
        <v>0</v>
      </c>
      <c r="M37" s="32">
        <f t="shared" si="5"/>
        <v>0</v>
      </c>
      <c r="N37" s="32">
        <f t="shared" si="6"/>
        <v>0</v>
      </c>
      <c r="O37" s="32">
        <f t="shared" si="6"/>
        <v>0</v>
      </c>
      <c r="P37" s="32">
        <f t="shared" si="7"/>
        <v>0</v>
      </c>
      <c r="Q37" s="32">
        <f t="shared" si="8"/>
        <v>0</v>
      </c>
      <c r="R37" s="32">
        <f t="shared" si="9"/>
        <v>0</v>
      </c>
      <c r="S37" s="32">
        <f t="shared" si="10"/>
        <v>0</v>
      </c>
      <c r="T37" s="32">
        <f t="shared" si="11"/>
        <v>0</v>
      </c>
      <c r="U37" s="32">
        <f t="shared" si="12"/>
        <v>0</v>
      </c>
    </row>
    <row r="38" spans="1:21" x14ac:dyDescent="0.25">
      <c r="A38" s="135">
        <v>46281.687557870369</v>
      </c>
      <c r="B38" s="136" t="s">
        <v>228</v>
      </c>
      <c r="C38" s="136" t="s">
        <v>223</v>
      </c>
      <c r="D38" s="136" t="s">
        <v>224</v>
      </c>
      <c r="E38" s="137">
        <v>1</v>
      </c>
      <c r="F38" s="136" t="s">
        <v>225</v>
      </c>
      <c r="G38" s="32">
        <f t="shared" si="0"/>
        <v>0</v>
      </c>
      <c r="H38" s="32">
        <f t="shared" si="0"/>
        <v>0</v>
      </c>
      <c r="I38" s="32">
        <f t="shared" si="1"/>
        <v>0</v>
      </c>
      <c r="J38" s="32">
        <f t="shared" si="2"/>
        <v>0</v>
      </c>
      <c r="K38" s="32">
        <f t="shared" si="3"/>
        <v>0</v>
      </c>
      <c r="L38" s="32">
        <f t="shared" si="4"/>
        <v>0</v>
      </c>
      <c r="M38" s="32">
        <f t="shared" si="5"/>
        <v>0</v>
      </c>
      <c r="N38" s="32">
        <f t="shared" si="6"/>
        <v>0</v>
      </c>
      <c r="O38" s="32">
        <f t="shared" si="6"/>
        <v>0</v>
      </c>
      <c r="P38" s="32">
        <f t="shared" si="7"/>
        <v>0</v>
      </c>
      <c r="Q38" s="32">
        <f t="shared" si="8"/>
        <v>0</v>
      </c>
      <c r="R38" s="32">
        <f t="shared" si="9"/>
        <v>0</v>
      </c>
      <c r="S38" s="32">
        <f t="shared" si="10"/>
        <v>0</v>
      </c>
      <c r="T38" s="32">
        <f t="shared" si="11"/>
        <v>0</v>
      </c>
      <c r="U38" s="32">
        <f t="shared" si="12"/>
        <v>0</v>
      </c>
    </row>
    <row r="39" spans="1:21" x14ac:dyDescent="0.25">
      <c r="A39" s="135">
        <v>46281.689317129632</v>
      </c>
      <c r="B39" s="136" t="s">
        <v>219</v>
      </c>
      <c r="C39" s="136" t="s">
        <v>223</v>
      </c>
      <c r="D39" s="136" t="s">
        <v>224</v>
      </c>
      <c r="E39" s="137">
        <v>1</v>
      </c>
      <c r="F39" s="136" t="s">
        <v>19</v>
      </c>
      <c r="G39" s="32">
        <f t="shared" si="0"/>
        <v>0</v>
      </c>
      <c r="H39" s="32">
        <f t="shared" si="0"/>
        <v>0</v>
      </c>
      <c r="I39" s="32">
        <f t="shared" si="1"/>
        <v>0</v>
      </c>
      <c r="J39" s="32">
        <f t="shared" si="2"/>
        <v>0</v>
      </c>
      <c r="K39" s="32">
        <f t="shared" si="3"/>
        <v>0</v>
      </c>
      <c r="L39" s="32">
        <f t="shared" si="4"/>
        <v>0</v>
      </c>
      <c r="M39" s="32">
        <f t="shared" si="5"/>
        <v>0</v>
      </c>
      <c r="N39" s="32">
        <f t="shared" si="6"/>
        <v>1</v>
      </c>
      <c r="O39" s="32">
        <f t="shared" si="6"/>
        <v>1</v>
      </c>
      <c r="P39" s="32">
        <f t="shared" si="7"/>
        <v>0</v>
      </c>
      <c r="Q39" s="32">
        <f t="shared" si="8"/>
        <v>0</v>
      </c>
      <c r="R39" s="32">
        <f t="shared" si="9"/>
        <v>0</v>
      </c>
      <c r="S39" s="32">
        <f t="shared" si="10"/>
        <v>0</v>
      </c>
      <c r="T39" s="32">
        <f t="shared" si="11"/>
        <v>0</v>
      </c>
      <c r="U39" s="32">
        <f t="shared" si="12"/>
        <v>0</v>
      </c>
    </row>
    <row r="40" spans="1:21" x14ac:dyDescent="0.25">
      <c r="A40" s="135">
        <v>46281.689675925925</v>
      </c>
      <c r="B40" s="136" t="s">
        <v>219</v>
      </c>
      <c r="C40" s="136" t="s">
        <v>223</v>
      </c>
      <c r="D40" s="136" t="s">
        <v>224</v>
      </c>
      <c r="E40" s="137">
        <v>1</v>
      </c>
      <c r="F40" s="136" t="s">
        <v>19</v>
      </c>
      <c r="G40" s="32">
        <f t="shared" si="0"/>
        <v>0</v>
      </c>
      <c r="H40" s="32">
        <f t="shared" si="0"/>
        <v>0</v>
      </c>
      <c r="I40" s="32">
        <f t="shared" si="1"/>
        <v>0</v>
      </c>
      <c r="J40" s="32">
        <f t="shared" si="2"/>
        <v>0</v>
      </c>
      <c r="K40" s="32">
        <f t="shared" si="3"/>
        <v>0</v>
      </c>
      <c r="L40" s="32">
        <f t="shared" si="4"/>
        <v>0</v>
      </c>
      <c r="M40" s="32">
        <f t="shared" si="5"/>
        <v>0</v>
      </c>
      <c r="N40" s="32">
        <f t="shared" si="6"/>
        <v>1</v>
      </c>
      <c r="O40" s="32">
        <f t="shared" si="6"/>
        <v>1</v>
      </c>
      <c r="P40" s="32">
        <f t="shared" si="7"/>
        <v>0</v>
      </c>
      <c r="Q40" s="32">
        <f t="shared" si="8"/>
        <v>0</v>
      </c>
      <c r="R40" s="32">
        <f t="shared" si="9"/>
        <v>0</v>
      </c>
      <c r="S40" s="32">
        <f t="shared" si="10"/>
        <v>0</v>
      </c>
      <c r="T40" s="32">
        <f t="shared" si="11"/>
        <v>0</v>
      </c>
      <c r="U40" s="32">
        <f t="shared" si="12"/>
        <v>0</v>
      </c>
    </row>
    <row r="41" spans="1:21" x14ac:dyDescent="0.25">
      <c r="A41" s="135">
        <v>46281.69023148148</v>
      </c>
      <c r="B41" s="136" t="s">
        <v>226</v>
      </c>
      <c r="C41" s="136" t="s">
        <v>223</v>
      </c>
      <c r="D41" s="136" t="s">
        <v>224</v>
      </c>
      <c r="E41" s="137">
        <v>1</v>
      </c>
      <c r="F41" s="136" t="s">
        <v>19</v>
      </c>
      <c r="G41" s="32">
        <f t="shared" si="0"/>
        <v>0</v>
      </c>
      <c r="H41" s="32">
        <f t="shared" si="0"/>
        <v>0</v>
      </c>
      <c r="I41" s="32">
        <f t="shared" si="1"/>
        <v>0</v>
      </c>
      <c r="J41" s="32">
        <f t="shared" si="2"/>
        <v>0</v>
      </c>
      <c r="K41" s="32">
        <f t="shared" si="3"/>
        <v>0</v>
      </c>
      <c r="L41" s="32">
        <f t="shared" si="4"/>
        <v>0</v>
      </c>
      <c r="M41" s="32">
        <f t="shared" si="5"/>
        <v>0</v>
      </c>
      <c r="N41" s="32">
        <f t="shared" si="6"/>
        <v>0</v>
      </c>
      <c r="O41" s="32">
        <f t="shared" si="6"/>
        <v>0</v>
      </c>
      <c r="P41" s="32">
        <f t="shared" si="7"/>
        <v>0</v>
      </c>
      <c r="Q41" s="32">
        <f t="shared" si="8"/>
        <v>0</v>
      </c>
      <c r="R41" s="32">
        <f t="shared" si="9"/>
        <v>1</v>
      </c>
      <c r="S41" s="32">
        <f t="shared" si="10"/>
        <v>2</v>
      </c>
      <c r="T41" s="32">
        <f t="shared" si="11"/>
        <v>0</v>
      </c>
      <c r="U41" s="32">
        <f t="shared" si="12"/>
        <v>0</v>
      </c>
    </row>
    <row r="42" spans="1:21" x14ac:dyDescent="0.25">
      <c r="A42" s="135">
        <v>46281.690462962964</v>
      </c>
      <c r="B42" s="136" t="s">
        <v>226</v>
      </c>
      <c r="C42" s="136" t="s">
        <v>223</v>
      </c>
      <c r="D42" s="136" t="s">
        <v>224</v>
      </c>
      <c r="E42" s="137">
        <v>1</v>
      </c>
      <c r="F42" s="136" t="s">
        <v>19</v>
      </c>
      <c r="G42" s="32">
        <f t="shared" si="0"/>
        <v>0</v>
      </c>
      <c r="H42" s="32">
        <f t="shared" si="0"/>
        <v>0</v>
      </c>
      <c r="I42" s="32">
        <f t="shared" si="1"/>
        <v>0</v>
      </c>
      <c r="J42" s="32">
        <f t="shared" si="2"/>
        <v>0</v>
      </c>
      <c r="K42" s="32">
        <f t="shared" si="3"/>
        <v>0</v>
      </c>
      <c r="L42" s="32">
        <f t="shared" si="4"/>
        <v>0</v>
      </c>
      <c r="M42" s="32">
        <f t="shared" si="5"/>
        <v>0</v>
      </c>
      <c r="N42" s="32">
        <f t="shared" si="6"/>
        <v>0</v>
      </c>
      <c r="O42" s="32">
        <f t="shared" si="6"/>
        <v>0</v>
      </c>
      <c r="P42" s="32">
        <f t="shared" si="7"/>
        <v>0</v>
      </c>
      <c r="Q42" s="32">
        <f t="shared" si="8"/>
        <v>0</v>
      </c>
      <c r="R42" s="32">
        <f t="shared" si="9"/>
        <v>1</v>
      </c>
      <c r="S42" s="32">
        <f t="shared" si="10"/>
        <v>2</v>
      </c>
      <c r="T42" s="32">
        <f t="shared" si="11"/>
        <v>0</v>
      </c>
      <c r="U42" s="32">
        <f t="shared" si="12"/>
        <v>0</v>
      </c>
    </row>
    <row r="43" spans="1:21" x14ac:dyDescent="0.25">
      <c r="A43" s="135">
        <v>46281.987372685187</v>
      </c>
      <c r="B43" s="136" t="s">
        <v>217</v>
      </c>
      <c r="C43" s="136" t="s">
        <v>232</v>
      </c>
      <c r="D43" s="136" t="s">
        <v>233</v>
      </c>
      <c r="E43" s="137">
        <v>1</v>
      </c>
      <c r="F43" s="136" t="s">
        <v>218</v>
      </c>
      <c r="G43" s="32">
        <f t="shared" si="0"/>
        <v>0</v>
      </c>
      <c r="H43" s="32">
        <f t="shared" si="0"/>
        <v>0</v>
      </c>
      <c r="I43" s="32">
        <f t="shared" si="1"/>
        <v>0</v>
      </c>
      <c r="J43" s="32">
        <f t="shared" si="2"/>
        <v>0</v>
      </c>
      <c r="K43" s="32">
        <f t="shared" si="3"/>
        <v>0</v>
      </c>
      <c r="L43" s="32">
        <f t="shared" si="4"/>
        <v>0</v>
      </c>
      <c r="M43" s="32">
        <f t="shared" si="5"/>
        <v>0</v>
      </c>
      <c r="N43" s="32">
        <f t="shared" si="6"/>
        <v>0</v>
      </c>
      <c r="O43" s="32">
        <f t="shared" si="6"/>
        <v>0</v>
      </c>
      <c r="P43" s="32">
        <f t="shared" si="7"/>
        <v>0</v>
      </c>
      <c r="Q43" s="32">
        <f t="shared" si="8"/>
        <v>0</v>
      </c>
      <c r="R43" s="32">
        <f t="shared" si="9"/>
        <v>0</v>
      </c>
      <c r="S43" s="32">
        <f t="shared" si="10"/>
        <v>0</v>
      </c>
      <c r="T43" s="32">
        <f t="shared" si="11"/>
        <v>0</v>
      </c>
      <c r="U43" s="32">
        <f t="shared" si="12"/>
        <v>0</v>
      </c>
    </row>
    <row r="44" spans="1:21" x14ac:dyDescent="0.25">
      <c r="A44" s="135">
        <v>46281.987511574072</v>
      </c>
      <c r="B44" s="136" t="s">
        <v>219</v>
      </c>
      <c r="C44" s="136" t="s">
        <v>232</v>
      </c>
      <c r="D44" s="136" t="s">
        <v>233</v>
      </c>
      <c r="E44" s="137">
        <v>1</v>
      </c>
      <c r="F44" s="136" t="s">
        <v>218</v>
      </c>
      <c r="G44" s="32">
        <f t="shared" si="0"/>
        <v>0</v>
      </c>
      <c r="H44" s="32">
        <f t="shared" si="0"/>
        <v>0</v>
      </c>
      <c r="I44" s="32">
        <f t="shared" si="1"/>
        <v>0</v>
      </c>
      <c r="J44" s="32">
        <f t="shared" si="2"/>
        <v>0</v>
      </c>
      <c r="K44" s="32">
        <f t="shared" si="3"/>
        <v>0</v>
      </c>
      <c r="L44" s="32">
        <f t="shared" si="4"/>
        <v>0</v>
      </c>
      <c r="M44" s="32">
        <f t="shared" si="5"/>
        <v>0</v>
      </c>
      <c r="N44" s="32">
        <f t="shared" si="6"/>
        <v>0</v>
      </c>
      <c r="O44" s="32">
        <f t="shared" si="6"/>
        <v>0</v>
      </c>
      <c r="P44" s="32">
        <f t="shared" si="7"/>
        <v>0</v>
      </c>
      <c r="Q44" s="32">
        <f t="shared" si="8"/>
        <v>0</v>
      </c>
      <c r="R44" s="32">
        <f t="shared" si="9"/>
        <v>0</v>
      </c>
      <c r="S44" s="32">
        <f t="shared" si="10"/>
        <v>0</v>
      </c>
      <c r="T44" s="32">
        <f t="shared" si="11"/>
        <v>0</v>
      </c>
      <c r="U44" s="32">
        <f t="shared" si="12"/>
        <v>0</v>
      </c>
    </row>
    <row r="45" spans="1:21" x14ac:dyDescent="0.25">
      <c r="A45" s="135">
        <v>46282.270127314812</v>
      </c>
      <c r="B45" s="136" t="s">
        <v>216</v>
      </c>
      <c r="C45" s="136" t="s">
        <v>244</v>
      </c>
      <c r="D45" s="136" t="s">
        <v>245</v>
      </c>
      <c r="E45" s="137">
        <v>1</v>
      </c>
      <c r="F45" s="136" t="s">
        <v>13</v>
      </c>
      <c r="G45" s="32">
        <f t="shared" si="0"/>
        <v>0</v>
      </c>
      <c r="H45" s="32">
        <f t="shared" si="0"/>
        <v>0</v>
      </c>
      <c r="I45" s="32">
        <f t="shared" si="1"/>
        <v>1</v>
      </c>
      <c r="J45" s="32">
        <f t="shared" si="2"/>
        <v>2</v>
      </c>
      <c r="K45" s="32">
        <f t="shared" si="3"/>
        <v>0</v>
      </c>
      <c r="L45" s="32">
        <f t="shared" si="4"/>
        <v>0</v>
      </c>
      <c r="M45" s="32">
        <f t="shared" si="5"/>
        <v>0</v>
      </c>
      <c r="N45" s="32">
        <f t="shared" si="6"/>
        <v>0</v>
      </c>
      <c r="O45" s="32">
        <f t="shared" si="6"/>
        <v>0</v>
      </c>
      <c r="P45" s="32">
        <f t="shared" si="7"/>
        <v>0</v>
      </c>
      <c r="Q45" s="32">
        <f t="shared" si="8"/>
        <v>0</v>
      </c>
      <c r="R45" s="32">
        <f t="shared" si="9"/>
        <v>0</v>
      </c>
      <c r="S45" s="32">
        <f t="shared" si="10"/>
        <v>0</v>
      </c>
      <c r="T45" s="32">
        <f t="shared" si="11"/>
        <v>0</v>
      </c>
      <c r="U45" s="32">
        <f t="shared" si="12"/>
        <v>0</v>
      </c>
    </row>
    <row r="46" spans="1:21" x14ac:dyDescent="0.25">
      <c r="A46" s="135">
        <v>46282.27034722222</v>
      </c>
      <c r="B46" s="136" t="s">
        <v>219</v>
      </c>
      <c r="C46" s="136" t="s">
        <v>244</v>
      </c>
      <c r="D46" s="136" t="s">
        <v>245</v>
      </c>
      <c r="E46" s="137">
        <v>1</v>
      </c>
      <c r="F46" s="136" t="s">
        <v>13</v>
      </c>
      <c r="G46" s="32">
        <f t="shared" si="0"/>
        <v>1</v>
      </c>
      <c r="H46" s="32">
        <f t="shared" si="0"/>
        <v>1</v>
      </c>
      <c r="I46" s="32">
        <f t="shared" si="1"/>
        <v>0</v>
      </c>
      <c r="J46" s="32">
        <f t="shared" si="2"/>
        <v>0</v>
      </c>
      <c r="K46" s="32">
        <f t="shared" si="3"/>
        <v>0</v>
      </c>
      <c r="L46" s="32">
        <f t="shared" si="4"/>
        <v>0</v>
      </c>
      <c r="M46" s="32">
        <f t="shared" si="5"/>
        <v>0</v>
      </c>
      <c r="N46" s="32">
        <f t="shared" si="6"/>
        <v>0</v>
      </c>
      <c r="O46" s="32">
        <f t="shared" si="6"/>
        <v>0</v>
      </c>
      <c r="P46" s="32">
        <f t="shared" si="7"/>
        <v>0</v>
      </c>
      <c r="Q46" s="32">
        <f t="shared" si="8"/>
        <v>0</v>
      </c>
      <c r="R46" s="32">
        <f t="shared" si="9"/>
        <v>0</v>
      </c>
      <c r="S46" s="32">
        <f t="shared" si="10"/>
        <v>0</v>
      </c>
      <c r="T46" s="32">
        <f t="shared" si="11"/>
        <v>0</v>
      </c>
      <c r="U46" s="32">
        <f t="shared" si="12"/>
        <v>0</v>
      </c>
    </row>
    <row r="47" spans="1:21" x14ac:dyDescent="0.25">
      <c r="A47" s="135">
        <v>46282.427222222221</v>
      </c>
      <c r="B47" s="136" t="s">
        <v>306</v>
      </c>
      <c r="C47" s="136" t="s">
        <v>307</v>
      </c>
      <c r="D47" s="136" t="s">
        <v>308</v>
      </c>
      <c r="E47" s="137">
        <v>1</v>
      </c>
      <c r="F47" s="136" t="s">
        <v>225</v>
      </c>
      <c r="G47" s="32">
        <f t="shared" si="0"/>
        <v>0</v>
      </c>
      <c r="H47" s="32">
        <f t="shared" si="0"/>
        <v>0</v>
      </c>
      <c r="I47" s="32">
        <f t="shared" si="1"/>
        <v>0</v>
      </c>
      <c r="J47" s="32">
        <f t="shared" si="2"/>
        <v>0</v>
      </c>
      <c r="K47" s="32">
        <f t="shared" si="3"/>
        <v>0</v>
      </c>
      <c r="L47" s="32">
        <f t="shared" si="4"/>
        <v>0</v>
      </c>
      <c r="M47" s="32">
        <f t="shared" si="5"/>
        <v>0</v>
      </c>
      <c r="N47" s="32">
        <f t="shared" si="6"/>
        <v>0</v>
      </c>
      <c r="O47" s="32">
        <f t="shared" si="6"/>
        <v>0</v>
      </c>
      <c r="P47" s="32">
        <f t="shared" si="7"/>
        <v>0</v>
      </c>
      <c r="Q47" s="32">
        <f t="shared" si="8"/>
        <v>0</v>
      </c>
      <c r="R47" s="32">
        <f t="shared" si="9"/>
        <v>0</v>
      </c>
      <c r="S47" s="32">
        <f t="shared" si="10"/>
        <v>0</v>
      </c>
      <c r="T47" s="32">
        <f t="shared" si="11"/>
        <v>0</v>
      </c>
      <c r="U47" s="32">
        <f t="shared" si="12"/>
        <v>0</v>
      </c>
    </row>
    <row r="48" spans="1:21" x14ac:dyDescent="0.25">
      <c r="A48" s="135">
        <v>46282.453113425923</v>
      </c>
      <c r="B48" s="136" t="s">
        <v>228</v>
      </c>
      <c r="C48" s="136" t="s">
        <v>249</v>
      </c>
      <c r="D48" s="136" t="s">
        <v>250</v>
      </c>
      <c r="E48" s="137">
        <v>1</v>
      </c>
      <c r="F48" s="136" t="s">
        <v>225</v>
      </c>
      <c r="G48" s="32">
        <f t="shared" si="0"/>
        <v>0</v>
      </c>
      <c r="H48" s="32">
        <f t="shared" si="0"/>
        <v>0</v>
      </c>
      <c r="I48" s="32">
        <f t="shared" si="1"/>
        <v>0</v>
      </c>
      <c r="J48" s="32">
        <f t="shared" si="2"/>
        <v>0</v>
      </c>
      <c r="K48" s="32">
        <f t="shared" si="3"/>
        <v>0</v>
      </c>
      <c r="L48" s="32">
        <f t="shared" si="4"/>
        <v>0</v>
      </c>
      <c r="M48" s="32">
        <f t="shared" si="5"/>
        <v>0</v>
      </c>
      <c r="N48" s="32">
        <f t="shared" si="6"/>
        <v>0</v>
      </c>
      <c r="O48" s="32">
        <f t="shared" si="6"/>
        <v>0</v>
      </c>
      <c r="P48" s="32">
        <f t="shared" si="7"/>
        <v>0</v>
      </c>
      <c r="Q48" s="32">
        <f t="shared" si="8"/>
        <v>0</v>
      </c>
      <c r="R48" s="32">
        <f t="shared" si="9"/>
        <v>0</v>
      </c>
      <c r="S48" s="32">
        <f t="shared" si="10"/>
        <v>0</v>
      </c>
      <c r="T48" s="32">
        <f t="shared" si="11"/>
        <v>0</v>
      </c>
      <c r="U48" s="32">
        <f t="shared" si="12"/>
        <v>0</v>
      </c>
    </row>
    <row r="49" spans="1:21" x14ac:dyDescent="0.25">
      <c r="A49" s="135">
        <v>46282.457696759258</v>
      </c>
      <c r="B49" s="136" t="s">
        <v>276</v>
      </c>
      <c r="C49" s="136" t="s">
        <v>249</v>
      </c>
      <c r="D49" s="136" t="s">
        <v>250</v>
      </c>
      <c r="E49" s="137">
        <v>2</v>
      </c>
      <c r="F49" s="136" t="s">
        <v>28</v>
      </c>
      <c r="G49" s="32">
        <f t="shared" si="0"/>
        <v>0</v>
      </c>
      <c r="H49" s="32">
        <f t="shared" si="0"/>
        <v>0</v>
      </c>
      <c r="I49" s="32">
        <f t="shared" si="1"/>
        <v>0</v>
      </c>
      <c r="J49" s="32">
        <f t="shared" si="2"/>
        <v>0</v>
      </c>
      <c r="K49" s="32">
        <f t="shared" si="3"/>
        <v>0</v>
      </c>
      <c r="L49" s="32">
        <f t="shared" si="4"/>
        <v>0</v>
      </c>
      <c r="M49" s="32">
        <f t="shared" si="5"/>
        <v>0</v>
      </c>
      <c r="N49" s="32">
        <f t="shared" si="6"/>
        <v>0</v>
      </c>
      <c r="O49" s="32">
        <f t="shared" si="6"/>
        <v>0</v>
      </c>
      <c r="P49" s="32">
        <f t="shared" si="7"/>
        <v>0</v>
      </c>
      <c r="Q49" s="32">
        <f t="shared" si="8"/>
        <v>0</v>
      </c>
      <c r="R49" s="32">
        <f t="shared" si="9"/>
        <v>0</v>
      </c>
      <c r="S49" s="32">
        <f t="shared" si="10"/>
        <v>0</v>
      </c>
      <c r="T49" s="32">
        <f t="shared" si="11"/>
        <v>0</v>
      </c>
      <c r="U49" s="32">
        <f t="shared" si="12"/>
        <v>0</v>
      </c>
    </row>
    <row r="50" spans="1:21" x14ac:dyDescent="0.25">
      <c r="A50" s="135">
        <v>46282.465856481482</v>
      </c>
      <c r="B50" s="136" t="s">
        <v>222</v>
      </c>
      <c r="C50" s="136" t="s">
        <v>249</v>
      </c>
      <c r="D50" s="136" t="s">
        <v>250</v>
      </c>
      <c r="E50" s="137">
        <v>1</v>
      </c>
      <c r="F50" s="136" t="s">
        <v>19</v>
      </c>
      <c r="G50" s="32">
        <f t="shared" si="0"/>
        <v>0</v>
      </c>
      <c r="H50" s="32">
        <f t="shared" si="0"/>
        <v>0</v>
      </c>
      <c r="I50" s="32">
        <f t="shared" si="1"/>
        <v>0</v>
      </c>
      <c r="J50" s="32">
        <f t="shared" si="2"/>
        <v>0</v>
      </c>
      <c r="K50" s="32">
        <f t="shared" si="3"/>
        <v>0</v>
      </c>
      <c r="L50" s="32">
        <f t="shared" si="4"/>
        <v>0</v>
      </c>
      <c r="M50" s="32">
        <f t="shared" si="5"/>
        <v>0</v>
      </c>
      <c r="N50" s="32">
        <f t="shared" si="6"/>
        <v>0</v>
      </c>
      <c r="O50" s="32">
        <f t="shared" si="6"/>
        <v>0</v>
      </c>
      <c r="P50" s="32">
        <f t="shared" si="7"/>
        <v>0</v>
      </c>
      <c r="Q50" s="32">
        <f t="shared" si="8"/>
        <v>0</v>
      </c>
      <c r="R50" s="32">
        <f t="shared" si="9"/>
        <v>0</v>
      </c>
      <c r="S50" s="32">
        <f t="shared" si="10"/>
        <v>0</v>
      </c>
      <c r="T50" s="32">
        <f t="shared" si="11"/>
        <v>0</v>
      </c>
      <c r="U50" s="32">
        <f t="shared" si="12"/>
        <v>0</v>
      </c>
    </row>
    <row r="51" spans="1:21" x14ac:dyDescent="0.25">
      <c r="A51" s="135">
        <v>46282.466643518521</v>
      </c>
      <c r="B51" s="136" t="s">
        <v>251</v>
      </c>
      <c r="C51" s="136" t="s">
        <v>249</v>
      </c>
      <c r="D51" s="136" t="s">
        <v>250</v>
      </c>
      <c r="E51" s="137">
        <v>1</v>
      </c>
      <c r="F51" s="136" t="s">
        <v>19</v>
      </c>
      <c r="G51" s="32">
        <f t="shared" si="0"/>
        <v>0</v>
      </c>
      <c r="H51" s="32">
        <f t="shared" si="0"/>
        <v>0</v>
      </c>
      <c r="I51" s="32">
        <f t="shared" si="1"/>
        <v>0</v>
      </c>
      <c r="J51" s="32">
        <f t="shared" si="2"/>
        <v>0</v>
      </c>
      <c r="K51" s="32">
        <f t="shared" si="3"/>
        <v>0</v>
      </c>
      <c r="L51" s="32">
        <f t="shared" si="4"/>
        <v>0</v>
      </c>
      <c r="M51" s="32">
        <f t="shared" si="5"/>
        <v>0</v>
      </c>
      <c r="N51" s="32">
        <f t="shared" si="6"/>
        <v>0</v>
      </c>
      <c r="O51" s="32">
        <f t="shared" si="6"/>
        <v>0</v>
      </c>
      <c r="P51" s="32">
        <f t="shared" si="7"/>
        <v>0</v>
      </c>
      <c r="Q51" s="32">
        <f t="shared" si="8"/>
        <v>0</v>
      </c>
      <c r="R51" s="32">
        <f t="shared" si="9"/>
        <v>0</v>
      </c>
      <c r="S51" s="32">
        <f t="shared" si="10"/>
        <v>0</v>
      </c>
      <c r="T51" s="32">
        <f t="shared" si="11"/>
        <v>0</v>
      </c>
      <c r="U51" s="32">
        <f t="shared" si="12"/>
        <v>0</v>
      </c>
    </row>
    <row r="52" spans="1:21" x14ac:dyDescent="0.25">
      <c r="A52" s="135">
        <v>46282.48914351852</v>
      </c>
      <c r="B52" s="136" t="s">
        <v>228</v>
      </c>
      <c r="C52" s="136" t="s">
        <v>223</v>
      </c>
      <c r="D52" s="136" t="s">
        <v>224</v>
      </c>
      <c r="E52" s="137">
        <v>1</v>
      </c>
      <c r="F52" s="136" t="s">
        <v>225</v>
      </c>
      <c r="G52" s="32">
        <f t="shared" si="0"/>
        <v>0</v>
      </c>
      <c r="H52" s="32">
        <f t="shared" si="0"/>
        <v>0</v>
      </c>
      <c r="I52" s="32">
        <f t="shared" si="1"/>
        <v>0</v>
      </c>
      <c r="J52" s="32">
        <f t="shared" si="2"/>
        <v>0</v>
      </c>
      <c r="K52" s="32">
        <f t="shared" si="3"/>
        <v>0</v>
      </c>
      <c r="L52" s="32">
        <f t="shared" si="4"/>
        <v>0</v>
      </c>
      <c r="M52" s="32">
        <f t="shared" si="5"/>
        <v>0</v>
      </c>
      <c r="N52" s="32">
        <f t="shared" si="6"/>
        <v>0</v>
      </c>
      <c r="O52" s="32">
        <f t="shared" si="6"/>
        <v>0</v>
      </c>
      <c r="P52" s="32">
        <f t="shared" si="7"/>
        <v>0</v>
      </c>
      <c r="Q52" s="32">
        <f t="shared" si="8"/>
        <v>0</v>
      </c>
      <c r="R52" s="32">
        <f t="shared" si="9"/>
        <v>0</v>
      </c>
      <c r="S52" s="32">
        <f t="shared" si="10"/>
        <v>0</v>
      </c>
      <c r="T52" s="32">
        <f t="shared" si="11"/>
        <v>0</v>
      </c>
      <c r="U52" s="32">
        <f t="shared" si="12"/>
        <v>0</v>
      </c>
    </row>
    <row r="53" spans="1:21" x14ac:dyDescent="0.25">
      <c r="A53" s="135">
        <v>46282.568738425929</v>
      </c>
      <c r="B53" s="136" t="s">
        <v>309</v>
      </c>
      <c r="C53" s="136" t="s">
        <v>249</v>
      </c>
      <c r="D53" s="136" t="s">
        <v>250</v>
      </c>
      <c r="E53" s="137">
        <v>1</v>
      </c>
      <c r="F53" s="136" t="s">
        <v>310</v>
      </c>
      <c r="G53" s="32">
        <f t="shared" si="0"/>
        <v>0</v>
      </c>
      <c r="H53" s="32">
        <f t="shared" si="0"/>
        <v>0</v>
      </c>
      <c r="I53" s="32">
        <f t="shared" si="1"/>
        <v>0</v>
      </c>
      <c r="J53" s="32">
        <f t="shared" si="2"/>
        <v>0</v>
      </c>
      <c r="K53" s="32">
        <f t="shared" si="3"/>
        <v>0</v>
      </c>
      <c r="L53" s="32">
        <f t="shared" si="4"/>
        <v>0</v>
      </c>
      <c r="M53" s="32">
        <f t="shared" si="5"/>
        <v>0</v>
      </c>
      <c r="N53" s="32">
        <f t="shared" si="6"/>
        <v>0</v>
      </c>
      <c r="O53" s="32">
        <f t="shared" si="6"/>
        <v>0</v>
      </c>
      <c r="P53" s="32">
        <f t="shared" si="7"/>
        <v>0</v>
      </c>
      <c r="Q53" s="32">
        <f t="shared" si="8"/>
        <v>0</v>
      </c>
      <c r="R53" s="32">
        <f t="shared" si="9"/>
        <v>0</v>
      </c>
      <c r="S53" s="32">
        <f t="shared" si="10"/>
        <v>0</v>
      </c>
      <c r="T53" s="32">
        <f t="shared" si="11"/>
        <v>0</v>
      </c>
      <c r="U53" s="32">
        <f t="shared" si="12"/>
        <v>0</v>
      </c>
    </row>
    <row r="54" spans="1:21" x14ac:dyDescent="0.25">
      <c r="A54" s="135">
        <v>46282.569074074076</v>
      </c>
      <c r="B54" s="136" t="s">
        <v>309</v>
      </c>
      <c r="C54" s="136" t="s">
        <v>249</v>
      </c>
      <c r="D54" s="136" t="s">
        <v>250</v>
      </c>
      <c r="E54" s="137">
        <v>-1</v>
      </c>
      <c r="F54" s="136" t="s">
        <v>310</v>
      </c>
      <c r="G54" s="32">
        <f t="shared" si="0"/>
        <v>0</v>
      </c>
      <c r="H54" s="32">
        <f t="shared" si="0"/>
        <v>0</v>
      </c>
      <c r="I54" s="32">
        <f t="shared" si="1"/>
        <v>0</v>
      </c>
      <c r="J54" s="32">
        <f t="shared" si="2"/>
        <v>0</v>
      </c>
      <c r="K54" s="32">
        <f t="shared" si="3"/>
        <v>0</v>
      </c>
      <c r="L54" s="32">
        <f t="shared" si="4"/>
        <v>0</v>
      </c>
      <c r="M54" s="32">
        <f t="shared" si="5"/>
        <v>0</v>
      </c>
      <c r="N54" s="32">
        <f t="shared" si="6"/>
        <v>0</v>
      </c>
      <c r="O54" s="32">
        <f t="shared" si="6"/>
        <v>0</v>
      </c>
      <c r="P54" s="32">
        <f t="shared" si="7"/>
        <v>0</v>
      </c>
      <c r="Q54" s="32">
        <f t="shared" si="8"/>
        <v>0</v>
      </c>
      <c r="R54" s="32">
        <f t="shared" si="9"/>
        <v>0</v>
      </c>
      <c r="S54" s="32">
        <f t="shared" si="10"/>
        <v>0</v>
      </c>
      <c r="T54" s="32">
        <f t="shared" si="11"/>
        <v>0</v>
      </c>
      <c r="U54" s="32">
        <f t="shared" si="12"/>
        <v>0</v>
      </c>
    </row>
    <row r="55" spans="1:21" x14ac:dyDescent="0.25">
      <c r="A55" s="135">
        <v>46282.905844907407</v>
      </c>
      <c r="B55" s="136" t="s">
        <v>216</v>
      </c>
      <c r="C55" s="136" t="s">
        <v>30</v>
      </c>
      <c r="D55" s="136" t="s">
        <v>31</v>
      </c>
      <c r="E55" s="137">
        <v>1</v>
      </c>
      <c r="F55" s="136" t="s">
        <v>28</v>
      </c>
      <c r="G55" s="32">
        <f t="shared" si="0"/>
        <v>0</v>
      </c>
      <c r="H55" s="32">
        <f t="shared" si="0"/>
        <v>0</v>
      </c>
      <c r="I55" s="32">
        <f t="shared" si="1"/>
        <v>0</v>
      </c>
      <c r="J55" s="32">
        <f t="shared" si="2"/>
        <v>0</v>
      </c>
      <c r="K55" s="32">
        <f t="shared" si="3"/>
        <v>0</v>
      </c>
      <c r="L55" s="32">
        <f t="shared" si="4"/>
        <v>0</v>
      </c>
      <c r="M55" s="32">
        <f t="shared" si="5"/>
        <v>0</v>
      </c>
      <c r="N55" s="32">
        <f t="shared" si="6"/>
        <v>0</v>
      </c>
      <c r="O55" s="32">
        <f t="shared" si="6"/>
        <v>0</v>
      </c>
      <c r="P55" s="32">
        <f t="shared" si="7"/>
        <v>0</v>
      </c>
      <c r="Q55" s="32">
        <f t="shared" si="8"/>
        <v>0</v>
      </c>
      <c r="R55" s="32">
        <f t="shared" si="9"/>
        <v>0</v>
      </c>
      <c r="S55" s="32">
        <f t="shared" si="10"/>
        <v>0</v>
      </c>
      <c r="T55" s="32">
        <f t="shared" si="11"/>
        <v>1</v>
      </c>
      <c r="U55" s="32">
        <f t="shared" si="12"/>
        <v>2</v>
      </c>
    </row>
    <row r="56" spans="1:21" x14ac:dyDescent="0.25">
      <c r="A56" s="135">
        <v>46283.324861111112</v>
      </c>
      <c r="B56" s="136" t="s">
        <v>217</v>
      </c>
      <c r="C56" s="136" t="s">
        <v>311</v>
      </c>
      <c r="D56" s="136" t="s">
        <v>312</v>
      </c>
      <c r="E56" s="137">
        <v>1</v>
      </c>
      <c r="F56" s="136" t="s">
        <v>218</v>
      </c>
      <c r="G56" s="32">
        <f t="shared" si="0"/>
        <v>0</v>
      </c>
      <c r="H56" s="32">
        <f t="shared" si="0"/>
        <v>0</v>
      </c>
      <c r="I56" s="32">
        <f t="shared" si="1"/>
        <v>0</v>
      </c>
      <c r="J56" s="32">
        <f t="shared" si="2"/>
        <v>0</v>
      </c>
      <c r="K56" s="32">
        <f t="shared" si="3"/>
        <v>0</v>
      </c>
      <c r="L56" s="32">
        <f t="shared" si="4"/>
        <v>0</v>
      </c>
      <c r="M56" s="32">
        <f t="shared" si="5"/>
        <v>0</v>
      </c>
      <c r="N56" s="32">
        <f t="shared" si="6"/>
        <v>0</v>
      </c>
      <c r="O56" s="32">
        <f t="shared" si="6"/>
        <v>0</v>
      </c>
      <c r="P56" s="32">
        <f t="shared" si="7"/>
        <v>0</v>
      </c>
      <c r="Q56" s="32">
        <f t="shared" si="8"/>
        <v>0</v>
      </c>
      <c r="R56" s="32">
        <f t="shared" si="9"/>
        <v>0</v>
      </c>
      <c r="S56" s="32">
        <f t="shared" si="10"/>
        <v>0</v>
      </c>
      <c r="T56" s="32">
        <f t="shared" si="11"/>
        <v>0</v>
      </c>
      <c r="U56" s="32">
        <f t="shared" si="12"/>
        <v>0</v>
      </c>
    </row>
    <row r="57" spans="1:21" x14ac:dyDescent="0.25">
      <c r="A57" s="135">
        <v>46283.325150462966</v>
      </c>
      <c r="B57" s="136" t="s">
        <v>217</v>
      </c>
      <c r="C57" s="136" t="s">
        <v>311</v>
      </c>
      <c r="D57" s="136" t="s">
        <v>312</v>
      </c>
      <c r="E57" s="137">
        <v>1</v>
      </c>
      <c r="F57" s="136" t="s">
        <v>218</v>
      </c>
      <c r="G57" s="32">
        <f t="shared" si="0"/>
        <v>0</v>
      </c>
      <c r="H57" s="32">
        <f t="shared" si="0"/>
        <v>0</v>
      </c>
      <c r="I57" s="32">
        <f t="shared" si="1"/>
        <v>0</v>
      </c>
      <c r="J57" s="32">
        <f t="shared" si="2"/>
        <v>0</v>
      </c>
      <c r="K57" s="32">
        <f t="shared" si="3"/>
        <v>0</v>
      </c>
      <c r="L57" s="32">
        <f t="shared" si="4"/>
        <v>0</v>
      </c>
      <c r="M57" s="32">
        <f t="shared" si="5"/>
        <v>0</v>
      </c>
      <c r="N57" s="32">
        <f t="shared" si="6"/>
        <v>0</v>
      </c>
      <c r="O57" s="32">
        <f t="shared" si="6"/>
        <v>0</v>
      </c>
      <c r="P57" s="32">
        <f t="shared" si="7"/>
        <v>0</v>
      </c>
      <c r="Q57" s="32">
        <f t="shared" si="8"/>
        <v>0</v>
      </c>
      <c r="R57" s="32">
        <f t="shared" si="9"/>
        <v>0</v>
      </c>
      <c r="S57" s="32">
        <f t="shared" si="10"/>
        <v>0</v>
      </c>
      <c r="T57" s="32">
        <f t="shared" si="11"/>
        <v>0</v>
      </c>
      <c r="U57" s="32">
        <f t="shared" si="12"/>
        <v>0</v>
      </c>
    </row>
    <row r="58" spans="1:21" x14ac:dyDescent="0.25">
      <c r="A58" s="135">
        <v>46283.380289351851</v>
      </c>
      <c r="B58" s="136" t="s">
        <v>217</v>
      </c>
      <c r="C58" s="136" t="s">
        <v>292</v>
      </c>
      <c r="D58" s="136" t="s">
        <v>293</v>
      </c>
      <c r="E58" s="137">
        <v>1</v>
      </c>
      <c r="F58" s="136" t="s">
        <v>227</v>
      </c>
      <c r="G58" s="32">
        <f t="shared" si="0"/>
        <v>0</v>
      </c>
      <c r="H58" s="32">
        <f t="shared" si="0"/>
        <v>0</v>
      </c>
      <c r="I58" s="32">
        <f t="shared" si="1"/>
        <v>0</v>
      </c>
      <c r="J58" s="32">
        <f t="shared" si="2"/>
        <v>0</v>
      </c>
      <c r="K58" s="32">
        <f t="shared" si="3"/>
        <v>0</v>
      </c>
      <c r="L58" s="32">
        <f t="shared" si="4"/>
        <v>0</v>
      </c>
      <c r="M58" s="32">
        <f t="shared" si="5"/>
        <v>0</v>
      </c>
      <c r="N58" s="32">
        <f t="shared" si="6"/>
        <v>0</v>
      </c>
      <c r="O58" s="32">
        <f t="shared" si="6"/>
        <v>0</v>
      </c>
      <c r="P58" s="32">
        <f t="shared" si="7"/>
        <v>0</v>
      </c>
      <c r="Q58" s="32">
        <f t="shared" si="8"/>
        <v>0</v>
      </c>
      <c r="R58" s="32">
        <f t="shared" si="9"/>
        <v>0</v>
      </c>
      <c r="S58" s="32">
        <f t="shared" si="10"/>
        <v>0</v>
      </c>
      <c r="T58" s="32">
        <f t="shared" si="11"/>
        <v>0</v>
      </c>
      <c r="U58" s="32">
        <f t="shared" si="12"/>
        <v>0</v>
      </c>
    </row>
    <row r="59" spans="1:21" x14ac:dyDescent="0.25">
      <c r="A59" s="135">
        <v>46283.494155092594</v>
      </c>
      <c r="B59" s="136" t="s">
        <v>313</v>
      </c>
      <c r="C59" s="136" t="s">
        <v>249</v>
      </c>
      <c r="D59" s="136" t="s">
        <v>250</v>
      </c>
      <c r="E59" s="137">
        <v>1</v>
      </c>
      <c r="F59" s="136" t="s">
        <v>225</v>
      </c>
      <c r="G59" s="32">
        <f t="shared" si="0"/>
        <v>0</v>
      </c>
      <c r="H59" s="32">
        <f t="shared" si="0"/>
        <v>0</v>
      </c>
      <c r="I59" s="32">
        <f t="shared" si="1"/>
        <v>0</v>
      </c>
      <c r="J59" s="32">
        <f t="shared" si="2"/>
        <v>0</v>
      </c>
      <c r="K59" s="32">
        <f t="shared" si="3"/>
        <v>0</v>
      </c>
      <c r="L59" s="32">
        <f t="shared" si="4"/>
        <v>0</v>
      </c>
      <c r="M59" s="32">
        <f t="shared" si="5"/>
        <v>0</v>
      </c>
      <c r="N59" s="32">
        <f t="shared" si="6"/>
        <v>0</v>
      </c>
      <c r="O59" s="32">
        <f t="shared" si="6"/>
        <v>0</v>
      </c>
      <c r="P59" s="32">
        <f t="shared" si="7"/>
        <v>0</v>
      </c>
      <c r="Q59" s="32">
        <f t="shared" si="8"/>
        <v>0</v>
      </c>
      <c r="R59" s="32">
        <f t="shared" si="9"/>
        <v>0</v>
      </c>
      <c r="S59" s="32">
        <f t="shared" si="10"/>
        <v>0</v>
      </c>
      <c r="T59" s="32">
        <f t="shared" si="11"/>
        <v>0</v>
      </c>
      <c r="U59" s="32">
        <f t="shared" si="12"/>
        <v>0</v>
      </c>
    </row>
    <row r="60" spans="1:21" x14ac:dyDescent="0.25">
      <c r="A60" s="135">
        <v>46283.49658564815</v>
      </c>
      <c r="B60" s="136" t="s">
        <v>228</v>
      </c>
      <c r="C60" s="136" t="s">
        <v>249</v>
      </c>
      <c r="D60" s="136" t="s">
        <v>250</v>
      </c>
      <c r="E60" s="137">
        <v>1</v>
      </c>
      <c r="F60" s="136" t="s">
        <v>225</v>
      </c>
      <c r="G60" s="32">
        <f t="shared" si="0"/>
        <v>0</v>
      </c>
      <c r="H60" s="32">
        <f t="shared" si="0"/>
        <v>0</v>
      </c>
      <c r="I60" s="32">
        <f t="shared" si="1"/>
        <v>0</v>
      </c>
      <c r="J60" s="32">
        <f t="shared" si="2"/>
        <v>0</v>
      </c>
      <c r="K60" s="32">
        <f t="shared" si="3"/>
        <v>0</v>
      </c>
      <c r="L60" s="32">
        <f t="shared" si="4"/>
        <v>0</v>
      </c>
      <c r="M60" s="32">
        <f t="shared" si="5"/>
        <v>0</v>
      </c>
      <c r="N60" s="32">
        <f t="shared" si="6"/>
        <v>0</v>
      </c>
      <c r="O60" s="32">
        <f t="shared" si="6"/>
        <v>0</v>
      </c>
      <c r="P60" s="32">
        <f t="shared" si="7"/>
        <v>0</v>
      </c>
      <c r="Q60" s="32">
        <f t="shared" si="8"/>
        <v>0</v>
      </c>
      <c r="R60" s="32">
        <f t="shared" si="9"/>
        <v>0</v>
      </c>
      <c r="S60" s="32">
        <f t="shared" si="10"/>
        <v>0</v>
      </c>
      <c r="T60" s="32">
        <f t="shared" si="11"/>
        <v>0</v>
      </c>
      <c r="U60" s="32">
        <f t="shared" si="12"/>
        <v>0</v>
      </c>
    </row>
    <row r="61" spans="1:21" x14ac:dyDescent="0.25">
      <c r="A61" s="135">
        <v>46283.575439814813</v>
      </c>
      <c r="B61" s="136" t="s">
        <v>251</v>
      </c>
      <c r="C61" s="136" t="s">
        <v>249</v>
      </c>
      <c r="D61" s="136" t="s">
        <v>250</v>
      </c>
      <c r="E61" s="137">
        <v>1</v>
      </c>
      <c r="F61" s="136" t="s">
        <v>19</v>
      </c>
      <c r="G61" s="32">
        <f t="shared" si="0"/>
        <v>0</v>
      </c>
      <c r="H61" s="32">
        <f t="shared" si="0"/>
        <v>0</v>
      </c>
      <c r="I61" s="32">
        <f t="shared" si="1"/>
        <v>0</v>
      </c>
      <c r="J61" s="32">
        <f t="shared" si="2"/>
        <v>0</v>
      </c>
      <c r="K61" s="32">
        <f t="shared" si="3"/>
        <v>0</v>
      </c>
      <c r="L61" s="32">
        <f t="shared" si="4"/>
        <v>0</v>
      </c>
      <c r="M61" s="32">
        <f t="shared" si="5"/>
        <v>0</v>
      </c>
      <c r="N61" s="32">
        <f t="shared" si="6"/>
        <v>0</v>
      </c>
      <c r="O61" s="32">
        <f t="shared" si="6"/>
        <v>0</v>
      </c>
      <c r="P61" s="32">
        <f t="shared" si="7"/>
        <v>0</v>
      </c>
      <c r="Q61" s="32">
        <f t="shared" si="8"/>
        <v>0</v>
      </c>
      <c r="R61" s="32">
        <f t="shared" si="9"/>
        <v>0</v>
      </c>
      <c r="S61" s="32">
        <f t="shared" si="10"/>
        <v>0</v>
      </c>
      <c r="T61" s="32">
        <f t="shared" si="11"/>
        <v>0</v>
      </c>
      <c r="U61" s="32">
        <f t="shared" si="12"/>
        <v>0</v>
      </c>
    </row>
    <row r="62" spans="1:21" x14ac:dyDescent="0.25">
      <c r="A62" s="135">
        <v>46284.237511574072</v>
      </c>
      <c r="B62" s="136" t="s">
        <v>216</v>
      </c>
      <c r="C62" s="136" t="s">
        <v>254</v>
      </c>
      <c r="D62" s="136" t="s">
        <v>230</v>
      </c>
      <c r="E62" s="137">
        <v>1</v>
      </c>
      <c r="F62" s="136" t="s">
        <v>13</v>
      </c>
      <c r="G62" s="32">
        <f t="shared" si="0"/>
        <v>0</v>
      </c>
      <c r="H62" s="32">
        <f t="shared" si="0"/>
        <v>0</v>
      </c>
      <c r="I62" s="32">
        <f t="shared" si="1"/>
        <v>1</v>
      </c>
      <c r="J62" s="32">
        <f t="shared" si="2"/>
        <v>2</v>
      </c>
      <c r="K62" s="32">
        <f t="shared" si="3"/>
        <v>0</v>
      </c>
      <c r="L62" s="32">
        <f t="shared" si="4"/>
        <v>0</v>
      </c>
      <c r="M62" s="32">
        <f t="shared" si="5"/>
        <v>0</v>
      </c>
      <c r="N62" s="32">
        <f t="shared" si="6"/>
        <v>0</v>
      </c>
      <c r="O62" s="32">
        <f t="shared" si="6"/>
        <v>0</v>
      </c>
      <c r="P62" s="32">
        <f t="shared" si="7"/>
        <v>0</v>
      </c>
      <c r="Q62" s="32">
        <f t="shared" si="8"/>
        <v>0</v>
      </c>
      <c r="R62" s="32">
        <f t="shared" si="9"/>
        <v>0</v>
      </c>
      <c r="S62" s="32">
        <f t="shared" si="10"/>
        <v>0</v>
      </c>
      <c r="T62" s="32">
        <f t="shared" si="11"/>
        <v>0</v>
      </c>
      <c r="U62" s="32">
        <f t="shared" si="12"/>
        <v>0</v>
      </c>
    </row>
    <row r="63" spans="1:21" x14ac:dyDescent="0.25">
      <c r="A63" s="135">
        <v>46284.390104166669</v>
      </c>
      <c r="B63" s="136" t="s">
        <v>217</v>
      </c>
      <c r="C63" s="136" t="s">
        <v>311</v>
      </c>
      <c r="D63" s="136" t="s">
        <v>312</v>
      </c>
      <c r="E63" s="137">
        <v>1</v>
      </c>
      <c r="F63" s="136" t="s">
        <v>218</v>
      </c>
      <c r="G63" s="32">
        <f t="shared" si="0"/>
        <v>0</v>
      </c>
      <c r="H63" s="32">
        <f t="shared" si="0"/>
        <v>0</v>
      </c>
      <c r="I63" s="32">
        <f t="shared" si="1"/>
        <v>0</v>
      </c>
      <c r="J63" s="32">
        <f t="shared" si="2"/>
        <v>0</v>
      </c>
      <c r="K63" s="32">
        <f t="shared" si="3"/>
        <v>0</v>
      </c>
      <c r="L63" s="32">
        <f t="shared" si="4"/>
        <v>0</v>
      </c>
      <c r="M63" s="32">
        <f t="shared" si="5"/>
        <v>0</v>
      </c>
      <c r="N63" s="32">
        <f t="shared" si="6"/>
        <v>0</v>
      </c>
      <c r="O63" s="32">
        <f t="shared" si="6"/>
        <v>0</v>
      </c>
      <c r="P63" s="32">
        <f t="shared" si="7"/>
        <v>0</v>
      </c>
      <c r="Q63" s="32">
        <f t="shared" si="8"/>
        <v>0</v>
      </c>
      <c r="R63" s="32">
        <f t="shared" si="9"/>
        <v>0</v>
      </c>
      <c r="S63" s="32">
        <f t="shared" si="10"/>
        <v>0</v>
      </c>
      <c r="T63" s="32">
        <f t="shared" si="11"/>
        <v>0</v>
      </c>
      <c r="U63" s="32">
        <f t="shared" si="12"/>
        <v>0</v>
      </c>
    </row>
    <row r="64" spans="1:21" x14ac:dyDescent="0.25">
      <c r="A64" s="135"/>
      <c r="B64" s="136"/>
      <c r="C64" s="136"/>
      <c r="D64" s="136"/>
      <c r="E64" s="137"/>
      <c r="F64" s="136"/>
      <c r="G64" s="32">
        <f t="shared" si="0"/>
        <v>0</v>
      </c>
      <c r="H64" s="32">
        <f t="shared" si="0"/>
        <v>0</v>
      </c>
      <c r="I64" s="32">
        <f t="shared" si="1"/>
        <v>0</v>
      </c>
      <c r="J64" s="32">
        <f t="shared" si="2"/>
        <v>0</v>
      </c>
      <c r="K64" s="32">
        <f t="shared" si="3"/>
        <v>0</v>
      </c>
      <c r="L64" s="32">
        <f t="shared" si="4"/>
        <v>0</v>
      </c>
      <c r="M64" s="32">
        <f t="shared" si="5"/>
        <v>0</v>
      </c>
      <c r="N64" s="32">
        <f t="shared" si="6"/>
        <v>0</v>
      </c>
      <c r="O64" s="32">
        <f t="shared" si="6"/>
        <v>0</v>
      </c>
      <c r="P64" s="32">
        <f t="shared" si="7"/>
        <v>0</v>
      </c>
      <c r="Q64" s="32">
        <f t="shared" si="8"/>
        <v>0</v>
      </c>
      <c r="R64" s="32">
        <f t="shared" si="9"/>
        <v>0</v>
      </c>
      <c r="S64" s="32">
        <f t="shared" si="10"/>
        <v>0</v>
      </c>
      <c r="T64" s="32">
        <f t="shared" si="11"/>
        <v>0</v>
      </c>
      <c r="U64" s="32">
        <f t="shared" si="12"/>
        <v>0</v>
      </c>
    </row>
    <row r="65" spans="1:21" x14ac:dyDescent="0.25">
      <c r="A65" s="135"/>
      <c r="B65" s="136"/>
      <c r="C65" s="136"/>
      <c r="D65" s="136"/>
      <c r="E65" s="137"/>
      <c r="F65" s="136"/>
      <c r="G65" s="32">
        <f t="shared" si="0"/>
        <v>0</v>
      </c>
      <c r="H65" s="32">
        <f t="shared" si="0"/>
        <v>0</v>
      </c>
      <c r="I65" s="32">
        <f t="shared" si="1"/>
        <v>0</v>
      </c>
      <c r="J65" s="32">
        <f t="shared" si="2"/>
        <v>0</v>
      </c>
      <c r="K65" s="32">
        <f t="shared" si="3"/>
        <v>0</v>
      </c>
      <c r="L65" s="32">
        <f t="shared" si="4"/>
        <v>0</v>
      </c>
      <c r="M65" s="32">
        <f t="shared" si="5"/>
        <v>0</v>
      </c>
      <c r="N65" s="32">
        <f t="shared" si="6"/>
        <v>0</v>
      </c>
      <c r="O65" s="32">
        <f t="shared" si="6"/>
        <v>0</v>
      </c>
      <c r="P65" s="32">
        <f t="shared" si="7"/>
        <v>0</v>
      </c>
      <c r="Q65" s="32">
        <f t="shared" si="8"/>
        <v>0</v>
      </c>
      <c r="R65" s="32">
        <f t="shared" si="9"/>
        <v>0</v>
      </c>
      <c r="S65" s="32">
        <f t="shared" si="10"/>
        <v>0</v>
      </c>
      <c r="T65" s="32">
        <f t="shared" si="11"/>
        <v>0</v>
      </c>
      <c r="U65" s="32">
        <f t="shared" si="12"/>
        <v>0</v>
      </c>
    </row>
    <row r="66" spans="1:21" x14ac:dyDescent="0.25">
      <c r="A66" s="135"/>
      <c r="B66" s="136"/>
      <c r="C66" s="136"/>
      <c r="D66" s="136"/>
      <c r="E66" s="137"/>
      <c r="F66" s="136"/>
      <c r="G66" s="32">
        <f t="shared" si="0"/>
        <v>0</v>
      </c>
      <c r="H66" s="32">
        <f t="shared" si="0"/>
        <v>0</v>
      </c>
      <c r="I66" s="32">
        <f t="shared" si="1"/>
        <v>0</v>
      </c>
      <c r="J66" s="32">
        <f t="shared" si="2"/>
        <v>0</v>
      </c>
      <c r="K66" s="32">
        <f t="shared" si="3"/>
        <v>0</v>
      </c>
      <c r="L66" s="32">
        <f t="shared" si="4"/>
        <v>0</v>
      </c>
      <c r="M66" s="32">
        <f t="shared" si="5"/>
        <v>0</v>
      </c>
      <c r="N66" s="32">
        <f t="shared" si="6"/>
        <v>0</v>
      </c>
      <c r="O66" s="32">
        <f t="shared" si="6"/>
        <v>0</v>
      </c>
      <c r="P66" s="32">
        <f t="shared" si="7"/>
        <v>0</v>
      </c>
      <c r="Q66" s="32">
        <f t="shared" si="8"/>
        <v>0</v>
      </c>
      <c r="R66" s="32">
        <f t="shared" si="9"/>
        <v>0</v>
      </c>
      <c r="S66" s="32">
        <f t="shared" si="10"/>
        <v>0</v>
      </c>
      <c r="T66" s="32">
        <f t="shared" si="11"/>
        <v>0</v>
      </c>
      <c r="U66" s="32">
        <f t="shared" si="12"/>
        <v>0</v>
      </c>
    </row>
    <row r="67" spans="1:21" x14ac:dyDescent="0.25">
      <c r="A67" s="135"/>
      <c r="B67" s="136"/>
      <c r="C67" s="136"/>
      <c r="D67" s="136"/>
      <c r="E67" s="137"/>
      <c r="F67" s="136"/>
      <c r="G67" s="32">
        <f t="shared" si="0"/>
        <v>0</v>
      </c>
      <c r="H67" s="32">
        <f t="shared" si="0"/>
        <v>0</v>
      </c>
      <c r="I67" s="32">
        <f t="shared" si="1"/>
        <v>0</v>
      </c>
      <c r="J67" s="32">
        <f t="shared" si="2"/>
        <v>0</v>
      </c>
      <c r="K67" s="32">
        <f t="shared" si="3"/>
        <v>0</v>
      </c>
      <c r="L67" s="32">
        <f t="shared" si="4"/>
        <v>0</v>
      </c>
      <c r="M67" s="32">
        <f t="shared" si="5"/>
        <v>0</v>
      </c>
      <c r="N67" s="32">
        <f t="shared" si="6"/>
        <v>0</v>
      </c>
      <c r="O67" s="32">
        <f t="shared" si="6"/>
        <v>0</v>
      </c>
      <c r="P67" s="32">
        <f t="shared" si="7"/>
        <v>0</v>
      </c>
      <c r="Q67" s="32">
        <f t="shared" si="8"/>
        <v>0</v>
      </c>
      <c r="R67" s="32">
        <f t="shared" si="9"/>
        <v>0</v>
      </c>
      <c r="S67" s="32">
        <f t="shared" si="10"/>
        <v>0</v>
      </c>
      <c r="T67" s="32">
        <f t="shared" si="11"/>
        <v>0</v>
      </c>
      <c r="U67" s="32">
        <f t="shared" si="12"/>
        <v>0</v>
      </c>
    </row>
    <row r="68" spans="1:21" x14ac:dyDescent="0.25">
      <c r="A68" s="135"/>
      <c r="B68" s="136"/>
      <c r="C68" s="136"/>
      <c r="D68" s="136"/>
      <c r="E68" s="137"/>
      <c r="F68" s="136"/>
      <c r="G68" s="32">
        <f t="shared" ref="G68:H83" si="13">IF(AND(ISNUMBER(SEARCH("FORET D8,6 COMPLET", $B68)),ISNUMBER(SEARCH("EMAG 2", $F68))), 1*$E68, 0)</f>
        <v>0</v>
      </c>
      <c r="H68" s="32">
        <f t="shared" si="13"/>
        <v>0</v>
      </c>
      <c r="I68" s="32">
        <f t="shared" si="1"/>
        <v>0</v>
      </c>
      <c r="J68" s="32">
        <f t="shared" si="2"/>
        <v>0</v>
      </c>
      <c r="K68" s="32">
        <f t="shared" si="3"/>
        <v>0</v>
      </c>
      <c r="L68" s="32">
        <f t="shared" si="4"/>
        <v>0</v>
      </c>
      <c r="M68" s="32">
        <f t="shared" si="5"/>
        <v>0</v>
      </c>
      <c r="N68" s="32">
        <f t="shared" si="6"/>
        <v>0</v>
      </c>
      <c r="O68" s="32">
        <f t="shared" si="6"/>
        <v>0</v>
      </c>
      <c r="P68" s="32">
        <f t="shared" si="7"/>
        <v>0</v>
      </c>
      <c r="Q68" s="32">
        <f t="shared" si="8"/>
        <v>0</v>
      </c>
      <c r="R68" s="32">
        <f t="shared" si="9"/>
        <v>0</v>
      </c>
      <c r="S68" s="32">
        <f t="shared" si="10"/>
        <v>0</v>
      </c>
      <c r="T68" s="32">
        <f t="shared" si="11"/>
        <v>0</v>
      </c>
      <c r="U68" s="32">
        <f t="shared" si="12"/>
        <v>0</v>
      </c>
    </row>
    <row r="69" spans="1:21" x14ac:dyDescent="0.25">
      <c r="A69" s="135"/>
      <c r="B69" s="136"/>
      <c r="C69" s="136"/>
      <c r="D69" s="136"/>
      <c r="E69" s="137"/>
      <c r="F69" s="136"/>
      <c r="G69" s="32">
        <f t="shared" si="13"/>
        <v>0</v>
      </c>
      <c r="H69" s="32">
        <f t="shared" si="13"/>
        <v>0</v>
      </c>
      <c r="I69" s="32">
        <f t="shared" ref="I69:I172" si="14">IF(AND(ISNUMBER(SEARCH("FORET D13,3 COMPLET", $B69)),ISNUMBER(SEARCH("EMAG 2", $F69))), 1*$E69, 0)</f>
        <v>0</v>
      </c>
      <c r="J69" s="32">
        <f t="shared" ref="J69:J172" si="15">IF(AND(ISNUMBER(SEARCH("FORET D13,3 COMPLET", $B69)),ISNUMBER(SEARCH("EMAG 2", $F69))), 2*$E69, 0)</f>
        <v>0</v>
      </c>
      <c r="K69" s="32">
        <f t="shared" ref="K69:K172" si="16">IF(AND(ISNUMBER(SEARCH("FORET D15,3 COMPLET", $B69)),ISNUMBER(SEARCH("EMAG 2", $F69))), 1*$E69, 0)</f>
        <v>0</v>
      </c>
      <c r="L69" s="32">
        <f t="shared" ref="L69:L172" si="17">IF(AND(ISNUMBER(SEARCH("FORET D15,3 COMPLET", $B69)),ISNUMBER(SEARCH("EMAG 2", $F69))), 2*$E69, 0)</f>
        <v>0</v>
      </c>
      <c r="M69" s="32">
        <f t="shared" ref="M69:M172" si="18">IF(AND(ISNUMBER(SEARCH("T5013 COMPLET", $B69)),ISNUMBER(SEARCH("EMAG 2", $F69))), 2*$E69, 0)</f>
        <v>0</v>
      </c>
      <c r="N69" s="32">
        <f t="shared" ref="N69:O172" si="19">IF(AND(ISNUMBER(SEARCH("FORET D8,6 COMPLET", $B69)),ISNUMBER(SEARCH("EMAG 1", $F69))), 1*$E69, 0)</f>
        <v>0</v>
      </c>
      <c r="O69" s="32">
        <f t="shared" si="19"/>
        <v>0</v>
      </c>
      <c r="P69" s="32">
        <f t="shared" ref="P69:P172" si="20">IF(AND(ISNUMBER(SEARCH("FORET D13,3 COMPLET", $B69)),ISNUMBER(SEARCH("EMAG 1", $F69))), 1*$E69, 0)</f>
        <v>0</v>
      </c>
      <c r="Q69" s="32">
        <f t="shared" ref="Q69:Q172" si="21">IF(AND(ISNUMBER(SEARCH("FORET D13,3 COMPLET", $B69)),ISNUMBER(SEARCH("EMAG 1", $F69))), 2*$E69, 0)</f>
        <v>0</v>
      </c>
      <c r="R69" s="32">
        <f t="shared" ref="R69:R172" si="22">IF(AND(ISNUMBER(SEARCH("FORET D15,3 COMPLET", $B69)),ISNUMBER(SEARCH("EMAG 1", $F69))), 1*$E69, 0)</f>
        <v>0</v>
      </c>
      <c r="S69" s="32">
        <f t="shared" ref="S69:S172" si="23">IF(AND(ISNUMBER(SEARCH("FORET D15,3 COMPLET", $B69)),ISNUMBER(SEARCH("EMAG 1", $F69))), 2*$E69, 0)</f>
        <v>0</v>
      </c>
      <c r="T69" s="32">
        <f t="shared" ref="T69:T172" si="24">IF(AND(ISNUMBER(SEARCH("FORET D13,3 COMPLET", $B69)),ISNUMBER(SEARCH("EMAG 3", $F69))), 1*$E69, 0)</f>
        <v>0</v>
      </c>
      <c r="U69" s="32">
        <f t="shared" ref="U69:U172" si="25">IF(AND(ISNUMBER(SEARCH("FORET D13,3 COMPLET", $B69)),ISNUMBER(SEARCH("EMAG 3", $F69))), 2*$E69, 0)</f>
        <v>0</v>
      </c>
    </row>
    <row r="70" spans="1:21" x14ac:dyDescent="0.25">
      <c r="A70" s="135"/>
      <c r="B70" s="136"/>
      <c r="C70" s="136"/>
      <c r="D70" s="136"/>
      <c r="E70" s="137"/>
      <c r="F70" s="136"/>
      <c r="G70" s="32">
        <f t="shared" si="13"/>
        <v>0</v>
      </c>
      <c r="H70" s="32">
        <f t="shared" si="13"/>
        <v>0</v>
      </c>
      <c r="I70" s="32">
        <f t="shared" si="14"/>
        <v>0</v>
      </c>
      <c r="J70" s="32">
        <f t="shared" si="15"/>
        <v>0</v>
      </c>
      <c r="K70" s="32">
        <f t="shared" si="16"/>
        <v>0</v>
      </c>
      <c r="L70" s="32">
        <f t="shared" si="17"/>
        <v>0</v>
      </c>
      <c r="M70" s="32">
        <f t="shared" si="18"/>
        <v>0</v>
      </c>
      <c r="N70" s="32">
        <f t="shared" si="19"/>
        <v>0</v>
      </c>
      <c r="O70" s="32">
        <f t="shared" si="19"/>
        <v>0</v>
      </c>
      <c r="P70" s="32">
        <f t="shared" si="20"/>
        <v>0</v>
      </c>
      <c r="Q70" s="32">
        <f t="shared" si="21"/>
        <v>0</v>
      </c>
      <c r="R70" s="32">
        <f t="shared" si="22"/>
        <v>0</v>
      </c>
      <c r="S70" s="32">
        <f t="shared" si="23"/>
        <v>0</v>
      </c>
      <c r="T70" s="32">
        <f t="shared" si="24"/>
        <v>0</v>
      </c>
      <c r="U70" s="32">
        <f t="shared" si="25"/>
        <v>0</v>
      </c>
    </row>
    <row r="71" spans="1:21" x14ac:dyDescent="0.25">
      <c r="A71" s="135"/>
      <c r="B71" s="136"/>
      <c r="C71" s="136"/>
      <c r="D71" s="136"/>
      <c r="E71" s="137"/>
      <c r="F71" s="136"/>
      <c r="G71" s="32">
        <f t="shared" si="13"/>
        <v>0</v>
      </c>
      <c r="H71" s="32">
        <f t="shared" si="13"/>
        <v>0</v>
      </c>
      <c r="I71" s="32">
        <f t="shared" si="14"/>
        <v>0</v>
      </c>
      <c r="J71" s="32">
        <f t="shared" si="15"/>
        <v>0</v>
      </c>
      <c r="K71" s="32">
        <f t="shared" si="16"/>
        <v>0</v>
      </c>
      <c r="L71" s="32">
        <f t="shared" si="17"/>
        <v>0</v>
      </c>
      <c r="M71" s="32">
        <f t="shared" si="18"/>
        <v>0</v>
      </c>
      <c r="N71" s="32">
        <f t="shared" si="19"/>
        <v>0</v>
      </c>
      <c r="O71" s="32">
        <f t="shared" si="19"/>
        <v>0</v>
      </c>
      <c r="P71" s="32">
        <f t="shared" si="20"/>
        <v>0</v>
      </c>
      <c r="Q71" s="32">
        <f t="shared" si="21"/>
        <v>0</v>
      </c>
      <c r="R71" s="32">
        <f t="shared" si="22"/>
        <v>0</v>
      </c>
      <c r="S71" s="32">
        <f t="shared" si="23"/>
        <v>0</v>
      </c>
      <c r="T71" s="32">
        <f t="shared" si="24"/>
        <v>0</v>
      </c>
      <c r="U71" s="32">
        <f t="shared" si="25"/>
        <v>0</v>
      </c>
    </row>
    <row r="72" spans="1:21" x14ac:dyDescent="0.25">
      <c r="A72" s="135"/>
      <c r="B72" s="136"/>
      <c r="C72" s="136"/>
      <c r="D72" s="136"/>
      <c r="E72" s="137"/>
      <c r="F72" s="136"/>
      <c r="G72" s="32">
        <f t="shared" si="13"/>
        <v>0</v>
      </c>
      <c r="H72" s="32">
        <f t="shared" si="13"/>
        <v>0</v>
      </c>
      <c r="I72" s="32">
        <f t="shared" si="14"/>
        <v>0</v>
      </c>
      <c r="J72" s="32">
        <f t="shared" si="15"/>
        <v>0</v>
      </c>
      <c r="K72" s="32">
        <f t="shared" si="16"/>
        <v>0</v>
      </c>
      <c r="L72" s="32">
        <f t="shared" si="17"/>
        <v>0</v>
      </c>
      <c r="M72" s="32">
        <f t="shared" si="18"/>
        <v>0</v>
      </c>
      <c r="N72" s="32">
        <f t="shared" si="19"/>
        <v>0</v>
      </c>
      <c r="O72" s="32">
        <f t="shared" si="19"/>
        <v>0</v>
      </c>
      <c r="P72" s="32">
        <f t="shared" si="20"/>
        <v>0</v>
      </c>
      <c r="Q72" s="32">
        <f t="shared" si="21"/>
        <v>0</v>
      </c>
      <c r="R72" s="32">
        <f t="shared" si="22"/>
        <v>0</v>
      </c>
      <c r="S72" s="32">
        <f t="shared" si="23"/>
        <v>0</v>
      </c>
      <c r="T72" s="32">
        <f t="shared" si="24"/>
        <v>0</v>
      </c>
      <c r="U72" s="32">
        <f t="shared" si="25"/>
        <v>0</v>
      </c>
    </row>
    <row r="73" spans="1:21" x14ac:dyDescent="0.25">
      <c r="A73" s="135"/>
      <c r="B73" s="136"/>
      <c r="C73" s="136"/>
      <c r="D73" s="136"/>
      <c r="E73" s="137"/>
      <c r="F73" s="136"/>
      <c r="G73" s="32">
        <f t="shared" si="13"/>
        <v>0</v>
      </c>
      <c r="H73" s="32">
        <f t="shared" si="13"/>
        <v>0</v>
      </c>
      <c r="I73" s="32">
        <f t="shared" si="14"/>
        <v>0</v>
      </c>
      <c r="J73" s="32">
        <f t="shared" si="15"/>
        <v>0</v>
      </c>
      <c r="K73" s="32">
        <f t="shared" si="16"/>
        <v>0</v>
      </c>
      <c r="L73" s="32">
        <f t="shared" si="17"/>
        <v>0</v>
      </c>
      <c r="M73" s="32">
        <f t="shared" si="18"/>
        <v>0</v>
      </c>
      <c r="N73" s="32">
        <f t="shared" si="19"/>
        <v>0</v>
      </c>
      <c r="O73" s="32">
        <f t="shared" si="19"/>
        <v>0</v>
      </c>
      <c r="P73" s="32">
        <f t="shared" si="20"/>
        <v>0</v>
      </c>
      <c r="Q73" s="32">
        <f t="shared" si="21"/>
        <v>0</v>
      </c>
      <c r="R73" s="32">
        <f t="shared" si="22"/>
        <v>0</v>
      </c>
      <c r="S73" s="32">
        <f t="shared" si="23"/>
        <v>0</v>
      </c>
      <c r="T73" s="32">
        <f t="shared" si="24"/>
        <v>0</v>
      </c>
      <c r="U73" s="32">
        <f t="shared" si="25"/>
        <v>0</v>
      </c>
    </row>
    <row r="74" spans="1:21" x14ac:dyDescent="0.25">
      <c r="A74" s="135"/>
      <c r="B74" s="136"/>
      <c r="C74" s="136"/>
      <c r="D74" s="136"/>
      <c r="E74" s="137"/>
      <c r="F74" s="136"/>
      <c r="G74" s="32">
        <f t="shared" si="13"/>
        <v>0</v>
      </c>
      <c r="H74" s="32">
        <f t="shared" si="13"/>
        <v>0</v>
      </c>
      <c r="I74" s="32">
        <f t="shared" si="14"/>
        <v>0</v>
      </c>
      <c r="J74" s="32">
        <f t="shared" si="15"/>
        <v>0</v>
      </c>
      <c r="K74" s="32">
        <f t="shared" si="16"/>
        <v>0</v>
      </c>
      <c r="L74" s="32">
        <f t="shared" si="17"/>
        <v>0</v>
      </c>
      <c r="M74" s="32">
        <f t="shared" si="18"/>
        <v>0</v>
      </c>
      <c r="N74" s="32">
        <f t="shared" si="19"/>
        <v>0</v>
      </c>
      <c r="O74" s="32">
        <f t="shared" si="19"/>
        <v>0</v>
      </c>
      <c r="P74" s="32">
        <f t="shared" si="20"/>
        <v>0</v>
      </c>
      <c r="Q74" s="32">
        <f t="shared" si="21"/>
        <v>0</v>
      </c>
      <c r="R74" s="32">
        <f t="shared" si="22"/>
        <v>0</v>
      </c>
      <c r="S74" s="32">
        <f t="shared" si="23"/>
        <v>0</v>
      </c>
      <c r="T74" s="32">
        <f t="shared" si="24"/>
        <v>0</v>
      </c>
      <c r="U74" s="32">
        <f t="shared" si="25"/>
        <v>0</v>
      </c>
    </row>
    <row r="75" spans="1:21" x14ac:dyDescent="0.25">
      <c r="A75" s="135"/>
      <c r="B75" s="136"/>
      <c r="C75" s="136"/>
      <c r="D75" s="136"/>
      <c r="E75" s="137"/>
      <c r="F75" s="136"/>
      <c r="G75" s="32">
        <f t="shared" si="13"/>
        <v>0</v>
      </c>
      <c r="H75" s="32">
        <f t="shared" si="13"/>
        <v>0</v>
      </c>
      <c r="I75" s="32">
        <f t="shared" si="14"/>
        <v>0</v>
      </c>
      <c r="J75" s="32">
        <f t="shared" si="15"/>
        <v>0</v>
      </c>
      <c r="K75" s="32">
        <f t="shared" si="16"/>
        <v>0</v>
      </c>
      <c r="L75" s="32">
        <f t="shared" si="17"/>
        <v>0</v>
      </c>
      <c r="M75" s="32">
        <f t="shared" si="18"/>
        <v>0</v>
      </c>
      <c r="N75" s="32">
        <f t="shared" si="19"/>
        <v>0</v>
      </c>
      <c r="O75" s="32">
        <f t="shared" si="19"/>
        <v>0</v>
      </c>
      <c r="P75" s="32">
        <f t="shared" si="20"/>
        <v>0</v>
      </c>
      <c r="Q75" s="32">
        <f t="shared" si="21"/>
        <v>0</v>
      </c>
      <c r="R75" s="32">
        <f t="shared" si="22"/>
        <v>0</v>
      </c>
      <c r="S75" s="32">
        <f t="shared" si="23"/>
        <v>0</v>
      </c>
      <c r="T75" s="32">
        <f t="shared" si="24"/>
        <v>0</v>
      </c>
      <c r="U75" s="32">
        <f t="shared" si="25"/>
        <v>0</v>
      </c>
    </row>
    <row r="76" spans="1:21" x14ac:dyDescent="0.25">
      <c r="A76" s="135"/>
      <c r="B76" s="136"/>
      <c r="C76" s="136"/>
      <c r="D76" s="136"/>
      <c r="E76" s="137"/>
      <c r="F76" s="136"/>
      <c r="G76" s="32">
        <f t="shared" si="13"/>
        <v>0</v>
      </c>
      <c r="H76" s="32">
        <f t="shared" si="13"/>
        <v>0</v>
      </c>
      <c r="I76" s="32">
        <f t="shared" si="14"/>
        <v>0</v>
      </c>
      <c r="J76" s="32">
        <f t="shared" si="15"/>
        <v>0</v>
      </c>
      <c r="K76" s="32">
        <f t="shared" si="16"/>
        <v>0</v>
      </c>
      <c r="L76" s="32">
        <f t="shared" si="17"/>
        <v>0</v>
      </c>
      <c r="M76" s="32">
        <f t="shared" si="18"/>
        <v>0</v>
      </c>
      <c r="N76" s="32">
        <f t="shared" si="19"/>
        <v>0</v>
      </c>
      <c r="O76" s="32">
        <f t="shared" si="19"/>
        <v>0</v>
      </c>
      <c r="P76" s="32">
        <f t="shared" si="20"/>
        <v>0</v>
      </c>
      <c r="Q76" s="32">
        <f t="shared" si="21"/>
        <v>0</v>
      </c>
      <c r="R76" s="32">
        <f t="shared" si="22"/>
        <v>0</v>
      </c>
      <c r="S76" s="32">
        <f t="shared" si="23"/>
        <v>0</v>
      </c>
      <c r="T76" s="32">
        <f t="shared" si="24"/>
        <v>0</v>
      </c>
      <c r="U76" s="32">
        <f t="shared" si="25"/>
        <v>0</v>
      </c>
    </row>
    <row r="77" spans="1:21" x14ac:dyDescent="0.25">
      <c r="A77" s="135"/>
      <c r="B77" s="136"/>
      <c r="C77" s="136"/>
      <c r="D77" s="136"/>
      <c r="E77" s="137"/>
      <c r="F77" s="136"/>
      <c r="G77" s="32">
        <f t="shared" si="13"/>
        <v>0</v>
      </c>
      <c r="H77" s="32">
        <f t="shared" si="13"/>
        <v>0</v>
      </c>
      <c r="I77" s="32">
        <f t="shared" si="14"/>
        <v>0</v>
      </c>
      <c r="J77" s="32">
        <f t="shared" si="15"/>
        <v>0</v>
      </c>
      <c r="K77" s="32">
        <f t="shared" si="16"/>
        <v>0</v>
      </c>
      <c r="L77" s="32">
        <f t="shared" si="17"/>
        <v>0</v>
      </c>
      <c r="M77" s="32">
        <f t="shared" si="18"/>
        <v>0</v>
      </c>
      <c r="N77" s="32">
        <f t="shared" si="19"/>
        <v>0</v>
      </c>
      <c r="O77" s="32">
        <f t="shared" si="19"/>
        <v>0</v>
      </c>
      <c r="P77" s="32">
        <f t="shared" si="20"/>
        <v>0</v>
      </c>
      <c r="Q77" s="32">
        <f t="shared" si="21"/>
        <v>0</v>
      </c>
      <c r="R77" s="32">
        <f t="shared" si="22"/>
        <v>0</v>
      </c>
      <c r="S77" s="32">
        <f t="shared" si="23"/>
        <v>0</v>
      </c>
      <c r="T77" s="32">
        <f t="shared" si="24"/>
        <v>0</v>
      </c>
      <c r="U77" s="32">
        <f t="shared" si="25"/>
        <v>0</v>
      </c>
    </row>
    <row r="78" spans="1:21" x14ac:dyDescent="0.25">
      <c r="A78" s="135"/>
      <c r="B78" s="136"/>
      <c r="C78" s="136"/>
      <c r="D78" s="136"/>
      <c r="E78" s="137"/>
      <c r="F78" s="136"/>
      <c r="G78" s="32">
        <f t="shared" si="13"/>
        <v>0</v>
      </c>
      <c r="H78" s="32">
        <f t="shared" si="13"/>
        <v>0</v>
      </c>
      <c r="I78" s="32">
        <f t="shared" si="14"/>
        <v>0</v>
      </c>
      <c r="J78" s="32">
        <f t="shared" si="15"/>
        <v>0</v>
      </c>
      <c r="K78" s="32">
        <f t="shared" si="16"/>
        <v>0</v>
      </c>
      <c r="L78" s="32">
        <f t="shared" si="17"/>
        <v>0</v>
      </c>
      <c r="M78" s="32">
        <f t="shared" si="18"/>
        <v>0</v>
      </c>
      <c r="N78" s="32">
        <f t="shared" si="19"/>
        <v>0</v>
      </c>
      <c r="O78" s="32">
        <f t="shared" si="19"/>
        <v>0</v>
      </c>
      <c r="P78" s="32">
        <f t="shared" si="20"/>
        <v>0</v>
      </c>
      <c r="Q78" s="32">
        <f t="shared" si="21"/>
        <v>0</v>
      </c>
      <c r="R78" s="32">
        <f t="shared" si="22"/>
        <v>0</v>
      </c>
      <c r="S78" s="32">
        <f t="shared" si="23"/>
        <v>0</v>
      </c>
      <c r="T78" s="32">
        <f t="shared" si="24"/>
        <v>0</v>
      </c>
      <c r="U78" s="32">
        <f t="shared" si="25"/>
        <v>0</v>
      </c>
    </row>
    <row r="79" spans="1:21" x14ac:dyDescent="0.25">
      <c r="A79" s="135"/>
      <c r="B79" s="136"/>
      <c r="C79" s="136"/>
      <c r="D79" s="136"/>
      <c r="E79" s="137"/>
      <c r="F79" s="136"/>
      <c r="G79" s="32">
        <f t="shared" si="13"/>
        <v>0</v>
      </c>
      <c r="H79" s="32">
        <f t="shared" si="13"/>
        <v>0</v>
      </c>
      <c r="I79" s="32">
        <f t="shared" si="14"/>
        <v>0</v>
      </c>
      <c r="J79" s="32">
        <f t="shared" si="15"/>
        <v>0</v>
      </c>
      <c r="K79" s="32">
        <f t="shared" si="16"/>
        <v>0</v>
      </c>
      <c r="L79" s="32">
        <f t="shared" si="17"/>
        <v>0</v>
      </c>
      <c r="M79" s="32">
        <f t="shared" si="18"/>
        <v>0</v>
      </c>
      <c r="N79" s="32">
        <f t="shared" si="19"/>
        <v>0</v>
      </c>
      <c r="O79" s="32">
        <f t="shared" si="19"/>
        <v>0</v>
      </c>
      <c r="P79" s="32">
        <f t="shared" si="20"/>
        <v>0</v>
      </c>
      <c r="Q79" s="32">
        <f t="shared" si="21"/>
        <v>0</v>
      </c>
      <c r="R79" s="32">
        <f t="shared" si="22"/>
        <v>0</v>
      </c>
      <c r="S79" s="32">
        <f t="shared" si="23"/>
        <v>0</v>
      </c>
      <c r="T79" s="32">
        <f t="shared" si="24"/>
        <v>0</v>
      </c>
      <c r="U79" s="32">
        <f t="shared" si="25"/>
        <v>0</v>
      </c>
    </row>
    <row r="80" spans="1:21" x14ac:dyDescent="0.25">
      <c r="A80" s="135"/>
      <c r="B80" s="136"/>
      <c r="C80" s="136"/>
      <c r="D80" s="136"/>
      <c r="E80" s="137"/>
      <c r="F80" s="136"/>
      <c r="G80" s="32">
        <f t="shared" si="13"/>
        <v>0</v>
      </c>
      <c r="H80" s="32">
        <f t="shared" si="13"/>
        <v>0</v>
      </c>
      <c r="I80" s="32">
        <f t="shared" si="14"/>
        <v>0</v>
      </c>
      <c r="J80" s="32">
        <f t="shared" si="15"/>
        <v>0</v>
      </c>
      <c r="K80" s="32">
        <f t="shared" si="16"/>
        <v>0</v>
      </c>
      <c r="L80" s="32">
        <f t="shared" si="17"/>
        <v>0</v>
      </c>
      <c r="M80" s="32">
        <f t="shared" si="18"/>
        <v>0</v>
      </c>
      <c r="N80" s="32">
        <f t="shared" si="19"/>
        <v>0</v>
      </c>
      <c r="O80" s="32">
        <f t="shared" si="19"/>
        <v>0</v>
      </c>
      <c r="P80" s="32">
        <f t="shared" si="20"/>
        <v>0</v>
      </c>
      <c r="Q80" s="32">
        <f t="shared" si="21"/>
        <v>0</v>
      </c>
      <c r="R80" s="32">
        <f t="shared" si="22"/>
        <v>0</v>
      </c>
      <c r="S80" s="32">
        <f t="shared" si="23"/>
        <v>0</v>
      </c>
      <c r="T80" s="32">
        <f t="shared" si="24"/>
        <v>0</v>
      </c>
      <c r="U80" s="32">
        <f t="shared" si="25"/>
        <v>0</v>
      </c>
    </row>
    <row r="81" spans="1:21" x14ac:dyDescent="0.25">
      <c r="A81" s="135"/>
      <c r="B81" s="136"/>
      <c r="C81" s="136"/>
      <c r="D81" s="136"/>
      <c r="E81" s="137"/>
      <c r="F81" s="136"/>
      <c r="G81" s="32">
        <f t="shared" si="13"/>
        <v>0</v>
      </c>
      <c r="H81" s="32">
        <f t="shared" si="13"/>
        <v>0</v>
      </c>
      <c r="I81" s="32">
        <f t="shared" si="14"/>
        <v>0</v>
      </c>
      <c r="J81" s="32">
        <f t="shared" si="15"/>
        <v>0</v>
      </c>
      <c r="K81" s="32">
        <f t="shared" si="16"/>
        <v>0</v>
      </c>
      <c r="L81" s="32">
        <f t="shared" si="17"/>
        <v>0</v>
      </c>
      <c r="M81" s="32">
        <f t="shared" si="18"/>
        <v>0</v>
      </c>
      <c r="N81" s="32">
        <f t="shared" si="19"/>
        <v>0</v>
      </c>
      <c r="O81" s="32">
        <f t="shared" si="19"/>
        <v>0</v>
      </c>
      <c r="P81" s="32">
        <f t="shared" si="20"/>
        <v>0</v>
      </c>
      <c r="Q81" s="32">
        <f t="shared" si="21"/>
        <v>0</v>
      </c>
      <c r="R81" s="32">
        <f t="shared" si="22"/>
        <v>0</v>
      </c>
      <c r="S81" s="32">
        <f t="shared" si="23"/>
        <v>0</v>
      </c>
      <c r="T81" s="32">
        <f t="shared" si="24"/>
        <v>0</v>
      </c>
      <c r="U81" s="32">
        <f t="shared" si="25"/>
        <v>0</v>
      </c>
    </row>
    <row r="82" spans="1:21" x14ac:dyDescent="0.25">
      <c r="A82" s="135"/>
      <c r="B82" s="136"/>
      <c r="C82" s="136"/>
      <c r="D82" s="136"/>
      <c r="E82" s="137"/>
      <c r="F82" s="136"/>
      <c r="G82" s="32">
        <f t="shared" si="13"/>
        <v>0</v>
      </c>
      <c r="H82" s="32">
        <f t="shared" si="13"/>
        <v>0</v>
      </c>
      <c r="I82" s="32">
        <f t="shared" si="14"/>
        <v>0</v>
      </c>
      <c r="J82" s="32">
        <f t="shared" si="15"/>
        <v>0</v>
      </c>
      <c r="K82" s="32">
        <f t="shared" si="16"/>
        <v>0</v>
      </c>
      <c r="L82" s="32">
        <f t="shared" si="17"/>
        <v>0</v>
      </c>
      <c r="M82" s="32">
        <f t="shared" si="18"/>
        <v>0</v>
      </c>
      <c r="N82" s="32">
        <f t="shared" si="19"/>
        <v>0</v>
      </c>
      <c r="O82" s="32">
        <f t="shared" si="19"/>
        <v>0</v>
      </c>
      <c r="P82" s="32">
        <f t="shared" si="20"/>
        <v>0</v>
      </c>
      <c r="Q82" s="32">
        <f t="shared" si="21"/>
        <v>0</v>
      </c>
      <c r="R82" s="32">
        <f t="shared" si="22"/>
        <v>0</v>
      </c>
      <c r="S82" s="32">
        <f t="shared" si="23"/>
        <v>0</v>
      </c>
      <c r="T82" s="32">
        <f t="shared" si="24"/>
        <v>0</v>
      </c>
      <c r="U82" s="32">
        <f t="shared" si="25"/>
        <v>0</v>
      </c>
    </row>
    <row r="83" spans="1:21" x14ac:dyDescent="0.25">
      <c r="A83" s="135"/>
      <c r="B83" s="136"/>
      <c r="C83" s="136"/>
      <c r="D83" s="136"/>
      <c r="E83" s="137"/>
      <c r="F83" s="136"/>
      <c r="G83" s="32">
        <f t="shared" si="13"/>
        <v>0</v>
      </c>
      <c r="H83" s="32">
        <f t="shared" si="13"/>
        <v>0</v>
      </c>
      <c r="I83" s="32">
        <f t="shared" si="14"/>
        <v>0</v>
      </c>
      <c r="J83" s="32">
        <f t="shared" si="15"/>
        <v>0</v>
      </c>
      <c r="K83" s="32">
        <f t="shared" si="16"/>
        <v>0</v>
      </c>
      <c r="L83" s="32">
        <f t="shared" si="17"/>
        <v>0</v>
      </c>
      <c r="M83" s="32">
        <f t="shared" si="18"/>
        <v>0</v>
      </c>
      <c r="N83" s="32">
        <f t="shared" si="19"/>
        <v>0</v>
      </c>
      <c r="O83" s="32">
        <f t="shared" si="19"/>
        <v>0</v>
      </c>
      <c r="P83" s="32">
        <f t="shared" si="20"/>
        <v>0</v>
      </c>
      <c r="Q83" s="32">
        <f t="shared" si="21"/>
        <v>0</v>
      </c>
      <c r="R83" s="32">
        <f t="shared" si="22"/>
        <v>0</v>
      </c>
      <c r="S83" s="32">
        <f t="shared" si="23"/>
        <v>0</v>
      </c>
      <c r="T83" s="32">
        <f t="shared" si="24"/>
        <v>0</v>
      </c>
      <c r="U83" s="32">
        <f t="shared" si="25"/>
        <v>0</v>
      </c>
    </row>
    <row r="84" spans="1:21" x14ac:dyDescent="0.25">
      <c r="A84" s="135"/>
      <c r="B84" s="136"/>
      <c r="C84" s="136"/>
      <c r="D84" s="136"/>
      <c r="E84" s="137"/>
      <c r="F84" s="136"/>
      <c r="G84" s="32">
        <f t="shared" ref="G84:H172" si="26">IF(AND(ISNUMBER(SEARCH("FORET D8,6 COMPLET", $B84)),ISNUMBER(SEARCH("EMAG 2", $F84))), 1*$E84, 0)</f>
        <v>0</v>
      </c>
      <c r="H84" s="32">
        <f t="shared" si="26"/>
        <v>0</v>
      </c>
      <c r="I84" s="32">
        <f t="shared" si="14"/>
        <v>0</v>
      </c>
      <c r="J84" s="32">
        <f t="shared" si="15"/>
        <v>0</v>
      </c>
      <c r="K84" s="32">
        <f t="shared" si="16"/>
        <v>0</v>
      </c>
      <c r="L84" s="32">
        <f t="shared" si="17"/>
        <v>0</v>
      </c>
      <c r="M84" s="32">
        <f t="shared" si="18"/>
        <v>0</v>
      </c>
      <c r="N84" s="32">
        <f t="shared" si="19"/>
        <v>0</v>
      </c>
      <c r="O84" s="32">
        <f t="shared" si="19"/>
        <v>0</v>
      </c>
      <c r="P84" s="32">
        <f t="shared" si="20"/>
        <v>0</v>
      </c>
      <c r="Q84" s="32">
        <f t="shared" si="21"/>
        <v>0</v>
      </c>
      <c r="R84" s="32">
        <f t="shared" si="22"/>
        <v>0</v>
      </c>
      <c r="S84" s="32">
        <f t="shared" si="23"/>
        <v>0</v>
      </c>
      <c r="T84" s="32">
        <f t="shared" si="24"/>
        <v>0</v>
      </c>
      <c r="U84" s="32">
        <f t="shared" si="25"/>
        <v>0</v>
      </c>
    </row>
    <row r="85" spans="1:21" x14ac:dyDescent="0.25">
      <c r="A85" s="135"/>
      <c r="B85" s="136"/>
      <c r="C85" s="136"/>
      <c r="D85" s="136"/>
      <c r="E85" s="137"/>
      <c r="F85" s="136"/>
      <c r="G85" s="32">
        <f t="shared" si="26"/>
        <v>0</v>
      </c>
      <c r="H85" s="32">
        <f t="shared" si="26"/>
        <v>0</v>
      </c>
      <c r="I85" s="32">
        <f t="shared" si="14"/>
        <v>0</v>
      </c>
      <c r="J85" s="32">
        <f t="shared" si="15"/>
        <v>0</v>
      </c>
      <c r="K85" s="32">
        <f t="shared" si="16"/>
        <v>0</v>
      </c>
      <c r="L85" s="32">
        <f t="shared" si="17"/>
        <v>0</v>
      </c>
      <c r="M85" s="32">
        <f t="shared" si="18"/>
        <v>0</v>
      </c>
      <c r="N85" s="32">
        <f t="shared" si="19"/>
        <v>0</v>
      </c>
      <c r="O85" s="32">
        <f t="shared" si="19"/>
        <v>0</v>
      </c>
      <c r="P85" s="32">
        <f t="shared" si="20"/>
        <v>0</v>
      </c>
      <c r="Q85" s="32">
        <f t="shared" si="21"/>
        <v>0</v>
      </c>
      <c r="R85" s="32">
        <f t="shared" si="22"/>
        <v>0</v>
      </c>
      <c r="S85" s="32">
        <f t="shared" si="23"/>
        <v>0</v>
      </c>
      <c r="T85" s="32">
        <f t="shared" si="24"/>
        <v>0</v>
      </c>
      <c r="U85" s="32">
        <f t="shared" si="25"/>
        <v>0</v>
      </c>
    </row>
    <row r="86" spans="1:21" x14ac:dyDescent="0.25">
      <c r="A86" s="135"/>
      <c r="B86" s="136"/>
      <c r="C86" s="136"/>
      <c r="D86" s="136"/>
      <c r="E86" s="137"/>
      <c r="F86" s="136"/>
      <c r="G86" s="32">
        <f t="shared" si="26"/>
        <v>0</v>
      </c>
      <c r="H86" s="32">
        <f t="shared" si="26"/>
        <v>0</v>
      </c>
      <c r="I86" s="32">
        <f t="shared" si="14"/>
        <v>0</v>
      </c>
      <c r="J86" s="32">
        <f t="shared" si="15"/>
        <v>0</v>
      </c>
      <c r="K86" s="32">
        <f t="shared" si="16"/>
        <v>0</v>
      </c>
      <c r="L86" s="32">
        <f t="shared" si="17"/>
        <v>0</v>
      </c>
      <c r="M86" s="32">
        <f t="shared" si="18"/>
        <v>0</v>
      </c>
      <c r="N86" s="32">
        <f t="shared" si="19"/>
        <v>0</v>
      </c>
      <c r="O86" s="32">
        <f t="shared" si="19"/>
        <v>0</v>
      </c>
      <c r="P86" s="32">
        <f t="shared" si="20"/>
        <v>0</v>
      </c>
      <c r="Q86" s="32">
        <f t="shared" si="21"/>
        <v>0</v>
      </c>
      <c r="R86" s="32">
        <f t="shared" si="22"/>
        <v>0</v>
      </c>
      <c r="S86" s="32">
        <f t="shared" si="23"/>
        <v>0</v>
      </c>
      <c r="T86" s="32">
        <f t="shared" si="24"/>
        <v>0</v>
      </c>
      <c r="U86" s="32">
        <f t="shared" si="25"/>
        <v>0</v>
      </c>
    </row>
    <row r="87" spans="1:21" x14ac:dyDescent="0.25">
      <c r="A87" s="135"/>
      <c r="B87" s="136"/>
      <c r="C87" s="136"/>
      <c r="D87" s="136"/>
      <c r="E87" s="137"/>
      <c r="F87" s="136"/>
      <c r="G87" s="32">
        <f t="shared" si="26"/>
        <v>0</v>
      </c>
      <c r="H87" s="32">
        <f t="shared" si="26"/>
        <v>0</v>
      </c>
      <c r="I87" s="32">
        <f t="shared" si="14"/>
        <v>0</v>
      </c>
      <c r="J87" s="32">
        <f t="shared" si="15"/>
        <v>0</v>
      </c>
      <c r="K87" s="32">
        <f t="shared" si="16"/>
        <v>0</v>
      </c>
      <c r="L87" s="32">
        <f t="shared" si="17"/>
        <v>0</v>
      </c>
      <c r="M87" s="32">
        <f t="shared" si="18"/>
        <v>0</v>
      </c>
      <c r="N87" s="32">
        <f t="shared" si="19"/>
        <v>0</v>
      </c>
      <c r="O87" s="32">
        <f t="shared" si="19"/>
        <v>0</v>
      </c>
      <c r="P87" s="32">
        <f t="shared" si="20"/>
        <v>0</v>
      </c>
      <c r="Q87" s="32">
        <f t="shared" si="21"/>
        <v>0</v>
      </c>
      <c r="R87" s="32">
        <f t="shared" si="22"/>
        <v>0</v>
      </c>
      <c r="S87" s="32">
        <f t="shared" si="23"/>
        <v>0</v>
      </c>
      <c r="T87" s="32">
        <f t="shared" si="24"/>
        <v>0</v>
      </c>
      <c r="U87" s="32">
        <f t="shared" si="25"/>
        <v>0</v>
      </c>
    </row>
    <row r="88" spans="1:21" x14ac:dyDescent="0.25">
      <c r="A88" s="135"/>
      <c r="B88" s="136"/>
      <c r="C88" s="136"/>
      <c r="D88" s="136"/>
      <c r="E88" s="137"/>
      <c r="F88" s="136"/>
      <c r="G88" s="32">
        <f t="shared" si="26"/>
        <v>0</v>
      </c>
      <c r="H88" s="32">
        <f t="shared" si="26"/>
        <v>0</v>
      </c>
      <c r="I88" s="32">
        <f t="shared" si="14"/>
        <v>0</v>
      </c>
      <c r="J88" s="32">
        <f t="shared" si="15"/>
        <v>0</v>
      </c>
      <c r="K88" s="32">
        <f t="shared" si="16"/>
        <v>0</v>
      </c>
      <c r="L88" s="32">
        <f t="shared" si="17"/>
        <v>0</v>
      </c>
      <c r="M88" s="32">
        <f t="shared" si="18"/>
        <v>0</v>
      </c>
      <c r="N88" s="32">
        <f t="shared" si="19"/>
        <v>0</v>
      </c>
      <c r="O88" s="32">
        <f t="shared" si="19"/>
        <v>0</v>
      </c>
      <c r="P88" s="32">
        <f t="shared" si="20"/>
        <v>0</v>
      </c>
      <c r="Q88" s="32">
        <f t="shared" si="21"/>
        <v>0</v>
      </c>
      <c r="R88" s="32">
        <f t="shared" si="22"/>
        <v>0</v>
      </c>
      <c r="S88" s="32">
        <f t="shared" si="23"/>
        <v>0</v>
      </c>
      <c r="T88" s="32">
        <f t="shared" si="24"/>
        <v>0</v>
      </c>
      <c r="U88" s="32">
        <f t="shared" si="25"/>
        <v>0</v>
      </c>
    </row>
    <row r="89" spans="1:21" x14ac:dyDescent="0.25">
      <c r="A89" s="135"/>
      <c r="B89" s="136"/>
      <c r="C89" s="136"/>
      <c r="D89" s="136"/>
      <c r="E89" s="137"/>
      <c r="F89" s="136"/>
      <c r="G89" s="32">
        <f t="shared" si="26"/>
        <v>0</v>
      </c>
      <c r="H89" s="32">
        <f t="shared" si="26"/>
        <v>0</v>
      </c>
      <c r="I89" s="32">
        <f t="shared" si="14"/>
        <v>0</v>
      </c>
      <c r="J89" s="32">
        <f t="shared" si="15"/>
        <v>0</v>
      </c>
      <c r="K89" s="32">
        <f t="shared" si="16"/>
        <v>0</v>
      </c>
      <c r="L89" s="32">
        <f t="shared" si="17"/>
        <v>0</v>
      </c>
      <c r="M89" s="32">
        <f t="shared" si="18"/>
        <v>0</v>
      </c>
      <c r="N89" s="32">
        <f t="shared" si="19"/>
        <v>0</v>
      </c>
      <c r="O89" s="32">
        <f t="shared" si="19"/>
        <v>0</v>
      </c>
      <c r="P89" s="32">
        <f t="shared" si="20"/>
        <v>0</v>
      </c>
      <c r="Q89" s="32">
        <f t="shared" si="21"/>
        <v>0</v>
      </c>
      <c r="R89" s="32">
        <f t="shared" si="22"/>
        <v>0</v>
      </c>
      <c r="S89" s="32">
        <f t="shared" si="23"/>
        <v>0</v>
      </c>
      <c r="T89" s="32">
        <f t="shared" si="24"/>
        <v>0</v>
      </c>
      <c r="U89" s="32">
        <f t="shared" si="25"/>
        <v>0</v>
      </c>
    </row>
    <row r="90" spans="1:21" x14ac:dyDescent="0.25">
      <c r="A90" s="135"/>
      <c r="B90" s="136"/>
      <c r="C90" s="136"/>
      <c r="D90" s="136"/>
      <c r="E90" s="137"/>
      <c r="F90" s="136"/>
      <c r="G90" s="32">
        <f t="shared" si="26"/>
        <v>0</v>
      </c>
      <c r="H90" s="32">
        <f t="shared" si="26"/>
        <v>0</v>
      </c>
      <c r="I90" s="32">
        <f t="shared" si="14"/>
        <v>0</v>
      </c>
      <c r="J90" s="32">
        <f t="shared" si="15"/>
        <v>0</v>
      </c>
      <c r="K90" s="32">
        <f t="shared" si="16"/>
        <v>0</v>
      </c>
      <c r="L90" s="32">
        <f t="shared" si="17"/>
        <v>0</v>
      </c>
      <c r="M90" s="32">
        <f t="shared" si="18"/>
        <v>0</v>
      </c>
      <c r="N90" s="32">
        <f t="shared" si="19"/>
        <v>0</v>
      </c>
      <c r="O90" s="32">
        <f t="shared" si="19"/>
        <v>0</v>
      </c>
      <c r="P90" s="32">
        <f t="shared" si="20"/>
        <v>0</v>
      </c>
      <c r="Q90" s="32">
        <f t="shared" si="21"/>
        <v>0</v>
      </c>
      <c r="R90" s="32">
        <f t="shared" si="22"/>
        <v>0</v>
      </c>
      <c r="S90" s="32">
        <f t="shared" si="23"/>
        <v>0</v>
      </c>
      <c r="T90" s="32">
        <f t="shared" si="24"/>
        <v>0</v>
      </c>
      <c r="U90" s="32">
        <f t="shared" si="25"/>
        <v>0</v>
      </c>
    </row>
    <row r="91" spans="1:21" x14ac:dyDescent="0.25">
      <c r="A91" s="135"/>
      <c r="B91" s="136"/>
      <c r="C91" s="136"/>
      <c r="D91" s="136"/>
      <c r="E91" s="137"/>
      <c r="F91" s="136"/>
      <c r="G91" s="32">
        <f t="shared" si="26"/>
        <v>0</v>
      </c>
      <c r="H91" s="32">
        <f t="shared" si="26"/>
        <v>0</v>
      </c>
      <c r="I91" s="32">
        <f t="shared" si="14"/>
        <v>0</v>
      </c>
      <c r="J91" s="32">
        <f t="shared" si="15"/>
        <v>0</v>
      </c>
      <c r="K91" s="32">
        <f t="shared" si="16"/>
        <v>0</v>
      </c>
      <c r="L91" s="32">
        <f t="shared" si="17"/>
        <v>0</v>
      </c>
      <c r="M91" s="32">
        <f t="shared" si="18"/>
        <v>0</v>
      </c>
      <c r="N91" s="32">
        <f t="shared" si="19"/>
        <v>0</v>
      </c>
      <c r="O91" s="32">
        <f t="shared" si="19"/>
        <v>0</v>
      </c>
      <c r="P91" s="32">
        <f t="shared" si="20"/>
        <v>0</v>
      </c>
      <c r="Q91" s="32">
        <f t="shared" si="21"/>
        <v>0</v>
      </c>
      <c r="R91" s="32">
        <f t="shared" si="22"/>
        <v>0</v>
      </c>
      <c r="S91" s="32">
        <f t="shared" si="23"/>
        <v>0</v>
      </c>
      <c r="T91" s="32">
        <f t="shared" si="24"/>
        <v>0</v>
      </c>
      <c r="U91" s="32">
        <f t="shared" si="25"/>
        <v>0</v>
      </c>
    </row>
    <row r="92" spans="1:21" x14ac:dyDescent="0.25">
      <c r="A92" s="135"/>
      <c r="B92" s="136"/>
      <c r="C92" s="136"/>
      <c r="D92" s="136"/>
      <c r="E92" s="137"/>
      <c r="F92" s="136"/>
      <c r="G92" s="32">
        <f t="shared" si="26"/>
        <v>0</v>
      </c>
      <c r="H92" s="32">
        <f t="shared" si="26"/>
        <v>0</v>
      </c>
      <c r="I92" s="32">
        <f t="shared" si="14"/>
        <v>0</v>
      </c>
      <c r="J92" s="32">
        <f t="shared" si="15"/>
        <v>0</v>
      </c>
      <c r="K92" s="32">
        <f t="shared" si="16"/>
        <v>0</v>
      </c>
      <c r="L92" s="32">
        <f t="shared" si="17"/>
        <v>0</v>
      </c>
      <c r="M92" s="32">
        <f t="shared" si="18"/>
        <v>0</v>
      </c>
      <c r="N92" s="32">
        <f t="shared" si="19"/>
        <v>0</v>
      </c>
      <c r="O92" s="32">
        <f t="shared" si="19"/>
        <v>0</v>
      </c>
      <c r="P92" s="32">
        <f t="shared" si="20"/>
        <v>0</v>
      </c>
      <c r="Q92" s="32">
        <f t="shared" si="21"/>
        <v>0</v>
      </c>
      <c r="R92" s="32">
        <f t="shared" si="22"/>
        <v>0</v>
      </c>
      <c r="S92" s="32">
        <f t="shared" si="23"/>
        <v>0</v>
      </c>
      <c r="T92" s="32">
        <f t="shared" si="24"/>
        <v>0</v>
      </c>
      <c r="U92" s="32">
        <f t="shared" si="25"/>
        <v>0</v>
      </c>
    </row>
    <row r="93" spans="1:21" x14ac:dyDescent="0.25">
      <c r="A93" s="97"/>
      <c r="B93" s="98"/>
      <c r="C93" s="98"/>
      <c r="D93" s="98"/>
      <c r="E93" s="99"/>
      <c r="F93" s="98"/>
      <c r="G93" s="32">
        <f t="shared" ref="G93:G124" si="27">IF(AND(ISNUMBER(SEARCH("FORET D8,6 COMPLET", $B93)),ISNUMBER(SEARCH("EMAG 2", $F93))), 1*$E93, 0)</f>
        <v>0</v>
      </c>
      <c r="H93" s="32">
        <f t="shared" ref="H93:H124" si="28">IF(AND(ISNUMBER(SEARCH("FORET D8,6 COMPLET", $B93)),ISNUMBER(SEARCH("EMAG 2", $F93))), 1*$E93, 0)</f>
        <v>0</v>
      </c>
      <c r="I93" s="32">
        <f t="shared" ref="I93:I124" si="29">IF(AND(ISNUMBER(SEARCH("FORET D13,3 COMPLET", $B93)),ISNUMBER(SEARCH("EMAG 2", $F93))), 1*$E93, 0)</f>
        <v>0</v>
      </c>
      <c r="J93" s="32">
        <f t="shared" ref="J93:J124" si="30">IF(AND(ISNUMBER(SEARCH("FORET D13,3 COMPLET", $B93)),ISNUMBER(SEARCH("EMAG 2", $F93))), 2*$E93, 0)</f>
        <v>0</v>
      </c>
      <c r="K93" s="32">
        <f t="shared" ref="K93:K124" si="31">IF(AND(ISNUMBER(SEARCH("FORET D15,3 COMPLET", $B93)),ISNUMBER(SEARCH("EMAG 2", $F93))), 1*$E93, 0)</f>
        <v>0</v>
      </c>
      <c r="L93" s="32">
        <f t="shared" ref="L93:L124" si="32">IF(AND(ISNUMBER(SEARCH("FORET D15,3 COMPLET", $B93)),ISNUMBER(SEARCH("EMAG 2", $F93))), 2*$E93, 0)</f>
        <v>0</v>
      </c>
      <c r="M93" s="32">
        <f t="shared" ref="M93:M124" si="33">IF(AND(ISNUMBER(SEARCH("T5013 COMPLET", $B93)),ISNUMBER(SEARCH("EMAG 2", $F93))), 2*$E93, 0)</f>
        <v>0</v>
      </c>
      <c r="N93" s="32">
        <f t="shared" ref="N93:N124" si="34">IF(AND(ISNUMBER(SEARCH("FORET D8,6 COMPLET", $B93)),ISNUMBER(SEARCH("EMAG 1", $F93))), 1*$E93, 0)</f>
        <v>0</v>
      </c>
      <c r="O93" s="32">
        <f t="shared" ref="O93:O124" si="35">IF(AND(ISNUMBER(SEARCH("FORET D8,6 COMPLET", $B93)),ISNUMBER(SEARCH("EMAG 1", $F93))), 1*$E93, 0)</f>
        <v>0</v>
      </c>
      <c r="P93" s="32">
        <f t="shared" ref="P93:P124" si="36">IF(AND(ISNUMBER(SEARCH("FORET D13,3 COMPLET", $B93)),ISNUMBER(SEARCH("EMAG 1", $F93))), 1*$E93, 0)</f>
        <v>0</v>
      </c>
      <c r="Q93" s="32">
        <f t="shared" ref="Q93:Q124" si="37">IF(AND(ISNUMBER(SEARCH("FORET D13,3 COMPLET", $B93)),ISNUMBER(SEARCH("EMAG 1", $F93))), 2*$E93, 0)</f>
        <v>0</v>
      </c>
      <c r="R93" s="32">
        <f t="shared" ref="R93:R124" si="38">IF(AND(ISNUMBER(SEARCH("FORET D15,3 COMPLET", $B93)),ISNUMBER(SEARCH("EMAG 1", $F93))), 1*$E93, 0)</f>
        <v>0</v>
      </c>
      <c r="S93" s="32">
        <f t="shared" ref="S93:S124" si="39">IF(AND(ISNUMBER(SEARCH("FORET D15,3 COMPLET", $B93)),ISNUMBER(SEARCH("EMAG 1", $F93))), 2*$E93, 0)</f>
        <v>0</v>
      </c>
      <c r="T93" s="32">
        <f t="shared" ref="T93:T124" si="40">IF(AND(ISNUMBER(SEARCH("FORET D13,3 COMPLET", $B93)),ISNUMBER(SEARCH("EMAG 3", $F93))), 1*$E93, 0)</f>
        <v>0</v>
      </c>
      <c r="U93" s="32">
        <f t="shared" ref="U93:U124" si="41">IF(AND(ISNUMBER(SEARCH("FORET D13,3 COMPLET", $B93)),ISNUMBER(SEARCH("EMAG 3", $F93))), 2*$E93, 0)</f>
        <v>0</v>
      </c>
    </row>
    <row r="94" spans="1:21" x14ac:dyDescent="0.25">
      <c r="A94" s="97"/>
      <c r="B94" s="98"/>
      <c r="C94" s="98"/>
      <c r="D94" s="98"/>
      <c r="E94" s="99"/>
      <c r="F94" s="98"/>
      <c r="G94" s="32">
        <f t="shared" si="27"/>
        <v>0</v>
      </c>
      <c r="H94" s="32">
        <f t="shared" si="28"/>
        <v>0</v>
      </c>
      <c r="I94" s="32">
        <f t="shared" si="29"/>
        <v>0</v>
      </c>
      <c r="J94" s="32">
        <f t="shared" si="30"/>
        <v>0</v>
      </c>
      <c r="K94" s="32">
        <f t="shared" si="31"/>
        <v>0</v>
      </c>
      <c r="L94" s="32">
        <f t="shared" si="32"/>
        <v>0</v>
      </c>
      <c r="M94" s="32">
        <f t="shared" si="33"/>
        <v>0</v>
      </c>
      <c r="N94" s="32">
        <f t="shared" si="34"/>
        <v>0</v>
      </c>
      <c r="O94" s="32">
        <f t="shared" si="35"/>
        <v>0</v>
      </c>
      <c r="P94" s="32">
        <f t="shared" si="36"/>
        <v>0</v>
      </c>
      <c r="Q94" s="32">
        <f t="shared" si="37"/>
        <v>0</v>
      </c>
      <c r="R94" s="32">
        <f t="shared" si="38"/>
        <v>0</v>
      </c>
      <c r="S94" s="32">
        <f t="shared" si="39"/>
        <v>0</v>
      </c>
      <c r="T94" s="32">
        <f t="shared" si="40"/>
        <v>0</v>
      </c>
      <c r="U94" s="32">
        <f t="shared" si="41"/>
        <v>0</v>
      </c>
    </row>
    <row r="95" spans="1:21" x14ac:dyDescent="0.25">
      <c r="A95" s="97"/>
      <c r="B95" s="98"/>
      <c r="C95" s="98"/>
      <c r="D95" s="98"/>
      <c r="E95" s="99"/>
      <c r="F95" s="98"/>
      <c r="G95" s="32">
        <f t="shared" si="27"/>
        <v>0</v>
      </c>
      <c r="H95" s="32">
        <f t="shared" si="28"/>
        <v>0</v>
      </c>
      <c r="I95" s="32">
        <f t="shared" si="29"/>
        <v>0</v>
      </c>
      <c r="J95" s="32">
        <f t="shared" si="30"/>
        <v>0</v>
      </c>
      <c r="K95" s="32">
        <f t="shared" si="31"/>
        <v>0</v>
      </c>
      <c r="L95" s="32">
        <f t="shared" si="32"/>
        <v>0</v>
      </c>
      <c r="M95" s="32">
        <f t="shared" si="33"/>
        <v>0</v>
      </c>
      <c r="N95" s="32">
        <f t="shared" si="34"/>
        <v>0</v>
      </c>
      <c r="O95" s="32">
        <f t="shared" si="35"/>
        <v>0</v>
      </c>
      <c r="P95" s="32">
        <f t="shared" si="36"/>
        <v>0</v>
      </c>
      <c r="Q95" s="32">
        <f t="shared" si="37"/>
        <v>0</v>
      </c>
      <c r="R95" s="32">
        <f t="shared" si="38"/>
        <v>0</v>
      </c>
      <c r="S95" s="32">
        <f t="shared" si="39"/>
        <v>0</v>
      </c>
      <c r="T95" s="32">
        <f t="shared" si="40"/>
        <v>0</v>
      </c>
      <c r="U95" s="32">
        <f t="shared" si="41"/>
        <v>0</v>
      </c>
    </row>
    <row r="96" spans="1:21" x14ac:dyDescent="0.25">
      <c r="A96" s="97"/>
      <c r="B96" s="98"/>
      <c r="C96" s="98"/>
      <c r="D96" s="98"/>
      <c r="E96" s="99"/>
      <c r="F96" s="98"/>
      <c r="G96" s="32">
        <f t="shared" si="27"/>
        <v>0</v>
      </c>
      <c r="H96" s="32">
        <f t="shared" si="28"/>
        <v>0</v>
      </c>
      <c r="I96" s="32">
        <f t="shared" si="29"/>
        <v>0</v>
      </c>
      <c r="J96" s="32">
        <f t="shared" si="30"/>
        <v>0</v>
      </c>
      <c r="K96" s="32">
        <f t="shared" si="31"/>
        <v>0</v>
      </c>
      <c r="L96" s="32">
        <f t="shared" si="32"/>
        <v>0</v>
      </c>
      <c r="M96" s="32">
        <f t="shared" si="33"/>
        <v>0</v>
      </c>
      <c r="N96" s="32">
        <f t="shared" si="34"/>
        <v>0</v>
      </c>
      <c r="O96" s="32">
        <f t="shared" si="35"/>
        <v>0</v>
      </c>
      <c r="P96" s="32">
        <f t="shared" si="36"/>
        <v>0</v>
      </c>
      <c r="Q96" s="32">
        <f t="shared" si="37"/>
        <v>0</v>
      </c>
      <c r="R96" s="32">
        <f t="shared" si="38"/>
        <v>0</v>
      </c>
      <c r="S96" s="32">
        <f t="shared" si="39"/>
        <v>0</v>
      </c>
      <c r="T96" s="32">
        <f t="shared" si="40"/>
        <v>0</v>
      </c>
      <c r="U96" s="32">
        <f t="shared" si="41"/>
        <v>0</v>
      </c>
    </row>
    <row r="97" spans="1:21" x14ac:dyDescent="0.25">
      <c r="A97" s="97"/>
      <c r="B97" s="98"/>
      <c r="C97" s="98"/>
      <c r="D97" s="98"/>
      <c r="E97" s="99"/>
      <c r="F97" s="98"/>
      <c r="G97" s="32">
        <f t="shared" si="27"/>
        <v>0</v>
      </c>
      <c r="H97" s="32">
        <f t="shared" si="28"/>
        <v>0</v>
      </c>
      <c r="I97" s="32">
        <f t="shared" si="29"/>
        <v>0</v>
      </c>
      <c r="J97" s="32">
        <f t="shared" si="30"/>
        <v>0</v>
      </c>
      <c r="K97" s="32">
        <f t="shared" si="31"/>
        <v>0</v>
      </c>
      <c r="L97" s="32">
        <f t="shared" si="32"/>
        <v>0</v>
      </c>
      <c r="M97" s="32">
        <f t="shared" si="33"/>
        <v>0</v>
      </c>
      <c r="N97" s="32">
        <f t="shared" si="34"/>
        <v>0</v>
      </c>
      <c r="O97" s="32">
        <f t="shared" si="35"/>
        <v>0</v>
      </c>
      <c r="P97" s="32">
        <f t="shared" si="36"/>
        <v>0</v>
      </c>
      <c r="Q97" s="32">
        <f t="shared" si="37"/>
        <v>0</v>
      </c>
      <c r="R97" s="32">
        <f t="shared" si="38"/>
        <v>0</v>
      </c>
      <c r="S97" s="32">
        <f t="shared" si="39"/>
        <v>0</v>
      </c>
      <c r="T97" s="32">
        <f t="shared" si="40"/>
        <v>0</v>
      </c>
      <c r="U97" s="32">
        <f t="shared" si="41"/>
        <v>0</v>
      </c>
    </row>
    <row r="98" spans="1:21" x14ac:dyDescent="0.25">
      <c r="A98" s="97"/>
      <c r="B98" s="98"/>
      <c r="C98" s="98"/>
      <c r="D98" s="98"/>
      <c r="E98" s="99"/>
      <c r="F98" s="98"/>
      <c r="G98" s="32">
        <f t="shared" si="27"/>
        <v>0</v>
      </c>
      <c r="H98" s="32">
        <f t="shared" si="28"/>
        <v>0</v>
      </c>
      <c r="I98" s="32">
        <f t="shared" si="29"/>
        <v>0</v>
      </c>
      <c r="J98" s="32">
        <f t="shared" si="30"/>
        <v>0</v>
      </c>
      <c r="K98" s="32">
        <f t="shared" si="31"/>
        <v>0</v>
      </c>
      <c r="L98" s="32">
        <f t="shared" si="32"/>
        <v>0</v>
      </c>
      <c r="M98" s="32">
        <f t="shared" si="33"/>
        <v>0</v>
      </c>
      <c r="N98" s="32">
        <f t="shared" si="34"/>
        <v>0</v>
      </c>
      <c r="O98" s="32">
        <f t="shared" si="35"/>
        <v>0</v>
      </c>
      <c r="P98" s="32">
        <f t="shared" si="36"/>
        <v>0</v>
      </c>
      <c r="Q98" s="32">
        <f t="shared" si="37"/>
        <v>0</v>
      </c>
      <c r="R98" s="32">
        <f t="shared" si="38"/>
        <v>0</v>
      </c>
      <c r="S98" s="32">
        <f t="shared" si="39"/>
        <v>0</v>
      </c>
      <c r="T98" s="32">
        <f t="shared" si="40"/>
        <v>0</v>
      </c>
      <c r="U98" s="32">
        <f t="shared" si="41"/>
        <v>0</v>
      </c>
    </row>
    <row r="99" spans="1:21" x14ac:dyDescent="0.25">
      <c r="A99" s="97"/>
      <c r="B99" s="98"/>
      <c r="C99" s="98"/>
      <c r="D99" s="98"/>
      <c r="E99" s="99"/>
      <c r="F99" s="98"/>
      <c r="G99" s="32">
        <f t="shared" si="27"/>
        <v>0</v>
      </c>
      <c r="H99" s="32">
        <f t="shared" si="28"/>
        <v>0</v>
      </c>
      <c r="I99" s="32">
        <f t="shared" si="29"/>
        <v>0</v>
      </c>
      <c r="J99" s="32">
        <f t="shared" si="30"/>
        <v>0</v>
      </c>
      <c r="K99" s="32">
        <f t="shared" si="31"/>
        <v>0</v>
      </c>
      <c r="L99" s="32">
        <f t="shared" si="32"/>
        <v>0</v>
      </c>
      <c r="M99" s="32">
        <f t="shared" si="33"/>
        <v>0</v>
      </c>
      <c r="N99" s="32">
        <f t="shared" si="34"/>
        <v>0</v>
      </c>
      <c r="O99" s="32">
        <f t="shared" si="35"/>
        <v>0</v>
      </c>
      <c r="P99" s="32">
        <f t="shared" si="36"/>
        <v>0</v>
      </c>
      <c r="Q99" s="32">
        <f t="shared" si="37"/>
        <v>0</v>
      </c>
      <c r="R99" s="32">
        <f t="shared" si="38"/>
        <v>0</v>
      </c>
      <c r="S99" s="32">
        <f t="shared" si="39"/>
        <v>0</v>
      </c>
      <c r="T99" s="32">
        <f t="shared" si="40"/>
        <v>0</v>
      </c>
      <c r="U99" s="32">
        <f t="shared" si="41"/>
        <v>0</v>
      </c>
    </row>
    <row r="100" spans="1:21" x14ac:dyDescent="0.25">
      <c r="A100" s="97"/>
      <c r="B100" s="98"/>
      <c r="C100" s="98"/>
      <c r="D100" s="98"/>
      <c r="E100" s="99"/>
      <c r="F100" s="98"/>
      <c r="G100" s="32">
        <f t="shared" si="27"/>
        <v>0</v>
      </c>
      <c r="H100" s="32">
        <f t="shared" si="28"/>
        <v>0</v>
      </c>
      <c r="I100" s="32">
        <f t="shared" si="29"/>
        <v>0</v>
      </c>
      <c r="J100" s="32">
        <f t="shared" si="30"/>
        <v>0</v>
      </c>
      <c r="K100" s="32">
        <f t="shared" si="31"/>
        <v>0</v>
      </c>
      <c r="L100" s="32">
        <f t="shared" si="32"/>
        <v>0</v>
      </c>
      <c r="M100" s="32">
        <f t="shared" si="33"/>
        <v>0</v>
      </c>
      <c r="N100" s="32">
        <f t="shared" si="34"/>
        <v>0</v>
      </c>
      <c r="O100" s="32">
        <f t="shared" si="35"/>
        <v>0</v>
      </c>
      <c r="P100" s="32">
        <f t="shared" si="36"/>
        <v>0</v>
      </c>
      <c r="Q100" s="32">
        <f t="shared" si="37"/>
        <v>0</v>
      </c>
      <c r="R100" s="32">
        <f t="shared" si="38"/>
        <v>0</v>
      </c>
      <c r="S100" s="32">
        <f t="shared" si="39"/>
        <v>0</v>
      </c>
      <c r="T100" s="32">
        <f t="shared" si="40"/>
        <v>0</v>
      </c>
      <c r="U100" s="32">
        <f t="shared" si="41"/>
        <v>0</v>
      </c>
    </row>
    <row r="101" spans="1:21" x14ac:dyDescent="0.25">
      <c r="A101" s="97"/>
      <c r="B101" s="98"/>
      <c r="C101" s="98"/>
      <c r="D101" s="98"/>
      <c r="E101" s="99"/>
      <c r="F101" s="98"/>
      <c r="G101" s="32">
        <f t="shared" si="27"/>
        <v>0</v>
      </c>
      <c r="H101" s="32">
        <f t="shared" si="28"/>
        <v>0</v>
      </c>
      <c r="I101" s="32">
        <f t="shared" si="29"/>
        <v>0</v>
      </c>
      <c r="J101" s="32">
        <f t="shared" si="30"/>
        <v>0</v>
      </c>
      <c r="K101" s="32">
        <f t="shared" si="31"/>
        <v>0</v>
      </c>
      <c r="L101" s="32">
        <f t="shared" si="32"/>
        <v>0</v>
      </c>
      <c r="M101" s="32">
        <f t="shared" si="33"/>
        <v>0</v>
      </c>
      <c r="N101" s="32">
        <f t="shared" si="34"/>
        <v>0</v>
      </c>
      <c r="O101" s="32">
        <f t="shared" si="35"/>
        <v>0</v>
      </c>
      <c r="P101" s="32">
        <f t="shared" si="36"/>
        <v>0</v>
      </c>
      <c r="Q101" s="32">
        <f t="shared" si="37"/>
        <v>0</v>
      </c>
      <c r="R101" s="32">
        <f t="shared" si="38"/>
        <v>0</v>
      </c>
      <c r="S101" s="32">
        <f t="shared" si="39"/>
        <v>0</v>
      </c>
      <c r="T101" s="32">
        <f t="shared" si="40"/>
        <v>0</v>
      </c>
      <c r="U101" s="32">
        <f t="shared" si="41"/>
        <v>0</v>
      </c>
    </row>
    <row r="102" spans="1:21" x14ac:dyDescent="0.25">
      <c r="A102" s="97"/>
      <c r="B102" s="98"/>
      <c r="C102" s="98"/>
      <c r="D102" s="98"/>
      <c r="E102" s="99"/>
      <c r="F102" s="98"/>
      <c r="G102" s="32">
        <f t="shared" si="27"/>
        <v>0</v>
      </c>
      <c r="H102" s="32">
        <f t="shared" si="28"/>
        <v>0</v>
      </c>
      <c r="I102" s="32">
        <f t="shared" si="29"/>
        <v>0</v>
      </c>
      <c r="J102" s="32">
        <f t="shared" si="30"/>
        <v>0</v>
      </c>
      <c r="K102" s="32">
        <f t="shared" si="31"/>
        <v>0</v>
      </c>
      <c r="L102" s="32">
        <f t="shared" si="32"/>
        <v>0</v>
      </c>
      <c r="M102" s="32">
        <f t="shared" si="33"/>
        <v>0</v>
      </c>
      <c r="N102" s="32">
        <f t="shared" si="34"/>
        <v>0</v>
      </c>
      <c r="O102" s="32">
        <f t="shared" si="35"/>
        <v>0</v>
      </c>
      <c r="P102" s="32">
        <f t="shared" si="36"/>
        <v>0</v>
      </c>
      <c r="Q102" s="32">
        <f t="shared" si="37"/>
        <v>0</v>
      </c>
      <c r="R102" s="32">
        <f t="shared" si="38"/>
        <v>0</v>
      </c>
      <c r="S102" s="32">
        <f t="shared" si="39"/>
        <v>0</v>
      </c>
      <c r="T102" s="32">
        <f t="shared" si="40"/>
        <v>0</v>
      </c>
      <c r="U102" s="32">
        <f t="shared" si="41"/>
        <v>0</v>
      </c>
    </row>
    <row r="103" spans="1:21" x14ac:dyDescent="0.25">
      <c r="A103" s="97"/>
      <c r="B103" s="98"/>
      <c r="C103" s="98"/>
      <c r="D103" s="98"/>
      <c r="E103" s="99"/>
      <c r="F103" s="98"/>
      <c r="G103" s="32">
        <f t="shared" si="27"/>
        <v>0</v>
      </c>
      <c r="H103" s="32">
        <f t="shared" si="28"/>
        <v>0</v>
      </c>
      <c r="I103" s="32">
        <f t="shared" si="29"/>
        <v>0</v>
      </c>
      <c r="J103" s="32">
        <f t="shared" si="30"/>
        <v>0</v>
      </c>
      <c r="K103" s="32">
        <f t="shared" si="31"/>
        <v>0</v>
      </c>
      <c r="L103" s="32">
        <f t="shared" si="32"/>
        <v>0</v>
      </c>
      <c r="M103" s="32">
        <f t="shared" si="33"/>
        <v>0</v>
      </c>
      <c r="N103" s="32">
        <f t="shared" si="34"/>
        <v>0</v>
      </c>
      <c r="O103" s="32">
        <f t="shared" si="35"/>
        <v>0</v>
      </c>
      <c r="P103" s="32">
        <f t="shared" si="36"/>
        <v>0</v>
      </c>
      <c r="Q103" s="32">
        <f t="shared" si="37"/>
        <v>0</v>
      </c>
      <c r="R103" s="32">
        <f t="shared" si="38"/>
        <v>0</v>
      </c>
      <c r="S103" s="32">
        <f t="shared" si="39"/>
        <v>0</v>
      </c>
      <c r="T103" s="32">
        <f t="shared" si="40"/>
        <v>0</v>
      </c>
      <c r="U103" s="32">
        <f t="shared" si="41"/>
        <v>0</v>
      </c>
    </row>
    <row r="104" spans="1:21" x14ac:dyDescent="0.25">
      <c r="A104" s="97"/>
      <c r="B104" s="98"/>
      <c r="C104" s="98"/>
      <c r="D104" s="98"/>
      <c r="E104" s="99"/>
      <c r="F104" s="98"/>
      <c r="G104" s="32">
        <f t="shared" si="27"/>
        <v>0</v>
      </c>
      <c r="H104" s="32">
        <f t="shared" si="28"/>
        <v>0</v>
      </c>
      <c r="I104" s="32">
        <f t="shared" si="29"/>
        <v>0</v>
      </c>
      <c r="J104" s="32">
        <f t="shared" si="30"/>
        <v>0</v>
      </c>
      <c r="K104" s="32">
        <f t="shared" si="31"/>
        <v>0</v>
      </c>
      <c r="L104" s="32">
        <f t="shared" si="32"/>
        <v>0</v>
      </c>
      <c r="M104" s="32">
        <f t="shared" si="33"/>
        <v>0</v>
      </c>
      <c r="N104" s="32">
        <f t="shared" si="34"/>
        <v>0</v>
      </c>
      <c r="O104" s="32">
        <f t="shared" si="35"/>
        <v>0</v>
      </c>
      <c r="P104" s="32">
        <f t="shared" si="36"/>
        <v>0</v>
      </c>
      <c r="Q104" s="32">
        <f t="shared" si="37"/>
        <v>0</v>
      </c>
      <c r="R104" s="32">
        <f t="shared" si="38"/>
        <v>0</v>
      </c>
      <c r="S104" s="32">
        <f t="shared" si="39"/>
        <v>0</v>
      </c>
      <c r="T104" s="32">
        <f t="shared" si="40"/>
        <v>0</v>
      </c>
      <c r="U104" s="32">
        <f t="shared" si="41"/>
        <v>0</v>
      </c>
    </row>
    <row r="105" spans="1:21" x14ac:dyDescent="0.25">
      <c r="A105" s="97"/>
      <c r="B105" s="98"/>
      <c r="C105" s="98"/>
      <c r="D105" s="98"/>
      <c r="E105" s="99"/>
      <c r="F105" s="98"/>
      <c r="G105" s="32">
        <f t="shared" si="27"/>
        <v>0</v>
      </c>
      <c r="H105" s="32">
        <f t="shared" si="28"/>
        <v>0</v>
      </c>
      <c r="I105" s="32">
        <f t="shared" si="29"/>
        <v>0</v>
      </c>
      <c r="J105" s="32">
        <f t="shared" si="30"/>
        <v>0</v>
      </c>
      <c r="K105" s="32">
        <f t="shared" si="31"/>
        <v>0</v>
      </c>
      <c r="L105" s="32">
        <f t="shared" si="32"/>
        <v>0</v>
      </c>
      <c r="M105" s="32">
        <f t="shared" si="33"/>
        <v>0</v>
      </c>
      <c r="N105" s="32">
        <f t="shared" si="34"/>
        <v>0</v>
      </c>
      <c r="O105" s="32">
        <f t="shared" si="35"/>
        <v>0</v>
      </c>
      <c r="P105" s="32">
        <f t="shared" si="36"/>
        <v>0</v>
      </c>
      <c r="Q105" s="32">
        <f t="shared" si="37"/>
        <v>0</v>
      </c>
      <c r="R105" s="32">
        <f t="shared" si="38"/>
        <v>0</v>
      </c>
      <c r="S105" s="32">
        <f t="shared" si="39"/>
        <v>0</v>
      </c>
      <c r="T105" s="32">
        <f t="shared" si="40"/>
        <v>0</v>
      </c>
      <c r="U105" s="32">
        <f t="shared" si="41"/>
        <v>0</v>
      </c>
    </row>
    <row r="106" spans="1:21" x14ac:dyDescent="0.25">
      <c r="A106" s="97"/>
      <c r="B106" s="98"/>
      <c r="C106" s="98"/>
      <c r="D106" s="98"/>
      <c r="E106" s="99"/>
      <c r="F106" s="98"/>
      <c r="G106" s="32">
        <f t="shared" si="27"/>
        <v>0</v>
      </c>
      <c r="H106" s="32">
        <f t="shared" si="28"/>
        <v>0</v>
      </c>
      <c r="I106" s="32">
        <f t="shared" si="29"/>
        <v>0</v>
      </c>
      <c r="J106" s="32">
        <f t="shared" si="30"/>
        <v>0</v>
      </c>
      <c r="K106" s="32">
        <f t="shared" si="31"/>
        <v>0</v>
      </c>
      <c r="L106" s="32">
        <f t="shared" si="32"/>
        <v>0</v>
      </c>
      <c r="M106" s="32">
        <f t="shared" si="33"/>
        <v>0</v>
      </c>
      <c r="N106" s="32">
        <f t="shared" si="34"/>
        <v>0</v>
      </c>
      <c r="O106" s="32">
        <f t="shared" si="35"/>
        <v>0</v>
      </c>
      <c r="P106" s="32">
        <f t="shared" si="36"/>
        <v>0</v>
      </c>
      <c r="Q106" s="32">
        <f t="shared" si="37"/>
        <v>0</v>
      </c>
      <c r="R106" s="32">
        <f t="shared" si="38"/>
        <v>0</v>
      </c>
      <c r="S106" s="32">
        <f t="shared" si="39"/>
        <v>0</v>
      </c>
      <c r="T106" s="32">
        <f t="shared" si="40"/>
        <v>0</v>
      </c>
      <c r="U106" s="32">
        <f t="shared" si="41"/>
        <v>0</v>
      </c>
    </row>
    <row r="107" spans="1:21" x14ac:dyDescent="0.25">
      <c r="A107" s="97"/>
      <c r="B107" s="98"/>
      <c r="C107" s="98"/>
      <c r="D107" s="98"/>
      <c r="E107" s="99"/>
      <c r="F107" s="98"/>
      <c r="G107" s="32">
        <f t="shared" si="27"/>
        <v>0</v>
      </c>
      <c r="H107" s="32">
        <f t="shared" si="28"/>
        <v>0</v>
      </c>
      <c r="I107" s="32">
        <f t="shared" si="29"/>
        <v>0</v>
      </c>
      <c r="J107" s="32">
        <f t="shared" si="30"/>
        <v>0</v>
      </c>
      <c r="K107" s="32">
        <f t="shared" si="31"/>
        <v>0</v>
      </c>
      <c r="L107" s="32">
        <f t="shared" si="32"/>
        <v>0</v>
      </c>
      <c r="M107" s="32">
        <f t="shared" si="33"/>
        <v>0</v>
      </c>
      <c r="N107" s="32">
        <f t="shared" si="34"/>
        <v>0</v>
      </c>
      <c r="O107" s="32">
        <f t="shared" si="35"/>
        <v>0</v>
      </c>
      <c r="P107" s="32">
        <f t="shared" si="36"/>
        <v>0</v>
      </c>
      <c r="Q107" s="32">
        <f t="shared" si="37"/>
        <v>0</v>
      </c>
      <c r="R107" s="32">
        <f t="shared" si="38"/>
        <v>0</v>
      </c>
      <c r="S107" s="32">
        <f t="shared" si="39"/>
        <v>0</v>
      </c>
      <c r="T107" s="32">
        <f t="shared" si="40"/>
        <v>0</v>
      </c>
      <c r="U107" s="32">
        <f t="shared" si="41"/>
        <v>0</v>
      </c>
    </row>
    <row r="108" spans="1:21" x14ac:dyDescent="0.25">
      <c r="A108" s="97"/>
      <c r="B108" s="98"/>
      <c r="C108" s="98"/>
      <c r="D108" s="98"/>
      <c r="E108" s="99"/>
      <c r="F108" s="98"/>
      <c r="G108" s="32">
        <f t="shared" si="27"/>
        <v>0</v>
      </c>
      <c r="H108" s="32">
        <f t="shared" si="28"/>
        <v>0</v>
      </c>
      <c r="I108" s="32">
        <f t="shared" si="29"/>
        <v>0</v>
      </c>
      <c r="J108" s="32">
        <f t="shared" si="30"/>
        <v>0</v>
      </c>
      <c r="K108" s="32">
        <f t="shared" si="31"/>
        <v>0</v>
      </c>
      <c r="L108" s="32">
        <f t="shared" si="32"/>
        <v>0</v>
      </c>
      <c r="M108" s="32">
        <f t="shared" si="33"/>
        <v>0</v>
      </c>
      <c r="N108" s="32">
        <f t="shared" si="34"/>
        <v>0</v>
      </c>
      <c r="O108" s="32">
        <f t="shared" si="35"/>
        <v>0</v>
      </c>
      <c r="P108" s="32">
        <f t="shared" si="36"/>
        <v>0</v>
      </c>
      <c r="Q108" s="32">
        <f t="shared" si="37"/>
        <v>0</v>
      </c>
      <c r="R108" s="32">
        <f t="shared" si="38"/>
        <v>0</v>
      </c>
      <c r="S108" s="32">
        <f t="shared" si="39"/>
        <v>0</v>
      </c>
      <c r="T108" s="32">
        <f t="shared" si="40"/>
        <v>0</v>
      </c>
      <c r="U108" s="32">
        <f t="shared" si="41"/>
        <v>0</v>
      </c>
    </row>
    <row r="109" spans="1:21" x14ac:dyDescent="0.25">
      <c r="A109" s="97"/>
      <c r="B109" s="98"/>
      <c r="C109" s="98"/>
      <c r="D109" s="98"/>
      <c r="E109" s="99"/>
      <c r="F109" s="98"/>
      <c r="G109" s="32">
        <f t="shared" si="27"/>
        <v>0</v>
      </c>
      <c r="H109" s="32">
        <f t="shared" si="28"/>
        <v>0</v>
      </c>
      <c r="I109" s="32">
        <f t="shared" si="29"/>
        <v>0</v>
      </c>
      <c r="J109" s="32">
        <f t="shared" si="30"/>
        <v>0</v>
      </c>
      <c r="K109" s="32">
        <f t="shared" si="31"/>
        <v>0</v>
      </c>
      <c r="L109" s="32">
        <f t="shared" si="32"/>
        <v>0</v>
      </c>
      <c r="M109" s="32">
        <f t="shared" si="33"/>
        <v>0</v>
      </c>
      <c r="N109" s="32">
        <f t="shared" si="34"/>
        <v>0</v>
      </c>
      <c r="O109" s="32">
        <f t="shared" si="35"/>
        <v>0</v>
      </c>
      <c r="P109" s="32">
        <f t="shared" si="36"/>
        <v>0</v>
      </c>
      <c r="Q109" s="32">
        <f t="shared" si="37"/>
        <v>0</v>
      </c>
      <c r="R109" s="32">
        <f t="shared" si="38"/>
        <v>0</v>
      </c>
      <c r="S109" s="32">
        <f t="shared" si="39"/>
        <v>0</v>
      </c>
      <c r="T109" s="32">
        <f t="shared" si="40"/>
        <v>0</v>
      </c>
      <c r="U109" s="32">
        <f t="shared" si="41"/>
        <v>0</v>
      </c>
    </row>
    <row r="110" spans="1:21" x14ac:dyDescent="0.25">
      <c r="A110" s="97"/>
      <c r="B110" s="98"/>
      <c r="C110" s="98"/>
      <c r="D110" s="98"/>
      <c r="E110" s="99"/>
      <c r="F110" s="98"/>
      <c r="G110" s="32">
        <f t="shared" si="27"/>
        <v>0</v>
      </c>
      <c r="H110" s="32">
        <f t="shared" si="28"/>
        <v>0</v>
      </c>
      <c r="I110" s="32">
        <f t="shared" si="29"/>
        <v>0</v>
      </c>
      <c r="J110" s="32">
        <f t="shared" si="30"/>
        <v>0</v>
      </c>
      <c r="K110" s="32">
        <f t="shared" si="31"/>
        <v>0</v>
      </c>
      <c r="L110" s="32">
        <f t="shared" si="32"/>
        <v>0</v>
      </c>
      <c r="M110" s="32">
        <f t="shared" si="33"/>
        <v>0</v>
      </c>
      <c r="N110" s="32">
        <f t="shared" si="34"/>
        <v>0</v>
      </c>
      <c r="O110" s="32">
        <f t="shared" si="35"/>
        <v>0</v>
      </c>
      <c r="P110" s="32">
        <f t="shared" si="36"/>
        <v>0</v>
      </c>
      <c r="Q110" s="32">
        <f t="shared" si="37"/>
        <v>0</v>
      </c>
      <c r="R110" s="32">
        <f t="shared" si="38"/>
        <v>0</v>
      </c>
      <c r="S110" s="32">
        <f t="shared" si="39"/>
        <v>0</v>
      </c>
      <c r="T110" s="32">
        <f t="shared" si="40"/>
        <v>0</v>
      </c>
      <c r="U110" s="32">
        <f t="shared" si="41"/>
        <v>0</v>
      </c>
    </row>
    <row r="111" spans="1:21" x14ac:dyDescent="0.25">
      <c r="A111" s="97"/>
      <c r="B111" s="98"/>
      <c r="C111" s="98"/>
      <c r="D111" s="98"/>
      <c r="E111" s="99"/>
      <c r="F111" s="98"/>
      <c r="G111" s="32">
        <f t="shared" si="27"/>
        <v>0</v>
      </c>
      <c r="H111" s="32">
        <f t="shared" si="28"/>
        <v>0</v>
      </c>
      <c r="I111" s="32">
        <f t="shared" si="29"/>
        <v>0</v>
      </c>
      <c r="J111" s="32">
        <f t="shared" si="30"/>
        <v>0</v>
      </c>
      <c r="K111" s="32">
        <f t="shared" si="31"/>
        <v>0</v>
      </c>
      <c r="L111" s="32">
        <f t="shared" si="32"/>
        <v>0</v>
      </c>
      <c r="M111" s="32">
        <f t="shared" si="33"/>
        <v>0</v>
      </c>
      <c r="N111" s="32">
        <f t="shared" si="34"/>
        <v>0</v>
      </c>
      <c r="O111" s="32">
        <f t="shared" si="35"/>
        <v>0</v>
      </c>
      <c r="P111" s="32">
        <f t="shared" si="36"/>
        <v>0</v>
      </c>
      <c r="Q111" s="32">
        <f t="shared" si="37"/>
        <v>0</v>
      </c>
      <c r="R111" s="32">
        <f t="shared" si="38"/>
        <v>0</v>
      </c>
      <c r="S111" s="32">
        <f t="shared" si="39"/>
        <v>0</v>
      </c>
      <c r="T111" s="32">
        <f t="shared" si="40"/>
        <v>0</v>
      </c>
      <c r="U111" s="32">
        <f t="shared" si="41"/>
        <v>0</v>
      </c>
    </row>
    <row r="112" spans="1:21" x14ac:dyDescent="0.25">
      <c r="A112" s="97"/>
      <c r="B112" s="98"/>
      <c r="C112" s="98"/>
      <c r="D112" s="98"/>
      <c r="E112" s="99"/>
      <c r="F112" s="98"/>
      <c r="G112" s="32">
        <f t="shared" si="27"/>
        <v>0</v>
      </c>
      <c r="H112" s="32">
        <f t="shared" si="28"/>
        <v>0</v>
      </c>
      <c r="I112" s="32">
        <f t="shared" si="29"/>
        <v>0</v>
      </c>
      <c r="J112" s="32">
        <f t="shared" si="30"/>
        <v>0</v>
      </c>
      <c r="K112" s="32">
        <f t="shared" si="31"/>
        <v>0</v>
      </c>
      <c r="L112" s="32">
        <f t="shared" si="32"/>
        <v>0</v>
      </c>
      <c r="M112" s="32">
        <f t="shared" si="33"/>
        <v>0</v>
      </c>
      <c r="N112" s="32">
        <f t="shared" si="34"/>
        <v>0</v>
      </c>
      <c r="O112" s="32">
        <f t="shared" si="35"/>
        <v>0</v>
      </c>
      <c r="P112" s="32">
        <f t="shared" si="36"/>
        <v>0</v>
      </c>
      <c r="Q112" s="32">
        <f t="shared" si="37"/>
        <v>0</v>
      </c>
      <c r="R112" s="32">
        <f t="shared" si="38"/>
        <v>0</v>
      </c>
      <c r="S112" s="32">
        <f t="shared" si="39"/>
        <v>0</v>
      </c>
      <c r="T112" s="32">
        <f t="shared" si="40"/>
        <v>0</v>
      </c>
      <c r="U112" s="32">
        <f t="shared" si="41"/>
        <v>0</v>
      </c>
    </row>
    <row r="113" spans="1:21" x14ac:dyDescent="0.25">
      <c r="A113" s="97"/>
      <c r="B113" s="98"/>
      <c r="C113" s="98"/>
      <c r="D113" s="98"/>
      <c r="E113" s="99"/>
      <c r="F113" s="98"/>
      <c r="G113" s="32">
        <f t="shared" si="27"/>
        <v>0</v>
      </c>
      <c r="H113" s="32">
        <f t="shared" si="28"/>
        <v>0</v>
      </c>
      <c r="I113" s="32">
        <f t="shared" si="29"/>
        <v>0</v>
      </c>
      <c r="J113" s="32">
        <f t="shared" si="30"/>
        <v>0</v>
      </c>
      <c r="K113" s="32">
        <f t="shared" si="31"/>
        <v>0</v>
      </c>
      <c r="L113" s="32">
        <f t="shared" si="32"/>
        <v>0</v>
      </c>
      <c r="M113" s="32">
        <f t="shared" si="33"/>
        <v>0</v>
      </c>
      <c r="N113" s="32">
        <f t="shared" si="34"/>
        <v>0</v>
      </c>
      <c r="O113" s="32">
        <f t="shared" si="35"/>
        <v>0</v>
      </c>
      <c r="P113" s="32">
        <f t="shared" si="36"/>
        <v>0</v>
      </c>
      <c r="Q113" s="32">
        <f t="shared" si="37"/>
        <v>0</v>
      </c>
      <c r="R113" s="32">
        <f t="shared" si="38"/>
        <v>0</v>
      </c>
      <c r="S113" s="32">
        <f t="shared" si="39"/>
        <v>0</v>
      </c>
      <c r="T113" s="32">
        <f t="shared" si="40"/>
        <v>0</v>
      </c>
      <c r="U113" s="32">
        <f t="shared" si="41"/>
        <v>0</v>
      </c>
    </row>
    <row r="114" spans="1:21" x14ac:dyDescent="0.25">
      <c r="A114" s="97"/>
      <c r="B114" s="98"/>
      <c r="C114" s="98"/>
      <c r="D114" s="98"/>
      <c r="E114" s="99"/>
      <c r="F114" s="98"/>
      <c r="G114" s="32">
        <f t="shared" si="27"/>
        <v>0</v>
      </c>
      <c r="H114" s="32">
        <f t="shared" si="28"/>
        <v>0</v>
      </c>
      <c r="I114" s="32">
        <f t="shared" si="29"/>
        <v>0</v>
      </c>
      <c r="J114" s="32">
        <f t="shared" si="30"/>
        <v>0</v>
      </c>
      <c r="K114" s="32">
        <f t="shared" si="31"/>
        <v>0</v>
      </c>
      <c r="L114" s="32">
        <f t="shared" si="32"/>
        <v>0</v>
      </c>
      <c r="M114" s="32">
        <f t="shared" si="33"/>
        <v>0</v>
      </c>
      <c r="N114" s="32">
        <f t="shared" si="34"/>
        <v>0</v>
      </c>
      <c r="O114" s="32">
        <f t="shared" si="35"/>
        <v>0</v>
      </c>
      <c r="P114" s="32">
        <f t="shared" si="36"/>
        <v>0</v>
      </c>
      <c r="Q114" s="32">
        <f t="shared" si="37"/>
        <v>0</v>
      </c>
      <c r="R114" s="32">
        <f t="shared" si="38"/>
        <v>0</v>
      </c>
      <c r="S114" s="32">
        <f t="shared" si="39"/>
        <v>0</v>
      </c>
      <c r="T114" s="32">
        <f t="shared" si="40"/>
        <v>0</v>
      </c>
      <c r="U114" s="32">
        <f t="shared" si="41"/>
        <v>0</v>
      </c>
    </row>
    <row r="115" spans="1:21" x14ac:dyDescent="0.25">
      <c r="A115" s="97"/>
      <c r="B115" s="98"/>
      <c r="C115" s="98"/>
      <c r="D115" s="98"/>
      <c r="E115" s="99"/>
      <c r="F115" s="98"/>
      <c r="G115" s="32">
        <f t="shared" si="27"/>
        <v>0</v>
      </c>
      <c r="H115" s="32">
        <f t="shared" si="28"/>
        <v>0</v>
      </c>
      <c r="I115" s="32">
        <f t="shared" si="29"/>
        <v>0</v>
      </c>
      <c r="J115" s="32">
        <f t="shared" si="30"/>
        <v>0</v>
      </c>
      <c r="K115" s="32">
        <f t="shared" si="31"/>
        <v>0</v>
      </c>
      <c r="L115" s="32">
        <f t="shared" si="32"/>
        <v>0</v>
      </c>
      <c r="M115" s="32">
        <f t="shared" si="33"/>
        <v>0</v>
      </c>
      <c r="N115" s="32">
        <f t="shared" si="34"/>
        <v>0</v>
      </c>
      <c r="O115" s="32">
        <f t="shared" si="35"/>
        <v>0</v>
      </c>
      <c r="P115" s="32">
        <f t="shared" si="36"/>
        <v>0</v>
      </c>
      <c r="Q115" s="32">
        <f t="shared" si="37"/>
        <v>0</v>
      </c>
      <c r="R115" s="32">
        <f t="shared" si="38"/>
        <v>0</v>
      </c>
      <c r="S115" s="32">
        <f t="shared" si="39"/>
        <v>0</v>
      </c>
      <c r="T115" s="32">
        <f t="shared" si="40"/>
        <v>0</v>
      </c>
      <c r="U115" s="32">
        <f t="shared" si="41"/>
        <v>0</v>
      </c>
    </row>
    <row r="116" spans="1:21" x14ac:dyDescent="0.25">
      <c r="A116" s="97"/>
      <c r="B116" s="98"/>
      <c r="C116" s="98"/>
      <c r="D116" s="98"/>
      <c r="E116" s="99"/>
      <c r="F116" s="98"/>
      <c r="G116" s="32">
        <f t="shared" si="27"/>
        <v>0</v>
      </c>
      <c r="H116" s="32">
        <f t="shared" si="28"/>
        <v>0</v>
      </c>
      <c r="I116" s="32">
        <f t="shared" si="29"/>
        <v>0</v>
      </c>
      <c r="J116" s="32">
        <f t="shared" si="30"/>
        <v>0</v>
      </c>
      <c r="K116" s="32">
        <f t="shared" si="31"/>
        <v>0</v>
      </c>
      <c r="L116" s="32">
        <f t="shared" si="32"/>
        <v>0</v>
      </c>
      <c r="M116" s="32">
        <f t="shared" si="33"/>
        <v>0</v>
      </c>
      <c r="N116" s="32">
        <f t="shared" si="34"/>
        <v>0</v>
      </c>
      <c r="O116" s="32">
        <f t="shared" si="35"/>
        <v>0</v>
      </c>
      <c r="P116" s="32">
        <f t="shared" si="36"/>
        <v>0</v>
      </c>
      <c r="Q116" s="32">
        <f t="shared" si="37"/>
        <v>0</v>
      </c>
      <c r="R116" s="32">
        <f t="shared" si="38"/>
        <v>0</v>
      </c>
      <c r="S116" s="32">
        <f t="shared" si="39"/>
        <v>0</v>
      </c>
      <c r="T116" s="32">
        <f t="shared" si="40"/>
        <v>0</v>
      </c>
      <c r="U116" s="32">
        <f t="shared" si="41"/>
        <v>0</v>
      </c>
    </row>
    <row r="117" spans="1:21" x14ac:dyDescent="0.25">
      <c r="A117" s="97"/>
      <c r="B117" s="98"/>
      <c r="C117" s="98"/>
      <c r="D117" s="98"/>
      <c r="E117" s="99"/>
      <c r="F117" s="98"/>
      <c r="G117" s="32">
        <f t="shared" si="27"/>
        <v>0</v>
      </c>
      <c r="H117" s="32">
        <f t="shared" si="28"/>
        <v>0</v>
      </c>
      <c r="I117" s="32">
        <f t="shared" si="29"/>
        <v>0</v>
      </c>
      <c r="J117" s="32">
        <f t="shared" si="30"/>
        <v>0</v>
      </c>
      <c r="K117" s="32">
        <f t="shared" si="31"/>
        <v>0</v>
      </c>
      <c r="L117" s="32">
        <f t="shared" si="32"/>
        <v>0</v>
      </c>
      <c r="M117" s="32">
        <f t="shared" si="33"/>
        <v>0</v>
      </c>
      <c r="N117" s="32">
        <f t="shared" si="34"/>
        <v>0</v>
      </c>
      <c r="O117" s="32">
        <f t="shared" si="35"/>
        <v>0</v>
      </c>
      <c r="P117" s="32">
        <f t="shared" si="36"/>
        <v>0</v>
      </c>
      <c r="Q117" s="32">
        <f t="shared" si="37"/>
        <v>0</v>
      </c>
      <c r="R117" s="32">
        <f t="shared" si="38"/>
        <v>0</v>
      </c>
      <c r="S117" s="32">
        <f t="shared" si="39"/>
        <v>0</v>
      </c>
      <c r="T117" s="32">
        <f t="shared" si="40"/>
        <v>0</v>
      </c>
      <c r="U117" s="32">
        <f t="shared" si="41"/>
        <v>0</v>
      </c>
    </row>
    <row r="118" spans="1:21" x14ac:dyDescent="0.25">
      <c r="A118" s="97"/>
      <c r="B118" s="98"/>
      <c r="C118" s="98"/>
      <c r="D118" s="98"/>
      <c r="E118" s="99"/>
      <c r="F118" s="98"/>
      <c r="G118" s="32">
        <f t="shared" si="27"/>
        <v>0</v>
      </c>
      <c r="H118" s="32">
        <f t="shared" si="28"/>
        <v>0</v>
      </c>
      <c r="I118" s="32">
        <f t="shared" si="29"/>
        <v>0</v>
      </c>
      <c r="J118" s="32">
        <f t="shared" si="30"/>
        <v>0</v>
      </c>
      <c r="K118" s="32">
        <f t="shared" si="31"/>
        <v>0</v>
      </c>
      <c r="L118" s="32">
        <f t="shared" si="32"/>
        <v>0</v>
      </c>
      <c r="M118" s="32">
        <f t="shared" si="33"/>
        <v>0</v>
      </c>
      <c r="N118" s="32">
        <f t="shared" si="34"/>
        <v>0</v>
      </c>
      <c r="O118" s="32">
        <f t="shared" si="35"/>
        <v>0</v>
      </c>
      <c r="P118" s="32">
        <f t="shared" si="36"/>
        <v>0</v>
      </c>
      <c r="Q118" s="32">
        <f t="shared" si="37"/>
        <v>0</v>
      </c>
      <c r="R118" s="32">
        <f t="shared" si="38"/>
        <v>0</v>
      </c>
      <c r="S118" s="32">
        <f t="shared" si="39"/>
        <v>0</v>
      </c>
      <c r="T118" s="32">
        <f t="shared" si="40"/>
        <v>0</v>
      </c>
      <c r="U118" s="32">
        <f t="shared" si="41"/>
        <v>0</v>
      </c>
    </row>
    <row r="119" spans="1:21" x14ac:dyDescent="0.25">
      <c r="A119" s="97"/>
      <c r="B119" s="98"/>
      <c r="C119" s="98"/>
      <c r="D119" s="98"/>
      <c r="E119" s="99"/>
      <c r="F119" s="98"/>
      <c r="G119" s="32">
        <f t="shared" si="27"/>
        <v>0</v>
      </c>
      <c r="H119" s="32">
        <f t="shared" si="28"/>
        <v>0</v>
      </c>
      <c r="I119" s="32">
        <f t="shared" si="29"/>
        <v>0</v>
      </c>
      <c r="J119" s="32">
        <f t="shared" si="30"/>
        <v>0</v>
      </c>
      <c r="K119" s="32">
        <f t="shared" si="31"/>
        <v>0</v>
      </c>
      <c r="L119" s="32">
        <f t="shared" si="32"/>
        <v>0</v>
      </c>
      <c r="M119" s="32">
        <f t="shared" si="33"/>
        <v>0</v>
      </c>
      <c r="N119" s="32">
        <f t="shared" si="34"/>
        <v>0</v>
      </c>
      <c r="O119" s="32">
        <f t="shared" si="35"/>
        <v>0</v>
      </c>
      <c r="P119" s="32">
        <f t="shared" si="36"/>
        <v>0</v>
      </c>
      <c r="Q119" s="32">
        <f t="shared" si="37"/>
        <v>0</v>
      </c>
      <c r="R119" s="32">
        <f t="shared" si="38"/>
        <v>0</v>
      </c>
      <c r="S119" s="32">
        <f t="shared" si="39"/>
        <v>0</v>
      </c>
      <c r="T119" s="32">
        <f t="shared" si="40"/>
        <v>0</v>
      </c>
      <c r="U119" s="32">
        <f t="shared" si="41"/>
        <v>0</v>
      </c>
    </row>
    <row r="120" spans="1:21" x14ac:dyDescent="0.25">
      <c r="A120" s="97"/>
      <c r="B120" s="98"/>
      <c r="C120" s="98"/>
      <c r="D120" s="98"/>
      <c r="E120" s="99"/>
      <c r="F120" s="98"/>
      <c r="G120" s="32">
        <f t="shared" si="27"/>
        <v>0</v>
      </c>
      <c r="H120" s="32">
        <f t="shared" si="28"/>
        <v>0</v>
      </c>
      <c r="I120" s="32">
        <f t="shared" si="29"/>
        <v>0</v>
      </c>
      <c r="J120" s="32">
        <f t="shared" si="30"/>
        <v>0</v>
      </c>
      <c r="K120" s="32">
        <f t="shared" si="31"/>
        <v>0</v>
      </c>
      <c r="L120" s="32">
        <f t="shared" si="32"/>
        <v>0</v>
      </c>
      <c r="M120" s="32">
        <f t="shared" si="33"/>
        <v>0</v>
      </c>
      <c r="N120" s="32">
        <f t="shared" si="34"/>
        <v>0</v>
      </c>
      <c r="O120" s="32">
        <f t="shared" si="35"/>
        <v>0</v>
      </c>
      <c r="P120" s="32">
        <f t="shared" si="36"/>
        <v>0</v>
      </c>
      <c r="Q120" s="32">
        <f t="shared" si="37"/>
        <v>0</v>
      </c>
      <c r="R120" s="32">
        <f t="shared" si="38"/>
        <v>0</v>
      </c>
      <c r="S120" s="32">
        <f t="shared" si="39"/>
        <v>0</v>
      </c>
      <c r="T120" s="32">
        <f t="shared" si="40"/>
        <v>0</v>
      </c>
      <c r="U120" s="32">
        <f t="shared" si="41"/>
        <v>0</v>
      </c>
    </row>
    <row r="121" spans="1:21" x14ac:dyDescent="0.25">
      <c r="A121" s="97"/>
      <c r="B121" s="98"/>
      <c r="C121" s="98"/>
      <c r="D121" s="98"/>
      <c r="E121" s="99"/>
      <c r="F121" s="98"/>
      <c r="G121" s="32">
        <f t="shared" si="27"/>
        <v>0</v>
      </c>
      <c r="H121" s="32">
        <f t="shared" si="28"/>
        <v>0</v>
      </c>
      <c r="I121" s="32">
        <f t="shared" si="29"/>
        <v>0</v>
      </c>
      <c r="J121" s="32">
        <f t="shared" si="30"/>
        <v>0</v>
      </c>
      <c r="K121" s="32">
        <f t="shared" si="31"/>
        <v>0</v>
      </c>
      <c r="L121" s="32">
        <f t="shared" si="32"/>
        <v>0</v>
      </c>
      <c r="M121" s="32">
        <f t="shared" si="33"/>
        <v>0</v>
      </c>
      <c r="N121" s="32">
        <f t="shared" si="34"/>
        <v>0</v>
      </c>
      <c r="O121" s="32">
        <f t="shared" si="35"/>
        <v>0</v>
      </c>
      <c r="P121" s="32">
        <f t="shared" si="36"/>
        <v>0</v>
      </c>
      <c r="Q121" s="32">
        <f t="shared" si="37"/>
        <v>0</v>
      </c>
      <c r="R121" s="32">
        <f t="shared" si="38"/>
        <v>0</v>
      </c>
      <c r="S121" s="32">
        <f t="shared" si="39"/>
        <v>0</v>
      </c>
      <c r="T121" s="32">
        <f t="shared" si="40"/>
        <v>0</v>
      </c>
      <c r="U121" s="32">
        <f t="shared" si="41"/>
        <v>0</v>
      </c>
    </row>
    <row r="122" spans="1:21" x14ac:dyDescent="0.25">
      <c r="A122" s="97"/>
      <c r="B122" s="98"/>
      <c r="C122" s="98"/>
      <c r="D122" s="98"/>
      <c r="E122" s="99"/>
      <c r="F122" s="98"/>
      <c r="G122" s="32">
        <f t="shared" si="27"/>
        <v>0</v>
      </c>
      <c r="H122" s="32">
        <f t="shared" si="28"/>
        <v>0</v>
      </c>
      <c r="I122" s="32">
        <f t="shared" si="29"/>
        <v>0</v>
      </c>
      <c r="J122" s="32">
        <f t="shared" si="30"/>
        <v>0</v>
      </c>
      <c r="K122" s="32">
        <f t="shared" si="31"/>
        <v>0</v>
      </c>
      <c r="L122" s="32">
        <f t="shared" si="32"/>
        <v>0</v>
      </c>
      <c r="M122" s="32">
        <f t="shared" si="33"/>
        <v>0</v>
      </c>
      <c r="N122" s="32">
        <f t="shared" si="34"/>
        <v>0</v>
      </c>
      <c r="O122" s="32">
        <f t="shared" si="35"/>
        <v>0</v>
      </c>
      <c r="P122" s="32">
        <f t="shared" si="36"/>
        <v>0</v>
      </c>
      <c r="Q122" s="32">
        <f t="shared" si="37"/>
        <v>0</v>
      </c>
      <c r="R122" s="32">
        <f t="shared" si="38"/>
        <v>0</v>
      </c>
      <c r="S122" s="32">
        <f t="shared" si="39"/>
        <v>0</v>
      </c>
      <c r="T122" s="32">
        <f t="shared" si="40"/>
        <v>0</v>
      </c>
      <c r="U122" s="32">
        <f t="shared" si="41"/>
        <v>0</v>
      </c>
    </row>
    <row r="123" spans="1:21" x14ac:dyDescent="0.25">
      <c r="A123" s="97"/>
      <c r="B123" s="98"/>
      <c r="C123" s="98"/>
      <c r="D123" s="98"/>
      <c r="E123" s="99"/>
      <c r="F123" s="98"/>
      <c r="G123" s="32">
        <f t="shared" si="27"/>
        <v>0</v>
      </c>
      <c r="H123" s="32">
        <f t="shared" si="28"/>
        <v>0</v>
      </c>
      <c r="I123" s="32">
        <f t="shared" si="29"/>
        <v>0</v>
      </c>
      <c r="J123" s="32">
        <f t="shared" si="30"/>
        <v>0</v>
      </c>
      <c r="K123" s="32">
        <f t="shared" si="31"/>
        <v>0</v>
      </c>
      <c r="L123" s="32">
        <f t="shared" si="32"/>
        <v>0</v>
      </c>
      <c r="M123" s="32">
        <f t="shared" si="33"/>
        <v>0</v>
      </c>
      <c r="N123" s="32">
        <f t="shared" si="34"/>
        <v>0</v>
      </c>
      <c r="O123" s="32">
        <f t="shared" si="35"/>
        <v>0</v>
      </c>
      <c r="P123" s="32">
        <f t="shared" si="36"/>
        <v>0</v>
      </c>
      <c r="Q123" s="32">
        <f t="shared" si="37"/>
        <v>0</v>
      </c>
      <c r="R123" s="32">
        <f t="shared" si="38"/>
        <v>0</v>
      </c>
      <c r="S123" s="32">
        <f t="shared" si="39"/>
        <v>0</v>
      </c>
      <c r="T123" s="32">
        <f t="shared" si="40"/>
        <v>0</v>
      </c>
      <c r="U123" s="32">
        <f t="shared" si="41"/>
        <v>0</v>
      </c>
    </row>
    <row r="124" spans="1:21" x14ac:dyDescent="0.25">
      <c r="A124" s="97"/>
      <c r="B124" s="98"/>
      <c r="C124" s="98"/>
      <c r="D124" s="98"/>
      <c r="E124" s="99"/>
      <c r="F124" s="98"/>
      <c r="G124" s="32">
        <f t="shared" si="27"/>
        <v>0</v>
      </c>
      <c r="H124" s="32">
        <f t="shared" si="28"/>
        <v>0</v>
      </c>
      <c r="I124" s="32">
        <f t="shared" si="29"/>
        <v>0</v>
      </c>
      <c r="J124" s="32">
        <f t="shared" si="30"/>
        <v>0</v>
      </c>
      <c r="K124" s="32">
        <f t="shared" si="31"/>
        <v>0</v>
      </c>
      <c r="L124" s="32">
        <f t="shared" si="32"/>
        <v>0</v>
      </c>
      <c r="M124" s="32">
        <f t="shared" si="33"/>
        <v>0</v>
      </c>
      <c r="N124" s="32">
        <f t="shared" si="34"/>
        <v>0</v>
      </c>
      <c r="O124" s="32">
        <f t="shared" si="35"/>
        <v>0</v>
      </c>
      <c r="P124" s="32">
        <f t="shared" si="36"/>
        <v>0</v>
      </c>
      <c r="Q124" s="32">
        <f t="shared" si="37"/>
        <v>0</v>
      </c>
      <c r="R124" s="32">
        <f t="shared" si="38"/>
        <v>0</v>
      </c>
      <c r="S124" s="32">
        <f t="shared" si="39"/>
        <v>0</v>
      </c>
      <c r="T124" s="32">
        <f t="shared" si="40"/>
        <v>0</v>
      </c>
      <c r="U124" s="32">
        <f t="shared" si="41"/>
        <v>0</v>
      </c>
    </row>
    <row r="125" spans="1:21" x14ac:dyDescent="0.25">
      <c r="A125" s="97"/>
      <c r="B125" s="98"/>
      <c r="C125" s="98"/>
      <c r="D125" s="98"/>
      <c r="E125" s="99"/>
      <c r="F125" s="98"/>
      <c r="G125" s="32">
        <f t="shared" ref="G125:G156" si="42">IF(AND(ISNUMBER(SEARCH("FORET D8,6 COMPLET", $B125)),ISNUMBER(SEARCH("EMAG 2", $F125))), 1*$E125, 0)</f>
        <v>0</v>
      </c>
      <c r="H125" s="32">
        <f t="shared" ref="H125:H156" si="43">IF(AND(ISNUMBER(SEARCH("FORET D8,6 COMPLET", $B125)),ISNUMBER(SEARCH("EMAG 2", $F125))), 1*$E125, 0)</f>
        <v>0</v>
      </c>
      <c r="I125" s="32">
        <f t="shared" ref="I125:I156" si="44">IF(AND(ISNUMBER(SEARCH("FORET D13,3 COMPLET", $B125)),ISNUMBER(SEARCH("EMAG 2", $F125))), 1*$E125, 0)</f>
        <v>0</v>
      </c>
      <c r="J125" s="32">
        <f t="shared" ref="J125:J156" si="45">IF(AND(ISNUMBER(SEARCH("FORET D13,3 COMPLET", $B125)),ISNUMBER(SEARCH("EMAG 2", $F125))), 2*$E125, 0)</f>
        <v>0</v>
      </c>
      <c r="K125" s="32">
        <f t="shared" ref="K125:K156" si="46">IF(AND(ISNUMBER(SEARCH("FORET D15,3 COMPLET", $B125)),ISNUMBER(SEARCH("EMAG 2", $F125))), 1*$E125, 0)</f>
        <v>0</v>
      </c>
      <c r="L125" s="32">
        <f t="shared" ref="L125:L156" si="47">IF(AND(ISNUMBER(SEARCH("FORET D15,3 COMPLET", $B125)),ISNUMBER(SEARCH("EMAG 2", $F125))), 2*$E125, 0)</f>
        <v>0</v>
      </c>
      <c r="M125" s="32">
        <f t="shared" ref="M125:M156" si="48">IF(AND(ISNUMBER(SEARCH("T5013 COMPLET", $B125)),ISNUMBER(SEARCH("EMAG 2", $F125))), 2*$E125, 0)</f>
        <v>0</v>
      </c>
      <c r="N125" s="32">
        <f t="shared" ref="N125:N156" si="49">IF(AND(ISNUMBER(SEARCH("FORET D8,6 COMPLET", $B125)),ISNUMBER(SEARCH("EMAG 1", $F125))), 1*$E125, 0)</f>
        <v>0</v>
      </c>
      <c r="O125" s="32">
        <f t="shared" ref="O125:O156" si="50">IF(AND(ISNUMBER(SEARCH("FORET D8,6 COMPLET", $B125)),ISNUMBER(SEARCH("EMAG 1", $F125))), 1*$E125, 0)</f>
        <v>0</v>
      </c>
      <c r="P125" s="32">
        <f t="shared" ref="P125:P156" si="51">IF(AND(ISNUMBER(SEARCH("FORET D13,3 COMPLET", $B125)),ISNUMBER(SEARCH("EMAG 1", $F125))), 1*$E125, 0)</f>
        <v>0</v>
      </c>
      <c r="Q125" s="32">
        <f t="shared" ref="Q125:Q156" si="52">IF(AND(ISNUMBER(SEARCH("FORET D13,3 COMPLET", $B125)),ISNUMBER(SEARCH("EMAG 1", $F125))), 2*$E125, 0)</f>
        <v>0</v>
      </c>
      <c r="R125" s="32">
        <f t="shared" ref="R125:R156" si="53">IF(AND(ISNUMBER(SEARCH("FORET D15,3 COMPLET", $B125)),ISNUMBER(SEARCH("EMAG 1", $F125))), 1*$E125, 0)</f>
        <v>0</v>
      </c>
      <c r="S125" s="32">
        <f t="shared" ref="S125:S156" si="54">IF(AND(ISNUMBER(SEARCH("FORET D15,3 COMPLET", $B125)),ISNUMBER(SEARCH("EMAG 1", $F125))), 2*$E125, 0)</f>
        <v>0</v>
      </c>
      <c r="T125" s="32">
        <f t="shared" ref="T125:T156" si="55">IF(AND(ISNUMBER(SEARCH("FORET D13,3 COMPLET", $B125)),ISNUMBER(SEARCH("EMAG 3", $F125))), 1*$E125, 0)</f>
        <v>0</v>
      </c>
      <c r="U125" s="32">
        <f t="shared" ref="U125:U156" si="56">IF(AND(ISNUMBER(SEARCH("FORET D13,3 COMPLET", $B125)),ISNUMBER(SEARCH("EMAG 3", $F125))), 2*$E125, 0)</f>
        <v>0</v>
      </c>
    </row>
    <row r="126" spans="1:21" x14ac:dyDescent="0.25">
      <c r="A126" s="97"/>
      <c r="B126" s="98"/>
      <c r="C126" s="98"/>
      <c r="D126" s="98"/>
      <c r="E126" s="99"/>
      <c r="F126" s="98"/>
      <c r="G126" s="32">
        <f t="shared" si="42"/>
        <v>0</v>
      </c>
      <c r="H126" s="32">
        <f t="shared" si="43"/>
        <v>0</v>
      </c>
      <c r="I126" s="32">
        <f t="shared" si="44"/>
        <v>0</v>
      </c>
      <c r="J126" s="32">
        <f t="shared" si="45"/>
        <v>0</v>
      </c>
      <c r="K126" s="32">
        <f t="shared" si="46"/>
        <v>0</v>
      </c>
      <c r="L126" s="32">
        <f t="shared" si="47"/>
        <v>0</v>
      </c>
      <c r="M126" s="32">
        <f t="shared" si="48"/>
        <v>0</v>
      </c>
      <c r="N126" s="32">
        <f t="shared" si="49"/>
        <v>0</v>
      </c>
      <c r="O126" s="32">
        <f t="shared" si="50"/>
        <v>0</v>
      </c>
      <c r="P126" s="32">
        <f t="shared" si="51"/>
        <v>0</v>
      </c>
      <c r="Q126" s="32">
        <f t="shared" si="52"/>
        <v>0</v>
      </c>
      <c r="R126" s="32">
        <f t="shared" si="53"/>
        <v>0</v>
      </c>
      <c r="S126" s="32">
        <f t="shared" si="54"/>
        <v>0</v>
      </c>
      <c r="T126" s="32">
        <f t="shared" si="55"/>
        <v>0</v>
      </c>
      <c r="U126" s="32">
        <f t="shared" si="56"/>
        <v>0</v>
      </c>
    </row>
    <row r="127" spans="1:21" x14ac:dyDescent="0.25">
      <c r="A127" s="97"/>
      <c r="B127" s="98"/>
      <c r="C127" s="98"/>
      <c r="D127" s="98"/>
      <c r="E127" s="99"/>
      <c r="F127" s="98"/>
      <c r="G127" s="32">
        <f t="shared" si="42"/>
        <v>0</v>
      </c>
      <c r="H127" s="32">
        <f t="shared" si="43"/>
        <v>0</v>
      </c>
      <c r="I127" s="32">
        <f t="shared" si="44"/>
        <v>0</v>
      </c>
      <c r="J127" s="32">
        <f t="shared" si="45"/>
        <v>0</v>
      </c>
      <c r="K127" s="32">
        <f t="shared" si="46"/>
        <v>0</v>
      </c>
      <c r="L127" s="32">
        <f t="shared" si="47"/>
        <v>0</v>
      </c>
      <c r="M127" s="32">
        <f t="shared" si="48"/>
        <v>0</v>
      </c>
      <c r="N127" s="32">
        <f t="shared" si="49"/>
        <v>0</v>
      </c>
      <c r="O127" s="32">
        <f t="shared" si="50"/>
        <v>0</v>
      </c>
      <c r="P127" s="32">
        <f t="shared" si="51"/>
        <v>0</v>
      </c>
      <c r="Q127" s="32">
        <f t="shared" si="52"/>
        <v>0</v>
      </c>
      <c r="R127" s="32">
        <f t="shared" si="53"/>
        <v>0</v>
      </c>
      <c r="S127" s="32">
        <f t="shared" si="54"/>
        <v>0</v>
      </c>
      <c r="T127" s="32">
        <f t="shared" si="55"/>
        <v>0</v>
      </c>
      <c r="U127" s="32">
        <f t="shared" si="56"/>
        <v>0</v>
      </c>
    </row>
    <row r="128" spans="1:21" x14ac:dyDescent="0.25">
      <c r="A128" s="97"/>
      <c r="B128" s="98"/>
      <c r="C128" s="98"/>
      <c r="D128" s="98"/>
      <c r="E128" s="99"/>
      <c r="F128" s="98"/>
      <c r="G128" s="32">
        <f t="shared" si="42"/>
        <v>0</v>
      </c>
      <c r="H128" s="32">
        <f t="shared" si="43"/>
        <v>0</v>
      </c>
      <c r="I128" s="32">
        <f t="shared" si="44"/>
        <v>0</v>
      </c>
      <c r="J128" s="32">
        <f t="shared" si="45"/>
        <v>0</v>
      </c>
      <c r="K128" s="32">
        <f t="shared" si="46"/>
        <v>0</v>
      </c>
      <c r="L128" s="32">
        <f t="shared" si="47"/>
        <v>0</v>
      </c>
      <c r="M128" s="32">
        <f t="shared" si="48"/>
        <v>0</v>
      </c>
      <c r="N128" s="32">
        <f t="shared" si="49"/>
        <v>0</v>
      </c>
      <c r="O128" s="32">
        <f t="shared" si="50"/>
        <v>0</v>
      </c>
      <c r="P128" s="32">
        <f t="shared" si="51"/>
        <v>0</v>
      </c>
      <c r="Q128" s="32">
        <f t="shared" si="52"/>
        <v>0</v>
      </c>
      <c r="R128" s="32">
        <f t="shared" si="53"/>
        <v>0</v>
      </c>
      <c r="S128" s="32">
        <f t="shared" si="54"/>
        <v>0</v>
      </c>
      <c r="T128" s="32">
        <f t="shared" si="55"/>
        <v>0</v>
      </c>
      <c r="U128" s="32">
        <f t="shared" si="56"/>
        <v>0</v>
      </c>
    </row>
    <row r="129" spans="1:21" x14ac:dyDescent="0.25">
      <c r="A129" s="97"/>
      <c r="B129" s="98"/>
      <c r="C129" s="98"/>
      <c r="D129" s="98"/>
      <c r="E129" s="99"/>
      <c r="F129" s="98"/>
      <c r="G129" s="32">
        <f t="shared" si="42"/>
        <v>0</v>
      </c>
      <c r="H129" s="32">
        <f t="shared" si="43"/>
        <v>0</v>
      </c>
      <c r="I129" s="32">
        <f t="shared" si="44"/>
        <v>0</v>
      </c>
      <c r="J129" s="32">
        <f t="shared" si="45"/>
        <v>0</v>
      </c>
      <c r="K129" s="32">
        <f t="shared" si="46"/>
        <v>0</v>
      </c>
      <c r="L129" s="32">
        <f t="shared" si="47"/>
        <v>0</v>
      </c>
      <c r="M129" s="32">
        <f t="shared" si="48"/>
        <v>0</v>
      </c>
      <c r="N129" s="32">
        <f t="shared" si="49"/>
        <v>0</v>
      </c>
      <c r="O129" s="32">
        <f t="shared" si="50"/>
        <v>0</v>
      </c>
      <c r="P129" s="32">
        <f t="shared" si="51"/>
        <v>0</v>
      </c>
      <c r="Q129" s="32">
        <f t="shared" si="52"/>
        <v>0</v>
      </c>
      <c r="R129" s="32">
        <f t="shared" si="53"/>
        <v>0</v>
      </c>
      <c r="S129" s="32">
        <f t="shared" si="54"/>
        <v>0</v>
      </c>
      <c r="T129" s="32">
        <f t="shared" si="55"/>
        <v>0</v>
      </c>
      <c r="U129" s="32">
        <f t="shared" si="56"/>
        <v>0</v>
      </c>
    </row>
    <row r="130" spans="1:21" x14ac:dyDescent="0.25">
      <c r="A130" s="97"/>
      <c r="B130" s="98"/>
      <c r="C130" s="98"/>
      <c r="D130" s="98"/>
      <c r="E130" s="99"/>
      <c r="F130" s="98"/>
      <c r="G130" s="32">
        <f t="shared" si="42"/>
        <v>0</v>
      </c>
      <c r="H130" s="32">
        <f t="shared" si="43"/>
        <v>0</v>
      </c>
      <c r="I130" s="32">
        <f t="shared" si="44"/>
        <v>0</v>
      </c>
      <c r="J130" s="32">
        <f t="shared" si="45"/>
        <v>0</v>
      </c>
      <c r="K130" s="32">
        <f t="shared" si="46"/>
        <v>0</v>
      </c>
      <c r="L130" s="32">
        <f t="shared" si="47"/>
        <v>0</v>
      </c>
      <c r="M130" s="32">
        <f t="shared" si="48"/>
        <v>0</v>
      </c>
      <c r="N130" s="32">
        <f t="shared" si="49"/>
        <v>0</v>
      </c>
      <c r="O130" s="32">
        <f t="shared" si="50"/>
        <v>0</v>
      </c>
      <c r="P130" s="32">
        <f t="shared" si="51"/>
        <v>0</v>
      </c>
      <c r="Q130" s="32">
        <f t="shared" si="52"/>
        <v>0</v>
      </c>
      <c r="R130" s="32">
        <f t="shared" si="53"/>
        <v>0</v>
      </c>
      <c r="S130" s="32">
        <f t="shared" si="54"/>
        <v>0</v>
      </c>
      <c r="T130" s="32">
        <f t="shared" si="55"/>
        <v>0</v>
      </c>
      <c r="U130" s="32">
        <f t="shared" si="56"/>
        <v>0</v>
      </c>
    </row>
    <row r="131" spans="1:21" x14ac:dyDescent="0.25">
      <c r="A131" s="97"/>
      <c r="B131" s="98"/>
      <c r="C131" s="98"/>
      <c r="D131" s="98"/>
      <c r="E131" s="99"/>
      <c r="F131" s="98"/>
      <c r="G131" s="32">
        <f t="shared" si="42"/>
        <v>0</v>
      </c>
      <c r="H131" s="32">
        <f t="shared" si="43"/>
        <v>0</v>
      </c>
      <c r="I131" s="32">
        <f t="shared" si="44"/>
        <v>0</v>
      </c>
      <c r="J131" s="32">
        <f t="shared" si="45"/>
        <v>0</v>
      </c>
      <c r="K131" s="32">
        <f t="shared" si="46"/>
        <v>0</v>
      </c>
      <c r="L131" s="32">
        <f t="shared" si="47"/>
        <v>0</v>
      </c>
      <c r="M131" s="32">
        <f t="shared" si="48"/>
        <v>0</v>
      </c>
      <c r="N131" s="32">
        <f t="shared" si="49"/>
        <v>0</v>
      </c>
      <c r="O131" s="32">
        <f t="shared" si="50"/>
        <v>0</v>
      </c>
      <c r="P131" s="32">
        <f t="shared" si="51"/>
        <v>0</v>
      </c>
      <c r="Q131" s="32">
        <f t="shared" si="52"/>
        <v>0</v>
      </c>
      <c r="R131" s="32">
        <f t="shared" si="53"/>
        <v>0</v>
      </c>
      <c r="S131" s="32">
        <f t="shared" si="54"/>
        <v>0</v>
      </c>
      <c r="T131" s="32">
        <f t="shared" si="55"/>
        <v>0</v>
      </c>
      <c r="U131" s="32">
        <f t="shared" si="56"/>
        <v>0</v>
      </c>
    </row>
    <row r="132" spans="1:21" x14ac:dyDescent="0.25">
      <c r="A132" s="97"/>
      <c r="B132" s="98"/>
      <c r="C132" s="98"/>
      <c r="D132" s="98"/>
      <c r="E132" s="99"/>
      <c r="F132" s="98"/>
      <c r="G132" s="32">
        <f t="shared" si="42"/>
        <v>0</v>
      </c>
      <c r="H132" s="32">
        <f t="shared" si="43"/>
        <v>0</v>
      </c>
      <c r="I132" s="32">
        <f t="shared" si="44"/>
        <v>0</v>
      </c>
      <c r="J132" s="32">
        <f t="shared" si="45"/>
        <v>0</v>
      </c>
      <c r="K132" s="32">
        <f t="shared" si="46"/>
        <v>0</v>
      </c>
      <c r="L132" s="32">
        <f t="shared" si="47"/>
        <v>0</v>
      </c>
      <c r="M132" s="32">
        <f t="shared" si="48"/>
        <v>0</v>
      </c>
      <c r="N132" s="32">
        <f t="shared" si="49"/>
        <v>0</v>
      </c>
      <c r="O132" s="32">
        <f t="shared" si="50"/>
        <v>0</v>
      </c>
      <c r="P132" s="32">
        <f t="shared" si="51"/>
        <v>0</v>
      </c>
      <c r="Q132" s="32">
        <f t="shared" si="52"/>
        <v>0</v>
      </c>
      <c r="R132" s="32">
        <f t="shared" si="53"/>
        <v>0</v>
      </c>
      <c r="S132" s="32">
        <f t="shared" si="54"/>
        <v>0</v>
      </c>
      <c r="T132" s="32">
        <f t="shared" si="55"/>
        <v>0</v>
      </c>
      <c r="U132" s="32">
        <f t="shared" si="56"/>
        <v>0</v>
      </c>
    </row>
    <row r="133" spans="1:21" x14ac:dyDescent="0.25">
      <c r="A133" s="97"/>
      <c r="B133" s="98"/>
      <c r="C133" s="98"/>
      <c r="D133" s="98"/>
      <c r="E133" s="99"/>
      <c r="F133" s="98"/>
      <c r="G133" s="32">
        <f t="shared" si="42"/>
        <v>0</v>
      </c>
      <c r="H133" s="32">
        <f t="shared" si="43"/>
        <v>0</v>
      </c>
      <c r="I133" s="32">
        <f t="shared" si="44"/>
        <v>0</v>
      </c>
      <c r="J133" s="32">
        <f t="shared" si="45"/>
        <v>0</v>
      </c>
      <c r="K133" s="32">
        <f t="shared" si="46"/>
        <v>0</v>
      </c>
      <c r="L133" s="32">
        <f t="shared" si="47"/>
        <v>0</v>
      </c>
      <c r="M133" s="32">
        <f t="shared" si="48"/>
        <v>0</v>
      </c>
      <c r="N133" s="32">
        <f t="shared" si="49"/>
        <v>0</v>
      </c>
      <c r="O133" s="32">
        <f t="shared" si="50"/>
        <v>0</v>
      </c>
      <c r="P133" s="32">
        <f t="shared" si="51"/>
        <v>0</v>
      </c>
      <c r="Q133" s="32">
        <f t="shared" si="52"/>
        <v>0</v>
      </c>
      <c r="R133" s="32">
        <f t="shared" si="53"/>
        <v>0</v>
      </c>
      <c r="S133" s="32">
        <f t="shared" si="54"/>
        <v>0</v>
      </c>
      <c r="T133" s="32">
        <f t="shared" si="55"/>
        <v>0</v>
      </c>
      <c r="U133" s="32">
        <f t="shared" si="56"/>
        <v>0</v>
      </c>
    </row>
    <row r="134" spans="1:21" x14ac:dyDescent="0.25">
      <c r="A134" s="97"/>
      <c r="B134" s="98"/>
      <c r="C134" s="98"/>
      <c r="D134" s="98"/>
      <c r="E134" s="99"/>
      <c r="F134" s="98"/>
      <c r="G134" s="32">
        <f t="shared" si="42"/>
        <v>0</v>
      </c>
      <c r="H134" s="32">
        <f t="shared" si="43"/>
        <v>0</v>
      </c>
      <c r="I134" s="32">
        <f t="shared" si="44"/>
        <v>0</v>
      </c>
      <c r="J134" s="32">
        <f t="shared" si="45"/>
        <v>0</v>
      </c>
      <c r="K134" s="32">
        <f t="shared" si="46"/>
        <v>0</v>
      </c>
      <c r="L134" s="32">
        <f t="shared" si="47"/>
        <v>0</v>
      </c>
      <c r="M134" s="32">
        <f t="shared" si="48"/>
        <v>0</v>
      </c>
      <c r="N134" s="32">
        <f t="shared" si="49"/>
        <v>0</v>
      </c>
      <c r="O134" s="32">
        <f t="shared" si="50"/>
        <v>0</v>
      </c>
      <c r="P134" s="32">
        <f t="shared" si="51"/>
        <v>0</v>
      </c>
      <c r="Q134" s="32">
        <f t="shared" si="52"/>
        <v>0</v>
      </c>
      <c r="R134" s="32">
        <f t="shared" si="53"/>
        <v>0</v>
      </c>
      <c r="S134" s="32">
        <f t="shared" si="54"/>
        <v>0</v>
      </c>
      <c r="T134" s="32">
        <f t="shared" si="55"/>
        <v>0</v>
      </c>
      <c r="U134" s="32">
        <f t="shared" si="56"/>
        <v>0</v>
      </c>
    </row>
    <row r="135" spans="1:21" x14ac:dyDescent="0.25">
      <c r="A135" s="97"/>
      <c r="B135" s="98"/>
      <c r="C135" s="98"/>
      <c r="D135" s="98"/>
      <c r="E135" s="99"/>
      <c r="F135" s="98"/>
      <c r="G135" s="32">
        <f t="shared" si="42"/>
        <v>0</v>
      </c>
      <c r="H135" s="32">
        <f t="shared" si="43"/>
        <v>0</v>
      </c>
      <c r="I135" s="32">
        <f t="shared" si="44"/>
        <v>0</v>
      </c>
      <c r="J135" s="32">
        <f t="shared" si="45"/>
        <v>0</v>
      </c>
      <c r="K135" s="32">
        <f t="shared" si="46"/>
        <v>0</v>
      </c>
      <c r="L135" s="32">
        <f t="shared" si="47"/>
        <v>0</v>
      </c>
      <c r="M135" s="32">
        <f t="shared" si="48"/>
        <v>0</v>
      </c>
      <c r="N135" s="32">
        <f t="shared" si="49"/>
        <v>0</v>
      </c>
      <c r="O135" s="32">
        <f t="shared" si="50"/>
        <v>0</v>
      </c>
      <c r="P135" s="32">
        <f t="shared" si="51"/>
        <v>0</v>
      </c>
      <c r="Q135" s="32">
        <f t="shared" si="52"/>
        <v>0</v>
      </c>
      <c r="R135" s="32">
        <f t="shared" si="53"/>
        <v>0</v>
      </c>
      <c r="S135" s="32">
        <f t="shared" si="54"/>
        <v>0</v>
      </c>
      <c r="T135" s="32">
        <f t="shared" si="55"/>
        <v>0</v>
      </c>
      <c r="U135" s="32">
        <f t="shared" si="56"/>
        <v>0</v>
      </c>
    </row>
    <row r="136" spans="1:21" x14ac:dyDescent="0.25">
      <c r="A136" s="97"/>
      <c r="B136" s="98"/>
      <c r="C136" s="98"/>
      <c r="D136" s="98"/>
      <c r="E136" s="99"/>
      <c r="F136" s="98"/>
      <c r="G136" s="32">
        <f t="shared" si="42"/>
        <v>0</v>
      </c>
      <c r="H136" s="32">
        <f t="shared" si="43"/>
        <v>0</v>
      </c>
      <c r="I136" s="32">
        <f t="shared" si="44"/>
        <v>0</v>
      </c>
      <c r="J136" s="32">
        <f t="shared" si="45"/>
        <v>0</v>
      </c>
      <c r="K136" s="32">
        <f t="shared" si="46"/>
        <v>0</v>
      </c>
      <c r="L136" s="32">
        <f t="shared" si="47"/>
        <v>0</v>
      </c>
      <c r="M136" s="32">
        <f t="shared" si="48"/>
        <v>0</v>
      </c>
      <c r="N136" s="32">
        <f t="shared" si="49"/>
        <v>0</v>
      </c>
      <c r="O136" s="32">
        <f t="shared" si="50"/>
        <v>0</v>
      </c>
      <c r="P136" s="32">
        <f t="shared" si="51"/>
        <v>0</v>
      </c>
      <c r="Q136" s="32">
        <f t="shared" si="52"/>
        <v>0</v>
      </c>
      <c r="R136" s="32">
        <f t="shared" si="53"/>
        <v>0</v>
      </c>
      <c r="S136" s="32">
        <f t="shared" si="54"/>
        <v>0</v>
      </c>
      <c r="T136" s="32">
        <f t="shared" si="55"/>
        <v>0</v>
      </c>
      <c r="U136" s="32">
        <f t="shared" si="56"/>
        <v>0</v>
      </c>
    </row>
    <row r="137" spans="1:21" x14ac:dyDescent="0.25">
      <c r="A137" s="97"/>
      <c r="B137" s="98"/>
      <c r="C137" s="98"/>
      <c r="D137" s="98"/>
      <c r="E137" s="99"/>
      <c r="F137" s="98"/>
      <c r="G137" s="32">
        <f t="shared" si="42"/>
        <v>0</v>
      </c>
      <c r="H137" s="32">
        <f t="shared" si="43"/>
        <v>0</v>
      </c>
      <c r="I137" s="32">
        <f t="shared" si="44"/>
        <v>0</v>
      </c>
      <c r="J137" s="32">
        <f t="shared" si="45"/>
        <v>0</v>
      </c>
      <c r="K137" s="32">
        <f t="shared" si="46"/>
        <v>0</v>
      </c>
      <c r="L137" s="32">
        <f t="shared" si="47"/>
        <v>0</v>
      </c>
      <c r="M137" s="32">
        <f t="shared" si="48"/>
        <v>0</v>
      </c>
      <c r="N137" s="32">
        <f t="shared" si="49"/>
        <v>0</v>
      </c>
      <c r="O137" s="32">
        <f t="shared" si="50"/>
        <v>0</v>
      </c>
      <c r="P137" s="32">
        <f t="shared" si="51"/>
        <v>0</v>
      </c>
      <c r="Q137" s="32">
        <f t="shared" si="52"/>
        <v>0</v>
      </c>
      <c r="R137" s="32">
        <f t="shared" si="53"/>
        <v>0</v>
      </c>
      <c r="S137" s="32">
        <f t="shared" si="54"/>
        <v>0</v>
      </c>
      <c r="T137" s="32">
        <f t="shared" si="55"/>
        <v>0</v>
      </c>
      <c r="U137" s="32">
        <f t="shared" si="56"/>
        <v>0</v>
      </c>
    </row>
    <row r="138" spans="1:21" x14ac:dyDescent="0.25">
      <c r="A138" s="97"/>
      <c r="B138" s="98"/>
      <c r="C138" s="98"/>
      <c r="D138" s="98"/>
      <c r="E138" s="99"/>
      <c r="F138" s="98"/>
      <c r="G138" s="32">
        <f t="shared" si="42"/>
        <v>0</v>
      </c>
      <c r="H138" s="32">
        <f t="shared" si="43"/>
        <v>0</v>
      </c>
      <c r="I138" s="32">
        <f t="shared" si="44"/>
        <v>0</v>
      </c>
      <c r="J138" s="32">
        <f t="shared" si="45"/>
        <v>0</v>
      </c>
      <c r="K138" s="32">
        <f t="shared" si="46"/>
        <v>0</v>
      </c>
      <c r="L138" s="32">
        <f t="shared" si="47"/>
        <v>0</v>
      </c>
      <c r="M138" s="32">
        <f t="shared" si="48"/>
        <v>0</v>
      </c>
      <c r="N138" s="32">
        <f t="shared" si="49"/>
        <v>0</v>
      </c>
      <c r="O138" s="32">
        <f t="shared" si="50"/>
        <v>0</v>
      </c>
      <c r="P138" s="32">
        <f t="shared" si="51"/>
        <v>0</v>
      </c>
      <c r="Q138" s="32">
        <f t="shared" si="52"/>
        <v>0</v>
      </c>
      <c r="R138" s="32">
        <f t="shared" si="53"/>
        <v>0</v>
      </c>
      <c r="S138" s="32">
        <f t="shared" si="54"/>
        <v>0</v>
      </c>
      <c r="T138" s="32">
        <f t="shared" si="55"/>
        <v>0</v>
      </c>
      <c r="U138" s="32">
        <f t="shared" si="56"/>
        <v>0</v>
      </c>
    </row>
    <row r="139" spans="1:21" x14ac:dyDescent="0.25">
      <c r="A139" s="97"/>
      <c r="B139" s="98"/>
      <c r="C139" s="98"/>
      <c r="D139" s="98"/>
      <c r="E139" s="99"/>
      <c r="F139" s="98"/>
      <c r="G139" s="32">
        <f t="shared" si="42"/>
        <v>0</v>
      </c>
      <c r="H139" s="32">
        <f t="shared" si="43"/>
        <v>0</v>
      </c>
      <c r="I139" s="32">
        <f t="shared" si="44"/>
        <v>0</v>
      </c>
      <c r="J139" s="32">
        <f t="shared" si="45"/>
        <v>0</v>
      </c>
      <c r="K139" s="32">
        <f t="shared" si="46"/>
        <v>0</v>
      </c>
      <c r="L139" s="32">
        <f t="shared" si="47"/>
        <v>0</v>
      </c>
      <c r="M139" s="32">
        <f t="shared" si="48"/>
        <v>0</v>
      </c>
      <c r="N139" s="32">
        <f t="shared" si="49"/>
        <v>0</v>
      </c>
      <c r="O139" s="32">
        <f t="shared" si="50"/>
        <v>0</v>
      </c>
      <c r="P139" s="32">
        <f t="shared" si="51"/>
        <v>0</v>
      </c>
      <c r="Q139" s="32">
        <f t="shared" si="52"/>
        <v>0</v>
      </c>
      <c r="R139" s="32">
        <f t="shared" si="53"/>
        <v>0</v>
      </c>
      <c r="S139" s="32">
        <f t="shared" si="54"/>
        <v>0</v>
      </c>
      <c r="T139" s="32">
        <f t="shared" si="55"/>
        <v>0</v>
      </c>
      <c r="U139" s="32">
        <f t="shared" si="56"/>
        <v>0</v>
      </c>
    </row>
    <row r="140" spans="1:21" x14ac:dyDescent="0.25">
      <c r="A140" s="97"/>
      <c r="B140" s="98"/>
      <c r="C140" s="98"/>
      <c r="D140" s="98"/>
      <c r="E140" s="99"/>
      <c r="F140" s="98"/>
      <c r="G140" s="32">
        <f t="shared" si="42"/>
        <v>0</v>
      </c>
      <c r="H140" s="32">
        <f t="shared" si="43"/>
        <v>0</v>
      </c>
      <c r="I140" s="32">
        <f t="shared" si="44"/>
        <v>0</v>
      </c>
      <c r="J140" s="32">
        <f t="shared" si="45"/>
        <v>0</v>
      </c>
      <c r="K140" s="32">
        <f t="shared" si="46"/>
        <v>0</v>
      </c>
      <c r="L140" s="32">
        <f t="shared" si="47"/>
        <v>0</v>
      </c>
      <c r="M140" s="32">
        <f t="shared" si="48"/>
        <v>0</v>
      </c>
      <c r="N140" s="32">
        <f t="shared" si="49"/>
        <v>0</v>
      </c>
      <c r="O140" s="32">
        <f t="shared" si="50"/>
        <v>0</v>
      </c>
      <c r="P140" s="32">
        <f t="shared" si="51"/>
        <v>0</v>
      </c>
      <c r="Q140" s="32">
        <f t="shared" si="52"/>
        <v>0</v>
      </c>
      <c r="R140" s="32">
        <f t="shared" si="53"/>
        <v>0</v>
      </c>
      <c r="S140" s="32">
        <f t="shared" si="54"/>
        <v>0</v>
      </c>
      <c r="T140" s="32">
        <f t="shared" si="55"/>
        <v>0</v>
      </c>
      <c r="U140" s="32">
        <f t="shared" si="56"/>
        <v>0</v>
      </c>
    </row>
    <row r="141" spans="1:21" x14ac:dyDescent="0.25">
      <c r="A141" s="97"/>
      <c r="B141" s="98"/>
      <c r="C141" s="98"/>
      <c r="D141" s="98"/>
      <c r="E141" s="99"/>
      <c r="F141" s="98"/>
      <c r="G141" s="32">
        <f t="shared" si="42"/>
        <v>0</v>
      </c>
      <c r="H141" s="32">
        <f t="shared" si="43"/>
        <v>0</v>
      </c>
      <c r="I141" s="32">
        <f t="shared" si="44"/>
        <v>0</v>
      </c>
      <c r="J141" s="32">
        <f t="shared" si="45"/>
        <v>0</v>
      </c>
      <c r="K141" s="32">
        <f t="shared" si="46"/>
        <v>0</v>
      </c>
      <c r="L141" s="32">
        <f t="shared" si="47"/>
        <v>0</v>
      </c>
      <c r="M141" s="32">
        <f t="shared" si="48"/>
        <v>0</v>
      </c>
      <c r="N141" s="32">
        <f t="shared" si="49"/>
        <v>0</v>
      </c>
      <c r="O141" s="32">
        <f t="shared" si="50"/>
        <v>0</v>
      </c>
      <c r="P141" s="32">
        <f t="shared" si="51"/>
        <v>0</v>
      </c>
      <c r="Q141" s="32">
        <f t="shared" si="52"/>
        <v>0</v>
      </c>
      <c r="R141" s="32">
        <f t="shared" si="53"/>
        <v>0</v>
      </c>
      <c r="S141" s="32">
        <f t="shared" si="54"/>
        <v>0</v>
      </c>
      <c r="T141" s="32">
        <f t="shared" si="55"/>
        <v>0</v>
      </c>
      <c r="U141" s="32">
        <f t="shared" si="56"/>
        <v>0</v>
      </c>
    </row>
    <row r="142" spans="1:21" x14ac:dyDescent="0.25">
      <c r="A142" s="97"/>
      <c r="B142" s="98"/>
      <c r="C142" s="98"/>
      <c r="D142" s="98"/>
      <c r="E142" s="99"/>
      <c r="F142" s="98"/>
      <c r="G142" s="32">
        <f t="shared" si="42"/>
        <v>0</v>
      </c>
      <c r="H142" s="32">
        <f t="shared" si="43"/>
        <v>0</v>
      </c>
      <c r="I142" s="32">
        <f t="shared" si="44"/>
        <v>0</v>
      </c>
      <c r="J142" s="32">
        <f t="shared" si="45"/>
        <v>0</v>
      </c>
      <c r="K142" s="32">
        <f t="shared" si="46"/>
        <v>0</v>
      </c>
      <c r="L142" s="32">
        <f t="shared" si="47"/>
        <v>0</v>
      </c>
      <c r="M142" s="32">
        <f t="shared" si="48"/>
        <v>0</v>
      </c>
      <c r="N142" s="32">
        <f t="shared" si="49"/>
        <v>0</v>
      </c>
      <c r="O142" s="32">
        <f t="shared" si="50"/>
        <v>0</v>
      </c>
      <c r="P142" s="32">
        <f t="shared" si="51"/>
        <v>0</v>
      </c>
      <c r="Q142" s="32">
        <f t="shared" si="52"/>
        <v>0</v>
      </c>
      <c r="R142" s="32">
        <f t="shared" si="53"/>
        <v>0</v>
      </c>
      <c r="S142" s="32">
        <f t="shared" si="54"/>
        <v>0</v>
      </c>
      <c r="T142" s="32">
        <f t="shared" si="55"/>
        <v>0</v>
      </c>
      <c r="U142" s="32">
        <f t="shared" si="56"/>
        <v>0</v>
      </c>
    </row>
    <row r="143" spans="1:21" x14ac:dyDescent="0.25">
      <c r="A143" s="97"/>
      <c r="B143" s="98"/>
      <c r="C143" s="98"/>
      <c r="D143" s="98"/>
      <c r="E143" s="99"/>
      <c r="F143" s="98"/>
      <c r="G143" s="32">
        <f t="shared" si="42"/>
        <v>0</v>
      </c>
      <c r="H143" s="32">
        <f t="shared" si="43"/>
        <v>0</v>
      </c>
      <c r="I143" s="32">
        <f t="shared" si="44"/>
        <v>0</v>
      </c>
      <c r="J143" s="32">
        <f t="shared" si="45"/>
        <v>0</v>
      </c>
      <c r="K143" s="32">
        <f t="shared" si="46"/>
        <v>0</v>
      </c>
      <c r="L143" s="32">
        <f t="shared" si="47"/>
        <v>0</v>
      </c>
      <c r="M143" s="32">
        <f t="shared" si="48"/>
        <v>0</v>
      </c>
      <c r="N143" s="32">
        <f t="shared" si="49"/>
        <v>0</v>
      </c>
      <c r="O143" s="32">
        <f t="shared" si="50"/>
        <v>0</v>
      </c>
      <c r="P143" s="32">
        <f t="shared" si="51"/>
        <v>0</v>
      </c>
      <c r="Q143" s="32">
        <f t="shared" si="52"/>
        <v>0</v>
      </c>
      <c r="R143" s="32">
        <f t="shared" si="53"/>
        <v>0</v>
      </c>
      <c r="S143" s="32">
        <f t="shared" si="54"/>
        <v>0</v>
      </c>
      <c r="T143" s="32">
        <f t="shared" si="55"/>
        <v>0</v>
      </c>
      <c r="U143" s="32">
        <f t="shared" si="56"/>
        <v>0</v>
      </c>
    </row>
    <row r="144" spans="1:21" x14ac:dyDescent="0.25">
      <c r="A144" s="97"/>
      <c r="B144" s="98"/>
      <c r="C144" s="98"/>
      <c r="D144" s="98"/>
      <c r="E144" s="99"/>
      <c r="F144" s="98"/>
      <c r="G144" s="32">
        <f t="shared" si="42"/>
        <v>0</v>
      </c>
      <c r="H144" s="32">
        <f t="shared" si="43"/>
        <v>0</v>
      </c>
      <c r="I144" s="32">
        <f t="shared" si="44"/>
        <v>0</v>
      </c>
      <c r="J144" s="32">
        <f t="shared" si="45"/>
        <v>0</v>
      </c>
      <c r="K144" s="32">
        <f t="shared" si="46"/>
        <v>0</v>
      </c>
      <c r="L144" s="32">
        <f t="shared" si="47"/>
        <v>0</v>
      </c>
      <c r="M144" s="32">
        <f t="shared" si="48"/>
        <v>0</v>
      </c>
      <c r="N144" s="32">
        <f t="shared" si="49"/>
        <v>0</v>
      </c>
      <c r="O144" s="32">
        <f t="shared" si="50"/>
        <v>0</v>
      </c>
      <c r="P144" s="32">
        <f t="shared" si="51"/>
        <v>0</v>
      </c>
      <c r="Q144" s="32">
        <f t="shared" si="52"/>
        <v>0</v>
      </c>
      <c r="R144" s="32">
        <f t="shared" si="53"/>
        <v>0</v>
      </c>
      <c r="S144" s="32">
        <f t="shared" si="54"/>
        <v>0</v>
      </c>
      <c r="T144" s="32">
        <f t="shared" si="55"/>
        <v>0</v>
      </c>
      <c r="U144" s="32">
        <f t="shared" si="56"/>
        <v>0</v>
      </c>
    </row>
    <row r="145" spans="1:21" x14ac:dyDescent="0.25">
      <c r="A145" s="97"/>
      <c r="B145" s="98"/>
      <c r="C145" s="98"/>
      <c r="D145" s="98"/>
      <c r="E145" s="99"/>
      <c r="F145" s="98"/>
      <c r="G145" s="32">
        <f t="shared" si="42"/>
        <v>0</v>
      </c>
      <c r="H145" s="32">
        <f t="shared" si="43"/>
        <v>0</v>
      </c>
      <c r="I145" s="32">
        <f t="shared" si="44"/>
        <v>0</v>
      </c>
      <c r="J145" s="32">
        <f t="shared" si="45"/>
        <v>0</v>
      </c>
      <c r="K145" s="32">
        <f t="shared" si="46"/>
        <v>0</v>
      </c>
      <c r="L145" s="32">
        <f t="shared" si="47"/>
        <v>0</v>
      </c>
      <c r="M145" s="32">
        <f t="shared" si="48"/>
        <v>0</v>
      </c>
      <c r="N145" s="32">
        <f t="shared" si="49"/>
        <v>0</v>
      </c>
      <c r="O145" s="32">
        <f t="shared" si="50"/>
        <v>0</v>
      </c>
      <c r="P145" s="32">
        <f t="shared" si="51"/>
        <v>0</v>
      </c>
      <c r="Q145" s="32">
        <f t="shared" si="52"/>
        <v>0</v>
      </c>
      <c r="R145" s="32">
        <f t="shared" si="53"/>
        <v>0</v>
      </c>
      <c r="S145" s="32">
        <f t="shared" si="54"/>
        <v>0</v>
      </c>
      <c r="T145" s="32">
        <f t="shared" si="55"/>
        <v>0</v>
      </c>
      <c r="U145" s="32">
        <f t="shared" si="56"/>
        <v>0</v>
      </c>
    </row>
    <row r="146" spans="1:21" x14ac:dyDescent="0.25">
      <c r="A146" s="97"/>
      <c r="B146" s="98"/>
      <c r="C146" s="98"/>
      <c r="D146" s="98"/>
      <c r="E146" s="99"/>
      <c r="F146" s="98"/>
      <c r="G146" s="32">
        <f t="shared" si="42"/>
        <v>0</v>
      </c>
      <c r="H146" s="32">
        <f t="shared" si="43"/>
        <v>0</v>
      </c>
      <c r="I146" s="32">
        <f t="shared" si="44"/>
        <v>0</v>
      </c>
      <c r="J146" s="32">
        <f t="shared" si="45"/>
        <v>0</v>
      </c>
      <c r="K146" s="32">
        <f t="shared" si="46"/>
        <v>0</v>
      </c>
      <c r="L146" s="32">
        <f t="shared" si="47"/>
        <v>0</v>
      </c>
      <c r="M146" s="32">
        <f t="shared" si="48"/>
        <v>0</v>
      </c>
      <c r="N146" s="32">
        <f t="shared" si="49"/>
        <v>0</v>
      </c>
      <c r="O146" s="32">
        <f t="shared" si="50"/>
        <v>0</v>
      </c>
      <c r="P146" s="32">
        <f t="shared" si="51"/>
        <v>0</v>
      </c>
      <c r="Q146" s="32">
        <f t="shared" si="52"/>
        <v>0</v>
      </c>
      <c r="R146" s="32">
        <f t="shared" si="53"/>
        <v>0</v>
      </c>
      <c r="S146" s="32">
        <f t="shared" si="54"/>
        <v>0</v>
      </c>
      <c r="T146" s="32">
        <f t="shared" si="55"/>
        <v>0</v>
      </c>
      <c r="U146" s="32">
        <f t="shared" si="56"/>
        <v>0</v>
      </c>
    </row>
    <row r="147" spans="1:21" x14ac:dyDescent="0.25">
      <c r="A147" s="97"/>
      <c r="B147" s="98"/>
      <c r="C147" s="98"/>
      <c r="D147" s="98"/>
      <c r="E147" s="99"/>
      <c r="F147" s="98"/>
      <c r="G147" s="32">
        <f t="shared" si="42"/>
        <v>0</v>
      </c>
      <c r="H147" s="32">
        <f t="shared" si="43"/>
        <v>0</v>
      </c>
      <c r="I147" s="32">
        <f t="shared" si="44"/>
        <v>0</v>
      </c>
      <c r="J147" s="32">
        <f t="shared" si="45"/>
        <v>0</v>
      </c>
      <c r="K147" s="32">
        <f t="shared" si="46"/>
        <v>0</v>
      </c>
      <c r="L147" s="32">
        <f t="shared" si="47"/>
        <v>0</v>
      </c>
      <c r="M147" s="32">
        <f t="shared" si="48"/>
        <v>0</v>
      </c>
      <c r="N147" s="32">
        <f t="shared" si="49"/>
        <v>0</v>
      </c>
      <c r="O147" s="32">
        <f t="shared" si="50"/>
        <v>0</v>
      </c>
      <c r="P147" s="32">
        <f t="shared" si="51"/>
        <v>0</v>
      </c>
      <c r="Q147" s="32">
        <f t="shared" si="52"/>
        <v>0</v>
      </c>
      <c r="R147" s="32">
        <f t="shared" si="53"/>
        <v>0</v>
      </c>
      <c r="S147" s="32">
        <f t="shared" si="54"/>
        <v>0</v>
      </c>
      <c r="T147" s="32">
        <f t="shared" si="55"/>
        <v>0</v>
      </c>
      <c r="U147" s="32">
        <f t="shared" si="56"/>
        <v>0</v>
      </c>
    </row>
    <row r="148" spans="1:21" x14ac:dyDescent="0.25">
      <c r="A148" s="97"/>
      <c r="B148" s="98"/>
      <c r="C148" s="98"/>
      <c r="D148" s="98"/>
      <c r="E148" s="99"/>
      <c r="F148" s="98"/>
      <c r="G148" s="32">
        <f t="shared" si="42"/>
        <v>0</v>
      </c>
      <c r="H148" s="32">
        <f t="shared" si="43"/>
        <v>0</v>
      </c>
      <c r="I148" s="32">
        <f t="shared" si="44"/>
        <v>0</v>
      </c>
      <c r="J148" s="32">
        <f t="shared" si="45"/>
        <v>0</v>
      </c>
      <c r="K148" s="32">
        <f t="shared" si="46"/>
        <v>0</v>
      </c>
      <c r="L148" s="32">
        <f t="shared" si="47"/>
        <v>0</v>
      </c>
      <c r="M148" s="32">
        <f t="shared" si="48"/>
        <v>0</v>
      </c>
      <c r="N148" s="32">
        <f t="shared" si="49"/>
        <v>0</v>
      </c>
      <c r="O148" s="32">
        <f t="shared" si="50"/>
        <v>0</v>
      </c>
      <c r="P148" s="32">
        <f t="shared" si="51"/>
        <v>0</v>
      </c>
      <c r="Q148" s="32">
        <f t="shared" si="52"/>
        <v>0</v>
      </c>
      <c r="R148" s="32">
        <f t="shared" si="53"/>
        <v>0</v>
      </c>
      <c r="S148" s="32">
        <f t="shared" si="54"/>
        <v>0</v>
      </c>
      <c r="T148" s="32">
        <f t="shared" si="55"/>
        <v>0</v>
      </c>
      <c r="U148" s="32">
        <f t="shared" si="56"/>
        <v>0</v>
      </c>
    </row>
    <row r="149" spans="1:21" x14ac:dyDescent="0.25">
      <c r="A149" s="97"/>
      <c r="B149" s="98"/>
      <c r="C149" s="98"/>
      <c r="D149" s="98"/>
      <c r="E149" s="99"/>
      <c r="F149" s="98"/>
      <c r="G149" s="32">
        <f t="shared" si="42"/>
        <v>0</v>
      </c>
      <c r="H149" s="32">
        <f t="shared" si="43"/>
        <v>0</v>
      </c>
      <c r="I149" s="32">
        <f t="shared" si="44"/>
        <v>0</v>
      </c>
      <c r="J149" s="32">
        <f t="shared" si="45"/>
        <v>0</v>
      </c>
      <c r="K149" s="32">
        <f t="shared" si="46"/>
        <v>0</v>
      </c>
      <c r="L149" s="32">
        <f t="shared" si="47"/>
        <v>0</v>
      </c>
      <c r="M149" s="32">
        <f t="shared" si="48"/>
        <v>0</v>
      </c>
      <c r="N149" s="32">
        <f t="shared" si="49"/>
        <v>0</v>
      </c>
      <c r="O149" s="32">
        <f t="shared" si="50"/>
        <v>0</v>
      </c>
      <c r="P149" s="32">
        <f t="shared" si="51"/>
        <v>0</v>
      </c>
      <c r="Q149" s="32">
        <f t="shared" si="52"/>
        <v>0</v>
      </c>
      <c r="R149" s="32">
        <f t="shared" si="53"/>
        <v>0</v>
      </c>
      <c r="S149" s="32">
        <f t="shared" si="54"/>
        <v>0</v>
      </c>
      <c r="T149" s="32">
        <f t="shared" si="55"/>
        <v>0</v>
      </c>
      <c r="U149" s="32">
        <f t="shared" si="56"/>
        <v>0</v>
      </c>
    </row>
    <row r="150" spans="1:21" x14ac:dyDescent="0.25">
      <c r="A150" s="97"/>
      <c r="B150" s="98"/>
      <c r="C150" s="98"/>
      <c r="D150" s="98"/>
      <c r="E150" s="99"/>
      <c r="F150" s="98"/>
      <c r="G150" s="32">
        <f t="shared" si="42"/>
        <v>0</v>
      </c>
      <c r="H150" s="32">
        <f t="shared" si="43"/>
        <v>0</v>
      </c>
      <c r="I150" s="32">
        <f t="shared" si="44"/>
        <v>0</v>
      </c>
      <c r="J150" s="32">
        <f t="shared" si="45"/>
        <v>0</v>
      </c>
      <c r="K150" s="32">
        <f t="shared" si="46"/>
        <v>0</v>
      </c>
      <c r="L150" s="32">
        <f t="shared" si="47"/>
        <v>0</v>
      </c>
      <c r="M150" s="32">
        <f t="shared" si="48"/>
        <v>0</v>
      </c>
      <c r="N150" s="32">
        <f t="shared" si="49"/>
        <v>0</v>
      </c>
      <c r="O150" s="32">
        <f t="shared" si="50"/>
        <v>0</v>
      </c>
      <c r="P150" s="32">
        <f t="shared" si="51"/>
        <v>0</v>
      </c>
      <c r="Q150" s="32">
        <f t="shared" si="52"/>
        <v>0</v>
      </c>
      <c r="R150" s="32">
        <f t="shared" si="53"/>
        <v>0</v>
      </c>
      <c r="S150" s="32">
        <f t="shared" si="54"/>
        <v>0</v>
      </c>
      <c r="T150" s="32">
        <f t="shared" si="55"/>
        <v>0</v>
      </c>
      <c r="U150" s="32">
        <f t="shared" si="56"/>
        <v>0</v>
      </c>
    </row>
    <row r="151" spans="1:21" x14ac:dyDescent="0.25">
      <c r="A151" s="97"/>
      <c r="B151" s="98"/>
      <c r="C151" s="98"/>
      <c r="D151" s="98"/>
      <c r="E151" s="99"/>
      <c r="F151" s="98"/>
      <c r="G151" s="32">
        <f t="shared" si="42"/>
        <v>0</v>
      </c>
      <c r="H151" s="32">
        <f t="shared" si="43"/>
        <v>0</v>
      </c>
      <c r="I151" s="32">
        <f t="shared" si="44"/>
        <v>0</v>
      </c>
      <c r="J151" s="32">
        <f t="shared" si="45"/>
        <v>0</v>
      </c>
      <c r="K151" s="32">
        <f t="shared" si="46"/>
        <v>0</v>
      </c>
      <c r="L151" s="32">
        <f t="shared" si="47"/>
        <v>0</v>
      </c>
      <c r="M151" s="32">
        <f t="shared" si="48"/>
        <v>0</v>
      </c>
      <c r="N151" s="32">
        <f t="shared" si="49"/>
        <v>0</v>
      </c>
      <c r="O151" s="32">
        <f t="shared" si="50"/>
        <v>0</v>
      </c>
      <c r="P151" s="32">
        <f t="shared" si="51"/>
        <v>0</v>
      </c>
      <c r="Q151" s="32">
        <f t="shared" si="52"/>
        <v>0</v>
      </c>
      <c r="R151" s="32">
        <f t="shared" si="53"/>
        <v>0</v>
      </c>
      <c r="S151" s="32">
        <f t="shared" si="54"/>
        <v>0</v>
      </c>
      <c r="T151" s="32">
        <f t="shared" si="55"/>
        <v>0</v>
      </c>
      <c r="U151" s="32">
        <f t="shared" si="56"/>
        <v>0</v>
      </c>
    </row>
    <row r="152" spans="1:21" x14ac:dyDescent="0.25">
      <c r="A152" s="97"/>
      <c r="B152" s="98"/>
      <c r="C152" s="98"/>
      <c r="D152" s="98"/>
      <c r="E152" s="99"/>
      <c r="F152" s="98"/>
      <c r="G152" s="32">
        <f t="shared" si="42"/>
        <v>0</v>
      </c>
      <c r="H152" s="32">
        <f t="shared" si="43"/>
        <v>0</v>
      </c>
      <c r="I152" s="32">
        <f t="shared" si="44"/>
        <v>0</v>
      </c>
      <c r="J152" s="32">
        <f t="shared" si="45"/>
        <v>0</v>
      </c>
      <c r="K152" s="32">
        <f t="shared" si="46"/>
        <v>0</v>
      </c>
      <c r="L152" s="32">
        <f t="shared" si="47"/>
        <v>0</v>
      </c>
      <c r="M152" s="32">
        <f t="shared" si="48"/>
        <v>0</v>
      </c>
      <c r="N152" s="32">
        <f t="shared" si="49"/>
        <v>0</v>
      </c>
      <c r="O152" s="32">
        <f t="shared" si="50"/>
        <v>0</v>
      </c>
      <c r="P152" s="32">
        <f t="shared" si="51"/>
        <v>0</v>
      </c>
      <c r="Q152" s="32">
        <f t="shared" si="52"/>
        <v>0</v>
      </c>
      <c r="R152" s="32">
        <f t="shared" si="53"/>
        <v>0</v>
      </c>
      <c r="S152" s="32">
        <f t="shared" si="54"/>
        <v>0</v>
      </c>
      <c r="T152" s="32">
        <f t="shared" si="55"/>
        <v>0</v>
      </c>
      <c r="U152" s="32">
        <f t="shared" si="56"/>
        <v>0</v>
      </c>
    </row>
    <row r="153" spans="1:21" x14ac:dyDescent="0.25">
      <c r="A153" s="97"/>
      <c r="B153" s="98"/>
      <c r="C153" s="98"/>
      <c r="D153" s="98"/>
      <c r="E153" s="99"/>
      <c r="F153" s="98"/>
      <c r="G153" s="32">
        <f t="shared" si="42"/>
        <v>0</v>
      </c>
      <c r="H153" s="32">
        <f t="shared" si="43"/>
        <v>0</v>
      </c>
      <c r="I153" s="32">
        <f t="shared" si="44"/>
        <v>0</v>
      </c>
      <c r="J153" s="32">
        <f t="shared" si="45"/>
        <v>0</v>
      </c>
      <c r="K153" s="32">
        <f t="shared" si="46"/>
        <v>0</v>
      </c>
      <c r="L153" s="32">
        <f t="shared" si="47"/>
        <v>0</v>
      </c>
      <c r="M153" s="32">
        <f t="shared" si="48"/>
        <v>0</v>
      </c>
      <c r="N153" s="32">
        <f t="shared" si="49"/>
        <v>0</v>
      </c>
      <c r="O153" s="32">
        <f t="shared" si="50"/>
        <v>0</v>
      </c>
      <c r="P153" s="32">
        <f t="shared" si="51"/>
        <v>0</v>
      </c>
      <c r="Q153" s="32">
        <f t="shared" si="52"/>
        <v>0</v>
      </c>
      <c r="R153" s="32">
        <f t="shared" si="53"/>
        <v>0</v>
      </c>
      <c r="S153" s="32">
        <f t="shared" si="54"/>
        <v>0</v>
      </c>
      <c r="T153" s="32">
        <f t="shared" si="55"/>
        <v>0</v>
      </c>
      <c r="U153" s="32">
        <f t="shared" si="56"/>
        <v>0</v>
      </c>
    </row>
    <row r="154" spans="1:21" x14ac:dyDescent="0.25">
      <c r="A154" s="97"/>
      <c r="B154" s="98"/>
      <c r="C154" s="98"/>
      <c r="D154" s="98"/>
      <c r="E154" s="99"/>
      <c r="F154" s="98"/>
      <c r="G154" s="32">
        <f t="shared" si="42"/>
        <v>0</v>
      </c>
      <c r="H154" s="32">
        <f t="shared" si="43"/>
        <v>0</v>
      </c>
      <c r="I154" s="32">
        <f t="shared" si="44"/>
        <v>0</v>
      </c>
      <c r="J154" s="32">
        <f t="shared" si="45"/>
        <v>0</v>
      </c>
      <c r="K154" s="32">
        <f t="shared" si="46"/>
        <v>0</v>
      </c>
      <c r="L154" s="32">
        <f t="shared" si="47"/>
        <v>0</v>
      </c>
      <c r="M154" s="32">
        <f t="shared" si="48"/>
        <v>0</v>
      </c>
      <c r="N154" s="32">
        <f t="shared" si="49"/>
        <v>0</v>
      </c>
      <c r="O154" s="32">
        <f t="shared" si="50"/>
        <v>0</v>
      </c>
      <c r="P154" s="32">
        <f t="shared" si="51"/>
        <v>0</v>
      </c>
      <c r="Q154" s="32">
        <f t="shared" si="52"/>
        <v>0</v>
      </c>
      <c r="R154" s="32">
        <f t="shared" si="53"/>
        <v>0</v>
      </c>
      <c r="S154" s="32">
        <f t="shared" si="54"/>
        <v>0</v>
      </c>
      <c r="T154" s="32">
        <f t="shared" si="55"/>
        <v>0</v>
      </c>
      <c r="U154" s="32">
        <f t="shared" si="56"/>
        <v>0</v>
      </c>
    </row>
    <row r="155" spans="1:21" x14ac:dyDescent="0.25">
      <c r="A155" s="97"/>
      <c r="B155" s="98"/>
      <c r="C155" s="98"/>
      <c r="D155" s="98"/>
      <c r="E155" s="99"/>
      <c r="F155" s="98"/>
      <c r="G155" s="32">
        <f t="shared" si="42"/>
        <v>0</v>
      </c>
      <c r="H155" s="32">
        <f t="shared" si="43"/>
        <v>0</v>
      </c>
      <c r="I155" s="32">
        <f t="shared" si="44"/>
        <v>0</v>
      </c>
      <c r="J155" s="32">
        <f t="shared" si="45"/>
        <v>0</v>
      </c>
      <c r="K155" s="32">
        <f t="shared" si="46"/>
        <v>0</v>
      </c>
      <c r="L155" s="32">
        <f t="shared" si="47"/>
        <v>0</v>
      </c>
      <c r="M155" s="32">
        <f t="shared" si="48"/>
        <v>0</v>
      </c>
      <c r="N155" s="32">
        <f t="shared" si="49"/>
        <v>0</v>
      </c>
      <c r="O155" s="32">
        <f t="shared" si="50"/>
        <v>0</v>
      </c>
      <c r="P155" s="32">
        <f t="shared" si="51"/>
        <v>0</v>
      </c>
      <c r="Q155" s="32">
        <f t="shared" si="52"/>
        <v>0</v>
      </c>
      <c r="R155" s="32">
        <f t="shared" si="53"/>
        <v>0</v>
      </c>
      <c r="S155" s="32">
        <f t="shared" si="54"/>
        <v>0</v>
      </c>
      <c r="T155" s="32">
        <f t="shared" si="55"/>
        <v>0</v>
      </c>
      <c r="U155" s="32">
        <f t="shared" si="56"/>
        <v>0</v>
      </c>
    </row>
    <row r="156" spans="1:21" x14ac:dyDescent="0.25">
      <c r="A156" s="97"/>
      <c r="B156" s="98"/>
      <c r="C156" s="98"/>
      <c r="D156" s="98"/>
      <c r="E156" s="99"/>
      <c r="F156" s="98"/>
      <c r="G156" s="32">
        <f t="shared" si="42"/>
        <v>0</v>
      </c>
      <c r="H156" s="32">
        <f t="shared" si="43"/>
        <v>0</v>
      </c>
      <c r="I156" s="32">
        <f t="shared" si="44"/>
        <v>0</v>
      </c>
      <c r="J156" s="32">
        <f t="shared" si="45"/>
        <v>0</v>
      </c>
      <c r="K156" s="32">
        <f t="shared" si="46"/>
        <v>0</v>
      </c>
      <c r="L156" s="32">
        <f t="shared" si="47"/>
        <v>0</v>
      </c>
      <c r="M156" s="32">
        <f t="shared" si="48"/>
        <v>0</v>
      </c>
      <c r="N156" s="32">
        <f t="shared" si="49"/>
        <v>0</v>
      </c>
      <c r="O156" s="32">
        <f t="shared" si="50"/>
        <v>0</v>
      </c>
      <c r="P156" s="32">
        <f t="shared" si="51"/>
        <v>0</v>
      </c>
      <c r="Q156" s="32">
        <f t="shared" si="52"/>
        <v>0</v>
      </c>
      <c r="R156" s="32">
        <f t="shared" si="53"/>
        <v>0</v>
      </c>
      <c r="S156" s="32">
        <f t="shared" si="54"/>
        <v>0</v>
      </c>
      <c r="T156" s="32">
        <f t="shared" si="55"/>
        <v>0</v>
      </c>
      <c r="U156" s="32">
        <f t="shared" si="56"/>
        <v>0</v>
      </c>
    </row>
    <row r="157" spans="1:21" x14ac:dyDescent="0.25">
      <c r="A157" s="97"/>
      <c r="B157" s="98"/>
      <c r="C157" s="98"/>
      <c r="D157" s="98"/>
      <c r="E157" s="99"/>
      <c r="F157" s="98"/>
      <c r="G157" s="32">
        <f t="shared" ref="G157:G171" si="57">IF(AND(ISNUMBER(SEARCH("FORET D8,6 COMPLET", $B157)),ISNUMBER(SEARCH("EMAG 2", $F157))), 1*$E157, 0)</f>
        <v>0</v>
      </c>
      <c r="H157" s="32">
        <f t="shared" ref="H157:H171" si="58">IF(AND(ISNUMBER(SEARCH("FORET D8,6 COMPLET", $B157)),ISNUMBER(SEARCH("EMAG 2", $F157))), 1*$E157, 0)</f>
        <v>0</v>
      </c>
      <c r="I157" s="32">
        <f t="shared" ref="I157:I171" si="59">IF(AND(ISNUMBER(SEARCH("FORET D13,3 COMPLET", $B157)),ISNUMBER(SEARCH("EMAG 2", $F157))), 1*$E157, 0)</f>
        <v>0</v>
      </c>
      <c r="J157" s="32">
        <f t="shared" ref="J157:J171" si="60">IF(AND(ISNUMBER(SEARCH("FORET D13,3 COMPLET", $B157)),ISNUMBER(SEARCH("EMAG 2", $F157))), 2*$E157, 0)</f>
        <v>0</v>
      </c>
      <c r="K157" s="32">
        <f t="shared" ref="K157:K171" si="61">IF(AND(ISNUMBER(SEARCH("FORET D15,3 COMPLET", $B157)),ISNUMBER(SEARCH("EMAG 2", $F157))), 1*$E157, 0)</f>
        <v>0</v>
      </c>
      <c r="L157" s="32">
        <f t="shared" ref="L157:L171" si="62">IF(AND(ISNUMBER(SEARCH("FORET D15,3 COMPLET", $B157)),ISNUMBER(SEARCH("EMAG 2", $F157))), 2*$E157, 0)</f>
        <v>0</v>
      </c>
      <c r="M157" s="32">
        <f t="shared" ref="M157:M171" si="63">IF(AND(ISNUMBER(SEARCH("T5013 COMPLET", $B157)),ISNUMBER(SEARCH("EMAG 2", $F157))), 2*$E157, 0)</f>
        <v>0</v>
      </c>
      <c r="N157" s="32">
        <f t="shared" ref="N157:N171" si="64">IF(AND(ISNUMBER(SEARCH("FORET D8,6 COMPLET", $B157)),ISNUMBER(SEARCH("EMAG 1", $F157))), 1*$E157, 0)</f>
        <v>0</v>
      </c>
      <c r="O157" s="32">
        <f t="shared" ref="O157:O171" si="65">IF(AND(ISNUMBER(SEARCH("FORET D8,6 COMPLET", $B157)),ISNUMBER(SEARCH("EMAG 1", $F157))), 1*$E157, 0)</f>
        <v>0</v>
      </c>
      <c r="P157" s="32">
        <f t="shared" ref="P157:P171" si="66">IF(AND(ISNUMBER(SEARCH("FORET D13,3 COMPLET", $B157)),ISNUMBER(SEARCH("EMAG 1", $F157))), 1*$E157, 0)</f>
        <v>0</v>
      </c>
      <c r="Q157" s="32">
        <f t="shared" ref="Q157:Q171" si="67">IF(AND(ISNUMBER(SEARCH("FORET D13,3 COMPLET", $B157)),ISNUMBER(SEARCH("EMAG 1", $F157))), 2*$E157, 0)</f>
        <v>0</v>
      </c>
      <c r="R157" s="32">
        <f t="shared" ref="R157:R171" si="68">IF(AND(ISNUMBER(SEARCH("FORET D15,3 COMPLET", $B157)),ISNUMBER(SEARCH("EMAG 1", $F157))), 1*$E157, 0)</f>
        <v>0</v>
      </c>
      <c r="S157" s="32">
        <f t="shared" ref="S157:S171" si="69">IF(AND(ISNUMBER(SEARCH("FORET D15,3 COMPLET", $B157)),ISNUMBER(SEARCH("EMAG 1", $F157))), 2*$E157, 0)</f>
        <v>0</v>
      </c>
      <c r="T157" s="32">
        <f t="shared" ref="T157:T171" si="70">IF(AND(ISNUMBER(SEARCH("FORET D13,3 COMPLET", $B157)),ISNUMBER(SEARCH("EMAG 3", $F157))), 1*$E157, 0)</f>
        <v>0</v>
      </c>
      <c r="U157" s="32">
        <f t="shared" ref="U157:U171" si="71">IF(AND(ISNUMBER(SEARCH("FORET D13,3 COMPLET", $B157)),ISNUMBER(SEARCH("EMAG 3", $F157))), 2*$E157, 0)</f>
        <v>0</v>
      </c>
    </row>
    <row r="158" spans="1:21" x14ac:dyDescent="0.25">
      <c r="A158" s="97"/>
      <c r="B158" s="98"/>
      <c r="C158" s="98"/>
      <c r="D158" s="98"/>
      <c r="E158" s="99"/>
      <c r="F158" s="98"/>
      <c r="G158" s="32">
        <f t="shared" si="57"/>
        <v>0</v>
      </c>
      <c r="H158" s="32">
        <f t="shared" si="58"/>
        <v>0</v>
      </c>
      <c r="I158" s="32">
        <f t="shared" si="59"/>
        <v>0</v>
      </c>
      <c r="J158" s="32">
        <f t="shared" si="60"/>
        <v>0</v>
      </c>
      <c r="K158" s="32">
        <f t="shared" si="61"/>
        <v>0</v>
      </c>
      <c r="L158" s="32">
        <f t="shared" si="62"/>
        <v>0</v>
      </c>
      <c r="M158" s="32">
        <f t="shared" si="63"/>
        <v>0</v>
      </c>
      <c r="N158" s="32">
        <f t="shared" si="64"/>
        <v>0</v>
      </c>
      <c r="O158" s="32">
        <f t="shared" si="65"/>
        <v>0</v>
      </c>
      <c r="P158" s="32">
        <f t="shared" si="66"/>
        <v>0</v>
      </c>
      <c r="Q158" s="32">
        <f t="shared" si="67"/>
        <v>0</v>
      </c>
      <c r="R158" s="32">
        <f t="shared" si="68"/>
        <v>0</v>
      </c>
      <c r="S158" s="32">
        <f t="shared" si="69"/>
        <v>0</v>
      </c>
      <c r="T158" s="32">
        <f t="shared" si="70"/>
        <v>0</v>
      </c>
      <c r="U158" s="32">
        <f t="shared" si="71"/>
        <v>0</v>
      </c>
    </row>
    <row r="159" spans="1:21" x14ac:dyDescent="0.25">
      <c r="A159" s="97"/>
      <c r="B159" s="98"/>
      <c r="C159" s="98"/>
      <c r="D159" s="98"/>
      <c r="E159" s="99"/>
      <c r="F159" s="98"/>
      <c r="G159" s="32">
        <f t="shared" si="57"/>
        <v>0</v>
      </c>
      <c r="H159" s="32">
        <f t="shared" si="58"/>
        <v>0</v>
      </c>
      <c r="I159" s="32">
        <f t="shared" si="59"/>
        <v>0</v>
      </c>
      <c r="J159" s="32">
        <f t="shared" si="60"/>
        <v>0</v>
      </c>
      <c r="K159" s="32">
        <f t="shared" si="61"/>
        <v>0</v>
      </c>
      <c r="L159" s="32">
        <f t="shared" si="62"/>
        <v>0</v>
      </c>
      <c r="M159" s="32">
        <f t="shared" si="63"/>
        <v>0</v>
      </c>
      <c r="N159" s="32">
        <f t="shared" si="64"/>
        <v>0</v>
      </c>
      <c r="O159" s="32">
        <f t="shared" si="65"/>
        <v>0</v>
      </c>
      <c r="P159" s="32">
        <f t="shared" si="66"/>
        <v>0</v>
      </c>
      <c r="Q159" s="32">
        <f t="shared" si="67"/>
        <v>0</v>
      </c>
      <c r="R159" s="32">
        <f t="shared" si="68"/>
        <v>0</v>
      </c>
      <c r="S159" s="32">
        <f t="shared" si="69"/>
        <v>0</v>
      </c>
      <c r="T159" s="32">
        <f t="shared" si="70"/>
        <v>0</v>
      </c>
      <c r="U159" s="32">
        <f t="shared" si="71"/>
        <v>0</v>
      </c>
    </row>
    <row r="160" spans="1:21" x14ac:dyDescent="0.25">
      <c r="A160" s="97"/>
      <c r="B160" s="98"/>
      <c r="C160" s="98"/>
      <c r="D160" s="98"/>
      <c r="E160" s="99"/>
      <c r="F160" s="98"/>
      <c r="G160" s="32">
        <f t="shared" si="57"/>
        <v>0</v>
      </c>
      <c r="H160" s="32">
        <f t="shared" si="58"/>
        <v>0</v>
      </c>
      <c r="I160" s="32">
        <f t="shared" si="59"/>
        <v>0</v>
      </c>
      <c r="J160" s="32">
        <f t="shared" si="60"/>
        <v>0</v>
      </c>
      <c r="K160" s="32">
        <f t="shared" si="61"/>
        <v>0</v>
      </c>
      <c r="L160" s="32">
        <f t="shared" si="62"/>
        <v>0</v>
      </c>
      <c r="M160" s="32">
        <f t="shared" si="63"/>
        <v>0</v>
      </c>
      <c r="N160" s="32">
        <f t="shared" si="64"/>
        <v>0</v>
      </c>
      <c r="O160" s="32">
        <f t="shared" si="65"/>
        <v>0</v>
      </c>
      <c r="P160" s="32">
        <f t="shared" si="66"/>
        <v>0</v>
      </c>
      <c r="Q160" s="32">
        <f t="shared" si="67"/>
        <v>0</v>
      </c>
      <c r="R160" s="32">
        <f t="shared" si="68"/>
        <v>0</v>
      </c>
      <c r="S160" s="32">
        <f t="shared" si="69"/>
        <v>0</v>
      </c>
      <c r="T160" s="32">
        <f t="shared" si="70"/>
        <v>0</v>
      </c>
      <c r="U160" s="32">
        <f t="shared" si="71"/>
        <v>0</v>
      </c>
    </row>
    <row r="161" spans="1:21" x14ac:dyDescent="0.25">
      <c r="A161" s="97"/>
      <c r="B161" s="98"/>
      <c r="C161" s="98"/>
      <c r="D161" s="98"/>
      <c r="E161" s="99"/>
      <c r="F161" s="98"/>
      <c r="G161" s="32">
        <f t="shared" si="57"/>
        <v>0</v>
      </c>
      <c r="H161" s="32">
        <f t="shared" si="58"/>
        <v>0</v>
      </c>
      <c r="I161" s="32">
        <f t="shared" si="59"/>
        <v>0</v>
      </c>
      <c r="J161" s="32">
        <f t="shared" si="60"/>
        <v>0</v>
      </c>
      <c r="K161" s="32">
        <f t="shared" si="61"/>
        <v>0</v>
      </c>
      <c r="L161" s="32">
        <f t="shared" si="62"/>
        <v>0</v>
      </c>
      <c r="M161" s="32">
        <f t="shared" si="63"/>
        <v>0</v>
      </c>
      <c r="N161" s="32">
        <f t="shared" si="64"/>
        <v>0</v>
      </c>
      <c r="O161" s="32">
        <f t="shared" si="65"/>
        <v>0</v>
      </c>
      <c r="P161" s="32">
        <f t="shared" si="66"/>
        <v>0</v>
      </c>
      <c r="Q161" s="32">
        <f t="shared" si="67"/>
        <v>0</v>
      </c>
      <c r="R161" s="32">
        <f t="shared" si="68"/>
        <v>0</v>
      </c>
      <c r="S161" s="32">
        <f t="shared" si="69"/>
        <v>0</v>
      </c>
      <c r="T161" s="32">
        <f t="shared" si="70"/>
        <v>0</v>
      </c>
      <c r="U161" s="32">
        <f t="shared" si="71"/>
        <v>0</v>
      </c>
    </row>
    <row r="162" spans="1:21" x14ac:dyDescent="0.25">
      <c r="A162" s="97"/>
      <c r="B162" s="98"/>
      <c r="C162" s="98"/>
      <c r="D162" s="98"/>
      <c r="E162" s="99"/>
      <c r="F162" s="98"/>
      <c r="G162" s="32">
        <f t="shared" si="57"/>
        <v>0</v>
      </c>
      <c r="H162" s="32">
        <f t="shared" si="58"/>
        <v>0</v>
      </c>
      <c r="I162" s="32">
        <f t="shared" si="59"/>
        <v>0</v>
      </c>
      <c r="J162" s="32">
        <f t="shared" si="60"/>
        <v>0</v>
      </c>
      <c r="K162" s="32">
        <f t="shared" si="61"/>
        <v>0</v>
      </c>
      <c r="L162" s="32">
        <f t="shared" si="62"/>
        <v>0</v>
      </c>
      <c r="M162" s="32">
        <f t="shared" si="63"/>
        <v>0</v>
      </c>
      <c r="N162" s="32">
        <f t="shared" si="64"/>
        <v>0</v>
      </c>
      <c r="O162" s="32">
        <f t="shared" si="65"/>
        <v>0</v>
      </c>
      <c r="P162" s="32">
        <f t="shared" si="66"/>
        <v>0</v>
      </c>
      <c r="Q162" s="32">
        <f t="shared" si="67"/>
        <v>0</v>
      </c>
      <c r="R162" s="32">
        <f t="shared" si="68"/>
        <v>0</v>
      </c>
      <c r="S162" s="32">
        <f t="shared" si="69"/>
        <v>0</v>
      </c>
      <c r="T162" s="32">
        <f t="shared" si="70"/>
        <v>0</v>
      </c>
      <c r="U162" s="32">
        <f t="shared" si="71"/>
        <v>0</v>
      </c>
    </row>
    <row r="163" spans="1:21" x14ac:dyDescent="0.25">
      <c r="A163" s="97"/>
      <c r="B163" s="98"/>
      <c r="C163" s="98"/>
      <c r="D163" s="98"/>
      <c r="E163" s="99"/>
      <c r="F163" s="98"/>
      <c r="G163" s="32">
        <f t="shared" si="57"/>
        <v>0</v>
      </c>
      <c r="H163" s="32">
        <f t="shared" si="58"/>
        <v>0</v>
      </c>
      <c r="I163" s="32">
        <f t="shared" si="59"/>
        <v>0</v>
      </c>
      <c r="J163" s="32">
        <f t="shared" si="60"/>
        <v>0</v>
      </c>
      <c r="K163" s="32">
        <f t="shared" si="61"/>
        <v>0</v>
      </c>
      <c r="L163" s="32">
        <f t="shared" si="62"/>
        <v>0</v>
      </c>
      <c r="M163" s="32">
        <f t="shared" si="63"/>
        <v>0</v>
      </c>
      <c r="N163" s="32">
        <f t="shared" si="64"/>
        <v>0</v>
      </c>
      <c r="O163" s="32">
        <f t="shared" si="65"/>
        <v>0</v>
      </c>
      <c r="P163" s="32">
        <f t="shared" si="66"/>
        <v>0</v>
      </c>
      <c r="Q163" s="32">
        <f t="shared" si="67"/>
        <v>0</v>
      </c>
      <c r="R163" s="32">
        <f t="shared" si="68"/>
        <v>0</v>
      </c>
      <c r="S163" s="32">
        <f t="shared" si="69"/>
        <v>0</v>
      </c>
      <c r="T163" s="32">
        <f t="shared" si="70"/>
        <v>0</v>
      </c>
      <c r="U163" s="32">
        <f t="shared" si="71"/>
        <v>0</v>
      </c>
    </row>
    <row r="164" spans="1:21" x14ac:dyDescent="0.25">
      <c r="A164" s="97"/>
      <c r="B164" s="98"/>
      <c r="C164" s="98"/>
      <c r="D164" s="98"/>
      <c r="E164" s="99"/>
      <c r="F164" s="98"/>
      <c r="G164" s="32">
        <f t="shared" si="57"/>
        <v>0</v>
      </c>
      <c r="H164" s="32">
        <f t="shared" si="58"/>
        <v>0</v>
      </c>
      <c r="I164" s="32">
        <f t="shared" si="59"/>
        <v>0</v>
      </c>
      <c r="J164" s="32">
        <f t="shared" si="60"/>
        <v>0</v>
      </c>
      <c r="K164" s="32">
        <f t="shared" si="61"/>
        <v>0</v>
      </c>
      <c r="L164" s="32">
        <f t="shared" si="62"/>
        <v>0</v>
      </c>
      <c r="M164" s="32">
        <f t="shared" si="63"/>
        <v>0</v>
      </c>
      <c r="N164" s="32">
        <f t="shared" si="64"/>
        <v>0</v>
      </c>
      <c r="O164" s="32">
        <f t="shared" si="65"/>
        <v>0</v>
      </c>
      <c r="P164" s="32">
        <f t="shared" si="66"/>
        <v>0</v>
      </c>
      <c r="Q164" s="32">
        <f t="shared" si="67"/>
        <v>0</v>
      </c>
      <c r="R164" s="32">
        <f t="shared" si="68"/>
        <v>0</v>
      </c>
      <c r="S164" s="32">
        <f t="shared" si="69"/>
        <v>0</v>
      </c>
      <c r="T164" s="32">
        <f t="shared" si="70"/>
        <v>0</v>
      </c>
      <c r="U164" s="32">
        <f t="shared" si="71"/>
        <v>0</v>
      </c>
    </row>
    <row r="165" spans="1:21" x14ac:dyDescent="0.25">
      <c r="A165" s="97"/>
      <c r="B165" s="98"/>
      <c r="C165" s="98"/>
      <c r="D165" s="98"/>
      <c r="E165" s="99"/>
      <c r="F165" s="98"/>
      <c r="G165" s="32">
        <f t="shared" si="57"/>
        <v>0</v>
      </c>
      <c r="H165" s="32">
        <f t="shared" si="58"/>
        <v>0</v>
      </c>
      <c r="I165" s="32">
        <f t="shared" si="59"/>
        <v>0</v>
      </c>
      <c r="J165" s="32">
        <f t="shared" si="60"/>
        <v>0</v>
      </c>
      <c r="K165" s="32">
        <f t="shared" si="61"/>
        <v>0</v>
      </c>
      <c r="L165" s="32">
        <f t="shared" si="62"/>
        <v>0</v>
      </c>
      <c r="M165" s="32">
        <f t="shared" si="63"/>
        <v>0</v>
      </c>
      <c r="N165" s="32">
        <f t="shared" si="64"/>
        <v>0</v>
      </c>
      <c r="O165" s="32">
        <f t="shared" si="65"/>
        <v>0</v>
      </c>
      <c r="P165" s="32">
        <f t="shared" si="66"/>
        <v>0</v>
      </c>
      <c r="Q165" s="32">
        <f t="shared" si="67"/>
        <v>0</v>
      </c>
      <c r="R165" s="32">
        <f t="shared" si="68"/>
        <v>0</v>
      </c>
      <c r="S165" s="32">
        <f t="shared" si="69"/>
        <v>0</v>
      </c>
      <c r="T165" s="32">
        <f t="shared" si="70"/>
        <v>0</v>
      </c>
      <c r="U165" s="32">
        <f t="shared" si="71"/>
        <v>0</v>
      </c>
    </row>
    <row r="166" spans="1:21" x14ac:dyDescent="0.25">
      <c r="A166" s="97"/>
      <c r="B166" s="98"/>
      <c r="C166" s="98"/>
      <c r="D166" s="98"/>
      <c r="E166" s="99"/>
      <c r="F166" s="98"/>
      <c r="G166" s="32">
        <f t="shared" si="57"/>
        <v>0</v>
      </c>
      <c r="H166" s="32">
        <f t="shared" si="58"/>
        <v>0</v>
      </c>
      <c r="I166" s="32">
        <f t="shared" si="59"/>
        <v>0</v>
      </c>
      <c r="J166" s="32">
        <f t="shared" si="60"/>
        <v>0</v>
      </c>
      <c r="K166" s="32">
        <f t="shared" si="61"/>
        <v>0</v>
      </c>
      <c r="L166" s="32">
        <f t="shared" si="62"/>
        <v>0</v>
      </c>
      <c r="M166" s="32">
        <f t="shared" si="63"/>
        <v>0</v>
      </c>
      <c r="N166" s="32">
        <f t="shared" si="64"/>
        <v>0</v>
      </c>
      <c r="O166" s="32">
        <f t="shared" si="65"/>
        <v>0</v>
      </c>
      <c r="P166" s="32">
        <f t="shared" si="66"/>
        <v>0</v>
      </c>
      <c r="Q166" s="32">
        <f t="shared" si="67"/>
        <v>0</v>
      </c>
      <c r="R166" s="32">
        <f t="shared" si="68"/>
        <v>0</v>
      </c>
      <c r="S166" s="32">
        <f t="shared" si="69"/>
        <v>0</v>
      </c>
      <c r="T166" s="32">
        <f t="shared" si="70"/>
        <v>0</v>
      </c>
      <c r="U166" s="32">
        <f t="shared" si="71"/>
        <v>0</v>
      </c>
    </row>
    <row r="167" spans="1:21" x14ac:dyDescent="0.25">
      <c r="A167" s="97"/>
      <c r="B167" s="98"/>
      <c r="C167" s="98"/>
      <c r="D167" s="98"/>
      <c r="E167" s="99"/>
      <c r="F167" s="98"/>
      <c r="G167" s="32">
        <f t="shared" si="57"/>
        <v>0</v>
      </c>
      <c r="H167" s="32">
        <f t="shared" si="58"/>
        <v>0</v>
      </c>
      <c r="I167" s="32">
        <f t="shared" si="59"/>
        <v>0</v>
      </c>
      <c r="J167" s="32">
        <f t="shared" si="60"/>
        <v>0</v>
      </c>
      <c r="K167" s="32">
        <f t="shared" si="61"/>
        <v>0</v>
      </c>
      <c r="L167" s="32">
        <f t="shared" si="62"/>
        <v>0</v>
      </c>
      <c r="M167" s="32">
        <f t="shared" si="63"/>
        <v>0</v>
      </c>
      <c r="N167" s="32">
        <f t="shared" si="64"/>
        <v>0</v>
      </c>
      <c r="O167" s="32">
        <f t="shared" si="65"/>
        <v>0</v>
      </c>
      <c r="P167" s="32">
        <f t="shared" si="66"/>
        <v>0</v>
      </c>
      <c r="Q167" s="32">
        <f t="shared" si="67"/>
        <v>0</v>
      </c>
      <c r="R167" s="32">
        <f t="shared" si="68"/>
        <v>0</v>
      </c>
      <c r="S167" s="32">
        <f t="shared" si="69"/>
        <v>0</v>
      </c>
      <c r="T167" s="32">
        <f t="shared" si="70"/>
        <v>0</v>
      </c>
      <c r="U167" s="32">
        <f t="shared" si="71"/>
        <v>0</v>
      </c>
    </row>
    <row r="168" spans="1:21" x14ac:dyDescent="0.25">
      <c r="A168" s="97"/>
      <c r="B168" s="98"/>
      <c r="C168" s="98"/>
      <c r="D168" s="98"/>
      <c r="E168" s="99"/>
      <c r="F168" s="98"/>
      <c r="G168" s="32">
        <f t="shared" si="57"/>
        <v>0</v>
      </c>
      <c r="H168" s="32">
        <f t="shared" si="58"/>
        <v>0</v>
      </c>
      <c r="I168" s="32">
        <f t="shared" si="59"/>
        <v>0</v>
      </c>
      <c r="J168" s="32">
        <f t="shared" si="60"/>
        <v>0</v>
      </c>
      <c r="K168" s="32">
        <f t="shared" si="61"/>
        <v>0</v>
      </c>
      <c r="L168" s="32">
        <f t="shared" si="62"/>
        <v>0</v>
      </c>
      <c r="M168" s="32">
        <f t="shared" si="63"/>
        <v>0</v>
      </c>
      <c r="N168" s="32">
        <f t="shared" si="64"/>
        <v>0</v>
      </c>
      <c r="O168" s="32">
        <f t="shared" si="65"/>
        <v>0</v>
      </c>
      <c r="P168" s="32">
        <f t="shared" si="66"/>
        <v>0</v>
      </c>
      <c r="Q168" s="32">
        <f t="shared" si="67"/>
        <v>0</v>
      </c>
      <c r="R168" s="32">
        <f t="shared" si="68"/>
        <v>0</v>
      </c>
      <c r="S168" s="32">
        <f t="shared" si="69"/>
        <v>0</v>
      </c>
      <c r="T168" s="32">
        <f t="shared" si="70"/>
        <v>0</v>
      </c>
      <c r="U168" s="32">
        <f t="shared" si="71"/>
        <v>0</v>
      </c>
    </row>
    <row r="169" spans="1:21" x14ac:dyDescent="0.25">
      <c r="A169" s="97"/>
      <c r="B169" s="98"/>
      <c r="C169" s="98"/>
      <c r="D169" s="98"/>
      <c r="E169" s="99"/>
      <c r="F169" s="98"/>
      <c r="G169" s="32">
        <f t="shared" si="57"/>
        <v>0</v>
      </c>
      <c r="H169" s="32">
        <f t="shared" si="58"/>
        <v>0</v>
      </c>
      <c r="I169" s="32">
        <f t="shared" si="59"/>
        <v>0</v>
      </c>
      <c r="J169" s="32">
        <f t="shared" si="60"/>
        <v>0</v>
      </c>
      <c r="K169" s="32">
        <f t="shared" si="61"/>
        <v>0</v>
      </c>
      <c r="L169" s="32">
        <f t="shared" si="62"/>
        <v>0</v>
      </c>
      <c r="M169" s="32">
        <f t="shared" si="63"/>
        <v>0</v>
      </c>
      <c r="N169" s="32">
        <f t="shared" si="64"/>
        <v>0</v>
      </c>
      <c r="O169" s="32">
        <f t="shared" si="65"/>
        <v>0</v>
      </c>
      <c r="P169" s="32">
        <f t="shared" si="66"/>
        <v>0</v>
      </c>
      <c r="Q169" s="32">
        <f t="shared" si="67"/>
        <v>0</v>
      </c>
      <c r="R169" s="32">
        <f t="shared" si="68"/>
        <v>0</v>
      </c>
      <c r="S169" s="32">
        <f t="shared" si="69"/>
        <v>0</v>
      </c>
      <c r="T169" s="32">
        <f t="shared" si="70"/>
        <v>0</v>
      </c>
      <c r="U169" s="32">
        <f t="shared" si="71"/>
        <v>0</v>
      </c>
    </row>
    <row r="170" spans="1:21" x14ac:dyDescent="0.25">
      <c r="A170" s="97"/>
      <c r="B170" s="98"/>
      <c r="C170" s="98"/>
      <c r="D170" s="98"/>
      <c r="E170" s="99"/>
      <c r="F170" s="98"/>
      <c r="G170" s="32">
        <f t="shared" si="57"/>
        <v>0</v>
      </c>
      <c r="H170" s="32">
        <f t="shared" si="58"/>
        <v>0</v>
      </c>
      <c r="I170" s="32">
        <f t="shared" si="59"/>
        <v>0</v>
      </c>
      <c r="J170" s="32">
        <f t="shared" si="60"/>
        <v>0</v>
      </c>
      <c r="K170" s="32">
        <f t="shared" si="61"/>
        <v>0</v>
      </c>
      <c r="L170" s="32">
        <f t="shared" si="62"/>
        <v>0</v>
      </c>
      <c r="M170" s="32">
        <f t="shared" si="63"/>
        <v>0</v>
      </c>
      <c r="N170" s="32">
        <f t="shared" si="64"/>
        <v>0</v>
      </c>
      <c r="O170" s="32">
        <f t="shared" si="65"/>
        <v>0</v>
      </c>
      <c r="P170" s="32">
        <f t="shared" si="66"/>
        <v>0</v>
      </c>
      <c r="Q170" s="32">
        <f t="shared" si="67"/>
        <v>0</v>
      </c>
      <c r="R170" s="32">
        <f t="shared" si="68"/>
        <v>0</v>
      </c>
      <c r="S170" s="32">
        <f t="shared" si="69"/>
        <v>0</v>
      </c>
      <c r="T170" s="32">
        <f t="shared" si="70"/>
        <v>0</v>
      </c>
      <c r="U170" s="32">
        <f t="shared" si="71"/>
        <v>0</v>
      </c>
    </row>
    <row r="171" spans="1:21" x14ac:dyDescent="0.25">
      <c r="A171" s="97"/>
      <c r="B171" s="98"/>
      <c r="C171" s="98"/>
      <c r="D171" s="98"/>
      <c r="E171" s="99"/>
      <c r="F171" s="98"/>
      <c r="G171" s="32">
        <f t="shared" si="57"/>
        <v>0</v>
      </c>
      <c r="H171" s="32">
        <f t="shared" si="58"/>
        <v>0</v>
      </c>
      <c r="I171" s="32">
        <f t="shared" si="59"/>
        <v>0</v>
      </c>
      <c r="J171" s="32">
        <f t="shared" si="60"/>
        <v>0</v>
      </c>
      <c r="K171" s="32">
        <f t="shared" si="61"/>
        <v>0</v>
      </c>
      <c r="L171" s="32">
        <f t="shared" si="62"/>
        <v>0</v>
      </c>
      <c r="M171" s="32">
        <f t="shared" si="63"/>
        <v>0</v>
      </c>
      <c r="N171" s="32">
        <f t="shared" si="64"/>
        <v>0</v>
      </c>
      <c r="O171" s="32">
        <f t="shared" si="65"/>
        <v>0</v>
      </c>
      <c r="P171" s="32">
        <f t="shared" si="66"/>
        <v>0</v>
      </c>
      <c r="Q171" s="32">
        <f t="shared" si="67"/>
        <v>0</v>
      </c>
      <c r="R171" s="32">
        <f t="shared" si="68"/>
        <v>0</v>
      </c>
      <c r="S171" s="32">
        <f t="shared" si="69"/>
        <v>0</v>
      </c>
      <c r="T171" s="32">
        <f t="shared" si="70"/>
        <v>0</v>
      </c>
      <c r="U171" s="32">
        <f t="shared" si="71"/>
        <v>0</v>
      </c>
    </row>
    <row r="172" spans="1:21" x14ac:dyDescent="0.25">
      <c r="A172" s="97"/>
      <c r="B172" s="98"/>
      <c r="C172" s="98"/>
      <c r="D172" s="98"/>
      <c r="E172" s="99"/>
      <c r="F172" s="98"/>
      <c r="G172" s="32">
        <f t="shared" si="26"/>
        <v>0</v>
      </c>
      <c r="H172" s="32">
        <f t="shared" si="26"/>
        <v>0</v>
      </c>
      <c r="I172" s="32">
        <f t="shared" si="14"/>
        <v>0</v>
      </c>
      <c r="J172" s="32">
        <f t="shared" si="15"/>
        <v>0</v>
      </c>
      <c r="K172" s="32">
        <f t="shared" si="16"/>
        <v>0</v>
      </c>
      <c r="L172" s="32">
        <f t="shared" si="17"/>
        <v>0</v>
      </c>
      <c r="M172" s="32">
        <f t="shared" si="18"/>
        <v>0</v>
      </c>
      <c r="N172" s="32">
        <f t="shared" si="19"/>
        <v>0</v>
      </c>
      <c r="O172" s="32">
        <f t="shared" si="19"/>
        <v>0</v>
      </c>
      <c r="P172" s="32">
        <f t="shared" si="20"/>
        <v>0</v>
      </c>
      <c r="Q172" s="32">
        <f t="shared" si="21"/>
        <v>0</v>
      </c>
      <c r="R172" s="32">
        <f t="shared" si="22"/>
        <v>0</v>
      </c>
      <c r="S172" s="32">
        <f t="shared" si="23"/>
        <v>0</v>
      </c>
      <c r="T172" s="32">
        <f t="shared" si="24"/>
        <v>0</v>
      </c>
      <c r="U172" s="32">
        <f t="shared" si="25"/>
        <v>0</v>
      </c>
    </row>
    <row r="173" spans="1:21" x14ac:dyDescent="0.25">
      <c r="A173" s="97"/>
      <c r="B173" s="98"/>
      <c r="C173" s="98"/>
      <c r="D173" s="98"/>
      <c r="E173" s="99"/>
      <c r="F173" s="98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</row>
    <row r="174" spans="1:21" x14ac:dyDescent="0.25">
      <c r="A174" s="97"/>
      <c r="B174" s="98"/>
      <c r="C174" s="98"/>
      <c r="D174" s="98"/>
      <c r="E174" s="99"/>
      <c r="F174" s="98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</row>
    <row r="175" spans="1:21" x14ac:dyDescent="0.25">
      <c r="A175" s="97"/>
      <c r="B175" s="98"/>
      <c r="C175" s="98"/>
      <c r="D175" s="98"/>
      <c r="E175" s="99"/>
      <c r="F175" s="98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</row>
    <row r="176" spans="1:21" x14ac:dyDescent="0.25">
      <c r="A176" s="97"/>
      <c r="B176" s="98"/>
      <c r="C176" s="98"/>
      <c r="D176" s="98"/>
      <c r="E176" s="99"/>
      <c r="F176" s="98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</row>
    <row r="177" spans="1:21" x14ac:dyDescent="0.25">
      <c r="A177" s="97"/>
      <c r="B177" s="98"/>
      <c r="C177" s="98"/>
      <c r="D177" s="98"/>
      <c r="E177" s="99"/>
      <c r="F177" s="98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</row>
    <row r="178" spans="1:21" x14ac:dyDescent="0.25">
      <c r="A178" s="97"/>
      <c r="B178" s="98"/>
      <c r="C178" s="98"/>
      <c r="D178" s="98"/>
      <c r="E178" s="99"/>
      <c r="F178" s="98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</row>
    <row r="179" spans="1:21" x14ac:dyDescent="0.25">
      <c r="A179" s="97"/>
      <c r="B179" s="98"/>
      <c r="C179" s="98"/>
      <c r="D179" s="98"/>
      <c r="E179" s="99"/>
      <c r="F179" s="98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</row>
    <row r="180" spans="1:21" x14ac:dyDescent="0.25">
      <c r="A180" s="97"/>
      <c r="B180" s="98"/>
      <c r="C180" s="98"/>
      <c r="D180" s="98"/>
      <c r="E180" s="99"/>
      <c r="F180" s="98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</row>
    <row r="181" spans="1:21" x14ac:dyDescent="0.25">
      <c r="A181" s="97"/>
      <c r="B181" s="98"/>
      <c r="C181" s="98"/>
      <c r="D181" s="98"/>
      <c r="E181" s="99"/>
      <c r="F181" s="98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</row>
    <row r="182" spans="1:21" x14ac:dyDescent="0.25">
      <c r="A182" s="97"/>
      <c r="B182" s="98"/>
      <c r="C182" s="98"/>
      <c r="D182" s="98"/>
      <c r="E182" s="99"/>
      <c r="F182" s="98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</row>
    <row r="183" spans="1:21" x14ac:dyDescent="0.25">
      <c r="A183" s="97"/>
      <c r="B183" s="98"/>
      <c r="C183" s="98"/>
      <c r="D183" s="98"/>
      <c r="E183" s="99"/>
      <c r="F183" s="98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</row>
    <row r="184" spans="1:21" x14ac:dyDescent="0.25">
      <c r="A184" s="97"/>
      <c r="B184" s="98"/>
      <c r="C184" s="98"/>
      <c r="D184" s="98"/>
      <c r="E184" s="99"/>
      <c r="F184" s="98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</row>
    <row r="185" spans="1:21" x14ac:dyDescent="0.25">
      <c r="A185" s="97"/>
      <c r="B185" s="98"/>
      <c r="C185" s="98"/>
      <c r="D185" s="98"/>
      <c r="E185" s="99"/>
      <c r="F185" s="98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</row>
    <row r="186" spans="1:21" x14ac:dyDescent="0.25">
      <c r="A186" s="97"/>
      <c r="B186" s="98"/>
      <c r="C186" s="98"/>
      <c r="D186" s="98"/>
      <c r="E186" s="99"/>
      <c r="F186" s="98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</row>
    <row r="187" spans="1:21" x14ac:dyDescent="0.25">
      <c r="A187" s="97"/>
      <c r="B187" s="98"/>
      <c r="C187" s="98"/>
      <c r="D187" s="98"/>
      <c r="E187" s="99"/>
      <c r="F187" s="98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</row>
    <row r="188" spans="1:21" x14ac:dyDescent="0.25">
      <c r="A188" s="97"/>
      <c r="B188" s="98"/>
      <c r="C188" s="98"/>
      <c r="D188" s="98"/>
      <c r="E188" s="99"/>
      <c r="F188" s="98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</row>
    <row r="189" spans="1:21" x14ac:dyDescent="0.25">
      <c r="A189" s="97"/>
      <c r="B189" s="98"/>
      <c r="C189" s="98"/>
      <c r="D189" s="98"/>
      <c r="E189" s="99"/>
      <c r="F189" s="98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</row>
    <row r="190" spans="1:21" x14ac:dyDescent="0.25">
      <c r="A190" s="97"/>
      <c r="B190" s="98"/>
      <c r="C190" s="98"/>
      <c r="D190" s="98"/>
      <c r="E190" s="99"/>
      <c r="F190" s="98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</row>
    <row r="191" spans="1:21" x14ac:dyDescent="0.25">
      <c r="A191" s="97"/>
      <c r="B191" s="98"/>
      <c r="C191" s="98"/>
      <c r="D191" s="98"/>
      <c r="E191" s="99"/>
      <c r="F191" s="98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</row>
    <row r="192" spans="1:21" x14ac:dyDescent="0.25">
      <c r="A192" s="97"/>
      <c r="B192" s="98"/>
      <c r="C192" s="98"/>
      <c r="D192" s="98"/>
      <c r="E192" s="99"/>
      <c r="F192" s="98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</row>
    <row r="193" spans="1:21" x14ac:dyDescent="0.25">
      <c r="A193" s="97"/>
      <c r="B193" s="98"/>
      <c r="C193" s="98"/>
      <c r="D193" s="98"/>
      <c r="E193" s="99"/>
      <c r="F193" s="98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</row>
    <row r="194" spans="1:21" x14ac:dyDescent="0.25">
      <c r="A194" s="97"/>
      <c r="B194" s="98"/>
      <c r="C194" s="98"/>
      <c r="D194" s="98"/>
      <c r="E194" s="99"/>
      <c r="F194" s="98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</row>
    <row r="195" spans="1:21" x14ac:dyDescent="0.25">
      <c r="A195" s="97"/>
      <c r="B195" s="98"/>
      <c r="C195" s="98"/>
      <c r="D195" s="98"/>
      <c r="E195" s="99"/>
      <c r="F195" s="98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</row>
    <row r="196" spans="1:21" x14ac:dyDescent="0.25">
      <c r="A196" s="97"/>
      <c r="B196" s="98"/>
      <c r="C196" s="98"/>
      <c r="D196" s="98"/>
      <c r="E196" s="99"/>
      <c r="F196" s="98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</row>
    <row r="197" spans="1:21" x14ac:dyDescent="0.25">
      <c r="A197" s="97"/>
      <c r="B197" s="98"/>
      <c r="C197" s="98"/>
      <c r="D197" s="98"/>
      <c r="E197" s="99"/>
      <c r="F197" s="98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</row>
    <row r="198" spans="1:21" x14ac:dyDescent="0.25">
      <c r="A198" s="97"/>
      <c r="B198" s="98"/>
      <c r="C198" s="98"/>
      <c r="D198" s="98"/>
      <c r="E198" s="99"/>
      <c r="F198" s="98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</row>
    <row r="199" spans="1:21" x14ac:dyDescent="0.25">
      <c r="A199" s="97"/>
      <c r="B199" s="98"/>
      <c r="C199" s="98"/>
      <c r="D199" s="98"/>
      <c r="E199" s="99"/>
      <c r="F199" s="98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</row>
    <row r="200" spans="1:21" x14ac:dyDescent="0.25">
      <c r="A200" s="97"/>
      <c r="B200" s="98"/>
      <c r="C200" s="98"/>
      <c r="D200" s="98"/>
      <c r="E200" s="99"/>
      <c r="F200" s="98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</row>
    <row r="201" spans="1:21" x14ac:dyDescent="0.25">
      <c r="A201" s="97"/>
      <c r="B201" s="98"/>
      <c r="C201" s="98"/>
      <c r="D201" s="98"/>
      <c r="E201" s="99"/>
      <c r="F201" s="98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</row>
    <row r="202" spans="1:21" x14ac:dyDescent="0.25">
      <c r="A202" s="97"/>
      <c r="B202" s="98"/>
      <c r="C202" s="98"/>
      <c r="D202" s="98"/>
      <c r="E202" s="99"/>
      <c r="F202" s="98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</row>
    <row r="203" spans="1:21" x14ac:dyDescent="0.25">
      <c r="A203" s="97"/>
      <c r="B203" s="98"/>
      <c r="C203" s="98"/>
      <c r="D203" s="98"/>
      <c r="E203" s="99"/>
      <c r="F203" s="98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</row>
    <row r="204" spans="1:21" x14ac:dyDescent="0.25">
      <c r="A204" s="97"/>
      <c r="B204" s="98"/>
      <c r="C204" s="98"/>
      <c r="D204" s="98"/>
      <c r="E204" s="99"/>
      <c r="F204" s="98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</row>
    <row r="205" spans="1:21" x14ac:dyDescent="0.25">
      <c r="A205" s="97"/>
      <c r="B205" s="98"/>
      <c r="C205" s="98"/>
      <c r="D205" s="98"/>
      <c r="E205" s="99"/>
      <c r="F205" s="98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</row>
    <row r="206" spans="1:21" x14ac:dyDescent="0.25">
      <c r="A206" s="97"/>
      <c r="B206" s="98"/>
      <c r="C206" s="98"/>
      <c r="D206" s="98"/>
      <c r="E206" s="99"/>
      <c r="F206" s="98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</row>
    <row r="207" spans="1:21" x14ac:dyDescent="0.25">
      <c r="A207" s="97"/>
      <c r="B207" s="98"/>
      <c r="C207" s="98"/>
      <c r="D207" s="98"/>
      <c r="E207" s="99"/>
      <c r="F207" s="98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</row>
    <row r="208" spans="1:21" x14ac:dyDescent="0.25">
      <c r="A208" s="97"/>
      <c r="B208" s="98"/>
      <c r="C208" s="98"/>
      <c r="D208" s="98"/>
      <c r="E208" s="99"/>
      <c r="F208" s="98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</row>
    <row r="209" spans="1:21" x14ac:dyDescent="0.25">
      <c r="A209" s="97"/>
      <c r="B209" s="98"/>
      <c r="C209" s="98"/>
      <c r="D209" s="98"/>
      <c r="E209" s="99"/>
      <c r="F209" s="98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</row>
    <row r="210" spans="1:21" x14ac:dyDescent="0.25">
      <c r="A210" s="97"/>
      <c r="B210" s="98"/>
      <c r="C210" s="98"/>
      <c r="D210" s="98"/>
      <c r="E210" s="99"/>
      <c r="F210" s="98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</row>
    <row r="211" spans="1:21" x14ac:dyDescent="0.25">
      <c r="A211" s="97"/>
      <c r="B211" s="98"/>
      <c r="C211" s="98"/>
      <c r="D211" s="98"/>
      <c r="E211" s="99"/>
      <c r="F211" s="98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</row>
    <row r="212" spans="1:21" x14ac:dyDescent="0.25">
      <c r="A212" s="97"/>
      <c r="B212" s="98"/>
      <c r="C212" s="98"/>
      <c r="D212" s="98"/>
      <c r="E212" s="99"/>
      <c r="F212" s="98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</row>
    <row r="213" spans="1:21" x14ac:dyDescent="0.25">
      <c r="A213" s="97"/>
      <c r="B213" s="98"/>
      <c r="C213" s="98"/>
      <c r="D213" s="98"/>
      <c r="E213" s="99"/>
      <c r="F213" s="98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</row>
    <row r="214" spans="1:21" x14ac:dyDescent="0.25">
      <c r="A214" s="97"/>
      <c r="B214" s="98"/>
      <c r="C214" s="98"/>
      <c r="D214" s="98"/>
      <c r="E214" s="99"/>
      <c r="F214" s="98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</row>
    <row r="215" spans="1:21" x14ac:dyDescent="0.25">
      <c r="A215" s="97"/>
      <c r="B215" s="98"/>
      <c r="C215" s="98"/>
      <c r="D215" s="98"/>
      <c r="E215" s="99"/>
      <c r="F215" s="98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</row>
    <row r="216" spans="1:21" x14ac:dyDescent="0.25">
      <c r="A216" s="97"/>
      <c r="B216" s="98"/>
      <c r="C216" s="98"/>
      <c r="D216" s="98"/>
      <c r="E216" s="99"/>
      <c r="F216" s="98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</row>
    <row r="217" spans="1:21" x14ac:dyDescent="0.25">
      <c r="A217" s="97"/>
      <c r="B217" s="98"/>
      <c r="C217" s="98"/>
      <c r="D217" s="98"/>
      <c r="E217" s="99"/>
      <c r="F217" s="98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</row>
    <row r="218" spans="1:21" x14ac:dyDescent="0.25">
      <c r="A218" s="97"/>
      <c r="B218" s="98"/>
      <c r="C218" s="98"/>
      <c r="D218" s="98"/>
      <c r="E218" s="99"/>
      <c r="F218" s="98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</row>
    <row r="219" spans="1:21" x14ac:dyDescent="0.25">
      <c r="A219" s="97"/>
      <c r="B219" s="98"/>
      <c r="C219" s="98"/>
      <c r="D219" s="98"/>
      <c r="E219" s="99"/>
      <c r="F219" s="98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</row>
    <row r="220" spans="1:21" x14ac:dyDescent="0.25">
      <c r="A220" s="97"/>
      <c r="B220" s="98"/>
      <c r="C220" s="98"/>
      <c r="D220" s="98"/>
      <c r="E220" s="99"/>
      <c r="F220" s="98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</row>
    <row r="221" spans="1:21" x14ac:dyDescent="0.25">
      <c r="A221" s="97"/>
      <c r="B221" s="98"/>
      <c r="C221" s="98"/>
      <c r="D221" s="98"/>
      <c r="E221" s="99"/>
      <c r="F221" s="98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</row>
    <row r="222" spans="1:21" x14ac:dyDescent="0.25">
      <c r="A222" s="97"/>
      <c r="B222" s="98"/>
      <c r="C222" s="98"/>
      <c r="D222" s="98"/>
      <c r="E222" s="99"/>
      <c r="F222" s="98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</row>
    <row r="223" spans="1:21" x14ac:dyDescent="0.25">
      <c r="A223" s="97"/>
      <c r="B223" s="98"/>
      <c r="C223" s="98"/>
      <c r="D223" s="98"/>
      <c r="E223" s="99"/>
      <c r="F223" s="98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</row>
    <row r="224" spans="1:21" x14ac:dyDescent="0.25">
      <c r="A224" s="97"/>
      <c r="B224" s="98"/>
      <c r="C224" s="98"/>
      <c r="D224" s="98"/>
      <c r="E224" s="99"/>
      <c r="F224" s="98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</row>
    <row r="225" spans="1:21" x14ac:dyDescent="0.25">
      <c r="A225" s="97"/>
      <c r="B225" s="98"/>
      <c r="C225" s="98"/>
      <c r="D225" s="98"/>
      <c r="E225" s="99"/>
      <c r="F225" s="98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</row>
    <row r="226" spans="1:21" x14ac:dyDescent="0.25">
      <c r="A226" s="97"/>
      <c r="B226" s="98"/>
      <c r="C226" s="98"/>
      <c r="D226" s="98"/>
      <c r="E226" s="99"/>
      <c r="F226" s="98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</row>
    <row r="227" spans="1:21" x14ac:dyDescent="0.25">
      <c r="A227" s="97"/>
      <c r="B227" s="98"/>
      <c r="C227" s="98"/>
      <c r="D227" s="98"/>
      <c r="E227" s="99"/>
      <c r="F227" s="98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</row>
    <row r="228" spans="1:21" x14ac:dyDescent="0.25">
      <c r="A228" s="97"/>
      <c r="B228" s="98"/>
      <c r="C228" s="98"/>
      <c r="D228" s="98"/>
      <c r="E228" s="99"/>
      <c r="F228" s="98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</row>
    <row r="229" spans="1:21" x14ac:dyDescent="0.25">
      <c r="A229" s="97"/>
      <c r="B229" s="98"/>
      <c r="C229" s="98"/>
      <c r="D229" s="98"/>
      <c r="E229" s="99"/>
      <c r="F229" s="98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</row>
    <row r="230" spans="1:21" x14ac:dyDescent="0.25">
      <c r="A230" s="97"/>
      <c r="B230" s="98"/>
      <c r="C230" s="98"/>
      <c r="D230" s="98"/>
      <c r="E230" s="99"/>
      <c r="F230" s="98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</row>
    <row r="231" spans="1:21" x14ac:dyDescent="0.25">
      <c r="A231" s="97"/>
      <c r="B231" s="98"/>
      <c r="C231" s="98"/>
      <c r="D231" s="98"/>
      <c r="E231" s="99"/>
      <c r="F231" s="98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</row>
    <row r="232" spans="1:21" x14ac:dyDescent="0.25">
      <c r="A232" s="97"/>
      <c r="B232" s="98"/>
      <c r="C232" s="98"/>
      <c r="D232" s="98"/>
      <c r="E232" s="99"/>
      <c r="F232" s="98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</row>
    <row r="233" spans="1:21" x14ac:dyDescent="0.25">
      <c r="A233" s="97"/>
      <c r="B233" s="98"/>
      <c r="C233" s="98"/>
      <c r="D233" s="98"/>
      <c r="E233" s="99"/>
      <c r="F233" s="98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</row>
    <row r="234" spans="1:21" x14ac:dyDescent="0.25">
      <c r="A234" s="97"/>
      <c r="B234" s="98"/>
      <c r="C234" s="98"/>
      <c r="D234" s="98"/>
      <c r="E234" s="99"/>
      <c r="F234" s="98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</row>
    <row r="235" spans="1:21" x14ac:dyDescent="0.25">
      <c r="A235" s="97"/>
      <c r="B235" s="98"/>
      <c r="C235" s="98"/>
      <c r="D235" s="98"/>
      <c r="E235" s="99"/>
      <c r="F235" s="98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</row>
    <row r="236" spans="1:21" x14ac:dyDescent="0.25">
      <c r="A236" s="97"/>
      <c r="B236" s="98"/>
      <c r="C236" s="98"/>
      <c r="D236" s="98"/>
      <c r="E236" s="99"/>
      <c r="F236" s="98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</row>
    <row r="237" spans="1:21" x14ac:dyDescent="0.25">
      <c r="A237" s="97"/>
      <c r="B237" s="98"/>
      <c r="C237" s="98"/>
      <c r="D237" s="98"/>
      <c r="E237" s="99"/>
      <c r="F237" s="98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</row>
    <row r="238" spans="1:21" x14ac:dyDescent="0.25">
      <c r="A238" s="97"/>
      <c r="B238" s="98"/>
      <c r="C238" s="98"/>
      <c r="D238" s="98"/>
      <c r="E238" s="99"/>
      <c r="F238" s="98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</row>
    <row r="239" spans="1:21" x14ac:dyDescent="0.25">
      <c r="A239" s="97"/>
      <c r="B239" s="98"/>
      <c r="C239" s="98"/>
      <c r="D239" s="98"/>
      <c r="E239" s="99"/>
      <c r="F239" s="98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</row>
    <row r="240" spans="1:21" x14ac:dyDescent="0.25">
      <c r="A240" s="97"/>
      <c r="B240" s="98"/>
      <c r="C240" s="98"/>
      <c r="D240" s="98"/>
      <c r="E240" s="99"/>
      <c r="F240" s="98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</row>
    <row r="241" spans="1:21" x14ac:dyDescent="0.25">
      <c r="A241" s="97"/>
      <c r="B241" s="98"/>
      <c r="C241" s="98"/>
      <c r="D241" s="98"/>
      <c r="E241" s="99"/>
      <c r="F241" s="98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</row>
    <row r="242" spans="1:21" x14ac:dyDescent="0.25">
      <c r="A242" s="97"/>
      <c r="B242" s="98"/>
      <c r="C242" s="98"/>
      <c r="D242" s="98"/>
      <c r="E242" s="99"/>
      <c r="F242" s="98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</row>
    <row r="243" spans="1:21" x14ac:dyDescent="0.25">
      <c r="A243" s="97"/>
      <c r="B243" s="98"/>
      <c r="C243" s="98"/>
      <c r="D243" s="98"/>
      <c r="E243" s="99"/>
      <c r="F243" s="98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</row>
    <row r="244" spans="1:21" x14ac:dyDescent="0.25">
      <c r="A244" s="97"/>
      <c r="B244" s="98"/>
      <c r="C244" s="98"/>
      <c r="D244" s="98"/>
      <c r="E244" s="99"/>
      <c r="F244" s="98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</row>
    <row r="245" spans="1:21" x14ac:dyDescent="0.25">
      <c r="A245" s="97"/>
      <c r="B245" s="98"/>
      <c r="C245" s="98"/>
      <c r="D245" s="98"/>
      <c r="E245" s="99"/>
      <c r="F245" s="98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</row>
    <row r="246" spans="1:21" x14ac:dyDescent="0.25">
      <c r="A246" s="97"/>
      <c r="B246" s="98"/>
      <c r="C246" s="98"/>
      <c r="D246" s="98"/>
      <c r="E246" s="99"/>
      <c r="F246" s="98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</row>
    <row r="247" spans="1:21" x14ac:dyDescent="0.25">
      <c r="A247" s="97"/>
      <c r="B247" s="98"/>
      <c r="C247" s="98"/>
      <c r="D247" s="98"/>
      <c r="E247" s="99"/>
      <c r="F247" s="98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</row>
    <row r="248" spans="1:21" x14ac:dyDescent="0.25">
      <c r="A248" s="97"/>
      <c r="B248" s="98"/>
      <c r="C248" s="98"/>
      <c r="D248" s="98"/>
      <c r="E248" s="99"/>
      <c r="F248" s="98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</row>
    <row r="249" spans="1:21" x14ac:dyDescent="0.25">
      <c r="A249" s="97"/>
      <c r="B249" s="98"/>
      <c r="C249" s="98"/>
      <c r="D249" s="98"/>
      <c r="E249" s="99"/>
      <c r="F249" s="98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</row>
    <row r="250" spans="1:21" x14ac:dyDescent="0.25">
      <c r="A250" s="97"/>
      <c r="B250" s="98"/>
      <c r="C250" s="98"/>
      <c r="D250" s="98"/>
      <c r="E250" s="99"/>
      <c r="F250" s="98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</row>
    <row r="251" spans="1:21" x14ac:dyDescent="0.25">
      <c r="A251" s="97"/>
      <c r="B251" s="98"/>
      <c r="C251" s="98"/>
      <c r="D251" s="98"/>
      <c r="E251" s="99"/>
      <c r="F251" s="98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</row>
    <row r="252" spans="1:21" x14ac:dyDescent="0.25">
      <c r="A252" s="97"/>
      <c r="B252" s="98"/>
      <c r="C252" s="98"/>
      <c r="D252" s="98"/>
      <c r="E252" s="99"/>
      <c r="F252" s="98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</row>
    <row r="253" spans="1:21" x14ac:dyDescent="0.25">
      <c r="A253" s="97"/>
      <c r="B253" s="98"/>
      <c r="C253" s="98"/>
      <c r="D253" s="98"/>
      <c r="E253" s="99"/>
      <c r="F253" s="98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</row>
    <row r="254" spans="1:21" x14ac:dyDescent="0.25">
      <c r="A254" s="97"/>
      <c r="B254" s="98"/>
      <c r="C254" s="98"/>
      <c r="D254" s="98"/>
      <c r="E254" s="99"/>
      <c r="F254" s="98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</row>
    <row r="255" spans="1:21" x14ac:dyDescent="0.25">
      <c r="A255" s="97"/>
      <c r="B255" s="98"/>
      <c r="C255" s="98"/>
      <c r="D255" s="98"/>
      <c r="E255" s="99"/>
      <c r="F255" s="98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</row>
    <row r="256" spans="1:21" x14ac:dyDescent="0.25">
      <c r="A256" s="97"/>
      <c r="B256" s="98"/>
      <c r="C256" s="98"/>
      <c r="D256" s="98"/>
      <c r="E256" s="99"/>
      <c r="F256" s="98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</row>
    <row r="257" spans="1:21" x14ac:dyDescent="0.25">
      <c r="A257" s="97"/>
      <c r="B257" s="98"/>
      <c r="C257" s="98"/>
      <c r="D257" s="98"/>
      <c r="E257" s="99"/>
      <c r="F257" s="98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</row>
    <row r="258" spans="1:21" x14ac:dyDescent="0.25">
      <c r="A258" s="97"/>
      <c r="B258" s="98"/>
      <c r="C258" s="98"/>
      <c r="D258" s="98"/>
      <c r="E258" s="99"/>
      <c r="F258" s="98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</row>
    <row r="259" spans="1:21" x14ac:dyDescent="0.25">
      <c r="A259" s="97"/>
      <c r="B259" s="98"/>
      <c r="C259" s="98"/>
      <c r="D259" s="98"/>
      <c r="E259" s="99"/>
      <c r="F259" s="98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</row>
    <row r="260" spans="1:21" x14ac:dyDescent="0.25">
      <c r="A260" s="97"/>
      <c r="B260" s="98"/>
      <c r="C260" s="98"/>
      <c r="D260" s="98"/>
      <c r="E260" s="99"/>
      <c r="F260" s="98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</row>
    <row r="261" spans="1:21" x14ac:dyDescent="0.25">
      <c r="A261" s="97"/>
      <c r="B261" s="98"/>
      <c r="C261" s="98"/>
      <c r="D261" s="98"/>
      <c r="E261" s="99"/>
      <c r="F261" s="98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</row>
    <row r="262" spans="1:21" x14ac:dyDescent="0.25">
      <c r="A262" s="97"/>
      <c r="B262" s="98"/>
      <c r="C262" s="98"/>
      <c r="D262" s="98"/>
      <c r="E262" s="99"/>
      <c r="F262" s="98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</row>
    <row r="263" spans="1:21" x14ac:dyDescent="0.25">
      <c r="A263" s="97"/>
      <c r="B263" s="98"/>
      <c r="C263" s="98"/>
      <c r="D263" s="98"/>
      <c r="E263" s="99"/>
      <c r="F263" s="98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</row>
    <row r="264" spans="1:21" x14ac:dyDescent="0.25">
      <c r="A264" s="97"/>
      <c r="B264" s="98"/>
      <c r="C264" s="98"/>
      <c r="D264" s="98"/>
      <c r="E264" s="99"/>
      <c r="F264" s="98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</row>
    <row r="265" spans="1:21" x14ac:dyDescent="0.25">
      <c r="A265" s="97"/>
      <c r="B265" s="98"/>
      <c r="C265" s="98"/>
      <c r="D265" s="98"/>
      <c r="E265" s="99"/>
      <c r="F265" s="98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</row>
    <row r="266" spans="1:21" x14ac:dyDescent="0.25">
      <c r="A266" s="97"/>
      <c r="B266" s="98"/>
      <c r="C266" s="98"/>
      <c r="D266" s="98"/>
      <c r="E266" s="99"/>
      <c r="F266" s="98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</row>
    <row r="267" spans="1:21" x14ac:dyDescent="0.25">
      <c r="A267" s="97"/>
      <c r="B267" s="98"/>
      <c r="C267" s="98"/>
      <c r="D267" s="98"/>
      <c r="E267" s="99"/>
      <c r="F267" s="98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</row>
    <row r="268" spans="1:21" x14ac:dyDescent="0.25">
      <c r="A268" s="97"/>
      <c r="B268" s="98"/>
      <c r="C268" s="98"/>
      <c r="D268" s="98"/>
      <c r="E268" s="99"/>
      <c r="F268" s="98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</row>
    <row r="269" spans="1:21" x14ac:dyDescent="0.25">
      <c r="A269" s="97"/>
      <c r="B269" s="98"/>
      <c r="C269" s="98"/>
      <c r="D269" s="98"/>
      <c r="E269" s="99"/>
      <c r="F269" s="98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</row>
    <row r="270" spans="1:21" x14ac:dyDescent="0.25">
      <c r="A270" s="97"/>
      <c r="B270" s="98"/>
      <c r="C270" s="98"/>
      <c r="D270" s="98"/>
      <c r="E270" s="99"/>
      <c r="F270" s="98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</row>
    <row r="271" spans="1:21" x14ac:dyDescent="0.25">
      <c r="A271" s="97"/>
      <c r="B271" s="98"/>
      <c r="C271" s="98"/>
      <c r="D271" s="98"/>
      <c r="E271" s="99"/>
      <c r="F271" s="98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</row>
    <row r="272" spans="1:21" x14ac:dyDescent="0.25">
      <c r="A272" s="97"/>
      <c r="B272" s="98"/>
      <c r="C272" s="98"/>
      <c r="D272" s="98"/>
      <c r="E272" s="99"/>
      <c r="F272" s="98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</row>
    <row r="273" spans="1:21" x14ac:dyDescent="0.25">
      <c r="A273" s="97"/>
      <c r="B273" s="98"/>
      <c r="C273" s="98"/>
      <c r="D273" s="98"/>
      <c r="E273" s="99"/>
      <c r="F273" s="98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</row>
    <row r="274" spans="1:21" x14ac:dyDescent="0.25">
      <c r="A274" s="97"/>
      <c r="B274" s="98"/>
      <c r="C274" s="98"/>
      <c r="D274" s="98"/>
      <c r="E274" s="99"/>
      <c r="F274" s="98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</row>
    <row r="275" spans="1:21" x14ac:dyDescent="0.25">
      <c r="A275" s="97"/>
      <c r="B275" s="98"/>
      <c r="C275" s="98"/>
      <c r="D275" s="98"/>
      <c r="E275" s="99"/>
      <c r="F275" s="98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</row>
    <row r="276" spans="1:21" x14ac:dyDescent="0.25">
      <c r="A276" s="97"/>
      <c r="B276" s="98"/>
      <c r="C276" s="98"/>
      <c r="D276" s="98"/>
      <c r="E276" s="99"/>
      <c r="F276" s="98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</row>
    <row r="277" spans="1:21" x14ac:dyDescent="0.25">
      <c r="A277" s="97"/>
      <c r="B277" s="98"/>
      <c r="C277" s="98"/>
      <c r="D277" s="98"/>
      <c r="E277" s="99"/>
      <c r="F277" s="98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</row>
    <row r="278" spans="1:21" x14ac:dyDescent="0.25">
      <c r="A278" s="97"/>
      <c r="B278" s="98"/>
      <c r="C278" s="98"/>
      <c r="D278" s="98"/>
      <c r="E278" s="99"/>
      <c r="F278" s="98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</row>
    <row r="279" spans="1:21" x14ac:dyDescent="0.25">
      <c r="A279" s="97"/>
      <c r="B279" s="98"/>
      <c r="C279" s="98"/>
      <c r="D279" s="98"/>
      <c r="E279" s="99"/>
      <c r="F279" s="98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</row>
    <row r="280" spans="1:21" x14ac:dyDescent="0.25">
      <c r="A280" s="97"/>
      <c r="B280" s="98"/>
      <c r="C280" s="98"/>
      <c r="D280" s="98"/>
      <c r="E280" s="99"/>
      <c r="F280" s="98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</row>
    <row r="281" spans="1:21" x14ac:dyDescent="0.25">
      <c r="A281" s="97"/>
      <c r="B281" s="98"/>
      <c r="C281" s="98"/>
      <c r="D281" s="98"/>
      <c r="E281" s="99"/>
      <c r="F281" s="98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</row>
    <row r="282" spans="1:21" x14ac:dyDescent="0.25">
      <c r="A282" s="97"/>
      <c r="B282" s="98"/>
      <c r="C282" s="98"/>
      <c r="D282" s="98"/>
      <c r="E282" s="99"/>
      <c r="F282" s="98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</row>
    <row r="283" spans="1:21" x14ac:dyDescent="0.25">
      <c r="A283" s="97"/>
      <c r="B283" s="98"/>
      <c r="C283" s="98"/>
      <c r="D283" s="98"/>
      <c r="E283" s="99"/>
      <c r="F283" s="98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</row>
    <row r="284" spans="1:21" x14ac:dyDescent="0.25">
      <c r="A284" s="97"/>
      <c r="B284" s="98"/>
      <c r="C284" s="98"/>
      <c r="D284" s="98"/>
      <c r="E284" s="99"/>
      <c r="F284" s="98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</row>
    <row r="285" spans="1:21" x14ac:dyDescent="0.25">
      <c r="A285" s="97"/>
      <c r="B285" s="98"/>
      <c r="C285" s="98"/>
      <c r="D285" s="98"/>
      <c r="E285" s="99"/>
      <c r="F285" s="98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</row>
    <row r="286" spans="1:21" x14ac:dyDescent="0.25">
      <c r="A286" s="97"/>
      <c r="B286" s="98"/>
      <c r="C286" s="98"/>
      <c r="D286" s="98"/>
      <c r="E286" s="99"/>
      <c r="F286" s="98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</row>
    <row r="287" spans="1:21" x14ac:dyDescent="0.25">
      <c r="A287" s="97"/>
      <c r="B287" s="98"/>
      <c r="C287" s="98"/>
      <c r="D287" s="98"/>
      <c r="E287" s="99"/>
      <c r="F287" s="98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</row>
    <row r="288" spans="1:21" x14ac:dyDescent="0.25">
      <c r="A288" s="97"/>
      <c r="B288" s="98"/>
      <c r="C288" s="98"/>
      <c r="D288" s="98"/>
      <c r="E288" s="99"/>
      <c r="F288" s="98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</row>
    <row r="289" spans="1:21" x14ac:dyDescent="0.25">
      <c r="A289" s="97"/>
      <c r="B289" s="98"/>
      <c r="C289" s="98"/>
      <c r="D289" s="98"/>
      <c r="E289" s="99"/>
      <c r="F289" s="98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</row>
    <row r="290" spans="1:21" x14ac:dyDescent="0.25">
      <c r="A290" s="97"/>
      <c r="B290" s="98"/>
      <c r="C290" s="98"/>
      <c r="D290" s="98"/>
      <c r="E290" s="99"/>
      <c r="F290" s="98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</row>
    <row r="291" spans="1:21" x14ac:dyDescent="0.25">
      <c r="A291" s="97"/>
      <c r="B291" s="98"/>
      <c r="C291" s="98"/>
      <c r="D291" s="98"/>
      <c r="E291" s="99"/>
      <c r="F291" s="98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</row>
    <row r="292" spans="1:21" x14ac:dyDescent="0.25">
      <c r="A292" s="97"/>
      <c r="B292" s="98"/>
      <c r="C292" s="98"/>
      <c r="D292" s="98"/>
      <c r="E292" s="99"/>
      <c r="F292" s="98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</row>
    <row r="293" spans="1:21" x14ac:dyDescent="0.25">
      <c r="A293" s="97"/>
      <c r="B293" s="98"/>
      <c r="C293" s="98"/>
      <c r="D293" s="98"/>
      <c r="E293" s="99"/>
      <c r="F293" s="98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</row>
    <row r="294" spans="1:21" x14ac:dyDescent="0.25">
      <c r="A294" s="97"/>
      <c r="B294" s="98"/>
      <c r="C294" s="98"/>
      <c r="D294" s="98"/>
      <c r="E294" s="99"/>
      <c r="F294" s="98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</row>
    <row r="295" spans="1:21" x14ac:dyDescent="0.25">
      <c r="A295" s="97"/>
      <c r="B295" s="98"/>
      <c r="C295" s="98"/>
      <c r="D295" s="98"/>
      <c r="E295" s="99"/>
      <c r="F295" s="98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</row>
    <row r="296" spans="1:21" x14ac:dyDescent="0.25">
      <c r="A296" s="97"/>
      <c r="B296" s="98"/>
      <c r="C296" s="98"/>
      <c r="D296" s="98"/>
      <c r="E296" s="99"/>
      <c r="F296" s="98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</row>
    <row r="297" spans="1:21" x14ac:dyDescent="0.25">
      <c r="A297" s="97"/>
      <c r="B297" s="98"/>
      <c r="C297" s="98"/>
      <c r="D297" s="98"/>
      <c r="E297" s="99"/>
      <c r="F297" s="98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</row>
    <row r="298" spans="1:21" x14ac:dyDescent="0.25">
      <c r="A298" s="97"/>
      <c r="B298" s="98"/>
      <c r="C298" s="98"/>
      <c r="D298" s="98"/>
      <c r="E298" s="99"/>
      <c r="F298" s="98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</row>
    <row r="299" spans="1:21" x14ac:dyDescent="0.25">
      <c r="A299" s="97"/>
      <c r="B299" s="98"/>
      <c r="C299" s="98"/>
      <c r="D299" s="98"/>
      <c r="E299" s="99"/>
      <c r="F299" s="98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</row>
    <row r="300" spans="1:21" x14ac:dyDescent="0.25">
      <c r="A300" s="97"/>
      <c r="B300" s="98"/>
      <c r="C300" s="98"/>
      <c r="D300" s="98"/>
      <c r="E300" s="99"/>
      <c r="F300" s="98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</row>
    <row r="301" spans="1:21" x14ac:dyDescent="0.25">
      <c r="A301" s="97"/>
      <c r="B301" s="98"/>
      <c r="C301" s="98"/>
      <c r="D301" s="98"/>
      <c r="E301" s="99"/>
      <c r="F301" s="98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</row>
    <row r="302" spans="1:21" x14ac:dyDescent="0.25">
      <c r="A302" s="97"/>
      <c r="B302" s="98"/>
      <c r="C302" s="98"/>
      <c r="D302" s="98"/>
      <c r="E302" s="99"/>
      <c r="F302" s="98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</row>
    <row r="303" spans="1:21" x14ac:dyDescent="0.25">
      <c r="A303" s="97"/>
      <c r="B303" s="98"/>
      <c r="C303" s="98"/>
      <c r="D303" s="98"/>
      <c r="E303" s="99"/>
      <c r="F303" s="98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</row>
    <row r="304" spans="1:21" x14ac:dyDescent="0.25">
      <c r="A304" s="97"/>
      <c r="B304" s="98"/>
      <c r="C304" s="98"/>
      <c r="D304" s="98"/>
      <c r="E304" s="99"/>
      <c r="F304" s="98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</row>
    <row r="305" spans="1:21" x14ac:dyDescent="0.25">
      <c r="A305" s="97"/>
      <c r="B305" s="98"/>
      <c r="C305" s="98"/>
      <c r="D305" s="98"/>
      <c r="E305" s="99"/>
      <c r="F305" s="98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</row>
    <row r="306" spans="1:21" x14ac:dyDescent="0.25">
      <c r="A306" s="97"/>
      <c r="B306" s="98"/>
      <c r="C306" s="98"/>
      <c r="D306" s="98"/>
      <c r="E306" s="99"/>
      <c r="F306" s="98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</row>
    <row r="307" spans="1:21" x14ac:dyDescent="0.25">
      <c r="A307" s="97"/>
      <c r="B307" s="98"/>
      <c r="C307" s="98"/>
      <c r="D307" s="98"/>
      <c r="E307" s="99"/>
      <c r="F307" s="98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</row>
    <row r="308" spans="1:21" x14ac:dyDescent="0.25">
      <c r="A308" s="97"/>
      <c r="B308" s="98"/>
      <c r="C308" s="98"/>
      <c r="D308" s="98"/>
      <c r="E308" s="99"/>
      <c r="F308" s="98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</row>
    <row r="309" spans="1:21" x14ac:dyDescent="0.25">
      <c r="A309" s="97"/>
      <c r="B309" s="98"/>
      <c r="C309" s="98"/>
      <c r="D309" s="98"/>
      <c r="E309" s="99"/>
      <c r="F309" s="98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</row>
    <row r="310" spans="1:21" x14ac:dyDescent="0.25">
      <c r="A310" s="97"/>
      <c r="B310" s="98"/>
      <c r="C310" s="98"/>
      <c r="D310" s="98"/>
      <c r="E310" s="99"/>
      <c r="F310" s="98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</row>
    <row r="311" spans="1:21" x14ac:dyDescent="0.25">
      <c r="A311" s="97"/>
      <c r="B311" s="98"/>
      <c r="C311" s="98"/>
      <c r="D311" s="98"/>
      <c r="E311" s="99"/>
      <c r="F311" s="98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</row>
    <row r="312" spans="1:21" x14ac:dyDescent="0.25">
      <c r="A312" s="97"/>
      <c r="B312" s="98"/>
      <c r="C312" s="98"/>
      <c r="D312" s="98"/>
      <c r="E312" s="99"/>
      <c r="F312" s="98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</row>
    <row r="313" spans="1:21" x14ac:dyDescent="0.25">
      <c r="A313" s="97"/>
      <c r="B313" s="98"/>
      <c r="C313" s="98"/>
      <c r="D313" s="98"/>
      <c r="E313" s="99"/>
      <c r="F313" s="98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</row>
    <row r="314" spans="1:21" x14ac:dyDescent="0.25">
      <c r="A314" s="97"/>
      <c r="B314" s="98"/>
      <c r="C314" s="98"/>
      <c r="D314" s="98"/>
      <c r="E314" s="99"/>
      <c r="F314" s="98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</row>
    <row r="315" spans="1:21" x14ac:dyDescent="0.25">
      <c r="A315" s="97"/>
      <c r="B315" s="98"/>
      <c r="C315" s="98"/>
      <c r="D315" s="98"/>
      <c r="E315" s="99"/>
      <c r="F315" s="98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</row>
    <row r="316" spans="1:21" x14ac:dyDescent="0.25">
      <c r="A316" s="97"/>
      <c r="B316" s="98"/>
      <c r="C316" s="98"/>
      <c r="D316" s="98"/>
      <c r="E316" s="99"/>
      <c r="F316" s="98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</row>
    <row r="317" spans="1:21" x14ac:dyDescent="0.25">
      <c r="A317" s="97"/>
      <c r="B317" s="98"/>
      <c r="C317" s="98"/>
      <c r="D317" s="98"/>
      <c r="E317" s="99"/>
      <c r="F317" s="98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</row>
    <row r="318" spans="1:21" x14ac:dyDescent="0.25">
      <c r="A318" s="97"/>
      <c r="B318" s="98"/>
      <c r="C318" s="98"/>
      <c r="D318" s="98"/>
      <c r="E318" s="99"/>
      <c r="F318" s="98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</row>
    <row r="319" spans="1:21" x14ac:dyDescent="0.25">
      <c r="A319" s="97"/>
      <c r="B319" s="98"/>
      <c r="C319" s="98"/>
      <c r="D319" s="98"/>
      <c r="E319" s="99"/>
      <c r="F319" s="98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</row>
    <row r="320" spans="1:21" x14ac:dyDescent="0.25">
      <c r="A320" s="97"/>
      <c r="B320" s="98"/>
      <c r="C320" s="98"/>
      <c r="D320" s="98"/>
      <c r="E320" s="99"/>
      <c r="F320" s="98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</row>
    <row r="321" spans="1:21" x14ac:dyDescent="0.25">
      <c r="A321" s="97"/>
      <c r="B321" s="98"/>
      <c r="C321" s="98"/>
      <c r="D321" s="98"/>
      <c r="E321" s="99"/>
      <c r="F321" s="98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</row>
    <row r="322" spans="1:21" x14ac:dyDescent="0.25">
      <c r="A322" s="97"/>
      <c r="B322" s="98"/>
      <c r="C322" s="98"/>
      <c r="D322" s="98"/>
      <c r="E322" s="99"/>
      <c r="F322" s="98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</row>
    <row r="323" spans="1:21" x14ac:dyDescent="0.25">
      <c r="A323" s="97"/>
      <c r="B323" s="98"/>
      <c r="C323" s="98"/>
      <c r="D323" s="98"/>
      <c r="E323" s="99"/>
      <c r="F323" s="98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</row>
    <row r="324" spans="1:21" x14ac:dyDescent="0.25">
      <c r="A324" s="97"/>
      <c r="B324" s="98"/>
      <c r="C324" s="98"/>
      <c r="D324" s="98"/>
      <c r="E324" s="99"/>
      <c r="F324" s="98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</row>
    <row r="325" spans="1:21" x14ac:dyDescent="0.25">
      <c r="A325" s="97"/>
      <c r="B325" s="98"/>
      <c r="C325" s="98"/>
      <c r="D325" s="98"/>
      <c r="E325" s="99"/>
      <c r="F325" s="98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</row>
    <row r="326" spans="1:21" x14ac:dyDescent="0.25">
      <c r="A326" s="97"/>
      <c r="B326" s="98"/>
      <c r="C326" s="98"/>
      <c r="D326" s="98"/>
      <c r="E326" s="99"/>
      <c r="F326" s="98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</row>
    <row r="327" spans="1:21" x14ac:dyDescent="0.25">
      <c r="A327" s="97"/>
      <c r="B327" s="98"/>
      <c r="C327" s="98"/>
      <c r="D327" s="98"/>
      <c r="E327" s="99"/>
      <c r="F327" s="98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</row>
    <row r="328" spans="1:21" x14ac:dyDescent="0.25">
      <c r="A328" s="97"/>
      <c r="B328" s="98"/>
      <c r="C328" s="98"/>
      <c r="D328" s="98"/>
      <c r="E328" s="99"/>
      <c r="F328" s="98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</row>
    <row r="329" spans="1:21" x14ac:dyDescent="0.25">
      <c r="A329" s="97"/>
      <c r="B329" s="98"/>
      <c r="C329" s="98"/>
      <c r="D329" s="98"/>
      <c r="E329" s="99"/>
      <c r="F329" s="98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</row>
    <row r="330" spans="1:21" x14ac:dyDescent="0.25">
      <c r="A330" s="97"/>
      <c r="B330" s="98"/>
      <c r="C330" s="98"/>
      <c r="D330" s="98"/>
      <c r="E330" s="99"/>
      <c r="F330" s="98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</row>
    <row r="331" spans="1:21" x14ac:dyDescent="0.25">
      <c r="A331" s="97"/>
      <c r="B331" s="98"/>
      <c r="C331" s="98"/>
      <c r="D331" s="98"/>
      <c r="E331" s="99"/>
      <c r="F331" s="98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</row>
    <row r="332" spans="1:21" x14ac:dyDescent="0.25">
      <c r="A332" s="97"/>
      <c r="B332" s="98"/>
      <c r="C332" s="98"/>
      <c r="D332" s="98"/>
      <c r="E332" s="99"/>
      <c r="F332" s="98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</row>
    <row r="333" spans="1:21" x14ac:dyDescent="0.25">
      <c r="A333" s="97"/>
      <c r="B333" s="98"/>
      <c r="C333" s="98"/>
      <c r="D333" s="98"/>
      <c r="E333" s="99"/>
      <c r="F333" s="98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</row>
    <row r="334" spans="1:21" x14ac:dyDescent="0.25">
      <c r="A334" s="97"/>
      <c r="B334" s="98"/>
      <c r="C334" s="98"/>
      <c r="D334" s="98"/>
      <c r="E334" s="99"/>
      <c r="F334" s="98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</row>
    <row r="335" spans="1:21" x14ac:dyDescent="0.25">
      <c r="A335" s="97"/>
      <c r="B335" s="98"/>
      <c r="C335" s="98"/>
      <c r="D335" s="98"/>
      <c r="E335" s="99"/>
      <c r="F335" s="98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</row>
    <row r="336" spans="1:21" x14ac:dyDescent="0.25">
      <c r="A336" s="97"/>
      <c r="B336" s="98"/>
      <c r="C336" s="98"/>
      <c r="D336" s="98"/>
      <c r="E336" s="99"/>
      <c r="F336" s="98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</row>
    <row r="337" spans="1:21" x14ac:dyDescent="0.25">
      <c r="A337" s="97"/>
      <c r="B337" s="98"/>
      <c r="C337" s="98"/>
      <c r="D337" s="98"/>
      <c r="E337" s="99"/>
      <c r="F337" s="98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</row>
    <row r="338" spans="1:21" x14ac:dyDescent="0.25">
      <c r="A338" s="97"/>
      <c r="B338" s="98"/>
      <c r="C338" s="98"/>
      <c r="D338" s="98"/>
      <c r="E338" s="99"/>
      <c r="F338" s="98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</row>
    <row r="339" spans="1:21" x14ac:dyDescent="0.25">
      <c r="A339" s="97"/>
      <c r="B339" s="98"/>
      <c r="C339" s="98"/>
      <c r="D339" s="98"/>
      <c r="E339" s="99"/>
      <c r="F339" s="98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</row>
    <row r="340" spans="1:21" x14ac:dyDescent="0.25">
      <c r="A340" s="97"/>
      <c r="B340" s="98"/>
      <c r="C340" s="98"/>
      <c r="D340" s="98"/>
      <c r="E340" s="99"/>
      <c r="F340" s="98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</row>
    <row r="341" spans="1:21" x14ac:dyDescent="0.25">
      <c r="A341" s="97"/>
      <c r="B341" s="98"/>
      <c r="C341" s="98"/>
      <c r="D341" s="98"/>
      <c r="E341" s="99"/>
      <c r="F341" s="98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</row>
    <row r="342" spans="1:21" x14ac:dyDescent="0.25">
      <c r="A342" s="97"/>
      <c r="B342" s="98"/>
      <c r="C342" s="98"/>
      <c r="D342" s="98"/>
      <c r="E342" s="99"/>
      <c r="F342" s="98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</row>
    <row r="343" spans="1:21" x14ac:dyDescent="0.25">
      <c r="A343" s="97"/>
      <c r="B343" s="98"/>
      <c r="C343" s="98"/>
      <c r="D343" s="98"/>
      <c r="E343" s="99"/>
      <c r="F343" s="98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</row>
    <row r="344" spans="1:21" x14ac:dyDescent="0.25">
      <c r="A344" s="97"/>
      <c r="B344" s="98"/>
      <c r="C344" s="98"/>
      <c r="D344" s="98"/>
      <c r="E344" s="99"/>
      <c r="F344" s="98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</row>
    <row r="345" spans="1:21" x14ac:dyDescent="0.25">
      <c r="A345" s="97"/>
      <c r="B345" s="98"/>
      <c r="C345" s="98"/>
      <c r="D345" s="98"/>
      <c r="E345" s="99"/>
      <c r="F345" s="98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</row>
    <row r="346" spans="1:21" x14ac:dyDescent="0.25">
      <c r="A346" s="97"/>
      <c r="B346" s="98"/>
      <c r="C346" s="98"/>
      <c r="D346" s="98"/>
      <c r="E346" s="99"/>
      <c r="F346" s="98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</row>
    <row r="347" spans="1:21" x14ac:dyDescent="0.25">
      <c r="A347" s="97"/>
      <c r="B347" s="98"/>
      <c r="C347" s="98"/>
      <c r="D347" s="98"/>
      <c r="E347" s="99"/>
      <c r="F347" s="98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</row>
    <row r="348" spans="1:21" x14ac:dyDescent="0.25">
      <c r="A348" s="97"/>
      <c r="B348" s="98"/>
      <c r="C348" s="98"/>
      <c r="D348" s="98"/>
      <c r="E348" s="99"/>
      <c r="F348" s="98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</row>
    <row r="349" spans="1:21" x14ac:dyDescent="0.25">
      <c r="A349" s="97"/>
      <c r="B349" s="98"/>
      <c r="C349" s="98"/>
      <c r="D349" s="98"/>
      <c r="E349" s="99"/>
      <c r="F349" s="98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</row>
    <row r="350" spans="1:21" x14ac:dyDescent="0.25">
      <c r="A350" s="97"/>
      <c r="B350" s="98"/>
      <c r="C350" s="98"/>
      <c r="D350" s="98"/>
      <c r="E350" s="99"/>
      <c r="F350" s="98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</row>
    <row r="351" spans="1:21" x14ac:dyDescent="0.25">
      <c r="A351" s="97"/>
      <c r="B351" s="98"/>
      <c r="C351" s="98"/>
      <c r="D351" s="98"/>
      <c r="E351" s="99"/>
      <c r="F351" s="98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</row>
    <row r="352" spans="1:21" x14ac:dyDescent="0.25">
      <c r="A352" s="97"/>
      <c r="B352" s="98"/>
      <c r="C352" s="98"/>
      <c r="D352" s="98"/>
      <c r="E352" s="99"/>
      <c r="F352" s="98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</row>
    <row r="353" spans="1:21" x14ac:dyDescent="0.25">
      <c r="A353" s="97"/>
      <c r="B353" s="98"/>
      <c r="C353" s="98"/>
      <c r="D353" s="98"/>
      <c r="E353" s="99"/>
      <c r="F353" s="98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</row>
    <row r="354" spans="1:21" x14ac:dyDescent="0.25">
      <c r="A354" s="97"/>
      <c r="B354" s="98"/>
      <c r="C354" s="98"/>
      <c r="D354" s="98"/>
      <c r="E354" s="99"/>
      <c r="F354" s="98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</row>
    <row r="355" spans="1:21" x14ac:dyDescent="0.25">
      <c r="A355" s="97"/>
      <c r="B355" s="98"/>
      <c r="C355" s="98"/>
      <c r="D355" s="98"/>
      <c r="E355" s="99"/>
      <c r="F355" s="98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</row>
    <row r="356" spans="1:21" x14ac:dyDescent="0.25">
      <c r="A356" s="97"/>
      <c r="B356" s="98"/>
      <c r="C356" s="98"/>
      <c r="D356" s="98"/>
      <c r="E356" s="99"/>
      <c r="F356" s="98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</row>
    <row r="357" spans="1:21" x14ac:dyDescent="0.25">
      <c r="A357" s="97"/>
      <c r="B357" s="98"/>
      <c r="C357" s="98"/>
      <c r="D357" s="98"/>
      <c r="E357" s="99"/>
      <c r="F357" s="98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</row>
    <row r="358" spans="1:21" x14ac:dyDescent="0.25">
      <c r="A358" s="97"/>
      <c r="B358" s="98"/>
      <c r="C358" s="98"/>
      <c r="D358" s="98"/>
      <c r="E358" s="99"/>
      <c r="F358" s="98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</row>
    <row r="359" spans="1:21" x14ac:dyDescent="0.25">
      <c r="A359" s="97"/>
      <c r="B359" s="98"/>
      <c r="C359" s="98"/>
      <c r="D359" s="98"/>
      <c r="E359" s="99"/>
      <c r="F359" s="98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</row>
    <row r="360" spans="1:21" x14ac:dyDescent="0.25">
      <c r="A360" s="97"/>
      <c r="B360" s="98"/>
      <c r="C360" s="98"/>
      <c r="D360" s="98"/>
      <c r="E360" s="99"/>
      <c r="F360" s="98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</row>
    <row r="361" spans="1:21" x14ac:dyDescent="0.25">
      <c r="A361" s="97"/>
      <c r="B361" s="98"/>
      <c r="C361" s="98"/>
      <c r="D361" s="98"/>
      <c r="E361" s="99"/>
      <c r="F361" s="98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</row>
    <row r="362" spans="1:21" x14ac:dyDescent="0.25">
      <c r="A362" s="97"/>
      <c r="B362" s="98"/>
      <c r="C362" s="98"/>
      <c r="D362" s="98"/>
      <c r="E362" s="99"/>
      <c r="F362" s="98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</row>
    <row r="363" spans="1:21" x14ac:dyDescent="0.25">
      <c r="A363" s="97"/>
      <c r="B363" s="98"/>
      <c r="C363" s="98"/>
      <c r="D363" s="98"/>
      <c r="E363" s="99"/>
      <c r="F363" s="98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</row>
    <row r="364" spans="1:21" x14ac:dyDescent="0.25">
      <c r="A364" s="97"/>
      <c r="B364" s="98"/>
      <c r="C364" s="98"/>
      <c r="D364" s="98"/>
      <c r="E364" s="99"/>
      <c r="F364" s="98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</row>
    <row r="365" spans="1:21" x14ac:dyDescent="0.25">
      <c r="A365" s="97"/>
      <c r="B365" s="98"/>
      <c r="C365" s="98"/>
      <c r="D365" s="98"/>
      <c r="E365" s="99"/>
      <c r="F365" s="98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</row>
    <row r="366" spans="1:21" x14ac:dyDescent="0.25">
      <c r="A366" s="97"/>
      <c r="B366" s="98"/>
      <c r="C366" s="98"/>
      <c r="D366" s="98"/>
      <c r="E366" s="99"/>
      <c r="F366" s="98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</row>
    <row r="367" spans="1:21" x14ac:dyDescent="0.25">
      <c r="A367" s="97"/>
      <c r="B367" s="98"/>
      <c r="C367" s="98"/>
      <c r="D367" s="98"/>
      <c r="E367" s="99"/>
      <c r="F367" s="98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</row>
    <row r="368" spans="1:21" x14ac:dyDescent="0.25">
      <c r="A368" s="97"/>
      <c r="B368" s="98"/>
      <c r="C368" s="98"/>
      <c r="D368" s="98"/>
      <c r="E368" s="99"/>
      <c r="F368" s="98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</row>
    <row r="369" spans="1:21" x14ac:dyDescent="0.25">
      <c r="A369" s="97"/>
      <c r="B369" s="98"/>
      <c r="C369" s="98"/>
      <c r="D369" s="98"/>
      <c r="E369" s="99"/>
      <c r="F369" s="98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</row>
    <row r="370" spans="1:21" x14ac:dyDescent="0.25">
      <c r="A370" s="97"/>
      <c r="B370" s="98"/>
      <c r="C370" s="98"/>
      <c r="D370" s="98"/>
      <c r="E370" s="99"/>
      <c r="F370" s="98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</row>
    <row r="371" spans="1:21" x14ac:dyDescent="0.25">
      <c r="A371" s="97"/>
      <c r="B371" s="98"/>
      <c r="C371" s="98"/>
      <c r="D371" s="98"/>
      <c r="E371" s="99"/>
      <c r="F371" s="98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</row>
    <row r="372" spans="1:21" x14ac:dyDescent="0.25">
      <c r="A372" s="97"/>
      <c r="B372" s="98"/>
      <c r="C372" s="98"/>
      <c r="D372" s="98"/>
      <c r="E372" s="99"/>
      <c r="F372" s="98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</row>
    <row r="373" spans="1:21" x14ac:dyDescent="0.25">
      <c r="A373" s="97"/>
      <c r="B373" s="98"/>
      <c r="C373" s="98"/>
      <c r="D373" s="98"/>
      <c r="E373" s="99"/>
      <c r="F373" s="98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</row>
    <row r="374" spans="1:21" x14ac:dyDescent="0.25">
      <c r="A374" s="97"/>
      <c r="B374" s="98"/>
      <c r="C374" s="98"/>
      <c r="D374" s="98"/>
      <c r="E374" s="99"/>
      <c r="F374" s="98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</row>
    <row r="375" spans="1:21" x14ac:dyDescent="0.25">
      <c r="A375" s="97"/>
      <c r="B375" s="98"/>
      <c r="C375" s="98"/>
      <c r="D375" s="98"/>
      <c r="E375" s="99"/>
      <c r="F375" s="98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</row>
    <row r="376" spans="1:21" x14ac:dyDescent="0.25">
      <c r="A376" s="97"/>
      <c r="B376" s="98"/>
      <c r="C376" s="98"/>
      <c r="D376" s="98"/>
      <c r="E376" s="99"/>
      <c r="F376" s="98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</row>
    <row r="377" spans="1:21" x14ac:dyDescent="0.25">
      <c r="A377" s="97"/>
      <c r="B377" s="98"/>
      <c r="C377" s="98"/>
      <c r="D377" s="98"/>
      <c r="E377" s="99"/>
      <c r="F377" s="98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</row>
    <row r="378" spans="1:21" x14ac:dyDescent="0.25">
      <c r="A378" s="97"/>
      <c r="B378" s="98"/>
      <c r="C378" s="98"/>
      <c r="D378" s="98"/>
      <c r="E378" s="99"/>
      <c r="F378" s="98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</row>
    <row r="379" spans="1:21" x14ac:dyDescent="0.25">
      <c r="A379" s="97"/>
      <c r="B379" s="98"/>
      <c r="C379" s="98"/>
      <c r="D379" s="98"/>
      <c r="E379" s="99"/>
      <c r="F379" s="98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</row>
    <row r="380" spans="1:21" x14ac:dyDescent="0.25">
      <c r="A380" s="97"/>
      <c r="B380" s="98"/>
      <c r="C380" s="98"/>
      <c r="D380" s="98"/>
      <c r="E380" s="99"/>
      <c r="F380" s="98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</row>
    <row r="381" spans="1:21" x14ac:dyDescent="0.25">
      <c r="A381" s="97"/>
      <c r="B381" s="98"/>
      <c r="C381" s="98"/>
      <c r="D381" s="98"/>
      <c r="E381" s="99"/>
      <c r="F381" s="98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</row>
    <row r="382" spans="1:21" x14ac:dyDescent="0.25">
      <c r="A382" s="97"/>
      <c r="B382" s="98"/>
      <c r="C382" s="98"/>
      <c r="D382" s="98"/>
      <c r="E382" s="99"/>
      <c r="F382" s="98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</row>
    <row r="383" spans="1:21" x14ac:dyDescent="0.25">
      <c r="A383" s="97"/>
      <c r="B383" s="98"/>
      <c r="C383" s="98"/>
      <c r="D383" s="98"/>
      <c r="E383" s="99"/>
      <c r="F383" s="98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</row>
    <row r="384" spans="1:21" x14ac:dyDescent="0.25">
      <c r="A384" s="97"/>
      <c r="B384" s="98"/>
      <c r="C384" s="98"/>
      <c r="D384" s="98"/>
      <c r="E384" s="99"/>
      <c r="F384" s="98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</row>
    <row r="385" spans="1:21" x14ac:dyDescent="0.25">
      <c r="A385" s="97"/>
      <c r="B385" s="98"/>
      <c r="C385" s="98"/>
      <c r="D385" s="98"/>
      <c r="E385" s="99"/>
      <c r="F385" s="98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</row>
    <row r="386" spans="1:21" x14ac:dyDescent="0.25">
      <c r="A386" s="97"/>
      <c r="B386" s="98"/>
      <c r="C386" s="98"/>
      <c r="D386" s="98"/>
      <c r="E386" s="99"/>
      <c r="F386" s="98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</row>
    <row r="387" spans="1:21" x14ac:dyDescent="0.25">
      <c r="A387" s="97"/>
      <c r="B387" s="98"/>
      <c r="C387" s="98"/>
      <c r="D387" s="98"/>
      <c r="E387" s="99"/>
      <c r="F387" s="98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</row>
    <row r="388" spans="1:21" x14ac:dyDescent="0.25">
      <c r="A388" s="97"/>
      <c r="B388" s="98"/>
      <c r="C388" s="98"/>
      <c r="D388" s="98"/>
      <c r="E388" s="99"/>
      <c r="F388" s="98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</row>
    <row r="389" spans="1:21" x14ac:dyDescent="0.25">
      <c r="A389" s="97"/>
      <c r="B389" s="98"/>
      <c r="C389" s="98"/>
      <c r="D389" s="98"/>
      <c r="E389" s="99"/>
      <c r="F389" s="98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</row>
    <row r="390" spans="1:21" x14ac:dyDescent="0.25">
      <c r="A390" s="97"/>
      <c r="B390" s="98"/>
      <c r="C390" s="98"/>
      <c r="D390" s="98"/>
      <c r="E390" s="99"/>
      <c r="F390" s="98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</row>
    <row r="391" spans="1:21" x14ac:dyDescent="0.25">
      <c r="A391" s="97"/>
      <c r="B391" s="98"/>
      <c r="C391" s="98"/>
      <c r="D391" s="98"/>
      <c r="E391" s="99"/>
      <c r="F391" s="98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</row>
    <row r="392" spans="1:21" x14ac:dyDescent="0.25">
      <c r="A392" s="97"/>
      <c r="B392" s="98"/>
      <c r="C392" s="98"/>
      <c r="D392" s="98"/>
      <c r="E392" s="99"/>
      <c r="F392" s="98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</row>
    <row r="393" spans="1:21" x14ac:dyDescent="0.25">
      <c r="A393" s="97"/>
      <c r="B393" s="98"/>
      <c r="C393" s="98"/>
      <c r="D393" s="98"/>
      <c r="E393" s="99"/>
      <c r="F393" s="98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</row>
    <row r="394" spans="1:21" x14ac:dyDescent="0.25">
      <c r="A394" s="97"/>
      <c r="B394" s="98"/>
      <c r="C394" s="98"/>
      <c r="D394" s="98"/>
      <c r="E394" s="99"/>
      <c r="F394" s="98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</row>
    <row r="395" spans="1:21" x14ac:dyDescent="0.25">
      <c r="A395" s="97"/>
      <c r="B395" s="98"/>
      <c r="C395" s="98"/>
      <c r="D395" s="98"/>
      <c r="E395" s="99"/>
      <c r="F395" s="98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</row>
    <row r="396" spans="1:21" x14ac:dyDescent="0.25">
      <c r="A396" s="97"/>
      <c r="B396" s="98"/>
      <c r="C396" s="98"/>
      <c r="D396" s="98"/>
      <c r="E396" s="99"/>
      <c r="F396" s="98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</row>
    <row r="397" spans="1:21" x14ac:dyDescent="0.25">
      <c r="A397" s="97"/>
      <c r="B397" s="98"/>
      <c r="C397" s="98"/>
      <c r="D397" s="98"/>
      <c r="E397" s="99"/>
      <c r="F397" s="98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</row>
    <row r="398" spans="1:21" x14ac:dyDescent="0.25">
      <c r="A398" s="97"/>
      <c r="B398" s="98"/>
      <c r="C398" s="98"/>
      <c r="D398" s="98"/>
      <c r="E398" s="99"/>
      <c r="F398" s="98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</row>
    <row r="399" spans="1:21" x14ac:dyDescent="0.25">
      <c r="A399" s="97"/>
      <c r="B399" s="98"/>
      <c r="C399" s="98"/>
      <c r="D399" s="98"/>
      <c r="E399" s="99"/>
      <c r="F399" s="98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</row>
    <row r="400" spans="1:21" x14ac:dyDescent="0.25">
      <c r="A400" s="97"/>
      <c r="B400" s="98"/>
      <c r="C400" s="98"/>
      <c r="D400" s="98"/>
      <c r="E400" s="99"/>
      <c r="F400" s="98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</row>
    <row r="401" spans="1:21" x14ac:dyDescent="0.25">
      <c r="A401" s="97"/>
      <c r="B401" s="98"/>
      <c r="C401" s="98"/>
      <c r="D401" s="98"/>
      <c r="E401" s="99"/>
      <c r="F401" s="98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</row>
    <row r="402" spans="1:21" x14ac:dyDescent="0.25">
      <c r="A402" s="97"/>
      <c r="B402" s="98"/>
      <c r="C402" s="98"/>
      <c r="D402" s="98"/>
      <c r="E402" s="99"/>
      <c r="F402" s="98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</row>
    <row r="403" spans="1:21" x14ac:dyDescent="0.25">
      <c r="A403" s="97"/>
      <c r="B403" s="98"/>
      <c r="C403" s="98"/>
      <c r="D403" s="98"/>
      <c r="E403" s="99"/>
      <c r="F403" s="98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</row>
    <row r="404" spans="1:21" x14ac:dyDescent="0.25">
      <c r="A404" s="97"/>
      <c r="B404" s="98"/>
      <c r="C404" s="98"/>
      <c r="D404" s="98"/>
      <c r="E404" s="99"/>
      <c r="F404" s="98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</row>
    <row r="405" spans="1:21" x14ac:dyDescent="0.25">
      <c r="A405" s="97"/>
      <c r="B405" s="98"/>
      <c r="C405" s="98"/>
      <c r="D405" s="98"/>
      <c r="E405" s="99"/>
      <c r="F405" s="98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</row>
    <row r="406" spans="1:21" x14ac:dyDescent="0.25">
      <c r="A406" s="97"/>
      <c r="B406" s="98"/>
      <c r="C406" s="98"/>
      <c r="D406" s="98"/>
      <c r="E406" s="99"/>
      <c r="F406" s="98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</row>
    <row r="407" spans="1:21" x14ac:dyDescent="0.25">
      <c r="A407" s="97"/>
      <c r="B407" s="98"/>
      <c r="C407" s="98"/>
      <c r="D407" s="98"/>
      <c r="E407" s="99"/>
      <c r="F407" s="98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</row>
    <row r="408" spans="1:21" x14ac:dyDescent="0.25">
      <c r="A408" s="97"/>
      <c r="B408" s="98"/>
      <c r="C408" s="98"/>
      <c r="D408" s="98"/>
      <c r="E408" s="99"/>
      <c r="F408" s="98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</row>
    <row r="409" spans="1:21" x14ac:dyDescent="0.25">
      <c r="A409" s="97"/>
      <c r="B409" s="98"/>
      <c r="C409" s="98"/>
      <c r="D409" s="98"/>
      <c r="E409" s="99"/>
      <c r="F409" s="98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</row>
    <row r="410" spans="1:21" x14ac:dyDescent="0.25">
      <c r="A410" s="97"/>
      <c r="B410" s="98"/>
      <c r="C410" s="98"/>
      <c r="D410" s="98"/>
      <c r="E410" s="99"/>
      <c r="F410" s="98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</row>
    <row r="411" spans="1:21" x14ac:dyDescent="0.25">
      <c r="A411" s="97"/>
      <c r="B411" s="98"/>
      <c r="C411" s="98"/>
      <c r="D411" s="98"/>
      <c r="E411" s="99"/>
      <c r="F411" s="98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</row>
    <row r="412" spans="1:21" x14ac:dyDescent="0.25">
      <c r="A412" s="97"/>
      <c r="B412" s="98"/>
      <c r="C412" s="98"/>
      <c r="D412" s="98"/>
      <c r="E412" s="99"/>
      <c r="F412" s="98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</row>
    <row r="413" spans="1:21" x14ac:dyDescent="0.25">
      <c r="A413" s="97"/>
      <c r="B413" s="98"/>
      <c r="C413" s="98"/>
      <c r="D413" s="98"/>
      <c r="E413" s="99"/>
      <c r="F413" s="98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</row>
    <row r="414" spans="1:21" x14ac:dyDescent="0.25">
      <c r="A414" s="97"/>
      <c r="B414" s="98"/>
      <c r="C414" s="98"/>
      <c r="D414" s="98"/>
      <c r="E414" s="99"/>
      <c r="F414" s="98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</row>
    <row r="415" spans="1:21" x14ac:dyDescent="0.25">
      <c r="A415" s="97"/>
      <c r="B415" s="98"/>
      <c r="C415" s="98"/>
      <c r="D415" s="98"/>
      <c r="E415" s="99"/>
      <c r="F415" s="98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</row>
    <row r="416" spans="1:21" x14ac:dyDescent="0.25">
      <c r="A416" s="97"/>
      <c r="B416" s="98"/>
      <c r="C416" s="98"/>
      <c r="D416" s="98"/>
      <c r="E416" s="99"/>
      <c r="F416" s="98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</row>
    <row r="417" spans="1:21" x14ac:dyDescent="0.25">
      <c r="A417" s="97"/>
      <c r="B417" s="98"/>
      <c r="C417" s="98"/>
      <c r="D417" s="98"/>
      <c r="E417" s="99"/>
      <c r="F417" s="98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</row>
    <row r="418" spans="1:21" x14ac:dyDescent="0.25">
      <c r="A418" s="97"/>
      <c r="B418" s="98"/>
      <c r="C418" s="98"/>
      <c r="D418" s="98"/>
      <c r="E418" s="99"/>
      <c r="F418" s="98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</row>
    <row r="419" spans="1:21" x14ac:dyDescent="0.25">
      <c r="A419" s="97"/>
      <c r="B419" s="98"/>
      <c r="C419" s="98"/>
      <c r="D419" s="98"/>
      <c r="E419" s="99"/>
      <c r="F419" s="98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</row>
    <row r="420" spans="1:21" x14ac:dyDescent="0.25">
      <c r="A420" s="97"/>
      <c r="B420" s="98"/>
      <c r="C420" s="98"/>
      <c r="D420" s="98"/>
      <c r="E420" s="99"/>
      <c r="F420" s="98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</row>
    <row r="421" spans="1:21" x14ac:dyDescent="0.25">
      <c r="A421" s="97"/>
      <c r="B421" s="98"/>
      <c r="C421" s="98"/>
      <c r="D421" s="98"/>
      <c r="E421" s="99"/>
      <c r="F421" s="98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</row>
    <row r="422" spans="1:21" x14ac:dyDescent="0.25">
      <c r="A422" s="97"/>
      <c r="B422" s="98"/>
      <c r="C422" s="98"/>
      <c r="D422" s="98"/>
      <c r="E422" s="99"/>
      <c r="F422" s="98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</row>
    <row r="423" spans="1:21" x14ac:dyDescent="0.25">
      <c r="A423" s="97"/>
      <c r="B423" s="98"/>
      <c r="C423" s="98"/>
      <c r="D423" s="98"/>
      <c r="E423" s="99"/>
      <c r="F423" s="98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</row>
    <row r="424" spans="1:21" x14ac:dyDescent="0.25">
      <c r="A424" s="97"/>
      <c r="B424" s="98"/>
      <c r="C424" s="98"/>
      <c r="D424" s="98"/>
      <c r="E424" s="99"/>
      <c r="F424" s="98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</row>
    <row r="425" spans="1:21" x14ac:dyDescent="0.25">
      <c r="A425" s="97"/>
      <c r="B425" s="98"/>
      <c r="C425" s="98"/>
      <c r="D425" s="98"/>
      <c r="E425" s="99"/>
      <c r="F425" s="98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</row>
    <row r="426" spans="1:21" x14ac:dyDescent="0.25">
      <c r="A426" s="97"/>
      <c r="B426" s="98"/>
      <c r="C426" s="98"/>
      <c r="D426" s="98"/>
      <c r="E426" s="99"/>
      <c r="F426" s="98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</row>
    <row r="427" spans="1:21" x14ac:dyDescent="0.25">
      <c r="A427" s="97"/>
      <c r="B427" s="98"/>
      <c r="C427" s="98"/>
      <c r="D427" s="98"/>
      <c r="E427" s="99"/>
      <c r="F427" s="98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</row>
    <row r="428" spans="1:21" x14ac:dyDescent="0.25">
      <c r="A428" s="97"/>
      <c r="B428" s="98"/>
      <c r="C428" s="98"/>
      <c r="D428" s="98"/>
      <c r="E428" s="99"/>
      <c r="F428" s="98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</row>
    <row r="429" spans="1:21" x14ac:dyDescent="0.25">
      <c r="A429" s="97"/>
      <c r="B429" s="98"/>
      <c r="C429" s="98"/>
      <c r="D429" s="98"/>
      <c r="E429" s="99"/>
      <c r="F429" s="98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</row>
    <row r="430" spans="1:21" x14ac:dyDescent="0.25">
      <c r="A430" s="97"/>
      <c r="B430" s="98"/>
      <c r="C430" s="98"/>
      <c r="D430" s="98"/>
      <c r="E430" s="99"/>
      <c r="F430" s="98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</row>
    <row r="431" spans="1:21" x14ac:dyDescent="0.25">
      <c r="A431" s="97"/>
      <c r="B431" s="98"/>
      <c r="C431" s="98"/>
      <c r="D431" s="98"/>
      <c r="E431" s="99"/>
      <c r="F431" s="98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</row>
    <row r="432" spans="1:21" x14ac:dyDescent="0.25">
      <c r="A432" s="97"/>
      <c r="B432" s="98"/>
      <c r="C432" s="98"/>
      <c r="D432" s="98"/>
      <c r="E432" s="99"/>
      <c r="F432" s="98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</row>
    <row r="433" spans="1:21" x14ac:dyDescent="0.25">
      <c r="A433" s="97"/>
      <c r="B433" s="98"/>
      <c r="C433" s="98"/>
      <c r="D433" s="98"/>
      <c r="E433" s="99"/>
      <c r="F433" s="98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</row>
    <row r="434" spans="1:21" x14ac:dyDescent="0.25">
      <c r="A434" s="97"/>
      <c r="B434" s="98"/>
      <c r="C434" s="98"/>
      <c r="D434" s="98"/>
      <c r="E434" s="99"/>
      <c r="F434" s="98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</row>
    <row r="435" spans="1:21" x14ac:dyDescent="0.25">
      <c r="A435" s="97"/>
      <c r="B435" s="98"/>
      <c r="C435" s="98"/>
      <c r="D435" s="98"/>
      <c r="E435" s="99"/>
      <c r="F435" s="98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</row>
    <row r="436" spans="1:21" x14ac:dyDescent="0.25">
      <c r="A436" s="97"/>
      <c r="B436" s="98"/>
      <c r="C436" s="98"/>
      <c r="D436" s="98"/>
      <c r="E436" s="99"/>
      <c r="F436" s="98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</row>
    <row r="437" spans="1:21" x14ac:dyDescent="0.25">
      <c r="A437" s="97"/>
      <c r="B437" s="98"/>
      <c r="C437" s="98"/>
      <c r="D437" s="98"/>
      <c r="E437" s="99"/>
      <c r="F437" s="98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</row>
    <row r="438" spans="1:21" x14ac:dyDescent="0.25">
      <c r="A438" s="97"/>
      <c r="B438" s="98"/>
      <c r="C438" s="98"/>
      <c r="D438" s="98"/>
      <c r="E438" s="99"/>
      <c r="F438" s="98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</row>
    <row r="439" spans="1:21" x14ac:dyDescent="0.25">
      <c r="A439" s="97"/>
      <c r="B439" s="98"/>
      <c r="C439" s="98"/>
      <c r="D439" s="98"/>
      <c r="E439" s="99"/>
      <c r="F439" s="98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</row>
    <row r="440" spans="1:21" x14ac:dyDescent="0.25">
      <c r="A440" s="97"/>
      <c r="B440" s="98"/>
      <c r="C440" s="98"/>
      <c r="D440" s="98"/>
      <c r="E440" s="99"/>
      <c r="F440" s="98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</row>
    <row r="441" spans="1:21" x14ac:dyDescent="0.25">
      <c r="A441" s="97"/>
      <c r="B441" s="98"/>
      <c r="C441" s="98"/>
      <c r="D441" s="98"/>
      <c r="E441" s="99"/>
      <c r="F441" s="98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</row>
    <row r="442" spans="1:21" x14ac:dyDescent="0.25">
      <c r="A442" s="97"/>
      <c r="B442" s="98"/>
      <c r="C442" s="98"/>
      <c r="D442" s="98"/>
      <c r="E442" s="99"/>
      <c r="F442" s="98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</row>
    <row r="443" spans="1:21" x14ac:dyDescent="0.25">
      <c r="A443" s="97"/>
      <c r="B443" s="98"/>
      <c r="C443" s="98"/>
      <c r="D443" s="98"/>
      <c r="E443" s="99"/>
      <c r="F443" s="98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</row>
    <row r="444" spans="1:21" x14ac:dyDescent="0.25">
      <c r="A444" s="97"/>
      <c r="B444" s="98"/>
      <c r="C444" s="98"/>
      <c r="D444" s="98"/>
      <c r="E444" s="99"/>
      <c r="F444" s="98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2A59-DCC1-47C2-9748-A4FF16096862}">
  <sheetPr codeName="Feuil29"/>
  <dimension ref="A1:K29"/>
  <sheetViews>
    <sheetView zoomScale="135" zoomScaleNormal="70" workbookViewId="0">
      <selection activeCell="M12" sqref="M12"/>
    </sheetView>
  </sheetViews>
  <sheetFormatPr baseColWidth="10" defaultRowHeight="15" x14ac:dyDescent="0.25"/>
  <cols>
    <col min="1" max="1" width="22.140625" customWidth="1"/>
    <col min="2" max="2" width="20.140625" bestFit="1" customWidth="1"/>
    <col min="3" max="3" width="16.42578125" customWidth="1"/>
    <col min="4" max="4" width="11.85546875" customWidth="1"/>
    <col min="5" max="5" width="13.5703125" customWidth="1"/>
    <col min="6" max="6" width="11.140625" bestFit="1" customWidth="1"/>
    <col min="7" max="7" width="8.85546875" customWidth="1"/>
    <col min="8" max="8" width="6.140625" bestFit="1" customWidth="1"/>
    <col min="9" max="9" width="11" bestFit="1" customWidth="1"/>
    <col min="10" max="10" width="9.85546875" bestFit="1" customWidth="1"/>
    <col min="11" max="11" width="14.85546875" bestFit="1" customWidth="1"/>
  </cols>
  <sheetData>
    <row r="1" spans="1:11" x14ac:dyDescent="0.25">
      <c r="A1" s="127" t="s">
        <v>1</v>
      </c>
      <c r="B1" s="127" t="s">
        <v>2</v>
      </c>
      <c r="C1" s="127" t="s">
        <v>3</v>
      </c>
      <c r="D1" s="127" t="s">
        <v>4</v>
      </c>
      <c r="E1" s="127" t="s">
        <v>5</v>
      </c>
      <c r="F1" s="127" t="s">
        <v>6</v>
      </c>
      <c r="G1" s="127" t="s">
        <v>7</v>
      </c>
      <c r="H1" s="127" t="s">
        <v>8</v>
      </c>
      <c r="I1" s="127" t="s">
        <v>9</v>
      </c>
      <c r="J1" s="127" t="s">
        <v>10</v>
      </c>
      <c r="K1" s="127" t="s">
        <v>11</v>
      </c>
    </row>
    <row r="2" spans="1:11" x14ac:dyDescent="0.25">
      <c r="A2" s="125"/>
      <c r="B2" s="144" t="s">
        <v>198</v>
      </c>
      <c r="C2" s="123"/>
      <c r="D2" s="123"/>
      <c r="E2" s="123"/>
      <c r="F2" s="124">
        <f>ROUND(SUM('Tableau outil complet'!M:M)/8,0)</f>
        <v>0</v>
      </c>
      <c r="G2" s="123" t="s">
        <v>19</v>
      </c>
      <c r="H2" s="123" t="s">
        <v>39</v>
      </c>
      <c r="I2" s="123" t="s">
        <v>15</v>
      </c>
      <c r="J2" s="123" t="s">
        <v>21</v>
      </c>
      <c r="K2" s="126">
        <f t="shared" ref="K2:K9" si="0">F2*38</f>
        <v>0</v>
      </c>
    </row>
    <row r="3" spans="1:11" x14ac:dyDescent="0.25">
      <c r="A3" s="125"/>
      <c r="B3" s="123" t="s">
        <v>46</v>
      </c>
      <c r="C3" s="123"/>
      <c r="D3" s="123"/>
      <c r="E3" s="123"/>
      <c r="F3" s="124">
        <f>ROUND(SUM('Tableau outil complet'!L:L)/8,0)</f>
        <v>0</v>
      </c>
      <c r="G3" s="123" t="s">
        <v>19</v>
      </c>
      <c r="H3" s="123" t="s">
        <v>39</v>
      </c>
      <c r="I3" s="123" t="s">
        <v>15</v>
      </c>
      <c r="J3" s="123" t="s">
        <v>21</v>
      </c>
      <c r="K3" s="126">
        <f t="shared" si="0"/>
        <v>0</v>
      </c>
    </row>
    <row r="4" spans="1:11" x14ac:dyDescent="0.25">
      <c r="A4" s="125"/>
      <c r="B4" s="144" t="s">
        <v>198</v>
      </c>
      <c r="C4" s="123"/>
      <c r="D4" s="123"/>
      <c r="E4" s="123"/>
      <c r="F4" s="124">
        <f>ROUND(SUM('Tableau outil complet'!O:O)/8,0)</f>
        <v>4</v>
      </c>
      <c r="G4" s="123" t="s">
        <v>19</v>
      </c>
      <c r="H4" s="123" t="s">
        <v>39</v>
      </c>
      <c r="I4" s="123" t="s">
        <v>15</v>
      </c>
      <c r="J4" s="123" t="s">
        <v>16</v>
      </c>
      <c r="K4" s="126">
        <f t="shared" si="0"/>
        <v>152</v>
      </c>
    </row>
    <row r="5" spans="1:11" x14ac:dyDescent="0.25">
      <c r="A5" s="125"/>
      <c r="B5" s="123" t="s">
        <v>46</v>
      </c>
      <c r="C5" s="123"/>
      <c r="D5" s="123"/>
      <c r="E5" s="123"/>
      <c r="F5" s="124">
        <f>ROUND(SUM('Tableau outil complet'!N:N)/8,0)</f>
        <v>5</v>
      </c>
      <c r="G5" s="123" t="s">
        <v>19</v>
      </c>
      <c r="H5" s="123" t="s">
        <v>39</v>
      </c>
      <c r="I5" s="123" t="s">
        <v>15</v>
      </c>
      <c r="J5" s="123" t="s">
        <v>16</v>
      </c>
      <c r="K5" s="126">
        <f t="shared" si="0"/>
        <v>190</v>
      </c>
    </row>
    <row r="6" spans="1:11" x14ac:dyDescent="0.25">
      <c r="A6" s="125"/>
      <c r="B6" s="144" t="s">
        <v>198</v>
      </c>
      <c r="C6" s="123"/>
      <c r="D6" s="123"/>
      <c r="E6" s="123"/>
      <c r="F6" s="124">
        <f>ROUND(SUM('Tableau outil complet'!Q:Q)/8,0)</f>
        <v>0</v>
      </c>
      <c r="G6" s="123" t="s">
        <v>13</v>
      </c>
      <c r="H6" s="123" t="s">
        <v>39</v>
      </c>
      <c r="I6" s="123" t="s">
        <v>15</v>
      </c>
      <c r="J6" s="123" t="s">
        <v>16</v>
      </c>
      <c r="K6" s="126">
        <f t="shared" si="0"/>
        <v>0</v>
      </c>
    </row>
    <row r="7" spans="1:11" x14ac:dyDescent="0.25">
      <c r="A7" s="125"/>
      <c r="B7" s="123" t="s">
        <v>46</v>
      </c>
      <c r="C7" s="123"/>
      <c r="D7" s="123"/>
      <c r="E7" s="123"/>
      <c r="F7" s="124">
        <f>ROUND(SUM('Tableau outil complet'!P:P)/8,0)</f>
        <v>1</v>
      </c>
      <c r="G7" s="123" t="s">
        <v>13</v>
      </c>
      <c r="H7" s="123" t="s">
        <v>39</v>
      </c>
      <c r="I7" s="123" t="s">
        <v>15</v>
      </c>
      <c r="J7" s="123" t="s">
        <v>16</v>
      </c>
      <c r="K7" s="126">
        <f t="shared" si="0"/>
        <v>38</v>
      </c>
    </row>
    <row r="8" spans="1:11" x14ac:dyDescent="0.25">
      <c r="A8" s="125"/>
      <c r="B8" s="144" t="s">
        <v>198</v>
      </c>
      <c r="C8" s="123"/>
      <c r="D8" s="123"/>
      <c r="E8" s="123"/>
      <c r="F8" s="124">
        <f>ROUND(SUM('Tableau outil complet'!T:T)/8,0)</f>
        <v>1</v>
      </c>
      <c r="G8" s="123" t="s">
        <v>13</v>
      </c>
      <c r="H8" s="123" t="s">
        <v>39</v>
      </c>
      <c r="I8" s="123" t="s">
        <v>15</v>
      </c>
      <c r="J8" s="123" t="s">
        <v>37</v>
      </c>
      <c r="K8" s="126">
        <f t="shared" si="0"/>
        <v>38</v>
      </c>
    </row>
    <row r="9" spans="1:11" x14ac:dyDescent="0.25">
      <c r="A9" s="125"/>
      <c r="B9" s="123" t="s">
        <v>46</v>
      </c>
      <c r="C9" s="123"/>
      <c r="D9" s="123"/>
      <c r="E9" s="123"/>
      <c r="F9" s="124">
        <f>ROUND(SUM('Tableau outil complet'!S:S)/8,0)</f>
        <v>4</v>
      </c>
      <c r="G9" s="123" t="s">
        <v>13</v>
      </c>
      <c r="H9" s="123" t="s">
        <v>39</v>
      </c>
      <c r="I9" s="123" t="s">
        <v>15</v>
      </c>
      <c r="J9" s="123" t="s">
        <v>37</v>
      </c>
      <c r="K9" s="126">
        <f t="shared" si="0"/>
        <v>152</v>
      </c>
    </row>
    <row r="10" spans="1:11" x14ac:dyDescent="0.25">
      <c r="A10" s="125"/>
      <c r="B10" s="123" t="s">
        <v>47</v>
      </c>
      <c r="C10" s="123"/>
      <c r="D10" s="123"/>
      <c r="E10" s="123"/>
      <c r="F10" s="124">
        <f>ROUND(SUM('Tableau outil complet'!R:R)/4,0)</f>
        <v>0</v>
      </c>
      <c r="G10" s="123" t="s">
        <v>13</v>
      </c>
      <c r="H10" s="123" t="s">
        <v>39</v>
      </c>
      <c r="I10" s="123" t="s">
        <v>15</v>
      </c>
      <c r="J10" s="123" t="s">
        <v>16</v>
      </c>
      <c r="K10" s="126">
        <f>F10*48</f>
        <v>0</v>
      </c>
    </row>
    <row r="11" spans="1:11" x14ac:dyDescent="0.25">
      <c r="A11" s="125"/>
      <c r="B11" s="144" t="s">
        <v>198</v>
      </c>
      <c r="C11" s="123"/>
      <c r="D11" s="123"/>
      <c r="E11" s="123"/>
      <c r="F11" s="124">
        <f>ROUND(SUM('Tableau outil complet'!V:V)/8,0)</f>
        <v>0</v>
      </c>
      <c r="G11" s="123" t="s">
        <v>28</v>
      </c>
      <c r="H11" s="123" t="s">
        <v>39</v>
      </c>
      <c r="I11" s="123" t="s">
        <v>15</v>
      </c>
      <c r="J11" s="123" t="s">
        <v>21</v>
      </c>
      <c r="K11" s="126">
        <f>F11*38</f>
        <v>0</v>
      </c>
    </row>
    <row r="12" spans="1:11" x14ac:dyDescent="0.25">
      <c r="A12" s="125"/>
      <c r="B12" s="123" t="s">
        <v>46</v>
      </c>
      <c r="C12" s="123"/>
      <c r="D12" s="123"/>
      <c r="E12" s="123"/>
      <c r="F12" s="124">
        <f>ROUND(SUM('Tableau outil complet'!U:U)/8,0)</f>
        <v>0</v>
      </c>
      <c r="G12" s="123" t="s">
        <v>28</v>
      </c>
      <c r="H12" s="123" t="s">
        <v>39</v>
      </c>
      <c r="I12" s="123" t="s">
        <v>15</v>
      </c>
      <c r="J12" s="123" t="s">
        <v>21</v>
      </c>
      <c r="K12" s="126">
        <f>F12*38</f>
        <v>0</v>
      </c>
    </row>
    <row r="13" spans="1:11" x14ac:dyDescent="0.25">
      <c r="A13" s="125"/>
      <c r="B13" s="144" t="s">
        <v>198</v>
      </c>
      <c r="C13" s="123"/>
      <c r="D13" s="123"/>
      <c r="E13" s="123"/>
      <c r="F13" s="124">
        <f>ROUND(SUM('Tableau outil complet'!X:X)/8,0)</f>
        <v>0</v>
      </c>
      <c r="G13" s="123" t="s">
        <v>28</v>
      </c>
      <c r="H13" s="123" t="s">
        <v>39</v>
      </c>
      <c r="I13" s="123" t="s">
        <v>15</v>
      </c>
      <c r="J13" s="123" t="s">
        <v>37</v>
      </c>
      <c r="K13" s="126">
        <f>F13*38</f>
        <v>0</v>
      </c>
    </row>
    <row r="14" spans="1:11" x14ac:dyDescent="0.25">
      <c r="A14" s="125"/>
      <c r="B14" s="123" t="s">
        <v>46</v>
      </c>
      <c r="C14" s="123"/>
      <c r="D14" s="123"/>
      <c r="E14" s="123"/>
      <c r="F14" s="124">
        <f>ROUND(SUM('Tableau outil complet'!W:W)/8,0)</f>
        <v>0</v>
      </c>
      <c r="G14" s="123" t="s">
        <v>28</v>
      </c>
      <c r="H14" s="123" t="s">
        <v>39</v>
      </c>
      <c r="I14" s="123" t="s">
        <v>15</v>
      </c>
      <c r="J14" s="123" t="s">
        <v>37</v>
      </c>
      <c r="K14" s="126">
        <f>F14*38</f>
        <v>0</v>
      </c>
    </row>
    <row r="15" spans="1:11" x14ac:dyDescent="0.25">
      <c r="A15" s="125"/>
      <c r="B15" s="123" t="s">
        <v>48</v>
      </c>
      <c r="C15" s="123"/>
      <c r="D15" s="123"/>
      <c r="E15" s="123"/>
      <c r="F15" s="124">
        <f>SUM('Tableau roto'!N:N)</f>
        <v>2</v>
      </c>
      <c r="G15" s="123" t="s">
        <v>19</v>
      </c>
      <c r="H15" s="123" t="s">
        <v>38</v>
      </c>
      <c r="I15" s="123" t="s">
        <v>49</v>
      </c>
      <c r="J15" s="123"/>
      <c r="K15" s="126">
        <f>45*F15</f>
        <v>90</v>
      </c>
    </row>
    <row r="16" spans="1:11" x14ac:dyDescent="0.25">
      <c r="A16" s="125"/>
      <c r="B16" s="123" t="s">
        <v>50</v>
      </c>
      <c r="C16" s="123"/>
      <c r="D16" s="123"/>
      <c r="E16" s="123"/>
      <c r="F16" s="124">
        <f>ROUND(SUM('Tableau roto'!O:O)/2,0)</f>
        <v>1</v>
      </c>
      <c r="G16" s="123" t="s">
        <v>19</v>
      </c>
      <c r="H16" s="123" t="s">
        <v>38</v>
      </c>
      <c r="I16" s="123" t="s">
        <v>15</v>
      </c>
      <c r="J16" s="123"/>
      <c r="K16" s="126">
        <f>10.65*F16</f>
        <v>10.65</v>
      </c>
    </row>
    <row r="17" spans="1:11" x14ac:dyDescent="0.25">
      <c r="A17" s="125"/>
      <c r="B17" s="123" t="s">
        <v>51</v>
      </c>
      <c r="C17" s="123"/>
      <c r="D17" s="123"/>
      <c r="E17" s="123"/>
      <c r="F17" s="124">
        <f>+SUM('Tableau roto'!P:P)</f>
        <v>0</v>
      </c>
      <c r="G17" s="123" t="s">
        <v>19</v>
      </c>
      <c r="H17" s="123" t="s">
        <v>38</v>
      </c>
      <c r="I17" s="123" t="s">
        <v>49</v>
      </c>
      <c r="J17" s="123" t="s">
        <v>21</v>
      </c>
      <c r="K17" s="126">
        <f>52*F17</f>
        <v>0</v>
      </c>
    </row>
    <row r="18" spans="1:11" x14ac:dyDescent="0.25">
      <c r="A18" s="125"/>
      <c r="B18" s="123" t="s">
        <v>52</v>
      </c>
      <c r="C18" s="123"/>
      <c r="D18" s="123"/>
      <c r="E18" s="123"/>
      <c r="F18" s="124">
        <f>ROUND(SUM('Tableau roto'!Q:Q)/3,0)</f>
        <v>0</v>
      </c>
      <c r="G18" s="123" t="s">
        <v>19</v>
      </c>
      <c r="H18" s="123" t="s">
        <v>38</v>
      </c>
      <c r="I18" s="123" t="s">
        <v>15</v>
      </c>
      <c r="J18" s="123" t="s">
        <v>21</v>
      </c>
      <c r="K18" s="126">
        <f>52*F18</f>
        <v>0</v>
      </c>
    </row>
    <row r="19" spans="1:11" x14ac:dyDescent="0.25">
      <c r="A19" s="125"/>
      <c r="B19" s="123" t="s">
        <v>53</v>
      </c>
      <c r="C19" s="123"/>
      <c r="D19" s="123"/>
      <c r="E19" s="123"/>
      <c r="F19" s="124">
        <f>SUM('Tableau roto'!R:R)</f>
        <v>4</v>
      </c>
      <c r="G19" s="123" t="s">
        <v>19</v>
      </c>
      <c r="H19" s="123" t="s">
        <v>38</v>
      </c>
      <c r="I19" s="123" t="s">
        <v>49</v>
      </c>
      <c r="J19" s="123" t="s">
        <v>16</v>
      </c>
      <c r="K19" s="126">
        <f>52*F19</f>
        <v>208</v>
      </c>
    </row>
    <row r="20" spans="1:11" x14ac:dyDescent="0.25">
      <c r="A20" s="125"/>
      <c r="B20" s="123" t="s">
        <v>52</v>
      </c>
      <c r="C20" s="123"/>
      <c r="D20" s="123"/>
      <c r="E20" s="123"/>
      <c r="F20" s="124">
        <f>ROUND(SUM('Tableau roto'!S:S)/3,0)</f>
        <v>3</v>
      </c>
      <c r="G20" s="123" t="s">
        <v>19</v>
      </c>
      <c r="H20" s="123" t="s">
        <v>38</v>
      </c>
      <c r="I20" s="123" t="s">
        <v>15</v>
      </c>
      <c r="J20" s="123" t="s">
        <v>16</v>
      </c>
      <c r="K20" s="126">
        <f>12.18*F20</f>
        <v>36.54</v>
      </c>
    </row>
    <row r="21" spans="1:11" x14ac:dyDescent="0.25">
      <c r="A21" s="125"/>
      <c r="B21" s="123" t="s">
        <v>48</v>
      </c>
      <c r="C21" s="123"/>
      <c r="D21" s="123"/>
      <c r="E21" s="123"/>
      <c r="F21" s="124">
        <f>SUM('Tableau roto'!G:G)</f>
        <v>2</v>
      </c>
      <c r="G21" s="123" t="s">
        <v>13</v>
      </c>
      <c r="H21" s="123" t="s">
        <v>38</v>
      </c>
      <c r="I21" s="123" t="s">
        <v>49</v>
      </c>
      <c r="J21" s="123"/>
      <c r="K21" s="126">
        <f>45*F21</f>
        <v>90</v>
      </c>
    </row>
    <row r="22" spans="1:11" x14ac:dyDescent="0.25">
      <c r="A22" s="125"/>
      <c r="B22" s="123" t="s">
        <v>50</v>
      </c>
      <c r="C22" s="123"/>
      <c r="D22" s="123"/>
      <c r="E22" s="123"/>
      <c r="F22" s="124">
        <f>ROUND(SUM('Tableau roto'!H:H)/2,0)</f>
        <v>1</v>
      </c>
      <c r="G22" s="123" t="s">
        <v>13</v>
      </c>
      <c r="H22" s="123" t="s">
        <v>38</v>
      </c>
      <c r="I22" s="123" t="s">
        <v>15</v>
      </c>
      <c r="J22" s="123"/>
      <c r="K22" s="126">
        <f>10.65*F22</f>
        <v>10.65</v>
      </c>
    </row>
    <row r="23" spans="1:11" x14ac:dyDescent="0.25">
      <c r="A23" s="125"/>
      <c r="B23" s="123" t="s">
        <v>51</v>
      </c>
      <c r="C23" s="123"/>
      <c r="D23" s="123"/>
      <c r="E23" s="123"/>
      <c r="F23" s="124">
        <f>SUM('Tableau roto'!I:I)</f>
        <v>4</v>
      </c>
      <c r="G23" s="123" t="s">
        <v>13</v>
      </c>
      <c r="H23" s="123" t="s">
        <v>38</v>
      </c>
      <c r="I23" s="123" t="s">
        <v>49</v>
      </c>
      <c r="J23" s="123" t="s">
        <v>37</v>
      </c>
      <c r="K23" s="126">
        <f>52*F23</f>
        <v>208</v>
      </c>
    </row>
    <row r="24" spans="1:11" x14ac:dyDescent="0.25">
      <c r="A24" s="125"/>
      <c r="B24" s="123" t="s">
        <v>52</v>
      </c>
      <c r="C24" s="123"/>
      <c r="D24" s="123"/>
      <c r="E24" s="123"/>
      <c r="F24" s="124">
        <f>ROUND(SUM('Tableau roto'!J:J)/3,0)</f>
        <v>3</v>
      </c>
      <c r="G24" s="123" t="s">
        <v>13</v>
      </c>
      <c r="H24" s="123" t="s">
        <v>38</v>
      </c>
      <c r="I24" s="123" t="s">
        <v>15</v>
      </c>
      <c r="J24" s="123" t="s">
        <v>37</v>
      </c>
      <c r="K24" s="126">
        <f>12.18*F24</f>
        <v>36.54</v>
      </c>
    </row>
    <row r="25" spans="1:11" x14ac:dyDescent="0.25">
      <c r="A25" s="125"/>
      <c r="B25" s="123" t="s">
        <v>53</v>
      </c>
      <c r="C25" s="123"/>
      <c r="D25" s="123"/>
      <c r="E25" s="123"/>
      <c r="F25" s="124">
        <f>SUM('Tableau roto'!K:K)</f>
        <v>0</v>
      </c>
      <c r="G25" s="123" t="s">
        <v>13</v>
      </c>
      <c r="H25" s="123" t="s">
        <v>38</v>
      </c>
      <c r="I25" s="123" t="s">
        <v>49</v>
      </c>
      <c r="J25" s="123" t="s">
        <v>16</v>
      </c>
      <c r="K25" s="126">
        <f>12.18*F25</f>
        <v>0</v>
      </c>
    </row>
    <row r="26" spans="1:11" x14ac:dyDescent="0.25">
      <c r="A26" s="125"/>
      <c r="B26" s="123" t="s">
        <v>52</v>
      </c>
      <c r="C26" s="123"/>
      <c r="D26" s="123"/>
      <c r="E26" s="123"/>
      <c r="F26" s="124">
        <f>ROUND(SUM('Tableau roto'!L:L)/3,0)</f>
        <v>0</v>
      </c>
      <c r="G26" s="123" t="s">
        <v>13</v>
      </c>
      <c r="H26" s="123" t="s">
        <v>38</v>
      </c>
      <c r="I26" s="123" t="s">
        <v>15</v>
      </c>
      <c r="J26" s="123" t="s">
        <v>16</v>
      </c>
      <c r="K26" s="126">
        <f>12.18*F26</f>
        <v>0</v>
      </c>
    </row>
    <row r="27" spans="1:11" x14ac:dyDescent="0.25">
      <c r="A27" s="125"/>
      <c r="B27" s="123" t="s">
        <v>51</v>
      </c>
      <c r="C27" s="123"/>
      <c r="D27" s="123"/>
      <c r="E27" s="123"/>
      <c r="F27" s="124">
        <f>SUM('Tableau roto'!T:T)</f>
        <v>1</v>
      </c>
      <c r="G27" s="123" t="s">
        <v>28</v>
      </c>
      <c r="H27" s="123" t="s">
        <v>38</v>
      </c>
      <c r="I27" s="123" t="s">
        <v>49</v>
      </c>
      <c r="J27" s="123" t="s">
        <v>37</v>
      </c>
      <c r="K27" s="126">
        <f>12.18*F27</f>
        <v>12.18</v>
      </c>
    </row>
    <row r="28" spans="1:11" x14ac:dyDescent="0.25">
      <c r="A28" s="128"/>
      <c r="B28" s="129" t="s">
        <v>52</v>
      </c>
      <c r="C28" s="129"/>
      <c r="D28" s="129"/>
      <c r="E28" s="129"/>
      <c r="F28" s="130">
        <f>ROUND(SUM('Tableau roto'!U:U)/3,0)</f>
        <v>1</v>
      </c>
      <c r="G28" s="129" t="s">
        <v>28</v>
      </c>
      <c r="H28" s="129" t="s">
        <v>38</v>
      </c>
      <c r="I28" s="129" t="s">
        <v>15</v>
      </c>
      <c r="J28" s="129" t="s">
        <v>37</v>
      </c>
      <c r="K28" s="131">
        <f>12.18*F28</f>
        <v>12.18</v>
      </c>
    </row>
    <row r="29" spans="1:11" x14ac:dyDescent="0.25">
      <c r="B29" s="87" t="s">
        <v>54</v>
      </c>
      <c r="C29" s="87" t="s">
        <v>54</v>
      </c>
      <c r="D29" s="87" t="s">
        <v>54</v>
      </c>
      <c r="E29" s="87" t="s">
        <v>54</v>
      </c>
      <c r="F29" s="86">
        <f>SUM(F2:F28)+SUM('Tableau plaquette colonne'!F:F)</f>
        <v>1137</v>
      </c>
      <c r="G29" s="87" t="s">
        <v>54</v>
      </c>
      <c r="H29" s="87" t="s">
        <v>55</v>
      </c>
      <c r="I29" s="87" t="s">
        <v>54</v>
      </c>
      <c r="J29" s="87" t="s">
        <v>54</v>
      </c>
      <c r="K29" s="88">
        <f>SUM(K2:K28)+SUM('Tableau plaquette colonne'!K:K)</f>
        <v>11885.14</v>
      </c>
    </row>
  </sheetData>
  <pageMargins left="0.7" right="0.7" top="0.75" bottom="0.75" header="0.3" footer="0.3"/>
  <ignoredErrors>
    <ignoredError sqref="K2:K28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06764-350D-42B4-B162-2354DFEBB793}">
  <sheetPr codeName="Feuil30"/>
  <dimension ref="A1:K17"/>
  <sheetViews>
    <sheetView workbookViewId="0">
      <selection activeCell="H21" sqref="H21"/>
    </sheetView>
  </sheetViews>
  <sheetFormatPr baseColWidth="10" defaultRowHeight="15" x14ac:dyDescent="0.25"/>
  <cols>
    <col min="1" max="1" width="26.42578125" customWidth="1"/>
    <col min="3" max="3" width="19.7109375" customWidth="1"/>
    <col min="4" max="4" width="14.5703125" customWidth="1"/>
    <col min="5" max="5" width="17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s="105">
        <v>46010.572002314817</v>
      </c>
      <c r="B2" t="s">
        <v>23</v>
      </c>
      <c r="C2" t="s">
        <v>24</v>
      </c>
      <c r="D2" t="s">
        <v>26</v>
      </c>
      <c r="E2" t="s">
        <v>27</v>
      </c>
      <c r="F2">
        <v>10</v>
      </c>
      <c r="G2" t="s">
        <v>28</v>
      </c>
      <c r="H2" t="s">
        <v>39</v>
      </c>
      <c r="I2" t="s">
        <v>15</v>
      </c>
      <c r="J2" t="s">
        <v>29</v>
      </c>
      <c r="K2">
        <v>71.2</v>
      </c>
    </row>
    <row r="3" spans="1:11" x14ac:dyDescent="0.25">
      <c r="A3" s="105">
        <v>46011.861574074072</v>
      </c>
      <c r="B3" t="s">
        <v>44</v>
      </c>
      <c r="C3" t="s">
        <v>18</v>
      </c>
      <c r="D3" t="s">
        <v>42</v>
      </c>
      <c r="E3" t="s">
        <v>43</v>
      </c>
      <c r="F3">
        <v>5</v>
      </c>
      <c r="G3" t="s">
        <v>28</v>
      </c>
      <c r="H3" t="s">
        <v>39</v>
      </c>
      <c r="I3" t="s">
        <v>15</v>
      </c>
      <c r="J3" t="s">
        <v>29</v>
      </c>
      <c r="K3">
        <v>44.85</v>
      </c>
    </row>
    <row r="4" spans="1:11" x14ac:dyDescent="0.25">
      <c r="A4" s="105">
        <v>46009.747719907406</v>
      </c>
      <c r="B4" t="s">
        <v>44</v>
      </c>
      <c r="C4" t="s">
        <v>18</v>
      </c>
      <c r="D4" t="s">
        <v>26</v>
      </c>
      <c r="E4" t="s">
        <v>27</v>
      </c>
      <c r="F4">
        <v>5</v>
      </c>
      <c r="G4" t="s">
        <v>28</v>
      </c>
      <c r="H4" t="s">
        <v>39</v>
      </c>
      <c r="I4" t="s">
        <v>15</v>
      </c>
      <c r="J4" t="s">
        <v>29</v>
      </c>
      <c r="K4">
        <v>44.85</v>
      </c>
    </row>
    <row r="5" spans="1:11" x14ac:dyDescent="0.25">
      <c r="B5" t="s">
        <v>45</v>
      </c>
      <c r="F5">
        <v>0</v>
      </c>
      <c r="G5" t="s">
        <v>28</v>
      </c>
      <c r="H5" t="s">
        <v>39</v>
      </c>
      <c r="I5" t="s">
        <v>15</v>
      </c>
      <c r="J5" t="s">
        <v>37</v>
      </c>
      <c r="K5">
        <v>0</v>
      </c>
    </row>
    <row r="6" spans="1:11" x14ac:dyDescent="0.25">
      <c r="B6" t="s">
        <v>45</v>
      </c>
      <c r="F6">
        <v>0</v>
      </c>
      <c r="G6" t="s">
        <v>28</v>
      </c>
      <c r="H6" t="s">
        <v>39</v>
      </c>
      <c r="I6" t="s">
        <v>15</v>
      </c>
      <c r="J6" t="s">
        <v>21</v>
      </c>
      <c r="K6">
        <v>0</v>
      </c>
    </row>
    <row r="7" spans="1:11" x14ac:dyDescent="0.25">
      <c r="B7" t="s">
        <v>45</v>
      </c>
      <c r="F7">
        <v>1</v>
      </c>
      <c r="G7" t="s">
        <v>13</v>
      </c>
      <c r="H7" t="s">
        <v>39</v>
      </c>
      <c r="I7" t="s">
        <v>15</v>
      </c>
      <c r="J7" t="s">
        <v>37</v>
      </c>
      <c r="K7">
        <v>38</v>
      </c>
    </row>
    <row r="8" spans="1:11" x14ac:dyDescent="0.25">
      <c r="B8" t="s">
        <v>45</v>
      </c>
      <c r="F8">
        <v>1</v>
      </c>
      <c r="G8" t="s">
        <v>13</v>
      </c>
      <c r="H8" t="s">
        <v>39</v>
      </c>
      <c r="I8" t="s">
        <v>15</v>
      </c>
      <c r="J8" t="s">
        <v>16</v>
      </c>
      <c r="K8">
        <v>38</v>
      </c>
    </row>
    <row r="9" spans="1:11" x14ac:dyDescent="0.25">
      <c r="B9" t="s">
        <v>45</v>
      </c>
      <c r="F9">
        <v>3</v>
      </c>
      <c r="G9" t="s">
        <v>19</v>
      </c>
      <c r="H9" t="s">
        <v>39</v>
      </c>
      <c r="I9" t="s">
        <v>15</v>
      </c>
      <c r="J9" t="s">
        <v>16</v>
      </c>
      <c r="K9">
        <v>114</v>
      </c>
    </row>
    <row r="10" spans="1:11" x14ac:dyDescent="0.25">
      <c r="B10" t="s">
        <v>45</v>
      </c>
      <c r="F10">
        <v>0</v>
      </c>
      <c r="G10" t="s">
        <v>19</v>
      </c>
      <c r="H10" t="s">
        <v>39</v>
      </c>
      <c r="I10" t="s">
        <v>15</v>
      </c>
      <c r="J10" t="s">
        <v>21</v>
      </c>
      <c r="K10">
        <v>0</v>
      </c>
    </row>
    <row r="11" spans="1:11" x14ac:dyDescent="0.25">
      <c r="B11" t="s">
        <v>46</v>
      </c>
      <c r="F11">
        <v>0</v>
      </c>
      <c r="G11" t="s">
        <v>28</v>
      </c>
      <c r="H11" t="s">
        <v>39</v>
      </c>
      <c r="I11" t="s">
        <v>15</v>
      </c>
      <c r="J11" t="s">
        <v>37</v>
      </c>
      <c r="K11">
        <v>0</v>
      </c>
    </row>
    <row r="12" spans="1:11" x14ac:dyDescent="0.25">
      <c r="B12" t="s">
        <v>46</v>
      </c>
      <c r="F12">
        <v>0</v>
      </c>
      <c r="G12" t="s">
        <v>28</v>
      </c>
      <c r="H12" t="s">
        <v>39</v>
      </c>
      <c r="I12" t="s">
        <v>15</v>
      </c>
      <c r="J12" t="s">
        <v>21</v>
      </c>
      <c r="K12">
        <v>0</v>
      </c>
    </row>
    <row r="13" spans="1:11" x14ac:dyDescent="0.25">
      <c r="B13" t="s">
        <v>46</v>
      </c>
      <c r="F13">
        <v>3</v>
      </c>
      <c r="G13" t="s">
        <v>13</v>
      </c>
      <c r="H13" t="s">
        <v>39</v>
      </c>
      <c r="I13" t="s">
        <v>15</v>
      </c>
      <c r="J13" t="s">
        <v>37</v>
      </c>
      <c r="K13">
        <v>114</v>
      </c>
    </row>
    <row r="14" spans="1:11" x14ac:dyDescent="0.25">
      <c r="B14" t="s">
        <v>46</v>
      </c>
      <c r="F14">
        <v>3</v>
      </c>
      <c r="G14" t="s">
        <v>13</v>
      </c>
      <c r="H14" t="s">
        <v>39</v>
      </c>
      <c r="I14" t="s">
        <v>15</v>
      </c>
      <c r="J14" t="s">
        <v>16</v>
      </c>
      <c r="K14">
        <v>114</v>
      </c>
    </row>
    <row r="15" spans="1:11" x14ac:dyDescent="0.25">
      <c r="B15" t="s">
        <v>46</v>
      </c>
      <c r="F15">
        <v>7</v>
      </c>
      <c r="G15" t="s">
        <v>19</v>
      </c>
      <c r="H15" t="s">
        <v>39</v>
      </c>
      <c r="I15" t="s">
        <v>15</v>
      </c>
      <c r="J15" t="s">
        <v>16</v>
      </c>
      <c r="K15">
        <v>266</v>
      </c>
    </row>
    <row r="16" spans="1:11" x14ac:dyDescent="0.25">
      <c r="B16" t="s">
        <v>46</v>
      </c>
      <c r="F16">
        <v>0</v>
      </c>
      <c r="G16" t="s">
        <v>19</v>
      </c>
      <c r="H16" t="s">
        <v>39</v>
      </c>
      <c r="I16" t="s">
        <v>15</v>
      </c>
      <c r="J16" t="s">
        <v>21</v>
      </c>
      <c r="K16">
        <v>0</v>
      </c>
    </row>
    <row r="17" spans="2:11" x14ac:dyDescent="0.25">
      <c r="B17" t="s">
        <v>47</v>
      </c>
      <c r="F17">
        <v>0</v>
      </c>
      <c r="G17" t="s">
        <v>13</v>
      </c>
      <c r="H17" t="s">
        <v>39</v>
      </c>
      <c r="I17" t="s">
        <v>15</v>
      </c>
      <c r="J17" t="s">
        <v>16</v>
      </c>
      <c r="K17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16E-DF2D-4D46-847C-E61C92B5194D}">
  <sheetPr codeName="Feuil31"/>
  <dimension ref="A1:K17"/>
  <sheetViews>
    <sheetView workbookViewId="0">
      <selection activeCell="O29" sqref="O29"/>
    </sheetView>
  </sheetViews>
  <sheetFormatPr baseColWidth="10" defaultRowHeight="15" x14ac:dyDescent="0.25"/>
  <cols>
    <col min="1" max="1" width="26.42578125" customWidth="1"/>
    <col min="3" max="3" width="19.7109375" customWidth="1"/>
    <col min="4" max="4" width="14.5703125" customWidth="1"/>
    <col min="5" max="5" width="17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s="105">
        <v>46010.572002314817</v>
      </c>
      <c r="B2" t="s">
        <v>23</v>
      </c>
      <c r="C2" t="s">
        <v>24</v>
      </c>
      <c r="D2" t="s">
        <v>26</v>
      </c>
      <c r="E2" t="s">
        <v>27</v>
      </c>
      <c r="F2">
        <v>10</v>
      </c>
      <c r="G2" t="s">
        <v>28</v>
      </c>
      <c r="H2" t="s">
        <v>39</v>
      </c>
      <c r="I2" t="s">
        <v>15</v>
      </c>
      <c r="J2" t="s">
        <v>29</v>
      </c>
      <c r="K2">
        <v>71.2</v>
      </c>
    </row>
    <row r="3" spans="1:11" x14ac:dyDescent="0.25">
      <c r="A3" s="105">
        <v>46011.861574074072</v>
      </c>
      <c r="B3" t="s">
        <v>44</v>
      </c>
      <c r="C3" t="s">
        <v>18</v>
      </c>
      <c r="D3" t="s">
        <v>42</v>
      </c>
      <c r="E3" t="s">
        <v>43</v>
      </c>
      <c r="F3">
        <v>5</v>
      </c>
      <c r="G3" t="s">
        <v>28</v>
      </c>
      <c r="H3" t="s">
        <v>39</v>
      </c>
      <c r="I3" t="s">
        <v>15</v>
      </c>
      <c r="J3" t="s">
        <v>29</v>
      </c>
      <c r="K3">
        <v>44.85</v>
      </c>
    </row>
    <row r="4" spans="1:11" x14ac:dyDescent="0.25">
      <c r="A4" s="105">
        <v>46009.747719907406</v>
      </c>
      <c r="B4" t="s">
        <v>44</v>
      </c>
      <c r="C4" t="s">
        <v>18</v>
      </c>
      <c r="D4" t="s">
        <v>26</v>
      </c>
      <c r="E4" t="s">
        <v>27</v>
      </c>
      <c r="F4">
        <v>5</v>
      </c>
      <c r="G4" t="s">
        <v>28</v>
      </c>
      <c r="H4" t="s">
        <v>39</v>
      </c>
      <c r="I4" t="s">
        <v>15</v>
      </c>
      <c r="J4" t="s">
        <v>29</v>
      </c>
      <c r="K4">
        <v>44.85</v>
      </c>
    </row>
    <row r="5" spans="1:11" x14ac:dyDescent="0.25">
      <c r="B5" t="s">
        <v>45</v>
      </c>
      <c r="F5">
        <v>0</v>
      </c>
      <c r="G5" t="s">
        <v>28</v>
      </c>
      <c r="H5" t="s">
        <v>39</v>
      </c>
      <c r="I5" t="s">
        <v>15</v>
      </c>
      <c r="J5" t="s">
        <v>37</v>
      </c>
      <c r="K5">
        <v>0</v>
      </c>
    </row>
    <row r="6" spans="1:11" x14ac:dyDescent="0.25">
      <c r="B6" t="s">
        <v>45</v>
      </c>
      <c r="F6">
        <v>0</v>
      </c>
      <c r="G6" t="s">
        <v>28</v>
      </c>
      <c r="H6" t="s">
        <v>39</v>
      </c>
      <c r="I6" t="s">
        <v>15</v>
      </c>
      <c r="J6" t="s">
        <v>21</v>
      </c>
      <c r="K6">
        <v>0</v>
      </c>
    </row>
    <row r="7" spans="1:11" x14ac:dyDescent="0.25">
      <c r="B7" t="s">
        <v>45</v>
      </c>
      <c r="F7">
        <v>1</v>
      </c>
      <c r="G7" t="s">
        <v>13</v>
      </c>
      <c r="H7" t="s">
        <v>39</v>
      </c>
      <c r="I7" t="s">
        <v>15</v>
      </c>
      <c r="J7" t="s">
        <v>37</v>
      </c>
      <c r="K7">
        <v>38</v>
      </c>
    </row>
    <row r="8" spans="1:11" x14ac:dyDescent="0.25">
      <c r="B8" t="s">
        <v>45</v>
      </c>
      <c r="F8">
        <v>1</v>
      </c>
      <c r="G8" t="s">
        <v>13</v>
      </c>
      <c r="H8" t="s">
        <v>39</v>
      </c>
      <c r="I8" t="s">
        <v>15</v>
      </c>
      <c r="J8" t="s">
        <v>16</v>
      </c>
      <c r="K8">
        <v>38</v>
      </c>
    </row>
    <row r="9" spans="1:11" x14ac:dyDescent="0.25">
      <c r="B9" t="s">
        <v>45</v>
      </c>
      <c r="F9">
        <v>3</v>
      </c>
      <c r="G9" t="s">
        <v>19</v>
      </c>
      <c r="H9" t="s">
        <v>39</v>
      </c>
      <c r="I9" t="s">
        <v>15</v>
      </c>
      <c r="J9" t="s">
        <v>16</v>
      </c>
      <c r="K9">
        <v>114</v>
      </c>
    </row>
    <row r="10" spans="1:11" x14ac:dyDescent="0.25">
      <c r="B10" t="s">
        <v>45</v>
      </c>
      <c r="F10">
        <v>0</v>
      </c>
      <c r="G10" t="s">
        <v>19</v>
      </c>
      <c r="H10" t="s">
        <v>39</v>
      </c>
      <c r="I10" t="s">
        <v>15</v>
      </c>
      <c r="J10" t="s">
        <v>21</v>
      </c>
      <c r="K10">
        <v>0</v>
      </c>
    </row>
    <row r="11" spans="1:11" x14ac:dyDescent="0.25">
      <c r="B11" t="s">
        <v>46</v>
      </c>
      <c r="F11">
        <v>0</v>
      </c>
      <c r="G11" t="s">
        <v>28</v>
      </c>
      <c r="H11" t="s">
        <v>39</v>
      </c>
      <c r="I11" t="s">
        <v>15</v>
      </c>
      <c r="J11" t="s">
        <v>37</v>
      </c>
      <c r="K11">
        <v>0</v>
      </c>
    </row>
    <row r="12" spans="1:11" x14ac:dyDescent="0.25">
      <c r="B12" t="s">
        <v>46</v>
      </c>
      <c r="F12">
        <v>0</v>
      </c>
      <c r="G12" t="s">
        <v>28</v>
      </c>
      <c r="H12" t="s">
        <v>39</v>
      </c>
      <c r="I12" t="s">
        <v>15</v>
      </c>
      <c r="J12" t="s">
        <v>21</v>
      </c>
      <c r="K12">
        <v>0</v>
      </c>
    </row>
    <row r="13" spans="1:11" x14ac:dyDescent="0.25">
      <c r="B13" t="s">
        <v>46</v>
      </c>
      <c r="F13">
        <v>3</v>
      </c>
      <c r="G13" t="s">
        <v>13</v>
      </c>
      <c r="H13" t="s">
        <v>39</v>
      </c>
      <c r="I13" t="s">
        <v>15</v>
      </c>
      <c r="J13" t="s">
        <v>37</v>
      </c>
      <c r="K13">
        <v>114</v>
      </c>
    </row>
    <row r="14" spans="1:11" x14ac:dyDescent="0.25">
      <c r="B14" t="s">
        <v>46</v>
      </c>
      <c r="F14">
        <v>3</v>
      </c>
      <c r="G14" t="s">
        <v>13</v>
      </c>
      <c r="H14" t="s">
        <v>39</v>
      </c>
      <c r="I14" t="s">
        <v>15</v>
      </c>
      <c r="J14" t="s">
        <v>16</v>
      </c>
      <c r="K14">
        <v>114</v>
      </c>
    </row>
    <row r="15" spans="1:11" x14ac:dyDescent="0.25">
      <c r="B15" t="s">
        <v>46</v>
      </c>
      <c r="F15">
        <v>7</v>
      </c>
      <c r="G15" t="s">
        <v>19</v>
      </c>
      <c r="H15" t="s">
        <v>39</v>
      </c>
      <c r="I15" t="s">
        <v>15</v>
      </c>
      <c r="J15" t="s">
        <v>16</v>
      </c>
      <c r="K15">
        <v>266</v>
      </c>
    </row>
    <row r="16" spans="1:11" x14ac:dyDescent="0.25">
      <c r="B16" t="s">
        <v>46</v>
      </c>
      <c r="F16">
        <v>0</v>
      </c>
      <c r="G16" t="s">
        <v>19</v>
      </c>
      <c r="H16" t="s">
        <v>39</v>
      </c>
      <c r="I16" t="s">
        <v>15</v>
      </c>
      <c r="J16" t="s">
        <v>21</v>
      </c>
      <c r="K16">
        <v>0</v>
      </c>
    </row>
    <row r="17" spans="2:11" x14ac:dyDescent="0.25">
      <c r="B17" t="s">
        <v>47</v>
      </c>
      <c r="F17">
        <v>0</v>
      </c>
      <c r="G17" t="s">
        <v>13</v>
      </c>
      <c r="H17" t="s">
        <v>39</v>
      </c>
      <c r="I17" t="s">
        <v>15</v>
      </c>
      <c r="J17" t="s">
        <v>16</v>
      </c>
      <c r="K17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F90CA-B26D-4367-A0DA-2855BF0C3C06}">
  <sheetPr codeName="Feuil32"/>
  <dimension ref="A1:K162"/>
  <sheetViews>
    <sheetView zoomScale="70" zoomScaleNormal="70" workbookViewId="0">
      <selection activeCell="N35" sqref="N35"/>
    </sheetView>
  </sheetViews>
  <sheetFormatPr baseColWidth="10" defaultRowHeight="15" x14ac:dyDescent="0.25"/>
  <cols>
    <col min="1" max="1" width="38.85546875" style="4" bestFit="1" customWidth="1"/>
    <col min="2" max="2" width="27.28515625" style="4" bestFit="1" customWidth="1"/>
    <col min="3" max="3" width="35.28515625" style="4" bestFit="1" customWidth="1"/>
    <col min="4" max="4" width="22.42578125" style="4" bestFit="1" customWidth="1"/>
    <col min="5" max="5" width="29.5703125" style="4" bestFit="1" customWidth="1"/>
    <col min="6" max="6" width="12.140625" style="4" bestFit="1" customWidth="1"/>
    <col min="7" max="7" width="17.28515625" style="4" bestFit="1" customWidth="1"/>
    <col min="8" max="8" width="12.42578125" style="4" bestFit="1" customWidth="1"/>
    <col min="9" max="9" width="14.85546875" style="4" bestFit="1" customWidth="1"/>
    <col min="10" max="10" width="16.42578125" style="4" bestFit="1" customWidth="1"/>
    <col min="11" max="11" width="14.28515625" style="4" bestFit="1" customWidth="1"/>
  </cols>
  <sheetData>
    <row r="1" spans="1:11" x14ac:dyDescent="0.2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</row>
    <row r="2" spans="1:11" x14ac:dyDescent="0.25">
      <c r="A2" s="132">
        <v>46279.106145833335</v>
      </c>
      <c r="B2" s="4" t="s">
        <v>12</v>
      </c>
      <c r="C2" s="4" t="s">
        <v>201</v>
      </c>
      <c r="D2" s="4" t="s">
        <v>207</v>
      </c>
      <c r="E2" s="4" t="s">
        <v>208</v>
      </c>
      <c r="F2" s="4">
        <v>10</v>
      </c>
      <c r="G2" s="4" t="s">
        <v>19</v>
      </c>
      <c r="H2" s="4" t="s">
        <v>14</v>
      </c>
      <c r="I2" s="4" t="s">
        <v>15</v>
      </c>
      <c r="J2" s="4" t="s">
        <v>16</v>
      </c>
      <c r="K2" s="133">
        <v>136.69999999999999</v>
      </c>
    </row>
    <row r="3" spans="1:11" x14ac:dyDescent="0.25">
      <c r="A3" s="132">
        <v>46279.344085648147</v>
      </c>
      <c r="B3" s="4" t="s">
        <v>240</v>
      </c>
      <c r="C3" s="4" t="s">
        <v>241</v>
      </c>
      <c r="D3" s="4" t="s">
        <v>283</v>
      </c>
      <c r="E3" s="4" t="s">
        <v>284</v>
      </c>
      <c r="F3" s="4">
        <v>5</v>
      </c>
      <c r="G3" s="4" t="s">
        <v>32</v>
      </c>
      <c r="H3" s="4" t="s">
        <v>14</v>
      </c>
      <c r="I3" s="4" t="s">
        <v>15</v>
      </c>
      <c r="J3" s="4" t="s">
        <v>34</v>
      </c>
      <c r="K3" s="133">
        <v>40</v>
      </c>
    </row>
    <row r="4" spans="1:11" x14ac:dyDescent="0.25">
      <c r="A4" s="132">
        <v>46279.344363425924</v>
      </c>
      <c r="B4" s="4" t="s">
        <v>23</v>
      </c>
      <c r="C4" s="4" t="s">
        <v>24</v>
      </c>
      <c r="D4" s="4" t="s">
        <v>283</v>
      </c>
      <c r="E4" s="4" t="s">
        <v>284</v>
      </c>
      <c r="F4" s="4">
        <v>10</v>
      </c>
      <c r="G4" s="4" t="s">
        <v>32</v>
      </c>
      <c r="H4" s="4" t="s">
        <v>14</v>
      </c>
      <c r="I4" s="4" t="s">
        <v>15</v>
      </c>
      <c r="J4" s="4" t="s">
        <v>34</v>
      </c>
      <c r="K4" s="133">
        <v>71.2</v>
      </c>
    </row>
    <row r="5" spans="1:11" x14ac:dyDescent="0.25">
      <c r="A5" s="132">
        <v>46279.344606481478</v>
      </c>
      <c r="B5" s="4" t="s">
        <v>22</v>
      </c>
      <c r="C5" s="4" t="s">
        <v>202</v>
      </c>
      <c r="D5" s="4" t="s">
        <v>283</v>
      </c>
      <c r="E5" s="4" t="s">
        <v>284</v>
      </c>
      <c r="F5" s="4">
        <v>10</v>
      </c>
      <c r="G5" s="4" t="s">
        <v>32</v>
      </c>
      <c r="H5" s="4" t="s">
        <v>33</v>
      </c>
      <c r="I5" s="4" t="s">
        <v>15</v>
      </c>
      <c r="J5" s="4" t="s">
        <v>34</v>
      </c>
      <c r="K5" s="133">
        <v>70</v>
      </c>
    </row>
    <row r="6" spans="1:11" x14ac:dyDescent="0.25">
      <c r="A6" s="132">
        <v>46279.344930555555</v>
      </c>
      <c r="B6" s="4" t="s">
        <v>23</v>
      </c>
      <c r="C6" s="4" t="s">
        <v>24</v>
      </c>
      <c r="D6" s="4" t="s">
        <v>283</v>
      </c>
      <c r="E6" s="4" t="s">
        <v>284</v>
      </c>
      <c r="F6" s="4">
        <v>10</v>
      </c>
      <c r="G6" s="4" t="s">
        <v>32</v>
      </c>
      <c r="H6" s="4" t="s">
        <v>39</v>
      </c>
      <c r="I6" s="4" t="s">
        <v>15</v>
      </c>
      <c r="J6" s="4" t="s">
        <v>34</v>
      </c>
      <c r="K6" s="133">
        <v>71.2</v>
      </c>
    </row>
    <row r="7" spans="1:11" x14ac:dyDescent="0.25">
      <c r="A7" s="132">
        <v>46279.345300925925</v>
      </c>
      <c r="B7" s="4" t="s">
        <v>22</v>
      </c>
      <c r="C7" s="4" t="s">
        <v>202</v>
      </c>
      <c r="D7" s="4" t="s">
        <v>283</v>
      </c>
      <c r="E7" s="4" t="s">
        <v>284</v>
      </c>
      <c r="F7" s="4">
        <v>10</v>
      </c>
      <c r="G7" s="4" t="s">
        <v>32</v>
      </c>
      <c r="H7" s="4" t="s">
        <v>38</v>
      </c>
      <c r="I7" s="4" t="s">
        <v>15</v>
      </c>
      <c r="J7" s="4" t="s">
        <v>34</v>
      </c>
      <c r="K7" s="133">
        <v>70</v>
      </c>
    </row>
    <row r="8" spans="1:11" x14ac:dyDescent="0.25">
      <c r="A8" s="132">
        <v>46279.589525462965</v>
      </c>
      <c r="B8" s="4" t="s">
        <v>12</v>
      </c>
      <c r="C8" s="4" t="s">
        <v>201</v>
      </c>
      <c r="D8" s="4" t="s">
        <v>288</v>
      </c>
      <c r="E8" s="4" t="s">
        <v>289</v>
      </c>
      <c r="F8" s="4">
        <v>10</v>
      </c>
      <c r="G8" s="4" t="s">
        <v>19</v>
      </c>
      <c r="H8" s="4" t="s">
        <v>14</v>
      </c>
      <c r="I8" s="4" t="s">
        <v>15</v>
      </c>
      <c r="J8" s="4" t="s">
        <v>16</v>
      </c>
      <c r="K8" s="133">
        <v>136.69999999999999</v>
      </c>
    </row>
    <row r="9" spans="1:11" x14ac:dyDescent="0.25">
      <c r="A9" s="132">
        <v>46279.589826388888</v>
      </c>
      <c r="B9" s="4" t="s">
        <v>22</v>
      </c>
      <c r="C9" s="4" t="s">
        <v>202</v>
      </c>
      <c r="D9" s="4" t="s">
        <v>288</v>
      </c>
      <c r="E9" s="4" t="s">
        <v>289</v>
      </c>
      <c r="F9" s="4">
        <v>10</v>
      </c>
      <c r="G9" s="4" t="s">
        <v>19</v>
      </c>
      <c r="H9" s="4" t="s">
        <v>14</v>
      </c>
      <c r="I9" s="4" t="s">
        <v>15</v>
      </c>
      <c r="J9" s="4" t="s">
        <v>16</v>
      </c>
      <c r="K9" s="133">
        <v>70</v>
      </c>
    </row>
    <row r="10" spans="1:11" x14ac:dyDescent="0.25">
      <c r="A10" s="132">
        <v>46279.613969907405</v>
      </c>
      <c r="B10" s="4" t="s">
        <v>22</v>
      </c>
      <c r="C10" s="4" t="s">
        <v>202</v>
      </c>
      <c r="D10" s="4" t="s">
        <v>290</v>
      </c>
      <c r="E10" s="4" t="s">
        <v>291</v>
      </c>
      <c r="F10" s="4">
        <v>10</v>
      </c>
      <c r="G10" s="4" t="s">
        <v>32</v>
      </c>
      <c r="H10" s="4" t="s">
        <v>33</v>
      </c>
      <c r="I10" s="4" t="s">
        <v>15</v>
      </c>
      <c r="J10" s="4" t="s">
        <v>34</v>
      </c>
      <c r="K10" s="133">
        <v>70</v>
      </c>
    </row>
    <row r="11" spans="1:11" x14ac:dyDescent="0.25">
      <c r="A11" s="132">
        <v>46279.726678240739</v>
      </c>
      <c r="B11" s="4" t="s">
        <v>17</v>
      </c>
      <c r="C11" s="4" t="s">
        <v>18</v>
      </c>
      <c r="D11" s="4" t="s">
        <v>288</v>
      </c>
      <c r="E11" s="4" t="s">
        <v>289</v>
      </c>
      <c r="F11" s="4">
        <v>5</v>
      </c>
      <c r="G11" s="4" t="s">
        <v>19</v>
      </c>
      <c r="H11" s="4" t="s">
        <v>20</v>
      </c>
      <c r="I11" s="4" t="s">
        <v>15</v>
      </c>
      <c r="J11" s="4" t="s">
        <v>16</v>
      </c>
      <c r="K11" s="133">
        <v>47.8</v>
      </c>
    </row>
    <row r="12" spans="1:11" x14ac:dyDescent="0.25">
      <c r="A12" s="132">
        <v>46279.897719907407</v>
      </c>
      <c r="B12" s="4" t="s">
        <v>22</v>
      </c>
      <c r="C12" s="4" t="s">
        <v>202</v>
      </c>
      <c r="D12" s="4" t="s">
        <v>242</v>
      </c>
      <c r="E12" s="4" t="s">
        <v>243</v>
      </c>
      <c r="F12" s="4">
        <v>10</v>
      </c>
      <c r="G12" s="4" t="s">
        <v>32</v>
      </c>
      <c r="H12" s="4" t="s">
        <v>39</v>
      </c>
      <c r="I12" s="4" t="s">
        <v>15</v>
      </c>
      <c r="J12" s="4" t="s">
        <v>34</v>
      </c>
      <c r="K12" s="133">
        <v>70</v>
      </c>
    </row>
    <row r="13" spans="1:11" x14ac:dyDescent="0.25">
      <c r="A13" s="132">
        <v>46279.897962962961</v>
      </c>
      <c r="B13" s="4" t="s">
        <v>25</v>
      </c>
      <c r="C13" s="4" t="s">
        <v>201</v>
      </c>
      <c r="D13" s="4" t="s">
        <v>242</v>
      </c>
      <c r="E13" s="4" t="s">
        <v>243</v>
      </c>
      <c r="F13" s="4">
        <v>10</v>
      </c>
      <c r="G13" s="4" t="s">
        <v>32</v>
      </c>
      <c r="H13" s="4" t="s">
        <v>33</v>
      </c>
      <c r="I13" s="4" t="s">
        <v>15</v>
      </c>
      <c r="J13" s="4" t="s">
        <v>34</v>
      </c>
      <c r="K13" s="133">
        <v>108.5</v>
      </c>
    </row>
    <row r="14" spans="1:11" x14ac:dyDescent="0.25">
      <c r="A14" s="132">
        <v>46279.915532407409</v>
      </c>
      <c r="B14" s="4" t="s">
        <v>17</v>
      </c>
      <c r="C14" s="4" t="s">
        <v>18</v>
      </c>
      <c r="D14" s="4" t="s">
        <v>292</v>
      </c>
      <c r="E14" s="4" t="s">
        <v>293</v>
      </c>
      <c r="F14" s="4">
        <v>5</v>
      </c>
      <c r="G14" s="4" t="s">
        <v>19</v>
      </c>
      <c r="H14" s="4" t="s">
        <v>20</v>
      </c>
      <c r="I14" s="4" t="s">
        <v>15</v>
      </c>
      <c r="J14" s="4" t="s">
        <v>16</v>
      </c>
      <c r="K14" s="133">
        <v>47.8</v>
      </c>
    </row>
    <row r="15" spans="1:11" x14ac:dyDescent="0.25">
      <c r="A15" s="132">
        <v>46279.915706018517</v>
      </c>
      <c r="B15" s="4" t="s">
        <v>35</v>
      </c>
      <c r="C15" s="4" t="s">
        <v>205</v>
      </c>
      <c r="D15" s="4" t="s">
        <v>292</v>
      </c>
      <c r="E15" s="4" t="s">
        <v>293</v>
      </c>
      <c r="F15" s="4">
        <v>10</v>
      </c>
      <c r="G15" s="4" t="s">
        <v>19</v>
      </c>
      <c r="H15" s="4" t="s">
        <v>20</v>
      </c>
      <c r="I15" s="4" t="s">
        <v>15</v>
      </c>
      <c r="J15" s="4" t="s">
        <v>16</v>
      </c>
      <c r="K15" s="133">
        <v>118.7</v>
      </c>
    </row>
    <row r="16" spans="1:11" x14ac:dyDescent="0.25">
      <c r="A16" s="132">
        <v>46279.915891203702</v>
      </c>
      <c r="B16" s="4" t="s">
        <v>22</v>
      </c>
      <c r="C16" s="4" t="s">
        <v>202</v>
      </c>
      <c r="D16" s="4" t="s">
        <v>292</v>
      </c>
      <c r="E16" s="4" t="s">
        <v>293</v>
      </c>
      <c r="F16" s="4">
        <v>10</v>
      </c>
      <c r="G16" s="4" t="s">
        <v>19</v>
      </c>
      <c r="H16" s="4" t="s">
        <v>20</v>
      </c>
      <c r="I16" s="4" t="s">
        <v>15</v>
      </c>
      <c r="J16" s="4" t="s">
        <v>16</v>
      </c>
      <c r="K16" s="133">
        <v>70</v>
      </c>
    </row>
    <row r="17" spans="1:11" x14ac:dyDescent="0.25">
      <c r="A17" s="132">
        <v>46279.997800925928</v>
      </c>
      <c r="B17" s="4" t="s">
        <v>36</v>
      </c>
      <c r="C17" s="4" t="s">
        <v>204</v>
      </c>
      <c r="D17" s="4" t="s">
        <v>30</v>
      </c>
      <c r="E17" s="4" t="s">
        <v>31</v>
      </c>
      <c r="F17" s="4">
        <v>10</v>
      </c>
      <c r="G17" s="4" t="s">
        <v>13</v>
      </c>
      <c r="H17" s="4" t="s">
        <v>20</v>
      </c>
      <c r="I17" s="4" t="s">
        <v>15</v>
      </c>
      <c r="J17" s="4" t="s">
        <v>37</v>
      </c>
      <c r="K17" s="133">
        <v>87</v>
      </c>
    </row>
    <row r="18" spans="1:11" x14ac:dyDescent="0.25">
      <c r="A18" s="132">
        <v>46280.008738425924</v>
      </c>
      <c r="B18" s="4" t="s">
        <v>240</v>
      </c>
      <c r="C18" s="4" t="s">
        <v>241</v>
      </c>
      <c r="D18" s="4" t="s">
        <v>212</v>
      </c>
      <c r="E18" s="4" t="s">
        <v>213</v>
      </c>
      <c r="F18" s="4">
        <v>5</v>
      </c>
      <c r="G18" s="4" t="s">
        <v>32</v>
      </c>
      <c r="H18" s="4" t="s">
        <v>14</v>
      </c>
      <c r="I18" s="4" t="s">
        <v>15</v>
      </c>
      <c r="J18" s="4" t="s">
        <v>34</v>
      </c>
      <c r="K18" s="133">
        <v>40</v>
      </c>
    </row>
    <row r="19" spans="1:11" x14ac:dyDescent="0.25">
      <c r="A19" s="132">
        <v>46280.060925925929</v>
      </c>
      <c r="B19" s="4" t="s">
        <v>12</v>
      </c>
      <c r="C19" s="4" t="s">
        <v>201</v>
      </c>
      <c r="D19" s="4" t="s">
        <v>30</v>
      </c>
      <c r="E19" s="4" t="s">
        <v>31</v>
      </c>
      <c r="F19" s="4">
        <v>10</v>
      </c>
      <c r="G19" s="4" t="s">
        <v>28</v>
      </c>
      <c r="H19" s="4" t="s">
        <v>14</v>
      </c>
      <c r="I19" s="4" t="s">
        <v>15</v>
      </c>
      <c r="J19" s="4" t="s">
        <v>37</v>
      </c>
      <c r="K19" s="133">
        <v>136.69999999999999</v>
      </c>
    </row>
    <row r="20" spans="1:11" x14ac:dyDescent="0.25">
      <c r="A20" s="132">
        <v>46280.102650462963</v>
      </c>
      <c r="B20" s="4" t="s">
        <v>12</v>
      </c>
      <c r="C20" s="4" t="s">
        <v>201</v>
      </c>
      <c r="D20" s="4" t="s">
        <v>292</v>
      </c>
      <c r="E20" s="4" t="s">
        <v>293</v>
      </c>
      <c r="F20" s="4">
        <v>10</v>
      </c>
      <c r="G20" s="4" t="s">
        <v>19</v>
      </c>
      <c r="H20" s="4" t="s">
        <v>14</v>
      </c>
      <c r="I20" s="4" t="s">
        <v>15</v>
      </c>
      <c r="J20" s="4" t="s">
        <v>16</v>
      </c>
      <c r="K20" s="133">
        <v>136.69999999999999</v>
      </c>
    </row>
    <row r="21" spans="1:11" x14ac:dyDescent="0.25">
      <c r="A21" s="132">
        <v>46280.209699074076</v>
      </c>
      <c r="B21" s="4" t="s">
        <v>25</v>
      </c>
      <c r="C21" s="4" t="s">
        <v>201</v>
      </c>
      <c r="D21" s="4" t="s">
        <v>215</v>
      </c>
      <c r="E21" s="4" t="s">
        <v>203</v>
      </c>
      <c r="F21" s="4">
        <v>10</v>
      </c>
      <c r="G21" s="4" t="s">
        <v>32</v>
      </c>
      <c r="H21" s="4" t="s">
        <v>33</v>
      </c>
      <c r="I21" s="4" t="s">
        <v>15</v>
      </c>
      <c r="J21" s="4" t="s">
        <v>34</v>
      </c>
      <c r="K21" s="133">
        <v>108.5</v>
      </c>
    </row>
    <row r="22" spans="1:11" x14ac:dyDescent="0.25">
      <c r="A22" s="132">
        <v>46280.209872685184</v>
      </c>
      <c r="B22" s="4" t="s">
        <v>22</v>
      </c>
      <c r="C22" s="4" t="s">
        <v>202</v>
      </c>
      <c r="D22" s="4" t="s">
        <v>215</v>
      </c>
      <c r="E22" s="4" t="s">
        <v>203</v>
      </c>
      <c r="F22" s="4">
        <v>10</v>
      </c>
      <c r="G22" s="4" t="s">
        <v>32</v>
      </c>
      <c r="H22" s="4" t="s">
        <v>33</v>
      </c>
      <c r="I22" s="4" t="s">
        <v>15</v>
      </c>
      <c r="J22" s="4" t="s">
        <v>34</v>
      </c>
      <c r="K22" s="133">
        <v>70</v>
      </c>
    </row>
    <row r="23" spans="1:11" x14ac:dyDescent="0.25">
      <c r="A23" s="132">
        <v>46280.210034722222</v>
      </c>
      <c r="B23" s="4" t="s">
        <v>23</v>
      </c>
      <c r="C23" s="4" t="s">
        <v>24</v>
      </c>
      <c r="D23" s="4" t="s">
        <v>215</v>
      </c>
      <c r="E23" s="4" t="s">
        <v>203</v>
      </c>
      <c r="F23" s="4">
        <v>10</v>
      </c>
      <c r="G23" s="4" t="s">
        <v>32</v>
      </c>
      <c r="H23" s="4" t="s">
        <v>33</v>
      </c>
      <c r="I23" s="4" t="s">
        <v>15</v>
      </c>
      <c r="J23" s="4" t="s">
        <v>34</v>
      </c>
      <c r="K23" s="133">
        <v>71.2</v>
      </c>
    </row>
    <row r="24" spans="1:11" x14ac:dyDescent="0.25">
      <c r="A24" s="132">
        <v>46280.299849537034</v>
      </c>
      <c r="B24" s="4" t="s">
        <v>17</v>
      </c>
      <c r="C24" s="4" t="s">
        <v>18</v>
      </c>
      <c r="D24" s="4" t="s">
        <v>26</v>
      </c>
      <c r="E24" s="4" t="s">
        <v>27</v>
      </c>
      <c r="F24" s="4">
        <v>5</v>
      </c>
      <c r="G24" s="4" t="s">
        <v>19</v>
      </c>
      <c r="H24" s="4" t="s">
        <v>20</v>
      </c>
      <c r="I24" s="4" t="s">
        <v>15</v>
      </c>
      <c r="J24" s="4" t="s">
        <v>16</v>
      </c>
      <c r="K24" s="133">
        <v>47.8</v>
      </c>
    </row>
    <row r="25" spans="1:11" x14ac:dyDescent="0.25">
      <c r="A25" s="132">
        <v>46280.3</v>
      </c>
      <c r="B25" s="4" t="s">
        <v>17</v>
      </c>
      <c r="C25" s="4" t="s">
        <v>18</v>
      </c>
      <c r="D25" s="4" t="s">
        <v>26</v>
      </c>
      <c r="E25" s="4" t="s">
        <v>27</v>
      </c>
      <c r="F25" s="4">
        <v>5</v>
      </c>
      <c r="G25" s="4" t="s">
        <v>19</v>
      </c>
      <c r="H25" s="4" t="s">
        <v>20</v>
      </c>
      <c r="I25" s="4" t="s">
        <v>15</v>
      </c>
      <c r="J25" s="4" t="s">
        <v>16</v>
      </c>
      <c r="K25" s="133">
        <v>47.8</v>
      </c>
    </row>
    <row r="26" spans="1:11" x14ac:dyDescent="0.25">
      <c r="A26" s="132">
        <v>46280.371469907404</v>
      </c>
      <c r="B26" s="4" t="s">
        <v>22</v>
      </c>
      <c r="C26" s="4" t="s">
        <v>202</v>
      </c>
      <c r="D26" s="4" t="s">
        <v>215</v>
      </c>
      <c r="E26" s="4" t="s">
        <v>203</v>
      </c>
      <c r="F26" s="4">
        <v>10</v>
      </c>
      <c r="G26" s="4" t="s">
        <v>32</v>
      </c>
      <c r="H26" s="4" t="s">
        <v>33</v>
      </c>
      <c r="I26" s="4" t="s">
        <v>15</v>
      </c>
      <c r="J26" s="4" t="s">
        <v>34</v>
      </c>
      <c r="K26" s="133">
        <v>70</v>
      </c>
    </row>
    <row r="27" spans="1:11" x14ac:dyDescent="0.25">
      <c r="A27" s="132">
        <v>46280.400833333333</v>
      </c>
      <c r="B27" s="4" t="s">
        <v>17</v>
      </c>
      <c r="C27" s="4" t="s">
        <v>18</v>
      </c>
      <c r="D27" s="4" t="s">
        <v>236</v>
      </c>
      <c r="E27" s="4" t="s">
        <v>237</v>
      </c>
      <c r="F27" s="4">
        <v>5</v>
      </c>
      <c r="G27" s="4" t="s">
        <v>28</v>
      </c>
      <c r="H27" s="4" t="s">
        <v>20</v>
      </c>
      <c r="I27" s="4" t="s">
        <v>15</v>
      </c>
      <c r="J27" s="4" t="s">
        <v>29</v>
      </c>
      <c r="K27" s="133">
        <v>47.8</v>
      </c>
    </row>
    <row r="28" spans="1:11" x14ac:dyDescent="0.25">
      <c r="A28" s="132">
        <v>46280.401006944441</v>
      </c>
      <c r="B28" s="4" t="s">
        <v>12</v>
      </c>
      <c r="C28" s="4" t="s">
        <v>201</v>
      </c>
      <c r="D28" s="4" t="s">
        <v>236</v>
      </c>
      <c r="E28" s="4" t="s">
        <v>237</v>
      </c>
      <c r="F28" s="4">
        <v>10</v>
      </c>
      <c r="G28" s="4" t="s">
        <v>28</v>
      </c>
      <c r="H28" s="4" t="s">
        <v>14</v>
      </c>
      <c r="I28" s="4" t="s">
        <v>15</v>
      </c>
      <c r="J28" s="4" t="s">
        <v>29</v>
      </c>
      <c r="K28" s="133">
        <v>136.69999999999999</v>
      </c>
    </row>
    <row r="29" spans="1:11" x14ac:dyDescent="0.25">
      <c r="A29" s="132">
        <v>46280.428287037037</v>
      </c>
      <c r="B29" s="4" t="s">
        <v>35</v>
      </c>
      <c r="C29" s="4" t="s">
        <v>205</v>
      </c>
      <c r="D29" s="4" t="s">
        <v>236</v>
      </c>
      <c r="E29" s="4" t="s">
        <v>237</v>
      </c>
      <c r="F29" s="4">
        <v>10</v>
      </c>
      <c r="G29" s="4" t="s">
        <v>13</v>
      </c>
      <c r="H29" s="4" t="s">
        <v>20</v>
      </c>
      <c r="I29" s="4" t="s">
        <v>15</v>
      </c>
      <c r="J29" s="4" t="s">
        <v>37</v>
      </c>
      <c r="K29" s="133">
        <v>118.7</v>
      </c>
    </row>
    <row r="30" spans="1:11" x14ac:dyDescent="0.25">
      <c r="A30" s="132">
        <v>46280.428587962961</v>
      </c>
      <c r="B30" s="4" t="s">
        <v>36</v>
      </c>
      <c r="C30" s="4" t="s">
        <v>204</v>
      </c>
      <c r="D30" s="4" t="s">
        <v>236</v>
      </c>
      <c r="E30" s="4" t="s">
        <v>237</v>
      </c>
      <c r="F30" s="4">
        <v>10</v>
      </c>
      <c r="G30" s="4" t="s">
        <v>13</v>
      </c>
      <c r="H30" s="4" t="s">
        <v>20</v>
      </c>
      <c r="I30" s="4" t="s">
        <v>15</v>
      </c>
      <c r="J30" s="4" t="s">
        <v>37</v>
      </c>
      <c r="K30" s="133">
        <v>87</v>
      </c>
    </row>
    <row r="31" spans="1:11" x14ac:dyDescent="0.25">
      <c r="A31" s="132">
        <v>46280.694108796299</v>
      </c>
      <c r="B31" s="4" t="s">
        <v>22</v>
      </c>
      <c r="C31" s="4" t="s">
        <v>202</v>
      </c>
      <c r="D31" s="4" t="s">
        <v>290</v>
      </c>
      <c r="E31" s="4" t="s">
        <v>291</v>
      </c>
      <c r="F31" s="4">
        <v>10</v>
      </c>
      <c r="G31" s="4" t="s">
        <v>32</v>
      </c>
      <c r="H31" s="4" t="s">
        <v>33</v>
      </c>
      <c r="I31" s="4" t="s">
        <v>15</v>
      </c>
      <c r="J31" s="4" t="s">
        <v>34</v>
      </c>
      <c r="K31" s="133">
        <v>70</v>
      </c>
    </row>
    <row r="32" spans="1:11" x14ac:dyDescent="0.25">
      <c r="A32" s="132">
        <v>46280.789340277777</v>
      </c>
      <c r="B32" s="4" t="s">
        <v>36</v>
      </c>
      <c r="C32" s="4" t="s">
        <v>204</v>
      </c>
      <c r="D32" s="4" t="s">
        <v>288</v>
      </c>
      <c r="E32" s="4" t="s">
        <v>289</v>
      </c>
      <c r="F32" s="4">
        <v>10</v>
      </c>
      <c r="G32" s="4" t="s">
        <v>13</v>
      </c>
      <c r="H32" s="4" t="s">
        <v>20</v>
      </c>
      <c r="I32" s="4" t="s">
        <v>15</v>
      </c>
      <c r="J32" s="4" t="s">
        <v>160</v>
      </c>
      <c r="K32" s="133">
        <v>87</v>
      </c>
    </row>
    <row r="33" spans="1:11" x14ac:dyDescent="0.25">
      <c r="A33" s="132">
        <v>46280.880601851852</v>
      </c>
      <c r="B33" s="4" t="s">
        <v>17</v>
      </c>
      <c r="C33" s="4" t="s">
        <v>18</v>
      </c>
      <c r="D33" s="4" t="s">
        <v>212</v>
      </c>
      <c r="E33" s="4" t="s">
        <v>213</v>
      </c>
      <c r="F33" s="4">
        <v>5</v>
      </c>
      <c r="G33" s="4" t="s">
        <v>32</v>
      </c>
      <c r="H33" s="4" t="s">
        <v>38</v>
      </c>
      <c r="I33" s="4" t="s">
        <v>15</v>
      </c>
      <c r="J33" s="4" t="s">
        <v>34</v>
      </c>
      <c r="K33" s="133">
        <v>47.8</v>
      </c>
    </row>
    <row r="34" spans="1:11" x14ac:dyDescent="0.25">
      <c r="A34" s="132">
        <v>46280.880914351852</v>
      </c>
      <c r="B34" s="4" t="s">
        <v>240</v>
      </c>
      <c r="C34" s="4" t="s">
        <v>241</v>
      </c>
      <c r="D34" s="4" t="s">
        <v>212</v>
      </c>
      <c r="E34" s="4" t="s">
        <v>213</v>
      </c>
      <c r="F34" s="4">
        <v>5</v>
      </c>
      <c r="G34" s="4" t="s">
        <v>32</v>
      </c>
      <c r="H34" s="4" t="s">
        <v>14</v>
      </c>
      <c r="I34" s="4" t="s">
        <v>15</v>
      </c>
      <c r="J34" s="4" t="s">
        <v>34</v>
      </c>
      <c r="K34" s="133">
        <v>40</v>
      </c>
    </row>
    <row r="35" spans="1:11" x14ac:dyDescent="0.25">
      <c r="A35" s="132">
        <v>46280.883067129631</v>
      </c>
      <c r="B35" s="4" t="s">
        <v>12</v>
      </c>
      <c r="C35" s="4" t="s">
        <v>201</v>
      </c>
      <c r="D35" s="4" t="s">
        <v>30</v>
      </c>
      <c r="E35" s="4" t="s">
        <v>31</v>
      </c>
      <c r="F35" s="4">
        <v>10</v>
      </c>
      <c r="G35" s="4" t="s">
        <v>19</v>
      </c>
      <c r="H35" s="4" t="s">
        <v>14</v>
      </c>
      <c r="I35" s="4" t="s">
        <v>15</v>
      </c>
      <c r="J35" s="4" t="s">
        <v>16</v>
      </c>
      <c r="K35" s="133">
        <v>136.69999999999999</v>
      </c>
    </row>
    <row r="36" spans="1:11" x14ac:dyDescent="0.25">
      <c r="A36" s="132">
        <v>46280.883194444446</v>
      </c>
      <c r="B36" s="4" t="s">
        <v>17</v>
      </c>
      <c r="C36" s="4" t="s">
        <v>18</v>
      </c>
      <c r="D36" s="4" t="s">
        <v>30</v>
      </c>
      <c r="E36" s="4" t="s">
        <v>31</v>
      </c>
      <c r="F36" s="4">
        <v>5</v>
      </c>
      <c r="G36" s="4" t="s">
        <v>19</v>
      </c>
      <c r="H36" s="4" t="s">
        <v>20</v>
      </c>
      <c r="I36" s="4" t="s">
        <v>15</v>
      </c>
      <c r="J36" s="4" t="s">
        <v>16</v>
      </c>
      <c r="K36" s="133">
        <v>47.8</v>
      </c>
    </row>
    <row r="37" spans="1:11" x14ac:dyDescent="0.25">
      <c r="A37" s="132">
        <v>46280.883842592593</v>
      </c>
      <c r="B37" s="4" t="s">
        <v>22</v>
      </c>
      <c r="C37" s="4" t="s">
        <v>202</v>
      </c>
      <c r="D37" s="4" t="s">
        <v>242</v>
      </c>
      <c r="E37" s="4" t="s">
        <v>243</v>
      </c>
      <c r="F37" s="4">
        <v>10</v>
      </c>
      <c r="G37" s="4" t="s">
        <v>32</v>
      </c>
      <c r="H37" s="4" t="s">
        <v>33</v>
      </c>
      <c r="I37" s="4" t="s">
        <v>15</v>
      </c>
      <c r="J37" s="4" t="s">
        <v>34</v>
      </c>
      <c r="K37" s="133">
        <v>70</v>
      </c>
    </row>
    <row r="38" spans="1:11" x14ac:dyDescent="0.25">
      <c r="A38" s="132">
        <v>46280.884050925924</v>
      </c>
      <c r="B38" s="4" t="s">
        <v>23</v>
      </c>
      <c r="C38" s="4" t="s">
        <v>24</v>
      </c>
      <c r="D38" s="4" t="s">
        <v>242</v>
      </c>
      <c r="E38" s="4" t="s">
        <v>243</v>
      </c>
      <c r="F38" s="4">
        <v>10</v>
      </c>
      <c r="G38" s="4" t="s">
        <v>32</v>
      </c>
      <c r="H38" s="4" t="s">
        <v>39</v>
      </c>
      <c r="I38" s="4" t="s">
        <v>15</v>
      </c>
      <c r="J38" s="4" t="s">
        <v>34</v>
      </c>
      <c r="K38" s="133">
        <v>71.2</v>
      </c>
    </row>
    <row r="39" spans="1:11" x14ac:dyDescent="0.25">
      <c r="A39" s="132">
        <v>46280.947106481479</v>
      </c>
      <c r="B39" s="4" t="s">
        <v>35</v>
      </c>
      <c r="C39" s="4" t="s">
        <v>205</v>
      </c>
      <c r="D39" s="4" t="s">
        <v>30</v>
      </c>
      <c r="E39" s="4" t="s">
        <v>31</v>
      </c>
      <c r="F39" s="4">
        <v>10</v>
      </c>
      <c r="G39" s="4" t="s">
        <v>19</v>
      </c>
      <c r="H39" s="4" t="s">
        <v>20</v>
      </c>
      <c r="I39" s="4" t="s">
        <v>15</v>
      </c>
      <c r="J39" s="4" t="s">
        <v>16</v>
      </c>
      <c r="K39" s="133">
        <v>118.7</v>
      </c>
    </row>
    <row r="40" spans="1:11" x14ac:dyDescent="0.25">
      <c r="A40" s="132">
        <v>46281.075312499997</v>
      </c>
      <c r="B40" s="4" t="s">
        <v>17</v>
      </c>
      <c r="C40" s="4" t="s">
        <v>18</v>
      </c>
      <c r="D40" s="4" t="s">
        <v>30</v>
      </c>
      <c r="E40" s="4" t="s">
        <v>31</v>
      </c>
      <c r="F40" s="4">
        <v>5</v>
      </c>
      <c r="G40" s="4" t="s">
        <v>19</v>
      </c>
      <c r="H40" s="4" t="s">
        <v>20</v>
      </c>
      <c r="I40" s="4" t="s">
        <v>15</v>
      </c>
      <c r="J40" s="4" t="s">
        <v>16</v>
      </c>
      <c r="K40" s="133">
        <v>47.8</v>
      </c>
    </row>
    <row r="41" spans="1:11" x14ac:dyDescent="0.25">
      <c r="A41" s="132">
        <v>46281.248067129629</v>
      </c>
      <c r="B41" s="4" t="s">
        <v>240</v>
      </c>
      <c r="C41" s="4" t="s">
        <v>241</v>
      </c>
      <c r="D41" s="4" t="s">
        <v>283</v>
      </c>
      <c r="E41" s="4" t="s">
        <v>284</v>
      </c>
      <c r="F41" s="4">
        <v>5</v>
      </c>
      <c r="G41" s="4" t="s">
        <v>32</v>
      </c>
      <c r="H41" s="4" t="s">
        <v>14</v>
      </c>
      <c r="I41" s="4" t="s">
        <v>15</v>
      </c>
      <c r="J41" s="4" t="s">
        <v>34</v>
      </c>
      <c r="K41" s="133">
        <v>40</v>
      </c>
    </row>
    <row r="42" spans="1:11" x14ac:dyDescent="0.25">
      <c r="A42" s="132">
        <v>46281.403275462966</v>
      </c>
      <c r="B42" s="4" t="s">
        <v>40</v>
      </c>
      <c r="C42" s="4" t="s">
        <v>209</v>
      </c>
      <c r="D42" s="4" t="s">
        <v>236</v>
      </c>
      <c r="E42" s="4" t="s">
        <v>237</v>
      </c>
      <c r="F42" s="4">
        <v>10</v>
      </c>
      <c r="G42" s="4" t="s">
        <v>13</v>
      </c>
      <c r="H42" s="4" t="s">
        <v>14</v>
      </c>
      <c r="I42" s="4" t="s">
        <v>15</v>
      </c>
      <c r="J42" s="4" t="s">
        <v>37</v>
      </c>
      <c r="K42" s="133">
        <v>188</v>
      </c>
    </row>
    <row r="43" spans="1:11" x14ac:dyDescent="0.25">
      <c r="A43" s="132">
        <v>46281.438796296294</v>
      </c>
      <c r="B43" s="4" t="s">
        <v>44</v>
      </c>
      <c r="C43" s="4" t="s">
        <v>18</v>
      </c>
      <c r="D43" s="4" t="s">
        <v>236</v>
      </c>
      <c r="E43" s="4" t="s">
        <v>237</v>
      </c>
      <c r="F43" s="4">
        <v>5</v>
      </c>
      <c r="G43" s="4" t="s">
        <v>28</v>
      </c>
      <c r="H43" s="4" t="s">
        <v>39</v>
      </c>
      <c r="I43" s="4" t="s">
        <v>15</v>
      </c>
      <c r="J43" s="4" t="s">
        <v>29</v>
      </c>
      <c r="K43" s="133">
        <v>44.85</v>
      </c>
    </row>
    <row r="44" spans="1:11" x14ac:dyDescent="0.25">
      <c r="A44" s="132">
        <v>46281.439236111109</v>
      </c>
      <c r="B44" s="4" t="s">
        <v>22</v>
      </c>
      <c r="C44" s="4" t="s">
        <v>202</v>
      </c>
      <c r="D44" s="4" t="s">
        <v>236</v>
      </c>
      <c r="E44" s="4" t="s">
        <v>237</v>
      </c>
      <c r="F44" s="4">
        <v>10</v>
      </c>
      <c r="G44" s="4" t="s">
        <v>28</v>
      </c>
      <c r="H44" s="4" t="s">
        <v>39</v>
      </c>
      <c r="I44" s="4" t="s">
        <v>15</v>
      </c>
      <c r="J44" s="4" t="s">
        <v>29</v>
      </c>
      <c r="K44" s="133">
        <v>70</v>
      </c>
    </row>
    <row r="45" spans="1:11" x14ac:dyDescent="0.25">
      <c r="A45" s="132">
        <v>46281.439398148148</v>
      </c>
      <c r="B45" s="4" t="s">
        <v>12</v>
      </c>
      <c r="C45" s="4" t="s">
        <v>201</v>
      </c>
      <c r="D45" s="4" t="s">
        <v>236</v>
      </c>
      <c r="E45" s="4" t="s">
        <v>237</v>
      </c>
      <c r="F45" s="4">
        <v>10</v>
      </c>
      <c r="G45" s="4" t="s">
        <v>28</v>
      </c>
      <c r="H45" s="4" t="s">
        <v>14</v>
      </c>
      <c r="I45" s="4" t="s">
        <v>15</v>
      </c>
      <c r="J45" s="4" t="s">
        <v>29</v>
      </c>
      <c r="K45" s="133">
        <v>136.69999999999999</v>
      </c>
    </row>
    <row r="46" spans="1:11" x14ac:dyDescent="0.25">
      <c r="A46" s="132">
        <v>46281.439571759256</v>
      </c>
      <c r="B46" s="4" t="s">
        <v>23</v>
      </c>
      <c r="C46" s="4" t="s">
        <v>24</v>
      </c>
      <c r="D46" s="4" t="s">
        <v>236</v>
      </c>
      <c r="E46" s="4" t="s">
        <v>237</v>
      </c>
      <c r="F46" s="4">
        <v>10</v>
      </c>
      <c r="G46" s="4" t="s">
        <v>13</v>
      </c>
      <c r="H46" s="4" t="s">
        <v>14</v>
      </c>
      <c r="I46" s="4" t="s">
        <v>15</v>
      </c>
      <c r="J46" s="4" t="s">
        <v>37</v>
      </c>
      <c r="K46" s="133">
        <v>71.2</v>
      </c>
    </row>
    <row r="47" spans="1:11" x14ac:dyDescent="0.25">
      <c r="A47" s="132">
        <v>46281.882025462961</v>
      </c>
      <c r="B47" s="4" t="s">
        <v>36</v>
      </c>
      <c r="C47" s="4" t="s">
        <v>204</v>
      </c>
      <c r="D47" s="4" t="s">
        <v>30</v>
      </c>
      <c r="E47" s="4" t="s">
        <v>31</v>
      </c>
      <c r="F47" s="4">
        <v>10</v>
      </c>
      <c r="G47" s="4" t="s">
        <v>13</v>
      </c>
      <c r="H47" s="4" t="s">
        <v>20</v>
      </c>
      <c r="I47" s="4" t="s">
        <v>15</v>
      </c>
      <c r="J47" s="4" t="s">
        <v>160</v>
      </c>
      <c r="K47" s="133">
        <v>87</v>
      </c>
    </row>
    <row r="48" spans="1:11" x14ac:dyDescent="0.25">
      <c r="A48" s="132">
        <v>46281.925370370373</v>
      </c>
      <c r="B48" s="4" t="s">
        <v>17</v>
      </c>
      <c r="C48" s="4" t="s">
        <v>18</v>
      </c>
      <c r="D48" s="4" t="s">
        <v>212</v>
      </c>
      <c r="E48" s="4" t="s">
        <v>213</v>
      </c>
      <c r="F48" s="4">
        <v>5</v>
      </c>
      <c r="G48" s="4" t="s">
        <v>32</v>
      </c>
      <c r="H48" s="4" t="s">
        <v>38</v>
      </c>
      <c r="I48" s="4" t="s">
        <v>15</v>
      </c>
      <c r="J48" s="4" t="s">
        <v>34</v>
      </c>
      <c r="K48" s="133">
        <v>47.8</v>
      </c>
    </row>
    <row r="49" spans="1:11" x14ac:dyDescent="0.25">
      <c r="A49" s="132">
        <v>46282.061192129629</v>
      </c>
      <c r="B49" s="4" t="s">
        <v>17</v>
      </c>
      <c r="C49" s="4" t="s">
        <v>18</v>
      </c>
      <c r="D49" s="4" t="s">
        <v>207</v>
      </c>
      <c r="E49" s="4" t="s">
        <v>208</v>
      </c>
      <c r="F49" s="4">
        <v>5</v>
      </c>
      <c r="G49" s="4" t="s">
        <v>19</v>
      </c>
      <c r="H49" s="4" t="s">
        <v>20</v>
      </c>
      <c r="I49" s="4" t="s">
        <v>15</v>
      </c>
      <c r="J49" s="4" t="s">
        <v>16</v>
      </c>
      <c r="K49" s="133">
        <v>47.8</v>
      </c>
    </row>
    <row r="50" spans="1:11" x14ac:dyDescent="0.25">
      <c r="A50" s="132">
        <v>46282.061481481483</v>
      </c>
      <c r="B50" s="4" t="s">
        <v>12</v>
      </c>
      <c r="C50" s="4" t="s">
        <v>201</v>
      </c>
      <c r="D50" s="4" t="s">
        <v>207</v>
      </c>
      <c r="E50" s="4" t="s">
        <v>208</v>
      </c>
      <c r="F50" s="4">
        <v>10</v>
      </c>
      <c r="G50" s="4" t="s">
        <v>19</v>
      </c>
      <c r="H50" s="4" t="s">
        <v>14</v>
      </c>
      <c r="I50" s="4" t="s">
        <v>15</v>
      </c>
      <c r="J50" s="4" t="s">
        <v>16</v>
      </c>
      <c r="K50" s="133">
        <v>136.69999999999999</v>
      </c>
    </row>
    <row r="51" spans="1:11" x14ac:dyDescent="0.25">
      <c r="A51" s="132">
        <v>46282.22047453704</v>
      </c>
      <c r="B51" s="4" t="s">
        <v>41</v>
      </c>
      <c r="C51" s="4" t="s">
        <v>205</v>
      </c>
      <c r="D51" s="4" t="s">
        <v>236</v>
      </c>
      <c r="E51" s="4" t="s">
        <v>237</v>
      </c>
      <c r="F51" s="4">
        <v>10</v>
      </c>
      <c r="G51" s="4" t="s">
        <v>13</v>
      </c>
      <c r="H51" s="4" t="s">
        <v>20</v>
      </c>
      <c r="I51" s="4" t="s">
        <v>15</v>
      </c>
      <c r="J51" s="4" t="s">
        <v>160</v>
      </c>
      <c r="K51" s="133">
        <v>138.80000000000001</v>
      </c>
    </row>
    <row r="52" spans="1:11" x14ac:dyDescent="0.25">
      <c r="A52" s="132">
        <v>46282.226840277777</v>
      </c>
      <c r="B52" s="4" t="s">
        <v>240</v>
      </c>
      <c r="C52" s="4" t="s">
        <v>241</v>
      </c>
      <c r="D52" s="4" t="s">
        <v>26</v>
      </c>
      <c r="E52" s="4" t="s">
        <v>27</v>
      </c>
      <c r="F52" s="4">
        <v>5</v>
      </c>
      <c r="G52" s="4" t="s">
        <v>19</v>
      </c>
      <c r="H52" s="4" t="s">
        <v>39</v>
      </c>
      <c r="I52" s="4" t="s">
        <v>15</v>
      </c>
      <c r="J52" s="4" t="s">
        <v>16</v>
      </c>
      <c r="K52" s="133">
        <v>40</v>
      </c>
    </row>
    <row r="53" spans="1:11" x14ac:dyDescent="0.25">
      <c r="A53" s="132">
        <v>46282.227025462962</v>
      </c>
      <c r="B53" s="4" t="s">
        <v>294</v>
      </c>
      <c r="C53" s="4" t="s">
        <v>295</v>
      </c>
      <c r="D53" s="4" t="s">
        <v>26</v>
      </c>
      <c r="E53" s="4" t="s">
        <v>27</v>
      </c>
      <c r="F53" s="4">
        <v>5</v>
      </c>
      <c r="G53" s="4" t="s">
        <v>19</v>
      </c>
      <c r="H53" s="4" t="s">
        <v>39</v>
      </c>
      <c r="I53" s="4" t="s">
        <v>15</v>
      </c>
      <c r="J53" s="4" t="s">
        <v>16</v>
      </c>
      <c r="K53" s="133">
        <v>40</v>
      </c>
    </row>
    <row r="54" spans="1:11" x14ac:dyDescent="0.25">
      <c r="A54" s="132">
        <v>46282.227314814816</v>
      </c>
      <c r="B54" s="4" t="s">
        <v>22</v>
      </c>
      <c r="C54" s="4" t="s">
        <v>202</v>
      </c>
      <c r="D54" s="4" t="s">
        <v>26</v>
      </c>
      <c r="E54" s="4" t="s">
        <v>27</v>
      </c>
      <c r="F54" s="4">
        <v>10</v>
      </c>
      <c r="G54" s="4" t="s">
        <v>19</v>
      </c>
      <c r="H54" s="4" t="s">
        <v>14</v>
      </c>
      <c r="I54" s="4" t="s">
        <v>15</v>
      </c>
      <c r="J54" s="4" t="s">
        <v>16</v>
      </c>
      <c r="K54" s="133">
        <v>70</v>
      </c>
    </row>
    <row r="55" spans="1:11" x14ac:dyDescent="0.25">
      <c r="A55" s="132">
        <v>46282.247870370367</v>
      </c>
      <c r="B55" s="4" t="s">
        <v>22</v>
      </c>
      <c r="C55" s="4" t="s">
        <v>202</v>
      </c>
      <c r="D55" s="4" t="s">
        <v>215</v>
      </c>
      <c r="E55" s="4" t="s">
        <v>203</v>
      </c>
      <c r="F55" s="4">
        <v>10</v>
      </c>
      <c r="G55" s="4" t="s">
        <v>32</v>
      </c>
      <c r="H55" s="4" t="s">
        <v>33</v>
      </c>
      <c r="I55" s="4" t="s">
        <v>15</v>
      </c>
      <c r="J55" s="4" t="s">
        <v>34</v>
      </c>
      <c r="K55" s="133">
        <v>70</v>
      </c>
    </row>
    <row r="56" spans="1:11" x14ac:dyDescent="0.25">
      <c r="A56" s="132">
        <v>46282.250844907408</v>
      </c>
      <c r="B56" s="4" t="s">
        <v>240</v>
      </c>
      <c r="C56" s="4" t="s">
        <v>241</v>
      </c>
      <c r="D56" s="4" t="s">
        <v>283</v>
      </c>
      <c r="E56" s="4" t="s">
        <v>284</v>
      </c>
      <c r="F56" s="4">
        <v>5</v>
      </c>
      <c r="G56" s="4" t="s">
        <v>32</v>
      </c>
      <c r="H56" s="4" t="s">
        <v>14</v>
      </c>
      <c r="I56" s="4" t="s">
        <v>15</v>
      </c>
      <c r="J56" s="4" t="s">
        <v>34</v>
      </c>
      <c r="K56" s="133">
        <v>40</v>
      </c>
    </row>
    <row r="57" spans="1:11" x14ac:dyDescent="0.25">
      <c r="A57" s="132">
        <v>46282.251087962963</v>
      </c>
      <c r="B57" s="4" t="s">
        <v>17</v>
      </c>
      <c r="C57" s="4" t="s">
        <v>18</v>
      </c>
      <c r="D57" s="4" t="s">
        <v>283</v>
      </c>
      <c r="E57" s="4" t="s">
        <v>284</v>
      </c>
      <c r="F57" s="4">
        <v>5</v>
      </c>
      <c r="G57" s="4" t="s">
        <v>32</v>
      </c>
      <c r="H57" s="4" t="s">
        <v>38</v>
      </c>
      <c r="I57" s="4" t="s">
        <v>15</v>
      </c>
      <c r="J57" s="4" t="s">
        <v>34</v>
      </c>
      <c r="K57" s="133">
        <v>47.8</v>
      </c>
    </row>
    <row r="58" spans="1:11" x14ac:dyDescent="0.25">
      <c r="A58" s="132">
        <v>46282.336354166669</v>
      </c>
      <c r="B58" s="4" t="s">
        <v>23</v>
      </c>
      <c r="C58" s="4" t="s">
        <v>24</v>
      </c>
      <c r="D58" s="4" t="s">
        <v>236</v>
      </c>
      <c r="E58" s="4" t="s">
        <v>237</v>
      </c>
      <c r="F58" s="4">
        <v>10</v>
      </c>
      <c r="G58" s="4" t="s">
        <v>13</v>
      </c>
      <c r="H58" s="4" t="s">
        <v>14</v>
      </c>
      <c r="I58" s="4" t="s">
        <v>15</v>
      </c>
      <c r="J58" s="4" t="s">
        <v>160</v>
      </c>
      <c r="K58" s="133">
        <v>71.2</v>
      </c>
    </row>
    <row r="59" spans="1:11" x14ac:dyDescent="0.25">
      <c r="A59" s="132">
        <v>46282.389976851853</v>
      </c>
      <c r="B59" s="4" t="s">
        <v>25</v>
      </c>
      <c r="C59" s="4" t="s">
        <v>201</v>
      </c>
      <c r="D59" s="4" t="s">
        <v>215</v>
      </c>
      <c r="E59" s="4" t="s">
        <v>203</v>
      </c>
      <c r="F59" s="4">
        <v>10</v>
      </c>
      <c r="G59" s="4" t="s">
        <v>32</v>
      </c>
      <c r="H59" s="4" t="s">
        <v>33</v>
      </c>
      <c r="I59" s="4" t="s">
        <v>15</v>
      </c>
      <c r="J59" s="4" t="s">
        <v>34</v>
      </c>
      <c r="K59" s="133">
        <v>108.5</v>
      </c>
    </row>
    <row r="60" spans="1:11" x14ac:dyDescent="0.25">
      <c r="A60" s="132">
        <v>46282.50141203704</v>
      </c>
      <c r="B60" s="4" t="s">
        <v>36</v>
      </c>
      <c r="C60" s="4" t="s">
        <v>204</v>
      </c>
      <c r="D60" s="4" t="s">
        <v>236</v>
      </c>
      <c r="E60" s="4" t="s">
        <v>237</v>
      </c>
      <c r="F60" s="4">
        <v>10</v>
      </c>
      <c r="G60" s="4" t="s">
        <v>13</v>
      </c>
      <c r="H60" s="4" t="s">
        <v>20</v>
      </c>
      <c r="I60" s="4" t="s">
        <v>15</v>
      </c>
      <c r="J60" s="4" t="s">
        <v>160</v>
      </c>
      <c r="K60" s="133">
        <v>87</v>
      </c>
    </row>
    <row r="61" spans="1:11" x14ac:dyDescent="0.25">
      <c r="A61" s="132">
        <v>46282.877638888887</v>
      </c>
      <c r="B61" s="4" t="s">
        <v>17</v>
      </c>
      <c r="C61" s="4" t="s">
        <v>18</v>
      </c>
      <c r="D61" s="4" t="s">
        <v>212</v>
      </c>
      <c r="E61" s="4" t="s">
        <v>213</v>
      </c>
      <c r="F61" s="4">
        <v>5</v>
      </c>
      <c r="G61" s="4" t="s">
        <v>32</v>
      </c>
      <c r="H61" s="4" t="s">
        <v>38</v>
      </c>
      <c r="I61" s="4" t="s">
        <v>15</v>
      </c>
      <c r="J61" s="4" t="s">
        <v>34</v>
      </c>
      <c r="K61" s="133">
        <v>47.8</v>
      </c>
    </row>
    <row r="62" spans="1:11" x14ac:dyDescent="0.25">
      <c r="A62" s="132">
        <v>46282.877986111111</v>
      </c>
      <c r="B62" s="4" t="s">
        <v>240</v>
      </c>
      <c r="C62" s="4" t="s">
        <v>241</v>
      </c>
      <c r="D62" s="4" t="s">
        <v>212</v>
      </c>
      <c r="E62" s="4" t="s">
        <v>213</v>
      </c>
      <c r="F62" s="4">
        <v>5</v>
      </c>
      <c r="G62" s="4" t="s">
        <v>32</v>
      </c>
      <c r="H62" s="4" t="s">
        <v>14</v>
      </c>
      <c r="I62" s="4" t="s">
        <v>15</v>
      </c>
      <c r="J62" s="4" t="s">
        <v>34</v>
      </c>
      <c r="K62" s="133">
        <v>40</v>
      </c>
    </row>
    <row r="63" spans="1:11" x14ac:dyDescent="0.25">
      <c r="A63" s="132">
        <v>46282.878240740742</v>
      </c>
      <c r="B63" s="4" t="s">
        <v>22</v>
      </c>
      <c r="C63" s="4" t="s">
        <v>202</v>
      </c>
      <c r="D63" s="4" t="s">
        <v>212</v>
      </c>
      <c r="E63" s="4" t="s">
        <v>213</v>
      </c>
      <c r="F63" s="4">
        <v>10</v>
      </c>
      <c r="G63" s="4" t="s">
        <v>32</v>
      </c>
      <c r="H63" s="4" t="s">
        <v>38</v>
      </c>
      <c r="I63" s="4" t="s">
        <v>15</v>
      </c>
      <c r="J63" s="4" t="s">
        <v>34</v>
      </c>
      <c r="K63" s="133">
        <v>70</v>
      </c>
    </row>
    <row r="64" spans="1:11" x14ac:dyDescent="0.25">
      <c r="A64" s="132">
        <v>46282.882094907407</v>
      </c>
      <c r="B64" s="4" t="s">
        <v>25</v>
      </c>
      <c r="C64" s="4" t="s">
        <v>201</v>
      </c>
      <c r="D64" s="4" t="s">
        <v>242</v>
      </c>
      <c r="E64" s="4" t="s">
        <v>243</v>
      </c>
      <c r="F64" s="4">
        <v>10</v>
      </c>
      <c r="G64" s="4" t="s">
        <v>32</v>
      </c>
      <c r="H64" s="4" t="s">
        <v>33</v>
      </c>
      <c r="I64" s="4" t="s">
        <v>15</v>
      </c>
      <c r="J64" s="4" t="s">
        <v>34</v>
      </c>
      <c r="K64" s="133">
        <v>108.5</v>
      </c>
    </row>
    <row r="65" spans="1:11" x14ac:dyDescent="0.25">
      <c r="A65" s="132">
        <v>46282.882349537038</v>
      </c>
      <c r="B65" s="4" t="s">
        <v>22</v>
      </c>
      <c r="C65" s="4" t="s">
        <v>202</v>
      </c>
      <c r="D65" s="4" t="s">
        <v>242</v>
      </c>
      <c r="E65" s="4" t="s">
        <v>243</v>
      </c>
      <c r="F65" s="4">
        <v>10</v>
      </c>
      <c r="G65" s="4" t="s">
        <v>32</v>
      </c>
      <c r="H65" s="4" t="s">
        <v>33</v>
      </c>
      <c r="I65" s="4" t="s">
        <v>15</v>
      </c>
      <c r="J65" s="4" t="s">
        <v>34</v>
      </c>
      <c r="K65" s="133">
        <v>70</v>
      </c>
    </row>
    <row r="66" spans="1:11" x14ac:dyDescent="0.25">
      <c r="A66" s="132">
        <v>46282.882523148146</v>
      </c>
      <c r="B66" s="4" t="s">
        <v>23</v>
      </c>
      <c r="C66" s="4" t="s">
        <v>24</v>
      </c>
      <c r="D66" s="4" t="s">
        <v>242</v>
      </c>
      <c r="E66" s="4" t="s">
        <v>243</v>
      </c>
      <c r="F66" s="4">
        <v>10</v>
      </c>
      <c r="G66" s="4" t="s">
        <v>32</v>
      </c>
      <c r="H66" s="4" t="s">
        <v>39</v>
      </c>
      <c r="I66" s="4" t="s">
        <v>15</v>
      </c>
      <c r="J66" s="4" t="s">
        <v>34</v>
      </c>
      <c r="K66" s="133">
        <v>71.2</v>
      </c>
    </row>
    <row r="67" spans="1:11" x14ac:dyDescent="0.25">
      <c r="A67" s="132">
        <v>46282.89644675926</v>
      </c>
      <c r="B67" s="4" t="s">
        <v>17</v>
      </c>
      <c r="C67" s="4" t="s">
        <v>18</v>
      </c>
      <c r="D67" s="4" t="s">
        <v>30</v>
      </c>
      <c r="E67" s="4" t="s">
        <v>31</v>
      </c>
      <c r="F67" s="4">
        <v>5</v>
      </c>
      <c r="G67" s="4" t="s">
        <v>19</v>
      </c>
      <c r="H67" s="4" t="s">
        <v>20</v>
      </c>
      <c r="I67" s="4" t="s">
        <v>15</v>
      </c>
      <c r="J67" s="4" t="s">
        <v>16</v>
      </c>
      <c r="K67" s="133">
        <v>47.8</v>
      </c>
    </row>
    <row r="68" spans="1:11" x14ac:dyDescent="0.25">
      <c r="A68" s="132">
        <v>46282.896701388891</v>
      </c>
      <c r="B68" s="4" t="s">
        <v>36</v>
      </c>
      <c r="C68" s="4" t="s">
        <v>204</v>
      </c>
      <c r="D68" s="4" t="s">
        <v>30</v>
      </c>
      <c r="E68" s="4" t="s">
        <v>31</v>
      </c>
      <c r="F68" s="4">
        <v>10</v>
      </c>
      <c r="G68" s="4" t="s">
        <v>13</v>
      </c>
      <c r="H68" s="4" t="s">
        <v>20</v>
      </c>
      <c r="I68" s="4" t="s">
        <v>15</v>
      </c>
      <c r="J68" s="4" t="s">
        <v>160</v>
      </c>
      <c r="K68" s="133">
        <v>87</v>
      </c>
    </row>
    <row r="69" spans="1:11" x14ac:dyDescent="0.25">
      <c r="A69" s="132">
        <v>46282.923472222225</v>
      </c>
      <c r="B69" s="4" t="s">
        <v>40</v>
      </c>
      <c r="C69" s="4" t="s">
        <v>209</v>
      </c>
      <c r="D69" s="4" t="s">
        <v>30</v>
      </c>
      <c r="E69" s="4" t="s">
        <v>31</v>
      </c>
      <c r="F69" s="4">
        <v>10</v>
      </c>
      <c r="G69" s="4" t="s">
        <v>13</v>
      </c>
      <c r="H69" s="4" t="s">
        <v>14</v>
      </c>
      <c r="I69" s="4" t="s">
        <v>15</v>
      </c>
      <c r="J69" s="4" t="s">
        <v>37</v>
      </c>
      <c r="K69" s="133">
        <v>188</v>
      </c>
    </row>
    <row r="70" spans="1:11" x14ac:dyDescent="0.25">
      <c r="A70" s="132">
        <v>46283.016458333332</v>
      </c>
      <c r="B70" s="4" t="s">
        <v>23</v>
      </c>
      <c r="C70" s="4" t="s">
        <v>24</v>
      </c>
      <c r="D70" s="4" t="s">
        <v>285</v>
      </c>
      <c r="E70" s="4" t="s">
        <v>213</v>
      </c>
      <c r="F70" s="4">
        <v>10</v>
      </c>
      <c r="G70" s="4" t="s">
        <v>32</v>
      </c>
      <c r="H70" s="4" t="s">
        <v>14</v>
      </c>
      <c r="I70" s="4" t="s">
        <v>15</v>
      </c>
      <c r="J70" s="4" t="s">
        <v>34</v>
      </c>
      <c r="K70" s="133">
        <v>71.2</v>
      </c>
    </row>
    <row r="71" spans="1:11" x14ac:dyDescent="0.25">
      <c r="A71" s="132">
        <v>46283.21539351852</v>
      </c>
      <c r="B71" s="4" t="s">
        <v>36</v>
      </c>
      <c r="C71" s="4" t="s">
        <v>204</v>
      </c>
      <c r="D71" s="4" t="s">
        <v>229</v>
      </c>
      <c r="E71" s="4" t="s">
        <v>230</v>
      </c>
      <c r="F71" s="4">
        <v>10</v>
      </c>
      <c r="G71" s="4" t="s">
        <v>13</v>
      </c>
      <c r="H71" s="4" t="s">
        <v>20</v>
      </c>
      <c r="I71" s="4" t="s">
        <v>15</v>
      </c>
      <c r="J71" s="4" t="s">
        <v>160</v>
      </c>
      <c r="K71" s="133">
        <v>87</v>
      </c>
    </row>
    <row r="72" spans="1:11" x14ac:dyDescent="0.25">
      <c r="A72" s="132">
        <v>46283.215590277781</v>
      </c>
      <c r="B72" s="4" t="s">
        <v>17</v>
      </c>
      <c r="C72" s="4" t="s">
        <v>18</v>
      </c>
      <c r="D72" s="4" t="s">
        <v>229</v>
      </c>
      <c r="E72" s="4" t="s">
        <v>230</v>
      </c>
      <c r="F72" s="4">
        <v>5</v>
      </c>
      <c r="G72" s="4" t="s">
        <v>28</v>
      </c>
      <c r="H72" s="4" t="s">
        <v>20</v>
      </c>
      <c r="I72" s="4" t="s">
        <v>15</v>
      </c>
      <c r="J72" s="4" t="s">
        <v>29</v>
      </c>
      <c r="K72" s="133">
        <v>47.8</v>
      </c>
    </row>
    <row r="73" spans="1:11" x14ac:dyDescent="0.25">
      <c r="A73" s="132">
        <v>46283.215787037036</v>
      </c>
      <c r="B73" s="4" t="s">
        <v>22</v>
      </c>
      <c r="C73" s="4" t="s">
        <v>202</v>
      </c>
      <c r="D73" s="4" t="s">
        <v>229</v>
      </c>
      <c r="E73" s="4" t="s">
        <v>230</v>
      </c>
      <c r="F73" s="4">
        <v>10</v>
      </c>
      <c r="G73" s="4" t="s">
        <v>28</v>
      </c>
      <c r="H73" s="4" t="s">
        <v>14</v>
      </c>
      <c r="I73" s="4" t="s">
        <v>15</v>
      </c>
      <c r="J73" s="4" t="s">
        <v>29</v>
      </c>
      <c r="K73" s="133">
        <v>70</v>
      </c>
    </row>
    <row r="74" spans="1:11" x14ac:dyDescent="0.25">
      <c r="A74" s="132">
        <v>46283.215949074074</v>
      </c>
      <c r="B74" s="4" t="s">
        <v>35</v>
      </c>
      <c r="C74" s="4" t="s">
        <v>205</v>
      </c>
      <c r="D74" s="4" t="s">
        <v>229</v>
      </c>
      <c r="E74" s="4" t="s">
        <v>230</v>
      </c>
      <c r="F74" s="4">
        <v>10</v>
      </c>
      <c r="G74" s="4" t="s">
        <v>28</v>
      </c>
      <c r="H74" s="4" t="s">
        <v>20</v>
      </c>
      <c r="I74" s="4" t="s">
        <v>15</v>
      </c>
      <c r="J74" s="4" t="s">
        <v>29</v>
      </c>
      <c r="K74" s="133">
        <v>118.7</v>
      </c>
    </row>
    <row r="75" spans="1:11" x14ac:dyDescent="0.25">
      <c r="A75" s="132">
        <v>46283.250543981485</v>
      </c>
      <c r="B75" s="4" t="s">
        <v>17</v>
      </c>
      <c r="C75" s="4" t="s">
        <v>18</v>
      </c>
      <c r="D75" s="4" t="s">
        <v>207</v>
      </c>
      <c r="E75" s="4" t="s">
        <v>208</v>
      </c>
      <c r="F75" s="4">
        <v>5</v>
      </c>
      <c r="G75" s="4" t="s">
        <v>19</v>
      </c>
      <c r="H75" s="4" t="s">
        <v>20</v>
      </c>
      <c r="I75" s="4" t="s">
        <v>15</v>
      </c>
      <c r="J75" s="4" t="s">
        <v>16</v>
      </c>
      <c r="K75" s="133">
        <v>47.8</v>
      </c>
    </row>
    <row r="76" spans="1:11" x14ac:dyDescent="0.25">
      <c r="A76" s="132">
        <v>46283.309872685182</v>
      </c>
      <c r="B76" s="4" t="s">
        <v>12</v>
      </c>
      <c r="C76" s="4" t="s">
        <v>201</v>
      </c>
      <c r="D76" s="4" t="s">
        <v>229</v>
      </c>
      <c r="E76" s="4" t="s">
        <v>230</v>
      </c>
      <c r="F76" s="4">
        <v>10</v>
      </c>
      <c r="G76" s="4" t="s">
        <v>28</v>
      </c>
      <c r="H76" s="4" t="s">
        <v>14</v>
      </c>
      <c r="I76" s="4" t="s">
        <v>15</v>
      </c>
      <c r="J76" s="4" t="s">
        <v>29</v>
      </c>
      <c r="K76" s="133">
        <v>136.69999999999999</v>
      </c>
    </row>
    <row r="77" spans="1:11" x14ac:dyDescent="0.25">
      <c r="A77" s="132">
        <v>46283.310289351852</v>
      </c>
      <c r="B77" s="4" t="s">
        <v>22</v>
      </c>
      <c r="C77" s="4" t="s">
        <v>202</v>
      </c>
      <c r="D77" s="4" t="s">
        <v>229</v>
      </c>
      <c r="E77" s="4" t="s">
        <v>230</v>
      </c>
      <c r="F77" s="4">
        <v>10</v>
      </c>
      <c r="G77" s="4" t="s">
        <v>28</v>
      </c>
      <c r="H77" s="4" t="s">
        <v>14</v>
      </c>
      <c r="I77" s="4" t="s">
        <v>15</v>
      </c>
      <c r="J77" s="4" t="s">
        <v>29</v>
      </c>
      <c r="K77" s="133">
        <v>70</v>
      </c>
    </row>
    <row r="78" spans="1:11" x14ac:dyDescent="0.25">
      <c r="A78" s="132">
        <v>46283.310497685183</v>
      </c>
      <c r="B78" s="4" t="s">
        <v>23</v>
      </c>
      <c r="C78" s="4" t="s">
        <v>24</v>
      </c>
      <c r="D78" s="4" t="s">
        <v>229</v>
      </c>
      <c r="E78" s="4" t="s">
        <v>230</v>
      </c>
      <c r="F78" s="4">
        <v>10</v>
      </c>
      <c r="G78" s="4" t="s">
        <v>28</v>
      </c>
      <c r="H78" s="4" t="s">
        <v>14</v>
      </c>
      <c r="I78" s="4" t="s">
        <v>15</v>
      </c>
      <c r="J78" s="4" t="s">
        <v>29</v>
      </c>
      <c r="K78" s="133">
        <v>71.2</v>
      </c>
    </row>
    <row r="79" spans="1:11" x14ac:dyDescent="0.25">
      <c r="A79" s="132">
        <v>46283.312395833331</v>
      </c>
      <c r="B79" s="4" t="s">
        <v>22</v>
      </c>
      <c r="C79" s="4" t="s">
        <v>202</v>
      </c>
      <c r="D79" s="4" t="s">
        <v>229</v>
      </c>
      <c r="E79" s="4" t="s">
        <v>230</v>
      </c>
      <c r="F79" s="4">
        <v>10</v>
      </c>
      <c r="G79" s="4" t="s">
        <v>13</v>
      </c>
      <c r="H79" s="4" t="s">
        <v>14</v>
      </c>
      <c r="I79" s="4" t="s">
        <v>15</v>
      </c>
      <c r="J79" s="4" t="s">
        <v>37</v>
      </c>
      <c r="K79" s="133">
        <v>70</v>
      </c>
    </row>
    <row r="80" spans="1:11" x14ac:dyDescent="0.25">
      <c r="A80" s="132">
        <v>46283.312592592592</v>
      </c>
      <c r="B80" s="4" t="s">
        <v>23</v>
      </c>
      <c r="C80" s="4" t="s">
        <v>24</v>
      </c>
      <c r="D80" s="4" t="s">
        <v>229</v>
      </c>
      <c r="E80" s="4" t="s">
        <v>230</v>
      </c>
      <c r="F80" s="4">
        <v>10</v>
      </c>
      <c r="G80" s="4" t="s">
        <v>13</v>
      </c>
      <c r="H80" s="4" t="s">
        <v>14</v>
      </c>
      <c r="I80" s="4" t="s">
        <v>15</v>
      </c>
      <c r="J80" s="4" t="s">
        <v>37</v>
      </c>
      <c r="K80" s="133">
        <v>71.2</v>
      </c>
    </row>
    <row r="81" spans="1:11" x14ac:dyDescent="0.25">
      <c r="A81" s="132">
        <v>46283.313854166663</v>
      </c>
      <c r="B81" s="4" t="s">
        <v>120</v>
      </c>
      <c r="C81" s="4" t="s">
        <v>18</v>
      </c>
      <c r="D81" s="4" t="s">
        <v>229</v>
      </c>
      <c r="E81" s="4" t="s">
        <v>230</v>
      </c>
      <c r="F81" s="4">
        <v>10</v>
      </c>
      <c r="G81" s="4" t="s">
        <v>13</v>
      </c>
      <c r="H81" s="4" t="s">
        <v>20</v>
      </c>
      <c r="I81" s="4" t="s">
        <v>15</v>
      </c>
      <c r="J81" s="4" t="s">
        <v>37</v>
      </c>
      <c r="K81" s="133">
        <v>109.7</v>
      </c>
    </row>
    <row r="82" spans="1:11" x14ac:dyDescent="0.25">
      <c r="A82" s="132">
        <v>46283.314085648148</v>
      </c>
      <c r="B82" s="4" t="s">
        <v>41</v>
      </c>
      <c r="C82" s="4" t="s">
        <v>205</v>
      </c>
      <c r="D82" s="4" t="s">
        <v>229</v>
      </c>
      <c r="E82" s="4" t="s">
        <v>230</v>
      </c>
      <c r="F82" s="4">
        <v>10</v>
      </c>
      <c r="G82" s="4" t="s">
        <v>13</v>
      </c>
      <c r="H82" s="4" t="s">
        <v>20</v>
      </c>
      <c r="I82" s="4" t="s">
        <v>15</v>
      </c>
      <c r="J82" s="4" t="s">
        <v>37</v>
      </c>
      <c r="K82" s="133">
        <v>138.80000000000001</v>
      </c>
    </row>
    <row r="83" spans="1:11" x14ac:dyDescent="0.25">
      <c r="A83" s="132">
        <v>46283.314247685186</v>
      </c>
      <c r="B83" s="4" t="s">
        <v>17</v>
      </c>
      <c r="C83" s="4" t="s">
        <v>18</v>
      </c>
      <c r="D83" s="4" t="s">
        <v>229</v>
      </c>
      <c r="E83" s="4" t="s">
        <v>230</v>
      </c>
      <c r="F83" s="4">
        <v>5</v>
      </c>
      <c r="G83" s="4" t="s">
        <v>28</v>
      </c>
      <c r="H83" s="4" t="s">
        <v>20</v>
      </c>
      <c r="I83" s="4" t="s">
        <v>15</v>
      </c>
      <c r="J83" s="4" t="s">
        <v>29</v>
      </c>
      <c r="K83" s="133">
        <v>47.8</v>
      </c>
    </row>
    <row r="84" spans="1:11" x14ac:dyDescent="0.25">
      <c r="A84" s="132">
        <v>46283.314432870371</v>
      </c>
      <c r="B84" s="4" t="s">
        <v>120</v>
      </c>
      <c r="C84" s="4" t="s">
        <v>18</v>
      </c>
      <c r="D84" s="4" t="s">
        <v>229</v>
      </c>
      <c r="E84" s="4" t="s">
        <v>230</v>
      </c>
      <c r="F84" s="4">
        <v>10</v>
      </c>
      <c r="G84" s="4" t="s">
        <v>28</v>
      </c>
      <c r="H84" s="4" t="s">
        <v>20</v>
      </c>
      <c r="I84" s="4" t="s">
        <v>15</v>
      </c>
      <c r="J84" s="4" t="s">
        <v>29</v>
      </c>
      <c r="K84" s="133">
        <v>109.7</v>
      </c>
    </row>
    <row r="85" spans="1:11" x14ac:dyDescent="0.25">
      <c r="A85" s="132">
        <v>46283.314629629633</v>
      </c>
      <c r="B85" s="4" t="s">
        <v>35</v>
      </c>
      <c r="C85" s="4" t="s">
        <v>205</v>
      </c>
      <c r="D85" s="4" t="s">
        <v>229</v>
      </c>
      <c r="E85" s="4" t="s">
        <v>230</v>
      </c>
      <c r="F85" s="4">
        <v>10</v>
      </c>
      <c r="G85" s="4" t="s">
        <v>28</v>
      </c>
      <c r="H85" s="4" t="s">
        <v>20</v>
      </c>
      <c r="I85" s="4" t="s">
        <v>15</v>
      </c>
      <c r="J85" s="4" t="s">
        <v>29</v>
      </c>
      <c r="K85" s="133">
        <v>118.7</v>
      </c>
    </row>
    <row r="86" spans="1:11" x14ac:dyDescent="0.25">
      <c r="A86" s="132">
        <v>46283.330416666664</v>
      </c>
      <c r="B86" s="4" t="s">
        <v>35</v>
      </c>
      <c r="C86" s="4" t="s">
        <v>205</v>
      </c>
      <c r="D86" s="4" t="s">
        <v>229</v>
      </c>
      <c r="E86" s="4" t="s">
        <v>230</v>
      </c>
      <c r="F86" s="4">
        <v>10</v>
      </c>
      <c r="G86" s="4" t="s">
        <v>28</v>
      </c>
      <c r="H86" s="4" t="s">
        <v>20</v>
      </c>
      <c r="I86" s="4" t="s">
        <v>15</v>
      </c>
      <c r="J86" s="4" t="s">
        <v>29</v>
      </c>
      <c r="K86" s="133">
        <v>118.7</v>
      </c>
    </row>
    <row r="87" spans="1:11" x14ac:dyDescent="0.25">
      <c r="A87" s="132">
        <v>46283.391643518517</v>
      </c>
      <c r="B87" s="4" t="s">
        <v>12</v>
      </c>
      <c r="C87" s="4" t="s">
        <v>201</v>
      </c>
      <c r="D87" s="4" t="s">
        <v>207</v>
      </c>
      <c r="E87" s="4" t="s">
        <v>208</v>
      </c>
      <c r="F87" s="4">
        <v>10</v>
      </c>
      <c r="G87" s="4" t="s">
        <v>19</v>
      </c>
      <c r="H87" s="4" t="s">
        <v>14</v>
      </c>
      <c r="I87" s="4" t="s">
        <v>15</v>
      </c>
      <c r="J87" s="4" t="s">
        <v>16</v>
      </c>
      <c r="K87" s="133">
        <v>136.69999999999999</v>
      </c>
    </row>
    <row r="88" spans="1:11" x14ac:dyDescent="0.25">
      <c r="A88" s="132">
        <v>46283.596944444442</v>
      </c>
      <c r="B88" s="4" t="s">
        <v>17</v>
      </c>
      <c r="C88" s="4" t="s">
        <v>18</v>
      </c>
      <c r="D88" s="4" t="s">
        <v>281</v>
      </c>
      <c r="E88" s="4" t="s">
        <v>282</v>
      </c>
      <c r="F88" s="4">
        <v>5</v>
      </c>
      <c r="G88" s="4" t="s">
        <v>19</v>
      </c>
      <c r="H88" s="4" t="s">
        <v>20</v>
      </c>
      <c r="I88" s="4" t="s">
        <v>15</v>
      </c>
      <c r="J88" s="4" t="s">
        <v>16</v>
      </c>
      <c r="K88" s="133">
        <v>47.8</v>
      </c>
    </row>
    <row r="89" spans="1:11" x14ac:dyDescent="0.25">
      <c r="A89" s="132">
        <v>46283.59716435185</v>
      </c>
      <c r="B89" s="4" t="s">
        <v>22</v>
      </c>
      <c r="C89" s="4" t="s">
        <v>202</v>
      </c>
      <c r="D89" s="4" t="s">
        <v>281</v>
      </c>
      <c r="E89" s="4" t="s">
        <v>282</v>
      </c>
      <c r="F89" s="4">
        <v>10</v>
      </c>
      <c r="G89" s="4" t="s">
        <v>19</v>
      </c>
      <c r="H89" s="4" t="s">
        <v>14</v>
      </c>
      <c r="I89" s="4" t="s">
        <v>15</v>
      </c>
      <c r="J89" s="4" t="s">
        <v>16</v>
      </c>
      <c r="K89" s="133">
        <v>70</v>
      </c>
    </row>
    <row r="90" spans="1:11" x14ac:dyDescent="0.25">
      <c r="A90" s="132">
        <v>46283.597361111111</v>
      </c>
      <c r="B90" s="4" t="s">
        <v>240</v>
      </c>
      <c r="C90" s="4" t="s">
        <v>241</v>
      </c>
      <c r="D90" s="4" t="s">
        <v>281</v>
      </c>
      <c r="E90" s="4" t="s">
        <v>282</v>
      </c>
      <c r="F90" s="4">
        <v>5</v>
      </c>
      <c r="G90" s="4" t="s">
        <v>19</v>
      </c>
      <c r="H90" s="4" t="s">
        <v>39</v>
      </c>
      <c r="I90" s="4" t="s">
        <v>15</v>
      </c>
      <c r="J90" s="4" t="s">
        <v>16</v>
      </c>
      <c r="K90" s="133">
        <v>40</v>
      </c>
    </row>
    <row r="91" spans="1:11" x14ac:dyDescent="0.25">
      <c r="A91" s="132">
        <v>46283.597534722219</v>
      </c>
      <c r="B91" s="4" t="s">
        <v>294</v>
      </c>
      <c r="C91" s="4" t="s">
        <v>295</v>
      </c>
      <c r="D91" s="4" t="s">
        <v>281</v>
      </c>
      <c r="E91" s="4" t="s">
        <v>282</v>
      </c>
      <c r="F91" s="4">
        <v>5</v>
      </c>
      <c r="G91" s="4" t="s">
        <v>19</v>
      </c>
      <c r="H91" s="4" t="s">
        <v>39</v>
      </c>
      <c r="I91" s="4" t="s">
        <v>15</v>
      </c>
      <c r="J91" s="4" t="s">
        <v>16</v>
      </c>
      <c r="K91" s="133">
        <v>40</v>
      </c>
    </row>
    <row r="92" spans="1:11" x14ac:dyDescent="0.25">
      <c r="A92" s="132">
        <v>46283.708298611113</v>
      </c>
      <c r="B92" s="4" t="s">
        <v>240</v>
      </c>
      <c r="C92" s="4" t="s">
        <v>241</v>
      </c>
      <c r="D92" s="4" t="s">
        <v>234</v>
      </c>
      <c r="E92" s="4" t="s">
        <v>235</v>
      </c>
      <c r="F92" s="4">
        <v>5</v>
      </c>
      <c r="G92" s="4" t="s">
        <v>32</v>
      </c>
      <c r="H92" s="4" t="s">
        <v>14</v>
      </c>
      <c r="I92" s="4" t="s">
        <v>15</v>
      </c>
      <c r="J92" s="4" t="s">
        <v>34</v>
      </c>
      <c r="K92" s="133">
        <v>40</v>
      </c>
    </row>
    <row r="93" spans="1:11" x14ac:dyDescent="0.25">
      <c r="A93" s="132">
        <v>46283.708506944444</v>
      </c>
      <c r="B93" s="4" t="s">
        <v>240</v>
      </c>
      <c r="C93" s="4" t="s">
        <v>241</v>
      </c>
      <c r="D93" s="4" t="s">
        <v>234</v>
      </c>
      <c r="E93" s="4" t="s">
        <v>235</v>
      </c>
      <c r="F93" s="4">
        <v>5</v>
      </c>
      <c r="G93" s="4" t="s">
        <v>32</v>
      </c>
      <c r="H93" s="4" t="s">
        <v>14</v>
      </c>
      <c r="I93" s="4" t="s">
        <v>15</v>
      </c>
      <c r="J93" s="4" t="s">
        <v>34</v>
      </c>
      <c r="K93" s="133">
        <v>40</v>
      </c>
    </row>
    <row r="94" spans="1:11" x14ac:dyDescent="0.25">
      <c r="A94" s="132">
        <v>46283.708657407406</v>
      </c>
      <c r="B94" s="4" t="s">
        <v>17</v>
      </c>
      <c r="C94" s="4" t="s">
        <v>18</v>
      </c>
      <c r="D94" s="4" t="s">
        <v>234</v>
      </c>
      <c r="E94" s="4" t="s">
        <v>235</v>
      </c>
      <c r="F94" s="4">
        <v>5</v>
      </c>
      <c r="G94" s="4" t="s">
        <v>32</v>
      </c>
      <c r="H94" s="4" t="s">
        <v>38</v>
      </c>
      <c r="I94" s="4" t="s">
        <v>15</v>
      </c>
      <c r="J94" s="4" t="s">
        <v>34</v>
      </c>
      <c r="K94" s="133">
        <v>47.8</v>
      </c>
    </row>
    <row r="95" spans="1:11" x14ac:dyDescent="0.25">
      <c r="A95" s="132">
        <v>46283.708923611113</v>
      </c>
      <c r="B95" s="4" t="s">
        <v>17</v>
      </c>
      <c r="C95" s="4" t="s">
        <v>18</v>
      </c>
      <c r="D95" s="4" t="s">
        <v>234</v>
      </c>
      <c r="E95" s="4" t="s">
        <v>235</v>
      </c>
      <c r="F95" s="4">
        <v>5</v>
      </c>
      <c r="G95" s="4" t="s">
        <v>32</v>
      </c>
      <c r="H95" s="4" t="s">
        <v>38</v>
      </c>
      <c r="I95" s="4" t="s">
        <v>15</v>
      </c>
      <c r="J95" s="4" t="s">
        <v>34</v>
      </c>
      <c r="K95" s="133">
        <v>47.8</v>
      </c>
    </row>
    <row r="96" spans="1:11" x14ac:dyDescent="0.25">
      <c r="A96" s="132">
        <v>46283.709085648145</v>
      </c>
      <c r="B96" s="4" t="s">
        <v>22</v>
      </c>
      <c r="C96" s="4" t="s">
        <v>202</v>
      </c>
      <c r="D96" s="4" t="s">
        <v>234</v>
      </c>
      <c r="E96" s="4" t="s">
        <v>235</v>
      </c>
      <c r="F96" s="4">
        <v>10</v>
      </c>
      <c r="G96" s="4" t="s">
        <v>32</v>
      </c>
      <c r="H96" s="4" t="s">
        <v>38</v>
      </c>
      <c r="I96" s="4" t="s">
        <v>15</v>
      </c>
      <c r="J96" s="4" t="s">
        <v>34</v>
      </c>
      <c r="K96" s="133">
        <v>70</v>
      </c>
    </row>
    <row r="97" spans="1:11" x14ac:dyDescent="0.25">
      <c r="A97" s="132">
        <v>46283.876284722224</v>
      </c>
      <c r="B97" s="4" t="s">
        <v>25</v>
      </c>
      <c r="C97" s="4" t="s">
        <v>201</v>
      </c>
      <c r="D97" s="4" t="s">
        <v>212</v>
      </c>
      <c r="E97" s="4" t="s">
        <v>213</v>
      </c>
      <c r="F97" s="4">
        <v>10</v>
      </c>
      <c r="G97" s="4" t="s">
        <v>32</v>
      </c>
      <c r="H97" s="4" t="s">
        <v>33</v>
      </c>
      <c r="I97" s="4" t="s">
        <v>15</v>
      </c>
      <c r="J97" s="4" t="s">
        <v>34</v>
      </c>
      <c r="K97" s="133">
        <v>108.5</v>
      </c>
    </row>
    <row r="98" spans="1:11" x14ac:dyDescent="0.25">
      <c r="A98" s="132">
        <v>46283.876701388886</v>
      </c>
      <c r="B98" s="4" t="s">
        <v>23</v>
      </c>
      <c r="C98" s="4" t="s">
        <v>24</v>
      </c>
      <c r="D98" s="4" t="s">
        <v>212</v>
      </c>
      <c r="E98" s="4" t="s">
        <v>213</v>
      </c>
      <c r="F98" s="4">
        <v>10</v>
      </c>
      <c r="G98" s="4" t="s">
        <v>32</v>
      </c>
      <c r="H98" s="4" t="s">
        <v>39</v>
      </c>
      <c r="I98" s="4" t="s">
        <v>15</v>
      </c>
      <c r="J98" s="4" t="s">
        <v>34</v>
      </c>
      <c r="K98" s="133">
        <v>71.2</v>
      </c>
    </row>
    <row r="99" spans="1:11" x14ac:dyDescent="0.25">
      <c r="A99" s="132">
        <v>46283.895844907405</v>
      </c>
      <c r="B99" s="4" t="s">
        <v>17</v>
      </c>
      <c r="C99" s="4" t="s">
        <v>18</v>
      </c>
      <c r="D99" s="4" t="s">
        <v>212</v>
      </c>
      <c r="E99" s="4" t="s">
        <v>213</v>
      </c>
      <c r="F99" s="4">
        <v>5</v>
      </c>
      <c r="G99" s="4" t="s">
        <v>32</v>
      </c>
      <c r="H99" s="4" t="s">
        <v>38</v>
      </c>
      <c r="I99" s="4" t="s">
        <v>15</v>
      </c>
      <c r="J99" s="4" t="s">
        <v>34</v>
      </c>
      <c r="K99" s="133">
        <v>47.8</v>
      </c>
    </row>
    <row r="100" spans="1:11" x14ac:dyDescent="0.25">
      <c r="A100" s="132">
        <v>46284.035266203704</v>
      </c>
      <c r="B100" s="4" t="s">
        <v>22</v>
      </c>
      <c r="C100" s="4" t="s">
        <v>202</v>
      </c>
      <c r="D100" s="4" t="s">
        <v>30</v>
      </c>
      <c r="E100" s="4" t="s">
        <v>31</v>
      </c>
      <c r="F100" s="4">
        <v>10</v>
      </c>
      <c r="G100" s="4" t="s">
        <v>19</v>
      </c>
      <c r="H100" s="4" t="s">
        <v>20</v>
      </c>
      <c r="I100" s="4" t="s">
        <v>15</v>
      </c>
      <c r="J100" s="4" t="s">
        <v>16</v>
      </c>
      <c r="K100" s="133">
        <v>70</v>
      </c>
    </row>
    <row r="101" spans="1:11" x14ac:dyDescent="0.25">
      <c r="A101" s="132">
        <v>46284.035509259258</v>
      </c>
      <c r="B101" s="4" t="s">
        <v>17</v>
      </c>
      <c r="C101" s="4" t="s">
        <v>18</v>
      </c>
      <c r="D101" s="4" t="s">
        <v>30</v>
      </c>
      <c r="E101" s="4" t="s">
        <v>31</v>
      </c>
      <c r="F101" s="4">
        <v>5</v>
      </c>
      <c r="G101" s="4" t="s">
        <v>19</v>
      </c>
      <c r="H101" s="4" t="s">
        <v>20</v>
      </c>
      <c r="I101" s="4" t="s">
        <v>15</v>
      </c>
      <c r="J101" s="4" t="s">
        <v>16</v>
      </c>
      <c r="K101" s="133">
        <v>47.8</v>
      </c>
    </row>
    <row r="102" spans="1:11" x14ac:dyDescent="0.25">
      <c r="A102" s="132">
        <v>46284.035798611112</v>
      </c>
      <c r="B102" s="4" t="s">
        <v>12</v>
      </c>
      <c r="C102" s="4" t="s">
        <v>201</v>
      </c>
      <c r="D102" s="4" t="s">
        <v>30</v>
      </c>
      <c r="E102" s="4" t="s">
        <v>31</v>
      </c>
      <c r="F102" s="4">
        <v>10</v>
      </c>
      <c r="G102" s="4" t="s">
        <v>19</v>
      </c>
      <c r="H102" s="4" t="s">
        <v>14</v>
      </c>
      <c r="I102" s="4" t="s">
        <v>15</v>
      </c>
      <c r="J102" s="4" t="s">
        <v>16</v>
      </c>
      <c r="K102" s="133">
        <v>136.69999999999999</v>
      </c>
    </row>
    <row r="103" spans="1:11" x14ac:dyDescent="0.25">
      <c r="A103" s="132">
        <v>46284.082708333335</v>
      </c>
      <c r="B103" s="4" t="s">
        <v>36</v>
      </c>
      <c r="C103" s="4" t="s">
        <v>204</v>
      </c>
      <c r="D103" s="4" t="s">
        <v>30</v>
      </c>
      <c r="E103" s="4" t="s">
        <v>31</v>
      </c>
      <c r="F103" s="4">
        <v>10</v>
      </c>
      <c r="G103" s="4" t="s">
        <v>13</v>
      </c>
      <c r="H103" s="4" t="s">
        <v>20</v>
      </c>
      <c r="I103" s="4" t="s">
        <v>15</v>
      </c>
      <c r="J103" s="4" t="s">
        <v>160</v>
      </c>
      <c r="K103" s="133">
        <v>87</v>
      </c>
    </row>
    <row r="104" spans="1:11" x14ac:dyDescent="0.25">
      <c r="A104" s="132">
        <v>46284.210752314815</v>
      </c>
      <c r="B104" s="4" t="s">
        <v>22</v>
      </c>
      <c r="C104" s="4" t="s">
        <v>202</v>
      </c>
      <c r="D104" s="4" t="s">
        <v>229</v>
      </c>
      <c r="E104" s="4" t="s">
        <v>230</v>
      </c>
      <c r="F104" s="4">
        <v>10</v>
      </c>
      <c r="G104" s="4" t="s">
        <v>13</v>
      </c>
      <c r="H104" s="4" t="s">
        <v>14</v>
      </c>
      <c r="I104" s="4" t="s">
        <v>15</v>
      </c>
      <c r="J104" s="4" t="s">
        <v>37</v>
      </c>
      <c r="K104" s="133">
        <v>70</v>
      </c>
    </row>
    <row r="105" spans="1:11" x14ac:dyDescent="0.25">
      <c r="A105" s="132">
        <v>46284.252453703702</v>
      </c>
      <c r="B105" s="4" t="s">
        <v>36</v>
      </c>
      <c r="C105" s="4" t="s">
        <v>204</v>
      </c>
      <c r="D105" s="4" t="s">
        <v>229</v>
      </c>
      <c r="E105" s="4" t="s">
        <v>230</v>
      </c>
      <c r="F105" s="4">
        <v>10</v>
      </c>
      <c r="G105" s="4" t="s">
        <v>13</v>
      </c>
      <c r="H105" s="4" t="s">
        <v>20</v>
      </c>
      <c r="I105" s="4" t="s">
        <v>15</v>
      </c>
      <c r="J105" s="4" t="s">
        <v>160</v>
      </c>
      <c r="K105" s="133">
        <v>87</v>
      </c>
    </row>
    <row r="106" spans="1:11" x14ac:dyDescent="0.25">
      <c r="A106" s="132">
        <v>46284.252627314818</v>
      </c>
      <c r="B106" s="4" t="s">
        <v>17</v>
      </c>
      <c r="C106" s="4" t="s">
        <v>18</v>
      </c>
      <c r="D106" s="4" t="s">
        <v>229</v>
      </c>
      <c r="E106" s="4" t="s">
        <v>230</v>
      </c>
      <c r="F106" s="4">
        <v>5</v>
      </c>
      <c r="G106" s="4" t="s">
        <v>28</v>
      </c>
      <c r="H106" s="4" t="s">
        <v>20</v>
      </c>
      <c r="I106" s="4" t="s">
        <v>15</v>
      </c>
      <c r="J106" s="4" t="s">
        <v>29</v>
      </c>
      <c r="K106" s="133">
        <v>47.8</v>
      </c>
    </row>
    <row r="107" spans="1:11" x14ac:dyDescent="0.25">
      <c r="A107" s="132">
        <v>46284.55704861111</v>
      </c>
      <c r="B107" s="4" t="s">
        <v>22</v>
      </c>
      <c r="C107" s="4" t="s">
        <v>202</v>
      </c>
      <c r="D107" s="4" t="s">
        <v>229</v>
      </c>
      <c r="E107" s="4" t="s">
        <v>230</v>
      </c>
      <c r="F107" s="4">
        <v>10</v>
      </c>
      <c r="G107" s="4" t="s">
        <v>28</v>
      </c>
      <c r="H107" s="4" t="s">
        <v>14</v>
      </c>
      <c r="I107" s="4" t="s">
        <v>15</v>
      </c>
      <c r="J107" s="4" t="s">
        <v>29</v>
      </c>
      <c r="K107" s="133">
        <v>70</v>
      </c>
    </row>
    <row r="108" spans="1:11" x14ac:dyDescent="0.25">
      <c r="A108" s="132">
        <v>46284.635451388887</v>
      </c>
      <c r="B108" s="4" t="s">
        <v>240</v>
      </c>
      <c r="C108" s="4" t="s">
        <v>241</v>
      </c>
      <c r="D108" s="4" t="s">
        <v>229</v>
      </c>
      <c r="E108" s="4" t="s">
        <v>230</v>
      </c>
      <c r="F108" s="4">
        <v>5</v>
      </c>
      <c r="G108" s="4" t="s">
        <v>19</v>
      </c>
      <c r="H108" s="4" t="s">
        <v>39</v>
      </c>
      <c r="I108" s="4" t="s">
        <v>15</v>
      </c>
      <c r="J108" s="4" t="s">
        <v>16</v>
      </c>
      <c r="K108" s="133">
        <v>40</v>
      </c>
    </row>
    <row r="109" spans="1:11" x14ac:dyDescent="0.25">
      <c r="A109" s="132">
        <v>46284.635682870372</v>
      </c>
      <c r="B109" s="4" t="s">
        <v>294</v>
      </c>
      <c r="C109" s="4" t="s">
        <v>295</v>
      </c>
      <c r="D109" s="4" t="s">
        <v>229</v>
      </c>
      <c r="E109" s="4" t="s">
        <v>230</v>
      </c>
      <c r="F109" s="4">
        <v>5</v>
      </c>
      <c r="G109" s="4" t="s">
        <v>19</v>
      </c>
      <c r="H109" s="4" t="s">
        <v>39</v>
      </c>
      <c r="I109" s="4" t="s">
        <v>15</v>
      </c>
      <c r="J109" s="4" t="s">
        <v>16</v>
      </c>
      <c r="K109" s="133">
        <v>40</v>
      </c>
    </row>
    <row r="110" spans="1:11" x14ac:dyDescent="0.25">
      <c r="A110" s="132">
        <v>46284.63585648148</v>
      </c>
      <c r="B110" s="4" t="s">
        <v>12</v>
      </c>
      <c r="C110" s="4" t="s">
        <v>201</v>
      </c>
      <c r="D110" s="4" t="s">
        <v>229</v>
      </c>
      <c r="E110" s="4" t="s">
        <v>230</v>
      </c>
      <c r="F110" s="4">
        <v>10</v>
      </c>
      <c r="G110" s="4" t="s">
        <v>19</v>
      </c>
      <c r="H110" s="4" t="s">
        <v>14</v>
      </c>
      <c r="I110" s="4" t="s">
        <v>15</v>
      </c>
      <c r="J110" s="4" t="s">
        <v>16</v>
      </c>
      <c r="K110" s="133">
        <v>136.69999999999999</v>
      </c>
    </row>
    <row r="111" spans="1:11" x14ac:dyDescent="0.25">
      <c r="A111" s="132">
        <v>46284.636041666665</v>
      </c>
      <c r="B111" s="4" t="s">
        <v>22</v>
      </c>
      <c r="C111" s="4" t="s">
        <v>202</v>
      </c>
      <c r="D111" s="4" t="s">
        <v>229</v>
      </c>
      <c r="E111" s="4" t="s">
        <v>230</v>
      </c>
      <c r="F111" s="4">
        <v>10</v>
      </c>
      <c r="G111" s="4" t="s">
        <v>19</v>
      </c>
      <c r="H111" s="4" t="s">
        <v>14</v>
      </c>
      <c r="I111" s="4" t="s">
        <v>15</v>
      </c>
      <c r="J111" s="4" t="s">
        <v>16</v>
      </c>
      <c r="K111" s="133">
        <v>70</v>
      </c>
    </row>
    <row r="112" spans="1:11" x14ac:dyDescent="0.25">
      <c r="A112" s="132">
        <v>46284.63622685185</v>
      </c>
      <c r="B112" s="4" t="s">
        <v>23</v>
      </c>
      <c r="C112" s="4" t="s">
        <v>24</v>
      </c>
      <c r="D112" s="4" t="s">
        <v>229</v>
      </c>
      <c r="E112" s="4" t="s">
        <v>230</v>
      </c>
      <c r="F112" s="4">
        <v>10</v>
      </c>
      <c r="G112" s="4" t="s">
        <v>19</v>
      </c>
      <c r="H112" s="4" t="s">
        <v>14</v>
      </c>
      <c r="I112" s="4" t="s">
        <v>15</v>
      </c>
      <c r="J112" s="4" t="s">
        <v>16</v>
      </c>
      <c r="K112" s="133">
        <v>71.2</v>
      </c>
    </row>
    <row r="113" spans="1:11" x14ac:dyDescent="0.25">
      <c r="A113" s="132">
        <v>46284.636388888888</v>
      </c>
      <c r="B113" s="4" t="s">
        <v>17</v>
      </c>
      <c r="C113" s="4" t="s">
        <v>18</v>
      </c>
      <c r="D113" s="4" t="s">
        <v>229</v>
      </c>
      <c r="E113" s="4" t="s">
        <v>230</v>
      </c>
      <c r="F113" s="4">
        <v>5</v>
      </c>
      <c r="G113" s="4" t="s">
        <v>19</v>
      </c>
      <c r="H113" s="4" t="s">
        <v>20</v>
      </c>
      <c r="I113" s="4" t="s">
        <v>15</v>
      </c>
      <c r="J113" s="4" t="s">
        <v>16</v>
      </c>
      <c r="K113" s="133">
        <v>47.8</v>
      </c>
    </row>
    <row r="114" spans="1:11" x14ac:dyDescent="0.25">
      <c r="A114" s="132">
        <v>46284.636550925927</v>
      </c>
      <c r="B114" s="4" t="s">
        <v>17</v>
      </c>
      <c r="C114" s="4" t="s">
        <v>18</v>
      </c>
      <c r="D114" s="4" t="s">
        <v>229</v>
      </c>
      <c r="E114" s="4" t="s">
        <v>230</v>
      </c>
      <c r="F114" s="4">
        <v>5</v>
      </c>
      <c r="G114" s="4" t="s">
        <v>19</v>
      </c>
      <c r="H114" s="4" t="s">
        <v>20</v>
      </c>
      <c r="I114" s="4" t="s">
        <v>15</v>
      </c>
      <c r="J114" s="4" t="s">
        <v>16</v>
      </c>
      <c r="K114" s="133">
        <v>47.8</v>
      </c>
    </row>
    <row r="115" spans="1:11" x14ac:dyDescent="0.25">
      <c r="A115" s="132">
        <v>46284.636747685188</v>
      </c>
      <c r="B115" s="4" t="s">
        <v>35</v>
      </c>
      <c r="C115" s="4" t="s">
        <v>205</v>
      </c>
      <c r="D115" s="4" t="s">
        <v>229</v>
      </c>
      <c r="E115" s="4" t="s">
        <v>230</v>
      </c>
      <c r="F115" s="4">
        <v>10</v>
      </c>
      <c r="G115" s="4" t="s">
        <v>19</v>
      </c>
      <c r="H115" s="4" t="s">
        <v>20</v>
      </c>
      <c r="I115" s="4" t="s">
        <v>15</v>
      </c>
      <c r="J115" s="4" t="s">
        <v>16</v>
      </c>
      <c r="K115" s="133">
        <v>118.7</v>
      </c>
    </row>
    <row r="116" spans="1:11" x14ac:dyDescent="0.25">
      <c r="A116" s="132">
        <v>46284.636956018519</v>
      </c>
      <c r="B116" s="4" t="s">
        <v>22</v>
      </c>
      <c r="C116" s="4" t="s">
        <v>202</v>
      </c>
      <c r="D116" s="4" t="s">
        <v>229</v>
      </c>
      <c r="E116" s="4" t="s">
        <v>230</v>
      </c>
      <c r="F116" s="4">
        <v>10</v>
      </c>
      <c r="G116" s="4" t="s">
        <v>19</v>
      </c>
      <c r="H116" s="4" t="s">
        <v>14</v>
      </c>
      <c r="I116" s="4" t="s">
        <v>15</v>
      </c>
      <c r="J116" s="4" t="s">
        <v>16</v>
      </c>
      <c r="K116" s="133">
        <v>70</v>
      </c>
    </row>
    <row r="117" spans="1:11" x14ac:dyDescent="0.25">
      <c r="A117" s="132">
        <v>46285.172476851854</v>
      </c>
      <c r="B117" s="4" t="s">
        <v>12</v>
      </c>
      <c r="C117" s="4" t="s">
        <v>201</v>
      </c>
      <c r="D117" s="4" t="s">
        <v>26</v>
      </c>
      <c r="E117" s="4" t="s">
        <v>27</v>
      </c>
      <c r="F117" s="4">
        <v>10</v>
      </c>
      <c r="G117" s="4" t="s">
        <v>19</v>
      </c>
      <c r="H117" s="4" t="s">
        <v>14</v>
      </c>
      <c r="I117" s="4" t="s">
        <v>15</v>
      </c>
      <c r="J117" s="4" t="s">
        <v>16</v>
      </c>
      <c r="K117" s="133">
        <v>136.69999999999999</v>
      </c>
    </row>
    <row r="118" spans="1:11" x14ac:dyDescent="0.25">
      <c r="A118" s="132">
        <v>46285.221597222226</v>
      </c>
      <c r="B118" s="4" t="s">
        <v>44</v>
      </c>
      <c r="C118" s="4" t="s">
        <v>18</v>
      </c>
      <c r="D118" s="4" t="s">
        <v>229</v>
      </c>
      <c r="E118" s="4" t="s">
        <v>230</v>
      </c>
      <c r="F118" s="4">
        <v>5</v>
      </c>
      <c r="G118" s="4" t="s">
        <v>28</v>
      </c>
      <c r="H118" s="4" t="s">
        <v>39</v>
      </c>
      <c r="I118" s="4" t="s">
        <v>15</v>
      </c>
      <c r="J118" s="4" t="s">
        <v>29</v>
      </c>
      <c r="K118" s="133">
        <v>44.85</v>
      </c>
    </row>
    <row r="119" spans="1:11" x14ac:dyDescent="0.25">
      <c r="A119" s="132">
        <v>46285.395590277774</v>
      </c>
      <c r="B119" s="4" t="s">
        <v>36</v>
      </c>
      <c r="C119" s="4" t="s">
        <v>204</v>
      </c>
      <c r="D119" s="4" t="s">
        <v>229</v>
      </c>
      <c r="E119" s="4" t="s">
        <v>230</v>
      </c>
      <c r="F119" s="4">
        <v>10</v>
      </c>
      <c r="G119" s="4" t="s">
        <v>13</v>
      </c>
      <c r="H119" s="4" t="s">
        <v>20</v>
      </c>
      <c r="I119" s="4" t="s">
        <v>15</v>
      </c>
      <c r="J119" s="4" t="s">
        <v>37</v>
      </c>
      <c r="K119" s="133">
        <v>87</v>
      </c>
    </row>
    <row r="120" spans="1:11" x14ac:dyDescent="0.25">
      <c r="A120" s="132">
        <v>46285.395775462966</v>
      </c>
      <c r="B120" s="4" t="s">
        <v>17</v>
      </c>
      <c r="C120" s="4" t="s">
        <v>18</v>
      </c>
      <c r="D120" s="4" t="s">
        <v>229</v>
      </c>
      <c r="E120" s="4" t="s">
        <v>230</v>
      </c>
      <c r="F120" s="4">
        <v>5</v>
      </c>
      <c r="G120" s="4" t="s">
        <v>28</v>
      </c>
      <c r="H120" s="4" t="s">
        <v>20</v>
      </c>
      <c r="I120" s="4" t="s">
        <v>15</v>
      </c>
      <c r="J120" s="4" t="s">
        <v>29</v>
      </c>
      <c r="K120" s="133">
        <v>47.8</v>
      </c>
    </row>
    <row r="121" spans="1:11" x14ac:dyDescent="0.25">
      <c r="A121" s="132">
        <v>46285.395949074074</v>
      </c>
      <c r="B121" s="4" t="s">
        <v>40</v>
      </c>
      <c r="C121" s="4" t="s">
        <v>209</v>
      </c>
      <c r="D121" s="4" t="s">
        <v>229</v>
      </c>
      <c r="E121" s="4" t="s">
        <v>230</v>
      </c>
      <c r="F121" s="4">
        <v>10</v>
      </c>
      <c r="G121" s="4" t="s">
        <v>13</v>
      </c>
      <c r="H121" s="4" t="s">
        <v>14</v>
      </c>
      <c r="I121" s="4" t="s">
        <v>15</v>
      </c>
      <c r="J121" s="4" t="s">
        <v>37</v>
      </c>
      <c r="K121" s="133">
        <v>188</v>
      </c>
    </row>
    <row r="122" spans="1:11" x14ac:dyDescent="0.25">
      <c r="A122" s="132">
        <v>46285.396134259259</v>
      </c>
      <c r="B122" s="4" t="s">
        <v>40</v>
      </c>
      <c r="C122" s="4" t="s">
        <v>209</v>
      </c>
      <c r="D122" s="4" t="s">
        <v>229</v>
      </c>
      <c r="E122" s="4" t="s">
        <v>230</v>
      </c>
      <c r="F122" s="4">
        <v>10</v>
      </c>
      <c r="G122" s="4" t="s">
        <v>13</v>
      </c>
      <c r="H122" s="4" t="s">
        <v>14</v>
      </c>
      <c r="I122" s="4" t="s">
        <v>15</v>
      </c>
      <c r="J122" s="4" t="s">
        <v>37</v>
      </c>
      <c r="K122" s="133">
        <v>188</v>
      </c>
    </row>
    <row r="123" spans="1:11" x14ac:dyDescent="0.25">
      <c r="A123" s="132">
        <v>46285.397696759261</v>
      </c>
      <c r="B123" s="4" t="s">
        <v>41</v>
      </c>
      <c r="C123" s="4" t="s">
        <v>205</v>
      </c>
      <c r="D123" s="4" t="s">
        <v>229</v>
      </c>
      <c r="E123" s="4" t="s">
        <v>230</v>
      </c>
      <c r="F123" s="4">
        <v>10</v>
      </c>
      <c r="G123" s="4" t="s">
        <v>13</v>
      </c>
      <c r="H123" s="4" t="s">
        <v>20</v>
      </c>
      <c r="I123" s="4" t="s">
        <v>15</v>
      </c>
      <c r="J123" s="4" t="s">
        <v>37</v>
      </c>
      <c r="K123" s="133">
        <v>138.80000000000001</v>
      </c>
    </row>
    <row r="124" spans="1:11" x14ac:dyDescent="0.25">
      <c r="A124" s="132">
        <v>46285.397858796299</v>
      </c>
      <c r="B124" s="4" t="s">
        <v>35</v>
      </c>
      <c r="C124" s="4" t="s">
        <v>205</v>
      </c>
      <c r="D124" s="4" t="s">
        <v>229</v>
      </c>
      <c r="E124" s="4" t="s">
        <v>230</v>
      </c>
      <c r="F124" s="4">
        <v>10</v>
      </c>
      <c r="G124" s="4" t="s">
        <v>13</v>
      </c>
      <c r="H124" s="4" t="s">
        <v>20</v>
      </c>
      <c r="I124" s="4" t="s">
        <v>15</v>
      </c>
      <c r="J124" s="4" t="s">
        <v>37</v>
      </c>
      <c r="K124" s="133">
        <v>118.7</v>
      </c>
    </row>
    <row r="125" spans="1:11" x14ac:dyDescent="0.25">
      <c r="A125" s="132">
        <v>46285.777106481481</v>
      </c>
      <c r="B125" s="4" t="s">
        <v>22</v>
      </c>
      <c r="C125" s="4" t="s">
        <v>202</v>
      </c>
      <c r="D125" s="4" t="s">
        <v>207</v>
      </c>
      <c r="E125" s="4" t="s">
        <v>208</v>
      </c>
      <c r="F125" s="4">
        <v>10</v>
      </c>
      <c r="G125" s="4" t="s">
        <v>13</v>
      </c>
      <c r="H125" s="4" t="s">
        <v>14</v>
      </c>
      <c r="I125" s="4" t="s">
        <v>15</v>
      </c>
      <c r="J125" s="4" t="s">
        <v>37</v>
      </c>
      <c r="K125" s="133">
        <v>70</v>
      </c>
    </row>
    <row r="126" spans="1:11" x14ac:dyDescent="0.25">
      <c r="A126" s="132">
        <v>46285.777581018519</v>
      </c>
      <c r="B126" s="4" t="s">
        <v>22</v>
      </c>
      <c r="C126" s="4" t="s">
        <v>202</v>
      </c>
      <c r="D126" s="4" t="s">
        <v>207</v>
      </c>
      <c r="E126" s="4" t="s">
        <v>208</v>
      </c>
      <c r="F126" s="4">
        <v>10</v>
      </c>
      <c r="G126" s="4" t="s">
        <v>13</v>
      </c>
      <c r="H126" s="4" t="s">
        <v>39</v>
      </c>
      <c r="I126" s="4" t="s">
        <v>15</v>
      </c>
      <c r="J126" s="4" t="s">
        <v>37</v>
      </c>
      <c r="K126" s="133">
        <v>70</v>
      </c>
    </row>
    <row r="127" spans="1:11" x14ac:dyDescent="0.25">
      <c r="A127" s="132">
        <v>46285.779699074075</v>
      </c>
      <c r="B127" s="4" t="s">
        <v>294</v>
      </c>
      <c r="C127" s="4" t="s">
        <v>295</v>
      </c>
      <c r="D127" s="4" t="s">
        <v>207</v>
      </c>
      <c r="E127" s="4" t="s">
        <v>208</v>
      </c>
      <c r="F127" s="4">
        <v>5</v>
      </c>
      <c r="G127" s="4" t="s">
        <v>19</v>
      </c>
      <c r="H127" s="4" t="s">
        <v>39</v>
      </c>
      <c r="I127" s="4" t="s">
        <v>15</v>
      </c>
      <c r="J127" s="4" t="s">
        <v>16</v>
      </c>
      <c r="K127" s="133">
        <v>40</v>
      </c>
    </row>
    <row r="128" spans="1:11" x14ac:dyDescent="0.25">
      <c r="A128" s="132">
        <v>46285.806157407409</v>
      </c>
      <c r="B128" s="4" t="s">
        <v>294</v>
      </c>
      <c r="C128" s="4" t="s">
        <v>295</v>
      </c>
      <c r="D128" s="4" t="s">
        <v>26</v>
      </c>
      <c r="E128" s="4" t="s">
        <v>27</v>
      </c>
      <c r="F128" s="4">
        <v>5</v>
      </c>
      <c r="G128" s="4" t="s">
        <v>19</v>
      </c>
      <c r="H128" s="4" t="s">
        <v>39</v>
      </c>
      <c r="I128" s="4" t="s">
        <v>15</v>
      </c>
      <c r="J128" s="4" t="s">
        <v>16</v>
      </c>
      <c r="K128" s="133">
        <v>40</v>
      </c>
    </row>
    <row r="129" spans="1:11" x14ac:dyDescent="0.25">
      <c r="A129" s="132">
        <v>46285.806307870371</v>
      </c>
      <c r="B129" s="4" t="s">
        <v>294</v>
      </c>
      <c r="C129" s="4" t="s">
        <v>295</v>
      </c>
      <c r="D129" s="4" t="s">
        <v>26</v>
      </c>
      <c r="E129" s="4" t="s">
        <v>27</v>
      </c>
      <c r="F129" s="4">
        <v>5</v>
      </c>
      <c r="G129" s="4" t="s">
        <v>19</v>
      </c>
      <c r="H129" s="4" t="s">
        <v>39</v>
      </c>
      <c r="I129" s="4" t="s">
        <v>15</v>
      </c>
      <c r="J129" s="4" t="s">
        <v>16</v>
      </c>
      <c r="K129" s="133">
        <v>40</v>
      </c>
    </row>
    <row r="130" spans="1:11" x14ac:dyDescent="0.25">
      <c r="A130" s="132">
        <v>46285.848796296297</v>
      </c>
      <c r="B130" s="4" t="s">
        <v>17</v>
      </c>
      <c r="C130" s="4" t="s">
        <v>18</v>
      </c>
      <c r="D130" s="4" t="s">
        <v>26</v>
      </c>
      <c r="E130" s="4" t="s">
        <v>27</v>
      </c>
      <c r="F130" s="4">
        <v>5</v>
      </c>
      <c r="G130" s="4" t="s">
        <v>19</v>
      </c>
      <c r="H130" s="4" t="s">
        <v>20</v>
      </c>
      <c r="I130" s="4" t="s">
        <v>15</v>
      </c>
      <c r="J130" s="4" t="s">
        <v>16</v>
      </c>
      <c r="K130" s="133">
        <v>47.8</v>
      </c>
    </row>
    <row r="131" spans="1:11" x14ac:dyDescent="0.25">
      <c r="A131" s="132">
        <v>46285.848935185182</v>
      </c>
      <c r="B131" s="4" t="s">
        <v>17</v>
      </c>
      <c r="C131" s="4" t="s">
        <v>18</v>
      </c>
      <c r="D131" s="4" t="s">
        <v>26</v>
      </c>
      <c r="E131" s="4" t="s">
        <v>27</v>
      </c>
      <c r="F131" s="4">
        <v>5</v>
      </c>
      <c r="G131" s="4" t="s">
        <v>19</v>
      </c>
      <c r="H131" s="4" t="s">
        <v>20</v>
      </c>
      <c r="I131" s="4" t="s">
        <v>15</v>
      </c>
      <c r="J131" s="4" t="s">
        <v>16</v>
      </c>
      <c r="K131" s="133">
        <v>47.8</v>
      </c>
    </row>
    <row r="132" spans="1:11" x14ac:dyDescent="0.25">
      <c r="A132" s="132">
        <v>46285.849097222221</v>
      </c>
      <c r="B132" s="4" t="s">
        <v>35</v>
      </c>
      <c r="C132" s="4" t="s">
        <v>205</v>
      </c>
      <c r="D132" s="4" t="s">
        <v>26</v>
      </c>
      <c r="E132" s="4" t="s">
        <v>27</v>
      </c>
      <c r="F132" s="4">
        <v>10</v>
      </c>
      <c r="G132" s="4" t="s">
        <v>19</v>
      </c>
      <c r="H132" s="4" t="s">
        <v>20</v>
      </c>
      <c r="I132" s="4" t="s">
        <v>15</v>
      </c>
      <c r="J132" s="4" t="s">
        <v>16</v>
      </c>
      <c r="K132" s="133">
        <v>118.7</v>
      </c>
    </row>
    <row r="133" spans="1:11" x14ac:dyDescent="0.25">
      <c r="A133" s="132">
        <v>46285.849236111113</v>
      </c>
      <c r="B133" s="4" t="s">
        <v>22</v>
      </c>
      <c r="C133" s="4" t="s">
        <v>202</v>
      </c>
      <c r="D133" s="4" t="s">
        <v>26</v>
      </c>
      <c r="E133" s="4" t="s">
        <v>27</v>
      </c>
      <c r="F133" s="4">
        <v>10</v>
      </c>
      <c r="G133" s="4" t="s">
        <v>13</v>
      </c>
      <c r="H133" s="4" t="s">
        <v>14</v>
      </c>
      <c r="I133" s="4" t="s">
        <v>15</v>
      </c>
      <c r="J133" s="4" t="s">
        <v>16</v>
      </c>
      <c r="K133" s="133">
        <v>70</v>
      </c>
    </row>
    <row r="134" spans="1:11" x14ac:dyDescent="0.25">
      <c r="A134" s="132">
        <v>46285.891250000001</v>
      </c>
      <c r="B134" s="4" t="s">
        <v>294</v>
      </c>
      <c r="C134" s="4" t="s">
        <v>295</v>
      </c>
      <c r="D134" s="4" t="s">
        <v>207</v>
      </c>
      <c r="E134" s="4" t="s">
        <v>208</v>
      </c>
      <c r="F134" s="4">
        <v>5</v>
      </c>
      <c r="G134" s="4" t="s">
        <v>19</v>
      </c>
      <c r="H134" s="4" t="s">
        <v>39</v>
      </c>
      <c r="I134" s="4" t="s">
        <v>15</v>
      </c>
      <c r="J134" s="4" t="s">
        <v>16</v>
      </c>
      <c r="K134" s="133">
        <v>40</v>
      </c>
    </row>
    <row r="135" spans="1:11" x14ac:dyDescent="0.25">
      <c r="A135" s="132">
        <v>46285.891539351855</v>
      </c>
      <c r="B135" s="4" t="s">
        <v>240</v>
      </c>
      <c r="C135" s="4" t="s">
        <v>241</v>
      </c>
      <c r="D135" s="4" t="s">
        <v>207</v>
      </c>
      <c r="E135" s="4" t="s">
        <v>208</v>
      </c>
      <c r="F135" s="4">
        <v>5</v>
      </c>
      <c r="G135" s="4" t="s">
        <v>19</v>
      </c>
      <c r="H135" s="4" t="s">
        <v>39</v>
      </c>
      <c r="I135" s="4" t="s">
        <v>15</v>
      </c>
      <c r="J135" s="4" t="s">
        <v>16</v>
      </c>
      <c r="K135" s="133">
        <v>40</v>
      </c>
    </row>
    <row r="136" spans="1:11" x14ac:dyDescent="0.25">
      <c r="A136" s="132"/>
      <c r="B136" s="4" t="s">
        <v>198</v>
      </c>
      <c r="F136" s="4">
        <v>0</v>
      </c>
      <c r="G136" s="4" t="s">
        <v>19</v>
      </c>
      <c r="H136" s="4" t="s">
        <v>39</v>
      </c>
      <c r="I136" s="4" t="s">
        <v>15</v>
      </c>
      <c r="J136" s="4" t="s">
        <v>21</v>
      </c>
      <c r="K136" s="133">
        <v>0</v>
      </c>
    </row>
    <row r="137" spans="1:11" x14ac:dyDescent="0.25">
      <c r="A137" s="132"/>
      <c r="B137" s="4" t="s">
        <v>46</v>
      </c>
      <c r="F137" s="4">
        <v>0</v>
      </c>
      <c r="G137" s="4" t="s">
        <v>19</v>
      </c>
      <c r="H137" s="4" t="s">
        <v>39</v>
      </c>
      <c r="I137" s="4" t="s">
        <v>15</v>
      </c>
      <c r="J137" s="4" t="s">
        <v>21</v>
      </c>
      <c r="K137" s="133">
        <v>0</v>
      </c>
    </row>
    <row r="138" spans="1:11" x14ac:dyDescent="0.25">
      <c r="A138" s="132"/>
      <c r="B138" s="4" t="s">
        <v>198</v>
      </c>
      <c r="F138" s="4">
        <v>4</v>
      </c>
      <c r="G138" s="4" t="s">
        <v>19</v>
      </c>
      <c r="H138" s="4" t="s">
        <v>39</v>
      </c>
      <c r="I138" s="4" t="s">
        <v>15</v>
      </c>
      <c r="J138" s="4" t="s">
        <v>16</v>
      </c>
      <c r="K138" s="133">
        <v>152</v>
      </c>
    </row>
    <row r="139" spans="1:11" x14ac:dyDescent="0.25">
      <c r="A139" s="132"/>
      <c r="B139" s="4" t="s">
        <v>46</v>
      </c>
      <c r="F139" s="4">
        <v>5</v>
      </c>
      <c r="G139" s="4" t="s">
        <v>19</v>
      </c>
      <c r="H139" s="4" t="s">
        <v>39</v>
      </c>
      <c r="I139" s="4" t="s">
        <v>15</v>
      </c>
      <c r="J139" s="4" t="s">
        <v>16</v>
      </c>
      <c r="K139" s="133">
        <v>190</v>
      </c>
    </row>
    <row r="140" spans="1:11" x14ac:dyDescent="0.25">
      <c r="A140" s="132"/>
      <c r="B140" s="4" t="s">
        <v>198</v>
      </c>
      <c r="F140" s="4">
        <v>0</v>
      </c>
      <c r="G140" s="4" t="s">
        <v>13</v>
      </c>
      <c r="H140" s="4" t="s">
        <v>39</v>
      </c>
      <c r="I140" s="4" t="s">
        <v>15</v>
      </c>
      <c r="J140" s="4" t="s">
        <v>16</v>
      </c>
      <c r="K140" s="133">
        <v>0</v>
      </c>
    </row>
    <row r="141" spans="1:11" x14ac:dyDescent="0.25">
      <c r="A141" s="132"/>
      <c r="B141" s="4" t="s">
        <v>46</v>
      </c>
      <c r="F141" s="4">
        <v>1</v>
      </c>
      <c r="G141" s="4" t="s">
        <v>13</v>
      </c>
      <c r="H141" s="4" t="s">
        <v>39</v>
      </c>
      <c r="I141" s="4" t="s">
        <v>15</v>
      </c>
      <c r="J141" s="4" t="s">
        <v>16</v>
      </c>
      <c r="K141" s="133">
        <v>38</v>
      </c>
    </row>
    <row r="142" spans="1:11" x14ac:dyDescent="0.25">
      <c r="A142" s="132"/>
      <c r="B142" s="4" t="s">
        <v>198</v>
      </c>
      <c r="F142" s="4">
        <v>1</v>
      </c>
      <c r="G142" s="4" t="s">
        <v>13</v>
      </c>
      <c r="H142" s="4" t="s">
        <v>39</v>
      </c>
      <c r="I142" s="4" t="s">
        <v>15</v>
      </c>
      <c r="J142" s="4" t="s">
        <v>37</v>
      </c>
      <c r="K142" s="133">
        <v>38</v>
      </c>
    </row>
    <row r="143" spans="1:11" x14ac:dyDescent="0.25">
      <c r="A143" s="132"/>
      <c r="B143" s="4" t="s">
        <v>46</v>
      </c>
      <c r="F143" s="4">
        <v>4</v>
      </c>
      <c r="G143" s="4" t="s">
        <v>13</v>
      </c>
      <c r="H143" s="4" t="s">
        <v>39</v>
      </c>
      <c r="I143" s="4" t="s">
        <v>15</v>
      </c>
      <c r="J143" s="4" t="s">
        <v>37</v>
      </c>
      <c r="K143" s="133">
        <v>152</v>
      </c>
    </row>
    <row r="144" spans="1:11" x14ac:dyDescent="0.25">
      <c r="A144" s="132"/>
      <c r="B144" s="4" t="s">
        <v>47</v>
      </c>
      <c r="F144" s="4">
        <v>0</v>
      </c>
      <c r="G144" s="4" t="s">
        <v>13</v>
      </c>
      <c r="H144" s="4" t="s">
        <v>39</v>
      </c>
      <c r="I144" s="4" t="s">
        <v>15</v>
      </c>
      <c r="J144" s="4" t="s">
        <v>16</v>
      </c>
      <c r="K144" s="133">
        <v>0</v>
      </c>
    </row>
    <row r="145" spans="1:11" x14ac:dyDescent="0.25">
      <c r="A145" s="132"/>
      <c r="B145" s="4" t="s">
        <v>198</v>
      </c>
      <c r="F145" s="4">
        <v>0</v>
      </c>
      <c r="G145" s="4" t="s">
        <v>28</v>
      </c>
      <c r="H145" s="4" t="s">
        <v>39</v>
      </c>
      <c r="I145" s="4" t="s">
        <v>15</v>
      </c>
      <c r="J145" s="4" t="s">
        <v>21</v>
      </c>
      <c r="K145" s="133">
        <v>0</v>
      </c>
    </row>
    <row r="146" spans="1:11" x14ac:dyDescent="0.25">
      <c r="A146" s="132"/>
      <c r="B146" s="4" t="s">
        <v>46</v>
      </c>
      <c r="F146" s="4">
        <v>0</v>
      </c>
      <c r="G146" s="4" t="s">
        <v>28</v>
      </c>
      <c r="H146" s="4" t="s">
        <v>39</v>
      </c>
      <c r="I146" s="4" t="s">
        <v>15</v>
      </c>
      <c r="J146" s="4" t="s">
        <v>21</v>
      </c>
      <c r="K146" s="133">
        <v>0</v>
      </c>
    </row>
    <row r="147" spans="1:11" x14ac:dyDescent="0.25">
      <c r="A147" s="132"/>
      <c r="B147" s="4" t="s">
        <v>198</v>
      </c>
      <c r="F147" s="4">
        <v>0</v>
      </c>
      <c r="G147" s="4" t="s">
        <v>28</v>
      </c>
      <c r="H147" s="4" t="s">
        <v>39</v>
      </c>
      <c r="I147" s="4" t="s">
        <v>15</v>
      </c>
      <c r="J147" s="4" t="s">
        <v>37</v>
      </c>
      <c r="K147" s="133">
        <v>0</v>
      </c>
    </row>
    <row r="148" spans="1:11" x14ac:dyDescent="0.25">
      <c r="A148" s="132"/>
      <c r="B148" s="4" t="s">
        <v>46</v>
      </c>
      <c r="F148" s="4">
        <v>0</v>
      </c>
      <c r="G148" s="4" t="s">
        <v>28</v>
      </c>
      <c r="H148" s="4" t="s">
        <v>39</v>
      </c>
      <c r="I148" s="4" t="s">
        <v>15</v>
      </c>
      <c r="J148" s="4" t="s">
        <v>37</v>
      </c>
      <c r="K148" s="133">
        <v>0</v>
      </c>
    </row>
    <row r="149" spans="1:11" x14ac:dyDescent="0.25">
      <c r="A149" s="132"/>
      <c r="B149" s="4" t="s">
        <v>48</v>
      </c>
      <c r="F149" s="4">
        <v>2</v>
      </c>
      <c r="G149" s="4" t="s">
        <v>19</v>
      </c>
      <c r="H149" s="4" t="s">
        <v>38</v>
      </c>
      <c r="I149" s="4" t="s">
        <v>49</v>
      </c>
      <c r="K149" s="133">
        <v>90</v>
      </c>
    </row>
    <row r="150" spans="1:11" x14ac:dyDescent="0.25">
      <c r="A150" s="132"/>
      <c r="B150" s="4" t="s">
        <v>50</v>
      </c>
      <c r="F150" s="4">
        <v>1</v>
      </c>
      <c r="G150" s="4" t="s">
        <v>19</v>
      </c>
      <c r="H150" s="4" t="s">
        <v>38</v>
      </c>
      <c r="I150" s="4" t="s">
        <v>15</v>
      </c>
      <c r="K150" s="133">
        <v>10.65</v>
      </c>
    </row>
    <row r="151" spans="1:11" x14ac:dyDescent="0.25">
      <c r="A151" s="132"/>
      <c r="B151" s="4" t="s">
        <v>51</v>
      </c>
      <c r="F151" s="4">
        <v>0</v>
      </c>
      <c r="G151" s="4" t="s">
        <v>19</v>
      </c>
      <c r="H151" s="4" t="s">
        <v>38</v>
      </c>
      <c r="I151" s="4" t="s">
        <v>49</v>
      </c>
      <c r="J151" s="4" t="s">
        <v>21</v>
      </c>
      <c r="K151" s="133">
        <v>0</v>
      </c>
    </row>
    <row r="152" spans="1:11" x14ac:dyDescent="0.25">
      <c r="A152" s="132"/>
      <c r="B152" s="4" t="s">
        <v>52</v>
      </c>
      <c r="F152" s="4">
        <v>0</v>
      </c>
      <c r="G152" s="4" t="s">
        <v>19</v>
      </c>
      <c r="H152" s="4" t="s">
        <v>38</v>
      </c>
      <c r="I152" s="4" t="s">
        <v>15</v>
      </c>
      <c r="J152" s="4" t="s">
        <v>21</v>
      </c>
      <c r="K152" s="133">
        <v>0</v>
      </c>
    </row>
    <row r="153" spans="1:11" x14ac:dyDescent="0.25">
      <c r="A153" s="132"/>
      <c r="B153" s="4" t="s">
        <v>53</v>
      </c>
      <c r="F153" s="4">
        <v>4</v>
      </c>
      <c r="G153" s="4" t="s">
        <v>19</v>
      </c>
      <c r="H153" s="4" t="s">
        <v>38</v>
      </c>
      <c r="I153" s="4" t="s">
        <v>49</v>
      </c>
      <c r="J153" s="4" t="s">
        <v>16</v>
      </c>
      <c r="K153" s="133">
        <v>208</v>
      </c>
    </row>
    <row r="154" spans="1:11" x14ac:dyDescent="0.25">
      <c r="A154" s="132"/>
      <c r="B154" s="4" t="s">
        <v>52</v>
      </c>
      <c r="F154" s="4">
        <v>3</v>
      </c>
      <c r="G154" s="4" t="s">
        <v>19</v>
      </c>
      <c r="H154" s="4" t="s">
        <v>38</v>
      </c>
      <c r="I154" s="4" t="s">
        <v>15</v>
      </c>
      <c r="J154" s="4" t="s">
        <v>16</v>
      </c>
      <c r="K154" s="133">
        <v>36.54</v>
      </c>
    </row>
    <row r="155" spans="1:11" x14ac:dyDescent="0.25">
      <c r="A155" s="132"/>
      <c r="B155" s="4" t="s">
        <v>48</v>
      </c>
      <c r="F155" s="4">
        <v>2</v>
      </c>
      <c r="G155" s="4" t="s">
        <v>13</v>
      </c>
      <c r="H155" s="4" t="s">
        <v>38</v>
      </c>
      <c r="I155" s="4" t="s">
        <v>49</v>
      </c>
      <c r="K155" s="133">
        <v>90</v>
      </c>
    </row>
    <row r="156" spans="1:11" x14ac:dyDescent="0.25">
      <c r="A156" s="132"/>
      <c r="B156" s="4" t="s">
        <v>50</v>
      </c>
      <c r="F156" s="4">
        <v>1</v>
      </c>
      <c r="G156" s="4" t="s">
        <v>13</v>
      </c>
      <c r="H156" s="4" t="s">
        <v>38</v>
      </c>
      <c r="I156" s="4" t="s">
        <v>15</v>
      </c>
      <c r="K156" s="133">
        <v>10.65</v>
      </c>
    </row>
    <row r="157" spans="1:11" x14ac:dyDescent="0.25">
      <c r="A157" s="132"/>
      <c r="B157" s="4" t="s">
        <v>51</v>
      </c>
      <c r="F157" s="4">
        <v>4</v>
      </c>
      <c r="G157" s="4" t="s">
        <v>13</v>
      </c>
      <c r="H157" s="4" t="s">
        <v>38</v>
      </c>
      <c r="I157" s="4" t="s">
        <v>49</v>
      </c>
      <c r="J157" s="4" t="s">
        <v>37</v>
      </c>
      <c r="K157" s="133">
        <v>208</v>
      </c>
    </row>
    <row r="158" spans="1:11" x14ac:dyDescent="0.25">
      <c r="A158" s="132"/>
      <c r="B158" s="4" t="s">
        <v>52</v>
      </c>
      <c r="F158" s="4">
        <v>3</v>
      </c>
      <c r="G158" s="4" t="s">
        <v>13</v>
      </c>
      <c r="H158" s="4" t="s">
        <v>38</v>
      </c>
      <c r="I158" s="4" t="s">
        <v>15</v>
      </c>
      <c r="J158" s="4" t="s">
        <v>37</v>
      </c>
      <c r="K158" s="133">
        <v>36.54</v>
      </c>
    </row>
    <row r="159" spans="1:11" x14ac:dyDescent="0.25">
      <c r="A159" s="132"/>
      <c r="B159" s="4" t="s">
        <v>53</v>
      </c>
      <c r="F159" s="4">
        <v>0</v>
      </c>
      <c r="G159" s="4" t="s">
        <v>13</v>
      </c>
      <c r="H159" s="4" t="s">
        <v>38</v>
      </c>
      <c r="I159" s="4" t="s">
        <v>49</v>
      </c>
      <c r="J159" s="4" t="s">
        <v>16</v>
      </c>
      <c r="K159" s="133">
        <v>0</v>
      </c>
    </row>
    <row r="160" spans="1:11" x14ac:dyDescent="0.25">
      <c r="A160" s="132"/>
      <c r="B160" s="4" t="s">
        <v>52</v>
      </c>
      <c r="F160" s="4">
        <v>0</v>
      </c>
      <c r="G160" s="4" t="s">
        <v>13</v>
      </c>
      <c r="H160" s="4" t="s">
        <v>38</v>
      </c>
      <c r="I160" s="4" t="s">
        <v>15</v>
      </c>
      <c r="J160" s="4" t="s">
        <v>16</v>
      </c>
      <c r="K160" s="133">
        <v>0</v>
      </c>
    </row>
    <row r="161" spans="1:11" x14ac:dyDescent="0.25">
      <c r="A161" s="132"/>
      <c r="B161" s="4" t="s">
        <v>51</v>
      </c>
      <c r="F161" s="4">
        <v>1</v>
      </c>
      <c r="G161" s="4" t="s">
        <v>28</v>
      </c>
      <c r="H161" s="4" t="s">
        <v>38</v>
      </c>
      <c r="I161" s="4" t="s">
        <v>49</v>
      </c>
      <c r="J161" s="4" t="s">
        <v>37</v>
      </c>
      <c r="K161" s="133">
        <v>12.18</v>
      </c>
    </row>
    <row r="162" spans="1:11" x14ac:dyDescent="0.25">
      <c r="A162" s="132"/>
      <c r="B162" s="4" t="s">
        <v>52</v>
      </c>
      <c r="F162" s="4">
        <v>1</v>
      </c>
      <c r="G162" s="4" t="s">
        <v>28</v>
      </c>
      <c r="H162" s="4" t="s">
        <v>38</v>
      </c>
      <c r="I162" s="4" t="s">
        <v>15</v>
      </c>
      <c r="J162" s="4" t="s">
        <v>37</v>
      </c>
      <c r="K162" s="133">
        <v>12.18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2:B31"/>
  <sheetViews>
    <sheetView zoomScale="95" zoomScaleNormal="25" workbookViewId="0">
      <selection activeCell="B29" sqref="B29"/>
    </sheetView>
  </sheetViews>
  <sheetFormatPr baseColWidth="10" defaultColWidth="11.42578125" defaultRowHeight="15" x14ac:dyDescent="0.25"/>
  <cols>
    <col min="1" max="1" width="26.5703125" bestFit="1" customWidth="1"/>
    <col min="2" max="2" width="21.85546875" bestFit="1" customWidth="1"/>
  </cols>
  <sheetData>
    <row r="2" spans="1:2" x14ac:dyDescent="0.25">
      <c r="A2" s="5" t="s">
        <v>7</v>
      </c>
      <c r="B2" t="s">
        <v>77</v>
      </c>
    </row>
    <row r="4" spans="1:2" x14ac:dyDescent="0.25">
      <c r="A4" s="5" t="s">
        <v>78</v>
      </c>
      <c r="B4" t="s">
        <v>79</v>
      </c>
    </row>
    <row r="5" spans="1:2" x14ac:dyDescent="0.25">
      <c r="A5" s="6" t="s">
        <v>39</v>
      </c>
      <c r="B5">
        <v>1239.7</v>
      </c>
    </row>
    <row r="6" spans="1:2" x14ac:dyDescent="0.25">
      <c r="A6" s="7" t="s">
        <v>22</v>
      </c>
      <c r="B6">
        <v>140</v>
      </c>
    </row>
    <row r="7" spans="1:2" x14ac:dyDescent="0.25">
      <c r="A7" s="7" t="s">
        <v>44</v>
      </c>
      <c r="B7">
        <v>89.7</v>
      </c>
    </row>
    <row r="8" spans="1:2" x14ac:dyDescent="0.25">
      <c r="A8" s="7" t="s">
        <v>46</v>
      </c>
      <c r="B8">
        <v>380</v>
      </c>
    </row>
    <row r="9" spans="1:2" x14ac:dyDescent="0.25">
      <c r="A9" s="7" t="s">
        <v>47</v>
      </c>
      <c r="B9">
        <v>0</v>
      </c>
    </row>
    <row r="10" spans="1:2" x14ac:dyDescent="0.25">
      <c r="A10" s="7" t="s">
        <v>240</v>
      </c>
      <c r="B10">
        <v>160</v>
      </c>
    </row>
    <row r="11" spans="1:2" x14ac:dyDescent="0.25">
      <c r="A11" s="7" t="s">
        <v>294</v>
      </c>
      <c r="B11">
        <v>280</v>
      </c>
    </row>
    <row r="12" spans="1:2" x14ac:dyDescent="0.25">
      <c r="A12" s="7" t="s">
        <v>198</v>
      </c>
      <c r="B12">
        <v>190</v>
      </c>
    </row>
    <row r="13" spans="1:2" x14ac:dyDescent="0.25">
      <c r="A13" s="6" t="s">
        <v>14</v>
      </c>
      <c r="B13">
        <v>3725.1000000000004</v>
      </c>
    </row>
    <row r="14" spans="1:2" x14ac:dyDescent="0.25">
      <c r="A14" s="7" t="s">
        <v>22</v>
      </c>
      <c r="B14">
        <v>840</v>
      </c>
    </row>
    <row r="15" spans="1:2" x14ac:dyDescent="0.25">
      <c r="A15" s="7" t="s">
        <v>23</v>
      </c>
      <c r="B15">
        <v>356</v>
      </c>
    </row>
    <row r="16" spans="1:2" x14ac:dyDescent="0.25">
      <c r="A16" s="7" t="s">
        <v>12</v>
      </c>
      <c r="B16">
        <v>1777.1000000000004</v>
      </c>
    </row>
    <row r="17" spans="1:2" x14ac:dyDescent="0.25">
      <c r="A17" s="7" t="s">
        <v>40</v>
      </c>
      <c r="B17">
        <v>752</v>
      </c>
    </row>
    <row r="18" spans="1:2" x14ac:dyDescent="0.25">
      <c r="A18" s="6" t="s">
        <v>38</v>
      </c>
      <c r="B18">
        <v>714.74</v>
      </c>
    </row>
    <row r="19" spans="1:2" x14ac:dyDescent="0.25">
      <c r="A19" s="7" t="s">
        <v>48</v>
      </c>
      <c r="B19">
        <v>180</v>
      </c>
    </row>
    <row r="20" spans="1:2" x14ac:dyDescent="0.25">
      <c r="A20" s="7" t="s">
        <v>52</v>
      </c>
      <c r="B20">
        <v>85.259999999999991</v>
      </c>
    </row>
    <row r="21" spans="1:2" x14ac:dyDescent="0.25">
      <c r="A21" s="7" t="s">
        <v>53</v>
      </c>
      <c r="B21">
        <v>208</v>
      </c>
    </row>
    <row r="22" spans="1:2" x14ac:dyDescent="0.25">
      <c r="A22" s="7" t="s">
        <v>50</v>
      </c>
      <c r="B22">
        <v>21.3</v>
      </c>
    </row>
    <row r="23" spans="1:2" x14ac:dyDescent="0.25">
      <c r="A23" s="7" t="s">
        <v>51</v>
      </c>
      <c r="B23">
        <v>220.18</v>
      </c>
    </row>
    <row r="24" spans="1:2" x14ac:dyDescent="0.25">
      <c r="A24" s="6" t="s">
        <v>20</v>
      </c>
      <c r="B24">
        <v>3670.1</v>
      </c>
    </row>
    <row r="25" spans="1:2" x14ac:dyDescent="0.25">
      <c r="A25" s="7" t="s">
        <v>17</v>
      </c>
      <c r="B25">
        <v>955.99999999999966</v>
      </c>
    </row>
    <row r="26" spans="1:2" x14ac:dyDescent="0.25">
      <c r="A26" s="7" t="s">
        <v>22</v>
      </c>
      <c r="B26">
        <v>140</v>
      </c>
    </row>
    <row r="27" spans="1:2" x14ac:dyDescent="0.25">
      <c r="A27" s="7" t="s">
        <v>36</v>
      </c>
      <c r="B27">
        <v>870</v>
      </c>
    </row>
    <row r="28" spans="1:2" x14ac:dyDescent="0.25">
      <c r="A28" s="7" t="s">
        <v>35</v>
      </c>
      <c r="B28">
        <v>1068.3000000000002</v>
      </c>
    </row>
    <row r="29" spans="1:2" x14ac:dyDescent="0.25">
      <c r="A29" s="7" t="s">
        <v>41</v>
      </c>
      <c r="B29">
        <v>416.40000000000003</v>
      </c>
    </row>
    <row r="30" spans="1:2" x14ac:dyDescent="0.25">
      <c r="A30" s="7" t="s">
        <v>120</v>
      </c>
      <c r="B30">
        <v>219.4</v>
      </c>
    </row>
    <row r="31" spans="1:2" x14ac:dyDescent="0.25">
      <c r="A31" s="6" t="s">
        <v>80</v>
      </c>
      <c r="B31">
        <v>9349.64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FFFF00"/>
  </sheetPr>
  <dimension ref="A2:B31"/>
  <sheetViews>
    <sheetView zoomScale="72" zoomScaleNormal="40" workbookViewId="0">
      <pane xSplit="1" topLeftCell="B1" activePane="topRight" state="frozen"/>
      <selection pane="topRight" activeCell="I52" sqref="I52"/>
    </sheetView>
  </sheetViews>
  <sheetFormatPr baseColWidth="10" defaultColWidth="11.42578125" defaultRowHeight="15" x14ac:dyDescent="0.25"/>
  <cols>
    <col min="1" max="1" width="34.7109375" bestFit="1" customWidth="1"/>
    <col min="2" max="2" width="26.140625" bestFit="1" customWidth="1"/>
  </cols>
  <sheetData>
    <row r="2" spans="1:2" x14ac:dyDescent="0.25">
      <c r="A2" s="5" t="s">
        <v>7</v>
      </c>
      <c r="B2" t="s">
        <v>77</v>
      </c>
    </row>
    <row r="4" spans="1:2" x14ac:dyDescent="0.25">
      <c r="A4" s="5" t="s">
        <v>78</v>
      </c>
      <c r="B4" t="s">
        <v>81</v>
      </c>
    </row>
    <row r="5" spans="1:2" x14ac:dyDescent="0.25">
      <c r="A5" s="6" t="s">
        <v>39</v>
      </c>
      <c r="B5">
        <v>100</v>
      </c>
    </row>
    <row r="6" spans="1:2" x14ac:dyDescent="0.25">
      <c r="A6" s="7" t="s">
        <v>22</v>
      </c>
      <c r="B6">
        <v>20</v>
      </c>
    </row>
    <row r="7" spans="1:2" x14ac:dyDescent="0.25">
      <c r="A7" s="7" t="s">
        <v>44</v>
      </c>
      <c r="B7">
        <v>10</v>
      </c>
    </row>
    <row r="8" spans="1:2" x14ac:dyDescent="0.25">
      <c r="A8" s="7" t="s">
        <v>46</v>
      </c>
      <c r="B8">
        <v>10</v>
      </c>
    </row>
    <row r="9" spans="1:2" x14ac:dyDescent="0.25">
      <c r="A9" s="7" t="s">
        <v>47</v>
      </c>
      <c r="B9">
        <v>0</v>
      </c>
    </row>
    <row r="10" spans="1:2" x14ac:dyDescent="0.25">
      <c r="A10" s="7" t="s">
        <v>240</v>
      </c>
      <c r="B10">
        <v>20</v>
      </c>
    </row>
    <row r="11" spans="1:2" x14ac:dyDescent="0.25">
      <c r="A11" s="7" t="s">
        <v>294</v>
      </c>
      <c r="B11">
        <v>35</v>
      </c>
    </row>
    <row r="12" spans="1:2" x14ac:dyDescent="0.25">
      <c r="A12" s="7" t="s">
        <v>198</v>
      </c>
      <c r="B12">
        <v>5</v>
      </c>
    </row>
    <row r="13" spans="1:2" x14ac:dyDescent="0.25">
      <c r="A13" s="6" t="s">
        <v>14</v>
      </c>
      <c r="B13">
        <v>340</v>
      </c>
    </row>
    <row r="14" spans="1:2" x14ac:dyDescent="0.25">
      <c r="A14" s="7" t="s">
        <v>22</v>
      </c>
      <c r="B14">
        <v>120</v>
      </c>
    </row>
    <row r="15" spans="1:2" x14ac:dyDescent="0.25">
      <c r="A15" s="7" t="s">
        <v>23</v>
      </c>
      <c r="B15">
        <v>50</v>
      </c>
    </row>
    <row r="16" spans="1:2" x14ac:dyDescent="0.25">
      <c r="A16" s="7" t="s">
        <v>12</v>
      </c>
      <c r="B16">
        <v>130</v>
      </c>
    </row>
    <row r="17" spans="1:2" x14ac:dyDescent="0.25">
      <c r="A17" s="7" t="s">
        <v>40</v>
      </c>
      <c r="B17">
        <v>40</v>
      </c>
    </row>
    <row r="18" spans="1:2" x14ac:dyDescent="0.25">
      <c r="A18" s="6" t="s">
        <v>38</v>
      </c>
      <c r="B18">
        <v>22</v>
      </c>
    </row>
    <row r="19" spans="1:2" x14ac:dyDescent="0.25">
      <c r="A19" s="7" t="s">
        <v>48</v>
      </c>
      <c r="B19">
        <v>4</v>
      </c>
    </row>
    <row r="20" spans="1:2" x14ac:dyDescent="0.25">
      <c r="A20" s="7" t="s">
        <v>52</v>
      </c>
      <c r="B20">
        <v>7</v>
      </c>
    </row>
    <row r="21" spans="1:2" x14ac:dyDescent="0.25">
      <c r="A21" s="7" t="s">
        <v>53</v>
      </c>
      <c r="B21">
        <v>4</v>
      </c>
    </row>
    <row r="22" spans="1:2" x14ac:dyDescent="0.25">
      <c r="A22" s="7" t="s">
        <v>50</v>
      </c>
      <c r="B22">
        <v>2</v>
      </c>
    </row>
    <row r="23" spans="1:2" x14ac:dyDescent="0.25">
      <c r="A23" s="7" t="s">
        <v>51</v>
      </c>
      <c r="B23">
        <v>5</v>
      </c>
    </row>
    <row r="24" spans="1:2" x14ac:dyDescent="0.25">
      <c r="A24" s="6" t="s">
        <v>20</v>
      </c>
      <c r="B24">
        <v>360</v>
      </c>
    </row>
    <row r="25" spans="1:2" x14ac:dyDescent="0.25">
      <c r="A25" s="7" t="s">
        <v>17</v>
      </c>
      <c r="B25">
        <v>100</v>
      </c>
    </row>
    <row r="26" spans="1:2" x14ac:dyDescent="0.25">
      <c r="A26" s="7" t="s">
        <v>22</v>
      </c>
      <c r="B26">
        <v>20</v>
      </c>
    </row>
    <row r="27" spans="1:2" x14ac:dyDescent="0.25">
      <c r="A27" s="7" t="s">
        <v>36</v>
      </c>
      <c r="B27">
        <v>100</v>
      </c>
    </row>
    <row r="28" spans="1:2" x14ac:dyDescent="0.25">
      <c r="A28" s="7" t="s">
        <v>35</v>
      </c>
      <c r="B28">
        <v>90</v>
      </c>
    </row>
    <row r="29" spans="1:2" x14ac:dyDescent="0.25">
      <c r="A29" s="7" t="s">
        <v>41</v>
      </c>
      <c r="B29">
        <v>30</v>
      </c>
    </row>
    <row r="30" spans="1:2" x14ac:dyDescent="0.25">
      <c r="A30" s="7" t="s">
        <v>120</v>
      </c>
      <c r="B30">
        <v>20</v>
      </c>
    </row>
    <row r="31" spans="1:2" x14ac:dyDescent="0.25">
      <c r="A31" s="6" t="s">
        <v>80</v>
      </c>
      <c r="B31">
        <v>822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3">
    <tabColor rgb="FFFFFF00"/>
  </sheetPr>
  <dimension ref="A3:B47"/>
  <sheetViews>
    <sheetView zoomScale="74" zoomScaleNormal="40" workbookViewId="0">
      <selection activeCell="Q38" sqref="Q38"/>
    </sheetView>
  </sheetViews>
  <sheetFormatPr baseColWidth="10" defaultColWidth="11.42578125" defaultRowHeight="15" x14ac:dyDescent="0.25"/>
  <cols>
    <col min="1" max="1" width="26.42578125" bestFit="1" customWidth="1"/>
    <col min="2" max="2" width="15.7109375" bestFit="1" customWidth="1"/>
  </cols>
  <sheetData>
    <row r="3" spans="1:2" x14ac:dyDescent="0.25">
      <c r="A3" s="5" t="s">
        <v>78</v>
      </c>
      <c r="B3" t="s">
        <v>79</v>
      </c>
    </row>
    <row r="4" spans="1:2" x14ac:dyDescent="0.25">
      <c r="A4" s="6" t="s">
        <v>19</v>
      </c>
      <c r="B4" s="101">
        <v>4110.49</v>
      </c>
    </row>
    <row r="5" spans="1:2" x14ac:dyDescent="0.25">
      <c r="A5" s="7" t="s">
        <v>12</v>
      </c>
      <c r="B5" s="101">
        <v>1230.3000000000002</v>
      </c>
    </row>
    <row r="6" spans="1:2" x14ac:dyDescent="0.25">
      <c r="A6" s="7" t="s">
        <v>17</v>
      </c>
      <c r="B6" s="101">
        <v>716.99999999999989</v>
      </c>
    </row>
    <row r="7" spans="1:2" x14ac:dyDescent="0.25">
      <c r="A7" s="7" t="s">
        <v>22</v>
      </c>
      <c r="B7" s="101">
        <v>490</v>
      </c>
    </row>
    <row r="8" spans="1:2" x14ac:dyDescent="0.25">
      <c r="A8" s="7" t="s">
        <v>35</v>
      </c>
      <c r="B8" s="101">
        <v>474.8</v>
      </c>
    </row>
    <row r="9" spans="1:2" x14ac:dyDescent="0.25">
      <c r="A9" s="7" t="s">
        <v>294</v>
      </c>
      <c r="B9" s="101">
        <v>280</v>
      </c>
    </row>
    <row r="10" spans="1:2" x14ac:dyDescent="0.25">
      <c r="A10" s="7" t="s">
        <v>53</v>
      </c>
      <c r="B10" s="101">
        <v>208</v>
      </c>
    </row>
    <row r="11" spans="1:2" x14ac:dyDescent="0.25">
      <c r="A11" s="7" t="s">
        <v>46</v>
      </c>
      <c r="B11" s="101">
        <v>190</v>
      </c>
    </row>
    <row r="12" spans="1:2" x14ac:dyDescent="0.25">
      <c r="A12" s="7" t="s">
        <v>240</v>
      </c>
      <c r="B12" s="101">
        <v>160</v>
      </c>
    </row>
    <row r="13" spans="1:2" x14ac:dyDescent="0.25">
      <c r="A13" s="7" t="s">
        <v>198</v>
      </c>
      <c r="B13" s="101">
        <v>152</v>
      </c>
    </row>
    <row r="14" spans="1:2" x14ac:dyDescent="0.25">
      <c r="A14" s="7" t="s">
        <v>48</v>
      </c>
      <c r="B14" s="101">
        <v>90</v>
      </c>
    </row>
    <row r="15" spans="1:2" x14ac:dyDescent="0.25">
      <c r="A15" s="7" t="s">
        <v>23</v>
      </c>
      <c r="B15" s="101">
        <v>71.2</v>
      </c>
    </row>
    <row r="16" spans="1:2" x14ac:dyDescent="0.25">
      <c r="A16" s="7" t="s">
        <v>52</v>
      </c>
      <c r="B16" s="101">
        <v>36.54</v>
      </c>
    </row>
    <row r="17" spans="1:2" x14ac:dyDescent="0.25">
      <c r="A17" s="7" t="s">
        <v>50</v>
      </c>
      <c r="B17" s="101">
        <v>10.65</v>
      </c>
    </row>
    <row r="18" spans="1:2" x14ac:dyDescent="0.25">
      <c r="A18" s="7" t="s">
        <v>51</v>
      </c>
      <c r="B18" s="101">
        <v>0</v>
      </c>
    </row>
    <row r="19" spans="1:2" x14ac:dyDescent="0.25">
      <c r="A19" s="6" t="s">
        <v>13</v>
      </c>
      <c r="B19" s="101">
        <v>3522.2899999999995</v>
      </c>
    </row>
    <row r="20" spans="1:2" x14ac:dyDescent="0.25">
      <c r="A20" s="7" t="s">
        <v>36</v>
      </c>
      <c r="B20" s="101">
        <v>870</v>
      </c>
    </row>
    <row r="21" spans="1:2" x14ac:dyDescent="0.25">
      <c r="A21" s="7" t="s">
        <v>40</v>
      </c>
      <c r="B21" s="101">
        <v>752</v>
      </c>
    </row>
    <row r="22" spans="1:2" x14ac:dyDescent="0.25">
      <c r="A22" s="7" t="s">
        <v>41</v>
      </c>
      <c r="B22" s="101">
        <v>416.40000000000003</v>
      </c>
    </row>
    <row r="23" spans="1:2" x14ac:dyDescent="0.25">
      <c r="A23" s="7" t="s">
        <v>22</v>
      </c>
      <c r="B23" s="101">
        <v>350</v>
      </c>
    </row>
    <row r="24" spans="1:2" x14ac:dyDescent="0.25">
      <c r="A24" s="7" t="s">
        <v>35</v>
      </c>
      <c r="B24" s="101">
        <v>237.4</v>
      </c>
    </row>
    <row r="25" spans="1:2" x14ac:dyDescent="0.25">
      <c r="A25" s="7" t="s">
        <v>23</v>
      </c>
      <c r="B25" s="101">
        <v>213.60000000000002</v>
      </c>
    </row>
    <row r="26" spans="1:2" x14ac:dyDescent="0.25">
      <c r="A26" s="7" t="s">
        <v>51</v>
      </c>
      <c r="B26" s="101">
        <v>208</v>
      </c>
    </row>
    <row r="27" spans="1:2" x14ac:dyDescent="0.25">
      <c r="A27" s="7" t="s">
        <v>46</v>
      </c>
      <c r="B27" s="101">
        <v>190</v>
      </c>
    </row>
    <row r="28" spans="1:2" x14ac:dyDescent="0.25">
      <c r="A28" s="7" t="s">
        <v>120</v>
      </c>
      <c r="B28" s="101">
        <v>109.7</v>
      </c>
    </row>
    <row r="29" spans="1:2" x14ac:dyDescent="0.25">
      <c r="A29" s="7" t="s">
        <v>48</v>
      </c>
      <c r="B29" s="101">
        <v>90</v>
      </c>
    </row>
    <row r="30" spans="1:2" x14ac:dyDescent="0.25">
      <c r="A30" s="7" t="s">
        <v>198</v>
      </c>
      <c r="B30" s="101">
        <v>38</v>
      </c>
    </row>
    <row r="31" spans="1:2" x14ac:dyDescent="0.25">
      <c r="A31" s="7" t="s">
        <v>52</v>
      </c>
      <c r="B31" s="101">
        <v>36.54</v>
      </c>
    </row>
    <row r="32" spans="1:2" x14ac:dyDescent="0.25">
      <c r="A32" s="7" t="s">
        <v>50</v>
      </c>
      <c r="B32" s="101">
        <v>10.65</v>
      </c>
    </row>
    <row r="33" spans="1:2" x14ac:dyDescent="0.25">
      <c r="A33" s="7" t="s">
        <v>47</v>
      </c>
      <c r="B33" s="101">
        <v>0</v>
      </c>
    </row>
    <row r="34" spans="1:2" x14ac:dyDescent="0.25">
      <c r="A34" s="7" t="s">
        <v>53</v>
      </c>
      <c r="B34" s="101">
        <v>0</v>
      </c>
    </row>
    <row r="35" spans="1:2" x14ac:dyDescent="0.25">
      <c r="A35" s="6" t="s">
        <v>28</v>
      </c>
      <c r="B35" s="101">
        <v>1716.8600000000001</v>
      </c>
    </row>
    <row r="36" spans="1:2" x14ac:dyDescent="0.25">
      <c r="A36" s="7" t="s">
        <v>12</v>
      </c>
      <c r="B36" s="101">
        <v>546.79999999999995</v>
      </c>
    </row>
    <row r="37" spans="1:2" x14ac:dyDescent="0.25">
      <c r="A37" s="7" t="s">
        <v>35</v>
      </c>
      <c r="B37" s="101">
        <v>356.1</v>
      </c>
    </row>
    <row r="38" spans="1:2" x14ac:dyDescent="0.25">
      <c r="A38" s="7" t="s">
        <v>22</v>
      </c>
      <c r="B38" s="101">
        <v>280</v>
      </c>
    </row>
    <row r="39" spans="1:2" x14ac:dyDescent="0.25">
      <c r="A39" s="7" t="s">
        <v>17</v>
      </c>
      <c r="B39" s="101">
        <v>239</v>
      </c>
    </row>
    <row r="40" spans="1:2" x14ac:dyDescent="0.25">
      <c r="A40" s="7" t="s">
        <v>120</v>
      </c>
      <c r="B40" s="101">
        <v>109.7</v>
      </c>
    </row>
    <row r="41" spans="1:2" x14ac:dyDescent="0.25">
      <c r="A41" s="7" t="s">
        <v>44</v>
      </c>
      <c r="B41" s="101">
        <v>89.7</v>
      </c>
    </row>
    <row r="42" spans="1:2" x14ac:dyDescent="0.25">
      <c r="A42" s="7" t="s">
        <v>23</v>
      </c>
      <c r="B42" s="101">
        <v>71.2</v>
      </c>
    </row>
    <row r="43" spans="1:2" x14ac:dyDescent="0.25">
      <c r="A43" s="7" t="s">
        <v>52</v>
      </c>
      <c r="B43" s="101">
        <v>12.18</v>
      </c>
    </row>
    <row r="44" spans="1:2" x14ac:dyDescent="0.25">
      <c r="A44" s="7" t="s">
        <v>51</v>
      </c>
      <c r="B44" s="101">
        <v>12.18</v>
      </c>
    </row>
    <row r="45" spans="1:2" x14ac:dyDescent="0.25">
      <c r="A45" s="7" t="s">
        <v>198</v>
      </c>
      <c r="B45" s="101">
        <v>0</v>
      </c>
    </row>
    <row r="46" spans="1:2" x14ac:dyDescent="0.25">
      <c r="A46" s="7" t="s">
        <v>46</v>
      </c>
      <c r="B46" s="101">
        <v>0</v>
      </c>
    </row>
    <row r="47" spans="1:2" x14ac:dyDescent="0.25">
      <c r="A47" s="6" t="s">
        <v>80</v>
      </c>
      <c r="B47" s="101">
        <v>9349.6400000000012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4">
    <tabColor rgb="FFFFFF00"/>
  </sheetPr>
  <dimension ref="A3:B47"/>
  <sheetViews>
    <sheetView zoomScale="95" zoomScaleNormal="70" workbookViewId="0">
      <selection activeCell="C12" sqref="C12"/>
    </sheetView>
  </sheetViews>
  <sheetFormatPr baseColWidth="10" defaultColWidth="11.42578125" defaultRowHeight="15" x14ac:dyDescent="0.25"/>
  <cols>
    <col min="1" max="1" width="26.5703125" bestFit="1" customWidth="1"/>
    <col min="2" max="2" width="14.140625" bestFit="1" customWidth="1"/>
  </cols>
  <sheetData>
    <row r="3" spans="1:2" x14ac:dyDescent="0.25">
      <c r="A3" s="5" t="s">
        <v>78</v>
      </c>
      <c r="B3" t="s">
        <v>81</v>
      </c>
    </row>
    <row r="4" spans="1:2" x14ac:dyDescent="0.25">
      <c r="A4" s="6" t="s">
        <v>19</v>
      </c>
      <c r="B4">
        <v>359</v>
      </c>
    </row>
    <row r="5" spans="1:2" x14ac:dyDescent="0.25">
      <c r="A5" s="7" t="s">
        <v>12</v>
      </c>
      <c r="B5">
        <v>90</v>
      </c>
    </row>
    <row r="6" spans="1:2" x14ac:dyDescent="0.25">
      <c r="A6" s="7" t="s">
        <v>17</v>
      </c>
      <c r="B6">
        <v>75</v>
      </c>
    </row>
    <row r="7" spans="1:2" x14ac:dyDescent="0.25">
      <c r="A7" s="7" t="s">
        <v>22</v>
      </c>
      <c r="B7">
        <v>70</v>
      </c>
    </row>
    <row r="8" spans="1:2" x14ac:dyDescent="0.25">
      <c r="A8" s="7" t="s">
        <v>35</v>
      </c>
      <c r="B8">
        <v>40</v>
      </c>
    </row>
    <row r="9" spans="1:2" x14ac:dyDescent="0.25">
      <c r="A9" s="7" t="s">
        <v>294</v>
      </c>
      <c r="B9">
        <v>35</v>
      </c>
    </row>
    <row r="10" spans="1:2" x14ac:dyDescent="0.25">
      <c r="A10" s="7" t="s">
        <v>240</v>
      </c>
      <c r="B10">
        <v>20</v>
      </c>
    </row>
    <row r="11" spans="1:2" x14ac:dyDescent="0.25">
      <c r="A11" s="7" t="s">
        <v>23</v>
      </c>
      <c r="B11">
        <v>10</v>
      </c>
    </row>
    <row r="12" spans="1:2" x14ac:dyDescent="0.25">
      <c r="A12" s="7" t="s">
        <v>46</v>
      </c>
      <c r="B12">
        <v>5</v>
      </c>
    </row>
    <row r="13" spans="1:2" x14ac:dyDescent="0.25">
      <c r="A13" s="7" t="s">
        <v>198</v>
      </c>
      <c r="B13">
        <v>4</v>
      </c>
    </row>
    <row r="14" spans="1:2" x14ac:dyDescent="0.25">
      <c r="A14" s="7" t="s">
        <v>53</v>
      </c>
      <c r="B14">
        <v>4</v>
      </c>
    </row>
    <row r="15" spans="1:2" x14ac:dyDescent="0.25">
      <c r="A15" s="7" t="s">
        <v>52</v>
      </c>
      <c r="B15">
        <v>3</v>
      </c>
    </row>
    <row r="16" spans="1:2" x14ac:dyDescent="0.25">
      <c r="A16" s="7" t="s">
        <v>48</v>
      </c>
      <c r="B16">
        <v>2</v>
      </c>
    </row>
    <row r="17" spans="1:2" x14ac:dyDescent="0.25">
      <c r="A17" s="7" t="s">
        <v>50</v>
      </c>
      <c r="B17">
        <v>1</v>
      </c>
    </row>
    <row r="18" spans="1:2" x14ac:dyDescent="0.25">
      <c r="A18" s="7" t="s">
        <v>51</v>
      </c>
      <c r="B18">
        <v>0</v>
      </c>
    </row>
    <row r="19" spans="1:2" x14ac:dyDescent="0.25">
      <c r="A19" s="6" t="s">
        <v>13</v>
      </c>
      <c r="B19">
        <v>296</v>
      </c>
    </row>
    <row r="20" spans="1:2" x14ac:dyDescent="0.25">
      <c r="A20" s="7" t="s">
        <v>36</v>
      </c>
      <c r="B20">
        <v>100</v>
      </c>
    </row>
    <row r="21" spans="1:2" x14ac:dyDescent="0.25">
      <c r="A21" s="7" t="s">
        <v>22</v>
      </c>
      <c r="B21">
        <v>50</v>
      </c>
    </row>
    <row r="22" spans="1:2" x14ac:dyDescent="0.25">
      <c r="A22" s="7" t="s">
        <v>40</v>
      </c>
      <c r="B22">
        <v>40</v>
      </c>
    </row>
    <row r="23" spans="1:2" x14ac:dyDescent="0.25">
      <c r="A23" s="7" t="s">
        <v>23</v>
      </c>
      <c r="B23">
        <v>30</v>
      </c>
    </row>
    <row r="24" spans="1:2" x14ac:dyDescent="0.25">
      <c r="A24" s="7" t="s">
        <v>41</v>
      </c>
      <c r="B24">
        <v>30</v>
      </c>
    </row>
    <row r="25" spans="1:2" x14ac:dyDescent="0.25">
      <c r="A25" s="7" t="s">
        <v>35</v>
      </c>
      <c r="B25">
        <v>20</v>
      </c>
    </row>
    <row r="26" spans="1:2" x14ac:dyDescent="0.25">
      <c r="A26" s="7" t="s">
        <v>120</v>
      </c>
      <c r="B26">
        <v>10</v>
      </c>
    </row>
    <row r="27" spans="1:2" x14ac:dyDescent="0.25">
      <c r="A27" s="7" t="s">
        <v>46</v>
      </c>
      <c r="B27">
        <v>5</v>
      </c>
    </row>
    <row r="28" spans="1:2" x14ac:dyDescent="0.25">
      <c r="A28" s="7" t="s">
        <v>51</v>
      </c>
      <c r="B28">
        <v>4</v>
      </c>
    </row>
    <row r="29" spans="1:2" x14ac:dyDescent="0.25">
      <c r="A29" s="7" t="s">
        <v>52</v>
      </c>
      <c r="B29">
        <v>3</v>
      </c>
    </row>
    <row r="30" spans="1:2" x14ac:dyDescent="0.25">
      <c r="A30" s="7" t="s">
        <v>48</v>
      </c>
      <c r="B30">
        <v>2</v>
      </c>
    </row>
    <row r="31" spans="1:2" x14ac:dyDescent="0.25">
      <c r="A31" s="7" t="s">
        <v>198</v>
      </c>
      <c r="B31">
        <v>1</v>
      </c>
    </row>
    <row r="32" spans="1:2" x14ac:dyDescent="0.25">
      <c r="A32" s="7" t="s">
        <v>50</v>
      </c>
      <c r="B32">
        <v>1</v>
      </c>
    </row>
    <row r="33" spans="1:2" x14ac:dyDescent="0.25">
      <c r="A33" s="7" t="s">
        <v>53</v>
      </c>
      <c r="B33">
        <v>0</v>
      </c>
    </row>
    <row r="34" spans="1:2" x14ac:dyDescent="0.25">
      <c r="A34" s="7" t="s">
        <v>47</v>
      </c>
      <c r="B34">
        <v>0</v>
      </c>
    </row>
    <row r="35" spans="1:2" x14ac:dyDescent="0.25">
      <c r="A35" s="6" t="s">
        <v>28</v>
      </c>
      <c r="B35">
        <v>167</v>
      </c>
    </row>
    <row r="36" spans="1:2" x14ac:dyDescent="0.25">
      <c r="A36" s="7" t="s">
        <v>22</v>
      </c>
      <c r="B36">
        <v>40</v>
      </c>
    </row>
    <row r="37" spans="1:2" x14ac:dyDescent="0.25">
      <c r="A37" s="7" t="s">
        <v>12</v>
      </c>
      <c r="B37">
        <v>40</v>
      </c>
    </row>
    <row r="38" spans="1:2" x14ac:dyDescent="0.25">
      <c r="A38" s="7" t="s">
        <v>35</v>
      </c>
      <c r="B38">
        <v>30</v>
      </c>
    </row>
    <row r="39" spans="1:2" x14ac:dyDescent="0.25">
      <c r="A39" s="7" t="s">
        <v>17</v>
      </c>
      <c r="B39">
        <v>25</v>
      </c>
    </row>
    <row r="40" spans="1:2" x14ac:dyDescent="0.25">
      <c r="A40" s="7" t="s">
        <v>23</v>
      </c>
      <c r="B40">
        <v>10</v>
      </c>
    </row>
    <row r="41" spans="1:2" x14ac:dyDescent="0.25">
      <c r="A41" s="7" t="s">
        <v>44</v>
      </c>
      <c r="B41">
        <v>10</v>
      </c>
    </row>
    <row r="42" spans="1:2" x14ac:dyDescent="0.25">
      <c r="A42" s="7" t="s">
        <v>120</v>
      </c>
      <c r="B42">
        <v>10</v>
      </c>
    </row>
    <row r="43" spans="1:2" x14ac:dyDescent="0.25">
      <c r="A43" s="7" t="s">
        <v>52</v>
      </c>
      <c r="B43">
        <v>1</v>
      </c>
    </row>
    <row r="44" spans="1:2" x14ac:dyDescent="0.25">
      <c r="A44" s="7" t="s">
        <v>51</v>
      </c>
      <c r="B44">
        <v>1</v>
      </c>
    </row>
    <row r="45" spans="1:2" x14ac:dyDescent="0.25">
      <c r="A45" s="7" t="s">
        <v>198</v>
      </c>
      <c r="B45">
        <v>0</v>
      </c>
    </row>
    <row r="46" spans="1:2" x14ac:dyDescent="0.25">
      <c r="A46" s="7" t="s">
        <v>46</v>
      </c>
      <c r="B46">
        <v>0</v>
      </c>
    </row>
    <row r="47" spans="1:2" x14ac:dyDescent="0.25">
      <c r="A47" s="6" t="s">
        <v>80</v>
      </c>
      <c r="B47">
        <v>822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419C9-32CA-465D-A2A9-62423AD1965C}">
  <sheetPr codeName="Feuil35">
    <tabColor rgb="FFFFFF00"/>
  </sheetPr>
  <dimension ref="A1:N45"/>
  <sheetViews>
    <sheetView zoomScale="91" workbookViewId="0">
      <selection activeCell="G15" sqref="G15"/>
    </sheetView>
  </sheetViews>
  <sheetFormatPr baseColWidth="10" defaultRowHeight="15" x14ac:dyDescent="0.25"/>
  <cols>
    <col min="1" max="1" width="27.7109375" bestFit="1" customWidth="1"/>
    <col min="2" max="2" width="15.28515625" customWidth="1"/>
    <col min="3" max="3" width="19" customWidth="1"/>
    <col min="9" max="9" width="22.85546875" bestFit="1" customWidth="1"/>
    <col min="10" max="10" width="16" bestFit="1" customWidth="1"/>
    <col min="13" max="13" width="26.42578125" bestFit="1" customWidth="1"/>
    <col min="14" max="14" width="14.140625" bestFit="1" customWidth="1"/>
  </cols>
  <sheetData>
    <row r="1" spans="1:14" x14ac:dyDescent="0.25">
      <c r="A1" s="112" t="s">
        <v>124</v>
      </c>
      <c r="B1" t="s">
        <v>199</v>
      </c>
      <c r="C1" t="s">
        <v>93</v>
      </c>
      <c r="I1" t="s">
        <v>124</v>
      </c>
      <c r="J1" t="s">
        <v>93</v>
      </c>
      <c r="M1" s="5" t="s">
        <v>78</v>
      </c>
      <c r="N1" t="s">
        <v>81</v>
      </c>
    </row>
    <row r="2" spans="1:14" x14ac:dyDescent="0.25">
      <c r="A2" s="113" t="s">
        <v>22</v>
      </c>
      <c r="B2">
        <f t="shared" ref="B2:B24" si="0">SUMIF($M$3:$M$55,TRIM(A2),$N$3:$N$55)</f>
        <v>160</v>
      </c>
      <c r="C2">
        <f>SUMIF(Ajouter1[MABEC],TRIM(A2),Ajouter1[Qté théorique])</f>
        <v>116</v>
      </c>
      <c r="I2" t="s">
        <v>51</v>
      </c>
      <c r="J2">
        <v>2</v>
      </c>
      <c r="M2" s="6" t="s">
        <v>19</v>
      </c>
      <c r="N2">
        <v>359</v>
      </c>
    </row>
    <row r="3" spans="1:14" x14ac:dyDescent="0.25">
      <c r="A3" s="114" t="s">
        <v>12</v>
      </c>
      <c r="B3">
        <f t="shared" si="0"/>
        <v>130</v>
      </c>
      <c r="C3">
        <f>SUMIF(Ajouter1[MABEC],TRIM(A3),Ajouter1[Qté théorique])</f>
        <v>51</v>
      </c>
      <c r="I3" t="s">
        <v>53</v>
      </c>
      <c r="J3">
        <v>0</v>
      </c>
      <c r="M3" s="7" t="s">
        <v>12</v>
      </c>
      <c r="N3">
        <v>90</v>
      </c>
    </row>
    <row r="4" spans="1:14" x14ac:dyDescent="0.25">
      <c r="A4" s="114" t="s">
        <v>17</v>
      </c>
      <c r="B4">
        <f t="shared" si="0"/>
        <v>100</v>
      </c>
      <c r="C4">
        <f>SUMIF(Ajouter1[MABEC],TRIM(A4),Ajouter1[Qté théorique])</f>
        <v>60</v>
      </c>
      <c r="I4" t="s">
        <v>48</v>
      </c>
      <c r="J4">
        <v>2</v>
      </c>
      <c r="M4" s="7" t="s">
        <v>17</v>
      </c>
      <c r="N4">
        <v>75</v>
      </c>
    </row>
    <row r="5" spans="1:14" x14ac:dyDescent="0.25">
      <c r="A5" s="114" t="s">
        <v>36</v>
      </c>
      <c r="B5">
        <f t="shared" si="0"/>
        <v>100</v>
      </c>
      <c r="C5">
        <f>SUMIF(Ajouter1[MABEC],TRIM(A5),Ajouter1[Qté théorique])</f>
        <v>38</v>
      </c>
      <c r="I5" t="s">
        <v>143</v>
      </c>
      <c r="J5">
        <v>2</v>
      </c>
      <c r="M5" s="7" t="s">
        <v>22</v>
      </c>
      <c r="N5">
        <v>70</v>
      </c>
    </row>
    <row r="6" spans="1:14" x14ac:dyDescent="0.25">
      <c r="A6" s="113" t="s">
        <v>35</v>
      </c>
      <c r="B6">
        <f t="shared" si="0"/>
        <v>90</v>
      </c>
      <c r="C6">
        <f>SUMIF(Ajouter1[MABEC],TRIM(A6),Ajouter1[Qté théorique])</f>
        <v>62</v>
      </c>
      <c r="I6" t="s">
        <v>40</v>
      </c>
      <c r="J6">
        <v>13</v>
      </c>
      <c r="M6" s="7" t="s">
        <v>35</v>
      </c>
      <c r="N6">
        <v>40</v>
      </c>
    </row>
    <row r="7" spans="1:14" x14ac:dyDescent="0.25">
      <c r="A7" s="114" t="s">
        <v>23</v>
      </c>
      <c r="B7">
        <f t="shared" si="0"/>
        <v>50</v>
      </c>
      <c r="C7">
        <f>SUMIF(Ajouter1[MABEC],TRIM(A7),Ajouter1[Qté théorique])</f>
        <v>26</v>
      </c>
      <c r="I7" t="s">
        <v>240</v>
      </c>
      <c r="J7">
        <v>12</v>
      </c>
      <c r="M7" s="7" t="s">
        <v>294</v>
      </c>
      <c r="N7">
        <v>35</v>
      </c>
    </row>
    <row r="8" spans="1:14" x14ac:dyDescent="0.25">
      <c r="A8" s="113" t="s">
        <v>40</v>
      </c>
      <c r="B8">
        <f t="shared" si="0"/>
        <v>40</v>
      </c>
      <c r="C8">
        <f>SUMIF(Ajouter1[MABEC],TRIM(A8),Ajouter1[Qté théorique])</f>
        <v>13</v>
      </c>
      <c r="I8" t="s">
        <v>294</v>
      </c>
      <c r="J8">
        <v>23</v>
      </c>
      <c r="M8" s="7" t="s">
        <v>240</v>
      </c>
      <c r="N8">
        <v>20</v>
      </c>
    </row>
    <row r="9" spans="1:14" x14ac:dyDescent="0.25">
      <c r="A9" s="113" t="s">
        <v>294</v>
      </c>
      <c r="B9">
        <f t="shared" si="0"/>
        <v>35</v>
      </c>
      <c r="C9">
        <f>SUMIF(Ajouter1[MABEC],TRIM(A9),Ajouter1[Qté théorique])</f>
        <v>23</v>
      </c>
      <c r="I9" t="s">
        <v>198</v>
      </c>
      <c r="J9">
        <v>8</v>
      </c>
      <c r="M9" s="7" t="s">
        <v>23</v>
      </c>
      <c r="N9">
        <v>10</v>
      </c>
    </row>
    <row r="10" spans="1:14" x14ac:dyDescent="0.25">
      <c r="A10" s="114" t="s">
        <v>41</v>
      </c>
      <c r="B10">
        <f t="shared" si="0"/>
        <v>30</v>
      </c>
      <c r="C10">
        <f>SUMIF(Ajouter1[MABEC],TRIM(A10),Ajouter1[Qté théorique])</f>
        <v>6</v>
      </c>
      <c r="I10" t="s">
        <v>46</v>
      </c>
      <c r="J10">
        <v>22</v>
      </c>
      <c r="M10" s="7" t="s">
        <v>46</v>
      </c>
      <c r="N10">
        <v>5</v>
      </c>
    </row>
    <row r="11" spans="1:14" x14ac:dyDescent="0.25">
      <c r="A11" s="113" t="s">
        <v>240</v>
      </c>
      <c r="B11">
        <f t="shared" si="0"/>
        <v>20</v>
      </c>
      <c r="C11">
        <f>SUMIF(Ajouter1[MABEC],TRIM(A11),Ajouter1[Qté théorique])</f>
        <v>12</v>
      </c>
      <c r="I11" t="s">
        <v>52</v>
      </c>
      <c r="J11">
        <v>0</v>
      </c>
      <c r="M11" s="7" t="s">
        <v>198</v>
      </c>
      <c r="N11">
        <v>4</v>
      </c>
    </row>
    <row r="12" spans="1:14" x14ac:dyDescent="0.25">
      <c r="A12" s="113" t="s">
        <v>120</v>
      </c>
      <c r="B12">
        <f t="shared" si="0"/>
        <v>20</v>
      </c>
      <c r="C12">
        <f>SUMIF(Ajouter1[MABEC],TRIM(A12),Ajouter1[Qté théorique])</f>
        <v>9</v>
      </c>
      <c r="I12" t="s">
        <v>50</v>
      </c>
      <c r="J12">
        <v>2</v>
      </c>
      <c r="M12" s="7" t="s">
        <v>53</v>
      </c>
      <c r="N12">
        <v>4</v>
      </c>
    </row>
    <row r="13" spans="1:14" x14ac:dyDescent="0.25">
      <c r="A13" s="113" t="s">
        <v>46</v>
      </c>
      <c r="B13">
        <f t="shared" si="0"/>
        <v>10</v>
      </c>
      <c r="C13">
        <f>SUMIF(Ajouter1[MABEC],TRIM(A13),Ajouter1[Qté théorique])</f>
        <v>22</v>
      </c>
      <c r="I13" t="s">
        <v>120</v>
      </c>
      <c r="J13">
        <v>9</v>
      </c>
      <c r="M13" s="7" t="s">
        <v>52</v>
      </c>
      <c r="N13">
        <v>3</v>
      </c>
    </row>
    <row r="14" spans="1:14" x14ac:dyDescent="0.25">
      <c r="A14" s="113" t="s">
        <v>44</v>
      </c>
      <c r="B14">
        <f t="shared" si="0"/>
        <v>10</v>
      </c>
      <c r="C14">
        <f>SUMIF(Ajouter1[MABEC],TRIM(A14),Ajouter1[Qté théorique])</f>
        <v>0</v>
      </c>
      <c r="I14" t="s">
        <v>17</v>
      </c>
      <c r="J14">
        <v>60</v>
      </c>
      <c r="M14" s="7" t="s">
        <v>48</v>
      </c>
      <c r="N14">
        <v>2</v>
      </c>
    </row>
    <row r="15" spans="1:14" x14ac:dyDescent="0.25">
      <c r="A15" s="113" t="s">
        <v>52</v>
      </c>
      <c r="B15">
        <f t="shared" si="0"/>
        <v>7</v>
      </c>
      <c r="C15">
        <f>SUMIF(Ajouter1[MABEC],TRIM(A15),Ajouter1[Qté théorique])</f>
        <v>0</v>
      </c>
      <c r="I15" t="s">
        <v>41</v>
      </c>
      <c r="J15">
        <v>6</v>
      </c>
      <c r="M15" s="7" t="s">
        <v>50</v>
      </c>
      <c r="N15">
        <v>1</v>
      </c>
    </row>
    <row r="16" spans="1:14" x14ac:dyDescent="0.25">
      <c r="A16" s="114" t="s">
        <v>51</v>
      </c>
      <c r="B16">
        <f t="shared" si="0"/>
        <v>5</v>
      </c>
      <c r="C16">
        <f>SUMIF(Ajouter1[MABEC],TRIM(A16),Ajouter1[Qté théorique])</f>
        <v>2</v>
      </c>
      <c r="I16" t="s">
        <v>35</v>
      </c>
      <c r="J16">
        <v>62</v>
      </c>
      <c r="M16" s="7" t="s">
        <v>51</v>
      </c>
      <c r="N16">
        <v>0</v>
      </c>
    </row>
    <row r="17" spans="1:14" x14ac:dyDescent="0.25">
      <c r="A17" s="114" t="s">
        <v>198</v>
      </c>
      <c r="B17">
        <f t="shared" si="0"/>
        <v>5</v>
      </c>
      <c r="C17">
        <f>SUMIF(Ajouter1[MABEC],TRIM(A17),Ajouter1[Qté théorique])</f>
        <v>8</v>
      </c>
      <c r="I17" t="s">
        <v>25</v>
      </c>
      <c r="J17">
        <v>8</v>
      </c>
      <c r="M17" s="6" t="s">
        <v>13</v>
      </c>
      <c r="N17">
        <v>296</v>
      </c>
    </row>
    <row r="18" spans="1:14" x14ac:dyDescent="0.25">
      <c r="A18" s="113" t="s">
        <v>53</v>
      </c>
      <c r="B18">
        <f t="shared" si="0"/>
        <v>4</v>
      </c>
      <c r="C18">
        <f>SUMIF(Ajouter1[MABEC],TRIM(A18),Ajouter1[Qté théorique])</f>
        <v>0</v>
      </c>
      <c r="I18" t="s">
        <v>36</v>
      </c>
      <c r="J18">
        <v>38</v>
      </c>
      <c r="M18" s="7" t="s">
        <v>36</v>
      </c>
      <c r="N18">
        <v>100</v>
      </c>
    </row>
    <row r="19" spans="1:14" x14ac:dyDescent="0.25">
      <c r="A19" s="113" t="s">
        <v>48</v>
      </c>
      <c r="B19">
        <f t="shared" si="0"/>
        <v>4</v>
      </c>
      <c r="C19">
        <f>SUMIF(Ajouter1[MABEC],TRIM(A19),Ajouter1[Qté théorique])</f>
        <v>2</v>
      </c>
      <c r="I19" t="s">
        <v>12</v>
      </c>
      <c r="J19">
        <v>51</v>
      </c>
      <c r="M19" s="7" t="s">
        <v>22</v>
      </c>
      <c r="N19">
        <v>50</v>
      </c>
    </row>
    <row r="20" spans="1:14" x14ac:dyDescent="0.25">
      <c r="A20" s="114" t="s">
        <v>50</v>
      </c>
      <c r="B20">
        <f t="shared" si="0"/>
        <v>2</v>
      </c>
      <c r="C20">
        <f>SUMIF(Ajouter1[MABEC],TRIM(A20),Ajouter1[Qté théorique])</f>
        <v>2</v>
      </c>
      <c r="I20" t="s">
        <v>22</v>
      </c>
      <c r="J20">
        <v>116</v>
      </c>
      <c r="M20" s="7" t="s">
        <v>40</v>
      </c>
      <c r="N20">
        <v>40</v>
      </c>
    </row>
    <row r="21" spans="1:14" x14ac:dyDescent="0.25">
      <c r="A21" s="113" t="s">
        <v>143</v>
      </c>
      <c r="B21">
        <f t="shared" si="0"/>
        <v>0</v>
      </c>
      <c r="C21">
        <f>SUMIF(Ajouter1[MABEC],TRIM(A21),Ajouter1[Qté théorique])</f>
        <v>2</v>
      </c>
      <c r="I21" t="s">
        <v>23</v>
      </c>
      <c r="J21">
        <v>26</v>
      </c>
      <c r="M21" s="7" t="s">
        <v>23</v>
      </c>
      <c r="N21">
        <v>30</v>
      </c>
    </row>
    <row r="22" spans="1:14" x14ac:dyDescent="0.25">
      <c r="A22" s="113" t="s">
        <v>47</v>
      </c>
      <c r="B22">
        <f t="shared" si="0"/>
        <v>0</v>
      </c>
      <c r="C22">
        <f>SUMIF(Ajouter1[MABEC],TRIM(A22),Ajouter1[Qté théorique])</f>
        <v>0</v>
      </c>
      <c r="I22" t="s">
        <v>133</v>
      </c>
      <c r="J22">
        <v>43</v>
      </c>
      <c r="M22" s="7" t="s">
        <v>41</v>
      </c>
      <c r="N22">
        <v>30</v>
      </c>
    </row>
    <row r="23" spans="1:14" x14ac:dyDescent="0.25">
      <c r="A23" s="113" t="s">
        <v>25</v>
      </c>
      <c r="B23">
        <f t="shared" si="0"/>
        <v>0</v>
      </c>
      <c r="C23">
        <f>SUMIF(Ajouter1[MABEC],TRIM(A23),Ajouter1[Qté théorique])</f>
        <v>8</v>
      </c>
      <c r="M23" s="7" t="s">
        <v>35</v>
      </c>
      <c r="N23">
        <v>20</v>
      </c>
    </row>
    <row r="24" spans="1:14" x14ac:dyDescent="0.25">
      <c r="A24" t="s">
        <v>133</v>
      </c>
      <c r="B24">
        <f t="shared" si="0"/>
        <v>0</v>
      </c>
      <c r="C24">
        <f>SUMIF(Ajouter1[MABEC],TRIM(A24),Ajouter1[Qté théorique])</f>
        <v>43</v>
      </c>
      <c r="I24" t="s">
        <v>247</v>
      </c>
      <c r="J24">
        <f>SUBTOTAL(109,Ajouter1[Qté théorique])</f>
        <v>505</v>
      </c>
      <c r="M24" s="7" t="s">
        <v>120</v>
      </c>
      <c r="N24">
        <v>10</v>
      </c>
    </row>
    <row r="25" spans="1:14" x14ac:dyDescent="0.25">
      <c r="A25" s="118" t="s">
        <v>247</v>
      </c>
      <c r="B25">
        <f>SUBTOTAL(109,Tableau14[Qté Réelle])</f>
        <v>822</v>
      </c>
      <c r="C25">
        <f>SUBTOTAL(109,Tableau14[Qté théorique])</f>
        <v>505</v>
      </c>
      <c r="M25" s="7" t="s">
        <v>46</v>
      </c>
      <c r="N25">
        <v>5</v>
      </c>
    </row>
    <row r="26" spans="1:14" x14ac:dyDescent="0.25">
      <c r="M26" s="7" t="s">
        <v>51</v>
      </c>
      <c r="N26">
        <v>4</v>
      </c>
    </row>
    <row r="27" spans="1:14" x14ac:dyDescent="0.25">
      <c r="M27" s="7" t="s">
        <v>52</v>
      </c>
      <c r="N27">
        <v>3</v>
      </c>
    </row>
    <row r="28" spans="1:14" x14ac:dyDescent="0.25">
      <c r="M28" s="7" t="s">
        <v>48</v>
      </c>
      <c r="N28">
        <v>2</v>
      </c>
    </row>
    <row r="29" spans="1:14" x14ac:dyDescent="0.25">
      <c r="M29" s="7" t="s">
        <v>198</v>
      </c>
      <c r="N29">
        <v>1</v>
      </c>
    </row>
    <row r="30" spans="1:14" x14ac:dyDescent="0.25">
      <c r="M30" s="7" t="s">
        <v>50</v>
      </c>
      <c r="N30">
        <v>1</v>
      </c>
    </row>
    <row r="31" spans="1:14" x14ac:dyDescent="0.25">
      <c r="M31" s="7" t="s">
        <v>53</v>
      </c>
      <c r="N31">
        <v>0</v>
      </c>
    </row>
    <row r="32" spans="1:14" x14ac:dyDescent="0.25">
      <c r="M32" s="7" t="s">
        <v>47</v>
      </c>
      <c r="N32">
        <v>0</v>
      </c>
    </row>
    <row r="33" spans="13:14" x14ac:dyDescent="0.25">
      <c r="M33" s="6" t="s">
        <v>28</v>
      </c>
      <c r="N33">
        <v>167</v>
      </c>
    </row>
    <row r="34" spans="13:14" x14ac:dyDescent="0.25">
      <c r="M34" s="7" t="s">
        <v>22</v>
      </c>
      <c r="N34">
        <v>40</v>
      </c>
    </row>
    <row r="35" spans="13:14" x14ac:dyDescent="0.25">
      <c r="M35" s="7" t="s">
        <v>12</v>
      </c>
      <c r="N35">
        <v>40</v>
      </c>
    </row>
    <row r="36" spans="13:14" x14ac:dyDescent="0.25">
      <c r="M36" s="7" t="s">
        <v>35</v>
      </c>
      <c r="N36">
        <v>30</v>
      </c>
    </row>
    <row r="37" spans="13:14" x14ac:dyDescent="0.25">
      <c r="M37" s="7" t="s">
        <v>17</v>
      </c>
      <c r="N37">
        <v>25</v>
      </c>
    </row>
    <row r="38" spans="13:14" x14ac:dyDescent="0.25">
      <c r="M38" s="7" t="s">
        <v>23</v>
      </c>
      <c r="N38">
        <v>10</v>
      </c>
    </row>
    <row r="39" spans="13:14" x14ac:dyDescent="0.25">
      <c r="M39" s="7" t="s">
        <v>44</v>
      </c>
      <c r="N39">
        <v>10</v>
      </c>
    </row>
    <row r="40" spans="13:14" x14ac:dyDescent="0.25">
      <c r="M40" s="7" t="s">
        <v>120</v>
      </c>
      <c r="N40">
        <v>10</v>
      </c>
    </row>
    <row r="41" spans="13:14" x14ac:dyDescent="0.25">
      <c r="M41" s="7" t="s">
        <v>52</v>
      </c>
      <c r="N41">
        <v>1</v>
      </c>
    </row>
    <row r="42" spans="13:14" x14ac:dyDescent="0.25">
      <c r="M42" s="7" t="s">
        <v>51</v>
      </c>
      <c r="N42">
        <v>1</v>
      </c>
    </row>
    <row r="43" spans="13:14" x14ac:dyDescent="0.25">
      <c r="M43" s="7" t="s">
        <v>198</v>
      </c>
      <c r="N43">
        <v>0</v>
      </c>
    </row>
    <row r="44" spans="13:14" x14ac:dyDescent="0.25">
      <c r="M44" s="7" t="s">
        <v>46</v>
      </c>
      <c r="N44">
        <v>0</v>
      </c>
    </row>
    <row r="45" spans="13:14" x14ac:dyDescent="0.25">
      <c r="M45" s="6" t="s">
        <v>80</v>
      </c>
      <c r="N45">
        <v>822</v>
      </c>
    </row>
  </sheetData>
  <pageMargins left="0.7" right="0.7" top="0.75" bottom="0.75" header="0.3" footer="0.3"/>
  <drawing r:id="rId2"/>
  <tableParts count="2"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FF00"/>
  </sheetPr>
  <dimension ref="A1:O22"/>
  <sheetViews>
    <sheetView zoomScale="44" zoomScaleNormal="40" workbookViewId="0">
      <selection activeCell="O22" sqref="O22"/>
    </sheetView>
  </sheetViews>
  <sheetFormatPr baseColWidth="10" defaultColWidth="11.42578125" defaultRowHeight="15" x14ac:dyDescent="0.25"/>
  <cols>
    <col min="1" max="1" width="14.42578125" bestFit="1" customWidth="1"/>
    <col min="3" max="3" width="28.28515625" bestFit="1" customWidth="1"/>
    <col min="4" max="4" width="25.28515625" bestFit="1" customWidth="1"/>
  </cols>
  <sheetData>
    <row r="1" spans="1:15" x14ac:dyDescent="0.25">
      <c r="A1" s="8" t="s">
        <v>82</v>
      </c>
      <c r="B1" s="9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10"/>
    </row>
    <row r="2" spans="1:15" x14ac:dyDescent="0.25">
      <c r="A2" s="4"/>
      <c r="B2" s="4"/>
      <c r="C2" s="4" t="s">
        <v>83</v>
      </c>
      <c r="D2" s="4"/>
      <c r="E2" s="4"/>
      <c r="F2" s="4"/>
      <c r="G2" s="11"/>
      <c r="H2" s="4"/>
      <c r="I2" s="4"/>
      <c r="J2" s="4"/>
      <c r="K2" s="4"/>
      <c r="L2" s="4"/>
      <c r="M2" s="4"/>
      <c r="N2" s="4"/>
      <c r="O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99</v>
      </c>
      <c r="B4" s="50" t="s">
        <v>39</v>
      </c>
      <c r="C4" s="166" t="s">
        <v>100</v>
      </c>
      <c r="D4" s="50" t="s">
        <v>22</v>
      </c>
      <c r="E4" s="50">
        <v>1</v>
      </c>
      <c r="F4" s="50">
        <v>4</v>
      </c>
      <c r="G4" s="62">
        <v>7</v>
      </c>
      <c r="H4" s="62"/>
      <c r="I4" s="15" t="e">
        <f t="shared" ref="I4:I20" si="0">(E4*G4)/(F4*H4)</f>
        <v>#DIV/0!</v>
      </c>
      <c r="J4" s="14" t="e">
        <f t="shared" ref="J4:J20" si="1">(ROUNDUP($E4*$B$1/($F4*H4),0))</f>
        <v>#DIV/0!</v>
      </c>
      <c r="K4" s="170" t="e">
        <f>+SUM(J4:J6)</f>
        <v>#DIV/0!</v>
      </c>
      <c r="L4" s="162">
        <f>N4*G4</f>
        <v>0</v>
      </c>
      <c r="M4" s="159" t="e">
        <f>L4/$B$1</f>
        <v>#DIV/0!</v>
      </c>
      <c r="N4" s="162">
        <f>SUMIFS('Tableau plaquette complet'!F:F,'Tableau plaquette complet'!G:G,"EMAG 1",'Tableau plaquette complet'!H:H,"OP 10",'Tableau plaquette complet'!J:J,"302x26 RPI",'Tableau plaquette complet'!B:B,"Z000 546 265")</f>
        <v>0</v>
      </c>
      <c r="O4" s="156" t="e">
        <f>-(K4-N4)</f>
        <v>#DIV/0!</v>
      </c>
    </row>
    <row r="5" spans="1:15" x14ac:dyDescent="0.25">
      <c r="A5" s="50" t="s">
        <v>101</v>
      </c>
      <c r="B5" s="50" t="s">
        <v>39</v>
      </c>
      <c r="C5" s="166"/>
      <c r="D5" s="50" t="s">
        <v>22</v>
      </c>
      <c r="E5" s="50">
        <v>1</v>
      </c>
      <c r="F5" s="50">
        <v>4</v>
      </c>
      <c r="G5" s="62">
        <v>3.5</v>
      </c>
      <c r="H5" s="62"/>
      <c r="I5" s="15" t="e">
        <f t="shared" si="0"/>
        <v>#DIV/0!</v>
      </c>
      <c r="J5" s="14" t="e">
        <f t="shared" si="1"/>
        <v>#DIV/0!</v>
      </c>
      <c r="K5" s="170"/>
      <c r="L5" s="163"/>
      <c r="M5" s="160"/>
      <c r="N5" s="163"/>
      <c r="O5" s="157"/>
    </row>
    <row r="6" spans="1:15" x14ac:dyDescent="0.25">
      <c r="A6" s="50" t="s">
        <v>102</v>
      </c>
      <c r="B6" s="50" t="s">
        <v>39</v>
      </c>
      <c r="C6" s="166"/>
      <c r="D6" s="50" t="s">
        <v>22</v>
      </c>
      <c r="E6" s="50">
        <v>1</v>
      </c>
      <c r="F6" s="50">
        <v>4</v>
      </c>
      <c r="G6" s="62">
        <v>3.5</v>
      </c>
      <c r="H6" s="62"/>
      <c r="I6" s="15" t="e">
        <f t="shared" si="0"/>
        <v>#DIV/0!</v>
      </c>
      <c r="J6" s="14" t="e">
        <f t="shared" si="1"/>
        <v>#DIV/0!</v>
      </c>
      <c r="K6" s="170"/>
      <c r="L6" s="164"/>
      <c r="M6" s="161"/>
      <c r="N6" s="164"/>
      <c r="O6" s="158"/>
    </row>
    <row r="7" spans="1:15" x14ac:dyDescent="0.25">
      <c r="A7" s="50" t="s">
        <v>103</v>
      </c>
      <c r="B7" s="50" t="s">
        <v>39</v>
      </c>
      <c r="C7" s="166" t="s">
        <v>104</v>
      </c>
      <c r="D7" s="50" t="s">
        <v>23</v>
      </c>
      <c r="E7" s="50">
        <v>1</v>
      </c>
      <c r="F7" s="50">
        <v>8</v>
      </c>
      <c r="G7" s="62">
        <v>7.12</v>
      </c>
      <c r="H7" s="62"/>
      <c r="I7" s="15" t="e">
        <f t="shared" si="0"/>
        <v>#DIV/0!</v>
      </c>
      <c r="J7" s="14" t="e">
        <f t="shared" si="1"/>
        <v>#DIV/0!</v>
      </c>
      <c r="K7" s="170" t="e">
        <f>+SUM(J7:J9)</f>
        <v>#DIV/0!</v>
      </c>
      <c r="L7" s="162">
        <f>N7*G7</f>
        <v>0</v>
      </c>
      <c r="M7" s="159" t="e">
        <f>L7/$B$1</f>
        <v>#DIV/0!</v>
      </c>
      <c r="N7" s="162">
        <f>SUMIFS('Tableau plaquette complet'!F:F,'Tableau plaquette complet'!G:G,"EMAG 1",'Tableau plaquette complet'!H:H,"OP 10",'Tableau plaquette complet'!J:J,"302x26 RPI",'Tableau plaquette complet'!B:B,"Z000 546 266")</f>
        <v>0</v>
      </c>
      <c r="O7" s="156" t="e">
        <f>-(K7-N7)</f>
        <v>#DIV/0!</v>
      </c>
    </row>
    <row r="8" spans="1:15" x14ac:dyDescent="0.25">
      <c r="A8" s="50" t="s">
        <v>105</v>
      </c>
      <c r="B8" s="50" t="s">
        <v>39</v>
      </c>
      <c r="C8" s="166"/>
      <c r="D8" s="50" t="s">
        <v>23</v>
      </c>
      <c r="E8" s="50">
        <v>1</v>
      </c>
      <c r="F8" s="50">
        <v>8</v>
      </c>
      <c r="G8" s="62">
        <v>7.12</v>
      </c>
      <c r="H8" s="62"/>
      <c r="I8" s="15" t="e">
        <f t="shared" si="0"/>
        <v>#DIV/0!</v>
      </c>
      <c r="J8" s="14" t="e">
        <f t="shared" si="1"/>
        <v>#DIV/0!</v>
      </c>
      <c r="K8" s="170"/>
      <c r="L8" s="163"/>
      <c r="M8" s="160"/>
      <c r="N8" s="163"/>
      <c r="O8" s="157"/>
    </row>
    <row r="9" spans="1:15" x14ac:dyDescent="0.25">
      <c r="A9" s="50" t="s">
        <v>105</v>
      </c>
      <c r="B9" s="50" t="s">
        <v>39</v>
      </c>
      <c r="C9" s="166"/>
      <c r="D9" s="50" t="s">
        <v>23</v>
      </c>
      <c r="E9" s="50">
        <v>1</v>
      </c>
      <c r="F9" s="50">
        <v>8</v>
      </c>
      <c r="G9" s="62">
        <v>7.12</v>
      </c>
      <c r="H9" s="62"/>
      <c r="I9" s="15" t="e">
        <f t="shared" si="0"/>
        <v>#DIV/0!</v>
      </c>
      <c r="J9" s="14" t="e">
        <f t="shared" si="1"/>
        <v>#DIV/0!</v>
      </c>
      <c r="K9" s="170"/>
      <c r="L9" s="164"/>
      <c r="M9" s="161"/>
      <c r="N9" s="164"/>
      <c r="O9" s="158"/>
    </row>
    <row r="10" spans="1:15" x14ac:dyDescent="0.25">
      <c r="A10" s="36" t="s">
        <v>106</v>
      </c>
      <c r="B10" s="36" t="s">
        <v>14</v>
      </c>
      <c r="C10" s="165" t="s">
        <v>100</v>
      </c>
      <c r="D10" s="36" t="s">
        <v>22</v>
      </c>
      <c r="E10" s="36">
        <v>1</v>
      </c>
      <c r="F10" s="36">
        <v>4</v>
      </c>
      <c r="G10" s="63">
        <v>7</v>
      </c>
      <c r="H10" s="63"/>
      <c r="I10" s="15" t="e">
        <f t="shared" si="0"/>
        <v>#DIV/0!</v>
      </c>
      <c r="J10" s="14" t="e">
        <f t="shared" si="1"/>
        <v>#DIV/0!</v>
      </c>
      <c r="K10" s="167" t="e">
        <f>+SUM(J10:J13)</f>
        <v>#DIV/0!</v>
      </c>
      <c r="L10" s="147">
        <f>N10*G10</f>
        <v>0</v>
      </c>
      <c r="M10" s="150" t="e">
        <f>L10/$B$1</f>
        <v>#DIV/0!</v>
      </c>
      <c r="N10" s="147">
        <f>SUMIFS('Tableau plaquette complet'!F:F,'Tableau plaquette complet'!G:G,"EMAG 1",'Tableau plaquette complet'!H:H,"OP 20",'Tableau plaquette complet'!J:J,"302x26 RPI",'Tableau plaquette complet'!B:B,"Z000 546 265")</f>
        <v>0</v>
      </c>
      <c r="O10" s="153" t="e">
        <f>-(K10-N10)</f>
        <v>#DIV/0!</v>
      </c>
    </row>
    <row r="11" spans="1:15" x14ac:dyDescent="0.25">
      <c r="A11" s="36" t="s">
        <v>107</v>
      </c>
      <c r="B11" s="36" t="s">
        <v>14</v>
      </c>
      <c r="C11" s="165"/>
      <c r="D11" s="36" t="s">
        <v>22</v>
      </c>
      <c r="E11" s="36">
        <v>1</v>
      </c>
      <c r="F11" s="36">
        <v>4</v>
      </c>
      <c r="G11" s="64">
        <v>3.5</v>
      </c>
      <c r="H11" s="63"/>
      <c r="I11" s="15" t="e">
        <f t="shared" ref="I11" si="2">(E11*G11)/(F11*H11)</f>
        <v>#DIV/0!</v>
      </c>
      <c r="J11" s="14" t="e">
        <f t="shared" ref="J11" si="3">(ROUNDUP($E11*$B$1/($F11*H11),0))</f>
        <v>#DIV/0!</v>
      </c>
      <c r="K11" s="168"/>
      <c r="L11" s="148"/>
      <c r="M11" s="151"/>
      <c r="N11" s="148"/>
      <c r="O11" s="154"/>
    </row>
    <row r="12" spans="1:15" x14ac:dyDescent="0.25">
      <c r="A12" s="36" t="s">
        <v>108</v>
      </c>
      <c r="B12" s="36" t="s">
        <v>14</v>
      </c>
      <c r="C12" s="165"/>
      <c r="D12" s="36" t="s">
        <v>22</v>
      </c>
      <c r="E12" s="36">
        <v>1</v>
      </c>
      <c r="F12" s="36">
        <v>4</v>
      </c>
      <c r="G12" s="64">
        <v>3.5</v>
      </c>
      <c r="H12" s="63"/>
      <c r="I12" s="15" t="e">
        <f t="shared" si="0"/>
        <v>#DIV/0!</v>
      </c>
      <c r="J12" s="14" t="e">
        <f t="shared" si="1"/>
        <v>#DIV/0!</v>
      </c>
      <c r="K12" s="168"/>
      <c r="L12" s="148"/>
      <c r="M12" s="151"/>
      <c r="N12" s="148"/>
      <c r="O12" s="154"/>
    </row>
    <row r="13" spans="1:15" x14ac:dyDescent="0.25">
      <c r="A13" s="36" t="s">
        <v>109</v>
      </c>
      <c r="B13" s="36" t="s">
        <v>14</v>
      </c>
      <c r="C13" s="165"/>
      <c r="D13" s="36" t="s">
        <v>22</v>
      </c>
      <c r="E13" s="36">
        <v>1</v>
      </c>
      <c r="F13" s="36">
        <v>4</v>
      </c>
      <c r="G13" s="63">
        <v>7</v>
      </c>
      <c r="H13" s="63"/>
      <c r="I13" s="15" t="e">
        <f t="shared" ref="I13" si="4">(E13*G13)/(F13*H13)</f>
        <v>#DIV/0!</v>
      </c>
      <c r="J13" s="14" t="e">
        <f t="shared" ref="J13" si="5">(ROUNDUP($E13*$B$1/($F13*H13),0))</f>
        <v>#DIV/0!</v>
      </c>
      <c r="K13" s="169"/>
      <c r="L13" s="149"/>
      <c r="M13" s="152"/>
      <c r="N13" s="149"/>
      <c r="O13" s="155"/>
    </row>
    <row r="14" spans="1:15" x14ac:dyDescent="0.25">
      <c r="A14" s="36" t="s">
        <v>110</v>
      </c>
      <c r="B14" s="36" t="s">
        <v>14</v>
      </c>
      <c r="C14" s="36" t="s">
        <v>111</v>
      </c>
      <c r="D14" s="36" t="s">
        <v>12</v>
      </c>
      <c r="E14" s="36">
        <v>1</v>
      </c>
      <c r="F14" s="36">
        <v>2</v>
      </c>
      <c r="G14" s="63">
        <v>13.67</v>
      </c>
      <c r="H14" s="63"/>
      <c r="I14" s="15" t="e">
        <f t="shared" si="0"/>
        <v>#DIV/0!</v>
      </c>
      <c r="J14" s="14" t="e">
        <f t="shared" si="1"/>
        <v>#DIV/0!</v>
      </c>
      <c r="K14" s="14" t="e">
        <f t="shared" ref="K14:K15" si="6">J14</f>
        <v>#DIV/0!</v>
      </c>
      <c r="L14" s="45">
        <f t="shared" ref="L14:L15" si="7">N14*G14</f>
        <v>0</v>
      </c>
      <c r="M14" s="46" t="e">
        <f t="shared" ref="M14:M15" si="8">L14/$B$1</f>
        <v>#DIV/0!</v>
      </c>
      <c r="N14" s="48">
        <f>SUMIFS('Tableau plaquette complet'!F:F,'Tableau plaquette complet'!G:G,"EMAG 1",'Tableau plaquette complet'!H:H,"OP 20",'Tableau plaquette complet'!J:J,"302x26 RPI",'Tableau plaquette complet'!B:B,"Z000 544 318")</f>
        <v>0</v>
      </c>
      <c r="O14" s="44" t="e">
        <f t="shared" ref="O14:O15" si="9">-(K14-N14)</f>
        <v>#DIV/0!</v>
      </c>
    </row>
    <row r="15" spans="1:15" x14ac:dyDescent="0.25">
      <c r="A15" s="61" t="s">
        <v>112</v>
      </c>
      <c r="B15" s="61" t="s">
        <v>14</v>
      </c>
      <c r="C15" s="61" t="s">
        <v>113</v>
      </c>
      <c r="D15" s="61" t="s">
        <v>25</v>
      </c>
      <c r="E15" s="61">
        <v>1</v>
      </c>
      <c r="F15" s="61">
        <v>2</v>
      </c>
      <c r="G15" s="61">
        <v>10.85</v>
      </c>
      <c r="H15" s="63"/>
      <c r="I15" s="15" t="e">
        <f t="shared" si="0"/>
        <v>#DIV/0!</v>
      </c>
      <c r="J15" s="14" t="e">
        <f t="shared" si="1"/>
        <v>#DIV/0!</v>
      </c>
      <c r="K15" s="14" t="e">
        <f t="shared" si="6"/>
        <v>#DIV/0!</v>
      </c>
      <c r="L15" s="45">
        <f t="shared" si="7"/>
        <v>0</v>
      </c>
      <c r="M15" s="46" t="e">
        <f t="shared" si="8"/>
        <v>#DIV/0!</v>
      </c>
      <c r="N15" s="48">
        <f>SUMIFS('Tableau plaquette complet'!F:F,'Tableau plaquette complet'!G:G,"EMAG 1",'Tableau plaquette complet'!H:H,"OP 20",'Tableau plaquette complet'!J:J,"302x26 RPI",'Tableau plaquette complet'!B:B,"Z000 522 436")</f>
        <v>0</v>
      </c>
      <c r="O15" s="44" t="e">
        <f t="shared" si="9"/>
        <v>#DIV/0!</v>
      </c>
    </row>
    <row r="16" spans="1:15" x14ac:dyDescent="0.25">
      <c r="A16" s="36" t="s">
        <v>114</v>
      </c>
      <c r="B16" s="36" t="s">
        <v>14</v>
      </c>
      <c r="C16" s="36" t="s">
        <v>104</v>
      </c>
      <c r="D16" s="36" t="s">
        <v>23</v>
      </c>
      <c r="E16" s="36">
        <v>1</v>
      </c>
      <c r="F16" s="36">
        <v>8</v>
      </c>
      <c r="G16" s="63">
        <v>7.12</v>
      </c>
      <c r="H16" s="63"/>
      <c r="I16" s="15" t="e">
        <f t="shared" si="0"/>
        <v>#DIV/0!</v>
      </c>
      <c r="J16" s="14" t="e">
        <f t="shared" si="1"/>
        <v>#DIV/0!</v>
      </c>
      <c r="K16" s="14" t="e">
        <f t="shared" ref="K16:K17" si="10">J16</f>
        <v>#DIV/0!</v>
      </c>
      <c r="L16" s="48">
        <f t="shared" ref="L16:L17" si="11">N16*G16</f>
        <v>0</v>
      </c>
      <c r="M16" s="49" t="e">
        <f t="shared" ref="M16:M19" si="12">L16/$B$1</f>
        <v>#DIV/0!</v>
      </c>
      <c r="N16" s="48">
        <f>SUMIFS('Tableau plaquette complet'!F:F,'Tableau plaquette complet'!G:G,"EMAG 1",'Tableau plaquette complet'!H:H,"OP 20",'Tableau plaquette complet'!J:J,"302x26 RPI",'Tableau plaquette complet'!B:B,"Z000 546 266")</f>
        <v>0</v>
      </c>
      <c r="O16" s="47" t="e">
        <f t="shared" ref="O16:O17" si="13">-(K16-N16)</f>
        <v>#DIV/0!</v>
      </c>
    </row>
    <row r="17" spans="1:15" x14ac:dyDescent="0.25">
      <c r="A17" s="50" t="s">
        <v>115</v>
      </c>
      <c r="B17" s="50" t="s">
        <v>20</v>
      </c>
      <c r="C17" s="166" t="s">
        <v>116</v>
      </c>
      <c r="D17" s="50" t="s">
        <v>17</v>
      </c>
      <c r="E17" s="50">
        <v>1</v>
      </c>
      <c r="F17" s="50">
        <v>8</v>
      </c>
      <c r="G17" s="62">
        <v>9.56</v>
      </c>
      <c r="H17" s="62"/>
      <c r="I17" s="15" t="e">
        <f t="shared" si="0"/>
        <v>#DIV/0!</v>
      </c>
      <c r="J17" s="14" t="e">
        <f t="shared" si="1"/>
        <v>#DIV/0!</v>
      </c>
      <c r="K17" s="167" t="e">
        <f t="shared" si="10"/>
        <v>#DIV/0!</v>
      </c>
      <c r="L17" s="162">
        <f t="shared" si="11"/>
        <v>0</v>
      </c>
      <c r="M17" s="159" t="e">
        <f t="shared" si="12"/>
        <v>#DIV/0!</v>
      </c>
      <c r="N17" s="162">
        <f>SUMIFS('Tableau plaquette complet'!F:F,'Tableau plaquette complet'!G:G,"EMAG 1",'Tableau plaquette complet'!H:H,"OP 30",'Tableau plaquette complet'!J:J,"302x26 RPI",'Tableau plaquette complet'!B:B,"Z000 513 527")</f>
        <v>0</v>
      </c>
      <c r="O17" s="156" t="e">
        <f t="shared" si="13"/>
        <v>#DIV/0!</v>
      </c>
    </row>
    <row r="18" spans="1:15" x14ac:dyDescent="0.25">
      <c r="A18" s="50" t="s">
        <v>117</v>
      </c>
      <c r="B18" s="50" t="s">
        <v>20</v>
      </c>
      <c r="C18" s="166"/>
      <c r="D18" s="50" t="s">
        <v>17</v>
      </c>
      <c r="E18" s="50">
        <v>1</v>
      </c>
      <c r="F18" s="50">
        <v>8</v>
      </c>
      <c r="G18" s="62">
        <v>9.56</v>
      </c>
      <c r="H18" s="62"/>
      <c r="I18" s="15" t="e">
        <f t="shared" si="0"/>
        <v>#DIV/0!</v>
      </c>
      <c r="J18" s="14" t="e">
        <f t="shared" si="1"/>
        <v>#DIV/0!</v>
      </c>
      <c r="K18" s="169"/>
      <c r="L18" s="164"/>
      <c r="M18" s="161"/>
      <c r="N18" s="164"/>
      <c r="O18" s="158"/>
    </row>
    <row r="19" spans="1:15" x14ac:dyDescent="0.25">
      <c r="A19" s="50" t="s">
        <v>118</v>
      </c>
      <c r="B19" s="50" t="s">
        <v>20</v>
      </c>
      <c r="C19" s="50" t="s">
        <v>119</v>
      </c>
      <c r="D19" s="50" t="s">
        <v>120</v>
      </c>
      <c r="E19" s="50">
        <v>1</v>
      </c>
      <c r="F19" s="50">
        <v>8</v>
      </c>
      <c r="G19" s="62">
        <v>10.97</v>
      </c>
      <c r="H19" s="62"/>
      <c r="I19" s="15" t="e">
        <f t="shared" si="0"/>
        <v>#DIV/0!</v>
      </c>
      <c r="J19" s="14" t="e">
        <f t="shared" si="1"/>
        <v>#DIV/0!</v>
      </c>
      <c r="K19" s="43" t="e">
        <f>J19</f>
        <v>#DIV/0!</v>
      </c>
      <c r="L19" s="50">
        <f>N19*G19</f>
        <v>0</v>
      </c>
      <c r="M19" s="53" t="e">
        <f t="shared" si="12"/>
        <v>#DIV/0!</v>
      </c>
      <c r="N19" s="50">
        <f>SUMIFS('Tableau plaquette complet'!F:F,'Tableau plaquette complet'!G:G,"EMAG 1",'Tableau plaquette complet'!H:H,"OP 30",'Tableau plaquette complet'!J:J,"302x26 RPI",'Tableau plaquette complet'!B:B,"Z000 455 182")</f>
        <v>0</v>
      </c>
      <c r="O19" s="52" t="e">
        <f>-(K19-N19)</f>
        <v>#DIV/0!</v>
      </c>
    </row>
    <row r="20" spans="1:15" ht="15.75" thickBot="1" x14ac:dyDescent="0.3">
      <c r="A20" s="50" t="s">
        <v>121</v>
      </c>
      <c r="B20" s="50" t="s">
        <v>20</v>
      </c>
      <c r="C20" s="50" t="s">
        <v>122</v>
      </c>
      <c r="D20" s="50" t="s">
        <v>35</v>
      </c>
      <c r="E20" s="50">
        <v>1</v>
      </c>
      <c r="F20" s="50">
        <v>6</v>
      </c>
      <c r="G20" s="62">
        <v>11.87</v>
      </c>
      <c r="H20" s="62"/>
      <c r="I20" s="15" t="e">
        <f t="shared" si="0"/>
        <v>#DIV/0!</v>
      </c>
      <c r="J20" s="14" t="e">
        <f t="shared" si="1"/>
        <v>#DIV/0!</v>
      </c>
      <c r="K20" s="43" t="e">
        <f>J20</f>
        <v>#DIV/0!</v>
      </c>
      <c r="L20" s="50">
        <f>N20*G20</f>
        <v>0</v>
      </c>
      <c r="M20" s="53" t="e">
        <f t="shared" ref="M20" si="14">L20/$B$1</f>
        <v>#DIV/0!</v>
      </c>
      <c r="N20" s="50">
        <f>SUMIFS('Tableau plaquette complet'!F:F,'Tableau plaquette complet'!G:G,"EMAG 1",'Tableau plaquette complet'!H:H,"OP 30",'Tableau plaquette complet'!J:J,"302x26 RPI",'Tableau plaquette complet'!B:B,"Z000 519 285")</f>
        <v>0</v>
      </c>
      <c r="O20" s="52" t="e">
        <f>-(K20-N20)</f>
        <v>#DIV/0!</v>
      </c>
    </row>
    <row r="21" spans="1:15" ht="15.75" thickBot="1" x14ac:dyDescent="0.3">
      <c r="A21" s="4"/>
      <c r="B21" s="4"/>
      <c r="C21" s="4"/>
      <c r="D21" s="4"/>
      <c r="E21" s="4"/>
      <c r="F21" s="4"/>
      <c r="G21" s="4"/>
      <c r="H21" s="4"/>
      <c r="I21" s="16" t="e">
        <f>SUM(I4:I20)</f>
        <v>#DIV/0!</v>
      </c>
      <c r="J21" s="17" t="e">
        <f>SUM(J4:J20)</f>
        <v>#DIV/0!</v>
      </c>
      <c r="L21" s="18"/>
      <c r="M21" s="41" t="e">
        <f>SUM(M4:M20)</f>
        <v>#DIV/0!</v>
      </c>
      <c r="N21" s="42">
        <f>SUM(N4:N20)</f>
        <v>0</v>
      </c>
      <c r="O21" s="4"/>
    </row>
    <row r="22" spans="1:15" x14ac:dyDescent="0.25">
      <c r="A22" s="4"/>
      <c r="B22" s="4"/>
      <c r="C22" s="4"/>
      <c r="D22" s="4"/>
      <c r="E22" s="4"/>
      <c r="F22" s="4"/>
      <c r="G22" s="4"/>
      <c r="H22" s="4"/>
      <c r="I22" s="19" t="e">
        <f>B1*I21</f>
        <v>#DIV/0!</v>
      </c>
      <c r="J22" s="4"/>
      <c r="K22" s="4"/>
      <c r="L22" s="4"/>
      <c r="M22" s="19" t="e">
        <f>B1*M21</f>
        <v>#DIV/0!</v>
      </c>
      <c r="N22" s="4"/>
      <c r="O22" s="4"/>
    </row>
  </sheetData>
  <mergeCells count="24">
    <mergeCell ref="L17:L18"/>
    <mergeCell ref="M17:M18"/>
    <mergeCell ref="N17:N18"/>
    <mergeCell ref="O17:O18"/>
    <mergeCell ref="C17:C18"/>
    <mergeCell ref="C10:C13"/>
    <mergeCell ref="C7:C9"/>
    <mergeCell ref="C4:C6"/>
    <mergeCell ref="K10:K13"/>
    <mergeCell ref="K17:K18"/>
    <mergeCell ref="K4:K6"/>
    <mergeCell ref="K7:K9"/>
    <mergeCell ref="L10:L13"/>
    <mergeCell ref="M10:M13"/>
    <mergeCell ref="N10:N13"/>
    <mergeCell ref="O10:O13"/>
    <mergeCell ref="O4:O6"/>
    <mergeCell ref="M4:M6"/>
    <mergeCell ref="L4:L6"/>
    <mergeCell ref="L7:L9"/>
    <mergeCell ref="M7:M9"/>
    <mergeCell ref="O7:O9"/>
    <mergeCell ref="N4:N6"/>
    <mergeCell ref="N7:N9"/>
  </mergeCells>
  <conditionalFormatting sqref="M21">
    <cfRule type="cellIs" dxfId="57" priority="1" operator="greaterThan">
      <formula>$I$21</formula>
    </cfRule>
    <cfRule type="cellIs" dxfId="56" priority="2" operator="lessThanOrEqual">
      <formula>$I$21</formula>
    </cfRule>
  </conditionalFormatting>
  <conditionalFormatting sqref="N21">
    <cfRule type="cellIs" dxfId="55" priority="3" operator="lessThanOrEqual">
      <formula>$J$21</formula>
    </cfRule>
    <cfRule type="cellIs" dxfId="54" priority="4" operator="greaterThan">
      <formula>$J$21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FF00"/>
  </sheetPr>
  <dimension ref="A1:O36"/>
  <sheetViews>
    <sheetView topLeftCell="A12" zoomScale="125" zoomScaleNormal="100" workbookViewId="0">
      <selection activeCell="I27" sqref="I27"/>
    </sheetView>
  </sheetViews>
  <sheetFormatPr baseColWidth="10" defaultColWidth="11.42578125" defaultRowHeight="15" x14ac:dyDescent="0.25"/>
  <cols>
    <col min="3" max="3" width="26.42578125" bestFit="1" customWidth="1"/>
    <col min="4" max="4" width="12.14062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0</v>
      </c>
      <c r="N1" s="4"/>
    </row>
    <row r="2" spans="1:15" x14ac:dyDescent="0.25">
      <c r="C2" s="23" t="s">
        <v>123</v>
      </c>
      <c r="E2" s="23"/>
      <c r="G2" s="24"/>
      <c r="N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124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126</v>
      </c>
      <c r="B4" s="50" t="s">
        <v>39</v>
      </c>
      <c r="C4" s="166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IF(C4="CNMX120716T03030 SL506",7,38)</f>
        <v>38</v>
      </c>
      <c r="H4" s="25">
        <v>700</v>
      </c>
      <c r="I4" s="15">
        <f t="shared" ref="I4:I19" si="0">(E4*G4)/(F4*H4)</f>
        <v>1.3571428571428571E-2</v>
      </c>
      <c r="J4" s="14">
        <f t="shared" ref="J4:J19" si="1">(ROUNDUP($E4*$B$1/($F4*H4),0))</f>
        <v>0</v>
      </c>
      <c r="K4" s="167">
        <f>SUM(J4:J6)</f>
        <v>0</v>
      </c>
      <c r="L4" s="162">
        <f>N4*G4</f>
        <v>0</v>
      </c>
      <c r="M4" s="159" t="e">
        <f>L4/$B$1</f>
        <v>#DIV/0!</v>
      </c>
      <c r="N4" s="162">
        <f>IF(C4="CNMX120716T03030 SL506",SUMIFS('Tableau plaquette complet'!F:F,'Tableau plaquette complet'!G:G,"EMAG 1",'Tableau plaquette complet'!H:H,"OP 10",'Tableau plaquette complet'!J:J,"304x28 RPE",'Tableau plaquette complet'!B:B,"Z000 546 265"),'Tableau plaquette outil'!F3)</f>
        <v>0</v>
      </c>
      <c r="O4" s="156">
        <f>-(K4-N4)</f>
        <v>0</v>
      </c>
    </row>
    <row r="5" spans="1:15" x14ac:dyDescent="0.25">
      <c r="A5" s="50" t="s">
        <v>101</v>
      </c>
      <c r="B5" s="50" t="s">
        <v>39</v>
      </c>
      <c r="C5" s="166"/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SL506",3.5,19)</f>
        <v>19</v>
      </c>
      <c r="H5" s="25">
        <v>700</v>
      </c>
      <c r="I5" s="15">
        <f t="shared" si="0"/>
        <v>6.7857142857142855E-3</v>
      </c>
      <c r="J5" s="14">
        <f t="shared" si="1"/>
        <v>0</v>
      </c>
      <c r="K5" s="168"/>
      <c r="L5" s="163"/>
      <c r="M5" s="160"/>
      <c r="N5" s="163"/>
      <c r="O5" s="157"/>
    </row>
    <row r="6" spans="1:15" x14ac:dyDescent="0.25">
      <c r="A6" s="50" t="s">
        <v>102</v>
      </c>
      <c r="B6" s="50" t="s">
        <v>39</v>
      </c>
      <c r="C6" s="166"/>
      <c r="D6" s="50" t="str">
        <f>IF(C4="CNMX120716T03030 SL506","Z000 546 265","IM02 209 560")</f>
        <v>IM02 209 560</v>
      </c>
      <c r="E6" s="50">
        <v>1</v>
      </c>
      <c r="F6" s="50">
        <v>4</v>
      </c>
      <c r="G6" s="62">
        <f>IF(C4="CNMX120716T03030 SL506",3.5,19)</f>
        <v>19</v>
      </c>
      <c r="H6" s="25">
        <v>800</v>
      </c>
      <c r="I6" s="15">
        <f t="shared" si="0"/>
        <v>5.9375000000000001E-3</v>
      </c>
      <c r="J6" s="14">
        <f t="shared" si="1"/>
        <v>0</v>
      </c>
      <c r="K6" s="169"/>
      <c r="L6" s="164"/>
      <c r="M6" s="161"/>
      <c r="N6" s="164"/>
      <c r="O6" s="158"/>
    </row>
    <row r="7" spans="1:15" x14ac:dyDescent="0.25">
      <c r="A7" s="50" t="s">
        <v>128</v>
      </c>
      <c r="B7" s="50" t="s">
        <v>39</v>
      </c>
      <c r="C7" s="166" t="s">
        <v>129</v>
      </c>
      <c r="D7" s="50" t="str">
        <f>IF(C7="SNMX120716T03030 SL506","Z000 546 266","IM02 198 054")</f>
        <v>IM02 198 054</v>
      </c>
      <c r="E7" s="50">
        <v>1</v>
      </c>
      <c r="F7" s="50">
        <v>8</v>
      </c>
      <c r="G7" s="62">
        <f>IF(C7="SNMX120716T03030 SL506",7.12,38)</f>
        <v>38</v>
      </c>
      <c r="H7" s="25">
        <v>800</v>
      </c>
      <c r="I7" s="15">
        <f t="shared" si="0"/>
        <v>5.9375000000000001E-3</v>
      </c>
      <c r="J7" s="14">
        <f t="shared" si="1"/>
        <v>0</v>
      </c>
      <c r="K7" s="167">
        <f>SUM(J7:J9)</f>
        <v>0</v>
      </c>
      <c r="L7" s="162">
        <f>N7*G7</f>
        <v>0</v>
      </c>
      <c r="M7" s="159" t="e">
        <f>L7/$B$1</f>
        <v>#DIV/0!</v>
      </c>
      <c r="N7" s="162">
        <f>IF(C7="SNMX120716T03030 SL506",SUMIFS('Tableau plaquette complet'!F:F,'Tableau plaquette complet'!G:G,"EMAG 1",'Tableau plaquette complet'!H:H,"OP 10",'Tableau plaquette complet'!J:J,"304x28 RPE",'Tableau plaquette complet'!B:B,"Z000 546 266"),'Tableau plaquette outil'!F2)</f>
        <v>0</v>
      </c>
      <c r="O7" s="156">
        <f>-(K7-N7)</f>
        <v>0</v>
      </c>
    </row>
    <row r="8" spans="1:15" x14ac:dyDescent="0.25">
      <c r="A8" s="50" t="s">
        <v>130</v>
      </c>
      <c r="B8" s="50" t="s">
        <v>39</v>
      </c>
      <c r="C8" s="166"/>
      <c r="D8" s="50" t="str">
        <f>IF(C7="SNMX120716T03030 SL506","Z000 546 266","IM02 198 054")</f>
        <v>IM02 198 054</v>
      </c>
      <c r="E8" s="50">
        <v>1</v>
      </c>
      <c r="F8" s="50">
        <v>8</v>
      </c>
      <c r="G8" s="62">
        <f>IF(C7="SNMX120716T03030 SL506",7.12,38)</f>
        <v>38</v>
      </c>
      <c r="H8" s="25">
        <v>800</v>
      </c>
      <c r="I8" s="15">
        <f t="shared" si="0"/>
        <v>5.9375000000000001E-3</v>
      </c>
      <c r="J8" s="14">
        <f t="shared" si="1"/>
        <v>0</v>
      </c>
      <c r="K8" s="168"/>
      <c r="L8" s="163"/>
      <c r="M8" s="160"/>
      <c r="N8" s="163"/>
      <c r="O8" s="157"/>
    </row>
    <row r="9" spans="1:15" x14ac:dyDescent="0.25">
      <c r="A9" s="50" t="s">
        <v>130</v>
      </c>
      <c r="B9" s="50" t="s">
        <v>39</v>
      </c>
      <c r="C9" s="166"/>
      <c r="D9" s="50" t="str">
        <f>IF(C7="SNMX120716T03030 SL506","Z000 546 266","IM02 198 054")</f>
        <v>IM02 198 054</v>
      </c>
      <c r="E9" s="50">
        <v>1</v>
      </c>
      <c r="F9" s="50">
        <v>8</v>
      </c>
      <c r="G9" s="62">
        <f>IF(C7="SNMX120716T03030 SL506",7.12,38)</f>
        <v>38</v>
      </c>
      <c r="H9" s="25">
        <v>800</v>
      </c>
      <c r="I9" s="15">
        <f t="shared" si="0"/>
        <v>5.9375000000000001E-3</v>
      </c>
      <c r="J9" s="14">
        <f t="shared" si="1"/>
        <v>0</v>
      </c>
      <c r="K9" s="169"/>
      <c r="L9" s="164"/>
      <c r="M9" s="161"/>
      <c r="N9" s="164"/>
      <c r="O9" s="158"/>
    </row>
    <row r="10" spans="1:15" x14ac:dyDescent="0.25">
      <c r="A10" s="36" t="s">
        <v>106</v>
      </c>
      <c r="B10" s="36" t="s">
        <v>14</v>
      </c>
      <c r="C10" s="165" t="s">
        <v>100</v>
      </c>
      <c r="D10" s="36" t="s">
        <v>22</v>
      </c>
      <c r="E10" s="36">
        <v>1</v>
      </c>
      <c r="F10" s="36">
        <v>4</v>
      </c>
      <c r="G10" s="63">
        <v>7</v>
      </c>
      <c r="H10" s="28">
        <v>150</v>
      </c>
      <c r="I10" s="15">
        <f t="shared" si="0"/>
        <v>1.1666666666666667E-2</v>
      </c>
      <c r="J10" s="14">
        <f t="shared" si="1"/>
        <v>0</v>
      </c>
      <c r="K10" s="173">
        <f>SUM(J10:J13)</f>
        <v>0</v>
      </c>
      <c r="L10" s="147">
        <f>N10*G10</f>
        <v>0</v>
      </c>
      <c r="M10" s="150" t="e">
        <f>L10/$B$1</f>
        <v>#DIV/0!</v>
      </c>
      <c r="N10" s="147">
        <f>SUMIFS('Tableau plaquette complet'!F:F,'Tableau plaquette complet'!G:G,"EMAG 1",'Tableau plaquette complet'!H:H,"OP 20",'Tableau plaquette complet'!J:J,"304x28 RPE",'Tableau plaquette complet'!B:B,"Z000 546 265")</f>
        <v>0</v>
      </c>
      <c r="O10" s="153">
        <f>-(K10-N10)</f>
        <v>0</v>
      </c>
    </row>
    <row r="11" spans="1:15" x14ac:dyDescent="0.25">
      <c r="A11" s="36" t="s">
        <v>107</v>
      </c>
      <c r="B11" s="36" t="s">
        <v>14</v>
      </c>
      <c r="C11" s="165"/>
      <c r="D11" s="36" t="s">
        <v>22</v>
      </c>
      <c r="E11" s="36">
        <v>1</v>
      </c>
      <c r="F11" s="36">
        <v>4</v>
      </c>
      <c r="G11" s="64">
        <v>3.5</v>
      </c>
      <c r="H11" s="28">
        <v>150</v>
      </c>
      <c r="I11" s="15">
        <f t="shared" si="0"/>
        <v>5.8333333333333336E-3</v>
      </c>
      <c r="J11" s="14">
        <f t="shared" si="1"/>
        <v>0</v>
      </c>
      <c r="K11" s="174"/>
      <c r="L11" s="148"/>
      <c r="M11" s="151"/>
      <c r="N11" s="148"/>
      <c r="O11" s="154"/>
    </row>
    <row r="12" spans="1:15" x14ac:dyDescent="0.25">
      <c r="A12" s="36" t="s">
        <v>108</v>
      </c>
      <c r="B12" s="36" t="s">
        <v>14</v>
      </c>
      <c r="C12" s="165"/>
      <c r="D12" s="36" t="s">
        <v>22</v>
      </c>
      <c r="E12" s="36">
        <v>1</v>
      </c>
      <c r="F12" s="36">
        <v>4</v>
      </c>
      <c r="G12" s="64">
        <v>3.5</v>
      </c>
      <c r="H12" s="28">
        <v>150</v>
      </c>
      <c r="I12" s="15">
        <f t="shared" si="0"/>
        <v>5.8333333333333336E-3</v>
      </c>
      <c r="J12" s="14">
        <f t="shared" si="1"/>
        <v>0</v>
      </c>
      <c r="K12" s="174"/>
      <c r="L12" s="148"/>
      <c r="M12" s="151"/>
      <c r="N12" s="148"/>
      <c r="O12" s="154"/>
    </row>
    <row r="13" spans="1:15" x14ac:dyDescent="0.25">
      <c r="A13" s="36" t="s">
        <v>109</v>
      </c>
      <c r="B13" s="36" t="s">
        <v>14</v>
      </c>
      <c r="C13" s="165"/>
      <c r="D13" s="36" t="s">
        <v>22</v>
      </c>
      <c r="E13" s="36">
        <v>1</v>
      </c>
      <c r="F13" s="36">
        <v>4</v>
      </c>
      <c r="G13" s="63">
        <v>7</v>
      </c>
      <c r="H13" s="28">
        <v>150</v>
      </c>
      <c r="I13" s="15">
        <f t="shared" si="0"/>
        <v>1.1666666666666667E-2</v>
      </c>
      <c r="J13" s="14">
        <f t="shared" si="1"/>
        <v>0</v>
      </c>
      <c r="K13" s="175"/>
      <c r="L13" s="149"/>
      <c r="M13" s="152"/>
      <c r="N13" s="149"/>
      <c r="O13" s="155"/>
    </row>
    <row r="14" spans="1:15" x14ac:dyDescent="0.25">
      <c r="A14" s="36" t="s">
        <v>110</v>
      </c>
      <c r="B14" s="36" t="s">
        <v>14</v>
      </c>
      <c r="C14" s="36" t="s">
        <v>111</v>
      </c>
      <c r="D14" s="36" t="s">
        <v>12</v>
      </c>
      <c r="E14" s="36">
        <v>1</v>
      </c>
      <c r="F14" s="36">
        <v>2</v>
      </c>
      <c r="G14" s="63">
        <v>13.67</v>
      </c>
      <c r="H14" s="28">
        <v>150</v>
      </c>
      <c r="I14" s="15">
        <f t="shared" si="0"/>
        <v>4.5566666666666665E-2</v>
      </c>
      <c r="J14" s="14">
        <f t="shared" si="1"/>
        <v>0</v>
      </c>
      <c r="K14" s="67">
        <f>J14</f>
        <v>0</v>
      </c>
      <c r="L14" s="48">
        <f>N14*G14</f>
        <v>0</v>
      </c>
      <c r="M14" s="49" t="e">
        <f>L14/$B$1</f>
        <v>#DIV/0!</v>
      </c>
      <c r="N14" s="48">
        <f>SUMIFS('Tableau plaquette complet'!F:F,'Tableau plaquette complet'!G:G,"EMAG 1",'Tableau plaquette complet'!H:H,"OP 20",'Tableau plaquette complet'!J:J,"304x28 RPE",'Tableau plaquette complet'!B:B,"Z000 544 318")</f>
        <v>0</v>
      </c>
      <c r="O14" s="47">
        <f>-(K14-N14)</f>
        <v>0</v>
      </c>
    </row>
    <row r="15" spans="1:15" x14ac:dyDescent="0.25">
      <c r="A15" s="61" t="s">
        <v>112</v>
      </c>
      <c r="B15" s="61" t="s">
        <v>14</v>
      </c>
      <c r="C15" s="61" t="s">
        <v>113</v>
      </c>
      <c r="D15" s="61" t="s">
        <v>25</v>
      </c>
      <c r="E15" s="61">
        <v>1</v>
      </c>
      <c r="F15" s="61">
        <v>2</v>
      </c>
      <c r="G15" s="61">
        <v>10.85</v>
      </c>
      <c r="H15" s="28">
        <v>300</v>
      </c>
      <c r="I15" s="15">
        <f t="shared" si="0"/>
        <v>1.8083333333333333E-2</v>
      </c>
      <c r="J15" s="14">
        <f t="shared" si="1"/>
        <v>0</v>
      </c>
      <c r="K15" s="67">
        <f>J15</f>
        <v>0</v>
      </c>
      <c r="L15" s="48">
        <f>N15*G15</f>
        <v>0</v>
      </c>
      <c r="M15" s="49" t="e">
        <f>L15/$B$1</f>
        <v>#DIV/0!</v>
      </c>
      <c r="N15" s="48">
        <f>SUMIFS('Tableau plaquette complet'!F:F,'Tableau plaquette complet'!G:G,"EMAG 1",'Tableau plaquette complet'!H:H,"OP 20",'Tableau plaquette complet'!J:J,"304x28 RPE",'Tableau plaquette complet'!B:B,"Z000 522 436")</f>
        <v>0</v>
      </c>
      <c r="O15" s="47">
        <f>-(K15-N15)</f>
        <v>0</v>
      </c>
    </row>
    <row r="16" spans="1:15" x14ac:dyDescent="0.25">
      <c r="A16" s="36" t="s">
        <v>114</v>
      </c>
      <c r="B16" s="36" t="s">
        <v>14</v>
      </c>
      <c r="C16" s="36" t="s">
        <v>104</v>
      </c>
      <c r="D16" s="36" t="s">
        <v>23</v>
      </c>
      <c r="E16" s="36">
        <v>1</v>
      </c>
      <c r="F16" s="36">
        <v>8</v>
      </c>
      <c r="G16" s="63">
        <v>7.12</v>
      </c>
      <c r="H16" s="28">
        <v>2400</v>
      </c>
      <c r="I16" s="15">
        <f t="shared" si="0"/>
        <v>3.7083333333333331E-4</v>
      </c>
      <c r="J16" s="14">
        <f t="shared" si="1"/>
        <v>0</v>
      </c>
      <c r="K16" s="67">
        <f>J16</f>
        <v>0</v>
      </c>
      <c r="L16" s="45">
        <f t="shared" ref="L16" si="2">N16*G16</f>
        <v>0</v>
      </c>
      <c r="M16" s="46" t="e">
        <f>L16/$B$1</f>
        <v>#DIV/0!</v>
      </c>
      <c r="N16" s="48">
        <f>SUMIFS('Tableau plaquette complet'!F:F,'Tableau plaquette complet'!G:G,"EMAG 1",'Tableau plaquette complet'!H:H,"OP 20",'Tableau plaquette complet'!J:J,"304x28 RPE",'Tableau plaquette complet'!B:B,"Z000 546 266")</f>
        <v>0</v>
      </c>
      <c r="O16" s="44">
        <f>-(K16-N16)</f>
        <v>0</v>
      </c>
    </row>
    <row r="17" spans="1:15" x14ac:dyDescent="0.25">
      <c r="A17" s="50" t="s">
        <v>115</v>
      </c>
      <c r="B17" s="50" t="s">
        <v>20</v>
      </c>
      <c r="C17" s="166" t="s">
        <v>116</v>
      </c>
      <c r="D17" s="50" t="s">
        <v>17</v>
      </c>
      <c r="E17" s="50">
        <v>1</v>
      </c>
      <c r="F17" s="50">
        <v>8</v>
      </c>
      <c r="G17" s="62">
        <v>9.56</v>
      </c>
      <c r="H17" s="28">
        <v>75</v>
      </c>
      <c r="I17" s="15">
        <f t="shared" si="0"/>
        <v>1.5933333333333334E-2</v>
      </c>
      <c r="J17" s="14">
        <f t="shared" si="1"/>
        <v>0</v>
      </c>
      <c r="K17" s="170">
        <f>SUM(J17:J18)</f>
        <v>0</v>
      </c>
      <c r="L17" s="166">
        <f>N17*G17</f>
        <v>0</v>
      </c>
      <c r="M17" s="171" t="e">
        <f>L17/$B$1</f>
        <v>#DIV/0!</v>
      </c>
      <c r="N17" s="166">
        <f>SUMIFS('Tableau plaquette complet'!F:F,'Tableau plaquette complet'!G:G,"EMAG 1",'Tableau plaquette complet'!H:H,"OP 40",'Tableau plaquette complet'!J:J,"304x28 RPE",'Tableau plaquette complet'!B:B,"Z000 513 527")</f>
        <v>0</v>
      </c>
      <c r="O17" s="172">
        <f>-(K17-N17)</f>
        <v>0</v>
      </c>
    </row>
    <row r="18" spans="1:15" x14ac:dyDescent="0.25">
      <c r="A18" s="50" t="s">
        <v>117</v>
      </c>
      <c r="B18" s="50" t="s">
        <v>20</v>
      </c>
      <c r="C18" s="166"/>
      <c r="D18" s="50" t="s">
        <v>17</v>
      </c>
      <c r="E18" s="50">
        <v>1</v>
      </c>
      <c r="F18" s="50">
        <v>8</v>
      </c>
      <c r="G18" s="62">
        <v>9.56</v>
      </c>
      <c r="H18" s="28">
        <v>75</v>
      </c>
      <c r="I18" s="15">
        <f t="shared" si="0"/>
        <v>1.5933333333333334E-2</v>
      </c>
      <c r="J18" s="14">
        <f t="shared" si="1"/>
        <v>0</v>
      </c>
      <c r="K18" s="170"/>
      <c r="L18" s="166"/>
      <c r="M18" s="171"/>
      <c r="N18" s="166"/>
      <c r="O18" s="172"/>
    </row>
    <row r="19" spans="1:15" x14ac:dyDescent="0.25">
      <c r="A19" s="50" t="s">
        <v>118</v>
      </c>
      <c r="B19" s="50" t="s">
        <v>20</v>
      </c>
      <c r="C19" s="50" t="s">
        <v>119</v>
      </c>
      <c r="D19" s="50" t="s">
        <v>120</v>
      </c>
      <c r="E19" s="50">
        <v>1</v>
      </c>
      <c r="F19" s="50">
        <v>8</v>
      </c>
      <c r="G19" s="62">
        <v>10.97</v>
      </c>
      <c r="H19" s="28">
        <v>300</v>
      </c>
      <c r="I19" s="15">
        <f t="shared" si="0"/>
        <v>4.5708333333333339E-3</v>
      </c>
      <c r="J19" s="14">
        <f t="shared" si="1"/>
        <v>0</v>
      </c>
      <c r="K19" s="14">
        <f>J19</f>
        <v>0</v>
      </c>
      <c r="L19" s="50">
        <f>N19*G19</f>
        <v>0</v>
      </c>
      <c r="M19" s="53" t="e">
        <f>L19/$B$1</f>
        <v>#DIV/0!</v>
      </c>
      <c r="N19" s="50">
        <f>SUMIFS('Tableau plaquette complet'!F:F,'Tableau plaquette complet'!G:G,"EMAG 1",'Tableau plaquette complet'!H:H,"OP 40",'Tableau plaquette complet'!J:J,"304x28 RPE",'Tableau plaquette complet'!B:B,"Z000 455 182")</f>
        <v>0</v>
      </c>
      <c r="O19" s="52">
        <f>-(K19-N19)</f>
        <v>0</v>
      </c>
    </row>
    <row r="20" spans="1:15" x14ac:dyDescent="0.25">
      <c r="A20" s="50" t="s">
        <v>121</v>
      </c>
      <c r="B20" s="50" t="s">
        <v>20</v>
      </c>
      <c r="C20" s="50" t="s">
        <v>122</v>
      </c>
      <c r="D20" s="50" t="s">
        <v>35</v>
      </c>
      <c r="E20" s="50">
        <v>1</v>
      </c>
      <c r="F20" s="50">
        <v>6</v>
      </c>
      <c r="G20" s="62">
        <v>11.87</v>
      </c>
      <c r="H20" s="28">
        <v>75</v>
      </c>
      <c r="I20" s="15">
        <f t="shared" ref="I20:I21" si="3">(E20*G20)/(F20*H20)</f>
        <v>2.6377777777777778E-2</v>
      </c>
      <c r="J20" s="14">
        <f t="shared" ref="J20:J21" si="4">(ROUNDUP($E20*$B$1/($F20*H20),0))</f>
        <v>0</v>
      </c>
      <c r="K20" s="14">
        <f t="shared" ref="K20:K21" si="5">J20</f>
        <v>0</v>
      </c>
      <c r="L20" s="50">
        <f t="shared" ref="L20:L21" si="6">N20*G20</f>
        <v>0</v>
      </c>
      <c r="M20" s="53" t="e">
        <f t="shared" ref="M20:M21" si="7">L20/$B$1</f>
        <v>#DIV/0!</v>
      </c>
      <c r="N20" s="50">
        <f>SUMIFS('Tableau plaquette complet'!F:F,'Tableau plaquette complet'!G:G,"EMAG 1",'Tableau plaquette complet'!H:H,"OP 40",'Tableau plaquette complet'!J:J,"304x28 RPE",'Tableau plaquette complet'!B:B,"Z000 519 285")</f>
        <v>0</v>
      </c>
      <c r="O20" s="52">
        <f t="shared" ref="O20:O21" si="8">-(K20-N20)</f>
        <v>0</v>
      </c>
    </row>
    <row r="21" spans="1:15" x14ac:dyDescent="0.25">
      <c r="A21" s="50" t="s">
        <v>131</v>
      </c>
      <c r="B21" s="50" t="s">
        <v>20</v>
      </c>
      <c r="C21" s="50" t="s">
        <v>132</v>
      </c>
      <c r="D21" s="50" t="s">
        <v>133</v>
      </c>
      <c r="E21" s="50">
        <v>1</v>
      </c>
      <c r="F21" s="50">
        <v>4</v>
      </c>
      <c r="G21" s="62">
        <v>3.68</v>
      </c>
      <c r="H21" s="28">
        <v>150</v>
      </c>
      <c r="I21" s="15">
        <f t="shared" si="3"/>
        <v>6.1333333333333335E-3</v>
      </c>
      <c r="J21" s="14">
        <f t="shared" si="4"/>
        <v>0</v>
      </c>
      <c r="K21" s="14">
        <f t="shared" si="5"/>
        <v>0</v>
      </c>
      <c r="L21" s="50">
        <f t="shared" si="6"/>
        <v>0</v>
      </c>
      <c r="M21" s="53" t="e">
        <f t="shared" si="7"/>
        <v>#DIV/0!</v>
      </c>
      <c r="N21" s="50">
        <f>SUMIFS('Tableau plaquette complet'!F:F,'Tableau plaquette complet'!G:G,"EMAG 1",'Tableau plaquette complet'!H:H,"OP 40",'Tableau plaquette complet'!J:J,"304x28 RPE",'Tableau plaquette complet'!B:B,"Z000 548 367")</f>
        <v>0</v>
      </c>
      <c r="O21" s="52">
        <f t="shared" si="8"/>
        <v>0</v>
      </c>
    </row>
    <row r="22" spans="1:15" ht="15.75" thickBot="1" x14ac:dyDescent="0.3">
      <c r="I22" s="65">
        <f>SUM(I4:I21)</f>
        <v>0.21207658730158727</v>
      </c>
      <c r="J22" s="66">
        <f>SUM(J4:J21)</f>
        <v>0</v>
      </c>
      <c r="M22" s="41" t="e">
        <f>SUM(M3:M21)</f>
        <v>#DIV/0!</v>
      </c>
      <c r="N22" s="42">
        <f>SUM(N3:N21)</f>
        <v>0</v>
      </c>
    </row>
    <row r="23" spans="1:15" x14ac:dyDescent="0.25">
      <c r="I23" s="30">
        <f>B1*I22</f>
        <v>0</v>
      </c>
      <c r="M23" s="30" t="e">
        <f>B1*M22</f>
        <v>#DIV/0!</v>
      </c>
      <c r="N23" s="4"/>
    </row>
    <row r="26" spans="1:15" x14ac:dyDescent="0.25">
      <c r="H26" t="s">
        <v>124</v>
      </c>
      <c r="I26" t="s">
        <v>93</v>
      </c>
    </row>
    <row r="27" spans="1:15" x14ac:dyDescent="0.25">
      <c r="H27" t="s">
        <v>46</v>
      </c>
      <c r="I27">
        <f>SUMIF($D$4:$D$21,TRIM(H27),$J$4:$J$21)</f>
        <v>0</v>
      </c>
    </row>
    <row r="28" spans="1:15" x14ac:dyDescent="0.25">
      <c r="H28" t="s">
        <v>198</v>
      </c>
      <c r="I28">
        <f t="shared" ref="I28:I34" si="9">SUMIF($D$4:$D$21,TRIM(H28),$J$4:$J$21)</f>
        <v>0</v>
      </c>
    </row>
    <row r="29" spans="1:15" x14ac:dyDescent="0.25">
      <c r="H29" t="s">
        <v>22</v>
      </c>
      <c r="I29">
        <f t="shared" si="9"/>
        <v>0</v>
      </c>
    </row>
    <row r="30" spans="1:15" x14ac:dyDescent="0.25">
      <c r="H30" t="s">
        <v>12</v>
      </c>
      <c r="I30">
        <f t="shared" si="9"/>
        <v>0</v>
      </c>
    </row>
    <row r="31" spans="1:15" x14ac:dyDescent="0.25">
      <c r="H31" t="s">
        <v>25</v>
      </c>
      <c r="I31">
        <f t="shared" si="9"/>
        <v>0</v>
      </c>
    </row>
    <row r="32" spans="1:15" x14ac:dyDescent="0.25">
      <c r="H32" t="s">
        <v>23</v>
      </c>
      <c r="I32">
        <f t="shared" si="9"/>
        <v>0</v>
      </c>
    </row>
    <row r="33" spans="8:9" x14ac:dyDescent="0.25">
      <c r="H33" t="s">
        <v>120</v>
      </c>
      <c r="I33">
        <f t="shared" si="9"/>
        <v>0</v>
      </c>
    </row>
    <row r="34" spans="8:9" x14ac:dyDescent="0.25">
      <c r="H34" t="s">
        <v>17</v>
      </c>
      <c r="I34">
        <f t="shared" si="9"/>
        <v>0</v>
      </c>
    </row>
    <row r="35" spans="8:9" x14ac:dyDescent="0.25">
      <c r="H35" t="s">
        <v>35</v>
      </c>
      <c r="I35">
        <f>SUMIF($D$4:$D$21,TRIM(H35),$J$4:$J$21)</f>
        <v>0</v>
      </c>
    </row>
    <row r="36" spans="8:9" x14ac:dyDescent="0.25">
      <c r="H36" t="s">
        <v>133</v>
      </c>
      <c r="I36">
        <f>SUMIF($D$4:$D$21,TRIM(H36),$J$4:$J$21)</f>
        <v>0</v>
      </c>
    </row>
  </sheetData>
  <mergeCells count="24">
    <mergeCell ref="C17:C18"/>
    <mergeCell ref="C10:C13"/>
    <mergeCell ref="C7:C9"/>
    <mergeCell ref="C4:C6"/>
    <mergeCell ref="K10:K13"/>
    <mergeCell ref="K17:K18"/>
    <mergeCell ref="K7:K9"/>
    <mergeCell ref="L7:L9"/>
    <mergeCell ref="M7:M9"/>
    <mergeCell ref="N7:N9"/>
    <mergeCell ref="O7:O9"/>
    <mergeCell ref="K4:K6"/>
    <mergeCell ref="L4:L6"/>
    <mergeCell ref="M4:M6"/>
    <mergeCell ref="N4:N6"/>
    <mergeCell ref="O4:O6"/>
    <mergeCell ref="L17:L18"/>
    <mergeCell ref="M17:M18"/>
    <mergeCell ref="N17:N18"/>
    <mergeCell ref="O17:O18"/>
    <mergeCell ref="L10:L13"/>
    <mergeCell ref="M10:M13"/>
    <mergeCell ref="N10:N13"/>
    <mergeCell ref="O10:O13"/>
  </mergeCells>
  <conditionalFormatting sqref="M22">
    <cfRule type="cellIs" dxfId="53" priority="1" operator="greaterThan">
      <formula>$I$22</formula>
    </cfRule>
    <cfRule type="cellIs" dxfId="52" priority="2" operator="lessThanOrEqual">
      <formula>$I$22</formula>
    </cfRule>
  </conditionalFormatting>
  <conditionalFormatting sqref="N22">
    <cfRule type="cellIs" dxfId="51" priority="3" operator="lessThanOrEqual">
      <formula>$J$22</formula>
    </cfRule>
    <cfRule type="cellIs" dxfId="50" priority="4" operator="greaterThan">
      <formula>$J$22</formula>
    </cfRule>
  </conditionalFormatting>
  <dataValidations disablePrompts="1" count="2">
    <dataValidation type="list" allowBlank="1" showInputMessage="1" showErrorMessage="1" sqref="C4:C6" xr:uid="{00000000-0002-0000-0800-000000000000}">
      <formula1>"CNMX120716T03030 SL506, CNGX 120716 S02020 CBN387"</formula1>
    </dataValidation>
    <dataValidation type="list" allowBlank="1" showInputMessage="1" showErrorMessage="1" sqref="C7:C9" xr:uid="{00000000-0002-0000-0800-000001000000}">
      <formula1>"SNMX120716T03030 SL506, SNGX 120716 S02020 CBN387"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FFFF00"/>
  </sheetPr>
  <dimension ref="A1:Q41"/>
  <sheetViews>
    <sheetView zoomScale="105" zoomScaleNormal="76" workbookViewId="0">
      <selection activeCell="E28" sqref="E28"/>
    </sheetView>
  </sheetViews>
  <sheetFormatPr baseColWidth="10" defaultColWidth="11.42578125" defaultRowHeight="15" x14ac:dyDescent="0.25"/>
  <cols>
    <col min="3" max="3" width="26.7109375" bestFit="1" customWidth="1"/>
    <col min="4" max="4" width="12.140625" bestFit="1" customWidth="1"/>
    <col min="14" max="14" width="11.85546875" bestFit="1" customWidth="1"/>
    <col min="15" max="15" width="14" bestFit="1" customWidth="1"/>
  </cols>
  <sheetData>
    <row r="1" spans="1:17" x14ac:dyDescent="0.25">
      <c r="A1" s="20" t="s">
        <v>82</v>
      </c>
      <c r="B1" s="21">
        <v>6781</v>
      </c>
      <c r="N1" s="4"/>
    </row>
    <row r="2" spans="1:17" x14ac:dyDescent="0.25">
      <c r="C2" s="23" t="s">
        <v>134</v>
      </c>
      <c r="E2" s="23"/>
      <c r="G2" s="24"/>
      <c r="N2" s="4"/>
    </row>
    <row r="3" spans="1:17" ht="60" x14ac:dyDescent="0.25">
      <c r="A3" s="12" t="s">
        <v>84</v>
      </c>
      <c r="B3" s="12" t="s">
        <v>85</v>
      </c>
      <c r="C3" s="12" t="s">
        <v>86</v>
      </c>
      <c r="D3" s="12" t="s">
        <v>124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7" x14ac:dyDescent="0.25">
      <c r="A4" s="50" t="s">
        <v>99</v>
      </c>
      <c r="B4" s="50" t="s">
        <v>39</v>
      </c>
      <c r="C4" s="143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IF($C$4="CNMX120716T03030 SL506",7,38)</f>
        <v>38</v>
      </c>
      <c r="H4" s="50">
        <v>600</v>
      </c>
      <c r="I4" s="15">
        <f t="shared" ref="I4:I23" si="0">(E4*G4)/(F4*H4)</f>
        <v>1.5833333333333335E-2</v>
      </c>
      <c r="J4" s="14">
        <f t="shared" ref="J4:J23" si="1">(ROUNDUP($E4*$B$1/($F4*H4),0))</f>
        <v>3</v>
      </c>
      <c r="K4" s="167">
        <f>SUM(J4:J5)</f>
        <v>6</v>
      </c>
      <c r="L4" s="162">
        <f>N4*G4</f>
        <v>190</v>
      </c>
      <c r="M4" s="159">
        <f>L4/$B$1</f>
        <v>2.8019466155434301E-2</v>
      </c>
      <c r="N4" s="162">
        <f>IF(C4="CNMX120716T03030 SL506",SUMIFS('Tableau plaquette complet'!F:F,'Tableau plaquette complet'!G:G,"EMAG 1",'Tableau plaquette complet'!H:H,"OP 10",'Tableau plaquette complet'!J:J,"356x26 RPI",'Tableau plaquette complet'!B:B,"Z000 546 265"),'Tableau plaquette outil'!F5)</f>
        <v>5</v>
      </c>
      <c r="O4" s="156">
        <f>-(K4-N4)</f>
        <v>-1</v>
      </c>
      <c r="Q4" s="39"/>
    </row>
    <row r="5" spans="1:17" x14ac:dyDescent="0.25">
      <c r="A5" s="50" t="s">
        <v>135</v>
      </c>
      <c r="B5" s="50" t="s">
        <v>39</v>
      </c>
      <c r="C5" s="143" t="s">
        <v>127</v>
      </c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SL506",7,38)</f>
        <v>38</v>
      </c>
      <c r="H5" s="50">
        <v>600</v>
      </c>
      <c r="I5" s="15">
        <f>(E5*G5)/(F5*H5)</f>
        <v>1.5833333333333335E-2</v>
      </c>
      <c r="J5" s="14">
        <f>(ROUNDUP($E5*$B$1/($F5*H5),0))</f>
        <v>3</v>
      </c>
      <c r="K5" s="169"/>
      <c r="L5" s="164"/>
      <c r="M5" s="161"/>
      <c r="N5" s="164"/>
      <c r="O5" s="158"/>
    </row>
    <row r="6" spans="1:17" x14ac:dyDescent="0.25">
      <c r="A6" s="50" t="s">
        <v>317</v>
      </c>
      <c r="B6" s="50" t="s">
        <v>39</v>
      </c>
      <c r="C6" s="143" t="s">
        <v>320</v>
      </c>
      <c r="D6" s="50" t="s">
        <v>294</v>
      </c>
      <c r="E6" s="50">
        <v>1</v>
      </c>
      <c r="F6" s="50">
        <v>4</v>
      </c>
      <c r="G6" s="62">
        <v>7</v>
      </c>
      <c r="H6" s="50">
        <v>75</v>
      </c>
      <c r="I6" s="15">
        <f>(E6*G6)/(F6*H6)</f>
        <v>2.3333333333333334E-2</v>
      </c>
      <c r="J6" s="14">
        <f>(ROUNDUP($E6*$B$1/($F6*H6),0))</f>
        <v>23</v>
      </c>
      <c r="K6" s="54">
        <f>SUM(J6)</f>
        <v>23</v>
      </c>
      <c r="L6" s="72">
        <f>N6*G6</f>
        <v>7</v>
      </c>
      <c r="M6" s="71">
        <f>L6/$B$1</f>
        <v>1.0322961215160006E-3</v>
      </c>
      <c r="N6" s="72">
        <f>IF(C6="CNMX120716T03030 SL506",SUMIFS('Tableau plaquette complet'!F:F,'Tableau plaquette complet'!G:G,"EMAG 1",'Tableau plaquette complet'!H:H,"OP 10",'Tableau plaquette complet'!J:J,"356x26 RPI",'Tableau plaquette complet'!B:B,"IM02 137 022"),'Tableau plaquette outil'!F7)</f>
        <v>1</v>
      </c>
      <c r="O6" s="70">
        <f>-(K6-N6)</f>
        <v>-22</v>
      </c>
    </row>
    <row r="7" spans="1:17" x14ac:dyDescent="0.25">
      <c r="A7" s="50" t="s">
        <v>318</v>
      </c>
      <c r="B7" s="50" t="s">
        <v>39</v>
      </c>
      <c r="C7" s="143" t="s">
        <v>319</v>
      </c>
      <c r="D7" s="50" t="s">
        <v>240</v>
      </c>
      <c r="E7" s="50">
        <v>1</v>
      </c>
      <c r="F7" s="50">
        <v>8</v>
      </c>
      <c r="G7" s="62">
        <v>7.12</v>
      </c>
      <c r="H7" s="50">
        <v>75</v>
      </c>
      <c r="I7" s="15">
        <f>(E7*G7)/(F7*H7)</f>
        <v>1.1866666666666666E-2</v>
      </c>
      <c r="J7" s="14">
        <f>(ROUNDUP($E7*$B$1/($F7*H7),0))</f>
        <v>12</v>
      </c>
      <c r="K7" s="54">
        <f>SUM(J7)</f>
        <v>12</v>
      </c>
      <c r="L7" s="72">
        <f>N7*G7</f>
        <v>7.12</v>
      </c>
      <c r="M7" s="71">
        <f>L7/$B$1</f>
        <v>1.0499926264562749E-3</v>
      </c>
      <c r="N7" s="72">
        <f>IF(C7="CNMX120716T03030 SL506",SUMIFS('Tableau plaquette complet'!F:F,'Tableau plaquette complet'!G:G,"EMAG 1",'Tableau plaquette complet'!H:H,"OP 10",'Tableau plaquette complet'!J:J,"356x26 RPI",'Tableau plaquette complet'!B:B,"IM02 137 021"),'Tableau plaquette outil'!F8)</f>
        <v>1</v>
      </c>
      <c r="O7" s="70">
        <f>-(K7-N7)</f>
        <v>-11</v>
      </c>
    </row>
    <row r="8" spans="1:17" x14ac:dyDescent="0.25">
      <c r="A8" s="50" t="s">
        <v>103</v>
      </c>
      <c r="B8" s="50" t="s">
        <v>39</v>
      </c>
      <c r="C8" s="162" t="s">
        <v>129</v>
      </c>
      <c r="D8" s="50" t="str">
        <f>IF(C8="SNMX120716T03030 SL506","Z000 546 266","IM02 198 054")</f>
        <v>IM02 198 054</v>
      </c>
      <c r="E8" s="50">
        <v>1</v>
      </c>
      <c r="F8" s="50">
        <v>8</v>
      </c>
      <c r="G8" s="62">
        <f>IF(C8="SNMX120716T03030 SL506",7.12,38)</f>
        <v>38</v>
      </c>
      <c r="H8" s="50">
        <v>600</v>
      </c>
      <c r="I8" s="15">
        <f t="shared" si="0"/>
        <v>7.9166666666666673E-3</v>
      </c>
      <c r="J8" s="14">
        <f t="shared" si="1"/>
        <v>2</v>
      </c>
      <c r="K8" s="167">
        <f>SUM(J8:J9)</f>
        <v>4</v>
      </c>
      <c r="L8" s="162">
        <f>N8*G8</f>
        <v>152</v>
      </c>
      <c r="M8" s="159">
        <f>L8/$B$1</f>
        <v>2.2415572924347441E-2</v>
      </c>
      <c r="N8" s="162">
        <f>IF(C5="SNMX120716T03030 SL506",SUMIFS('Tableau plaquette complet'!F:F,'Tableau plaquette complet'!G:G,"EMAG 1",'Tableau plaquette complet'!H:H,"OP 10",'Tableau plaquette complet'!J:J,"356x26 RPI",'Tableau plaquette complet'!B:B,"Z000 546 266"),'Tableau plaquette outil'!F4)</f>
        <v>4</v>
      </c>
      <c r="O8" s="156">
        <f>-(K8-N8)</f>
        <v>0</v>
      </c>
    </row>
    <row r="9" spans="1:17" x14ac:dyDescent="0.25">
      <c r="A9" s="50" t="s">
        <v>105</v>
      </c>
      <c r="B9" s="50" t="s">
        <v>39</v>
      </c>
      <c r="C9" s="164"/>
      <c r="D9" s="50" t="str">
        <f>IF(C8="SNMX120716T03030 SL506","Z000 546 266","IM02 198 054")</f>
        <v>IM02 198 054</v>
      </c>
      <c r="E9" s="50">
        <v>1</v>
      </c>
      <c r="F9" s="50">
        <v>8</v>
      </c>
      <c r="G9" s="62">
        <f>IF(C8="SNMX120716T03030 SL506",7.12,38)</f>
        <v>38</v>
      </c>
      <c r="H9" s="50">
        <v>600</v>
      </c>
      <c r="I9" s="15">
        <f t="shared" si="0"/>
        <v>7.9166666666666673E-3</v>
      </c>
      <c r="J9" s="14">
        <f t="shared" si="1"/>
        <v>2</v>
      </c>
      <c r="K9" s="169"/>
      <c r="L9" s="164"/>
      <c r="M9" s="161"/>
      <c r="N9" s="164"/>
      <c r="O9" s="158"/>
    </row>
    <row r="10" spans="1:17" x14ac:dyDescent="0.25">
      <c r="A10" s="36" t="s">
        <v>106</v>
      </c>
      <c r="B10" s="36" t="s">
        <v>14</v>
      </c>
      <c r="C10" s="36" t="s">
        <v>104</v>
      </c>
      <c r="D10" s="36" t="s">
        <v>23</v>
      </c>
      <c r="E10" s="36">
        <v>1</v>
      </c>
      <c r="F10" s="36">
        <v>8</v>
      </c>
      <c r="G10" s="63">
        <v>7.12</v>
      </c>
      <c r="H10" s="48">
        <v>150</v>
      </c>
      <c r="I10" s="15">
        <f t="shared" si="0"/>
        <v>5.933333333333333E-3</v>
      </c>
      <c r="J10" s="14">
        <f t="shared" si="1"/>
        <v>6</v>
      </c>
      <c r="K10" s="167">
        <f>SUM(J10:J11)</f>
        <v>7</v>
      </c>
      <c r="L10" s="147">
        <f>N10*G10</f>
        <v>71.2</v>
      </c>
      <c r="M10" s="150">
        <f>L10/$B$1</f>
        <v>1.049992626456275E-2</v>
      </c>
      <c r="N10" s="147">
        <f>SUMIFS('Tableau plaquette complet'!F:F,'Tableau plaquette complet'!G:G,"EMAG 1",'Tableau plaquette complet'!H:H,"OP 20",'Tableau plaquette complet'!J:J,"356x26 RPI",'Tableau plaquette complet'!B:B,"Z000 546 266")</f>
        <v>10</v>
      </c>
      <c r="O10" s="153">
        <f>-(K10-N10)</f>
        <v>3</v>
      </c>
    </row>
    <row r="11" spans="1:17" x14ac:dyDescent="0.25">
      <c r="A11" s="36" t="s">
        <v>114</v>
      </c>
      <c r="B11" s="36" t="s">
        <v>14</v>
      </c>
      <c r="C11" s="36" t="s">
        <v>104</v>
      </c>
      <c r="D11" s="36" t="s">
        <v>23</v>
      </c>
      <c r="E11" s="36">
        <v>1</v>
      </c>
      <c r="F11" s="36">
        <v>8</v>
      </c>
      <c r="G11" s="63">
        <v>7.12</v>
      </c>
      <c r="H11" s="48">
        <v>2400</v>
      </c>
      <c r="I11" s="15">
        <f t="shared" si="0"/>
        <v>3.7083333333333331E-4</v>
      </c>
      <c r="J11" s="14">
        <f t="shared" si="1"/>
        <v>1</v>
      </c>
      <c r="K11" s="169"/>
      <c r="L11" s="149"/>
      <c r="M11" s="152"/>
      <c r="N11" s="149"/>
      <c r="O11" s="155"/>
    </row>
    <row r="12" spans="1:17" x14ac:dyDescent="0.25">
      <c r="A12" s="36" t="s">
        <v>136</v>
      </c>
      <c r="B12" s="36" t="s">
        <v>14</v>
      </c>
      <c r="C12" s="115" t="s">
        <v>100</v>
      </c>
      <c r="D12" s="36" t="s">
        <v>22</v>
      </c>
      <c r="E12" s="36">
        <v>1</v>
      </c>
      <c r="F12" s="36">
        <v>4</v>
      </c>
      <c r="G12" s="63">
        <v>7</v>
      </c>
      <c r="H12" s="48">
        <v>150</v>
      </c>
      <c r="I12" s="15">
        <f t="shared" si="0"/>
        <v>1.1666666666666667E-2</v>
      </c>
      <c r="J12" s="14">
        <f t="shared" si="1"/>
        <v>12</v>
      </c>
      <c r="K12" s="167">
        <f>SUM(J12:J13)</f>
        <v>24</v>
      </c>
      <c r="L12" s="147">
        <f>N12*G12</f>
        <v>350</v>
      </c>
      <c r="M12" s="150">
        <f>L12/$B$1</f>
        <v>5.1614806075800032E-2</v>
      </c>
      <c r="N12" s="147">
        <f>SUMIFS('Tableau plaquette complet'!F:F,'Tableau plaquette complet'!G:G,"EMAG 1",'Tableau plaquette complet'!H:H,"OP 20",'Tableau plaquette complet'!J:J,"356x26 RPI",'Tableau plaquette complet'!B:B,"Z000 546 265")</f>
        <v>50</v>
      </c>
      <c r="O12" s="153">
        <f>-(K12-N12)</f>
        <v>26</v>
      </c>
    </row>
    <row r="13" spans="1:17" x14ac:dyDescent="0.25">
      <c r="A13" s="36" t="s">
        <v>137</v>
      </c>
      <c r="B13" s="36" t="s">
        <v>14</v>
      </c>
      <c r="C13" s="115" t="s">
        <v>214</v>
      </c>
      <c r="D13" s="36" t="s">
        <v>22</v>
      </c>
      <c r="E13" s="36">
        <v>1</v>
      </c>
      <c r="F13" s="36">
        <v>4</v>
      </c>
      <c r="G13" s="63">
        <v>7</v>
      </c>
      <c r="H13" s="48">
        <v>150</v>
      </c>
      <c r="I13" s="15">
        <f t="shared" si="0"/>
        <v>1.1666666666666667E-2</v>
      </c>
      <c r="J13" s="14">
        <f t="shared" si="1"/>
        <v>12</v>
      </c>
      <c r="K13" s="169"/>
      <c r="L13" s="149"/>
      <c r="M13" s="152"/>
      <c r="N13" s="149"/>
      <c r="O13" s="155"/>
    </row>
    <row r="14" spans="1:17" x14ac:dyDescent="0.25">
      <c r="A14" s="36" t="s">
        <v>110</v>
      </c>
      <c r="B14" s="36" t="s">
        <v>14</v>
      </c>
      <c r="C14" s="36" t="s">
        <v>111</v>
      </c>
      <c r="D14" s="82" t="s">
        <v>12</v>
      </c>
      <c r="E14" s="36">
        <v>1</v>
      </c>
      <c r="F14" s="36">
        <v>2</v>
      </c>
      <c r="G14" s="68">
        <v>13.67</v>
      </c>
      <c r="H14" s="48">
        <v>150</v>
      </c>
      <c r="I14" s="15">
        <f t="shared" si="0"/>
        <v>4.5566666666666665E-2</v>
      </c>
      <c r="J14" s="14">
        <f t="shared" si="1"/>
        <v>23</v>
      </c>
      <c r="K14" s="54">
        <f>SUM(J14:J14)</f>
        <v>23</v>
      </c>
      <c r="L14" s="48">
        <f t="shared" ref="L14:L20" si="2">N14*G14</f>
        <v>1230.3</v>
      </c>
      <c r="M14" s="49">
        <f t="shared" ref="M14:M20" si="3">L14/$B$1</f>
        <v>0.18143341690016221</v>
      </c>
      <c r="N14" s="48">
        <f>SUMIFS('Tableau plaquette complet'!F:F,'Tableau plaquette complet'!G:G,"EMAG 1",'Tableau plaquette complet'!H:H,"OP 20",'Tableau plaquette complet'!J:J,"356x26 RPI",'Tableau plaquette complet'!B:B,"Z000 544 318")</f>
        <v>90</v>
      </c>
      <c r="O14" s="47">
        <f t="shared" ref="O14:O20" si="4">-(K14-N14)</f>
        <v>67</v>
      </c>
    </row>
    <row r="15" spans="1:17" x14ac:dyDescent="0.25">
      <c r="A15" s="50" t="s">
        <v>138</v>
      </c>
      <c r="B15" s="50" t="s">
        <v>38</v>
      </c>
      <c r="C15" s="50" t="s">
        <v>139</v>
      </c>
      <c r="D15" s="50"/>
      <c r="E15" s="50">
        <v>1</v>
      </c>
      <c r="F15" s="50">
        <v>1</v>
      </c>
      <c r="G15" s="62">
        <v>45</v>
      </c>
      <c r="H15" s="50">
        <v>1500</v>
      </c>
      <c r="I15" s="15">
        <f t="shared" si="0"/>
        <v>0.03</v>
      </c>
      <c r="J15" s="14">
        <f t="shared" si="1"/>
        <v>5</v>
      </c>
      <c r="K15" s="14">
        <f t="shared" ref="K15:K20" si="5">J15</f>
        <v>5</v>
      </c>
      <c r="L15" s="50">
        <f t="shared" si="2"/>
        <v>90</v>
      </c>
      <c r="M15" s="53">
        <f t="shared" si="3"/>
        <v>1.3272378705205722E-2</v>
      </c>
      <c r="N15" s="50">
        <f>'Tableau plaquette outil'!F15</f>
        <v>2</v>
      </c>
      <c r="O15" s="52">
        <f t="shared" si="4"/>
        <v>-3</v>
      </c>
    </row>
    <row r="16" spans="1:17" x14ac:dyDescent="0.25">
      <c r="A16" s="50" t="s">
        <v>138</v>
      </c>
      <c r="B16" s="50" t="s">
        <v>38</v>
      </c>
      <c r="C16" s="50" t="s">
        <v>140</v>
      </c>
      <c r="D16" s="50"/>
      <c r="E16" s="50">
        <v>2</v>
      </c>
      <c r="F16" s="50">
        <v>3</v>
      </c>
      <c r="G16" s="62">
        <v>10.65</v>
      </c>
      <c r="H16" s="50">
        <v>1500</v>
      </c>
      <c r="I16" s="15">
        <f t="shared" si="0"/>
        <v>4.7333333333333333E-3</v>
      </c>
      <c r="J16" s="14">
        <f t="shared" si="1"/>
        <v>4</v>
      </c>
      <c r="K16" s="14">
        <f t="shared" si="5"/>
        <v>4</v>
      </c>
      <c r="L16" s="50">
        <f t="shared" si="2"/>
        <v>10.65</v>
      </c>
      <c r="M16" s="53">
        <f t="shared" si="3"/>
        <v>1.5705648134493439E-3</v>
      </c>
      <c r="N16" s="50">
        <f>'Tableau plaquette outil'!F16</f>
        <v>1</v>
      </c>
      <c r="O16" s="52">
        <f t="shared" si="4"/>
        <v>-3</v>
      </c>
    </row>
    <row r="17" spans="1:15" x14ac:dyDescent="0.25">
      <c r="A17" s="50" t="s">
        <v>141</v>
      </c>
      <c r="B17" s="50" t="s">
        <v>38</v>
      </c>
      <c r="C17" s="50" t="s">
        <v>142</v>
      </c>
      <c r="D17" s="50" t="s">
        <v>143</v>
      </c>
      <c r="E17" s="50">
        <v>2</v>
      </c>
      <c r="F17" s="50">
        <v>3</v>
      </c>
      <c r="G17" s="62">
        <v>12.18</v>
      </c>
      <c r="H17" s="50">
        <v>4000</v>
      </c>
      <c r="I17" s="15">
        <f t="shared" si="0"/>
        <v>2.0300000000000001E-3</v>
      </c>
      <c r="J17" s="14">
        <f t="shared" si="1"/>
        <v>2</v>
      </c>
      <c r="K17" s="14">
        <f t="shared" si="5"/>
        <v>2</v>
      </c>
      <c r="L17" s="50">
        <f t="shared" si="2"/>
        <v>36.54</v>
      </c>
      <c r="M17" s="53">
        <f t="shared" si="3"/>
        <v>5.3885857543135227E-3</v>
      </c>
      <c r="N17" s="50">
        <f>'Tableau plaquette outil'!F20</f>
        <v>3</v>
      </c>
      <c r="O17" s="52">
        <f t="shared" si="4"/>
        <v>1</v>
      </c>
    </row>
    <row r="18" spans="1:15" x14ac:dyDescent="0.25">
      <c r="A18" s="50" t="s">
        <v>141</v>
      </c>
      <c r="B18" s="50" t="s">
        <v>38</v>
      </c>
      <c r="C18" s="50" t="s">
        <v>144</v>
      </c>
      <c r="D18" s="50"/>
      <c r="E18" s="50">
        <v>1</v>
      </c>
      <c r="F18" s="50">
        <v>1</v>
      </c>
      <c r="G18" s="62">
        <v>52</v>
      </c>
      <c r="H18" s="50">
        <v>4000</v>
      </c>
      <c r="I18" s="15">
        <f t="shared" si="0"/>
        <v>1.2999999999999999E-2</v>
      </c>
      <c r="J18" s="14">
        <f t="shared" si="1"/>
        <v>2</v>
      </c>
      <c r="K18" s="14">
        <f t="shared" si="5"/>
        <v>2</v>
      </c>
      <c r="L18" s="50">
        <f t="shared" si="2"/>
        <v>208</v>
      </c>
      <c r="M18" s="53">
        <f t="shared" si="3"/>
        <v>3.0673941896475446E-2</v>
      </c>
      <c r="N18" s="50">
        <f>'Tableau plaquette outil'!F19</f>
        <v>4</v>
      </c>
      <c r="O18" s="52">
        <f t="shared" si="4"/>
        <v>2</v>
      </c>
    </row>
    <row r="19" spans="1:15" x14ac:dyDescent="0.25">
      <c r="A19" s="48" t="s">
        <v>131</v>
      </c>
      <c r="B19" s="48" t="s">
        <v>20</v>
      </c>
      <c r="C19" s="48" t="s">
        <v>132</v>
      </c>
      <c r="D19" s="48" t="s">
        <v>133</v>
      </c>
      <c r="E19" s="48">
        <v>1</v>
      </c>
      <c r="F19" s="48">
        <v>4</v>
      </c>
      <c r="G19" s="64">
        <v>3.68</v>
      </c>
      <c r="H19" s="48">
        <v>60</v>
      </c>
      <c r="I19" s="15">
        <f t="shared" si="0"/>
        <v>1.5333333333333334E-2</v>
      </c>
      <c r="J19" s="14">
        <f t="shared" si="1"/>
        <v>29</v>
      </c>
      <c r="K19" s="14">
        <f t="shared" si="5"/>
        <v>29</v>
      </c>
      <c r="L19" s="36">
        <f t="shared" si="2"/>
        <v>73.600000000000009</v>
      </c>
      <c r="M19" s="37">
        <f t="shared" si="3"/>
        <v>1.0853856363368237E-2</v>
      </c>
      <c r="N19" s="36">
        <f>SUMIFS('Tableau plaquette complet'!F:F,'Tableau plaquette complet'!G:G,"EMAG 1",'Tableau plaquette complet'!H:H,"OP 40",'Tableau plaquette complet'!J:J,"356x26 RPI",'Tableau plaquette complet'!B:B,"Z000 546 265")</f>
        <v>20</v>
      </c>
      <c r="O19" s="38">
        <f t="shared" si="4"/>
        <v>-9</v>
      </c>
    </row>
    <row r="20" spans="1:15" x14ac:dyDescent="0.25">
      <c r="A20" s="48" t="s">
        <v>115</v>
      </c>
      <c r="B20" s="48" t="s">
        <v>20</v>
      </c>
      <c r="C20" s="147" t="s">
        <v>116</v>
      </c>
      <c r="D20" s="48" t="s">
        <v>17</v>
      </c>
      <c r="E20" s="48">
        <v>1</v>
      </c>
      <c r="F20" s="48">
        <v>8</v>
      </c>
      <c r="G20" s="64">
        <v>9.56</v>
      </c>
      <c r="H20" s="48">
        <v>50</v>
      </c>
      <c r="I20" s="15">
        <f t="shared" si="0"/>
        <v>2.3900000000000001E-2</v>
      </c>
      <c r="J20" s="14">
        <f t="shared" si="1"/>
        <v>17</v>
      </c>
      <c r="K20" s="167">
        <f t="shared" si="5"/>
        <v>17</v>
      </c>
      <c r="L20" s="178">
        <f t="shared" si="2"/>
        <v>717</v>
      </c>
      <c r="M20" s="180">
        <f t="shared" si="3"/>
        <v>0.10573661701813891</v>
      </c>
      <c r="N20" s="178">
        <f>SUMIFS('Tableau plaquette complet'!F:F,'Tableau plaquette complet'!G:G,"EMAG 1",'Tableau plaquette complet'!H:H,"OP 40",'Tableau plaquette complet'!J:J,"356x26 RPI",'Tableau plaquette complet'!B:B,"Z000 513 527")</f>
        <v>75</v>
      </c>
      <c r="O20" s="176">
        <f t="shared" si="4"/>
        <v>58</v>
      </c>
    </row>
    <row r="21" spans="1:15" x14ac:dyDescent="0.25">
      <c r="A21" s="48" t="s">
        <v>117</v>
      </c>
      <c r="B21" s="48" t="s">
        <v>20</v>
      </c>
      <c r="C21" s="149"/>
      <c r="D21" s="48" t="s">
        <v>17</v>
      </c>
      <c r="E21" s="48">
        <v>1</v>
      </c>
      <c r="F21" s="48">
        <v>8</v>
      </c>
      <c r="G21" s="64">
        <v>9.56</v>
      </c>
      <c r="H21" s="48">
        <v>30</v>
      </c>
      <c r="I21" s="15">
        <f t="shared" si="0"/>
        <v>3.9833333333333339E-2</v>
      </c>
      <c r="J21" s="14">
        <f t="shared" si="1"/>
        <v>29</v>
      </c>
      <c r="K21" s="169"/>
      <c r="L21" s="179"/>
      <c r="M21" s="181"/>
      <c r="N21" s="179"/>
      <c r="O21" s="177"/>
    </row>
    <row r="22" spans="1:15" x14ac:dyDescent="0.25">
      <c r="A22" s="48" t="s">
        <v>118</v>
      </c>
      <c r="B22" s="48" t="s">
        <v>20</v>
      </c>
      <c r="C22" s="48" t="s">
        <v>119</v>
      </c>
      <c r="D22" s="48" t="s">
        <v>120</v>
      </c>
      <c r="E22" s="48">
        <v>1</v>
      </c>
      <c r="F22" s="48">
        <v>8</v>
      </c>
      <c r="G22" s="64">
        <v>10.97</v>
      </c>
      <c r="H22" s="48">
        <v>300</v>
      </c>
      <c r="I22" s="15">
        <f t="shared" si="0"/>
        <v>4.5708333333333339E-3</v>
      </c>
      <c r="J22" s="14">
        <f t="shared" si="1"/>
        <v>3</v>
      </c>
      <c r="K22" s="14">
        <f>J22</f>
        <v>3</v>
      </c>
      <c r="L22" s="36">
        <f>N22*G22</f>
        <v>0</v>
      </c>
      <c r="M22" s="37">
        <f>L22/$B$1</f>
        <v>0</v>
      </c>
      <c r="N22" s="36">
        <f>SUMIFS('Tableau plaquette complet'!F:F,'Tableau plaquette complet'!G:G,"EMAG 1",'Tableau plaquette complet'!H:H,"OP 40",'Tableau plaquette complet'!J:J,"356x26 RPI",'Tableau plaquette complet'!B:B,"Z000 455 182")</f>
        <v>0</v>
      </c>
      <c r="O22" s="38">
        <f>-(K22-N22)</f>
        <v>-3</v>
      </c>
    </row>
    <row r="23" spans="1:15" ht="15.75" thickBot="1" x14ac:dyDescent="0.3">
      <c r="A23" s="48" t="s">
        <v>121</v>
      </c>
      <c r="B23" s="48" t="s">
        <v>20</v>
      </c>
      <c r="C23" s="48" t="s">
        <v>122</v>
      </c>
      <c r="D23" s="48" t="s">
        <v>35</v>
      </c>
      <c r="E23" s="48">
        <v>1</v>
      </c>
      <c r="F23" s="48">
        <v>6</v>
      </c>
      <c r="G23" s="64">
        <v>11.87</v>
      </c>
      <c r="H23" s="48">
        <v>30</v>
      </c>
      <c r="I23" s="15">
        <f t="shared" si="0"/>
        <v>6.5944444444444444E-2</v>
      </c>
      <c r="J23" s="14">
        <f t="shared" si="1"/>
        <v>38</v>
      </c>
      <c r="K23" s="14">
        <f>J23</f>
        <v>38</v>
      </c>
      <c r="L23" s="36">
        <f>N23*G23</f>
        <v>474.79999999999995</v>
      </c>
      <c r="M23" s="37">
        <f>L23/$B$1</f>
        <v>7.0019171213685297E-2</v>
      </c>
      <c r="N23" s="36">
        <f>SUMIFS('Tableau plaquette complet'!F:F,'Tableau plaquette complet'!G:G,"EMAG 1",'Tableau plaquette complet'!H:H,"OP 40",'Tableau plaquette complet'!J:J,"356x26 RPI",'Tableau plaquette complet'!B:B,"Z000 519 285")</f>
        <v>40</v>
      </c>
      <c r="O23" s="38">
        <f>-(K23-N23)</f>
        <v>2</v>
      </c>
    </row>
    <row r="24" spans="1:15" ht="15.75" thickBot="1" x14ac:dyDescent="0.3">
      <c r="I24" s="16">
        <f>SUM(I4:I23)</f>
        <v>0.35724944444444451</v>
      </c>
      <c r="J24" s="17">
        <f>SUM(J4:J23)</f>
        <v>228</v>
      </c>
      <c r="M24" s="41">
        <f>SUM(M4:M23)</f>
        <v>0.53358059283291548</v>
      </c>
      <c r="N24" s="42">
        <f>SUM(N4:N23)</f>
        <v>306</v>
      </c>
    </row>
    <row r="25" spans="1:15" x14ac:dyDescent="0.25">
      <c r="I25" s="30">
        <f>B1*I24</f>
        <v>2422.5084827777782</v>
      </c>
      <c r="M25" s="30">
        <f>B1*M24</f>
        <v>3618.21</v>
      </c>
      <c r="N25" s="4"/>
    </row>
    <row r="29" spans="1:15" x14ac:dyDescent="0.25">
      <c r="H29" t="s">
        <v>124</v>
      </c>
      <c r="I29" t="s">
        <v>93</v>
      </c>
      <c r="J29" s="40"/>
      <c r="K29" s="39"/>
      <c r="L29" s="39"/>
      <c r="M29" s="39"/>
      <c r="N29" s="40"/>
    </row>
    <row r="30" spans="1:15" x14ac:dyDescent="0.25">
      <c r="H30" t="s">
        <v>46</v>
      </c>
      <c r="I30">
        <f t="shared" ref="I30:I41" si="6">SUMIF($D$4:$D$23,TRIM(H30),$J$4:$J$23)</f>
        <v>6</v>
      </c>
    </row>
    <row r="31" spans="1:15" x14ac:dyDescent="0.25">
      <c r="H31" t="s">
        <v>198</v>
      </c>
      <c r="I31">
        <f t="shared" si="6"/>
        <v>4</v>
      </c>
    </row>
    <row r="32" spans="1:15" x14ac:dyDescent="0.25">
      <c r="H32" t="s">
        <v>22</v>
      </c>
      <c r="I32">
        <f t="shared" si="6"/>
        <v>24</v>
      </c>
    </row>
    <row r="33" spans="8:9" x14ac:dyDescent="0.25">
      <c r="H33" t="s">
        <v>12</v>
      </c>
      <c r="I33">
        <f t="shared" si="6"/>
        <v>23</v>
      </c>
    </row>
    <row r="34" spans="8:9" x14ac:dyDescent="0.25">
      <c r="H34" t="s">
        <v>23</v>
      </c>
      <c r="I34">
        <f t="shared" si="6"/>
        <v>7</v>
      </c>
    </row>
    <row r="35" spans="8:9" x14ac:dyDescent="0.25">
      <c r="H35" t="s">
        <v>120</v>
      </c>
      <c r="I35">
        <f t="shared" si="6"/>
        <v>3</v>
      </c>
    </row>
    <row r="36" spans="8:9" x14ac:dyDescent="0.25">
      <c r="H36" t="s">
        <v>17</v>
      </c>
      <c r="I36">
        <f t="shared" si="6"/>
        <v>46</v>
      </c>
    </row>
    <row r="37" spans="8:9" x14ac:dyDescent="0.25">
      <c r="H37" t="s">
        <v>35</v>
      </c>
      <c r="I37">
        <f t="shared" si="6"/>
        <v>38</v>
      </c>
    </row>
    <row r="38" spans="8:9" x14ac:dyDescent="0.25">
      <c r="H38" t="s">
        <v>133</v>
      </c>
      <c r="I38">
        <f t="shared" si="6"/>
        <v>29</v>
      </c>
    </row>
    <row r="39" spans="8:9" x14ac:dyDescent="0.25">
      <c r="H39" t="s">
        <v>294</v>
      </c>
      <c r="I39">
        <f t="shared" si="6"/>
        <v>23</v>
      </c>
    </row>
    <row r="40" spans="8:9" x14ac:dyDescent="0.25">
      <c r="H40" t="s">
        <v>240</v>
      </c>
      <c r="I40">
        <f t="shared" si="6"/>
        <v>12</v>
      </c>
    </row>
    <row r="41" spans="8:9" x14ac:dyDescent="0.25">
      <c r="H41" t="s">
        <v>143</v>
      </c>
      <c r="I41">
        <f t="shared" si="6"/>
        <v>2</v>
      </c>
    </row>
  </sheetData>
  <mergeCells count="27">
    <mergeCell ref="K4:K5"/>
    <mergeCell ref="L4:L5"/>
    <mergeCell ref="M4:M5"/>
    <mergeCell ref="N4:N5"/>
    <mergeCell ref="N12:N13"/>
    <mergeCell ref="O12:O13"/>
    <mergeCell ref="K10:K11"/>
    <mergeCell ref="L10:L11"/>
    <mergeCell ref="M10:M11"/>
    <mergeCell ref="N10:N11"/>
    <mergeCell ref="O10:O11"/>
    <mergeCell ref="O4:O5"/>
    <mergeCell ref="O20:O21"/>
    <mergeCell ref="C8:C9"/>
    <mergeCell ref="C20:C21"/>
    <mergeCell ref="K20:K21"/>
    <mergeCell ref="N8:N9"/>
    <mergeCell ref="L8:L9"/>
    <mergeCell ref="M8:M9"/>
    <mergeCell ref="L20:L21"/>
    <mergeCell ref="M20:M21"/>
    <mergeCell ref="N20:N21"/>
    <mergeCell ref="O8:O9"/>
    <mergeCell ref="K8:K9"/>
    <mergeCell ref="K12:K13"/>
    <mergeCell ref="L12:L13"/>
    <mergeCell ref="M12:M13"/>
  </mergeCells>
  <phoneticPr fontId="10" type="noConversion"/>
  <conditionalFormatting sqref="M24">
    <cfRule type="cellIs" dxfId="49" priority="1" operator="greaterThan">
      <formula>$I$24</formula>
    </cfRule>
    <cfRule type="cellIs" dxfId="48" priority="2" operator="lessThanOrEqual">
      <formula>$I$24</formula>
    </cfRule>
  </conditionalFormatting>
  <conditionalFormatting sqref="N24">
    <cfRule type="cellIs" dxfId="47" priority="3" operator="lessThanOrEqual">
      <formula>$J$24</formula>
    </cfRule>
    <cfRule type="cellIs" dxfId="46" priority="4" operator="greaterThan">
      <formula>$J$24</formula>
    </cfRule>
  </conditionalFormatting>
  <dataValidations count="3">
    <dataValidation type="list" allowBlank="1" showInputMessage="1" showErrorMessage="1" sqref="C8:C9" xr:uid="{3786457B-1943-4F23-A410-A8D55EC14C03}">
      <formula1>"SNMX120716T03030 SL506, SNGX 120716 S02020 CBN387"</formula1>
    </dataValidation>
    <dataValidation type="list" allowBlank="1" showInputMessage="1" showErrorMessage="1" sqref="C4:C5" xr:uid="{827BBA13-536E-41B3-9AFF-3BECE3158BBC}">
      <formula1>"CNMX120716T03030 SL506, CNGX 120716 S02020 CBN387"</formula1>
    </dataValidation>
    <dataValidation type="list" allowBlank="1" showInputMessage="1" showErrorMessage="1" sqref="C6:C7" xr:uid="{A0CBABAC-0238-42A6-9175-D360B623B385}">
      <formula1>"CNMX120716T03030 SL506, CNGX 120716 S02020 CBN387, SNMX 120716 T02020 LKT640, CNMX 120716 T02020 LKT640"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FFFF00"/>
  </sheetPr>
  <dimension ref="A1:P32"/>
  <sheetViews>
    <sheetView topLeftCell="C3" zoomScale="146" zoomScaleNormal="70" workbookViewId="0">
      <selection activeCell="L10" sqref="L10:L11"/>
    </sheetView>
  </sheetViews>
  <sheetFormatPr baseColWidth="10" defaultColWidth="11.42578125" defaultRowHeight="15" x14ac:dyDescent="0.25"/>
  <cols>
    <col min="3" max="3" width="28.28515625" bestFit="1" customWidth="1"/>
    <col min="4" max="4" width="11.85546875" bestFit="1" customWidth="1"/>
    <col min="11" max="11" width="15.85546875" bestFit="1" customWidth="1"/>
    <col min="14" max="14" width="11.85546875" bestFit="1" customWidth="1"/>
    <col min="15" max="15" width="15.85546875" bestFit="1" customWidth="1"/>
  </cols>
  <sheetData>
    <row r="1" spans="1:16" x14ac:dyDescent="0.25">
      <c r="A1" s="20" t="s">
        <v>82</v>
      </c>
      <c r="B1" s="21">
        <v>2234</v>
      </c>
      <c r="O1" s="22"/>
    </row>
    <row r="2" spans="1:16" x14ac:dyDescent="0.25">
      <c r="C2" s="23" t="s">
        <v>145</v>
      </c>
      <c r="E2" s="23"/>
      <c r="G2" s="24"/>
      <c r="O2" s="23"/>
    </row>
    <row r="3" spans="1:16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6" x14ac:dyDescent="0.25">
      <c r="A4" s="55" t="s">
        <v>128</v>
      </c>
      <c r="B4" s="55" t="s">
        <v>39</v>
      </c>
      <c r="C4" s="50" t="s">
        <v>104</v>
      </c>
      <c r="D4" s="55" t="s">
        <v>23</v>
      </c>
      <c r="E4" s="55">
        <v>1</v>
      </c>
      <c r="F4" s="55">
        <v>8</v>
      </c>
      <c r="G4" s="56">
        <v>7.12</v>
      </c>
      <c r="H4" s="83">
        <v>150</v>
      </c>
      <c r="I4" s="15">
        <f t="shared" ref="I4:I18" si="0">(E4*G4)/(F4*H4)</f>
        <v>5.933333333333333E-3</v>
      </c>
      <c r="J4" s="14">
        <f t="shared" ref="J4:J18" si="1">(ROUNDUP($E4*$B$1/($F4*H4),0))</f>
        <v>2</v>
      </c>
      <c r="K4" s="167">
        <f>SUM(J4:J5)</f>
        <v>4</v>
      </c>
      <c r="L4" s="195">
        <f>N4*G4</f>
        <v>0</v>
      </c>
      <c r="M4" s="197">
        <f>L4/$B$1</f>
        <v>0</v>
      </c>
      <c r="N4" s="147">
        <f>SUMIFS('Tableau plaquette complet'!F:F,'Tableau plaquette complet'!G:G,"EMAG 2",'Tableau plaquette complet'!H:H,"OP 10",'Tableau plaquette complet'!J:J,"290x12",'Tableau plaquette complet'!B:B,"Z000 546 266")</f>
        <v>0</v>
      </c>
      <c r="O4" s="153">
        <f>-(K4-N4)</f>
        <v>-4</v>
      </c>
    </row>
    <row r="5" spans="1:16" x14ac:dyDescent="0.25">
      <c r="A5" s="55" t="s">
        <v>130</v>
      </c>
      <c r="B5" s="55" t="s">
        <v>39</v>
      </c>
      <c r="C5" s="50" t="s">
        <v>104</v>
      </c>
      <c r="D5" s="55" t="s">
        <v>23</v>
      </c>
      <c r="E5" s="55">
        <v>1</v>
      </c>
      <c r="F5" s="55">
        <v>8</v>
      </c>
      <c r="G5" s="56">
        <v>7.12</v>
      </c>
      <c r="H5" s="83">
        <v>150</v>
      </c>
      <c r="I5" s="15">
        <f>(E5*G5)/(F5*H5)</f>
        <v>5.933333333333333E-3</v>
      </c>
      <c r="J5" s="14">
        <f>(ROUNDUP($E5*$B$1/($F5*H5),0))</f>
        <v>2</v>
      </c>
      <c r="K5" s="169"/>
      <c r="L5" s="196"/>
      <c r="M5" s="198"/>
      <c r="N5" s="149"/>
      <c r="O5" s="155"/>
    </row>
    <row r="6" spans="1:16" x14ac:dyDescent="0.25">
      <c r="A6" s="55" t="s">
        <v>126</v>
      </c>
      <c r="B6" s="55" t="s">
        <v>39</v>
      </c>
      <c r="C6" s="50" t="s">
        <v>100</v>
      </c>
      <c r="D6" s="55" t="s">
        <v>22</v>
      </c>
      <c r="E6" s="55">
        <v>1</v>
      </c>
      <c r="F6" s="55">
        <v>4</v>
      </c>
      <c r="G6" s="56">
        <v>7</v>
      </c>
      <c r="H6" s="83">
        <v>150</v>
      </c>
      <c r="I6" s="15">
        <f t="shared" si="0"/>
        <v>1.1666666666666667E-2</v>
      </c>
      <c r="J6" s="14">
        <f t="shared" si="1"/>
        <v>4</v>
      </c>
      <c r="K6" s="167">
        <f>SUM(J6:J9)</f>
        <v>20</v>
      </c>
      <c r="L6" s="195">
        <f>N6*G6</f>
        <v>0</v>
      </c>
      <c r="M6" s="197">
        <f>L6/$B$1</f>
        <v>0</v>
      </c>
      <c r="N6" s="147">
        <f>SUMIFS('Tableau plaquette complet'!F:F,'Tableau plaquette complet'!G:G,"EMAG 2",'Tableau plaquette complet'!H:H,"OP 10",'Tableau plaquette complet'!J:J,"290x12",'Tableau plaquette complet'!B:B,"Z000 546 265")</f>
        <v>0</v>
      </c>
      <c r="O6" s="184">
        <f>-(K6-N6)</f>
        <v>-20</v>
      </c>
    </row>
    <row r="7" spans="1:16" x14ac:dyDescent="0.25">
      <c r="A7" s="55" t="s">
        <v>101</v>
      </c>
      <c r="B7" s="55" t="s">
        <v>39</v>
      </c>
      <c r="C7" s="50" t="s">
        <v>100</v>
      </c>
      <c r="D7" s="55" t="s">
        <v>22</v>
      </c>
      <c r="E7" s="55">
        <v>1</v>
      </c>
      <c r="F7" s="55">
        <v>4</v>
      </c>
      <c r="G7" s="56">
        <v>7</v>
      </c>
      <c r="H7" s="83">
        <v>100</v>
      </c>
      <c r="I7" s="15">
        <f t="shared" si="0"/>
        <v>1.7500000000000002E-2</v>
      </c>
      <c r="J7" s="14">
        <f t="shared" si="1"/>
        <v>6</v>
      </c>
      <c r="K7" s="168"/>
      <c r="L7" s="199"/>
      <c r="M7" s="200"/>
      <c r="N7" s="148"/>
      <c r="O7" s="185"/>
    </row>
    <row r="8" spans="1:16" x14ac:dyDescent="0.25">
      <c r="A8" s="55" t="s">
        <v>102</v>
      </c>
      <c r="B8" s="55" t="s">
        <v>39</v>
      </c>
      <c r="C8" s="50" t="s">
        <v>100</v>
      </c>
      <c r="D8" s="55" t="s">
        <v>22</v>
      </c>
      <c r="E8" s="55">
        <v>1</v>
      </c>
      <c r="F8" s="55">
        <v>4</v>
      </c>
      <c r="G8" s="56">
        <v>7</v>
      </c>
      <c r="H8" s="83">
        <v>100</v>
      </c>
      <c r="I8" s="15">
        <f t="shared" si="0"/>
        <v>1.7500000000000002E-2</v>
      </c>
      <c r="J8" s="14">
        <f t="shared" si="1"/>
        <v>6</v>
      </c>
      <c r="K8" s="168"/>
      <c r="L8" s="199"/>
      <c r="M8" s="200"/>
      <c r="N8" s="148"/>
      <c r="O8" s="185"/>
    </row>
    <row r="9" spans="1:16" x14ac:dyDescent="0.25">
      <c r="A9" s="55" t="s">
        <v>146</v>
      </c>
      <c r="B9" s="55" t="s">
        <v>39</v>
      </c>
      <c r="C9" s="50" t="s">
        <v>100</v>
      </c>
      <c r="D9" s="55" t="s">
        <v>22</v>
      </c>
      <c r="E9" s="55">
        <v>1</v>
      </c>
      <c r="F9" s="55">
        <v>4</v>
      </c>
      <c r="G9" s="56">
        <v>7</v>
      </c>
      <c r="H9" s="83">
        <v>150</v>
      </c>
      <c r="I9" s="15">
        <f t="shared" si="0"/>
        <v>1.1666666666666667E-2</v>
      </c>
      <c r="J9" s="14">
        <f t="shared" si="1"/>
        <v>4</v>
      </c>
      <c r="K9" s="169"/>
      <c r="L9" s="196"/>
      <c r="M9" s="198"/>
      <c r="N9" s="149"/>
      <c r="O9" s="186"/>
    </row>
    <row r="10" spans="1:16" x14ac:dyDescent="0.25">
      <c r="A10" s="61" t="s">
        <v>114</v>
      </c>
      <c r="B10" s="61" t="s">
        <v>14</v>
      </c>
      <c r="C10" s="178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84">
        <v>100</v>
      </c>
      <c r="I10" s="15">
        <f t="shared" si="0"/>
        <v>8.8999999999999999E-3</v>
      </c>
      <c r="J10" s="14">
        <f t="shared" si="1"/>
        <v>3</v>
      </c>
      <c r="K10" s="170">
        <f>SUM(J10:J11)</f>
        <v>6</v>
      </c>
      <c r="L10" s="229">
        <f>N10*G10</f>
        <v>71.2</v>
      </c>
      <c r="M10" s="228">
        <f>L10/$B$1</f>
        <v>3.1871083258728741E-2</v>
      </c>
      <c r="N10" s="227">
        <f>SUMIFS('Tableau plaquette complet'!F:F,'Tableau plaquette complet'!G:G,"EMAG 2",'Tableau plaquette complet'!H:H,"OP 20",'Tableau plaquette complet'!J:J,"290x12",'Tableau plaquette complet'!B:B,"Z000 546 266")</f>
        <v>10</v>
      </c>
      <c r="O10" s="226">
        <f>-(K10-N10)</f>
        <v>4</v>
      </c>
    </row>
    <row r="11" spans="1:16" x14ac:dyDescent="0.25">
      <c r="A11" s="61" t="s">
        <v>106</v>
      </c>
      <c r="B11" s="61" t="s">
        <v>14</v>
      </c>
      <c r="C11" s="179"/>
      <c r="D11" s="61" t="s">
        <v>23</v>
      </c>
      <c r="E11" s="61">
        <v>1</v>
      </c>
      <c r="F11" s="61">
        <v>8</v>
      </c>
      <c r="G11" s="68">
        <v>7.12</v>
      </c>
      <c r="H11" s="84">
        <v>100</v>
      </c>
      <c r="I11" s="69">
        <f t="shared" ref="I11:I12" si="2">(E11*G11)/(F11*H11)</f>
        <v>8.8999999999999999E-3</v>
      </c>
      <c r="J11" s="54">
        <f t="shared" si="1"/>
        <v>3</v>
      </c>
      <c r="K11" s="170"/>
      <c r="L11" s="229"/>
      <c r="M11" s="228"/>
      <c r="N11" s="227"/>
      <c r="O11" s="226"/>
      <c r="P11" s="4"/>
    </row>
    <row r="12" spans="1:16" x14ac:dyDescent="0.25">
      <c r="A12" s="61" t="s">
        <v>107</v>
      </c>
      <c r="B12" s="61" t="s">
        <v>14</v>
      </c>
      <c r="C12" s="36" t="s">
        <v>100</v>
      </c>
      <c r="D12" s="61" t="s">
        <v>22</v>
      </c>
      <c r="E12" s="61">
        <v>1</v>
      </c>
      <c r="F12" s="61">
        <v>4</v>
      </c>
      <c r="G12" s="68">
        <v>7</v>
      </c>
      <c r="H12" s="84">
        <v>150</v>
      </c>
      <c r="I12" s="69">
        <f t="shared" si="2"/>
        <v>1.1666666666666667E-2</v>
      </c>
      <c r="J12" s="54">
        <f t="shared" si="1"/>
        <v>4</v>
      </c>
      <c r="K12" s="54">
        <f>SUM(J12)</f>
        <v>4</v>
      </c>
      <c r="L12" s="141">
        <f>N12*G12</f>
        <v>0</v>
      </c>
      <c r="M12" s="142">
        <f>L12/$B$1</f>
        <v>0</v>
      </c>
      <c r="N12" s="139">
        <f>SUMIFS('Tableau plaquette complet'!F:F,'Tableau plaquette complet'!G:G,"EMAG 2",'Tableau plaquette complet'!H:H,"OP 20",'Tableau plaquette complet'!J:J,"290x12",'Tableau plaquette complet'!B:B,"Z000 546 265")</f>
        <v>0</v>
      </c>
      <c r="O12" s="140">
        <f>-(K12-N12)</f>
        <v>-4</v>
      </c>
      <c r="P12" s="4"/>
    </row>
    <row r="13" spans="1:16" x14ac:dyDescent="0.25">
      <c r="A13" s="61" t="s">
        <v>108</v>
      </c>
      <c r="B13" s="61" t="s">
        <v>14</v>
      </c>
      <c r="C13" s="36" t="s">
        <v>111</v>
      </c>
      <c r="D13" s="61" t="s">
        <v>25</v>
      </c>
      <c r="E13" s="61">
        <v>1</v>
      </c>
      <c r="F13" s="61">
        <v>2</v>
      </c>
      <c r="G13" s="68">
        <v>10.85</v>
      </c>
      <c r="H13" s="84">
        <v>150</v>
      </c>
      <c r="I13" s="15">
        <f t="shared" ref="I13" si="3">(E13*G13)/(F13*H13)</f>
        <v>3.6166666666666666E-2</v>
      </c>
      <c r="J13" s="14">
        <f t="shared" si="1"/>
        <v>8</v>
      </c>
      <c r="K13" s="14">
        <f>J13</f>
        <v>8</v>
      </c>
      <c r="L13" s="58">
        <f>N13*G13</f>
        <v>0</v>
      </c>
      <c r="M13" s="59">
        <f>L13/$B$1</f>
        <v>0</v>
      </c>
      <c r="N13" s="60">
        <f>SUMIFS('Tableau plaquette complet'!F:F,'Tableau plaquette complet'!G:G,"EMAG 2",'Tableau plaquette complet'!H:H,"OP 20",'Tableau plaquette complet'!J:J,"290x12",'Tableau plaquette complet'!B:B,"Z000 522 436")</f>
        <v>0</v>
      </c>
      <c r="O13" s="57">
        <f>-(K13-N13)</f>
        <v>-8</v>
      </c>
    </row>
    <row r="14" spans="1:16" x14ac:dyDescent="0.25">
      <c r="A14" s="55" t="s">
        <v>147</v>
      </c>
      <c r="B14" s="55" t="s">
        <v>20</v>
      </c>
      <c r="C14" s="50" t="s">
        <v>148</v>
      </c>
      <c r="D14" s="162" t="s">
        <v>36</v>
      </c>
      <c r="E14" s="55">
        <v>1</v>
      </c>
      <c r="F14" s="55">
        <v>8</v>
      </c>
      <c r="G14" s="56">
        <v>8.6999999999999993</v>
      </c>
      <c r="H14" s="84">
        <v>50</v>
      </c>
      <c r="I14" s="15">
        <f t="shared" si="0"/>
        <v>2.1749999999999999E-2</v>
      </c>
      <c r="J14" s="14">
        <f t="shared" si="1"/>
        <v>6</v>
      </c>
      <c r="K14" s="167">
        <f>SUM(J14:J15)</f>
        <v>12</v>
      </c>
      <c r="L14" s="182">
        <f>N14*G14</f>
        <v>609</v>
      </c>
      <c r="M14" s="180">
        <f>L14/$B$1</f>
        <v>0.27260519247985676</v>
      </c>
      <c r="N14" s="178">
        <f>SUMIFS('Tableau plaquette complet'!F:F,'Tableau plaquette complet'!G:G,"EMAG 2",'Tableau plaquette complet'!H:H,"OP 40",'Tableau plaquette complet'!J:J,"290x12",'Tableau plaquette complet'!B:B,"Z000 539 100")</f>
        <v>70</v>
      </c>
      <c r="O14" s="176">
        <f>-(K14-N14)</f>
        <v>58</v>
      </c>
    </row>
    <row r="15" spans="1:16" x14ac:dyDescent="0.25">
      <c r="A15" s="55" t="s">
        <v>149</v>
      </c>
      <c r="B15" s="55" t="s">
        <v>20</v>
      </c>
      <c r="C15" s="50" t="s">
        <v>148</v>
      </c>
      <c r="D15" s="164"/>
      <c r="E15" s="55">
        <v>1</v>
      </c>
      <c r="F15" s="55">
        <v>8</v>
      </c>
      <c r="G15" s="56">
        <v>8.6999999999999993</v>
      </c>
      <c r="H15" s="84">
        <v>50</v>
      </c>
      <c r="I15" s="15">
        <f t="shared" si="0"/>
        <v>2.1749999999999999E-2</v>
      </c>
      <c r="J15" s="14">
        <f t="shared" si="1"/>
        <v>6</v>
      </c>
      <c r="K15" s="169"/>
      <c r="L15" s="183"/>
      <c r="M15" s="181"/>
      <c r="N15" s="179"/>
      <c r="O15" s="177"/>
    </row>
    <row r="16" spans="1:16" x14ac:dyDescent="0.25">
      <c r="A16" s="55" t="s">
        <v>121</v>
      </c>
      <c r="B16" s="55" t="s">
        <v>20</v>
      </c>
      <c r="C16" s="50" t="s">
        <v>122</v>
      </c>
      <c r="D16" s="55" t="s">
        <v>35</v>
      </c>
      <c r="E16" s="55">
        <v>1</v>
      </c>
      <c r="F16" s="55">
        <v>6</v>
      </c>
      <c r="G16" s="56">
        <v>11.87</v>
      </c>
      <c r="H16" s="84">
        <v>100</v>
      </c>
      <c r="I16" s="15">
        <f t="shared" si="0"/>
        <v>1.9783333333333333E-2</v>
      </c>
      <c r="J16" s="14">
        <f t="shared" si="1"/>
        <v>4</v>
      </c>
      <c r="K16" s="14">
        <f>J16</f>
        <v>4</v>
      </c>
      <c r="L16" s="31">
        <f t="shared" ref="L16:L18" si="4">N16*G16</f>
        <v>0</v>
      </c>
      <c r="M16" s="49">
        <f t="shared" ref="M16:M18" si="5">L16/$B$1</f>
        <v>0</v>
      </c>
      <c r="N16" s="48">
        <f>SUMIFS('Tableau plaquette complet'!F:F,'Tableau plaquette complet'!G:G,"EMAG 2",'Tableau plaquette complet'!H:H,"OP 40",'Tableau plaquette complet'!J:J,"290x12",'Tableau plaquette complet'!B:B,"Z000 519 285")</f>
        <v>0</v>
      </c>
      <c r="O16" s="47">
        <f>-(K16-N16)</f>
        <v>-4</v>
      </c>
    </row>
    <row r="17" spans="1:15" x14ac:dyDescent="0.25">
      <c r="A17" s="55" t="s">
        <v>118</v>
      </c>
      <c r="B17" s="55" t="s">
        <v>20</v>
      </c>
      <c r="C17" s="50" t="s">
        <v>119</v>
      </c>
      <c r="D17" s="55" t="s">
        <v>120</v>
      </c>
      <c r="E17" s="55">
        <v>1</v>
      </c>
      <c r="F17" s="55">
        <v>8</v>
      </c>
      <c r="G17" s="56">
        <v>10.97</v>
      </c>
      <c r="H17" s="84">
        <v>200</v>
      </c>
      <c r="I17" s="15">
        <f t="shared" si="0"/>
        <v>6.8562500000000004E-3</v>
      </c>
      <c r="J17" s="14">
        <f t="shared" si="1"/>
        <v>2</v>
      </c>
      <c r="K17" s="14">
        <f t="shared" ref="K17:K18" si="6">J17</f>
        <v>2</v>
      </c>
      <c r="L17" s="31">
        <f t="shared" si="4"/>
        <v>0</v>
      </c>
      <c r="M17" s="49">
        <f t="shared" si="5"/>
        <v>0</v>
      </c>
      <c r="N17" s="48">
        <f>SUMIFS('Tableau plaquette complet'!F:F,'Tableau plaquette complet'!G:G,"EMAG 2",'Tableau plaquette complet'!H:H,"OP 40",'Tableau plaquette complet'!J:J,"290x12",'Tableau plaquette complet'!B:B,"Z000 455 182")</f>
        <v>0</v>
      </c>
      <c r="O17" s="47">
        <f t="shared" ref="O17:O18" si="7">-(K17-N17)</f>
        <v>-2</v>
      </c>
    </row>
    <row r="18" spans="1:15" ht="15.75" thickBot="1" x14ac:dyDescent="0.3">
      <c r="A18" s="55" t="s">
        <v>150</v>
      </c>
      <c r="B18" s="55" t="s">
        <v>20</v>
      </c>
      <c r="C18" s="50" t="s">
        <v>100</v>
      </c>
      <c r="D18" s="55" t="s">
        <v>22</v>
      </c>
      <c r="E18" s="55">
        <v>1</v>
      </c>
      <c r="F18" s="55">
        <v>4</v>
      </c>
      <c r="G18" s="56">
        <v>7</v>
      </c>
      <c r="H18" s="84">
        <v>100</v>
      </c>
      <c r="I18" s="15">
        <f t="shared" si="0"/>
        <v>1.7500000000000002E-2</v>
      </c>
      <c r="J18" s="14">
        <f t="shared" si="1"/>
        <v>6</v>
      </c>
      <c r="K18" s="14">
        <f t="shared" si="6"/>
        <v>6</v>
      </c>
      <c r="L18" s="31">
        <f t="shared" si="4"/>
        <v>0</v>
      </c>
      <c r="M18" s="49">
        <f t="shared" si="5"/>
        <v>0</v>
      </c>
      <c r="N18" s="48">
        <f>SUMIFS('Tableau plaquette complet'!F:F,'Tableau plaquette complet'!G:G,"EMAG 2",'Tableau plaquette complet'!H:H,"OP 40",'Tableau plaquette complet'!J:J,"290x12",'Tableau plaquette complet'!B:B,"Z000 546 265")</f>
        <v>0</v>
      </c>
      <c r="O18" s="47">
        <f t="shared" si="7"/>
        <v>-6</v>
      </c>
    </row>
    <row r="19" spans="1:15" ht="15.75" thickBot="1" x14ac:dyDescent="0.3">
      <c r="I19" s="16">
        <f>SUM(I4:I18)</f>
        <v>0.22347291666666669</v>
      </c>
      <c r="J19" s="17">
        <f>SUM(J4:J18)</f>
        <v>66</v>
      </c>
      <c r="K19" s="29"/>
      <c r="L19" s="29"/>
      <c r="M19" s="41">
        <f>SUM(M4:M18)</f>
        <v>0.30447627573858549</v>
      </c>
      <c r="N19" s="42">
        <f>SUM(N4:N18)</f>
        <v>80</v>
      </c>
    </row>
    <row r="20" spans="1:15" x14ac:dyDescent="0.25">
      <c r="I20" s="19">
        <f>B1*I19</f>
        <v>499.23849583333339</v>
      </c>
      <c r="M20" s="30">
        <f>B1*M19</f>
        <v>680.19999999999993</v>
      </c>
    </row>
    <row r="22" spans="1:15" x14ac:dyDescent="0.25">
      <c r="H22" t="s">
        <v>124</v>
      </c>
      <c r="I22" t="s">
        <v>93</v>
      </c>
    </row>
    <row r="23" spans="1:15" x14ac:dyDescent="0.25">
      <c r="H23" t="s">
        <v>36</v>
      </c>
      <c r="I23">
        <f t="shared" ref="I23:I32" si="8">SUMIF($D$4:$D$18,TRIM(H23),$J$4:$J$18)</f>
        <v>6</v>
      </c>
    </row>
    <row r="24" spans="1:15" x14ac:dyDescent="0.25">
      <c r="H24" t="s">
        <v>25</v>
      </c>
      <c r="I24">
        <f t="shared" si="8"/>
        <v>8</v>
      </c>
    </row>
    <row r="25" spans="1:15" x14ac:dyDescent="0.25">
      <c r="H25" t="s">
        <v>22</v>
      </c>
      <c r="I25">
        <f t="shared" si="8"/>
        <v>30</v>
      </c>
    </row>
    <row r="26" spans="1:15" x14ac:dyDescent="0.25">
      <c r="H26" t="s">
        <v>12</v>
      </c>
      <c r="I26">
        <f t="shared" si="8"/>
        <v>0</v>
      </c>
    </row>
    <row r="27" spans="1:15" x14ac:dyDescent="0.25">
      <c r="H27" t="s">
        <v>23</v>
      </c>
      <c r="I27">
        <f t="shared" si="8"/>
        <v>10</v>
      </c>
    </row>
    <row r="28" spans="1:15" x14ac:dyDescent="0.25">
      <c r="H28" t="s">
        <v>120</v>
      </c>
      <c r="I28">
        <f t="shared" si="8"/>
        <v>2</v>
      </c>
    </row>
    <row r="29" spans="1:15" x14ac:dyDescent="0.25">
      <c r="H29" t="s">
        <v>17</v>
      </c>
      <c r="I29">
        <f t="shared" si="8"/>
        <v>0</v>
      </c>
    </row>
    <row r="30" spans="1:15" x14ac:dyDescent="0.25">
      <c r="H30" t="s">
        <v>35</v>
      </c>
      <c r="I30">
        <f t="shared" si="8"/>
        <v>4</v>
      </c>
    </row>
    <row r="31" spans="1:15" x14ac:dyDescent="0.25">
      <c r="H31" t="s">
        <v>133</v>
      </c>
      <c r="I31">
        <f t="shared" si="8"/>
        <v>0</v>
      </c>
    </row>
    <row r="32" spans="1:15" x14ac:dyDescent="0.25">
      <c r="H32" t="s">
        <v>143</v>
      </c>
      <c r="I32">
        <f t="shared" si="8"/>
        <v>0</v>
      </c>
    </row>
  </sheetData>
  <mergeCells count="22">
    <mergeCell ref="C10:C11"/>
    <mergeCell ref="O10:O11"/>
    <mergeCell ref="N10:N11"/>
    <mergeCell ref="M10:M11"/>
    <mergeCell ref="L10:L11"/>
    <mergeCell ref="K10:K11"/>
    <mergeCell ref="L4:L5"/>
    <mergeCell ref="M4:M5"/>
    <mergeCell ref="K6:K9"/>
    <mergeCell ref="L6:L9"/>
    <mergeCell ref="M6:M9"/>
    <mergeCell ref="N4:N5"/>
    <mergeCell ref="O4:O5"/>
    <mergeCell ref="D14:D15"/>
    <mergeCell ref="K14:K15"/>
    <mergeCell ref="L14:L15"/>
    <mergeCell ref="M14:M15"/>
    <mergeCell ref="N14:N15"/>
    <mergeCell ref="N6:N9"/>
    <mergeCell ref="O6:O9"/>
    <mergeCell ref="O14:O15"/>
    <mergeCell ref="K4:K5"/>
  </mergeCells>
  <conditionalFormatting sqref="M19">
    <cfRule type="cellIs" dxfId="45" priority="1" operator="greaterThan">
      <formula>$I$19</formula>
    </cfRule>
    <cfRule type="cellIs" dxfId="44" priority="2" operator="lessThanOrEqual">
      <formula>$I$19</formula>
    </cfRule>
  </conditionalFormatting>
  <conditionalFormatting sqref="N19">
    <cfRule type="cellIs" dxfId="43" priority="3" operator="lessThanOrEqual">
      <formula>$J$19</formula>
    </cfRule>
    <cfRule type="cellIs" dxfId="42" priority="4" operator="greaterThan">
      <formula>$J$19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FFFF00"/>
  </sheetPr>
  <dimension ref="A1:O23"/>
  <sheetViews>
    <sheetView zoomScale="37" workbookViewId="0">
      <selection activeCell="AB57" sqref="AB57"/>
    </sheetView>
  </sheetViews>
  <sheetFormatPr baseColWidth="10" defaultColWidth="11.42578125" defaultRowHeight="15" x14ac:dyDescent="0.25"/>
  <cols>
    <col min="1" max="1" width="14.42578125" bestFit="1" customWidth="1"/>
    <col min="3" max="3" width="28.28515625" bestFit="1" customWidth="1"/>
    <col min="4" max="4" width="25.28515625" bestFit="1" customWidth="1"/>
    <col min="14" max="14" width="11.42578125" customWidth="1"/>
  </cols>
  <sheetData>
    <row r="1" spans="1:15" x14ac:dyDescent="0.25">
      <c r="A1" s="20" t="s">
        <v>82</v>
      </c>
      <c r="B1" s="21">
        <v>0</v>
      </c>
      <c r="N1" s="4"/>
    </row>
    <row r="2" spans="1:15" x14ac:dyDescent="0.25">
      <c r="C2" s="23" t="s">
        <v>123</v>
      </c>
      <c r="E2" s="23"/>
      <c r="G2" s="24"/>
      <c r="N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124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126</v>
      </c>
      <c r="B4" s="50" t="s">
        <v>39</v>
      </c>
      <c r="C4" s="166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IF(C4="CNMX120716T03030 SL506",7,38)</f>
        <v>38</v>
      </c>
      <c r="H4" s="25">
        <v>700</v>
      </c>
      <c r="I4" s="15">
        <f t="shared" ref="I4:I21" si="0">(E4*G4)/(F4*H4)</f>
        <v>1.3571428571428571E-2</v>
      </c>
      <c r="J4" s="14">
        <f t="shared" ref="J4:J21" si="1">(ROUNDUP($E4*$B$1/($F4*H4),0))</f>
        <v>0</v>
      </c>
      <c r="K4" s="167">
        <f>SUM(J4:J6)</f>
        <v>0</v>
      </c>
      <c r="L4" s="162" t="e">
        <f>N4*G4</f>
        <v>#VALUE!</v>
      </c>
      <c r="M4" s="159" t="e">
        <f>L4/$B$1</f>
        <v>#VALUE!</v>
      </c>
      <c r="N4" s="201" t="s">
        <v>274</v>
      </c>
      <c r="O4" s="156" t="e">
        <f>-(K4-N4)</f>
        <v>#VALUE!</v>
      </c>
    </row>
    <row r="5" spans="1:15" x14ac:dyDescent="0.25">
      <c r="A5" s="50" t="s">
        <v>101</v>
      </c>
      <c r="B5" s="50" t="s">
        <v>39</v>
      </c>
      <c r="C5" s="166"/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SL506",3.5,19)</f>
        <v>19</v>
      </c>
      <c r="H5" s="25">
        <v>700</v>
      </c>
      <c r="I5" s="15">
        <f t="shared" si="0"/>
        <v>6.7857142857142855E-3</v>
      </c>
      <c r="J5" s="14">
        <f t="shared" si="1"/>
        <v>0</v>
      </c>
      <c r="K5" s="168"/>
      <c r="L5" s="163"/>
      <c r="M5" s="160"/>
      <c r="N5" s="163"/>
      <c r="O5" s="157"/>
    </row>
    <row r="6" spans="1:15" x14ac:dyDescent="0.25">
      <c r="A6" s="50" t="s">
        <v>102</v>
      </c>
      <c r="B6" s="50" t="s">
        <v>39</v>
      </c>
      <c r="C6" s="166"/>
      <c r="D6" s="50" t="str">
        <f>IF(C4="CNMX120716T03030 SL506","Z000 546 265","IM02 209 560")</f>
        <v>IM02 209 560</v>
      </c>
      <c r="E6" s="50">
        <v>1</v>
      </c>
      <c r="F6" s="50">
        <v>4</v>
      </c>
      <c r="G6" s="62">
        <f>IF(C4="CNMX120716T03030 SL506",3.5,19)</f>
        <v>19</v>
      </c>
      <c r="H6" s="25">
        <v>800</v>
      </c>
      <c r="I6" s="15">
        <f t="shared" si="0"/>
        <v>5.9375000000000001E-3</v>
      </c>
      <c r="J6" s="14">
        <f t="shared" si="1"/>
        <v>0</v>
      </c>
      <c r="K6" s="169"/>
      <c r="L6" s="164"/>
      <c r="M6" s="161"/>
      <c r="N6" s="164"/>
      <c r="O6" s="158"/>
    </row>
    <row r="7" spans="1:15" x14ac:dyDescent="0.25">
      <c r="A7" s="50" t="s">
        <v>128</v>
      </c>
      <c r="B7" s="50" t="s">
        <v>39</v>
      </c>
      <c r="C7" s="166" t="s">
        <v>129</v>
      </c>
      <c r="D7" s="50" t="str">
        <f>IF(C7="SNMX120716T03030 SL506","Z000 546 266","IM02 198 054")</f>
        <v>IM02 198 054</v>
      </c>
      <c r="E7" s="50">
        <v>1</v>
      </c>
      <c r="F7" s="50">
        <v>8</v>
      </c>
      <c r="G7" s="62">
        <f>IF(C7="SNMX120716T03030 SL506",7.12,38)</f>
        <v>38</v>
      </c>
      <c r="H7" s="25">
        <v>800</v>
      </c>
      <c r="I7" s="15">
        <f t="shared" si="0"/>
        <v>5.9375000000000001E-3</v>
      </c>
      <c r="J7" s="14">
        <f t="shared" si="1"/>
        <v>0</v>
      </c>
      <c r="K7" s="167">
        <f>SUM(J7:J9)</f>
        <v>0</v>
      </c>
      <c r="L7" s="162" t="e">
        <f>N7*G7</f>
        <v>#VALUE!</v>
      </c>
      <c r="M7" s="159" t="e">
        <f>L7/$B$1</f>
        <v>#VALUE!</v>
      </c>
      <c r="N7" s="201" t="s">
        <v>275</v>
      </c>
      <c r="O7" s="156" t="e">
        <f>-(K7-N7)</f>
        <v>#VALUE!</v>
      </c>
    </row>
    <row r="8" spans="1:15" x14ac:dyDescent="0.25">
      <c r="A8" s="50" t="s">
        <v>130</v>
      </c>
      <c r="B8" s="50" t="s">
        <v>39</v>
      </c>
      <c r="C8" s="166"/>
      <c r="D8" s="50" t="str">
        <f>IF(C7="SNMX120716T03030 SL506","Z000 546 266","IM02 198 054")</f>
        <v>IM02 198 054</v>
      </c>
      <c r="E8" s="50">
        <v>1</v>
      </c>
      <c r="F8" s="50">
        <v>8</v>
      </c>
      <c r="G8" s="62">
        <f>IF(C7="SNMX120716T03030 SL506",7.12,38)</f>
        <v>38</v>
      </c>
      <c r="H8" s="25">
        <v>800</v>
      </c>
      <c r="I8" s="15">
        <f t="shared" si="0"/>
        <v>5.9375000000000001E-3</v>
      </c>
      <c r="J8" s="14">
        <f t="shared" si="1"/>
        <v>0</v>
      </c>
      <c r="K8" s="168"/>
      <c r="L8" s="163"/>
      <c r="M8" s="160"/>
      <c r="N8" s="163"/>
      <c r="O8" s="157"/>
    </row>
    <row r="9" spans="1:15" x14ac:dyDescent="0.25">
      <c r="A9" s="50" t="s">
        <v>130</v>
      </c>
      <c r="B9" s="50" t="s">
        <v>39</v>
      </c>
      <c r="C9" s="166"/>
      <c r="D9" s="50" t="str">
        <f>IF(C7="SNMX120716T03030 SL506","Z000 546 266","IM02 198 054")</f>
        <v>IM02 198 054</v>
      </c>
      <c r="E9" s="50">
        <v>1</v>
      </c>
      <c r="F9" s="50">
        <v>8</v>
      </c>
      <c r="G9" s="62">
        <f>IF(C7="SNMX120716T03030 SL506",7.12,38)</f>
        <v>38</v>
      </c>
      <c r="H9" s="25">
        <v>800</v>
      </c>
      <c r="I9" s="15">
        <f t="shared" si="0"/>
        <v>5.9375000000000001E-3</v>
      </c>
      <c r="J9" s="14">
        <f t="shared" si="1"/>
        <v>0</v>
      </c>
      <c r="K9" s="169"/>
      <c r="L9" s="164"/>
      <c r="M9" s="161"/>
      <c r="N9" s="164"/>
      <c r="O9" s="158"/>
    </row>
    <row r="10" spans="1:15" x14ac:dyDescent="0.25">
      <c r="A10" s="36" t="s">
        <v>106</v>
      </c>
      <c r="B10" s="36" t="s">
        <v>14</v>
      </c>
      <c r="C10" s="165" t="s">
        <v>100</v>
      </c>
      <c r="D10" s="36" t="s">
        <v>22</v>
      </c>
      <c r="E10" s="36">
        <v>1</v>
      </c>
      <c r="F10" s="36">
        <v>4</v>
      </c>
      <c r="G10" s="63">
        <v>7</v>
      </c>
      <c r="H10" s="28">
        <v>150</v>
      </c>
      <c r="I10" s="15">
        <f t="shared" si="0"/>
        <v>1.1666666666666667E-2</v>
      </c>
      <c r="J10" s="14">
        <f t="shared" si="1"/>
        <v>0</v>
      </c>
      <c r="K10" s="173">
        <f>SUM(J10:J13)</f>
        <v>0</v>
      </c>
      <c r="L10" s="147">
        <f>N10*G10</f>
        <v>0</v>
      </c>
      <c r="M10" s="150" t="e">
        <f>L10/$B$1</f>
        <v>#DIV/0!</v>
      </c>
      <c r="N10" s="147">
        <f>SUMIFS('Tableau plaquette complet'!F:F,'Tableau plaquette complet'!G:G,"EMAG 2",'Tableau plaquette complet'!H:H,"OP 20",'Tableau plaquette complet'!J:J,"304x28 RPE",'Tableau plaquette complet'!B:B,"Z000 546 265")</f>
        <v>0</v>
      </c>
      <c r="O10" s="153">
        <f>-(K10-N10)</f>
        <v>0</v>
      </c>
    </row>
    <row r="11" spans="1:15" x14ac:dyDescent="0.25">
      <c r="A11" s="36" t="s">
        <v>107</v>
      </c>
      <c r="B11" s="36" t="s">
        <v>14</v>
      </c>
      <c r="C11" s="165"/>
      <c r="D11" s="36" t="s">
        <v>22</v>
      </c>
      <c r="E11" s="36">
        <v>1</v>
      </c>
      <c r="F11" s="36">
        <v>4</v>
      </c>
      <c r="G11" s="64">
        <v>3.5</v>
      </c>
      <c r="H11" s="28">
        <v>150</v>
      </c>
      <c r="I11" s="15">
        <f t="shared" si="0"/>
        <v>5.8333333333333336E-3</v>
      </c>
      <c r="J11" s="14">
        <f t="shared" si="1"/>
        <v>0</v>
      </c>
      <c r="K11" s="174"/>
      <c r="L11" s="148"/>
      <c r="M11" s="151"/>
      <c r="N11" s="148"/>
      <c r="O11" s="154"/>
    </row>
    <row r="12" spans="1:15" x14ac:dyDescent="0.25">
      <c r="A12" s="36" t="s">
        <v>108</v>
      </c>
      <c r="B12" s="36" t="s">
        <v>14</v>
      </c>
      <c r="C12" s="165"/>
      <c r="D12" s="36" t="s">
        <v>22</v>
      </c>
      <c r="E12" s="36">
        <v>1</v>
      </c>
      <c r="F12" s="36">
        <v>4</v>
      </c>
      <c r="G12" s="64">
        <v>3.5</v>
      </c>
      <c r="H12" s="28">
        <v>150</v>
      </c>
      <c r="I12" s="15">
        <f t="shared" si="0"/>
        <v>5.8333333333333336E-3</v>
      </c>
      <c r="J12" s="14">
        <f t="shared" si="1"/>
        <v>0</v>
      </c>
      <c r="K12" s="174"/>
      <c r="L12" s="148"/>
      <c r="M12" s="151"/>
      <c r="N12" s="148"/>
      <c r="O12" s="154"/>
    </row>
    <row r="13" spans="1:15" x14ac:dyDescent="0.25">
      <c r="A13" s="36" t="s">
        <v>109</v>
      </c>
      <c r="B13" s="36" t="s">
        <v>14</v>
      </c>
      <c r="C13" s="165"/>
      <c r="D13" s="36" t="s">
        <v>22</v>
      </c>
      <c r="E13" s="36">
        <v>1</v>
      </c>
      <c r="F13" s="36">
        <v>4</v>
      </c>
      <c r="G13" s="63">
        <v>7</v>
      </c>
      <c r="H13" s="28">
        <v>150</v>
      </c>
      <c r="I13" s="15">
        <f t="shared" si="0"/>
        <v>1.1666666666666667E-2</v>
      </c>
      <c r="J13" s="14">
        <f t="shared" si="1"/>
        <v>0</v>
      </c>
      <c r="K13" s="175"/>
      <c r="L13" s="149"/>
      <c r="M13" s="152"/>
      <c r="N13" s="149"/>
      <c r="O13" s="155"/>
    </row>
    <row r="14" spans="1:15" x14ac:dyDescent="0.25">
      <c r="A14" s="36" t="s">
        <v>110</v>
      </c>
      <c r="B14" s="36" t="s">
        <v>14</v>
      </c>
      <c r="C14" s="36" t="s">
        <v>111</v>
      </c>
      <c r="D14" s="36" t="s">
        <v>12</v>
      </c>
      <c r="E14" s="36">
        <v>1</v>
      </c>
      <c r="F14" s="36">
        <v>2</v>
      </c>
      <c r="G14" s="63">
        <v>13.67</v>
      </c>
      <c r="H14" s="28">
        <v>150</v>
      </c>
      <c r="I14" s="15">
        <f t="shared" si="0"/>
        <v>4.5566666666666665E-2</v>
      </c>
      <c r="J14" s="14">
        <f t="shared" si="1"/>
        <v>0</v>
      </c>
      <c r="K14" s="67">
        <f>J14</f>
        <v>0</v>
      </c>
      <c r="L14" s="48">
        <f>N14*G14</f>
        <v>0</v>
      </c>
      <c r="M14" s="49" t="e">
        <f>L14/$B$1</f>
        <v>#DIV/0!</v>
      </c>
      <c r="N14" s="48">
        <f>SUMIFS('Tableau plaquette complet'!F:F,'Tableau plaquette complet'!G:G,"EMAG 2",'Tableau plaquette complet'!H:H,"OP 20",'Tableau plaquette complet'!J:J,"304x28 RPE",'Tableau plaquette complet'!B:B,"Z000 544 318")</f>
        <v>0</v>
      </c>
      <c r="O14" s="47">
        <f>-(K14-N14)</f>
        <v>0</v>
      </c>
    </row>
    <row r="15" spans="1:15" x14ac:dyDescent="0.25">
      <c r="A15" s="61" t="s">
        <v>112</v>
      </c>
      <c r="B15" s="61" t="s">
        <v>14</v>
      </c>
      <c r="C15" s="61" t="s">
        <v>113</v>
      </c>
      <c r="D15" s="61" t="s">
        <v>25</v>
      </c>
      <c r="E15" s="61">
        <v>1</v>
      </c>
      <c r="F15" s="61">
        <v>2</v>
      </c>
      <c r="G15" s="61">
        <v>10.85</v>
      </c>
      <c r="H15" s="28">
        <v>300</v>
      </c>
      <c r="I15" s="15">
        <f t="shared" si="0"/>
        <v>1.8083333333333333E-2</v>
      </c>
      <c r="J15" s="14">
        <f t="shared" si="1"/>
        <v>0</v>
      </c>
      <c r="K15" s="67">
        <f>J15</f>
        <v>0</v>
      </c>
      <c r="L15" s="48">
        <f>N15*G15</f>
        <v>0</v>
      </c>
      <c r="M15" s="49" t="e">
        <f>L15/$B$1</f>
        <v>#DIV/0!</v>
      </c>
      <c r="N15" s="48">
        <f>SUMIFS('Tableau plaquette complet'!F:F,'Tableau plaquette complet'!G:G,"EMAG 2",'Tableau plaquette complet'!H:H,"OP 20",'Tableau plaquette complet'!J:J,"304x28 RPE",'Tableau plaquette complet'!B:B,"Z000 522 436")</f>
        <v>0</v>
      </c>
      <c r="O15" s="47">
        <f>-(K15-N15)</f>
        <v>0</v>
      </c>
    </row>
    <row r="16" spans="1:15" x14ac:dyDescent="0.25">
      <c r="A16" s="36" t="s">
        <v>114</v>
      </c>
      <c r="B16" s="36" t="s">
        <v>14</v>
      </c>
      <c r="C16" s="36" t="s">
        <v>104</v>
      </c>
      <c r="D16" s="36" t="s">
        <v>23</v>
      </c>
      <c r="E16" s="36">
        <v>1</v>
      </c>
      <c r="F16" s="36">
        <v>8</v>
      </c>
      <c r="G16" s="63">
        <v>7.12</v>
      </c>
      <c r="H16" s="28">
        <v>2400</v>
      </c>
      <c r="I16" s="15">
        <f t="shared" si="0"/>
        <v>3.7083333333333331E-4</v>
      </c>
      <c r="J16" s="14">
        <f t="shared" si="1"/>
        <v>0</v>
      </c>
      <c r="K16" s="67">
        <f>J16</f>
        <v>0</v>
      </c>
      <c r="L16" s="45">
        <f t="shared" ref="L16" si="2">N16*G16</f>
        <v>0</v>
      </c>
      <c r="M16" s="46" t="e">
        <f>L16/$B$1</f>
        <v>#DIV/0!</v>
      </c>
      <c r="N16" s="48">
        <f>SUMIFS('Tableau plaquette complet'!F:F,'Tableau plaquette complet'!G:G,"EMAG 2",'Tableau plaquette complet'!H:H,"OP 20",'Tableau plaquette complet'!J:J,"304x28 RPE",'Tableau plaquette complet'!B:B,"Z000 546 266")</f>
        <v>0</v>
      </c>
      <c r="O16" s="44">
        <f>-(K16-N16)</f>
        <v>0</v>
      </c>
    </row>
    <row r="17" spans="1:15" x14ac:dyDescent="0.25">
      <c r="A17" s="50" t="s">
        <v>115</v>
      </c>
      <c r="B17" s="50" t="s">
        <v>20</v>
      </c>
      <c r="C17" s="166" t="s">
        <v>116</v>
      </c>
      <c r="D17" s="50" t="s">
        <v>17</v>
      </c>
      <c r="E17" s="50">
        <v>1</v>
      </c>
      <c r="F17" s="50">
        <v>8</v>
      </c>
      <c r="G17" s="62">
        <v>9.56</v>
      </c>
      <c r="H17" s="28">
        <v>75</v>
      </c>
      <c r="I17" s="15">
        <f t="shared" si="0"/>
        <v>1.5933333333333334E-2</v>
      </c>
      <c r="J17" s="14">
        <f t="shared" si="1"/>
        <v>0</v>
      </c>
      <c r="K17" s="170">
        <f>SUM(J17:J18)</f>
        <v>0</v>
      </c>
      <c r="L17" s="166">
        <f>N17*G17</f>
        <v>0</v>
      </c>
      <c r="M17" s="171" t="e">
        <f>L17/$B$1</f>
        <v>#DIV/0!</v>
      </c>
      <c r="N17" s="166">
        <f>SUMIFS('Tableau plaquette complet'!F:F,'Tableau plaquette complet'!G:G,"EMAG 2",'Tableau plaquette complet'!H:H,"OP 40",'Tableau plaquette complet'!J:J,"304x28 RPE",'Tableau plaquette complet'!B:B,"Z000 513 527")</f>
        <v>0</v>
      </c>
      <c r="O17" s="172">
        <f>-(K17-N17)</f>
        <v>0</v>
      </c>
    </row>
    <row r="18" spans="1:15" x14ac:dyDescent="0.25">
      <c r="A18" s="50" t="s">
        <v>117</v>
      </c>
      <c r="B18" s="50" t="s">
        <v>20</v>
      </c>
      <c r="C18" s="166"/>
      <c r="D18" s="50" t="s">
        <v>17</v>
      </c>
      <c r="E18" s="50">
        <v>1</v>
      </c>
      <c r="F18" s="50">
        <v>8</v>
      </c>
      <c r="G18" s="62">
        <v>9.56</v>
      </c>
      <c r="H18" s="28">
        <v>75</v>
      </c>
      <c r="I18" s="15">
        <f t="shared" si="0"/>
        <v>1.5933333333333334E-2</v>
      </c>
      <c r="J18" s="14">
        <f t="shared" si="1"/>
        <v>0</v>
      </c>
      <c r="K18" s="170"/>
      <c r="L18" s="166"/>
      <c r="M18" s="171"/>
      <c r="N18" s="166"/>
      <c r="O18" s="172"/>
    </row>
    <row r="19" spans="1:15" x14ac:dyDescent="0.25">
      <c r="A19" s="50" t="s">
        <v>118</v>
      </c>
      <c r="B19" s="50" t="s">
        <v>20</v>
      </c>
      <c r="C19" s="50" t="s">
        <v>119</v>
      </c>
      <c r="D19" s="50" t="s">
        <v>120</v>
      </c>
      <c r="E19" s="50">
        <v>1</v>
      </c>
      <c r="F19" s="50">
        <v>8</v>
      </c>
      <c r="G19" s="62">
        <v>10.97</v>
      </c>
      <c r="H19" s="28">
        <v>300</v>
      </c>
      <c r="I19" s="15">
        <f t="shared" si="0"/>
        <v>4.5708333333333339E-3</v>
      </c>
      <c r="J19" s="14">
        <f t="shared" si="1"/>
        <v>0</v>
      </c>
      <c r="K19" s="14">
        <f>J19</f>
        <v>0</v>
      </c>
      <c r="L19" s="50">
        <f>N19*G19</f>
        <v>0</v>
      </c>
      <c r="M19" s="53" t="e">
        <f>L19/$B$1</f>
        <v>#DIV/0!</v>
      </c>
      <c r="N19" s="50">
        <f>SUMIFS('Tableau plaquette complet'!F:F,'Tableau plaquette complet'!G:G,"EMAG 2",'Tableau plaquette complet'!H:H,"OP 40",'Tableau plaquette complet'!J:J,"304x28 RPE",'Tableau plaquette complet'!B:B,"Z000 455 182")</f>
        <v>0</v>
      </c>
      <c r="O19" s="52">
        <f>-(K19-N19)</f>
        <v>0</v>
      </c>
    </row>
    <row r="20" spans="1:15" x14ac:dyDescent="0.25">
      <c r="A20" s="50" t="s">
        <v>121</v>
      </c>
      <c r="B20" s="50" t="s">
        <v>20</v>
      </c>
      <c r="C20" s="50" t="s">
        <v>122</v>
      </c>
      <c r="D20" s="50" t="s">
        <v>35</v>
      </c>
      <c r="E20" s="50">
        <v>1</v>
      </c>
      <c r="F20" s="50">
        <v>6</v>
      </c>
      <c r="G20" s="62">
        <v>11.87</v>
      </c>
      <c r="H20" s="28">
        <v>75</v>
      </c>
      <c r="I20" s="15">
        <f t="shared" si="0"/>
        <v>2.6377777777777778E-2</v>
      </c>
      <c r="J20" s="14">
        <f t="shared" si="1"/>
        <v>0</v>
      </c>
      <c r="K20" s="14">
        <f t="shared" ref="K20:K21" si="3">J20</f>
        <v>0</v>
      </c>
      <c r="L20" s="50">
        <f t="shared" ref="L20:L21" si="4">N20*G20</f>
        <v>0</v>
      </c>
      <c r="M20" s="53" t="e">
        <f t="shared" ref="M20:M21" si="5">L20/$B$1</f>
        <v>#DIV/0!</v>
      </c>
      <c r="N20" s="50">
        <f>SUMIFS('Tableau plaquette complet'!F:F,'Tableau plaquette complet'!G:G,"EMAG 2",'Tableau plaquette complet'!H:H,"OP 40",'Tableau plaquette complet'!J:J,"304x28 RPE",'Tableau plaquette complet'!B:B,"Z000 519 285")</f>
        <v>0</v>
      </c>
      <c r="O20" s="52">
        <f t="shared" ref="O20:O21" si="6">-(K20-N20)</f>
        <v>0</v>
      </c>
    </row>
    <row r="21" spans="1:15" x14ac:dyDescent="0.25">
      <c r="A21" s="50" t="s">
        <v>131</v>
      </c>
      <c r="B21" s="50" t="s">
        <v>20</v>
      </c>
      <c r="C21" s="50" t="s">
        <v>132</v>
      </c>
      <c r="D21" s="50" t="s">
        <v>133</v>
      </c>
      <c r="E21" s="50">
        <v>1</v>
      </c>
      <c r="F21" s="50">
        <v>4</v>
      </c>
      <c r="G21" s="62">
        <v>3.68</v>
      </c>
      <c r="H21" s="28">
        <v>150</v>
      </c>
      <c r="I21" s="15">
        <f t="shared" si="0"/>
        <v>6.1333333333333335E-3</v>
      </c>
      <c r="J21" s="14">
        <f t="shared" si="1"/>
        <v>0</v>
      </c>
      <c r="K21" s="14">
        <f t="shared" si="3"/>
        <v>0</v>
      </c>
      <c r="L21" s="50">
        <f t="shared" si="4"/>
        <v>0</v>
      </c>
      <c r="M21" s="53" t="e">
        <f t="shared" si="5"/>
        <v>#DIV/0!</v>
      </c>
      <c r="N21" s="50">
        <f>SUMIFS('Tableau plaquette complet'!F:F,'Tableau plaquette complet'!G:G,"EMAG 2",'Tableau plaquette complet'!H:H,"OP 40",'Tableau plaquette complet'!J:J,"304x28 RPE",'Tableau plaquette complet'!B:B,"Z000 548 367")</f>
        <v>0</v>
      </c>
      <c r="O21" s="52">
        <f t="shared" si="6"/>
        <v>0</v>
      </c>
    </row>
    <row r="22" spans="1:15" ht="15.75" thickBot="1" x14ac:dyDescent="0.3">
      <c r="I22" s="65">
        <f>SUM(I4:I21)</f>
        <v>0.21207658730158727</v>
      </c>
      <c r="J22" s="66">
        <f>SUM(J4:J21)</f>
        <v>0</v>
      </c>
      <c r="M22" s="41" t="e">
        <f>SUM(M3:M21)</f>
        <v>#VALUE!</v>
      </c>
      <c r="N22" s="42">
        <f>SUM(N3:N21)</f>
        <v>0</v>
      </c>
    </row>
    <row r="23" spans="1:15" x14ac:dyDescent="0.25">
      <c r="I23" s="30">
        <f>B1*I22</f>
        <v>0</v>
      </c>
      <c r="M23" s="30" t="e">
        <f>B1*M22</f>
        <v>#VALUE!</v>
      </c>
      <c r="N23" s="4"/>
    </row>
  </sheetData>
  <mergeCells count="24">
    <mergeCell ref="O10:O13"/>
    <mergeCell ref="K17:K18"/>
    <mergeCell ref="L17:L18"/>
    <mergeCell ref="M17:M18"/>
    <mergeCell ref="N17:N18"/>
    <mergeCell ref="O17:O18"/>
    <mergeCell ref="K10:K13"/>
    <mergeCell ref="L10:L13"/>
    <mergeCell ref="C17:C18"/>
    <mergeCell ref="C10:C13"/>
    <mergeCell ref="C7:C9"/>
    <mergeCell ref="C4:C6"/>
    <mergeCell ref="O7:O9"/>
    <mergeCell ref="K4:K6"/>
    <mergeCell ref="L4:L6"/>
    <mergeCell ref="M4:M6"/>
    <mergeCell ref="N4:N6"/>
    <mergeCell ref="O4:O6"/>
    <mergeCell ref="K7:K9"/>
    <mergeCell ref="L7:L9"/>
    <mergeCell ref="M7:M9"/>
    <mergeCell ref="N7:N9"/>
    <mergeCell ref="M10:M13"/>
    <mergeCell ref="N10:N13"/>
  </mergeCells>
  <conditionalFormatting sqref="M22">
    <cfRule type="cellIs" dxfId="41" priority="1" operator="greaterThan">
      <formula>$I$22</formula>
    </cfRule>
    <cfRule type="cellIs" dxfId="40" priority="2" operator="lessThanOrEqual">
      <formula>$I$22</formula>
    </cfRule>
  </conditionalFormatting>
  <conditionalFormatting sqref="N22">
    <cfRule type="cellIs" dxfId="39" priority="3" operator="lessThanOrEqual">
      <formula>$J$22</formula>
    </cfRule>
    <cfRule type="cellIs" dxfId="38" priority="4" operator="greaterThan">
      <formula>$J$22</formula>
    </cfRule>
  </conditionalFormatting>
  <dataValidations disablePrompts="1" count="2">
    <dataValidation type="list" allowBlank="1" showInputMessage="1" showErrorMessage="1" sqref="C7:C9" xr:uid="{00000000-0002-0000-0B00-000000000000}">
      <formula1>"SNMX120716T03030 SL506, SNGX 120716 S02020 CBN387"</formula1>
    </dataValidation>
    <dataValidation type="list" allowBlank="1" showInputMessage="1" showErrorMessage="1" sqref="C4:C6" xr:uid="{00000000-0002-0000-0B00-000001000000}">
      <formula1>"CNMX120716T03030 SL506, CNGX 120716 S02020 CBN387"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FFFF00"/>
  </sheetPr>
  <dimension ref="A1:O41"/>
  <sheetViews>
    <sheetView zoomScale="105" workbookViewId="0">
      <selection activeCell="Q12" sqref="Q12"/>
    </sheetView>
  </sheetViews>
  <sheetFormatPr baseColWidth="10" defaultColWidth="11.42578125" defaultRowHeight="15" x14ac:dyDescent="0.25"/>
  <cols>
    <col min="3" max="3" width="30.28515625" customWidth="1"/>
    <col min="4" max="4" width="25.28515625" bestFit="1" customWidth="1"/>
    <col min="14" max="14" width="14.140625" customWidth="1"/>
  </cols>
  <sheetData>
    <row r="1" spans="1:15" x14ac:dyDescent="0.25">
      <c r="A1" s="8" t="s">
        <v>82</v>
      </c>
      <c r="B1" s="9">
        <v>2490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x14ac:dyDescent="0.25">
      <c r="A2" s="92"/>
      <c r="B2" s="92"/>
      <c r="C2" s="92" t="s">
        <v>37</v>
      </c>
      <c r="D2" s="92"/>
      <c r="E2" s="92"/>
      <c r="F2" s="92"/>
      <c r="G2" s="93"/>
      <c r="H2" s="92"/>
      <c r="I2" s="92"/>
      <c r="J2" s="92"/>
      <c r="K2" s="92"/>
      <c r="L2" s="92"/>
      <c r="M2" s="92"/>
      <c r="N2" s="92"/>
      <c r="O2" s="92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2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99</v>
      </c>
      <c r="B4" s="50" t="s">
        <v>39</v>
      </c>
      <c r="C4" s="162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IF(C4="CNMX120716T03030 SL506",7,38)</f>
        <v>38</v>
      </c>
      <c r="H4" s="62">
        <v>300</v>
      </c>
      <c r="I4" s="15">
        <f t="shared" ref="I4:I24" si="0">(E4*G4)/(F4*H4)</f>
        <v>3.1666666666666669E-2</v>
      </c>
      <c r="J4" s="14">
        <f t="shared" ref="J4:J24" si="1">(ROUNDUP($E4*$B$1/($F4*H4),0))</f>
        <v>3</v>
      </c>
      <c r="K4" s="170">
        <f>SUM(J4:J7)</f>
        <v>16</v>
      </c>
      <c r="L4" s="166">
        <f>N4*G4</f>
        <v>152</v>
      </c>
      <c r="M4" s="171">
        <f>L4/$B$1</f>
        <v>6.1044176706827311E-2</v>
      </c>
      <c r="N4" s="166">
        <f>IF(C4="CNMX120716T03030 SL506",SUMIFS('Tableau plaquette complet'!F:F,'Tableau plaquette complet'!G:G,"EMAG 2",'Tableau plaquette complet'!H:H,"OP 10",'Tableau plaquette complet'!J:J,"330x14",'Tableau plaquette complet'!B:B,"Z000 546 265"),'Tableau plaquette outil'!F9)</f>
        <v>4</v>
      </c>
      <c r="O4" s="172">
        <f>-(K4-N4)</f>
        <v>-12</v>
      </c>
    </row>
    <row r="5" spans="1:15" x14ac:dyDescent="0.25">
      <c r="A5" s="50" t="s">
        <v>101</v>
      </c>
      <c r="B5" s="50" t="s">
        <v>39</v>
      </c>
      <c r="C5" s="163"/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SL506",7/2,38/2)</f>
        <v>19</v>
      </c>
      <c r="H5" s="62">
        <v>150</v>
      </c>
      <c r="I5" s="15">
        <f t="shared" si="0"/>
        <v>3.1666666666666669E-2</v>
      </c>
      <c r="J5" s="14">
        <f t="shared" si="1"/>
        <v>5</v>
      </c>
      <c r="K5" s="170"/>
      <c r="L5" s="166"/>
      <c r="M5" s="171"/>
      <c r="N5" s="166"/>
      <c r="O5" s="172"/>
    </row>
    <row r="6" spans="1:15" x14ac:dyDescent="0.25">
      <c r="A6" s="50" t="s">
        <v>102</v>
      </c>
      <c r="B6" s="50" t="s">
        <v>39</v>
      </c>
      <c r="C6" s="163"/>
      <c r="D6" s="50" t="str">
        <f>IF(C4="CNMX120716T03030 SL506","Z000 546 265","IM02 209 560")</f>
        <v>IM02 209 560</v>
      </c>
      <c r="E6" s="50">
        <v>1</v>
      </c>
      <c r="F6" s="50">
        <v>4</v>
      </c>
      <c r="G6" s="62">
        <f>IF(C4="CNMX120716T03030 SL506",7/2,38/2)</f>
        <v>19</v>
      </c>
      <c r="H6" s="62">
        <v>150</v>
      </c>
      <c r="I6" s="15">
        <f t="shared" si="0"/>
        <v>3.1666666666666669E-2</v>
      </c>
      <c r="J6" s="14">
        <f t="shared" si="1"/>
        <v>5</v>
      </c>
      <c r="K6" s="170"/>
      <c r="L6" s="166"/>
      <c r="M6" s="171"/>
      <c r="N6" s="166"/>
      <c r="O6" s="172"/>
    </row>
    <row r="7" spans="1:15" x14ac:dyDescent="0.25">
      <c r="A7" s="50" t="s">
        <v>135</v>
      </c>
      <c r="B7" s="50" t="s">
        <v>39</v>
      </c>
      <c r="C7" s="164"/>
      <c r="D7" s="50" t="str">
        <f>IF(C4="CNMX120716T03030 SL506","Z000 546 265","IM02 209 560")</f>
        <v>IM02 209 560</v>
      </c>
      <c r="E7" s="50">
        <v>1</v>
      </c>
      <c r="F7" s="50">
        <v>4</v>
      </c>
      <c r="G7" s="62">
        <f>IF(C4="CNMX120716T03030 SL506",7,38)</f>
        <v>38</v>
      </c>
      <c r="H7" s="62">
        <v>300</v>
      </c>
      <c r="I7" s="15">
        <f t="shared" si="0"/>
        <v>3.1666666666666669E-2</v>
      </c>
      <c r="J7" s="14">
        <f t="shared" si="1"/>
        <v>3</v>
      </c>
      <c r="K7" s="170"/>
      <c r="L7" s="166"/>
      <c r="M7" s="171"/>
      <c r="N7" s="166"/>
      <c r="O7" s="172"/>
    </row>
    <row r="8" spans="1:15" x14ac:dyDescent="0.25">
      <c r="A8" s="50" t="s">
        <v>103</v>
      </c>
      <c r="B8" s="50" t="s">
        <v>39</v>
      </c>
      <c r="C8" s="162" t="s">
        <v>129</v>
      </c>
      <c r="D8" s="50" t="str">
        <f>IF(C8="SNMX120716T03030 SL506","Z000 546 266","IM02 198 054")</f>
        <v>IM02 198 054</v>
      </c>
      <c r="E8" s="50">
        <v>1</v>
      </c>
      <c r="F8" s="50">
        <v>8</v>
      </c>
      <c r="G8" s="62">
        <f>IF(C8="SNMX120716T03030 SL506",7.12,38)</f>
        <v>38</v>
      </c>
      <c r="H8" s="62">
        <v>300</v>
      </c>
      <c r="I8" s="15">
        <f t="shared" si="0"/>
        <v>1.5833333333333335E-2</v>
      </c>
      <c r="J8" s="14">
        <f t="shared" si="1"/>
        <v>2</v>
      </c>
      <c r="K8" s="170">
        <f>+SUM(J8:J9)</f>
        <v>4</v>
      </c>
      <c r="L8" s="166">
        <f>N8*G8</f>
        <v>38</v>
      </c>
      <c r="M8" s="171">
        <f>L8/$B$1</f>
        <v>1.5261044176706828E-2</v>
      </c>
      <c r="N8" s="166">
        <f>IF(C8="SNMX120716T03030 SL506",SUMIFS('Tableau plaquette complet'!F:F,'Tableau plaquette complet'!G:G,"EMAG 2",'Tableau plaquette complet'!H:H,"OP 10",'Tableau plaquette complet'!J:J,"330x14",'Tableau plaquette complet'!B:B,"Z000 546 266"),'Tableau plaquette outil'!F8)</f>
        <v>1</v>
      </c>
      <c r="O8" s="172">
        <f>-(K8-N8)</f>
        <v>-3</v>
      </c>
    </row>
    <row r="9" spans="1:15" x14ac:dyDescent="0.25">
      <c r="A9" s="50" t="s">
        <v>105</v>
      </c>
      <c r="B9" s="50" t="s">
        <v>39</v>
      </c>
      <c r="C9" s="164"/>
      <c r="D9" s="50" t="str">
        <f>IF(C8="SNMX120716T03030 SL506","Z000 546 266","IM02 198 054")</f>
        <v>IM02 198 054</v>
      </c>
      <c r="E9" s="50">
        <v>1</v>
      </c>
      <c r="F9" s="50">
        <v>8</v>
      </c>
      <c r="G9" s="62">
        <f>IF(C8="SNMX120716T03030 SL506",7.12,38)</f>
        <v>38</v>
      </c>
      <c r="H9" s="62">
        <v>300</v>
      </c>
      <c r="I9" s="15">
        <f t="shared" si="0"/>
        <v>1.5833333333333335E-2</v>
      </c>
      <c r="J9" s="14">
        <f t="shared" si="1"/>
        <v>2</v>
      </c>
      <c r="K9" s="170"/>
      <c r="L9" s="166"/>
      <c r="M9" s="171"/>
      <c r="N9" s="166"/>
      <c r="O9" s="172"/>
    </row>
    <row r="10" spans="1:15" x14ac:dyDescent="0.25">
      <c r="A10" s="48" t="s">
        <v>106</v>
      </c>
      <c r="B10" s="48" t="s">
        <v>14</v>
      </c>
      <c r="C10" s="147" t="s">
        <v>104</v>
      </c>
      <c r="D10" s="147" t="s">
        <v>23</v>
      </c>
      <c r="E10" s="48">
        <v>1</v>
      </c>
      <c r="F10" s="48">
        <v>8</v>
      </c>
      <c r="G10" s="64">
        <v>7.12</v>
      </c>
      <c r="H10" s="64">
        <v>150</v>
      </c>
      <c r="I10" s="15">
        <f t="shared" si="0"/>
        <v>5.933333333333333E-3</v>
      </c>
      <c r="J10" s="14">
        <f t="shared" si="1"/>
        <v>3</v>
      </c>
      <c r="K10" s="167">
        <f>SUM(J10:J11)</f>
        <v>6</v>
      </c>
      <c r="L10" s="147">
        <f>N10*G10</f>
        <v>142.4</v>
      </c>
      <c r="M10" s="150">
        <f>L10/$B$1</f>
        <v>5.718875502008032E-2</v>
      </c>
      <c r="N10" s="147">
        <f>SUMIFS('Tableau plaquette complet'!F:F,'Tableau plaquette complet'!G:G,"EMAG 2",'Tableau plaquette complet'!H:H,"OP 20",'Tableau plaquette complet'!J:J,"330x14",'Tableau plaquette complet'!B:B,"Z000 546 266")</f>
        <v>20</v>
      </c>
      <c r="O10" s="153">
        <f>-(K10-N10)</f>
        <v>14</v>
      </c>
    </row>
    <row r="11" spans="1:15" x14ac:dyDescent="0.25">
      <c r="A11" s="48" t="s">
        <v>114</v>
      </c>
      <c r="B11" s="48" t="s">
        <v>14</v>
      </c>
      <c r="C11" s="149"/>
      <c r="D11" s="149"/>
      <c r="E11" s="48">
        <v>1</v>
      </c>
      <c r="F11" s="48">
        <v>8</v>
      </c>
      <c r="G11" s="64">
        <v>7.12</v>
      </c>
      <c r="H11" s="64">
        <v>150</v>
      </c>
      <c r="I11" s="15">
        <f>(E11*G11)/(F11*H11)</f>
        <v>5.933333333333333E-3</v>
      </c>
      <c r="J11" s="14">
        <f>(ROUNDUP($E11*$B$1/($F11*H11),0))</f>
        <v>3</v>
      </c>
      <c r="K11" s="169"/>
      <c r="L11" s="149"/>
      <c r="M11" s="152"/>
      <c r="N11" s="149"/>
      <c r="O11" s="155"/>
    </row>
    <row r="12" spans="1:15" x14ac:dyDescent="0.25">
      <c r="A12" s="48" t="s">
        <v>136</v>
      </c>
      <c r="B12" s="48" t="s">
        <v>14</v>
      </c>
      <c r="C12" s="147" t="s">
        <v>314</v>
      </c>
      <c r="D12" s="48" t="s">
        <v>22</v>
      </c>
      <c r="E12" s="48">
        <v>1</v>
      </c>
      <c r="F12" s="48">
        <v>4</v>
      </c>
      <c r="G12" s="64">
        <v>3.5</v>
      </c>
      <c r="H12" s="64">
        <v>100</v>
      </c>
      <c r="I12" s="15">
        <f t="shared" si="0"/>
        <v>8.7500000000000008E-3</v>
      </c>
      <c r="J12" s="14">
        <f t="shared" si="1"/>
        <v>7</v>
      </c>
      <c r="K12" s="167">
        <f>SUM(J12:J13)</f>
        <v>12</v>
      </c>
      <c r="L12" s="147">
        <f>N12*G12</f>
        <v>105</v>
      </c>
      <c r="M12" s="150">
        <f>L12/$B$1</f>
        <v>4.2168674698795178E-2</v>
      </c>
      <c r="N12" s="147">
        <f>SUMIFS('Tableau plaquette complet'!F:F,'Tableau plaquette complet'!G:G,"EMAG 2",'Tableau plaquette complet'!H:H,"OP 20",'Tableau plaquette complet'!J:J,"330x14",'Tableau plaquette complet'!B:B,"Z000 546 265")</f>
        <v>30</v>
      </c>
      <c r="O12" s="153">
        <f>-(K12-N12)</f>
        <v>18</v>
      </c>
    </row>
    <row r="13" spans="1:15" x14ac:dyDescent="0.25">
      <c r="A13" s="48" t="s">
        <v>151</v>
      </c>
      <c r="B13" s="48" t="s">
        <v>14</v>
      </c>
      <c r="C13" s="149"/>
      <c r="D13" s="48" t="s">
        <v>22</v>
      </c>
      <c r="E13" s="48">
        <v>1</v>
      </c>
      <c r="F13" s="48">
        <v>4</v>
      </c>
      <c r="G13" s="64">
        <v>3.5</v>
      </c>
      <c r="H13" s="64">
        <v>150</v>
      </c>
      <c r="I13" s="15">
        <f t="shared" si="0"/>
        <v>5.8333333333333336E-3</v>
      </c>
      <c r="J13" s="14">
        <f t="shared" si="1"/>
        <v>5</v>
      </c>
      <c r="K13" s="169"/>
      <c r="L13" s="149"/>
      <c r="M13" s="152"/>
      <c r="N13" s="149"/>
      <c r="O13" s="155"/>
    </row>
    <row r="14" spans="1:15" x14ac:dyDescent="0.25">
      <c r="A14" s="147" t="s">
        <v>152</v>
      </c>
      <c r="B14" s="147" t="s">
        <v>14</v>
      </c>
      <c r="C14" s="147" t="s">
        <v>153</v>
      </c>
      <c r="D14" s="147" t="s">
        <v>40</v>
      </c>
      <c r="E14" s="147">
        <v>1</v>
      </c>
      <c r="F14" s="147">
        <v>2</v>
      </c>
      <c r="G14" s="204">
        <f>18.8*N14/SUM(N14:N15)+11*N15/SUM(N14:N15)</f>
        <v>18.8</v>
      </c>
      <c r="H14" s="204">
        <v>100</v>
      </c>
      <c r="I14" s="202">
        <f t="shared" si="0"/>
        <v>9.4E-2</v>
      </c>
      <c r="J14" s="167">
        <f t="shared" si="1"/>
        <v>13</v>
      </c>
      <c r="K14" s="167">
        <f>J14</f>
        <v>13</v>
      </c>
      <c r="L14" s="90">
        <f>N14*18.8</f>
        <v>752</v>
      </c>
      <c r="M14" s="91">
        <f>L14/$B$1</f>
        <v>0.30200803212851407</v>
      </c>
      <c r="N14" s="90">
        <f>SUMIFS('Tableau plaquette complet'!F:F,'Tableau plaquette complet'!G:G,"EMAG 2",'Tableau plaquette complet'!H:H,"OP 20",'Tableau plaquette complet'!J:J,"330x14",'Tableau plaquette complet'!B:B,"IM02 137 020")</f>
        <v>40</v>
      </c>
      <c r="O14" s="153">
        <f>-(K14-SUM(N14:N15))</f>
        <v>27</v>
      </c>
    </row>
    <row r="15" spans="1:15" x14ac:dyDescent="0.25">
      <c r="A15" s="149"/>
      <c r="B15" s="149"/>
      <c r="C15" s="149"/>
      <c r="D15" s="149"/>
      <c r="E15" s="149"/>
      <c r="F15" s="149"/>
      <c r="G15" s="205"/>
      <c r="H15" s="205"/>
      <c r="I15" s="203"/>
      <c r="J15" s="169"/>
      <c r="K15" s="169"/>
      <c r="L15" s="90">
        <f>N15*11</f>
        <v>0</v>
      </c>
      <c r="M15" s="91">
        <f>L15/$B$1</f>
        <v>0</v>
      </c>
      <c r="N15" s="48">
        <v>0</v>
      </c>
      <c r="O15" s="155"/>
    </row>
    <row r="16" spans="1:15" x14ac:dyDescent="0.25">
      <c r="A16" s="50" t="s">
        <v>138</v>
      </c>
      <c r="B16" s="50" t="s">
        <v>38</v>
      </c>
      <c r="C16" s="50" t="s">
        <v>48</v>
      </c>
      <c r="D16" s="50" t="s">
        <v>48</v>
      </c>
      <c r="E16" s="50">
        <v>1</v>
      </c>
      <c r="F16" s="50">
        <v>1</v>
      </c>
      <c r="G16" s="50">
        <v>45</v>
      </c>
      <c r="H16" s="50">
        <v>1500</v>
      </c>
      <c r="I16" s="26">
        <f t="shared" si="0"/>
        <v>0.03</v>
      </c>
      <c r="J16" s="14">
        <f>(ROUNDUP($E16*$B$1/($F16*H16),0))</f>
        <v>2</v>
      </c>
      <c r="K16" s="14">
        <f t="shared" ref="K16:K19" si="2">J16</f>
        <v>2</v>
      </c>
      <c r="L16" s="50">
        <f>N16*G16</f>
        <v>90</v>
      </c>
      <c r="M16" s="53">
        <f>L16/$B$1</f>
        <v>3.614457831325301E-2</v>
      </c>
      <c r="N16" s="52">
        <f>ROUND('Tableau plaquette outil'!F21*B1/(B1+'Cout pièce E2 356x26 RPI'!B1),0)</f>
        <v>2</v>
      </c>
      <c r="O16" s="52">
        <f>-(K16-N16)</f>
        <v>0</v>
      </c>
    </row>
    <row r="17" spans="1:15" x14ac:dyDescent="0.25">
      <c r="A17" s="50" t="s">
        <v>138</v>
      </c>
      <c r="B17" s="50" t="s">
        <v>38</v>
      </c>
      <c r="C17" s="50" t="s">
        <v>50</v>
      </c>
      <c r="D17" s="50" t="s">
        <v>50</v>
      </c>
      <c r="E17" s="50">
        <v>2</v>
      </c>
      <c r="F17" s="50">
        <v>2</v>
      </c>
      <c r="G17" s="50">
        <v>12.18</v>
      </c>
      <c r="H17" s="50">
        <v>1500</v>
      </c>
      <c r="I17" s="26">
        <f t="shared" si="0"/>
        <v>8.1200000000000005E-3</v>
      </c>
      <c r="J17" s="14">
        <f t="shared" ref="J17:J19" si="3">(ROUNDUP($E17*$B$1/($F17*H17),0))</f>
        <v>2</v>
      </c>
      <c r="K17" s="14">
        <f t="shared" si="2"/>
        <v>2</v>
      </c>
      <c r="L17" s="50">
        <f>N17*G17</f>
        <v>12.18</v>
      </c>
      <c r="M17" s="53">
        <f t="shared" ref="M17:M19" si="4">L17/$B$1</f>
        <v>4.8915662650602411E-3</v>
      </c>
      <c r="N17" s="52">
        <f>ROUND('Tableau plaquette outil'!F22*B1/(B1+'Cout pièce E2 356x26 RPI'!B1),0)</f>
        <v>1</v>
      </c>
      <c r="O17" s="52">
        <f>-(K17-N17)</f>
        <v>-1</v>
      </c>
    </row>
    <row r="18" spans="1:15" x14ac:dyDescent="0.25">
      <c r="A18" s="50" t="s">
        <v>154</v>
      </c>
      <c r="B18" s="50" t="s">
        <v>38</v>
      </c>
      <c r="C18" s="50" t="s">
        <v>51</v>
      </c>
      <c r="D18" s="50" t="s">
        <v>51</v>
      </c>
      <c r="E18" s="50">
        <v>1</v>
      </c>
      <c r="F18" s="50">
        <v>1</v>
      </c>
      <c r="G18" s="50">
        <v>50</v>
      </c>
      <c r="H18" s="50">
        <v>1500</v>
      </c>
      <c r="I18" s="26">
        <f t="shared" si="0"/>
        <v>3.3333333333333333E-2</v>
      </c>
      <c r="J18" s="14">
        <f t="shared" si="3"/>
        <v>2</v>
      </c>
      <c r="K18" s="14">
        <f t="shared" si="2"/>
        <v>2</v>
      </c>
      <c r="L18" s="50">
        <f t="shared" ref="L18:L19" si="5">N18*G18</f>
        <v>200</v>
      </c>
      <c r="M18" s="53">
        <f t="shared" si="4"/>
        <v>8.0321285140562249E-2</v>
      </c>
      <c r="N18" s="52">
        <f>'Tableau plaquette outil'!F23</f>
        <v>4</v>
      </c>
      <c r="O18" s="52">
        <f t="shared" ref="O18:O19" si="6">-(K18-N18)</f>
        <v>2</v>
      </c>
    </row>
    <row r="19" spans="1:15" x14ac:dyDescent="0.25">
      <c r="A19" s="50" t="s">
        <v>154</v>
      </c>
      <c r="B19" s="50" t="s">
        <v>38</v>
      </c>
      <c r="C19" s="50" t="s">
        <v>155</v>
      </c>
      <c r="D19" s="50" t="s">
        <v>155</v>
      </c>
      <c r="E19" s="50">
        <v>1</v>
      </c>
      <c r="F19" s="50">
        <v>3</v>
      </c>
      <c r="G19" s="50">
        <v>10.65</v>
      </c>
      <c r="H19" s="50">
        <v>1500</v>
      </c>
      <c r="I19" s="26">
        <f t="shared" si="0"/>
        <v>2.3666666666666667E-3</v>
      </c>
      <c r="J19" s="14">
        <f t="shared" si="3"/>
        <v>1</v>
      </c>
      <c r="K19" s="14">
        <f t="shared" si="2"/>
        <v>1</v>
      </c>
      <c r="L19" s="50">
        <f t="shared" si="5"/>
        <v>31.950000000000003</v>
      </c>
      <c r="M19" s="53">
        <f t="shared" si="4"/>
        <v>1.2831325301204821E-2</v>
      </c>
      <c r="N19" s="52">
        <f>'Tableau plaquette outil'!F24</f>
        <v>3</v>
      </c>
      <c r="O19" s="52">
        <f t="shared" si="6"/>
        <v>2</v>
      </c>
    </row>
    <row r="20" spans="1:15" x14ac:dyDescent="0.25">
      <c r="A20" s="48" t="s">
        <v>150</v>
      </c>
      <c r="B20" s="48" t="s">
        <v>20</v>
      </c>
      <c r="C20" s="48" t="s">
        <v>156</v>
      </c>
      <c r="D20" s="48" t="s">
        <v>41</v>
      </c>
      <c r="E20" s="48">
        <v>1</v>
      </c>
      <c r="F20" s="48">
        <v>6</v>
      </c>
      <c r="G20" s="48">
        <v>13.88</v>
      </c>
      <c r="H20" s="64">
        <v>80</v>
      </c>
      <c r="I20" s="15">
        <f t="shared" si="0"/>
        <v>2.8916666666666667E-2</v>
      </c>
      <c r="J20" s="14">
        <f t="shared" si="1"/>
        <v>6</v>
      </c>
      <c r="K20" s="14">
        <f>J20</f>
        <v>6</v>
      </c>
      <c r="L20" s="48">
        <f>N20*G20</f>
        <v>277.60000000000002</v>
      </c>
      <c r="M20" s="49">
        <f>L20/$B$1</f>
        <v>0.1114859437751004</v>
      </c>
      <c r="N20" s="48">
        <f>SUMIFS('Tableau plaquette complet'!F:F,'Tableau plaquette complet'!G:G,"EMAG 2",'Tableau plaquette complet'!H:H,"OP 40",'Tableau plaquette complet'!J:J,"330x14",'Tableau plaquette complet'!B:B,"Z000 517 182")</f>
        <v>20</v>
      </c>
      <c r="O20" s="47">
        <f t="shared" ref="O20" si="7">-(K20-N20)</f>
        <v>14</v>
      </c>
    </row>
    <row r="21" spans="1:15" x14ac:dyDescent="0.25">
      <c r="A21" s="48" t="s">
        <v>147</v>
      </c>
      <c r="B21" s="48" t="s">
        <v>20</v>
      </c>
      <c r="C21" s="147" t="s">
        <v>148</v>
      </c>
      <c r="D21" s="48" t="s">
        <v>36</v>
      </c>
      <c r="E21" s="48">
        <v>1</v>
      </c>
      <c r="F21" s="48">
        <v>4</v>
      </c>
      <c r="G21" s="64">
        <v>8.6999999999999993</v>
      </c>
      <c r="H21" s="64">
        <v>40</v>
      </c>
      <c r="I21" s="15">
        <f t="shared" si="0"/>
        <v>5.4374999999999993E-2</v>
      </c>
      <c r="J21" s="14">
        <f t="shared" si="1"/>
        <v>16</v>
      </c>
      <c r="K21" s="170">
        <f>+SUM(J21:J22)</f>
        <v>32</v>
      </c>
      <c r="L21" s="207">
        <f>N21*G21</f>
        <v>261</v>
      </c>
      <c r="M21" s="208">
        <f>L21/$B$1</f>
        <v>0.10481927710843374</v>
      </c>
      <c r="N21" s="207">
        <f>SUMIFS('Tableau plaquette complet'!F:F,'Tableau plaquette complet'!G:G,"EMAG 2",'Tableau plaquette complet'!H:H,"OP 40",'Tableau plaquette complet'!J:J,"330x14",'Tableau plaquette complet'!B:B,"Z000 539 100")</f>
        <v>30</v>
      </c>
      <c r="O21" s="206">
        <f>-(K21-N21)</f>
        <v>-2</v>
      </c>
    </row>
    <row r="22" spans="1:15" x14ac:dyDescent="0.25">
      <c r="A22" s="48" t="s">
        <v>149</v>
      </c>
      <c r="B22" s="48" t="s">
        <v>20</v>
      </c>
      <c r="C22" s="149"/>
      <c r="D22" s="48" t="s">
        <v>36</v>
      </c>
      <c r="E22" s="48">
        <v>1</v>
      </c>
      <c r="F22" s="48">
        <v>4</v>
      </c>
      <c r="G22" s="64">
        <v>8.6999999999999993</v>
      </c>
      <c r="H22" s="64">
        <v>40</v>
      </c>
      <c r="I22" s="15">
        <f t="shared" si="0"/>
        <v>5.4374999999999993E-2</v>
      </c>
      <c r="J22" s="14">
        <f t="shared" si="1"/>
        <v>16</v>
      </c>
      <c r="K22" s="170"/>
      <c r="L22" s="207"/>
      <c r="M22" s="208"/>
      <c r="N22" s="207"/>
      <c r="O22" s="206"/>
    </row>
    <row r="23" spans="1:15" x14ac:dyDescent="0.25">
      <c r="A23" s="48" t="s">
        <v>118</v>
      </c>
      <c r="B23" s="48" t="s">
        <v>20</v>
      </c>
      <c r="C23" s="48" t="s">
        <v>119</v>
      </c>
      <c r="D23" s="48" t="s">
        <v>120</v>
      </c>
      <c r="E23" s="48">
        <v>1</v>
      </c>
      <c r="F23" s="48">
        <v>8</v>
      </c>
      <c r="G23" s="64">
        <v>10.97</v>
      </c>
      <c r="H23" s="64">
        <v>300</v>
      </c>
      <c r="I23" s="15">
        <f t="shared" si="0"/>
        <v>4.5708333333333339E-3</v>
      </c>
      <c r="J23" s="14">
        <f t="shared" si="1"/>
        <v>2</v>
      </c>
      <c r="K23" s="14">
        <f>J23</f>
        <v>2</v>
      </c>
      <c r="L23" s="48">
        <f>N23*G23</f>
        <v>109.7</v>
      </c>
      <c r="M23" s="49">
        <f>L23/$B$1</f>
        <v>4.4056224899598394E-2</v>
      </c>
      <c r="N23" s="48">
        <f>SUMIFS('Tableau plaquette complet'!F:F,'Tableau plaquette complet'!G:G,"EMAG 2",'Tableau plaquette complet'!H:H,"OP 40",'Tableau plaquette complet'!J:J,"330x14",'Tableau plaquette complet'!B:B,"Z000 455 182")</f>
        <v>10</v>
      </c>
      <c r="O23" s="47">
        <f>-(K23-N23)</f>
        <v>8</v>
      </c>
    </row>
    <row r="24" spans="1:15" x14ac:dyDescent="0.25">
      <c r="A24" s="48" t="s">
        <v>121</v>
      </c>
      <c r="B24" s="48" t="s">
        <v>20</v>
      </c>
      <c r="C24" s="48" t="s">
        <v>122</v>
      </c>
      <c r="D24" s="48" t="s">
        <v>35</v>
      </c>
      <c r="E24" s="48">
        <v>1</v>
      </c>
      <c r="F24" s="48">
        <v>6</v>
      </c>
      <c r="G24" s="64">
        <v>11.87</v>
      </c>
      <c r="H24" s="64">
        <v>40</v>
      </c>
      <c r="I24" s="15">
        <f t="shared" si="0"/>
        <v>4.9458333333333333E-2</v>
      </c>
      <c r="J24" s="14">
        <f t="shared" si="1"/>
        <v>11</v>
      </c>
      <c r="K24" s="14">
        <f>J24</f>
        <v>11</v>
      </c>
      <c r="L24" s="48">
        <f>N24*G24</f>
        <v>237.39999999999998</v>
      </c>
      <c r="M24" s="49">
        <f>L24/$B$1</f>
        <v>9.5341365461847377E-2</v>
      </c>
      <c r="N24" s="48">
        <f>SUMIFS('Tableau plaquette complet'!F:F,'Tableau plaquette complet'!G:G,"EMAG 2",'Tableau plaquette complet'!H:H,"OP 40",'Tableau plaquette complet'!J:J,"330x14",'Tableau plaquette complet'!B:B,"Z000 519 285")</f>
        <v>20</v>
      </c>
      <c r="O24" s="47">
        <f>-(K24-N24)</f>
        <v>9</v>
      </c>
    </row>
    <row r="25" spans="1:15" ht="15.75" thickBot="1" x14ac:dyDescent="0.3">
      <c r="A25" s="92"/>
      <c r="B25" s="92"/>
      <c r="C25" s="92"/>
      <c r="D25" s="92"/>
      <c r="E25" s="92"/>
      <c r="F25" s="92"/>
      <c r="G25" s="92"/>
      <c r="H25" s="92"/>
      <c r="I25" s="65">
        <f>SUM(I4:I24)</f>
        <v>0.54429916666666678</v>
      </c>
      <c r="J25" s="66">
        <f>SUM(J4:J24)</f>
        <v>109</v>
      </c>
      <c r="K25" s="92"/>
      <c r="L25" s="92"/>
      <c r="M25" s="65">
        <f>SUM(M4:M24)</f>
        <v>0.96756224899598386</v>
      </c>
      <c r="N25" s="66">
        <f>SUM(N4:N24)</f>
        <v>185</v>
      </c>
      <c r="O25" s="92"/>
    </row>
    <row r="26" spans="1:15" x14ac:dyDescent="0.25">
      <c r="A26" s="92"/>
      <c r="B26" s="92"/>
      <c r="C26" s="92"/>
      <c r="D26" s="92"/>
      <c r="E26" s="92"/>
      <c r="F26" s="92"/>
      <c r="G26" s="92"/>
      <c r="H26" s="92"/>
      <c r="I26" s="19">
        <f>B1*I25</f>
        <v>1355.3049250000004</v>
      </c>
      <c r="J26" s="92"/>
      <c r="K26" s="92"/>
      <c r="L26" s="92"/>
      <c r="M26" s="19">
        <f>B1*M25</f>
        <v>2409.23</v>
      </c>
      <c r="N26" s="92"/>
      <c r="O26" s="92"/>
    </row>
    <row r="28" spans="1:15" x14ac:dyDescent="0.25">
      <c r="H28" t="s">
        <v>124</v>
      </c>
      <c r="I28" t="s">
        <v>93</v>
      </c>
    </row>
    <row r="29" spans="1:15" x14ac:dyDescent="0.25">
      <c r="H29" t="s">
        <v>46</v>
      </c>
      <c r="I29" s="40">
        <f>SUMIF($D$4:$D$24,TRIM(H29),$J$4:$J$24)</f>
        <v>16</v>
      </c>
    </row>
    <row r="30" spans="1:15" x14ac:dyDescent="0.25">
      <c r="H30" t="s">
        <v>198</v>
      </c>
      <c r="I30" s="40">
        <f>SUMIF($D$4:$D$24,TRIM(H30),$J$4:$J$24)</f>
        <v>4</v>
      </c>
    </row>
    <row r="31" spans="1:15" x14ac:dyDescent="0.25">
      <c r="H31" t="s">
        <v>22</v>
      </c>
      <c r="I31" s="40">
        <f>SUMIF($D$4:$D$24,TRIM(H31),$J$4:$J$24)</f>
        <v>12</v>
      </c>
    </row>
    <row r="32" spans="1:15" x14ac:dyDescent="0.25">
      <c r="H32" t="s">
        <v>40</v>
      </c>
      <c r="I32" s="40">
        <f>SUMIF($D$4:$D$24,TRIM(H32),$J$4:$J$24)</f>
        <v>13</v>
      </c>
    </row>
    <row r="33" spans="8:9" x14ac:dyDescent="0.25">
      <c r="H33" t="s">
        <v>23</v>
      </c>
      <c r="I33" s="40">
        <f>SUMIF($D$4:$D$24,TRIM(H33),$J$4:$J$24)</f>
        <v>3</v>
      </c>
    </row>
    <row r="34" spans="8:9" x14ac:dyDescent="0.25">
      <c r="H34" t="s">
        <v>120</v>
      </c>
      <c r="I34" s="40">
        <f>SUMIF($D$4:$D$24,TRIM(H34),$J$4:$J$24)</f>
        <v>2</v>
      </c>
    </row>
    <row r="35" spans="8:9" x14ac:dyDescent="0.25">
      <c r="H35" t="s">
        <v>51</v>
      </c>
      <c r="I35" s="40">
        <f>SUMIF($D$4:$D$24,TRIM(H35),$J$4:$J$24)</f>
        <v>2</v>
      </c>
    </row>
    <row r="36" spans="8:9" x14ac:dyDescent="0.25">
      <c r="H36" t="s">
        <v>48</v>
      </c>
      <c r="I36" s="40">
        <f>SUMIF($D$4:$D$24,TRIM(H36),$J$4:$J$24)</f>
        <v>2</v>
      </c>
    </row>
    <row r="37" spans="8:9" x14ac:dyDescent="0.25">
      <c r="H37" t="s">
        <v>35</v>
      </c>
      <c r="I37" s="40">
        <f>SUMIF($D$4:$D$24,TRIM(H37),$J$4:$J$24)</f>
        <v>11</v>
      </c>
    </row>
    <row r="38" spans="8:9" x14ac:dyDescent="0.25">
      <c r="H38" t="s">
        <v>50</v>
      </c>
      <c r="I38" s="40">
        <f>SUMIF($D$4:$D$24,TRIM(H38),$J$4:$J$24)</f>
        <v>2</v>
      </c>
    </row>
    <row r="39" spans="8:9" x14ac:dyDescent="0.25">
      <c r="H39" t="s">
        <v>52</v>
      </c>
      <c r="I39" s="40">
        <f>SUMIF($D$4:$D$24,TRIM(H39),$J$4:$J$24)</f>
        <v>0</v>
      </c>
    </row>
    <row r="40" spans="8:9" x14ac:dyDescent="0.25">
      <c r="H40" t="s">
        <v>41</v>
      </c>
      <c r="I40" s="40">
        <f>SUMIF($D$4:$D$24,TRIM(H40),$J$4:$J$24)</f>
        <v>6</v>
      </c>
    </row>
    <row r="41" spans="8:9" x14ac:dyDescent="0.25">
      <c r="H41" t="s">
        <v>36</v>
      </c>
      <c r="I41" s="40">
        <f>SUMIF($D$4:$D$24,TRIM(H41),$J$4:$J$24)</f>
        <v>32</v>
      </c>
    </row>
  </sheetData>
  <mergeCells count="43">
    <mergeCell ref="C10:C11"/>
    <mergeCell ref="C12:C13"/>
    <mergeCell ref="D10:D11"/>
    <mergeCell ref="K10:K11"/>
    <mergeCell ref="L10:L11"/>
    <mergeCell ref="M10:M11"/>
    <mergeCell ref="N10:N11"/>
    <mergeCell ref="O10:O11"/>
    <mergeCell ref="K12:K13"/>
    <mergeCell ref="L12:L13"/>
    <mergeCell ref="M12:M13"/>
    <mergeCell ref="N12:N13"/>
    <mergeCell ref="O12:O13"/>
    <mergeCell ref="K21:K22"/>
    <mergeCell ref="L21:L22"/>
    <mergeCell ref="M21:M22"/>
    <mergeCell ref="N21:N22"/>
    <mergeCell ref="O21:O22"/>
    <mergeCell ref="O14:O15"/>
    <mergeCell ref="K14:K15"/>
    <mergeCell ref="N8:N9"/>
    <mergeCell ref="O8:O9"/>
    <mergeCell ref="L4:L7"/>
    <mergeCell ref="M4:M7"/>
    <mergeCell ref="N4:N7"/>
    <mergeCell ref="O4:O7"/>
    <mergeCell ref="C4:C7"/>
    <mergeCell ref="K4:K7"/>
    <mergeCell ref="K8:K9"/>
    <mergeCell ref="L8:L9"/>
    <mergeCell ref="M8:M9"/>
    <mergeCell ref="C8:C9"/>
    <mergeCell ref="D14:D15"/>
    <mergeCell ref="J14:J15"/>
    <mergeCell ref="I14:I15"/>
    <mergeCell ref="H14:H15"/>
    <mergeCell ref="G14:G15"/>
    <mergeCell ref="F14:F15"/>
    <mergeCell ref="E14:E15"/>
    <mergeCell ref="B14:B15"/>
    <mergeCell ref="A14:A15"/>
    <mergeCell ref="C21:C22"/>
    <mergeCell ref="C14:C15"/>
  </mergeCells>
  <conditionalFormatting sqref="M25">
    <cfRule type="cellIs" dxfId="37" priority="1" operator="greaterThan">
      <formula>$I$25</formula>
    </cfRule>
    <cfRule type="cellIs" dxfId="36" priority="2" operator="lessThanOrEqual">
      <formula>$I$25</formula>
    </cfRule>
  </conditionalFormatting>
  <conditionalFormatting sqref="N25">
    <cfRule type="cellIs" dxfId="35" priority="3" operator="lessThanOrEqual">
      <formula>$J$25</formula>
    </cfRule>
    <cfRule type="cellIs" dxfId="34" priority="4" operator="greaterThan">
      <formula>$J$25</formula>
    </cfRule>
  </conditionalFormatting>
  <dataValidations disablePrompts="1" count="2">
    <dataValidation type="list" allowBlank="1" showInputMessage="1" showErrorMessage="1" sqref="C4:C7" xr:uid="{00000000-0002-0000-0C00-000000000000}">
      <formula1>"CNMX120716T03030 SL506, CNGX 120716 S02020 CBN387"</formula1>
    </dataValidation>
    <dataValidation type="list" allowBlank="1" showInputMessage="1" showErrorMessage="1" sqref="C8:C9" xr:uid="{00000000-0002-0000-0C00-000001000000}">
      <formula1>"SNMX120716T03030 SL506, SNGX 120716 S02020 CBN387"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FFFF00"/>
  </sheetPr>
  <dimension ref="A1:O41"/>
  <sheetViews>
    <sheetView zoomScaleNormal="100" workbookViewId="0">
      <selection activeCell="D28" sqref="D28"/>
    </sheetView>
  </sheetViews>
  <sheetFormatPr baseColWidth="10" defaultColWidth="11.42578125" defaultRowHeight="15" x14ac:dyDescent="0.25"/>
  <cols>
    <col min="1" max="1" width="14.42578125" bestFit="1" customWidth="1"/>
    <col min="3" max="3" width="26.42578125" bestFit="1" customWidth="1"/>
    <col min="4" max="4" width="23" bestFit="1" customWidth="1"/>
    <col min="14" max="14" width="13.5703125" customWidth="1"/>
    <col min="15" max="15" width="11" bestFit="1" customWidth="1"/>
  </cols>
  <sheetData>
    <row r="1" spans="1:15" x14ac:dyDescent="0.25">
      <c r="A1" s="20" t="s">
        <v>82</v>
      </c>
      <c r="B1" s="21">
        <v>0</v>
      </c>
      <c r="N1" s="4"/>
    </row>
    <row r="2" spans="1:15" x14ac:dyDescent="0.25">
      <c r="C2" s="23" t="s">
        <v>157</v>
      </c>
      <c r="E2" s="23"/>
      <c r="G2" s="24"/>
      <c r="N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158</v>
      </c>
      <c r="E3" s="12" t="s">
        <v>88</v>
      </c>
      <c r="F3" s="96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99</v>
      </c>
      <c r="B4" s="50" t="s">
        <v>39</v>
      </c>
      <c r="C4" s="166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IF(C4="CNMX120716T03030 SL506",7,38)</f>
        <v>38</v>
      </c>
      <c r="H4" s="50">
        <f>IF(C4="CNMX120716T03030 SL506",150,600)</f>
        <v>600</v>
      </c>
      <c r="I4" s="15">
        <f>(E4*G4)/(F4*H4)</f>
        <v>1.5833333333333335E-2</v>
      </c>
      <c r="J4" s="14">
        <f>(ROUNDUP($E4*$B$1/($F4*H4),0))</f>
        <v>0</v>
      </c>
      <c r="K4" s="170">
        <f>SUM(J4:J7)</f>
        <v>0</v>
      </c>
      <c r="L4" s="165">
        <f>N4*G4</f>
        <v>38</v>
      </c>
      <c r="M4" s="210" t="e">
        <f>L4/$B$1</f>
        <v>#DIV/0!</v>
      </c>
      <c r="N4" s="165">
        <f>IF(C4="CNMX120716T03030 SL506",SUMIFS('Tableau plaquette complet'!F:F,'Tableau plaquette complet'!G:G,"EMAG 2",'Tableau plaquette complet'!H:H,"OP 10",'Tableau plaquette complet'!J:J,"356x26 RPI",'Tableau plaquette complet'!B:B,"Z000 546 265"),'Tableau plaquette outil'!F7)</f>
        <v>1</v>
      </c>
      <c r="O4" s="211">
        <f>-(K4-N4)</f>
        <v>1</v>
      </c>
    </row>
    <row r="5" spans="1:15" x14ac:dyDescent="0.25">
      <c r="A5" s="50" t="s">
        <v>101</v>
      </c>
      <c r="B5" s="50" t="s">
        <v>39</v>
      </c>
      <c r="C5" s="166"/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SL506",7/2,38/2)</f>
        <v>19</v>
      </c>
      <c r="H5" s="50">
        <v>500</v>
      </c>
      <c r="I5" s="15">
        <f t="shared" ref="I5:I24" si="0">(E5*G5)/(F5*H5)</f>
        <v>9.4999999999999998E-3</v>
      </c>
      <c r="J5" s="14">
        <f t="shared" ref="J5:J24" si="1">(ROUNDUP($E5*$B$1/($F5*H5),0))</f>
        <v>0</v>
      </c>
      <c r="K5" s="170"/>
      <c r="L5" s="165"/>
      <c r="M5" s="210"/>
      <c r="N5" s="165"/>
      <c r="O5" s="211"/>
    </row>
    <row r="6" spans="1:15" x14ac:dyDescent="0.25">
      <c r="A6" s="50" t="s">
        <v>102</v>
      </c>
      <c r="B6" s="50" t="s">
        <v>39</v>
      </c>
      <c r="C6" s="166"/>
      <c r="D6" s="50" t="str">
        <f>IF(C4="CNMX120716T03030 SL506","Z000 546 265","IM02 209 560")</f>
        <v>IM02 209 560</v>
      </c>
      <c r="E6" s="50">
        <v>1</v>
      </c>
      <c r="F6" s="50">
        <v>4</v>
      </c>
      <c r="G6" s="62">
        <f>IF(C4="CNMX120716T03030 SL506",7/2,38/2)</f>
        <v>19</v>
      </c>
      <c r="H6" s="50">
        <v>500</v>
      </c>
      <c r="I6" s="15">
        <f t="shared" si="0"/>
        <v>9.4999999999999998E-3</v>
      </c>
      <c r="J6" s="14">
        <f t="shared" si="1"/>
        <v>0</v>
      </c>
      <c r="K6" s="170"/>
      <c r="L6" s="165"/>
      <c r="M6" s="210"/>
      <c r="N6" s="165"/>
      <c r="O6" s="211"/>
    </row>
    <row r="7" spans="1:15" x14ac:dyDescent="0.25">
      <c r="A7" s="50" t="s">
        <v>135</v>
      </c>
      <c r="B7" s="50" t="s">
        <v>39</v>
      </c>
      <c r="C7" s="166"/>
      <c r="D7" s="50" t="str">
        <f>IF(C4="CNMX120716T03030 SL506","Z000 546 265","IM02 209 560")</f>
        <v>IM02 209 560</v>
      </c>
      <c r="E7" s="50">
        <v>1</v>
      </c>
      <c r="F7" s="50">
        <v>4</v>
      </c>
      <c r="G7" s="62">
        <f>IF(C4="CNMX120716T03030 SL506",7,38)</f>
        <v>38</v>
      </c>
      <c r="H7" s="50">
        <f>IF(C4="CNMX120716T03030 SL506",150,600)</f>
        <v>600</v>
      </c>
      <c r="I7" s="15">
        <f t="shared" si="0"/>
        <v>1.5833333333333335E-2</v>
      </c>
      <c r="J7" s="14">
        <f t="shared" si="1"/>
        <v>0</v>
      </c>
      <c r="K7" s="170"/>
      <c r="L7" s="165"/>
      <c r="M7" s="210"/>
      <c r="N7" s="165"/>
      <c r="O7" s="211"/>
    </row>
    <row r="8" spans="1:15" x14ac:dyDescent="0.25">
      <c r="A8" s="50" t="s">
        <v>103</v>
      </c>
      <c r="B8" s="50" t="s">
        <v>39</v>
      </c>
      <c r="C8" s="166" t="s">
        <v>129</v>
      </c>
      <c r="D8" s="50" t="str">
        <f>IF(C8="SNMX120716T03030 SL506","Z000 546 266","IM02 198 054")</f>
        <v>IM02 198 054</v>
      </c>
      <c r="E8" s="50">
        <v>1</v>
      </c>
      <c r="F8" s="50">
        <v>8</v>
      </c>
      <c r="G8" s="62">
        <f>IF(C8="SNMX120716T03030 SL506",7.12,38)</f>
        <v>38</v>
      </c>
      <c r="H8" s="50">
        <f>IF(C8="SNMX120716T03030 SL506",150,600)</f>
        <v>600</v>
      </c>
      <c r="I8" s="15">
        <f t="shared" si="0"/>
        <v>7.9166666666666673E-3</v>
      </c>
      <c r="J8" s="14">
        <f t="shared" si="1"/>
        <v>0</v>
      </c>
      <c r="K8" s="167">
        <f>SUM(J8:J9)</f>
        <v>0</v>
      </c>
      <c r="L8" s="178">
        <f>N8*G8</f>
        <v>0</v>
      </c>
      <c r="M8" s="180" t="e">
        <f>L8/$B$1</f>
        <v>#DIV/0!</v>
      </c>
      <c r="N8" s="209">
        <f>IF(C8="SNMX120716T03030 SL506",SUMIFS('Tableau plaquette complet'!F:F,'Tableau plaquette complet'!G:G,"EMAG 2",'Tableau plaquette complet'!H:H,"OP 10",'Tableau plaquette complet'!J:J,"356x26 RPI",'Tableau plaquette complet'!B:B,"Z000 546 266"),'Tableau plaquette outil'!F6)</f>
        <v>0</v>
      </c>
      <c r="O8" s="176">
        <f t="shared" ref="O8" si="2">-(K8-N8)</f>
        <v>0</v>
      </c>
    </row>
    <row r="9" spans="1:15" x14ac:dyDescent="0.25">
      <c r="A9" s="50" t="s">
        <v>105</v>
      </c>
      <c r="B9" s="50" t="s">
        <v>39</v>
      </c>
      <c r="C9" s="166"/>
      <c r="D9" s="50" t="str">
        <f>IF(C8="SNMX120716T03030 SL506","Z000 546 266","IM02 198 054")</f>
        <v>IM02 198 054</v>
      </c>
      <c r="E9" s="50">
        <v>1</v>
      </c>
      <c r="F9" s="50">
        <v>8</v>
      </c>
      <c r="G9" s="62">
        <f>IF(C8="SNMX120716T03030 SL506",7.12,38)</f>
        <v>38</v>
      </c>
      <c r="H9" s="50">
        <f>IF(C8="SNMX120716T03030 SL506",150,600)</f>
        <v>600</v>
      </c>
      <c r="I9" s="15">
        <f t="shared" si="0"/>
        <v>7.9166666666666673E-3</v>
      </c>
      <c r="J9" s="14">
        <f t="shared" si="1"/>
        <v>0</v>
      </c>
      <c r="K9" s="169"/>
      <c r="L9" s="179"/>
      <c r="M9" s="181"/>
      <c r="N9" s="179"/>
      <c r="O9" s="177"/>
    </row>
    <row r="10" spans="1:15" x14ac:dyDescent="0.25">
      <c r="A10" s="36" t="s">
        <v>106</v>
      </c>
      <c r="B10" s="36" t="s">
        <v>14</v>
      </c>
      <c r="C10" s="178" t="s">
        <v>315</v>
      </c>
      <c r="D10" s="36" t="s">
        <v>23</v>
      </c>
      <c r="E10" s="36">
        <v>1</v>
      </c>
      <c r="F10" s="36">
        <v>8</v>
      </c>
      <c r="G10" s="63">
        <v>7.12</v>
      </c>
      <c r="H10" s="48">
        <v>150</v>
      </c>
      <c r="I10" s="15">
        <f t="shared" si="0"/>
        <v>5.933333333333333E-3</v>
      </c>
      <c r="J10" s="14">
        <f t="shared" si="1"/>
        <v>0</v>
      </c>
      <c r="K10" s="167">
        <f>SUM(J10:J13)</f>
        <v>0</v>
      </c>
      <c r="L10" s="162">
        <f>N10*G10</f>
        <v>0</v>
      </c>
      <c r="M10" s="159" t="e">
        <f>L10/$B$1</f>
        <v>#DIV/0!</v>
      </c>
      <c r="N10" s="162">
        <f>SUMIFS('Tableau plaquette complet'!F:F,'Tableau plaquette complet'!G:G,"EMAG 2",'Tableau plaquette complet'!H:H,"OP 20",'Tableau plaquette complet'!J:J,"356x26 RPI",'Tableau plaquette complet'!B:B,"Z000 546 266")</f>
        <v>0</v>
      </c>
      <c r="O10" s="156">
        <f>-(K10-N10)</f>
        <v>0</v>
      </c>
    </row>
    <row r="11" spans="1:15" x14ac:dyDescent="0.25">
      <c r="A11" s="36" t="s">
        <v>114</v>
      </c>
      <c r="B11" s="36" t="s">
        <v>14</v>
      </c>
      <c r="C11" s="179"/>
      <c r="D11" s="36" t="s">
        <v>23</v>
      </c>
      <c r="E11" s="36">
        <v>1</v>
      </c>
      <c r="F11" s="36">
        <v>8</v>
      </c>
      <c r="G11" s="63">
        <v>7.12</v>
      </c>
      <c r="H11" s="48">
        <v>150</v>
      </c>
      <c r="I11" s="15">
        <f>(E11*G11)/(F11*H11)</f>
        <v>5.933333333333333E-3</v>
      </c>
      <c r="J11" s="14">
        <f>(ROUNDUP($E11*$B$1/($F11*H11),0))</f>
        <v>0</v>
      </c>
      <c r="K11" s="169"/>
      <c r="L11" s="164"/>
      <c r="M11" s="161"/>
      <c r="N11" s="164"/>
      <c r="O11" s="158"/>
    </row>
    <row r="12" spans="1:15" x14ac:dyDescent="0.25">
      <c r="A12" s="36" t="s">
        <v>136</v>
      </c>
      <c r="B12" s="36" t="s">
        <v>14</v>
      </c>
      <c r="C12" s="178" t="s">
        <v>316</v>
      </c>
      <c r="D12" s="36" t="s">
        <v>22</v>
      </c>
      <c r="E12" s="36">
        <v>1</v>
      </c>
      <c r="F12" s="36">
        <v>4</v>
      </c>
      <c r="G12" s="63">
        <v>7</v>
      </c>
      <c r="H12" s="48">
        <v>150</v>
      </c>
      <c r="I12" s="15">
        <f>(E12*G12)/(F12*H12)</f>
        <v>1.1666666666666667E-2</v>
      </c>
      <c r="J12" s="14">
        <f>(ROUNDUP($E12*$B$1/($F12*H12),0))</f>
        <v>0</v>
      </c>
      <c r="K12" s="167">
        <f>SUM(J12:J15)</f>
        <v>0</v>
      </c>
      <c r="L12" s="162">
        <f>N12*G12</f>
        <v>70</v>
      </c>
      <c r="M12" s="159" t="e">
        <f>L12/$B$1</f>
        <v>#DIV/0!</v>
      </c>
      <c r="N12" s="162">
        <f>SUMIFS('Tableau plaquette complet'!F:F,'Tableau plaquette complet'!G:G,"EMAG 2",'Tableau plaquette complet'!H:H,"OP 20",'Tableau plaquette complet'!J:J,"356x26 RPI",'Tableau plaquette complet'!B:B,"Z000 546 265")</f>
        <v>10</v>
      </c>
      <c r="O12" s="156">
        <f>-(K12-N12)</f>
        <v>10</v>
      </c>
    </row>
    <row r="13" spans="1:15" x14ac:dyDescent="0.25">
      <c r="A13" s="36" t="s">
        <v>137</v>
      </c>
      <c r="B13" s="36" t="s">
        <v>14</v>
      </c>
      <c r="C13" s="179"/>
      <c r="D13" s="36" t="s">
        <v>22</v>
      </c>
      <c r="E13" s="36">
        <v>1</v>
      </c>
      <c r="F13" s="36">
        <v>4</v>
      </c>
      <c r="G13" s="63">
        <v>7</v>
      </c>
      <c r="H13" s="48">
        <v>150</v>
      </c>
      <c r="I13" s="15">
        <f>(E13*G13)/(F13*H13)</f>
        <v>1.1666666666666667E-2</v>
      </c>
      <c r="J13" s="14">
        <f>(ROUNDUP($E13*$B$1/($F13*H13),0))</f>
        <v>0</v>
      </c>
      <c r="K13" s="169"/>
      <c r="L13" s="164"/>
      <c r="M13" s="161"/>
      <c r="N13" s="164"/>
      <c r="O13" s="158"/>
    </row>
    <row r="14" spans="1:15" x14ac:dyDescent="0.25">
      <c r="A14" s="36" t="s">
        <v>110</v>
      </c>
      <c r="B14" s="36" t="s">
        <v>14</v>
      </c>
      <c r="C14" s="178" t="s">
        <v>111</v>
      </c>
      <c r="D14" s="36" t="s">
        <v>12</v>
      </c>
      <c r="E14" s="36">
        <v>1</v>
      </c>
      <c r="F14" s="36">
        <v>2</v>
      </c>
      <c r="G14" s="63">
        <v>10.85</v>
      </c>
      <c r="H14" s="48">
        <v>150</v>
      </c>
      <c r="I14" s="15">
        <f>(E14*G14)/(F14*H14)</f>
        <v>3.6166666666666666E-2</v>
      </c>
      <c r="J14" s="14">
        <f>(ROUNDUP($E14*$B$1/($F14*H14),0))</f>
        <v>0</v>
      </c>
      <c r="K14" s="167">
        <f>SUM(J14:J15)</f>
        <v>0</v>
      </c>
      <c r="L14" s="162">
        <f>N14*G14</f>
        <v>0</v>
      </c>
      <c r="M14" s="159" t="e">
        <f>L14/$B$1</f>
        <v>#DIV/0!</v>
      </c>
      <c r="N14" s="162">
        <f>SUMIFS('Tableau plaquette complet'!F:F,'Tableau plaquette complet'!G:G,"EMAG 2",'Tableau plaquette complet'!H:H,"OP 20",'Tableau plaquette complet'!J:J,"356x26 RPI",'Tableau plaquette complet'!B:B,"Z000 544 318")</f>
        <v>0</v>
      </c>
      <c r="O14" s="156">
        <f>-(K14-N14)</f>
        <v>0</v>
      </c>
    </row>
    <row r="15" spans="1:15" x14ac:dyDescent="0.25">
      <c r="A15" s="36" t="s">
        <v>159</v>
      </c>
      <c r="B15" s="36" t="s">
        <v>14</v>
      </c>
      <c r="C15" s="179"/>
      <c r="D15" s="36" t="s">
        <v>12</v>
      </c>
      <c r="E15" s="36">
        <v>1</v>
      </c>
      <c r="F15" s="36">
        <v>2</v>
      </c>
      <c r="G15" s="63">
        <v>10.85</v>
      </c>
      <c r="H15" s="48">
        <v>300</v>
      </c>
      <c r="I15" s="15">
        <f>(E15*G15)/(F15*H15)</f>
        <v>1.8083333333333333E-2</v>
      </c>
      <c r="J15" s="14">
        <f>(ROUNDUP($E15*$B$1/($F15*H15),0))</f>
        <v>0</v>
      </c>
      <c r="K15" s="169"/>
      <c r="L15" s="164"/>
      <c r="M15" s="161"/>
      <c r="N15" s="164"/>
      <c r="O15" s="158"/>
    </row>
    <row r="16" spans="1:15" x14ac:dyDescent="0.25">
      <c r="A16" s="50" t="s">
        <v>138</v>
      </c>
      <c r="B16" s="50" t="s">
        <v>38</v>
      </c>
      <c r="C16" s="50" t="s">
        <v>48</v>
      </c>
      <c r="D16" s="50" t="s">
        <v>48</v>
      </c>
      <c r="E16" s="50">
        <v>1</v>
      </c>
      <c r="F16" s="50">
        <v>1</v>
      </c>
      <c r="G16" s="50">
        <v>45</v>
      </c>
      <c r="H16" s="50">
        <v>1500</v>
      </c>
      <c r="I16" s="15">
        <f t="shared" si="0"/>
        <v>0.03</v>
      </c>
      <c r="J16" s="14">
        <f>(ROUNDUP($E16*$B$1/($F16*H16),0))</f>
        <v>0</v>
      </c>
      <c r="K16" s="14">
        <f t="shared" ref="K16:K19" si="3">J16</f>
        <v>0</v>
      </c>
      <c r="L16" s="48">
        <f>N16*G16</f>
        <v>0</v>
      </c>
      <c r="M16" s="49" t="e">
        <f>L16/$B$1</f>
        <v>#DIV/0!</v>
      </c>
      <c r="N16" s="47">
        <f>ROUND('Tableau plaquette outil'!F21*B1/(B1+'Cout pièce E2 330x14'!B1),0)</f>
        <v>0</v>
      </c>
      <c r="O16" s="47">
        <f>-(K16-N16)</f>
        <v>0</v>
      </c>
    </row>
    <row r="17" spans="1:15" x14ac:dyDescent="0.25">
      <c r="A17" s="50" t="s">
        <v>138</v>
      </c>
      <c r="B17" s="50" t="s">
        <v>38</v>
      </c>
      <c r="C17" s="50" t="s">
        <v>50</v>
      </c>
      <c r="D17" s="50" t="s">
        <v>50</v>
      </c>
      <c r="E17" s="50">
        <v>2</v>
      </c>
      <c r="F17" s="50">
        <v>2</v>
      </c>
      <c r="G17" s="50">
        <v>12.18</v>
      </c>
      <c r="H17" s="50">
        <v>1500</v>
      </c>
      <c r="I17" s="15">
        <f t="shared" si="0"/>
        <v>8.1200000000000005E-3</v>
      </c>
      <c r="J17" s="14">
        <f>J16/2</f>
        <v>0</v>
      </c>
      <c r="K17" s="14">
        <f t="shared" si="3"/>
        <v>0</v>
      </c>
      <c r="L17" s="48">
        <f>N17*G17</f>
        <v>0</v>
      </c>
      <c r="M17" s="49" t="e">
        <f t="shared" ref="M17:M19" si="4">L17/$B$1</f>
        <v>#DIV/0!</v>
      </c>
      <c r="N17" s="47">
        <f>ROUND('Tableau plaquette outil'!F22*B1/(B1+'Cout pièce E2 330x14'!B1),0)</f>
        <v>0</v>
      </c>
      <c r="O17" s="47">
        <f t="shared" ref="O17:O19" si="5">-(K17-N17)</f>
        <v>0</v>
      </c>
    </row>
    <row r="18" spans="1:15" x14ac:dyDescent="0.25">
      <c r="A18" s="50" t="s">
        <v>141</v>
      </c>
      <c r="B18" s="50" t="s">
        <v>38</v>
      </c>
      <c r="C18" s="50" t="s">
        <v>53</v>
      </c>
      <c r="D18" s="50" t="s">
        <v>53</v>
      </c>
      <c r="E18" s="50">
        <v>1</v>
      </c>
      <c r="F18" s="50">
        <v>1</v>
      </c>
      <c r="G18" s="50">
        <v>52</v>
      </c>
      <c r="H18" s="50">
        <v>1500</v>
      </c>
      <c r="I18" s="15">
        <f t="shared" si="0"/>
        <v>3.4666666666666665E-2</v>
      </c>
      <c r="J18" s="14">
        <f t="shared" si="1"/>
        <v>0</v>
      </c>
      <c r="K18" s="14">
        <f t="shared" si="3"/>
        <v>0</v>
      </c>
      <c r="L18" s="48">
        <f t="shared" ref="L18:L19" si="6">N18*G18</f>
        <v>0</v>
      </c>
      <c r="M18" s="49" t="e">
        <f t="shared" si="4"/>
        <v>#DIV/0!</v>
      </c>
      <c r="N18" s="47">
        <f>'Tableau plaquette outil'!F25</f>
        <v>0</v>
      </c>
      <c r="O18" s="47">
        <f t="shared" si="5"/>
        <v>0</v>
      </c>
    </row>
    <row r="19" spans="1:15" x14ac:dyDescent="0.25">
      <c r="A19" s="50" t="s">
        <v>141</v>
      </c>
      <c r="B19" s="50" t="s">
        <v>38</v>
      </c>
      <c r="C19" s="50" t="s">
        <v>155</v>
      </c>
      <c r="D19" s="50" t="s">
        <v>155</v>
      </c>
      <c r="E19" s="50">
        <v>1</v>
      </c>
      <c r="F19" s="50">
        <v>3</v>
      </c>
      <c r="G19" s="50">
        <v>10.65</v>
      </c>
      <c r="H19" s="50">
        <v>1500</v>
      </c>
      <c r="I19" s="15">
        <f t="shared" si="0"/>
        <v>2.3666666666666667E-3</v>
      </c>
      <c r="J19" s="14">
        <f>J18*2/3</f>
        <v>0</v>
      </c>
      <c r="K19" s="14">
        <f t="shared" si="3"/>
        <v>0</v>
      </c>
      <c r="L19" s="48">
        <f t="shared" si="6"/>
        <v>0</v>
      </c>
      <c r="M19" s="49" t="e">
        <f t="shared" si="4"/>
        <v>#DIV/0!</v>
      </c>
      <c r="N19" s="47">
        <f>'Tableau plaquette outil'!F26</f>
        <v>0</v>
      </c>
      <c r="O19" s="47">
        <f t="shared" si="5"/>
        <v>0</v>
      </c>
    </row>
    <row r="20" spans="1:15" x14ac:dyDescent="0.25">
      <c r="A20" s="48" t="s">
        <v>131</v>
      </c>
      <c r="B20" s="48" t="s">
        <v>20</v>
      </c>
      <c r="C20" s="48"/>
      <c r="D20" s="48" t="s">
        <v>133</v>
      </c>
      <c r="E20" s="48">
        <v>1</v>
      </c>
      <c r="F20" s="48">
        <v>4</v>
      </c>
      <c r="G20" s="64">
        <v>3.68</v>
      </c>
      <c r="H20" s="48">
        <v>100</v>
      </c>
      <c r="I20" s="15">
        <f t="shared" si="0"/>
        <v>9.1999999999999998E-3</v>
      </c>
      <c r="J20" s="14">
        <f t="shared" si="1"/>
        <v>0</v>
      </c>
      <c r="K20" s="14">
        <f t="shared" ref="K20:K21" si="7">J20</f>
        <v>0</v>
      </c>
      <c r="L20" s="50">
        <f t="shared" ref="L20:L21" si="8">N20*G20</f>
        <v>0</v>
      </c>
      <c r="M20" s="53" t="e">
        <f t="shared" ref="M20:M21" si="9">L20/$B$1</f>
        <v>#DIV/0!</v>
      </c>
      <c r="N20" s="50">
        <f>SUMIFS('Tableau plaquette complet'!F:F,'Tableau plaquette complet'!G:G,"EMAG 2",'Tableau plaquette complet'!H:H,"OP 40",'Tableau plaquette complet'!J:J,"356x26 RPI",'Tableau plaquette complet'!B:B,"Z000 548 367")</f>
        <v>0</v>
      </c>
      <c r="O20" s="52">
        <f t="shared" ref="O20:O21" si="10">-(K20-N20)</f>
        <v>0</v>
      </c>
    </row>
    <row r="21" spans="1:15" x14ac:dyDescent="0.25">
      <c r="A21" s="48" t="s">
        <v>115</v>
      </c>
      <c r="B21" s="48" t="s">
        <v>20</v>
      </c>
      <c r="C21" s="147" t="s">
        <v>116</v>
      </c>
      <c r="D21" s="48" t="s">
        <v>17</v>
      </c>
      <c r="E21" s="48">
        <v>1</v>
      </c>
      <c r="F21" s="48">
        <v>8</v>
      </c>
      <c r="G21" s="64">
        <v>9.56</v>
      </c>
      <c r="H21" s="48">
        <v>50</v>
      </c>
      <c r="I21" s="15">
        <f t="shared" si="0"/>
        <v>2.3900000000000001E-2</v>
      </c>
      <c r="J21" s="14">
        <f t="shared" si="1"/>
        <v>0</v>
      </c>
      <c r="K21" s="167">
        <f t="shared" si="7"/>
        <v>0</v>
      </c>
      <c r="L21" s="162">
        <f t="shared" si="8"/>
        <v>0</v>
      </c>
      <c r="M21" s="159" t="e">
        <f t="shared" si="9"/>
        <v>#DIV/0!</v>
      </c>
      <c r="N21" s="162">
        <f>SUMIFS('Tableau plaquette complet'!F:F,'Tableau plaquette complet'!G:G,"EMAG 2",'Tableau plaquette complet'!H:H,"OP 40",'Tableau plaquette complet'!J:J,"356x26 RPI",'Tableau plaquette complet'!B:B,"Z000 513 527")</f>
        <v>0</v>
      </c>
      <c r="O21" s="156">
        <f t="shared" si="10"/>
        <v>0</v>
      </c>
    </row>
    <row r="22" spans="1:15" x14ac:dyDescent="0.25">
      <c r="A22" s="48" t="s">
        <v>117</v>
      </c>
      <c r="B22" s="48" t="s">
        <v>20</v>
      </c>
      <c r="C22" s="149"/>
      <c r="D22" s="48" t="s">
        <v>17</v>
      </c>
      <c r="E22" s="48">
        <v>1</v>
      </c>
      <c r="F22" s="48">
        <v>8</v>
      </c>
      <c r="G22" s="64">
        <v>9.56</v>
      </c>
      <c r="H22" s="48">
        <v>50</v>
      </c>
      <c r="I22" s="15">
        <f t="shared" si="0"/>
        <v>2.3900000000000001E-2</v>
      </c>
      <c r="J22" s="14">
        <f t="shared" si="1"/>
        <v>0</v>
      </c>
      <c r="K22" s="169"/>
      <c r="L22" s="164"/>
      <c r="M22" s="161"/>
      <c r="N22" s="164"/>
      <c r="O22" s="158"/>
    </row>
    <row r="23" spans="1:15" x14ac:dyDescent="0.25">
      <c r="A23" s="48" t="s">
        <v>118</v>
      </c>
      <c r="B23" s="48" t="s">
        <v>20</v>
      </c>
      <c r="C23" s="48" t="s">
        <v>119</v>
      </c>
      <c r="D23" s="48" t="s">
        <v>120</v>
      </c>
      <c r="E23" s="48">
        <v>1</v>
      </c>
      <c r="F23" s="48">
        <v>8</v>
      </c>
      <c r="G23" s="64">
        <v>10.97</v>
      </c>
      <c r="H23" s="48">
        <v>100</v>
      </c>
      <c r="I23" s="15">
        <f t="shared" si="0"/>
        <v>1.3712500000000001E-2</v>
      </c>
      <c r="J23" s="14">
        <f t="shared" si="1"/>
        <v>0</v>
      </c>
      <c r="K23" s="14">
        <f>J23</f>
        <v>0</v>
      </c>
      <c r="L23" s="50">
        <f>N23*G23</f>
        <v>0</v>
      </c>
      <c r="M23" s="53" t="e">
        <f>L23/$B$1</f>
        <v>#DIV/0!</v>
      </c>
      <c r="N23" s="50">
        <f>SUMIFS('Tableau plaquette complet'!F:F,'Tableau plaquette complet'!G:G,"EMAG 2",'Tableau plaquette complet'!H:H,"OP 40",'Tableau plaquette complet'!J:J,"356x26 RPI",'Tableau plaquette complet'!B:B,"Z000 455 182")</f>
        <v>0</v>
      </c>
      <c r="O23" s="52">
        <f>-(K23-N23)</f>
        <v>0</v>
      </c>
    </row>
    <row r="24" spans="1:15" ht="15.75" thickBot="1" x14ac:dyDescent="0.3">
      <c r="A24" s="48" t="s">
        <v>121</v>
      </c>
      <c r="B24" s="48" t="s">
        <v>20</v>
      </c>
      <c r="C24" s="48" t="s">
        <v>122</v>
      </c>
      <c r="D24" s="48" t="s">
        <v>35</v>
      </c>
      <c r="E24" s="48">
        <v>1</v>
      </c>
      <c r="F24" s="48">
        <v>6</v>
      </c>
      <c r="G24" s="64">
        <v>11.87</v>
      </c>
      <c r="H24" s="48">
        <v>100</v>
      </c>
      <c r="I24" s="15">
        <f t="shared" si="0"/>
        <v>1.9783333333333333E-2</v>
      </c>
      <c r="J24" s="14">
        <f t="shared" si="1"/>
        <v>0</v>
      </c>
      <c r="K24" s="14">
        <f>J24</f>
        <v>0</v>
      </c>
      <c r="L24" s="50">
        <f>N24*G24</f>
        <v>0</v>
      </c>
      <c r="M24" s="53" t="e">
        <f>L24/$B$1</f>
        <v>#DIV/0!</v>
      </c>
      <c r="N24" s="50">
        <f>SUMIFS('Tableau plaquette complet'!F:F,'Tableau plaquette complet'!G:G,"EMAG 2",'Tableau plaquette complet'!H:H,"OP 40",'Tableau plaquette complet'!J:J,"356x26 RPI",'Tableau plaquette complet'!B:B,"Z000 519 285")</f>
        <v>0</v>
      </c>
      <c r="O24" s="52">
        <f>-(K24-N24)</f>
        <v>0</v>
      </c>
    </row>
    <row r="25" spans="1:15" ht="15.75" thickBot="1" x14ac:dyDescent="0.3">
      <c r="I25" s="16">
        <f>SUM(I4:I23)</f>
        <v>0.30181583333333334</v>
      </c>
      <c r="J25" s="17">
        <f>SUM(J4:J23)</f>
        <v>0</v>
      </c>
      <c r="M25" s="41" t="e">
        <f>SUM(M4:M24)</f>
        <v>#DIV/0!</v>
      </c>
      <c r="N25" s="42">
        <f>SUM(N3:N24)</f>
        <v>11</v>
      </c>
    </row>
    <row r="26" spans="1:15" x14ac:dyDescent="0.25">
      <c r="I26" s="30">
        <f>B1*I25</f>
        <v>0</v>
      </c>
      <c r="M26" s="30" t="e">
        <f>B1*M25</f>
        <v>#DIV/0!</v>
      </c>
      <c r="N26" s="4"/>
    </row>
    <row r="28" spans="1:15" x14ac:dyDescent="0.25">
      <c r="H28" t="s">
        <v>124</v>
      </c>
      <c r="I28" t="s">
        <v>93</v>
      </c>
    </row>
    <row r="29" spans="1:15" x14ac:dyDescent="0.25">
      <c r="H29" t="s">
        <v>46</v>
      </c>
      <c r="I29" s="40">
        <f>SUMIF($D$4:$D$24,TRIM(H29),$J$4:$J$24)</f>
        <v>0</v>
      </c>
    </row>
    <row r="30" spans="1:15" x14ac:dyDescent="0.25">
      <c r="H30" t="s">
        <v>198</v>
      </c>
      <c r="I30" s="40">
        <f>SUMIF($D$4:$D$24,TRIM(H30),$J$4:$J$24)</f>
        <v>0</v>
      </c>
    </row>
    <row r="31" spans="1:15" x14ac:dyDescent="0.25">
      <c r="H31" t="s">
        <v>22</v>
      </c>
      <c r="I31" s="40">
        <f>SUMIF($D$4:$D$24,TRIM(H31),$J$4:$J$24)</f>
        <v>0</v>
      </c>
    </row>
    <row r="32" spans="1:15" x14ac:dyDescent="0.25">
      <c r="H32" t="s">
        <v>12</v>
      </c>
      <c r="I32" s="40">
        <f>SUMIF($D$4:$D$24,TRIM(H32),$J$4:$J$24)</f>
        <v>0</v>
      </c>
    </row>
    <row r="33" spans="8:9" x14ac:dyDescent="0.25">
      <c r="H33" t="s">
        <v>133</v>
      </c>
      <c r="I33" s="40">
        <f>SUMIF($D$4:$D$24,TRIM(H33),$J$4:$J$24)</f>
        <v>0</v>
      </c>
    </row>
    <row r="34" spans="8:9" x14ac:dyDescent="0.25">
      <c r="H34" t="s">
        <v>120</v>
      </c>
      <c r="I34" s="40">
        <f>SUMIF($D$4:$D$24,TRIM(H34),$J$4:$J$24)</f>
        <v>0</v>
      </c>
    </row>
    <row r="35" spans="8:9" x14ac:dyDescent="0.25">
      <c r="H35" t="s">
        <v>53</v>
      </c>
      <c r="I35" s="40">
        <f>SUMIF($D$4:$D$24,TRIM(H35),$J$4:$J$24)</f>
        <v>0</v>
      </c>
    </row>
    <row r="36" spans="8:9" x14ac:dyDescent="0.25">
      <c r="H36" t="s">
        <v>48</v>
      </c>
      <c r="I36" s="40">
        <f>SUMIF($D$4:$D$24,TRIM(H36),$J$4:$J$24)</f>
        <v>0</v>
      </c>
    </row>
    <row r="37" spans="8:9" x14ac:dyDescent="0.25">
      <c r="H37" t="s">
        <v>35</v>
      </c>
      <c r="I37" s="40">
        <f>SUMIF($D$4:$D$24,TRIM(H37),$J$4:$J$24)</f>
        <v>0</v>
      </c>
    </row>
    <row r="38" spans="8:9" x14ac:dyDescent="0.25">
      <c r="H38" t="s">
        <v>50</v>
      </c>
      <c r="I38" s="40">
        <f>SUMIF($D$4:$D$24,TRIM(H38),$J$4:$J$24)</f>
        <v>0</v>
      </c>
    </row>
    <row r="39" spans="8:9" x14ac:dyDescent="0.25">
      <c r="H39" t="s">
        <v>52</v>
      </c>
      <c r="I39" s="40">
        <f>SUMIF($D$4:$D$24,TRIM(H39),$J$4:$J$24)</f>
        <v>0</v>
      </c>
    </row>
    <row r="40" spans="8:9" x14ac:dyDescent="0.25">
      <c r="H40" t="s">
        <v>17</v>
      </c>
      <c r="I40" s="40">
        <f>SUMIF($D$4:$D$24,TRIM(H40),$J$4:$J$24)</f>
        <v>0</v>
      </c>
    </row>
    <row r="41" spans="8:9" x14ac:dyDescent="0.25">
      <c r="H41" t="s">
        <v>36</v>
      </c>
      <c r="I41" s="40">
        <f>SUMIF($D$4:$D$24,TRIM(H41),$J$4:$J$24)</f>
        <v>0</v>
      </c>
    </row>
  </sheetData>
  <mergeCells count="36">
    <mergeCell ref="C10:C11"/>
    <mergeCell ref="C14:C15"/>
    <mergeCell ref="K14:K15"/>
    <mergeCell ref="O14:O15"/>
    <mergeCell ref="N14:N15"/>
    <mergeCell ref="M14:M15"/>
    <mergeCell ref="L14:L15"/>
    <mergeCell ref="O12:O13"/>
    <mergeCell ref="N12:N13"/>
    <mergeCell ref="M12:M13"/>
    <mergeCell ref="L12:L13"/>
    <mergeCell ref="K12:K13"/>
    <mergeCell ref="O10:O11"/>
    <mergeCell ref="N10:N11"/>
    <mergeCell ref="M10:M11"/>
    <mergeCell ref="L10:L11"/>
    <mergeCell ref="C21:C22"/>
    <mergeCell ref="K21:K22"/>
    <mergeCell ref="L21:L22"/>
    <mergeCell ref="M21:M22"/>
    <mergeCell ref="N21:N22"/>
    <mergeCell ref="C12:C13"/>
    <mergeCell ref="C4:C7"/>
    <mergeCell ref="C8:C9"/>
    <mergeCell ref="K4:K7"/>
    <mergeCell ref="L4:L7"/>
    <mergeCell ref="M4:M7"/>
    <mergeCell ref="N4:N7"/>
    <mergeCell ref="O4:O7"/>
    <mergeCell ref="O21:O22"/>
    <mergeCell ref="K8:K9"/>
    <mergeCell ref="L8:L9"/>
    <mergeCell ref="M8:M9"/>
    <mergeCell ref="N8:N9"/>
    <mergeCell ref="O8:O9"/>
    <mergeCell ref="K10:K11"/>
  </mergeCells>
  <phoneticPr fontId="10" type="noConversion"/>
  <conditionalFormatting sqref="M25">
    <cfRule type="cellIs" dxfId="33" priority="1" operator="greaterThan">
      <formula>$I$25</formula>
    </cfRule>
    <cfRule type="cellIs" dxfId="32" priority="2" operator="lessThanOrEqual">
      <formula>$I$25</formula>
    </cfRule>
  </conditionalFormatting>
  <conditionalFormatting sqref="N25">
    <cfRule type="cellIs" dxfId="31" priority="3" operator="lessThanOrEqual">
      <formula>$J$25</formula>
    </cfRule>
    <cfRule type="cellIs" dxfId="30" priority="4" operator="greaterThan">
      <formula>$J$25</formula>
    </cfRule>
  </conditionalFormatting>
  <dataValidations disablePrompts="1" count="2">
    <dataValidation type="list" allowBlank="1" showInputMessage="1" showErrorMessage="1" sqref="C4:C7" xr:uid="{00000000-0002-0000-0D00-000000000000}">
      <formula1>"CNMX120716T03030 SL506, CNGX 120716 S02020 CBN387"</formula1>
    </dataValidation>
    <dataValidation type="list" allowBlank="1" showInputMessage="1" showErrorMessage="1" sqref="C8:C9" xr:uid="{00000000-0002-0000-0D00-000001000000}">
      <formula1>"SNMX120716T03030 SL506, SNGX 120716 S02020 CBN387"</formula1>
    </dataValidation>
  </dataValidations>
  <pageMargins left="0.7" right="0.7" top="0.75" bottom="0.75" header="0.3" footer="0.3"/>
  <pageSetup orientation="portrait" r:id="rId1"/>
  <ignoredErrors>
    <ignoredError sqref="J17 J19" formula="1"/>
  </ignoredErrors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FFFF00"/>
  </sheetPr>
  <dimension ref="A1:O32"/>
  <sheetViews>
    <sheetView zoomScale="71" workbookViewId="0">
      <selection activeCell="B2" sqref="B2"/>
    </sheetView>
  </sheetViews>
  <sheetFormatPr baseColWidth="10" defaultColWidth="11.42578125" defaultRowHeight="15" x14ac:dyDescent="0.25"/>
  <cols>
    <col min="3" max="3" width="31.140625" bestFit="1" customWidth="1"/>
    <col min="4" max="4" width="11.8554687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0</v>
      </c>
      <c r="O1" s="22"/>
    </row>
    <row r="2" spans="1:15" x14ac:dyDescent="0.25">
      <c r="C2" s="23" t="s">
        <v>160</v>
      </c>
      <c r="E2" s="23"/>
      <c r="G2" s="24"/>
      <c r="O2" s="23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55" t="s">
        <v>128</v>
      </c>
      <c r="B4" s="55" t="s">
        <v>39</v>
      </c>
      <c r="C4" s="55" t="s">
        <v>104</v>
      </c>
      <c r="D4" s="55" t="s">
        <v>23</v>
      </c>
      <c r="E4" s="55">
        <v>1</v>
      </c>
      <c r="F4" s="55">
        <v>8</v>
      </c>
      <c r="G4" s="56">
        <v>7.12</v>
      </c>
      <c r="H4" s="25">
        <v>150</v>
      </c>
      <c r="I4" s="26">
        <f t="shared" ref="I4:I18" si="0">(E4*G4)/(F4*H4)</f>
        <v>5.933333333333333E-3</v>
      </c>
      <c r="J4" s="27">
        <f t="shared" ref="J4:J18" si="1">(ROUNDUP($E4*$B$1/($F4*H4),0))</f>
        <v>0</v>
      </c>
      <c r="K4" s="167">
        <f>SUM(J4:J5)</f>
        <v>0</v>
      </c>
      <c r="L4" s="195">
        <f>N4*G4</f>
        <v>0</v>
      </c>
      <c r="M4" s="197" t="e">
        <f>L4/$B$1</f>
        <v>#DIV/0!</v>
      </c>
      <c r="N4" s="147">
        <f>SUMIFS('Tableau plaquette complet'!F:F,'Tableau plaquette complet'!G:G,"EMAG 3",'Tableau plaquette complet'!H:H,"OP 10",'Tableau plaquette complet'!J:J,"290x12",'Tableau plaquette complet'!B:B,"Z000 546 266")</f>
        <v>0</v>
      </c>
      <c r="O4" s="153">
        <f>-(K4-N4)</f>
        <v>0</v>
      </c>
    </row>
    <row r="5" spans="1:15" x14ac:dyDescent="0.25">
      <c r="A5" s="55" t="s">
        <v>130</v>
      </c>
      <c r="B5" s="55" t="s">
        <v>39</v>
      </c>
      <c r="C5" s="55" t="s">
        <v>104</v>
      </c>
      <c r="D5" s="55" t="s">
        <v>23</v>
      </c>
      <c r="E5" s="55">
        <v>1</v>
      </c>
      <c r="F5" s="55">
        <v>8</v>
      </c>
      <c r="G5" s="56">
        <v>7.12</v>
      </c>
      <c r="H5" s="25">
        <v>150</v>
      </c>
      <c r="I5" s="26">
        <f>(E5*G5)/(F5*H5)</f>
        <v>5.933333333333333E-3</v>
      </c>
      <c r="J5" s="27">
        <f>(ROUNDUP($E5*$B$1/($F5*H5),0))</f>
        <v>0</v>
      </c>
      <c r="K5" s="169"/>
      <c r="L5" s="196"/>
      <c r="M5" s="198"/>
      <c r="N5" s="149"/>
      <c r="O5" s="155"/>
    </row>
    <row r="6" spans="1:15" x14ac:dyDescent="0.25">
      <c r="A6" s="55" t="s">
        <v>126</v>
      </c>
      <c r="B6" s="55" t="s">
        <v>39</v>
      </c>
      <c r="C6" s="55" t="s">
        <v>100</v>
      </c>
      <c r="D6" s="55" t="s">
        <v>22</v>
      </c>
      <c r="E6" s="55">
        <v>1</v>
      </c>
      <c r="F6" s="55">
        <v>4</v>
      </c>
      <c r="G6" s="56">
        <v>7</v>
      </c>
      <c r="H6" s="25">
        <v>150</v>
      </c>
      <c r="I6" s="26">
        <f t="shared" si="0"/>
        <v>1.1666666666666667E-2</v>
      </c>
      <c r="J6" s="27">
        <f t="shared" si="1"/>
        <v>0</v>
      </c>
      <c r="K6" s="167">
        <f>SUM(J6:J9)</f>
        <v>0</v>
      </c>
      <c r="L6" s="195">
        <f>N6*G6</f>
        <v>0</v>
      </c>
      <c r="M6" s="197" t="e">
        <f>L6/$B$1</f>
        <v>#DIV/0!</v>
      </c>
      <c r="N6" s="147">
        <f>SUMIFS('Tableau plaquette complet'!F:F,'Tableau plaquette complet'!G:G,"EMAG 3",'Tableau plaquette complet'!H:H,"OP 10",'Tableau plaquette complet'!J:J,"290x12",'Tableau plaquette complet'!B:B,"Z000 546 265")</f>
        <v>0</v>
      </c>
      <c r="O6" s="184">
        <f>-(K6-N6)</f>
        <v>0</v>
      </c>
    </row>
    <row r="7" spans="1:15" x14ac:dyDescent="0.25">
      <c r="A7" s="55" t="s">
        <v>101</v>
      </c>
      <c r="B7" s="55" t="s">
        <v>39</v>
      </c>
      <c r="C7" s="55" t="s">
        <v>100</v>
      </c>
      <c r="D7" s="55" t="s">
        <v>22</v>
      </c>
      <c r="E7" s="55">
        <v>1</v>
      </c>
      <c r="F7" s="55">
        <v>4</v>
      </c>
      <c r="G7" s="56">
        <v>7</v>
      </c>
      <c r="H7" s="25">
        <v>75</v>
      </c>
      <c r="I7" s="26">
        <f t="shared" si="0"/>
        <v>2.3333333333333334E-2</v>
      </c>
      <c r="J7" s="27">
        <f t="shared" si="1"/>
        <v>0</v>
      </c>
      <c r="K7" s="168"/>
      <c r="L7" s="199"/>
      <c r="M7" s="200"/>
      <c r="N7" s="148"/>
      <c r="O7" s="185"/>
    </row>
    <row r="8" spans="1:15" x14ac:dyDescent="0.25">
      <c r="A8" s="55" t="s">
        <v>102</v>
      </c>
      <c r="B8" s="55" t="s">
        <v>39</v>
      </c>
      <c r="C8" s="55" t="s">
        <v>100</v>
      </c>
      <c r="D8" s="55" t="s">
        <v>22</v>
      </c>
      <c r="E8" s="55">
        <v>1</v>
      </c>
      <c r="F8" s="55">
        <v>4</v>
      </c>
      <c r="G8" s="56">
        <v>7</v>
      </c>
      <c r="H8" s="25">
        <v>75</v>
      </c>
      <c r="I8" s="26">
        <f t="shared" si="0"/>
        <v>2.3333333333333334E-2</v>
      </c>
      <c r="J8" s="27">
        <f t="shared" si="1"/>
        <v>0</v>
      </c>
      <c r="K8" s="168"/>
      <c r="L8" s="199"/>
      <c r="M8" s="200"/>
      <c r="N8" s="148"/>
      <c r="O8" s="185"/>
    </row>
    <row r="9" spans="1:15" x14ac:dyDescent="0.25">
      <c r="A9" s="55" t="s">
        <v>146</v>
      </c>
      <c r="B9" s="55" t="s">
        <v>39</v>
      </c>
      <c r="C9" s="55" t="s">
        <v>100</v>
      </c>
      <c r="D9" s="55" t="s">
        <v>22</v>
      </c>
      <c r="E9" s="55">
        <v>1</v>
      </c>
      <c r="F9" s="55">
        <v>4</v>
      </c>
      <c r="G9" s="56">
        <v>7</v>
      </c>
      <c r="H9" s="25">
        <v>150</v>
      </c>
      <c r="I9" s="26">
        <f t="shared" si="0"/>
        <v>1.1666666666666667E-2</v>
      </c>
      <c r="J9" s="27">
        <f t="shared" si="1"/>
        <v>0</v>
      </c>
      <c r="K9" s="169"/>
      <c r="L9" s="196"/>
      <c r="M9" s="198"/>
      <c r="N9" s="149"/>
      <c r="O9" s="186"/>
    </row>
    <row r="10" spans="1:15" x14ac:dyDescent="0.25">
      <c r="A10" s="61" t="s">
        <v>114</v>
      </c>
      <c r="B10" s="61" t="s">
        <v>14</v>
      </c>
      <c r="C10" s="61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28">
        <v>150</v>
      </c>
      <c r="I10" s="26">
        <f t="shared" si="0"/>
        <v>5.933333333333333E-3</v>
      </c>
      <c r="J10" s="27">
        <f t="shared" si="1"/>
        <v>0</v>
      </c>
      <c r="K10" s="14">
        <f>J10</f>
        <v>0</v>
      </c>
      <c r="L10" s="58">
        <f>N10*G10</f>
        <v>0</v>
      </c>
      <c r="M10" s="59" t="e">
        <f>L10/$B$1</f>
        <v>#DIV/0!</v>
      </c>
      <c r="N10" s="60">
        <f>SUMIFS('Tableau plaquette complet'!F:F,'Tableau plaquette complet'!G:G,"EMAG 3",'Tableau plaquette complet'!H:H,"OP 20",'Tableau plaquette complet'!J:J,"290x12",'Tableau plaquette complet'!B:B,"Z000 546 266")</f>
        <v>0</v>
      </c>
      <c r="O10" s="57">
        <f>-(K10-N10)</f>
        <v>0</v>
      </c>
    </row>
    <row r="11" spans="1:15" x14ac:dyDescent="0.25">
      <c r="A11" s="61" t="s">
        <v>106</v>
      </c>
      <c r="B11" s="61" t="s">
        <v>14</v>
      </c>
      <c r="C11" s="61" t="s">
        <v>100</v>
      </c>
      <c r="D11" s="61" t="s">
        <v>22</v>
      </c>
      <c r="E11" s="61">
        <v>1</v>
      </c>
      <c r="F11" s="61">
        <v>4</v>
      </c>
      <c r="G11" s="68">
        <v>7</v>
      </c>
      <c r="H11" s="28">
        <v>150</v>
      </c>
      <c r="I11" s="69">
        <f t="shared" si="0"/>
        <v>1.1666666666666667E-2</v>
      </c>
      <c r="J11" s="54">
        <f t="shared" si="1"/>
        <v>0</v>
      </c>
      <c r="K11" s="167">
        <f>SUM(J11:J12)</f>
        <v>0</v>
      </c>
      <c r="L11" s="191">
        <f>N11*G11</f>
        <v>0</v>
      </c>
      <c r="M11" s="193" t="e">
        <f>L11/$B$1</f>
        <v>#DIV/0!</v>
      </c>
      <c r="N11" s="187">
        <f>SUMIFS('Tableau plaquette complet'!F:F,'Tableau plaquette complet'!G:G,"EMAG 3",'Tableau plaquette complet'!H:H,"OP 20",'Tableau plaquette complet'!J:J,"290x12",'Tableau plaquette complet'!B:B,"Z000 546 265")</f>
        <v>0</v>
      </c>
      <c r="O11" s="189">
        <f>-(K11-N11)</f>
        <v>0</v>
      </c>
    </row>
    <row r="12" spans="1:15" x14ac:dyDescent="0.25">
      <c r="A12" s="61" t="s">
        <v>107</v>
      </c>
      <c r="B12" s="61" t="s">
        <v>14</v>
      </c>
      <c r="C12" s="61" t="s">
        <v>100</v>
      </c>
      <c r="D12" s="61" t="s">
        <v>22</v>
      </c>
      <c r="E12" s="61">
        <v>1</v>
      </c>
      <c r="F12" s="61">
        <v>4</v>
      </c>
      <c r="G12" s="68">
        <v>7</v>
      </c>
      <c r="H12" s="28">
        <v>150</v>
      </c>
      <c r="I12" s="69">
        <f t="shared" si="0"/>
        <v>1.1666666666666667E-2</v>
      </c>
      <c r="J12" s="54">
        <f t="shared" si="1"/>
        <v>0</v>
      </c>
      <c r="K12" s="169"/>
      <c r="L12" s="192"/>
      <c r="M12" s="194"/>
      <c r="N12" s="188"/>
      <c r="O12" s="190"/>
    </row>
    <row r="13" spans="1:15" x14ac:dyDescent="0.25">
      <c r="A13" s="61" t="s">
        <v>108</v>
      </c>
      <c r="B13" s="61" t="s">
        <v>14</v>
      </c>
      <c r="C13" s="61" t="s">
        <v>111</v>
      </c>
      <c r="D13" s="61" t="s">
        <v>25</v>
      </c>
      <c r="E13" s="61">
        <v>1</v>
      </c>
      <c r="F13" s="61">
        <v>2</v>
      </c>
      <c r="G13" s="68">
        <v>10.85</v>
      </c>
      <c r="H13" s="28">
        <v>150</v>
      </c>
      <c r="I13" s="26">
        <f t="shared" si="0"/>
        <v>3.6166666666666666E-2</v>
      </c>
      <c r="J13" s="27">
        <f t="shared" si="1"/>
        <v>0</v>
      </c>
      <c r="K13" s="14">
        <f>J13</f>
        <v>0</v>
      </c>
      <c r="L13" s="58">
        <f>N13*G13</f>
        <v>0</v>
      </c>
      <c r="M13" s="59" t="e">
        <f>L13/$B$1</f>
        <v>#DIV/0!</v>
      </c>
      <c r="N13" s="60">
        <f>SUMIFS('Tableau plaquette complet'!F:F,'Tableau plaquette complet'!G:G,"EMAG 3",'Tableau plaquette complet'!H:H,"OP 20",'Tableau plaquette complet'!J:J,"290x12",'Tableau plaquette complet'!B:B,"Z000 522 436")</f>
        <v>0</v>
      </c>
      <c r="O13" s="57">
        <f>-(K13-N13)</f>
        <v>0</v>
      </c>
    </row>
    <row r="14" spans="1:15" x14ac:dyDescent="0.25">
      <c r="A14" s="55" t="s">
        <v>147</v>
      </c>
      <c r="B14" s="55" t="s">
        <v>20</v>
      </c>
      <c r="C14" s="55" t="s">
        <v>148</v>
      </c>
      <c r="D14" s="162" t="s">
        <v>36</v>
      </c>
      <c r="E14" s="55">
        <v>1</v>
      </c>
      <c r="F14" s="55">
        <v>8</v>
      </c>
      <c r="G14" s="56">
        <v>8.6999999999999993</v>
      </c>
      <c r="H14" s="28">
        <v>50</v>
      </c>
      <c r="I14" s="26">
        <f t="shared" si="0"/>
        <v>2.1749999999999999E-2</v>
      </c>
      <c r="J14" s="27">
        <f t="shared" si="1"/>
        <v>0</v>
      </c>
      <c r="K14" s="167">
        <f>SUM(J14:J15)</f>
        <v>0</v>
      </c>
      <c r="L14" s="182">
        <f>N14*G14</f>
        <v>0</v>
      </c>
      <c r="M14" s="180" t="e">
        <f>L14/$B$1</f>
        <v>#DIV/0!</v>
      </c>
      <c r="N14" s="178">
        <f>SUMIFS('Tableau plaquette complet'!F:F,'Tableau plaquette complet'!G:G,"EMAG 3",'Tableau plaquette complet'!H:H,"OP 40",'Tableau plaquette complet'!J:J,"290x12",'Tableau plaquette complet'!B:B,"Z000 539 100")</f>
        <v>0</v>
      </c>
      <c r="O14" s="176">
        <f>-(K14-N14)</f>
        <v>0</v>
      </c>
    </row>
    <row r="15" spans="1:15" x14ac:dyDescent="0.25">
      <c r="A15" s="55" t="s">
        <v>149</v>
      </c>
      <c r="B15" s="55" t="s">
        <v>20</v>
      </c>
      <c r="C15" s="55" t="s">
        <v>148</v>
      </c>
      <c r="D15" s="164"/>
      <c r="E15" s="55">
        <v>1</v>
      </c>
      <c r="F15" s="55">
        <v>8</v>
      </c>
      <c r="G15" s="56">
        <v>8.6999999999999993</v>
      </c>
      <c r="H15" s="28">
        <v>50</v>
      </c>
      <c r="I15" s="26">
        <f t="shared" si="0"/>
        <v>2.1749999999999999E-2</v>
      </c>
      <c r="J15" s="27">
        <f t="shared" si="1"/>
        <v>0</v>
      </c>
      <c r="K15" s="169"/>
      <c r="L15" s="183"/>
      <c r="M15" s="181"/>
      <c r="N15" s="179"/>
      <c r="O15" s="177"/>
    </row>
    <row r="16" spans="1:15" x14ac:dyDescent="0.25">
      <c r="A16" s="55" t="s">
        <v>121</v>
      </c>
      <c r="B16" s="55" t="s">
        <v>20</v>
      </c>
      <c r="C16" s="55" t="s">
        <v>122</v>
      </c>
      <c r="D16" s="55" t="s">
        <v>35</v>
      </c>
      <c r="E16" s="55">
        <v>1</v>
      </c>
      <c r="F16" s="55">
        <v>6</v>
      </c>
      <c r="G16" s="56">
        <v>11.87</v>
      </c>
      <c r="H16" s="28">
        <v>100</v>
      </c>
      <c r="I16" s="26">
        <f t="shared" si="0"/>
        <v>1.9783333333333333E-2</v>
      </c>
      <c r="J16" s="27">
        <f t="shared" si="1"/>
        <v>0</v>
      </c>
      <c r="K16" s="14">
        <f>J16</f>
        <v>0</v>
      </c>
      <c r="L16" s="31">
        <f t="shared" ref="L16:L18" si="2">N16*G16</f>
        <v>0</v>
      </c>
      <c r="M16" s="49" t="e">
        <f t="shared" ref="M16:M18" si="3">L16/$B$1</f>
        <v>#DIV/0!</v>
      </c>
      <c r="N16" s="48">
        <f>SUMIFS('Tableau plaquette complet'!F:F,'Tableau plaquette complet'!G:G,"EMAG 3",'Tableau plaquette complet'!H:H,"OP 40",'Tableau plaquette complet'!J:J,"290x12",'Tableau plaquette complet'!B:B,"Z000 519 285")</f>
        <v>0</v>
      </c>
      <c r="O16" s="47">
        <f>-(K16-N16)</f>
        <v>0</v>
      </c>
    </row>
    <row r="17" spans="1:15" x14ac:dyDescent="0.25">
      <c r="A17" s="55" t="s">
        <v>118</v>
      </c>
      <c r="B17" s="55" t="s">
        <v>20</v>
      </c>
      <c r="C17" s="55" t="s">
        <v>119</v>
      </c>
      <c r="D17" s="55" t="s">
        <v>120</v>
      </c>
      <c r="E17" s="55">
        <v>1</v>
      </c>
      <c r="F17" s="55">
        <v>8</v>
      </c>
      <c r="G17" s="56">
        <v>10.97</v>
      </c>
      <c r="H17" s="28">
        <v>200</v>
      </c>
      <c r="I17" s="26">
        <f t="shared" si="0"/>
        <v>6.8562500000000004E-3</v>
      </c>
      <c r="J17" s="27">
        <f t="shared" si="1"/>
        <v>0</v>
      </c>
      <c r="K17" s="14">
        <f t="shared" ref="K17:K18" si="4">J17</f>
        <v>0</v>
      </c>
      <c r="L17" s="31">
        <f t="shared" si="2"/>
        <v>0</v>
      </c>
      <c r="M17" s="49" t="e">
        <f t="shared" si="3"/>
        <v>#DIV/0!</v>
      </c>
      <c r="N17" s="48">
        <f>SUMIFS('Tableau plaquette complet'!F:F,'Tableau plaquette complet'!G:G,"EMAG 3",'Tableau plaquette complet'!H:H,"OP 40",'Tableau plaquette complet'!J:J,"290x12",'Tableau plaquette complet'!B:B,"Z000 455 182")</f>
        <v>0</v>
      </c>
      <c r="O17" s="47">
        <f t="shared" ref="O17:O18" si="5">-(K17-N17)</f>
        <v>0</v>
      </c>
    </row>
    <row r="18" spans="1:15" ht="15.75" thickBot="1" x14ac:dyDescent="0.3">
      <c r="A18" s="55" t="s">
        <v>150</v>
      </c>
      <c r="B18" s="55" t="s">
        <v>20</v>
      </c>
      <c r="C18" s="55" t="s">
        <v>156</v>
      </c>
      <c r="D18" s="55" t="s">
        <v>41</v>
      </c>
      <c r="E18" s="55">
        <v>1</v>
      </c>
      <c r="F18" s="55">
        <v>4</v>
      </c>
      <c r="G18" s="56">
        <v>7</v>
      </c>
      <c r="H18" s="28">
        <v>100</v>
      </c>
      <c r="I18" s="26">
        <f t="shared" si="0"/>
        <v>1.7500000000000002E-2</v>
      </c>
      <c r="J18" s="27">
        <f t="shared" si="1"/>
        <v>0</v>
      </c>
      <c r="K18" s="14">
        <f t="shared" si="4"/>
        <v>0</v>
      </c>
      <c r="L18" s="31">
        <f t="shared" si="2"/>
        <v>0</v>
      </c>
      <c r="M18" s="49" t="e">
        <f t="shared" si="3"/>
        <v>#DIV/0!</v>
      </c>
      <c r="N18" s="48">
        <f>SUMIFS('Tableau plaquette complet'!F:F,'Tableau plaquette complet'!G:G,"EMAG 3",'Tableau plaquette complet'!H:H,"OP 40",'Tableau plaquette complet'!J:J,"290x12",'Tableau plaquette complet'!B:B,"Z000 517 182")</f>
        <v>0</v>
      </c>
      <c r="O18" s="47">
        <f t="shared" si="5"/>
        <v>0</v>
      </c>
    </row>
    <row r="19" spans="1:15" ht="15.75" thickBot="1" x14ac:dyDescent="0.3">
      <c r="I19" s="16">
        <f>SUM(I4:I18)</f>
        <v>0.23493958333333337</v>
      </c>
      <c r="J19" s="17">
        <f>SUM(J4:J18)</f>
        <v>0</v>
      </c>
      <c r="K19" s="29"/>
      <c r="L19" s="29"/>
      <c r="M19" s="41" t="e">
        <f>SUM(M4:M18)</f>
        <v>#DIV/0!</v>
      </c>
      <c r="N19" s="42">
        <f>SUM(N4:N18)</f>
        <v>0</v>
      </c>
    </row>
    <row r="20" spans="1:15" x14ac:dyDescent="0.25">
      <c r="I20" s="19">
        <f>B1*I19</f>
        <v>0</v>
      </c>
      <c r="M20" s="30" t="e">
        <f>B1*M19</f>
        <v>#DIV/0!</v>
      </c>
    </row>
    <row r="22" spans="1:15" x14ac:dyDescent="0.25">
      <c r="H22" t="s">
        <v>124</v>
      </c>
      <c r="I22" t="s">
        <v>93</v>
      </c>
    </row>
    <row r="23" spans="1:15" x14ac:dyDescent="0.25">
      <c r="H23" t="s">
        <v>36</v>
      </c>
      <c r="I23">
        <f>SUMIF($D$4:$D$18,TRIM(H23),$J$4:$J$18)</f>
        <v>0</v>
      </c>
    </row>
    <row r="24" spans="1:15" x14ac:dyDescent="0.25">
      <c r="H24" t="s">
        <v>25</v>
      </c>
      <c r="I24">
        <f t="shared" ref="I24:I32" si="6">SUMIF($D$4:$D$18,TRIM(H24),$J$4:$J$18)</f>
        <v>0</v>
      </c>
    </row>
    <row r="25" spans="1:15" x14ac:dyDescent="0.25">
      <c r="H25" t="s">
        <v>22</v>
      </c>
      <c r="I25">
        <f t="shared" si="6"/>
        <v>0</v>
      </c>
    </row>
    <row r="26" spans="1:15" x14ac:dyDescent="0.25">
      <c r="H26" t="s">
        <v>12</v>
      </c>
      <c r="I26">
        <f t="shared" si="6"/>
        <v>0</v>
      </c>
    </row>
    <row r="27" spans="1:15" x14ac:dyDescent="0.25">
      <c r="H27" t="s">
        <v>23</v>
      </c>
      <c r="I27">
        <f t="shared" si="6"/>
        <v>0</v>
      </c>
    </row>
    <row r="28" spans="1:15" x14ac:dyDescent="0.25">
      <c r="H28" t="s">
        <v>120</v>
      </c>
      <c r="I28">
        <f t="shared" si="6"/>
        <v>0</v>
      </c>
    </row>
    <row r="29" spans="1:15" x14ac:dyDescent="0.25">
      <c r="H29" t="s">
        <v>17</v>
      </c>
      <c r="I29">
        <f t="shared" si="6"/>
        <v>0</v>
      </c>
    </row>
    <row r="30" spans="1:15" x14ac:dyDescent="0.25">
      <c r="H30" t="s">
        <v>35</v>
      </c>
      <c r="I30">
        <f t="shared" si="6"/>
        <v>0</v>
      </c>
    </row>
    <row r="31" spans="1:15" x14ac:dyDescent="0.25">
      <c r="H31" t="s">
        <v>41</v>
      </c>
      <c r="I31">
        <f t="shared" si="6"/>
        <v>0</v>
      </c>
    </row>
    <row r="32" spans="1:15" x14ac:dyDescent="0.25">
      <c r="H32" t="s">
        <v>143</v>
      </c>
      <c r="I32">
        <f t="shared" si="6"/>
        <v>0</v>
      </c>
    </row>
  </sheetData>
  <mergeCells count="21">
    <mergeCell ref="O14:O15"/>
    <mergeCell ref="O11:O12"/>
    <mergeCell ref="K4:K5"/>
    <mergeCell ref="L4:L5"/>
    <mergeCell ref="M4:M5"/>
    <mergeCell ref="N4:N5"/>
    <mergeCell ref="O4:O5"/>
    <mergeCell ref="K6:K9"/>
    <mergeCell ref="L6:L9"/>
    <mergeCell ref="M6:M9"/>
    <mergeCell ref="N6:N9"/>
    <mergeCell ref="O6:O9"/>
    <mergeCell ref="D14:D15"/>
    <mergeCell ref="K11:K12"/>
    <mergeCell ref="L11:L12"/>
    <mergeCell ref="M11:M12"/>
    <mergeCell ref="N11:N12"/>
    <mergeCell ref="K14:K15"/>
    <mergeCell ref="L14:L15"/>
    <mergeCell ref="M14:M15"/>
    <mergeCell ref="N14:N15"/>
  </mergeCells>
  <conditionalFormatting sqref="M19">
    <cfRule type="cellIs" dxfId="29" priority="1" operator="greaterThan">
      <formula>$I$19</formula>
    </cfRule>
    <cfRule type="cellIs" dxfId="28" priority="2" operator="lessThanOrEqual">
      <formula>$I$19</formula>
    </cfRule>
  </conditionalFormatting>
  <conditionalFormatting sqref="N19">
    <cfRule type="cellIs" dxfId="27" priority="3" operator="lessThanOrEqual">
      <formula>$J$19</formula>
    </cfRule>
    <cfRule type="cellIs" dxfId="26" priority="4" operator="greaterThan">
      <formula>$J$19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FFFF00"/>
  </sheetPr>
  <dimension ref="A1:O34"/>
  <sheetViews>
    <sheetView zoomScale="53" workbookViewId="0">
      <selection activeCell="C4" sqref="C4:C6"/>
    </sheetView>
  </sheetViews>
  <sheetFormatPr baseColWidth="10" defaultColWidth="11.42578125" defaultRowHeight="15" x14ac:dyDescent="0.25"/>
  <cols>
    <col min="3" max="3" width="26.7109375" bestFit="1" customWidth="1"/>
    <col min="4" max="4" width="12.140625" bestFit="1" customWidth="1"/>
  </cols>
  <sheetData>
    <row r="1" spans="1:15" x14ac:dyDescent="0.25">
      <c r="A1" s="20" t="s">
        <v>82</v>
      </c>
      <c r="B1" s="21"/>
      <c r="N1" s="4"/>
    </row>
    <row r="2" spans="1:15" x14ac:dyDescent="0.25">
      <c r="C2" s="23" t="s">
        <v>161</v>
      </c>
      <c r="E2" s="23"/>
      <c r="G2" s="24"/>
      <c r="N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124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99</v>
      </c>
      <c r="B4" s="50" t="s">
        <v>39</v>
      </c>
      <c r="C4" s="166" t="s">
        <v>100</v>
      </c>
      <c r="D4" s="50" t="s">
        <v>22</v>
      </c>
      <c r="E4" s="50">
        <v>1</v>
      </c>
      <c r="F4" s="50">
        <v>4</v>
      </c>
      <c r="G4" s="62">
        <v>7</v>
      </c>
      <c r="H4" s="52">
        <v>150</v>
      </c>
      <c r="I4" s="15">
        <f t="shared" ref="I4:I20" si="0">(E4*G4)/(F4*H4)</f>
        <v>1.1666666666666667E-2</v>
      </c>
      <c r="J4" s="14">
        <f t="shared" ref="J4:J20" si="1">(ROUNDUP($E4*$B$1/($F4*H4),0))</f>
        <v>0</v>
      </c>
      <c r="K4" s="170">
        <f>+SUM(J4:J6)</f>
        <v>0</v>
      </c>
      <c r="L4" s="162">
        <f>N4*G4</f>
        <v>0</v>
      </c>
      <c r="M4" s="159" t="e">
        <f>L4/$B$1</f>
        <v>#DIV/0!</v>
      </c>
      <c r="N4" s="162">
        <f>SUMIFS('Tableau plaquette complet'!F:F,'Tableau plaquette complet'!G:G,"EMAG 3",'Tableau plaquette complet'!H:H,"OP 10",'Tableau plaquette complet'!J:J,"302x26 RPI",'Tableau plaquette complet'!B:B,"Z000 546 265")</f>
        <v>0</v>
      </c>
      <c r="O4" s="156">
        <f>-(K4-N4)</f>
        <v>0</v>
      </c>
    </row>
    <row r="5" spans="1:15" x14ac:dyDescent="0.25">
      <c r="A5" s="50" t="s">
        <v>101</v>
      </c>
      <c r="B5" s="50" t="s">
        <v>39</v>
      </c>
      <c r="C5" s="166"/>
      <c r="D5" s="50" t="s">
        <v>22</v>
      </c>
      <c r="E5" s="50">
        <v>1</v>
      </c>
      <c r="F5" s="50">
        <v>4</v>
      </c>
      <c r="G5" s="62">
        <v>3.5</v>
      </c>
      <c r="H5" s="52">
        <v>150</v>
      </c>
      <c r="I5" s="15">
        <f t="shared" si="0"/>
        <v>5.8333333333333336E-3</v>
      </c>
      <c r="J5" s="14">
        <f t="shared" si="1"/>
        <v>0</v>
      </c>
      <c r="K5" s="170"/>
      <c r="L5" s="163"/>
      <c r="M5" s="160"/>
      <c r="N5" s="163"/>
      <c r="O5" s="157"/>
    </row>
    <row r="6" spans="1:15" x14ac:dyDescent="0.25">
      <c r="A6" s="50" t="s">
        <v>102</v>
      </c>
      <c r="B6" s="50" t="s">
        <v>39</v>
      </c>
      <c r="C6" s="166"/>
      <c r="D6" s="50" t="s">
        <v>22</v>
      </c>
      <c r="E6" s="50">
        <v>1</v>
      </c>
      <c r="F6" s="50">
        <v>4</v>
      </c>
      <c r="G6" s="62">
        <v>3.5</v>
      </c>
      <c r="H6" s="52">
        <v>150</v>
      </c>
      <c r="I6" s="15">
        <f t="shared" si="0"/>
        <v>5.8333333333333336E-3</v>
      </c>
      <c r="J6" s="14">
        <f t="shared" si="1"/>
        <v>0</v>
      </c>
      <c r="K6" s="170"/>
      <c r="L6" s="164"/>
      <c r="M6" s="161"/>
      <c r="N6" s="164"/>
      <c r="O6" s="158"/>
    </row>
    <row r="7" spans="1:15" x14ac:dyDescent="0.25">
      <c r="A7" s="50" t="s">
        <v>103</v>
      </c>
      <c r="B7" s="50" t="s">
        <v>39</v>
      </c>
      <c r="C7" s="166" t="s">
        <v>104</v>
      </c>
      <c r="D7" s="50" t="s">
        <v>23</v>
      </c>
      <c r="E7" s="50">
        <v>1</v>
      </c>
      <c r="F7" s="50">
        <v>8</v>
      </c>
      <c r="G7" s="62">
        <v>7.12</v>
      </c>
      <c r="H7" s="52">
        <v>150</v>
      </c>
      <c r="I7" s="15">
        <f t="shared" si="0"/>
        <v>5.933333333333333E-3</v>
      </c>
      <c r="J7" s="14">
        <f t="shared" si="1"/>
        <v>0</v>
      </c>
      <c r="K7" s="170">
        <f>+SUM(J7:J9)</f>
        <v>0</v>
      </c>
      <c r="L7" s="162">
        <f>N7*G7</f>
        <v>0</v>
      </c>
      <c r="M7" s="159" t="e">
        <f>L7/$B$1</f>
        <v>#DIV/0!</v>
      </c>
      <c r="N7" s="162">
        <f>SUMIFS('Tableau plaquette complet'!F:F,'Tableau plaquette complet'!G:G,"EMAG 3",'Tableau plaquette complet'!H:H,"OP 10",'Tableau plaquette complet'!J:J,"302x26 RPI",'Tableau plaquette complet'!B:B,"Z000 546 266")</f>
        <v>0</v>
      </c>
      <c r="O7" s="156">
        <f>-(K7-N7)</f>
        <v>0</v>
      </c>
    </row>
    <row r="8" spans="1:15" x14ac:dyDescent="0.25">
      <c r="A8" s="50" t="s">
        <v>105</v>
      </c>
      <c r="B8" s="50" t="s">
        <v>39</v>
      </c>
      <c r="C8" s="166"/>
      <c r="D8" s="50" t="s">
        <v>23</v>
      </c>
      <c r="E8" s="50">
        <v>1</v>
      </c>
      <c r="F8" s="50">
        <v>8</v>
      </c>
      <c r="G8" s="62">
        <v>7.12</v>
      </c>
      <c r="H8" s="52">
        <v>150</v>
      </c>
      <c r="I8" s="15">
        <f t="shared" si="0"/>
        <v>5.933333333333333E-3</v>
      </c>
      <c r="J8" s="14">
        <f t="shared" si="1"/>
        <v>0</v>
      </c>
      <c r="K8" s="170"/>
      <c r="L8" s="163"/>
      <c r="M8" s="160"/>
      <c r="N8" s="163"/>
      <c r="O8" s="157"/>
    </row>
    <row r="9" spans="1:15" x14ac:dyDescent="0.25">
      <c r="A9" s="50" t="s">
        <v>105</v>
      </c>
      <c r="B9" s="50" t="s">
        <v>39</v>
      </c>
      <c r="C9" s="166"/>
      <c r="D9" s="50" t="s">
        <v>23</v>
      </c>
      <c r="E9" s="50">
        <v>1</v>
      </c>
      <c r="F9" s="50">
        <v>8</v>
      </c>
      <c r="G9" s="62">
        <v>7.12</v>
      </c>
      <c r="H9" s="52">
        <v>150</v>
      </c>
      <c r="I9" s="15">
        <f t="shared" si="0"/>
        <v>5.933333333333333E-3</v>
      </c>
      <c r="J9" s="14">
        <f t="shared" si="1"/>
        <v>0</v>
      </c>
      <c r="K9" s="170"/>
      <c r="L9" s="164"/>
      <c r="M9" s="161"/>
      <c r="N9" s="164"/>
      <c r="O9" s="158"/>
    </row>
    <row r="10" spans="1:15" x14ac:dyDescent="0.25">
      <c r="A10" s="36" t="s">
        <v>106</v>
      </c>
      <c r="B10" s="36" t="s">
        <v>14</v>
      </c>
      <c r="C10" s="165" t="s">
        <v>100</v>
      </c>
      <c r="D10" s="36" t="s">
        <v>22</v>
      </c>
      <c r="E10" s="36">
        <v>1</v>
      </c>
      <c r="F10" s="36">
        <v>4</v>
      </c>
      <c r="G10" s="63">
        <v>7</v>
      </c>
      <c r="H10" s="38">
        <v>150</v>
      </c>
      <c r="I10" s="15">
        <f t="shared" si="0"/>
        <v>1.1666666666666667E-2</v>
      </c>
      <c r="J10" s="14">
        <f t="shared" si="1"/>
        <v>0</v>
      </c>
      <c r="K10" s="167">
        <f>+SUM(J10:J13)</f>
        <v>0</v>
      </c>
      <c r="L10" s="147">
        <f>N10*G10</f>
        <v>0</v>
      </c>
      <c r="M10" s="150" t="e">
        <f>L10/$B$1</f>
        <v>#DIV/0!</v>
      </c>
      <c r="N10" s="147">
        <f>SUMIFS('Tableau plaquette complet'!F:F,'Tableau plaquette complet'!G:G,"EMAG 3",'Tableau plaquette complet'!H:H,"OP 20",'Tableau plaquette complet'!J:J,"302x26 RPI",'Tableau plaquette complet'!B:B,"Z000 546 265")</f>
        <v>0</v>
      </c>
      <c r="O10" s="153">
        <f>-(K10-N10)</f>
        <v>0</v>
      </c>
    </row>
    <row r="11" spans="1:15" x14ac:dyDescent="0.25">
      <c r="A11" s="36" t="s">
        <v>107</v>
      </c>
      <c r="B11" s="36" t="s">
        <v>14</v>
      </c>
      <c r="C11" s="165"/>
      <c r="D11" s="36" t="s">
        <v>22</v>
      </c>
      <c r="E11" s="36">
        <v>1</v>
      </c>
      <c r="F11" s="36">
        <v>4</v>
      </c>
      <c r="G11" s="64">
        <v>3.5</v>
      </c>
      <c r="H11" s="38">
        <v>150</v>
      </c>
      <c r="I11" s="15">
        <f t="shared" si="0"/>
        <v>5.8333333333333336E-3</v>
      </c>
      <c r="J11" s="14">
        <f t="shared" si="1"/>
        <v>0</v>
      </c>
      <c r="K11" s="168"/>
      <c r="L11" s="148"/>
      <c r="M11" s="151"/>
      <c r="N11" s="148"/>
      <c r="O11" s="154"/>
    </row>
    <row r="12" spans="1:15" x14ac:dyDescent="0.25">
      <c r="A12" s="36" t="s">
        <v>108</v>
      </c>
      <c r="B12" s="36" t="s">
        <v>14</v>
      </c>
      <c r="C12" s="165"/>
      <c r="D12" s="36" t="s">
        <v>22</v>
      </c>
      <c r="E12" s="36">
        <v>1</v>
      </c>
      <c r="F12" s="36">
        <v>4</v>
      </c>
      <c r="G12" s="64">
        <v>3.5</v>
      </c>
      <c r="H12" s="38">
        <v>150</v>
      </c>
      <c r="I12" s="15">
        <f t="shared" si="0"/>
        <v>5.8333333333333336E-3</v>
      </c>
      <c r="J12" s="14">
        <f t="shared" si="1"/>
        <v>0</v>
      </c>
      <c r="K12" s="168"/>
      <c r="L12" s="148"/>
      <c r="M12" s="151"/>
      <c r="N12" s="148"/>
      <c r="O12" s="154"/>
    </row>
    <row r="13" spans="1:15" x14ac:dyDescent="0.25">
      <c r="A13" s="36" t="s">
        <v>109</v>
      </c>
      <c r="B13" s="36" t="s">
        <v>14</v>
      </c>
      <c r="C13" s="165"/>
      <c r="D13" s="36" t="s">
        <v>22</v>
      </c>
      <c r="E13" s="36">
        <v>1</v>
      </c>
      <c r="F13" s="36">
        <v>4</v>
      </c>
      <c r="G13" s="63">
        <v>7</v>
      </c>
      <c r="H13" s="38">
        <v>150</v>
      </c>
      <c r="I13" s="15">
        <f t="shared" si="0"/>
        <v>1.1666666666666667E-2</v>
      </c>
      <c r="J13" s="14">
        <f t="shared" si="1"/>
        <v>0</v>
      </c>
      <c r="K13" s="169"/>
      <c r="L13" s="149"/>
      <c r="M13" s="152"/>
      <c r="N13" s="149"/>
      <c r="O13" s="155"/>
    </row>
    <row r="14" spans="1:15" x14ac:dyDescent="0.25">
      <c r="A14" s="36" t="s">
        <v>110</v>
      </c>
      <c r="B14" s="36" t="s">
        <v>14</v>
      </c>
      <c r="C14" s="36" t="s">
        <v>111</v>
      </c>
      <c r="D14" s="36" t="s">
        <v>12</v>
      </c>
      <c r="E14" s="36">
        <v>1</v>
      </c>
      <c r="F14" s="36">
        <v>2</v>
      </c>
      <c r="G14" s="63">
        <v>13.67</v>
      </c>
      <c r="H14" s="38">
        <v>150</v>
      </c>
      <c r="I14" s="15">
        <f t="shared" si="0"/>
        <v>4.5566666666666665E-2</v>
      </c>
      <c r="J14" s="14">
        <f t="shared" si="1"/>
        <v>0</v>
      </c>
      <c r="K14" s="14">
        <f t="shared" ref="K14:K17" si="2">J14</f>
        <v>0</v>
      </c>
      <c r="L14" s="45">
        <f t="shared" ref="L14:L17" si="3">N14*G14</f>
        <v>0</v>
      </c>
      <c r="M14" s="46" t="e">
        <f t="shared" ref="M14:M20" si="4">L14/$B$1</f>
        <v>#DIV/0!</v>
      </c>
      <c r="N14" s="48">
        <f>SUMIFS('Tableau plaquette complet'!F:F,'Tableau plaquette complet'!G:G,"EMAG 3",'Tableau plaquette complet'!H:H,"OP 20",'Tableau plaquette complet'!J:J,"302x26 RPI",'Tableau plaquette complet'!B:B,"Z000 544 318")</f>
        <v>0</v>
      </c>
      <c r="O14" s="44">
        <f t="shared" ref="O14:O17" si="5">-(K14-N14)</f>
        <v>0</v>
      </c>
    </row>
    <row r="15" spans="1:15" x14ac:dyDescent="0.25">
      <c r="A15" s="61" t="s">
        <v>112</v>
      </c>
      <c r="B15" s="61" t="s">
        <v>14</v>
      </c>
      <c r="C15" s="61" t="s">
        <v>113</v>
      </c>
      <c r="D15" s="61" t="s">
        <v>25</v>
      </c>
      <c r="E15" s="61">
        <v>1</v>
      </c>
      <c r="F15" s="61">
        <v>2</v>
      </c>
      <c r="G15" s="61">
        <v>10.85</v>
      </c>
      <c r="H15" s="38">
        <v>300</v>
      </c>
      <c r="I15" s="15">
        <f t="shared" si="0"/>
        <v>1.8083333333333333E-2</v>
      </c>
      <c r="J15" s="14">
        <f t="shared" si="1"/>
        <v>0</v>
      </c>
      <c r="K15" s="14">
        <f t="shared" si="2"/>
        <v>0</v>
      </c>
      <c r="L15" s="45">
        <f t="shared" si="3"/>
        <v>0</v>
      </c>
      <c r="M15" s="46" t="e">
        <f t="shared" si="4"/>
        <v>#DIV/0!</v>
      </c>
      <c r="N15" s="48">
        <f>SUMIFS('Tableau plaquette complet'!F:F,'Tableau plaquette complet'!G:G,"EMAG 3",'Tableau plaquette complet'!H:H,"OP 20",'Tableau plaquette complet'!J:J,"302x26 RPI",'Tableau plaquette complet'!B:B,"Z000 522 436")</f>
        <v>0</v>
      </c>
      <c r="O15" s="44">
        <f t="shared" si="5"/>
        <v>0</v>
      </c>
    </row>
    <row r="16" spans="1:15" x14ac:dyDescent="0.25">
      <c r="A16" s="36" t="s">
        <v>114</v>
      </c>
      <c r="B16" s="36" t="s">
        <v>14</v>
      </c>
      <c r="C16" s="36" t="s">
        <v>104</v>
      </c>
      <c r="D16" s="36" t="s">
        <v>23</v>
      </c>
      <c r="E16" s="36">
        <v>1</v>
      </c>
      <c r="F16" s="36">
        <v>8</v>
      </c>
      <c r="G16" s="63">
        <v>7.12</v>
      </c>
      <c r="H16" s="38">
        <v>150</v>
      </c>
      <c r="I16" s="15">
        <f t="shared" si="0"/>
        <v>5.933333333333333E-3</v>
      </c>
      <c r="J16" s="14">
        <f t="shared" si="1"/>
        <v>0</v>
      </c>
      <c r="K16" s="14">
        <f t="shared" si="2"/>
        <v>0</v>
      </c>
      <c r="L16" s="48">
        <f t="shared" si="3"/>
        <v>0</v>
      </c>
      <c r="M16" s="49" t="e">
        <f t="shared" si="4"/>
        <v>#DIV/0!</v>
      </c>
      <c r="N16" s="48">
        <f>SUMIFS('Tableau plaquette complet'!F:F,'Tableau plaquette complet'!G:G,"EMAG 3",'Tableau plaquette complet'!H:H,"OP 20",'Tableau plaquette complet'!J:J,"302x26 RPI",'Tableau plaquette complet'!B:B,"Z000 546 266")</f>
        <v>0</v>
      </c>
      <c r="O16" s="47">
        <f t="shared" si="5"/>
        <v>0</v>
      </c>
    </row>
    <row r="17" spans="1:15" x14ac:dyDescent="0.25">
      <c r="A17" s="50" t="s">
        <v>115</v>
      </c>
      <c r="B17" s="50" t="s">
        <v>20</v>
      </c>
      <c r="C17" s="166" t="s">
        <v>116</v>
      </c>
      <c r="D17" s="50" t="s">
        <v>17</v>
      </c>
      <c r="E17" s="50">
        <v>1</v>
      </c>
      <c r="F17" s="50">
        <v>8</v>
      </c>
      <c r="G17" s="62">
        <v>9.56</v>
      </c>
      <c r="H17" s="52">
        <v>50</v>
      </c>
      <c r="I17" s="15">
        <f t="shared" si="0"/>
        <v>2.3900000000000001E-2</v>
      </c>
      <c r="J17" s="14">
        <f t="shared" si="1"/>
        <v>0</v>
      </c>
      <c r="K17" s="167">
        <f t="shared" si="2"/>
        <v>0</v>
      </c>
      <c r="L17" s="162">
        <f t="shared" si="3"/>
        <v>0</v>
      </c>
      <c r="M17" s="159" t="e">
        <f t="shared" si="4"/>
        <v>#DIV/0!</v>
      </c>
      <c r="N17" s="162">
        <f>SUMIFS('Tableau plaquette complet'!F:F,'Tableau plaquette complet'!G:G,"EMAG 3",'Tableau plaquette complet'!H:H,"OP 40",'Tableau plaquette complet'!J:J,"302x26 RPI",'Tableau plaquette complet'!B:B,"Z000 513 527")</f>
        <v>0</v>
      </c>
      <c r="O17" s="156">
        <f t="shared" si="5"/>
        <v>0</v>
      </c>
    </row>
    <row r="18" spans="1:15" x14ac:dyDescent="0.25">
      <c r="A18" s="50" t="s">
        <v>117</v>
      </c>
      <c r="B18" s="50" t="s">
        <v>20</v>
      </c>
      <c r="C18" s="166"/>
      <c r="D18" s="50" t="s">
        <v>17</v>
      </c>
      <c r="E18" s="50">
        <v>1</v>
      </c>
      <c r="F18" s="50">
        <v>8</v>
      </c>
      <c r="G18" s="62">
        <v>9.56</v>
      </c>
      <c r="H18" s="52">
        <v>50</v>
      </c>
      <c r="I18" s="15">
        <f t="shared" si="0"/>
        <v>2.3900000000000001E-2</v>
      </c>
      <c r="J18" s="14">
        <f t="shared" si="1"/>
        <v>0</v>
      </c>
      <c r="K18" s="169"/>
      <c r="L18" s="164"/>
      <c r="M18" s="161"/>
      <c r="N18" s="164"/>
      <c r="O18" s="158"/>
    </row>
    <row r="19" spans="1:15" x14ac:dyDescent="0.25">
      <c r="A19" s="50" t="s">
        <v>118</v>
      </c>
      <c r="B19" s="50" t="s">
        <v>20</v>
      </c>
      <c r="C19" s="50" t="s">
        <v>119</v>
      </c>
      <c r="D19" s="50" t="s">
        <v>120</v>
      </c>
      <c r="E19" s="50">
        <v>1</v>
      </c>
      <c r="F19" s="50">
        <v>8</v>
      </c>
      <c r="G19" s="62">
        <v>10.97</v>
      </c>
      <c r="H19" s="52">
        <v>200</v>
      </c>
      <c r="I19" s="15">
        <f t="shared" si="0"/>
        <v>6.8562500000000004E-3</v>
      </c>
      <c r="J19" s="14">
        <f t="shared" si="1"/>
        <v>0</v>
      </c>
      <c r="K19" s="43">
        <f>J19</f>
        <v>0</v>
      </c>
      <c r="L19" s="50">
        <f>N19*G19</f>
        <v>0</v>
      </c>
      <c r="M19" s="53" t="e">
        <f t="shared" si="4"/>
        <v>#DIV/0!</v>
      </c>
      <c r="N19" s="50">
        <f>SUMIFS('Tableau plaquette complet'!F:F,'Tableau plaquette complet'!G:G,"EMAG 3",'Tableau plaquette complet'!H:H,"OP 40",'Tableau plaquette complet'!J:J,"302x26 RPI",'Tableau plaquette complet'!B:B,"Z000 455 182")</f>
        <v>0</v>
      </c>
      <c r="O19" s="52">
        <f>-(K19-N19)</f>
        <v>0</v>
      </c>
    </row>
    <row r="20" spans="1:15" ht="15.75" thickBot="1" x14ac:dyDescent="0.3">
      <c r="A20" s="50" t="s">
        <v>121</v>
      </c>
      <c r="B20" s="50" t="s">
        <v>20</v>
      </c>
      <c r="C20" s="50" t="s">
        <v>122</v>
      </c>
      <c r="D20" s="50" t="s">
        <v>35</v>
      </c>
      <c r="E20" s="50">
        <v>1</v>
      </c>
      <c r="F20" s="50">
        <v>6</v>
      </c>
      <c r="G20" s="62">
        <v>11.87</v>
      </c>
      <c r="H20" s="52">
        <v>100</v>
      </c>
      <c r="I20" s="15">
        <f t="shared" si="0"/>
        <v>1.9783333333333333E-2</v>
      </c>
      <c r="J20" s="14">
        <f t="shared" si="1"/>
        <v>0</v>
      </c>
      <c r="K20" s="43">
        <f>J20</f>
        <v>0</v>
      </c>
      <c r="L20" s="50">
        <f>N20*G20</f>
        <v>0</v>
      </c>
      <c r="M20" s="53" t="e">
        <f t="shared" si="4"/>
        <v>#DIV/0!</v>
      </c>
      <c r="N20" s="50">
        <f>SUMIFS('Tableau plaquette complet'!F:F,'Tableau plaquette complet'!G:G,"EMAG 3",'Tableau plaquette complet'!H:H,"OP 40",'Tableau plaquette complet'!J:J,"302x26 RPI",'Tableau plaquette complet'!B:B,"Z000 519 285")</f>
        <v>0</v>
      </c>
      <c r="O20" s="52">
        <f>-(K20-N20)</f>
        <v>0</v>
      </c>
    </row>
    <row r="21" spans="1:15" ht="15.75" thickBot="1" x14ac:dyDescent="0.3">
      <c r="I21" s="16">
        <f>SUM(I4:I20)</f>
        <v>0.22015625000000005</v>
      </c>
      <c r="J21" s="17">
        <f>SUM(J4:J20)</f>
        <v>0</v>
      </c>
      <c r="M21" s="41" t="e">
        <f>SUM(M4:M20)</f>
        <v>#DIV/0!</v>
      </c>
      <c r="N21" s="42">
        <f>SUM(N4:N20)</f>
        <v>0</v>
      </c>
    </row>
    <row r="22" spans="1:15" x14ac:dyDescent="0.25">
      <c r="I22" s="30">
        <f>B1*I21</f>
        <v>0</v>
      </c>
      <c r="M22" s="30" t="e">
        <f>B1*M21</f>
        <v>#DIV/0!</v>
      </c>
      <c r="N22" s="4"/>
    </row>
    <row r="24" spans="1:15" x14ac:dyDescent="0.25">
      <c r="H24" t="s">
        <v>124</v>
      </c>
      <c r="I24" t="s">
        <v>93</v>
      </c>
    </row>
    <row r="25" spans="1:15" x14ac:dyDescent="0.25">
      <c r="H25" t="s">
        <v>36</v>
      </c>
      <c r="I25">
        <f t="shared" ref="I25:I34" si="6">SUMIF($D$4:$D$20,TRIM(H25),$J$4:$J$20)</f>
        <v>0</v>
      </c>
    </row>
    <row r="26" spans="1:15" x14ac:dyDescent="0.25">
      <c r="H26" t="s">
        <v>25</v>
      </c>
      <c r="I26">
        <f t="shared" si="6"/>
        <v>0</v>
      </c>
      <c r="J26" s="40"/>
      <c r="K26" s="39"/>
      <c r="L26" s="39"/>
      <c r="M26" s="39"/>
      <c r="N26" s="40"/>
    </row>
    <row r="27" spans="1:15" x14ac:dyDescent="0.25">
      <c r="H27" t="s">
        <v>22</v>
      </c>
      <c r="I27">
        <f>SUMIF($D$4:$D$20,TRIM(H27),$J$4:$J$20)</f>
        <v>0</v>
      </c>
    </row>
    <row r="28" spans="1:15" x14ac:dyDescent="0.25">
      <c r="H28" t="s">
        <v>12</v>
      </c>
      <c r="I28">
        <f t="shared" si="6"/>
        <v>0</v>
      </c>
    </row>
    <row r="29" spans="1:15" x14ac:dyDescent="0.25">
      <c r="H29" t="s">
        <v>23</v>
      </c>
      <c r="I29">
        <f t="shared" si="6"/>
        <v>0</v>
      </c>
    </row>
    <row r="30" spans="1:15" x14ac:dyDescent="0.25">
      <c r="H30" t="s">
        <v>120</v>
      </c>
      <c r="I30">
        <f t="shared" si="6"/>
        <v>0</v>
      </c>
    </row>
    <row r="31" spans="1:15" x14ac:dyDescent="0.25">
      <c r="H31" t="s">
        <v>17</v>
      </c>
      <c r="I31">
        <f t="shared" si="6"/>
        <v>0</v>
      </c>
    </row>
    <row r="32" spans="1:15" x14ac:dyDescent="0.25">
      <c r="H32" t="s">
        <v>35</v>
      </c>
      <c r="I32">
        <f t="shared" si="6"/>
        <v>0</v>
      </c>
    </row>
    <row r="33" spans="8:9" x14ac:dyDescent="0.25">
      <c r="H33" t="s">
        <v>41</v>
      </c>
      <c r="I33">
        <f t="shared" si="6"/>
        <v>0</v>
      </c>
    </row>
    <row r="34" spans="8:9" x14ac:dyDescent="0.25">
      <c r="H34" t="s">
        <v>143</v>
      </c>
      <c r="I34">
        <f t="shared" si="6"/>
        <v>0</v>
      </c>
    </row>
  </sheetData>
  <mergeCells count="24">
    <mergeCell ref="M10:M13"/>
    <mergeCell ref="N10:N13"/>
    <mergeCell ref="O17:O18"/>
    <mergeCell ref="C17:C18"/>
    <mergeCell ref="K17:K18"/>
    <mergeCell ref="L17:L18"/>
    <mergeCell ref="M17:M18"/>
    <mergeCell ref="N17:N18"/>
    <mergeCell ref="O7:O9"/>
    <mergeCell ref="O4:O6"/>
    <mergeCell ref="O10:O13"/>
    <mergeCell ref="C4:C6"/>
    <mergeCell ref="K4:K6"/>
    <mergeCell ref="L4:L6"/>
    <mergeCell ref="M4:M6"/>
    <mergeCell ref="N4:N6"/>
    <mergeCell ref="C7:C9"/>
    <mergeCell ref="K7:K9"/>
    <mergeCell ref="L7:L9"/>
    <mergeCell ref="M7:M9"/>
    <mergeCell ref="N7:N9"/>
    <mergeCell ref="C10:C13"/>
    <mergeCell ref="K10:K13"/>
    <mergeCell ref="L10:L13"/>
  </mergeCells>
  <conditionalFormatting sqref="M21">
    <cfRule type="cellIs" dxfId="25" priority="1" operator="greaterThan">
      <formula>$I$21</formula>
    </cfRule>
    <cfRule type="cellIs" dxfId="24" priority="2" operator="lessThanOrEqual">
      <formula>$I$21</formula>
    </cfRule>
  </conditionalFormatting>
  <conditionalFormatting sqref="N21">
    <cfRule type="cellIs" dxfId="23" priority="3" operator="lessThanOrEqual">
      <formula>$J$21</formula>
    </cfRule>
    <cfRule type="cellIs" dxfId="22" priority="4" operator="greaterThan">
      <formula>$J$21</formula>
    </cfRule>
  </conditionalFormatting>
  <dataValidations count="1">
    <dataValidation type="list" allowBlank="1" showInputMessage="1" showErrorMessage="1" sqref="C4:C5" xr:uid="{00000000-0002-0000-0F00-000000000000}">
      <formula1>"CNMX120716T03030 SL506, CNMX120716T02020 KY3500"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rgb="FFFFFF00"/>
  </sheetPr>
  <dimension ref="A1:O36"/>
  <sheetViews>
    <sheetView topLeftCell="J14" zoomScale="70" zoomScaleNormal="70" workbookViewId="0">
      <selection activeCell="O23" sqref="O23"/>
    </sheetView>
  </sheetViews>
  <sheetFormatPr baseColWidth="10" defaultColWidth="11.42578125" defaultRowHeight="15" x14ac:dyDescent="0.25"/>
  <cols>
    <col min="3" max="3" width="26.7109375" bestFit="1" customWidth="1"/>
    <col min="4" max="4" width="12.140625" bestFit="1" customWidth="1"/>
  </cols>
  <sheetData>
    <row r="1" spans="1:15" x14ac:dyDescent="0.25">
      <c r="A1" s="20" t="s">
        <v>82</v>
      </c>
      <c r="B1" s="21">
        <v>0</v>
      </c>
      <c r="N1" s="4"/>
    </row>
    <row r="2" spans="1:15" x14ac:dyDescent="0.25">
      <c r="C2" s="23" t="s">
        <v>123</v>
      </c>
      <c r="E2" s="23"/>
      <c r="G2" s="24"/>
      <c r="N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124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126</v>
      </c>
      <c r="B4" s="50" t="s">
        <v>39</v>
      </c>
      <c r="C4" s="166" t="s">
        <v>62</v>
      </c>
      <c r="D4" s="50" t="str">
        <f>IF(C4="CNMX120716T03030 SL506","Z000 546 265","")</f>
        <v/>
      </c>
      <c r="E4" s="50">
        <v>1</v>
      </c>
      <c r="F4" s="50">
        <v>4</v>
      </c>
      <c r="G4" s="62">
        <f>IF(C4="CNMX120716T03030 SL506",7,38)</f>
        <v>38</v>
      </c>
      <c r="H4" s="25">
        <v>700</v>
      </c>
      <c r="I4" s="15">
        <f t="shared" ref="I4:I21" si="0">(E4*G4)/(F4*H4)</f>
        <v>1.3571428571428571E-2</v>
      </c>
      <c r="J4" s="14">
        <f t="shared" ref="J4:J21" si="1">(ROUNDUP($E4*$B$1/($F4*H4),0))</f>
        <v>0</v>
      </c>
      <c r="K4" s="167">
        <f>SUM(J4:J6)</f>
        <v>0</v>
      </c>
      <c r="L4" s="162">
        <f>N4*G4</f>
        <v>0</v>
      </c>
      <c r="M4" s="159" t="e">
        <f>L4/$B$1</f>
        <v>#DIV/0!</v>
      </c>
      <c r="N4" s="162">
        <f>IF(C4="CNMX120716T03030 SL506",SUMIFS('Tableau plaquette complet'!F:F,'Tableau plaquette complet'!G:G,"EMAG 3",'Tableau plaquette complet'!H:H,"OP 10",'Tableau plaquette complet'!J:J,"304x28 RPE",'Tableau plaquette complet'!B:B,"Z000 546 265"),'Tableau plaquette outil'!F12)</f>
        <v>0</v>
      </c>
      <c r="O4" s="156">
        <f>-(K4-N4)</f>
        <v>0</v>
      </c>
    </row>
    <row r="5" spans="1:15" x14ac:dyDescent="0.25">
      <c r="A5" s="50" t="s">
        <v>101</v>
      </c>
      <c r="B5" s="50" t="s">
        <v>39</v>
      </c>
      <c r="C5" s="166"/>
      <c r="D5" s="50" t="str">
        <f>IF(C4="CNMX120716T03030 SL506","Z000 546 265","")</f>
        <v/>
      </c>
      <c r="E5" s="50">
        <v>1</v>
      </c>
      <c r="F5" s="50">
        <v>4</v>
      </c>
      <c r="G5" s="62">
        <f>IF(C4="CNMX120716T03030 SL506",3.5,19)</f>
        <v>19</v>
      </c>
      <c r="H5" s="25">
        <v>700</v>
      </c>
      <c r="I5" s="15">
        <f t="shared" si="0"/>
        <v>6.7857142857142855E-3</v>
      </c>
      <c r="J5" s="14">
        <f t="shared" si="1"/>
        <v>0</v>
      </c>
      <c r="K5" s="168"/>
      <c r="L5" s="163"/>
      <c r="M5" s="160"/>
      <c r="N5" s="163"/>
      <c r="O5" s="157"/>
    </row>
    <row r="6" spans="1:15" x14ac:dyDescent="0.25">
      <c r="A6" s="50" t="s">
        <v>102</v>
      </c>
      <c r="B6" s="50" t="s">
        <v>39</v>
      </c>
      <c r="C6" s="166"/>
      <c r="D6" s="50" t="str">
        <f>IF(C4="CNMX120716T03030 SL506","Z000 546 265","")</f>
        <v/>
      </c>
      <c r="E6" s="50">
        <v>1</v>
      </c>
      <c r="F6" s="50">
        <v>4</v>
      </c>
      <c r="G6" s="62">
        <f>IF(C4="CNMX120716T03030 SL506",3.5,19)</f>
        <v>19</v>
      </c>
      <c r="H6" s="25">
        <v>800</v>
      </c>
      <c r="I6" s="15">
        <f t="shared" si="0"/>
        <v>5.9375000000000001E-3</v>
      </c>
      <c r="J6" s="14">
        <f t="shared" si="1"/>
        <v>0</v>
      </c>
      <c r="K6" s="169"/>
      <c r="L6" s="164"/>
      <c r="M6" s="161"/>
      <c r="N6" s="164"/>
      <c r="O6" s="158"/>
    </row>
    <row r="7" spans="1:15" x14ac:dyDescent="0.25">
      <c r="A7" s="50" t="s">
        <v>128</v>
      </c>
      <c r="B7" s="50" t="s">
        <v>39</v>
      </c>
      <c r="C7" s="166" t="s">
        <v>63</v>
      </c>
      <c r="D7" s="50" t="str">
        <f>IF(C7="SNMX120716T03030 SL506","Z000 546 266","")</f>
        <v/>
      </c>
      <c r="E7" s="50">
        <v>1</v>
      </c>
      <c r="F7" s="50">
        <v>8</v>
      </c>
      <c r="G7" s="62">
        <f>IF(C7="SNMX120716T03030 SL506",7.12,38)</f>
        <v>38</v>
      </c>
      <c r="H7" s="25">
        <v>800</v>
      </c>
      <c r="I7" s="15">
        <f t="shared" si="0"/>
        <v>5.9375000000000001E-3</v>
      </c>
      <c r="J7" s="14">
        <f t="shared" si="1"/>
        <v>0</v>
      </c>
      <c r="K7" s="167">
        <f>SUM(J7:J9)</f>
        <v>0</v>
      </c>
      <c r="L7" s="162">
        <f>N7*G7</f>
        <v>0</v>
      </c>
      <c r="M7" s="159" t="e">
        <f>L7/$B$1</f>
        <v>#DIV/0!</v>
      </c>
      <c r="N7" s="162">
        <f>IF(C7="SNMX120716T03030 SL506",SUMIFS('Tableau plaquette complet'!F:F,'Tableau plaquette complet'!G:G,"EMAG 3",'Tableau plaquette complet'!H:H,"OP 10",'Tableau plaquette complet'!J:J,"304x28 RPE",'Tableau plaquette complet'!B:B,"Z000 546 266"),'Tableau plaquette outil'!F11)</f>
        <v>0</v>
      </c>
      <c r="O7" s="156">
        <f>-(K7-N7)</f>
        <v>0</v>
      </c>
    </row>
    <row r="8" spans="1:15" x14ac:dyDescent="0.25">
      <c r="A8" s="50" t="s">
        <v>130</v>
      </c>
      <c r="B8" s="50" t="s">
        <v>39</v>
      </c>
      <c r="C8" s="166"/>
      <c r="D8" s="50" t="str">
        <f>IF(C7="SNMX120716T03030 SL506","Z000 546 266","")</f>
        <v/>
      </c>
      <c r="E8" s="50">
        <v>1</v>
      </c>
      <c r="F8" s="50">
        <v>8</v>
      </c>
      <c r="G8" s="62">
        <f>IF(C7="SNMX120716T03030 SL506",7.12,38)</f>
        <v>38</v>
      </c>
      <c r="H8" s="25">
        <v>800</v>
      </c>
      <c r="I8" s="15">
        <f t="shared" si="0"/>
        <v>5.9375000000000001E-3</v>
      </c>
      <c r="J8" s="14">
        <f t="shared" si="1"/>
        <v>0</v>
      </c>
      <c r="K8" s="168"/>
      <c r="L8" s="163"/>
      <c r="M8" s="160"/>
      <c r="N8" s="163"/>
      <c r="O8" s="157"/>
    </row>
    <row r="9" spans="1:15" x14ac:dyDescent="0.25">
      <c r="A9" s="50" t="s">
        <v>130</v>
      </c>
      <c r="B9" s="50" t="s">
        <v>39</v>
      </c>
      <c r="C9" s="166"/>
      <c r="D9" s="50" t="str">
        <f>IF(C7="SNMX120716T03030 SL506","Z000 546 266","")</f>
        <v/>
      </c>
      <c r="E9" s="50">
        <v>1</v>
      </c>
      <c r="F9" s="50">
        <v>8</v>
      </c>
      <c r="G9" s="62">
        <f>IF(C7="SNMX120716T03030 SL506",7.12,38)</f>
        <v>38</v>
      </c>
      <c r="H9" s="25">
        <v>800</v>
      </c>
      <c r="I9" s="15">
        <f t="shared" si="0"/>
        <v>5.9375000000000001E-3</v>
      </c>
      <c r="J9" s="14">
        <f t="shared" si="1"/>
        <v>0</v>
      </c>
      <c r="K9" s="169"/>
      <c r="L9" s="164"/>
      <c r="M9" s="161"/>
      <c r="N9" s="164"/>
      <c r="O9" s="158"/>
    </row>
    <row r="10" spans="1:15" x14ac:dyDescent="0.25">
      <c r="A10" s="36" t="s">
        <v>106</v>
      </c>
      <c r="B10" s="36" t="s">
        <v>14</v>
      </c>
      <c r="C10" s="165" t="s">
        <v>100</v>
      </c>
      <c r="D10" s="36" t="s">
        <v>22</v>
      </c>
      <c r="E10" s="36">
        <v>1</v>
      </c>
      <c r="F10" s="36">
        <v>4</v>
      </c>
      <c r="G10" s="63">
        <v>7</v>
      </c>
      <c r="H10" s="28">
        <v>150</v>
      </c>
      <c r="I10" s="15">
        <f t="shared" si="0"/>
        <v>1.1666666666666667E-2</v>
      </c>
      <c r="J10" s="14">
        <f t="shared" si="1"/>
        <v>0</v>
      </c>
      <c r="K10" s="173">
        <f>SUM(J10:J13)</f>
        <v>0</v>
      </c>
      <c r="L10" s="147">
        <f>N10*G10</f>
        <v>0</v>
      </c>
      <c r="M10" s="150" t="e">
        <f>L10/$B$1</f>
        <v>#DIV/0!</v>
      </c>
      <c r="N10" s="147">
        <f>SUMIFS('Tableau plaquette complet'!F:F,'Tableau plaquette complet'!G:G,"EMAG 3",'Tableau plaquette complet'!H:H,"OP 20",'Tableau plaquette complet'!J:J,"304x28 RPE",'Tableau plaquette complet'!B:B,"Z000 546 265")</f>
        <v>0</v>
      </c>
      <c r="O10" s="153">
        <f>-(K10-N10)</f>
        <v>0</v>
      </c>
    </row>
    <row r="11" spans="1:15" x14ac:dyDescent="0.25">
      <c r="A11" s="36" t="s">
        <v>107</v>
      </c>
      <c r="B11" s="36" t="s">
        <v>14</v>
      </c>
      <c r="C11" s="165"/>
      <c r="D11" s="36" t="s">
        <v>22</v>
      </c>
      <c r="E11" s="36">
        <v>1</v>
      </c>
      <c r="F11" s="36">
        <v>4</v>
      </c>
      <c r="G11" s="64">
        <v>3.5</v>
      </c>
      <c r="H11" s="28">
        <v>150</v>
      </c>
      <c r="I11" s="15">
        <f t="shared" si="0"/>
        <v>5.8333333333333336E-3</v>
      </c>
      <c r="J11" s="14">
        <f t="shared" si="1"/>
        <v>0</v>
      </c>
      <c r="K11" s="174"/>
      <c r="L11" s="148"/>
      <c r="M11" s="151"/>
      <c r="N11" s="148"/>
      <c r="O11" s="154"/>
    </row>
    <row r="12" spans="1:15" x14ac:dyDescent="0.25">
      <c r="A12" s="36" t="s">
        <v>108</v>
      </c>
      <c r="B12" s="36" t="s">
        <v>14</v>
      </c>
      <c r="C12" s="165"/>
      <c r="D12" s="36" t="s">
        <v>22</v>
      </c>
      <c r="E12" s="36">
        <v>1</v>
      </c>
      <c r="F12" s="36">
        <v>4</v>
      </c>
      <c r="G12" s="64">
        <v>3.5</v>
      </c>
      <c r="H12" s="28">
        <v>150</v>
      </c>
      <c r="I12" s="15">
        <f t="shared" si="0"/>
        <v>5.8333333333333336E-3</v>
      </c>
      <c r="J12" s="14">
        <f t="shared" si="1"/>
        <v>0</v>
      </c>
      <c r="K12" s="174"/>
      <c r="L12" s="148"/>
      <c r="M12" s="151"/>
      <c r="N12" s="148"/>
      <c r="O12" s="154"/>
    </row>
    <row r="13" spans="1:15" x14ac:dyDescent="0.25">
      <c r="A13" s="36" t="s">
        <v>109</v>
      </c>
      <c r="B13" s="36" t="s">
        <v>14</v>
      </c>
      <c r="C13" s="165"/>
      <c r="D13" s="36" t="s">
        <v>22</v>
      </c>
      <c r="E13" s="36">
        <v>1</v>
      </c>
      <c r="F13" s="36">
        <v>4</v>
      </c>
      <c r="G13" s="63">
        <v>7</v>
      </c>
      <c r="H13" s="28">
        <v>150</v>
      </c>
      <c r="I13" s="15">
        <f t="shared" si="0"/>
        <v>1.1666666666666667E-2</v>
      </c>
      <c r="J13" s="14">
        <f t="shared" si="1"/>
        <v>0</v>
      </c>
      <c r="K13" s="175"/>
      <c r="L13" s="149"/>
      <c r="M13" s="152"/>
      <c r="N13" s="149"/>
      <c r="O13" s="155"/>
    </row>
    <row r="14" spans="1:15" x14ac:dyDescent="0.25">
      <c r="A14" s="36" t="s">
        <v>110</v>
      </c>
      <c r="B14" s="36" t="s">
        <v>14</v>
      </c>
      <c r="C14" s="36" t="s">
        <v>111</v>
      </c>
      <c r="D14" s="36" t="s">
        <v>12</v>
      </c>
      <c r="E14" s="36">
        <v>1</v>
      </c>
      <c r="F14" s="36">
        <v>2</v>
      </c>
      <c r="G14" s="63">
        <v>13.67</v>
      </c>
      <c r="H14" s="28">
        <v>150</v>
      </c>
      <c r="I14" s="15">
        <f t="shared" si="0"/>
        <v>4.5566666666666665E-2</v>
      </c>
      <c r="J14" s="14">
        <f t="shared" si="1"/>
        <v>0</v>
      </c>
      <c r="K14" s="67">
        <f>J14</f>
        <v>0</v>
      </c>
      <c r="L14" s="48">
        <f>N14*G14</f>
        <v>0</v>
      </c>
      <c r="M14" s="49" t="e">
        <f>L14/$B$1</f>
        <v>#DIV/0!</v>
      </c>
      <c r="N14" s="48">
        <f>SUMIFS('Tableau plaquette complet'!F:F,'Tableau plaquette complet'!G:G,"EMAG 3",'Tableau plaquette complet'!H:H,"OP 20",'Tableau plaquette complet'!J:J,"304x28 RPE",'Tableau plaquette complet'!B:B,"Z000 544 318")</f>
        <v>0</v>
      </c>
      <c r="O14" s="47">
        <f>-(K14-N14)</f>
        <v>0</v>
      </c>
    </row>
    <row r="15" spans="1:15" x14ac:dyDescent="0.25">
      <c r="A15" s="61" t="s">
        <v>112</v>
      </c>
      <c r="B15" s="61" t="s">
        <v>14</v>
      </c>
      <c r="C15" s="61" t="s">
        <v>113</v>
      </c>
      <c r="D15" s="61" t="s">
        <v>25</v>
      </c>
      <c r="E15" s="61">
        <v>1</v>
      </c>
      <c r="F15" s="61">
        <v>2</v>
      </c>
      <c r="G15" s="61">
        <v>10.85</v>
      </c>
      <c r="H15" s="28">
        <v>300</v>
      </c>
      <c r="I15" s="15">
        <f t="shared" si="0"/>
        <v>1.8083333333333333E-2</v>
      </c>
      <c r="J15" s="14">
        <f t="shared" si="1"/>
        <v>0</v>
      </c>
      <c r="K15" s="67">
        <f>J15</f>
        <v>0</v>
      </c>
      <c r="L15" s="48">
        <f>N15*G15</f>
        <v>0</v>
      </c>
      <c r="M15" s="49" t="e">
        <f>L15/$B$1</f>
        <v>#DIV/0!</v>
      </c>
      <c r="N15" s="48">
        <f>SUMIFS('Tableau plaquette complet'!F:F,'Tableau plaquette complet'!G:G,"EMAG 3",'Tableau plaquette complet'!H:H,"OP 20",'Tableau plaquette complet'!J:J,"304x28 RPE",'Tableau plaquette complet'!B:B,"Z000 522 436")</f>
        <v>0</v>
      </c>
      <c r="O15" s="47">
        <f>-(K15-N15)</f>
        <v>0</v>
      </c>
    </row>
    <row r="16" spans="1:15" x14ac:dyDescent="0.25">
      <c r="A16" s="36" t="s">
        <v>114</v>
      </c>
      <c r="B16" s="36" t="s">
        <v>14</v>
      </c>
      <c r="C16" s="36" t="s">
        <v>104</v>
      </c>
      <c r="D16" s="36" t="s">
        <v>23</v>
      </c>
      <c r="E16" s="36">
        <v>1</v>
      </c>
      <c r="F16" s="36">
        <v>8</v>
      </c>
      <c r="G16" s="63">
        <v>7.12</v>
      </c>
      <c r="H16" s="28">
        <v>2400</v>
      </c>
      <c r="I16" s="15">
        <f t="shared" si="0"/>
        <v>3.7083333333333331E-4</v>
      </c>
      <c r="J16" s="14">
        <f t="shared" si="1"/>
        <v>0</v>
      </c>
      <c r="K16" s="67">
        <f>J16</f>
        <v>0</v>
      </c>
      <c r="L16" s="45">
        <f t="shared" ref="L16" si="2">N16*G16</f>
        <v>0</v>
      </c>
      <c r="M16" s="46" t="e">
        <f>L16/$B$1</f>
        <v>#DIV/0!</v>
      </c>
      <c r="N16" s="48">
        <f>SUMIFS('Tableau plaquette complet'!F:F,'Tableau plaquette complet'!G:G,"EMAG 3",'Tableau plaquette complet'!H:H,"OP 20",'Tableau plaquette complet'!J:J,"304x28 RPE",'Tableau plaquette complet'!B:B,"Z000 546 266")</f>
        <v>0</v>
      </c>
      <c r="O16" s="44">
        <f>-(K16-N16)</f>
        <v>0</v>
      </c>
    </row>
    <row r="17" spans="1:15" x14ac:dyDescent="0.25">
      <c r="A17" s="50" t="s">
        <v>115</v>
      </c>
      <c r="B17" s="50" t="s">
        <v>20</v>
      </c>
      <c r="C17" s="166" t="s">
        <v>116</v>
      </c>
      <c r="D17" s="50" t="s">
        <v>17</v>
      </c>
      <c r="E17" s="50">
        <v>1</v>
      </c>
      <c r="F17" s="50">
        <v>8</v>
      </c>
      <c r="G17" s="62">
        <v>9.56</v>
      </c>
      <c r="H17" s="28">
        <v>75</v>
      </c>
      <c r="I17" s="15">
        <f t="shared" si="0"/>
        <v>1.5933333333333334E-2</v>
      </c>
      <c r="J17" s="14">
        <f t="shared" si="1"/>
        <v>0</v>
      </c>
      <c r="K17" s="170">
        <f>SUM(J17:J18)</f>
        <v>0</v>
      </c>
      <c r="L17" s="166">
        <f>N17*G17</f>
        <v>0</v>
      </c>
      <c r="M17" s="171" t="e">
        <f>L17/$B$1</f>
        <v>#DIV/0!</v>
      </c>
      <c r="N17" s="166">
        <f>SUMIFS('Tableau plaquette complet'!F:F,'Tableau plaquette complet'!G:G,"EMAG 3",'Tableau plaquette complet'!H:H,"OP 40",'Tableau plaquette complet'!J:J,"304x28 RPE",'Tableau plaquette complet'!B:B,"Z000 513 527")</f>
        <v>0</v>
      </c>
      <c r="O17" s="172">
        <f>-(K17-N17)</f>
        <v>0</v>
      </c>
    </row>
    <row r="18" spans="1:15" x14ac:dyDescent="0.25">
      <c r="A18" s="50" t="s">
        <v>117</v>
      </c>
      <c r="B18" s="50" t="s">
        <v>20</v>
      </c>
      <c r="C18" s="166"/>
      <c r="D18" s="50" t="s">
        <v>17</v>
      </c>
      <c r="E18" s="50">
        <v>1</v>
      </c>
      <c r="F18" s="50">
        <v>8</v>
      </c>
      <c r="G18" s="62">
        <v>9.56</v>
      </c>
      <c r="H18" s="28">
        <v>75</v>
      </c>
      <c r="I18" s="15">
        <f t="shared" si="0"/>
        <v>1.5933333333333334E-2</v>
      </c>
      <c r="J18" s="14">
        <f t="shared" si="1"/>
        <v>0</v>
      </c>
      <c r="K18" s="170"/>
      <c r="L18" s="166"/>
      <c r="M18" s="171"/>
      <c r="N18" s="166"/>
      <c r="O18" s="172"/>
    </row>
    <row r="19" spans="1:15" x14ac:dyDescent="0.25">
      <c r="A19" s="50" t="s">
        <v>118</v>
      </c>
      <c r="B19" s="50" t="s">
        <v>20</v>
      </c>
      <c r="C19" s="50" t="s">
        <v>119</v>
      </c>
      <c r="D19" s="50" t="s">
        <v>120</v>
      </c>
      <c r="E19" s="50">
        <v>1</v>
      </c>
      <c r="F19" s="50">
        <v>8</v>
      </c>
      <c r="G19" s="62">
        <v>10.97</v>
      </c>
      <c r="H19" s="28">
        <v>300</v>
      </c>
      <c r="I19" s="15">
        <f t="shared" si="0"/>
        <v>4.5708333333333339E-3</v>
      </c>
      <c r="J19" s="14">
        <f t="shared" si="1"/>
        <v>0</v>
      </c>
      <c r="K19" s="14">
        <f>J19</f>
        <v>0</v>
      </c>
      <c r="L19" s="50">
        <f>N19*G19</f>
        <v>0</v>
      </c>
      <c r="M19" s="53" t="e">
        <f>L19/$B$1</f>
        <v>#DIV/0!</v>
      </c>
      <c r="N19" s="50">
        <f>SUMIFS('Tableau plaquette complet'!F:F,'Tableau plaquette complet'!G:G,"EMAG 3",'Tableau plaquette complet'!H:H,"OP 40",'Tableau plaquette complet'!J:J,"304x28 RPE",'Tableau plaquette complet'!B:B,"Z000 455 182")</f>
        <v>0</v>
      </c>
      <c r="O19" s="52">
        <f>-(K19-N19)</f>
        <v>0</v>
      </c>
    </row>
    <row r="20" spans="1:15" x14ac:dyDescent="0.25">
      <c r="A20" s="50" t="s">
        <v>121</v>
      </c>
      <c r="B20" s="50" t="s">
        <v>20</v>
      </c>
      <c r="C20" s="50" t="s">
        <v>122</v>
      </c>
      <c r="D20" s="50" t="s">
        <v>35</v>
      </c>
      <c r="E20" s="50">
        <v>1</v>
      </c>
      <c r="F20" s="50">
        <v>6</v>
      </c>
      <c r="G20" s="62">
        <v>11.87</v>
      </c>
      <c r="H20" s="28">
        <v>75</v>
      </c>
      <c r="I20" s="15">
        <f t="shared" si="0"/>
        <v>2.6377777777777778E-2</v>
      </c>
      <c r="J20" s="14">
        <f t="shared" si="1"/>
        <v>0</v>
      </c>
      <c r="K20" s="14">
        <f t="shared" ref="K20:K21" si="3">J20</f>
        <v>0</v>
      </c>
      <c r="L20" s="50">
        <f t="shared" ref="L20:L21" si="4">N20*G20</f>
        <v>0</v>
      </c>
      <c r="M20" s="53" t="e">
        <f t="shared" ref="M20:M21" si="5">L20/$B$1</f>
        <v>#DIV/0!</v>
      </c>
      <c r="N20" s="50">
        <f>SUMIFS('Tableau plaquette complet'!F:F,'Tableau plaquette complet'!G:G,"EMAG 3",'Tableau plaquette complet'!H:H,"OP 40",'Tableau plaquette complet'!J:J,"304x28 RPE",'Tableau plaquette complet'!B:B,"Z000 519 285")</f>
        <v>0</v>
      </c>
      <c r="O20" s="52">
        <f t="shared" ref="O20:O21" si="6">-(K20-N20)</f>
        <v>0</v>
      </c>
    </row>
    <row r="21" spans="1:15" x14ac:dyDescent="0.25">
      <c r="A21" s="50" t="s">
        <v>131</v>
      </c>
      <c r="B21" s="50" t="s">
        <v>20</v>
      </c>
      <c r="C21" s="50" t="s">
        <v>132</v>
      </c>
      <c r="D21" s="50" t="s">
        <v>133</v>
      </c>
      <c r="E21" s="50">
        <v>1</v>
      </c>
      <c r="F21" s="50">
        <v>4</v>
      </c>
      <c r="G21" s="62">
        <v>3.68</v>
      </c>
      <c r="H21" s="28">
        <v>150</v>
      </c>
      <c r="I21" s="15">
        <f t="shared" si="0"/>
        <v>6.1333333333333335E-3</v>
      </c>
      <c r="J21" s="14">
        <f t="shared" si="1"/>
        <v>0</v>
      </c>
      <c r="K21" s="14">
        <f t="shared" si="3"/>
        <v>0</v>
      </c>
      <c r="L21" s="50">
        <f t="shared" si="4"/>
        <v>0</v>
      </c>
      <c r="M21" s="53" t="e">
        <f t="shared" si="5"/>
        <v>#DIV/0!</v>
      </c>
      <c r="N21" s="50">
        <f>SUMIFS('Tableau plaquette complet'!F:F,'Tableau plaquette complet'!G:G,"EMAG 3",'Tableau plaquette complet'!H:H,"OP 40",'Tableau plaquette complet'!J:J,"304x28 RPE",'Tableau plaquette complet'!B:B,"Z000 548 367")</f>
        <v>0</v>
      </c>
      <c r="O21" s="52">
        <f t="shared" si="6"/>
        <v>0</v>
      </c>
    </row>
    <row r="22" spans="1:15" ht="15.75" thickBot="1" x14ac:dyDescent="0.3">
      <c r="I22" s="65">
        <f>SUM(I4:I21)</f>
        <v>0.21207658730158727</v>
      </c>
      <c r="J22" s="66">
        <f>SUM(J4:J21)</f>
        <v>0</v>
      </c>
      <c r="M22" s="41" t="e">
        <f>SUM(M3:M21)</f>
        <v>#DIV/0!</v>
      </c>
      <c r="N22" s="42">
        <f>SUM(N3:N21)</f>
        <v>0</v>
      </c>
    </row>
    <row r="23" spans="1:15" x14ac:dyDescent="0.25">
      <c r="I23" s="30">
        <f>B1*I22</f>
        <v>0</v>
      </c>
      <c r="M23" s="30" t="e">
        <f>B1*M22</f>
        <v>#DIV/0!</v>
      </c>
      <c r="N23" s="4"/>
    </row>
    <row r="26" spans="1:15" x14ac:dyDescent="0.25">
      <c r="H26" t="s">
        <v>124</v>
      </c>
      <c r="I26" t="s">
        <v>93</v>
      </c>
    </row>
    <row r="27" spans="1:15" x14ac:dyDescent="0.25">
      <c r="H27" t="s">
        <v>46</v>
      </c>
      <c r="I27">
        <f>SUMIF($D$4:$D$21,TRIM(H27),$J$4:$J$21)</f>
        <v>0</v>
      </c>
      <c r="J27" s="40"/>
      <c r="K27" s="39"/>
      <c r="L27" s="39"/>
      <c r="M27" s="39"/>
      <c r="N27" s="40"/>
    </row>
    <row r="28" spans="1:15" x14ac:dyDescent="0.25">
      <c r="H28" t="s">
        <v>198</v>
      </c>
      <c r="I28">
        <f t="shared" ref="I28:I34" si="7">SUMIF($D$4:$D$21,TRIM(H28),$J$4:$J$21)</f>
        <v>0</v>
      </c>
    </row>
    <row r="29" spans="1:15" x14ac:dyDescent="0.25">
      <c r="H29" t="s">
        <v>22</v>
      </c>
      <c r="I29">
        <f t="shared" si="7"/>
        <v>0</v>
      </c>
    </row>
    <row r="30" spans="1:15" x14ac:dyDescent="0.25">
      <c r="H30" t="s">
        <v>12</v>
      </c>
      <c r="I30">
        <f t="shared" si="7"/>
        <v>0</v>
      </c>
    </row>
    <row r="31" spans="1:15" x14ac:dyDescent="0.25">
      <c r="H31" t="s">
        <v>25</v>
      </c>
      <c r="I31">
        <f t="shared" si="7"/>
        <v>0</v>
      </c>
    </row>
    <row r="32" spans="1:15" x14ac:dyDescent="0.25">
      <c r="H32" t="s">
        <v>23</v>
      </c>
      <c r="I32">
        <f t="shared" si="7"/>
        <v>0</v>
      </c>
    </row>
    <row r="33" spans="8:9" x14ac:dyDescent="0.25">
      <c r="H33" t="s">
        <v>120</v>
      </c>
      <c r="I33">
        <f t="shared" si="7"/>
        <v>0</v>
      </c>
    </row>
    <row r="34" spans="8:9" x14ac:dyDescent="0.25">
      <c r="H34" t="s">
        <v>17</v>
      </c>
      <c r="I34">
        <f t="shared" si="7"/>
        <v>0</v>
      </c>
    </row>
    <row r="35" spans="8:9" x14ac:dyDescent="0.25">
      <c r="H35" t="s">
        <v>35</v>
      </c>
      <c r="I35">
        <f>SUMIF($D$4:$D$21,TRIM(H35),$J$4:$J$21)</f>
        <v>0</v>
      </c>
    </row>
    <row r="36" spans="8:9" x14ac:dyDescent="0.25">
      <c r="H36" t="s">
        <v>133</v>
      </c>
      <c r="I36">
        <f>SUMIF($D$4:$D$21,TRIM(H36),$J$4:$J$21)</f>
        <v>0</v>
      </c>
    </row>
  </sheetData>
  <mergeCells count="24">
    <mergeCell ref="O17:O18"/>
    <mergeCell ref="C10:C13"/>
    <mergeCell ref="K10:K13"/>
    <mergeCell ref="L10:L13"/>
    <mergeCell ref="M10:M13"/>
    <mergeCell ref="N10:N13"/>
    <mergeCell ref="O10:O13"/>
    <mergeCell ref="C17:C18"/>
    <mergeCell ref="K17:K18"/>
    <mergeCell ref="L17:L18"/>
    <mergeCell ref="M17:M18"/>
    <mergeCell ref="N17:N18"/>
    <mergeCell ref="O7:O9"/>
    <mergeCell ref="C4:C6"/>
    <mergeCell ref="K4:K6"/>
    <mergeCell ref="L4:L6"/>
    <mergeCell ref="M4:M6"/>
    <mergeCell ref="N4:N6"/>
    <mergeCell ref="O4:O6"/>
    <mergeCell ref="C7:C9"/>
    <mergeCell ref="K7:K9"/>
    <mergeCell ref="L7:L9"/>
    <mergeCell ref="M7:M9"/>
    <mergeCell ref="N7:N9"/>
  </mergeCells>
  <conditionalFormatting sqref="M22">
    <cfRule type="cellIs" dxfId="21" priority="1" operator="greaterThan">
      <formula>$I$22</formula>
    </cfRule>
    <cfRule type="cellIs" dxfId="20" priority="2" operator="lessThanOrEqual">
      <formula>$I$22</formula>
    </cfRule>
  </conditionalFormatting>
  <conditionalFormatting sqref="N22">
    <cfRule type="cellIs" dxfId="19" priority="3" operator="lessThanOrEqual">
      <formula>$J$22</formula>
    </cfRule>
    <cfRule type="cellIs" dxfId="18" priority="4" operator="greaterThan">
      <formula>$J$22</formula>
    </cfRule>
  </conditionalFormatting>
  <dataValidations count="2">
    <dataValidation type="list" allowBlank="1" showInputMessage="1" showErrorMessage="1" sqref="C7:C9" xr:uid="{00000000-0002-0000-1000-000000000000}">
      <formula1>"SNMX120716T03030 SL506, S CBN"</formula1>
    </dataValidation>
    <dataValidation type="list" allowBlank="1" showInputMessage="1" showErrorMessage="1" sqref="C4:C6" xr:uid="{00000000-0002-0000-1000-000001000000}">
      <formula1>"CNMX120716T03030 SL506, C CBN"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36">
    <tabColor rgb="FFFFFF00"/>
  </sheetPr>
  <dimension ref="A1:O39"/>
  <sheetViews>
    <sheetView topLeftCell="D1" zoomScale="47" workbookViewId="0">
      <selection activeCell="O24" sqref="O24"/>
    </sheetView>
  </sheetViews>
  <sheetFormatPr baseColWidth="10" defaultColWidth="11.42578125" defaultRowHeight="15" x14ac:dyDescent="0.25"/>
  <cols>
    <col min="1" max="1" width="13.42578125" bestFit="1" customWidth="1"/>
    <col min="3" max="3" width="30.28515625" customWidth="1"/>
    <col min="4" max="4" width="25.28515625" bestFit="1" customWidth="1"/>
    <col min="8" max="8" width="22.7109375" bestFit="1" customWidth="1"/>
    <col min="14" max="14" width="14.140625" customWidth="1"/>
  </cols>
  <sheetData>
    <row r="1" spans="1:15" x14ac:dyDescent="0.25">
      <c r="A1" s="8" t="s">
        <v>82</v>
      </c>
      <c r="B1" s="9">
        <v>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x14ac:dyDescent="0.25">
      <c r="A2" s="92"/>
      <c r="B2" s="92"/>
      <c r="C2" s="92" t="s">
        <v>37</v>
      </c>
      <c r="D2" s="92"/>
      <c r="E2" s="92"/>
      <c r="F2" s="92"/>
      <c r="G2" s="93"/>
      <c r="H2" s="92"/>
      <c r="I2" s="92"/>
      <c r="J2" s="92"/>
      <c r="K2" s="92"/>
      <c r="L2" s="92"/>
      <c r="M2" s="92"/>
      <c r="N2" s="92"/>
      <c r="O2" s="92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2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0" t="s">
        <v>99</v>
      </c>
      <c r="B4" s="50" t="s">
        <v>39</v>
      </c>
      <c r="C4" s="162" t="s">
        <v>127</v>
      </c>
      <c r="D4" s="50" t="str">
        <f>IF(C4="CNMX120716T03030 SL506","Z000 546 265","IM02 209 560")</f>
        <v>IM02 209 560</v>
      </c>
      <c r="E4" s="50">
        <v>1</v>
      </c>
      <c r="F4" s="50">
        <v>4</v>
      </c>
      <c r="G4" s="62">
        <f>IF(C4="CNMX120716T03030 SL506",7,38)</f>
        <v>38</v>
      </c>
      <c r="H4" s="62">
        <f>IF(C4="CNMX120716T03030 SL506",100,600)</f>
        <v>600</v>
      </c>
      <c r="I4" s="15">
        <f t="shared" ref="I4:I22" si="0">(E4*G4)/(F4*H4)</f>
        <v>1.5833333333333335E-2</v>
      </c>
      <c r="J4" s="14">
        <f t="shared" ref="J4:J22" si="1">(ROUNDUP($E4*$B$1/($F4*H4),0))</f>
        <v>0</v>
      </c>
      <c r="K4" s="170">
        <f>SUM(J4:J7)</f>
        <v>0</v>
      </c>
      <c r="L4" s="166">
        <f>N4*G4</f>
        <v>0</v>
      </c>
      <c r="M4" s="171" t="e">
        <f>L4/$B$1</f>
        <v>#DIV/0!</v>
      </c>
      <c r="N4" s="166">
        <f>IF(C4="CNMX120716T03030 SL506",SUMIFS('Tableau plaquette complet'!F:F,'Tableau plaquette complet'!G:G,"EMAG 3",'Tableau plaquette complet'!H:H,"OP 10",'Tableau plaquette complet'!J:J,"330x14",'Tableau plaquette complet'!B:B,"Z000 546 265"),'Tableau plaquette outil'!F14)</f>
        <v>0</v>
      </c>
      <c r="O4" s="172">
        <f>-(K4-N4)</f>
        <v>0</v>
      </c>
    </row>
    <row r="5" spans="1:15" x14ac:dyDescent="0.25">
      <c r="A5" s="50" t="s">
        <v>101</v>
      </c>
      <c r="B5" s="50" t="s">
        <v>39</v>
      </c>
      <c r="C5" s="163"/>
      <c r="D5" s="50" t="str">
        <f>IF(C4="CNMX120716T03030 SL506","Z000 546 265","IM02 209 560")</f>
        <v>IM02 209 560</v>
      </c>
      <c r="E5" s="50">
        <v>1</v>
      </c>
      <c r="F5" s="50">
        <v>4</v>
      </c>
      <c r="G5" s="62">
        <f>IF(C4="CNMX120716T03030 SL506",7/2,38/2)</f>
        <v>19</v>
      </c>
      <c r="H5" s="62">
        <f>IF(C4="CNMX120716T03030 SL506",100,500)</f>
        <v>500</v>
      </c>
      <c r="I5" s="15">
        <f t="shared" si="0"/>
        <v>9.4999999999999998E-3</v>
      </c>
      <c r="J5" s="14">
        <f t="shared" si="1"/>
        <v>0</v>
      </c>
      <c r="K5" s="170"/>
      <c r="L5" s="166"/>
      <c r="M5" s="171"/>
      <c r="N5" s="166"/>
      <c r="O5" s="172"/>
    </row>
    <row r="6" spans="1:15" x14ac:dyDescent="0.25">
      <c r="A6" s="50" t="s">
        <v>102</v>
      </c>
      <c r="B6" s="50" t="s">
        <v>39</v>
      </c>
      <c r="C6" s="163"/>
      <c r="D6" s="50" t="str">
        <f>IF(C4="CNMX120716T03030 SL506","Z000 546 265","IM02 209 560")</f>
        <v>IM02 209 560</v>
      </c>
      <c r="E6" s="50">
        <v>1</v>
      </c>
      <c r="F6" s="50">
        <v>4</v>
      </c>
      <c r="G6" s="62">
        <f>IF(C4="CNMX120716T03030 SL506",7/2,38/2)</f>
        <v>19</v>
      </c>
      <c r="H6" s="62">
        <f>IF(C4="CNMX120716T03030 SL506",100,500)</f>
        <v>500</v>
      </c>
      <c r="I6" s="15">
        <f t="shared" si="0"/>
        <v>9.4999999999999998E-3</v>
      </c>
      <c r="J6" s="14">
        <f t="shared" si="1"/>
        <v>0</v>
      </c>
      <c r="K6" s="170"/>
      <c r="L6" s="166"/>
      <c r="M6" s="171"/>
      <c r="N6" s="166"/>
      <c r="O6" s="172"/>
    </row>
    <row r="7" spans="1:15" x14ac:dyDescent="0.25">
      <c r="A7" s="50" t="s">
        <v>135</v>
      </c>
      <c r="B7" s="50" t="s">
        <v>39</v>
      </c>
      <c r="C7" s="164"/>
      <c r="D7" s="50" t="str">
        <f>IF(C4="CNMX120716T03030 SL506","Z000 546 265","IM02 209 560")</f>
        <v>IM02 209 560</v>
      </c>
      <c r="E7" s="50">
        <v>1</v>
      </c>
      <c r="F7" s="50">
        <v>4</v>
      </c>
      <c r="G7" s="62">
        <f>IF(C4="CNMX120716T03030 SL506",7,38)</f>
        <v>38</v>
      </c>
      <c r="H7" s="62">
        <f>IF(C4="CNMX120716T03030 SL506",100,600)</f>
        <v>600</v>
      </c>
      <c r="I7" s="15">
        <f t="shared" si="0"/>
        <v>1.5833333333333335E-2</v>
      </c>
      <c r="J7" s="14">
        <f t="shared" si="1"/>
        <v>0</v>
      </c>
      <c r="K7" s="170"/>
      <c r="L7" s="166"/>
      <c r="M7" s="171"/>
      <c r="N7" s="166"/>
      <c r="O7" s="172"/>
    </row>
    <row r="8" spans="1:15" x14ac:dyDescent="0.25">
      <c r="A8" s="50" t="s">
        <v>103</v>
      </c>
      <c r="B8" s="50" t="s">
        <v>39</v>
      </c>
      <c r="C8" s="162" t="s">
        <v>129</v>
      </c>
      <c r="D8" s="50" t="str">
        <f>IF(C8="SNMX120716T03030 SL506","Z000 546 266","IM02 198 054")</f>
        <v>IM02 198 054</v>
      </c>
      <c r="E8" s="50">
        <v>1</v>
      </c>
      <c r="F8" s="50">
        <v>8</v>
      </c>
      <c r="G8" s="62">
        <f>IF(C8="SNMX120716T03030 SL506",7.12,38)</f>
        <v>38</v>
      </c>
      <c r="H8" s="62">
        <f>IF(C8="SNMX120716T03030 SL506",100,600)</f>
        <v>600</v>
      </c>
      <c r="I8" s="15">
        <f t="shared" si="0"/>
        <v>7.9166666666666673E-3</v>
      </c>
      <c r="J8" s="14">
        <f t="shared" si="1"/>
        <v>0</v>
      </c>
      <c r="K8" s="170">
        <f>+SUM(J8:J9)</f>
        <v>0</v>
      </c>
      <c r="L8" s="166">
        <f>N8*G8</f>
        <v>0</v>
      </c>
      <c r="M8" s="171" t="e">
        <f>L8/$B$1</f>
        <v>#DIV/0!</v>
      </c>
      <c r="N8" s="166">
        <f>IF(C8="SNMX120716T03030 SL506",SUMIFS('Tableau plaquette complet'!F:F,'Tableau plaquette complet'!G:G,"EMAG 2",'Tableau plaquette complet'!H:H,"OP 10",'Tableau plaquette complet'!J:J,"330x14",'Tableau plaquette complet'!B:B,"Z000 546 266"),'Tableau plaquette outil'!F13)</f>
        <v>0</v>
      </c>
      <c r="O8" s="172">
        <f>-(K8-N8)</f>
        <v>0</v>
      </c>
    </row>
    <row r="9" spans="1:15" x14ac:dyDescent="0.25">
      <c r="A9" s="50" t="s">
        <v>105</v>
      </c>
      <c r="B9" s="50" t="s">
        <v>39</v>
      </c>
      <c r="C9" s="164"/>
      <c r="D9" s="50" t="str">
        <f>IF(C8="SNMX120716T03030 SL506","Z000 546 266","IM02 198 054")</f>
        <v>IM02 198 054</v>
      </c>
      <c r="E9" s="50">
        <v>1</v>
      </c>
      <c r="F9" s="50">
        <v>8</v>
      </c>
      <c r="G9" s="62">
        <f>IF(C8="SNMX120716T03030 SL506",7.12,38)</f>
        <v>38</v>
      </c>
      <c r="H9" s="62">
        <f>IF(C8="SNMX120716T03030 SL506",100,600)</f>
        <v>600</v>
      </c>
      <c r="I9" s="15">
        <f t="shared" si="0"/>
        <v>7.9166666666666673E-3</v>
      </c>
      <c r="J9" s="14">
        <f t="shared" si="1"/>
        <v>0</v>
      </c>
      <c r="K9" s="170"/>
      <c r="L9" s="166"/>
      <c r="M9" s="171"/>
      <c r="N9" s="166"/>
      <c r="O9" s="172"/>
    </row>
    <row r="10" spans="1:15" x14ac:dyDescent="0.25">
      <c r="A10" s="48" t="s">
        <v>106</v>
      </c>
      <c r="B10" s="48" t="s">
        <v>14</v>
      </c>
      <c r="C10" s="147" t="s">
        <v>100</v>
      </c>
      <c r="D10" s="48" t="s">
        <v>22</v>
      </c>
      <c r="E10" s="48">
        <v>1</v>
      </c>
      <c r="F10" s="48">
        <v>4</v>
      </c>
      <c r="G10" s="64">
        <v>7</v>
      </c>
      <c r="H10" s="64">
        <v>100</v>
      </c>
      <c r="I10" s="15">
        <f t="shared" si="0"/>
        <v>1.7500000000000002E-2</v>
      </c>
      <c r="J10" s="14">
        <f t="shared" si="1"/>
        <v>0</v>
      </c>
      <c r="K10" s="170">
        <f>SUM(J10:J12)</f>
        <v>0</v>
      </c>
      <c r="L10" s="207">
        <f>N10*G10</f>
        <v>0</v>
      </c>
      <c r="M10" s="208" t="e">
        <f>L10/$B$1</f>
        <v>#DIV/0!</v>
      </c>
      <c r="N10" s="207">
        <f>SUMIFS('Tableau plaquette complet'!F:F,'Tableau plaquette complet'!G:G,"EMAG 3",'Tableau plaquette complet'!H:H,"OP 20",'Tableau plaquette complet'!J:J,"330x14",'Tableau plaquette complet'!B:B,"Z000 546 265")</f>
        <v>0</v>
      </c>
      <c r="O10" s="206">
        <f>-(K10-N10)</f>
        <v>0</v>
      </c>
    </row>
    <row r="11" spans="1:15" x14ac:dyDescent="0.25">
      <c r="A11" s="48" t="s">
        <v>136</v>
      </c>
      <c r="B11" s="48" t="s">
        <v>14</v>
      </c>
      <c r="C11" s="148"/>
      <c r="D11" s="48" t="s">
        <v>22</v>
      </c>
      <c r="E11" s="48">
        <v>1</v>
      </c>
      <c r="F11" s="48">
        <v>4</v>
      </c>
      <c r="G11" s="64">
        <v>3.5</v>
      </c>
      <c r="H11" s="64">
        <v>100</v>
      </c>
      <c r="I11" s="15">
        <f t="shared" si="0"/>
        <v>8.7500000000000008E-3</v>
      </c>
      <c r="J11" s="14">
        <f t="shared" si="1"/>
        <v>0</v>
      </c>
      <c r="K11" s="170"/>
      <c r="L11" s="207"/>
      <c r="M11" s="208"/>
      <c r="N11" s="207"/>
      <c r="O11" s="206"/>
    </row>
    <row r="12" spans="1:15" x14ac:dyDescent="0.25">
      <c r="A12" s="48" t="s">
        <v>151</v>
      </c>
      <c r="B12" s="48" t="s">
        <v>14</v>
      </c>
      <c r="C12" s="148"/>
      <c r="D12" s="48" t="s">
        <v>22</v>
      </c>
      <c r="E12" s="48">
        <v>1</v>
      </c>
      <c r="F12" s="48">
        <v>4</v>
      </c>
      <c r="G12" s="64">
        <v>3.5</v>
      </c>
      <c r="H12" s="64">
        <v>100</v>
      </c>
      <c r="I12" s="15">
        <f t="shared" si="0"/>
        <v>8.7500000000000008E-3</v>
      </c>
      <c r="J12" s="14">
        <f t="shared" si="1"/>
        <v>0</v>
      </c>
      <c r="K12" s="170"/>
      <c r="L12" s="207"/>
      <c r="M12" s="208"/>
      <c r="N12" s="207"/>
      <c r="O12" s="206"/>
    </row>
    <row r="13" spans="1:15" x14ac:dyDescent="0.25">
      <c r="A13" s="147" t="s">
        <v>152</v>
      </c>
      <c r="B13" s="147" t="s">
        <v>14</v>
      </c>
      <c r="C13" s="147" t="s">
        <v>153</v>
      </c>
      <c r="D13" s="147" t="s">
        <v>40</v>
      </c>
      <c r="E13" s="147">
        <v>1</v>
      </c>
      <c r="F13" s="147">
        <v>2</v>
      </c>
      <c r="G13" s="204">
        <v>13</v>
      </c>
      <c r="H13" s="204">
        <v>200</v>
      </c>
      <c r="I13" s="202">
        <f t="shared" si="0"/>
        <v>3.2500000000000001E-2</v>
      </c>
      <c r="J13" s="167">
        <f t="shared" si="1"/>
        <v>0</v>
      </c>
      <c r="K13" s="167">
        <f>J13</f>
        <v>0</v>
      </c>
      <c r="L13" s="90">
        <f>N13*18.8</f>
        <v>0</v>
      </c>
      <c r="M13" s="91" t="e">
        <f>L13/$B$1</f>
        <v>#DIV/0!</v>
      </c>
      <c r="N13" s="90">
        <f>SUMIFS('Tableau plaquette complet'!F:F,'Tableau plaquette complet'!G:G,"EMAG 3",'Tableau plaquette complet'!H:H,"OP 20",'Tableau plaquette complet'!J:J,"330x14",'Tableau plaquette complet'!B:B,"IM02 137 020")</f>
        <v>0</v>
      </c>
      <c r="O13" s="153">
        <f>-(K13-SUM(N13:N14))</f>
        <v>0</v>
      </c>
    </row>
    <row r="14" spans="1:15" x14ac:dyDescent="0.25">
      <c r="A14" s="149"/>
      <c r="B14" s="149"/>
      <c r="C14" s="149"/>
      <c r="D14" s="149"/>
      <c r="E14" s="149"/>
      <c r="F14" s="149"/>
      <c r="G14" s="205"/>
      <c r="H14" s="205"/>
      <c r="I14" s="203"/>
      <c r="J14" s="169"/>
      <c r="K14" s="169"/>
      <c r="L14" s="90">
        <f>N14*11</f>
        <v>0</v>
      </c>
      <c r="M14" s="91" t="e">
        <f>L14/$B$1</f>
        <v>#DIV/0!</v>
      </c>
      <c r="N14" s="90">
        <f>SUMIFS('Tableau plaquette complet'!F:F,'Tableau plaquette complet'!G:G,"EMAG 3",'Tableau plaquette complet'!H:H,"OP 20",'Tableau plaquette complet'!J:J,"330x14",'Tableau plaquette complet'!B:B,"IM02 137 020")</f>
        <v>0</v>
      </c>
      <c r="O14" s="155"/>
    </row>
    <row r="15" spans="1:15" x14ac:dyDescent="0.25">
      <c r="A15" s="48" t="s">
        <v>114</v>
      </c>
      <c r="B15" s="48" t="s">
        <v>14</v>
      </c>
      <c r="C15" s="48" t="s">
        <v>104</v>
      </c>
      <c r="D15" s="48" t="s">
        <v>23</v>
      </c>
      <c r="E15" s="48">
        <v>1</v>
      </c>
      <c r="F15" s="48">
        <v>8</v>
      </c>
      <c r="G15" s="64">
        <v>7.12</v>
      </c>
      <c r="H15" s="64">
        <v>100</v>
      </c>
      <c r="I15" s="15">
        <f t="shared" si="0"/>
        <v>8.8999999999999999E-3</v>
      </c>
      <c r="J15" s="14">
        <f t="shared" si="1"/>
        <v>0</v>
      </c>
      <c r="K15" s="14">
        <f>J15</f>
        <v>0</v>
      </c>
      <c r="L15" s="48">
        <f>N14*G15</f>
        <v>0</v>
      </c>
      <c r="M15" s="49" t="e">
        <f>L15/$B$1</f>
        <v>#DIV/0!</v>
      </c>
      <c r="N15" s="92">
        <f>SUMIFS('Tableau plaquette complet'!F:F,'Tableau plaquette complet'!G:G,"EMAG 2",'Tableau plaquette complet'!H:H,"OP 20",'Tableau plaquette complet'!J:J,"330x14",'Tableau plaquette complet'!B:B,"Z000 546 266")</f>
        <v>20</v>
      </c>
      <c r="O15" s="47">
        <f>-(K15-N14)</f>
        <v>0</v>
      </c>
    </row>
    <row r="16" spans="1:15" x14ac:dyDescent="0.25">
      <c r="A16" s="50" t="s">
        <v>154</v>
      </c>
      <c r="B16" s="50" t="s">
        <v>38</v>
      </c>
      <c r="C16" s="50" t="s">
        <v>51</v>
      </c>
      <c r="D16" s="50" t="s">
        <v>51</v>
      </c>
      <c r="E16" s="50">
        <v>1</v>
      </c>
      <c r="F16" s="50">
        <v>1</v>
      </c>
      <c r="G16" s="50">
        <v>50</v>
      </c>
      <c r="H16" s="50">
        <v>1500</v>
      </c>
      <c r="I16" s="26">
        <f t="shared" si="0"/>
        <v>3.3333333333333333E-2</v>
      </c>
      <c r="J16" s="14">
        <f t="shared" ref="J16" si="2">(ROUNDUP($E16*$B$1/($F16*H16),0))</f>
        <v>0</v>
      </c>
      <c r="K16" s="14">
        <f t="shared" ref="K16:K17" si="3">J16</f>
        <v>0</v>
      </c>
      <c r="L16" s="50">
        <f t="shared" ref="L16:L17" si="4">N16*G16</f>
        <v>50</v>
      </c>
      <c r="M16" s="53" t="e">
        <f t="shared" ref="M16:M17" si="5">L16/$B$1</f>
        <v>#DIV/0!</v>
      </c>
      <c r="N16" s="52">
        <f>'Tableau plaquette outil'!F27</f>
        <v>1</v>
      </c>
      <c r="O16" s="52">
        <f t="shared" ref="O16:O18" si="6">-(K16-N16)</f>
        <v>1</v>
      </c>
    </row>
    <row r="17" spans="1:15" x14ac:dyDescent="0.25">
      <c r="A17" s="50" t="s">
        <v>154</v>
      </c>
      <c r="B17" s="50" t="s">
        <v>38</v>
      </c>
      <c r="C17" s="50" t="s">
        <v>155</v>
      </c>
      <c r="D17" s="50" t="s">
        <v>155</v>
      </c>
      <c r="E17" s="50">
        <v>1</v>
      </c>
      <c r="F17" s="50">
        <v>3</v>
      </c>
      <c r="G17" s="50">
        <v>10.65</v>
      </c>
      <c r="H17" s="50">
        <v>1500</v>
      </c>
      <c r="I17" s="26">
        <f t="shared" si="0"/>
        <v>2.3666666666666667E-3</v>
      </c>
      <c r="J17" s="14">
        <f>J16*2/3</f>
        <v>0</v>
      </c>
      <c r="K17" s="14">
        <f t="shared" si="3"/>
        <v>0</v>
      </c>
      <c r="L17" s="50">
        <f t="shared" si="4"/>
        <v>10.65</v>
      </c>
      <c r="M17" s="53" t="e">
        <f t="shared" si="5"/>
        <v>#DIV/0!</v>
      </c>
      <c r="N17" s="52">
        <f>'Tableau plaquette outil'!F28</f>
        <v>1</v>
      </c>
      <c r="O17" s="52">
        <f t="shared" si="6"/>
        <v>1</v>
      </c>
    </row>
    <row r="18" spans="1:15" x14ac:dyDescent="0.25">
      <c r="A18" s="48" t="s">
        <v>150</v>
      </c>
      <c r="B18" s="48" t="s">
        <v>20</v>
      </c>
      <c r="C18" s="48" t="s">
        <v>156</v>
      </c>
      <c r="D18" s="48" t="s">
        <v>41</v>
      </c>
      <c r="E18" s="48">
        <v>1</v>
      </c>
      <c r="F18" s="48">
        <v>6</v>
      </c>
      <c r="G18" s="48">
        <v>13.88</v>
      </c>
      <c r="H18" s="64">
        <v>100</v>
      </c>
      <c r="I18" s="15">
        <f t="shared" si="0"/>
        <v>2.3133333333333336E-2</v>
      </c>
      <c r="J18" s="14">
        <f t="shared" si="1"/>
        <v>0</v>
      </c>
      <c r="K18" s="14">
        <f>J18</f>
        <v>0</v>
      </c>
      <c r="L18" s="48">
        <f>N18*G18</f>
        <v>0</v>
      </c>
      <c r="M18" s="49" t="e">
        <f>L18/$B$1</f>
        <v>#DIV/0!</v>
      </c>
      <c r="N18" s="48">
        <f>SUMIFS('Tableau plaquette complet'!F:F,'Tableau plaquette complet'!G:G,"EMAG 3",'Tableau plaquette complet'!H:H,"OP 40",'Tableau plaquette complet'!J:J,"330x14",'Tableau plaquette complet'!B:B,"Z000 517 182")</f>
        <v>0</v>
      </c>
      <c r="O18" s="47">
        <f t="shared" si="6"/>
        <v>0</v>
      </c>
    </row>
    <row r="19" spans="1:15" x14ac:dyDescent="0.25">
      <c r="A19" s="48" t="s">
        <v>147</v>
      </c>
      <c r="B19" s="48" t="s">
        <v>20</v>
      </c>
      <c r="C19" s="147" t="s">
        <v>148</v>
      </c>
      <c r="D19" s="48" t="s">
        <v>36</v>
      </c>
      <c r="E19" s="48">
        <v>1</v>
      </c>
      <c r="F19" s="48">
        <v>4</v>
      </c>
      <c r="G19" s="64">
        <v>8.6999999999999993</v>
      </c>
      <c r="H19" s="64">
        <v>50</v>
      </c>
      <c r="I19" s="15">
        <f t="shared" si="0"/>
        <v>4.3499999999999997E-2</v>
      </c>
      <c r="J19" s="14">
        <f t="shared" si="1"/>
        <v>0</v>
      </c>
      <c r="K19" s="170">
        <f>+SUM(J19:J20)</f>
        <v>0</v>
      </c>
      <c r="L19" s="207">
        <f>N19*G19</f>
        <v>0</v>
      </c>
      <c r="M19" s="208" t="e">
        <f>L19/$B$1</f>
        <v>#DIV/0!</v>
      </c>
      <c r="N19" s="207">
        <f>SUMIFS('Tableau plaquette complet'!F:F,'Tableau plaquette complet'!G:G,"EMAG 3",'Tableau plaquette complet'!H:H,"OP 40",'Tableau plaquette complet'!J:J,"330x14",'Tableau plaquette complet'!B:B,"Z000 539 100")</f>
        <v>0</v>
      </c>
      <c r="O19" s="206">
        <f>-(K19-N19)</f>
        <v>0</v>
      </c>
    </row>
    <row r="20" spans="1:15" x14ac:dyDescent="0.25">
      <c r="A20" s="48" t="s">
        <v>149</v>
      </c>
      <c r="B20" s="48" t="s">
        <v>20</v>
      </c>
      <c r="C20" s="149"/>
      <c r="D20" s="48" t="s">
        <v>36</v>
      </c>
      <c r="E20" s="48">
        <v>1</v>
      </c>
      <c r="F20" s="48">
        <v>4</v>
      </c>
      <c r="G20" s="64">
        <v>8.6999999999999993</v>
      </c>
      <c r="H20" s="64">
        <v>50</v>
      </c>
      <c r="I20" s="15">
        <f t="shared" si="0"/>
        <v>4.3499999999999997E-2</v>
      </c>
      <c r="J20" s="14">
        <f t="shared" si="1"/>
        <v>0</v>
      </c>
      <c r="K20" s="170"/>
      <c r="L20" s="207"/>
      <c r="M20" s="208"/>
      <c r="N20" s="207"/>
      <c r="O20" s="206"/>
    </row>
    <row r="21" spans="1:15" x14ac:dyDescent="0.25">
      <c r="A21" s="48" t="s">
        <v>118</v>
      </c>
      <c r="B21" s="48" t="s">
        <v>20</v>
      </c>
      <c r="C21" s="48" t="s">
        <v>119</v>
      </c>
      <c r="D21" s="48" t="s">
        <v>120</v>
      </c>
      <c r="E21" s="48">
        <v>1</v>
      </c>
      <c r="F21" s="48">
        <v>8</v>
      </c>
      <c r="G21" s="64">
        <v>10.97</v>
      </c>
      <c r="H21" s="64">
        <v>200</v>
      </c>
      <c r="I21" s="15">
        <f t="shared" si="0"/>
        <v>6.8562500000000004E-3</v>
      </c>
      <c r="J21" s="14">
        <f t="shared" si="1"/>
        <v>0</v>
      </c>
      <c r="K21" s="14">
        <f>J21</f>
        <v>0</v>
      </c>
      <c r="L21" s="48">
        <f>N21*G21</f>
        <v>0</v>
      </c>
      <c r="M21" s="49" t="e">
        <f>L21/$B$1</f>
        <v>#DIV/0!</v>
      </c>
      <c r="N21" s="48">
        <f>SUMIFS('Tableau plaquette complet'!F:F,'Tableau plaquette complet'!G:G,"EMAG 3",'Tableau plaquette complet'!H:H,"OP 40",'Tableau plaquette complet'!J:J,"330x14",'Tableau plaquette complet'!B:B,"Z000 455 182")</f>
        <v>0</v>
      </c>
      <c r="O21" s="47">
        <f>-(K21-N21)</f>
        <v>0</v>
      </c>
    </row>
    <row r="22" spans="1:15" x14ac:dyDescent="0.25">
      <c r="A22" s="48" t="s">
        <v>121</v>
      </c>
      <c r="B22" s="48" t="s">
        <v>20</v>
      </c>
      <c r="C22" s="48" t="s">
        <v>122</v>
      </c>
      <c r="D22" s="48" t="s">
        <v>35</v>
      </c>
      <c r="E22" s="48">
        <v>1</v>
      </c>
      <c r="F22" s="48">
        <v>6</v>
      </c>
      <c r="G22" s="64">
        <v>11.87</v>
      </c>
      <c r="H22" s="64">
        <v>100</v>
      </c>
      <c r="I22" s="15">
        <f t="shared" si="0"/>
        <v>1.9783333333333333E-2</v>
      </c>
      <c r="J22" s="14">
        <f t="shared" si="1"/>
        <v>0</v>
      </c>
      <c r="K22" s="14">
        <f>J22</f>
        <v>0</v>
      </c>
      <c r="L22" s="48">
        <f>N22*G22</f>
        <v>0</v>
      </c>
      <c r="M22" s="49" t="e">
        <f>L22/$B$1</f>
        <v>#DIV/0!</v>
      </c>
      <c r="N22" s="48">
        <f>SUMIFS('Tableau plaquette complet'!F:F,'Tableau plaquette complet'!G:G,"EMAG 3",'Tableau plaquette complet'!H:H,"OP 40",'Tableau plaquette complet'!J:J,"330x14",'Tableau plaquette complet'!B:B,"Z000 519 285")</f>
        <v>0</v>
      </c>
      <c r="O22" s="47">
        <f>-(K22-N22)</f>
        <v>0</v>
      </c>
    </row>
    <row r="23" spans="1:15" ht="15.75" thickBot="1" x14ac:dyDescent="0.3">
      <c r="A23" s="92"/>
      <c r="B23" s="92"/>
      <c r="C23" s="92"/>
      <c r="D23" s="92"/>
      <c r="E23" s="92"/>
      <c r="F23" s="92"/>
      <c r="G23" s="92"/>
      <c r="H23" s="92"/>
      <c r="I23" s="65">
        <f>SUM(I4:I22)</f>
        <v>0.31537291666666661</v>
      </c>
      <c r="J23" s="66">
        <f>SUM(J4:J22)</f>
        <v>0</v>
      </c>
      <c r="K23" s="92"/>
      <c r="L23" s="92"/>
      <c r="M23" s="65" t="e">
        <f>SUM(M4:M22)</f>
        <v>#DIV/0!</v>
      </c>
      <c r="N23" s="66">
        <f>SUM(N4:N22)</f>
        <v>22</v>
      </c>
      <c r="O23" s="92"/>
    </row>
    <row r="24" spans="1:15" x14ac:dyDescent="0.25">
      <c r="A24" s="92"/>
      <c r="B24" s="92"/>
      <c r="C24" s="92"/>
      <c r="D24" s="92"/>
      <c r="E24" s="92"/>
      <c r="F24" s="92"/>
      <c r="G24" s="92"/>
      <c r="H24" s="92"/>
      <c r="I24" s="19">
        <f>B1*I23</f>
        <v>0</v>
      </c>
      <c r="J24" s="92"/>
      <c r="K24" s="92"/>
      <c r="L24" s="92"/>
      <c r="M24" s="19" t="e">
        <f>B1*M23</f>
        <v>#DIV/0!</v>
      </c>
      <c r="N24" s="92"/>
      <c r="O24" s="92"/>
    </row>
    <row r="26" spans="1:15" x14ac:dyDescent="0.25">
      <c r="H26" t="s">
        <v>124</v>
      </c>
      <c r="I26" t="s">
        <v>93</v>
      </c>
    </row>
    <row r="27" spans="1:15" x14ac:dyDescent="0.25">
      <c r="H27" t="s">
        <v>46</v>
      </c>
      <c r="I27" s="40">
        <f t="shared" ref="I27:I37" si="7">SUMIF($D$4:$D$24,TRIM(H27),$J$4:$J$24)</f>
        <v>0</v>
      </c>
    </row>
    <row r="28" spans="1:15" x14ac:dyDescent="0.25">
      <c r="H28" t="s">
        <v>198</v>
      </c>
      <c r="I28" s="40">
        <f t="shared" si="7"/>
        <v>0</v>
      </c>
    </row>
    <row r="29" spans="1:15" x14ac:dyDescent="0.25">
      <c r="H29" t="s">
        <v>22</v>
      </c>
      <c r="I29" s="40">
        <f t="shared" si="7"/>
        <v>0</v>
      </c>
    </row>
    <row r="30" spans="1:15" x14ac:dyDescent="0.25">
      <c r="H30" t="s">
        <v>40</v>
      </c>
      <c r="I30" s="40">
        <f t="shared" si="7"/>
        <v>0</v>
      </c>
    </row>
    <row r="31" spans="1:15" x14ac:dyDescent="0.25">
      <c r="H31" t="s">
        <v>23</v>
      </c>
      <c r="I31" s="40">
        <f t="shared" si="7"/>
        <v>0</v>
      </c>
    </row>
    <row r="32" spans="1:15" x14ac:dyDescent="0.25">
      <c r="H32" t="s">
        <v>120</v>
      </c>
      <c r="I32" s="40">
        <f t="shared" si="7"/>
        <v>0</v>
      </c>
    </row>
    <row r="33" spans="8:9" x14ac:dyDescent="0.25">
      <c r="H33" t="s">
        <v>51</v>
      </c>
      <c r="I33" s="40">
        <f>SUMIF($D$4:$D$24,TRIM(H33),$J$4:$J$24)</f>
        <v>0</v>
      </c>
    </row>
    <row r="34" spans="8:9" x14ac:dyDescent="0.25">
      <c r="H34" t="s">
        <v>48</v>
      </c>
      <c r="I34" s="40">
        <f t="shared" si="7"/>
        <v>0</v>
      </c>
    </row>
    <row r="35" spans="8:9" x14ac:dyDescent="0.25">
      <c r="H35" t="s">
        <v>35</v>
      </c>
      <c r="I35" s="40">
        <f t="shared" si="7"/>
        <v>0</v>
      </c>
    </row>
    <row r="36" spans="8:9" x14ac:dyDescent="0.25">
      <c r="H36" t="s">
        <v>50</v>
      </c>
      <c r="I36" s="40">
        <f t="shared" si="7"/>
        <v>0</v>
      </c>
    </row>
    <row r="37" spans="8:9" x14ac:dyDescent="0.25">
      <c r="H37" t="s">
        <v>52</v>
      </c>
      <c r="I37" s="40">
        <f t="shared" si="7"/>
        <v>0</v>
      </c>
    </row>
    <row r="38" spans="8:9" x14ac:dyDescent="0.25">
      <c r="H38" t="s">
        <v>41</v>
      </c>
      <c r="I38" s="40">
        <f>SUMIF($D$4:$D$24,TRIM(H38),$J$4:$J$24)</f>
        <v>0</v>
      </c>
    </row>
    <row r="39" spans="8:9" x14ac:dyDescent="0.25">
      <c r="H39" t="s">
        <v>36</v>
      </c>
      <c r="I39" s="40">
        <f>SUMIF($D$4:$D$24,TRIM(H39),$J$4:$J$24)</f>
        <v>0</v>
      </c>
    </row>
  </sheetData>
  <mergeCells count="36">
    <mergeCell ref="C19:C20"/>
    <mergeCell ref="K19:K20"/>
    <mergeCell ref="L19:L20"/>
    <mergeCell ref="M19:M20"/>
    <mergeCell ref="N19:N20"/>
    <mergeCell ref="O19:O20"/>
    <mergeCell ref="G13:G14"/>
    <mergeCell ref="H13:H14"/>
    <mergeCell ref="I13:I14"/>
    <mergeCell ref="J13:J14"/>
    <mergeCell ref="K13:K14"/>
    <mergeCell ref="O13:O14"/>
    <mergeCell ref="A13:A14"/>
    <mergeCell ref="B13:B14"/>
    <mergeCell ref="C13:C14"/>
    <mergeCell ref="D13:D14"/>
    <mergeCell ref="E13:E14"/>
    <mergeCell ref="F13:F14"/>
    <mergeCell ref="C10:C12"/>
    <mergeCell ref="K10:K12"/>
    <mergeCell ref="L10:L12"/>
    <mergeCell ref="M10:M12"/>
    <mergeCell ref="N10:N12"/>
    <mergeCell ref="O10:O12"/>
    <mergeCell ref="C8:C9"/>
    <mergeCell ref="K8:K9"/>
    <mergeCell ref="L8:L9"/>
    <mergeCell ref="M8:M9"/>
    <mergeCell ref="N8:N9"/>
    <mergeCell ref="O8:O9"/>
    <mergeCell ref="O4:O7"/>
    <mergeCell ref="C4:C7"/>
    <mergeCell ref="K4:K7"/>
    <mergeCell ref="L4:L7"/>
    <mergeCell ref="M4:M7"/>
    <mergeCell ref="N4:N7"/>
  </mergeCells>
  <conditionalFormatting sqref="M23">
    <cfRule type="cellIs" dxfId="17" priority="1" operator="greaterThan">
      <formula>$I$23</formula>
    </cfRule>
    <cfRule type="cellIs" dxfId="16" priority="2" operator="lessThanOrEqual">
      <formula>$I$23</formula>
    </cfRule>
  </conditionalFormatting>
  <conditionalFormatting sqref="N23">
    <cfRule type="cellIs" dxfId="15" priority="3" operator="lessThanOrEqual">
      <formula>$J$23</formula>
    </cfRule>
    <cfRule type="cellIs" dxfId="14" priority="4" operator="greaterThan">
      <formula>$J$23</formula>
    </cfRule>
  </conditionalFormatting>
  <dataValidations count="2">
    <dataValidation type="list" allowBlank="1" showInputMessage="1" showErrorMessage="1" sqref="C8:C9" xr:uid="{00000000-0002-0000-1100-000000000000}">
      <formula1>"SNMX120716T03030 SL506, SNGX 120716 S02020 CBN387"</formula1>
    </dataValidation>
    <dataValidation type="list" allowBlank="1" showInputMessage="1" showErrorMessage="1" sqref="C4:C7" xr:uid="{00000000-0002-0000-1100-000001000000}">
      <formula1>"CNMX120716T03030 SL506, CNGX 120716 S02020 CBN387"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0">
    <tabColor rgb="FFFFFF00"/>
  </sheetPr>
  <dimension ref="A1:O34"/>
  <sheetViews>
    <sheetView tabSelected="1" zoomScale="123" workbookViewId="0">
      <selection activeCell="P11" sqref="P11"/>
    </sheetView>
  </sheetViews>
  <sheetFormatPr baseColWidth="10" defaultColWidth="11.42578125" defaultRowHeight="15" x14ac:dyDescent="0.25"/>
  <cols>
    <col min="3" max="3" width="26.7109375" bestFit="1" customWidth="1"/>
    <col min="4" max="4" width="12.140625" bestFit="1" customWidth="1"/>
  </cols>
  <sheetData>
    <row r="1" spans="1:15" x14ac:dyDescent="0.25">
      <c r="A1" s="8" t="s">
        <v>82</v>
      </c>
      <c r="B1" s="9">
        <v>4180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5">
      <c r="A2" s="4"/>
      <c r="B2" s="4"/>
      <c r="C2" s="4" t="s">
        <v>162</v>
      </c>
      <c r="D2" s="4"/>
      <c r="E2" s="4"/>
      <c r="F2" s="4"/>
      <c r="G2" s="11"/>
      <c r="H2" s="4"/>
      <c r="I2" s="4"/>
      <c r="J2" s="4"/>
      <c r="K2" s="4"/>
      <c r="L2" s="4"/>
      <c r="M2" s="4"/>
      <c r="N2" s="4"/>
      <c r="O2" s="4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2" t="s">
        <v>91</v>
      </c>
      <c r="I3" s="13" t="s">
        <v>92</v>
      </c>
      <c r="J3" s="13" t="s">
        <v>93</v>
      </c>
      <c r="K3" s="13" t="s">
        <v>94</v>
      </c>
      <c r="L3" s="12" t="s">
        <v>125</v>
      </c>
      <c r="M3" s="12" t="s">
        <v>96</v>
      </c>
      <c r="N3" s="12" t="s">
        <v>97</v>
      </c>
      <c r="O3" s="12" t="s">
        <v>98</v>
      </c>
    </row>
    <row r="4" spans="1:15" x14ac:dyDescent="0.25">
      <c r="A4" s="55" t="s">
        <v>99</v>
      </c>
      <c r="B4" s="55" t="s">
        <v>39</v>
      </c>
      <c r="C4" s="162" t="s">
        <v>100</v>
      </c>
      <c r="D4" s="55" t="s">
        <v>22</v>
      </c>
      <c r="E4" s="55">
        <v>1</v>
      </c>
      <c r="F4" s="55">
        <v>4</v>
      </c>
      <c r="G4" s="56">
        <v>7</v>
      </c>
      <c r="H4" s="62">
        <v>150</v>
      </c>
      <c r="I4" s="15">
        <f t="shared" ref="I4:I20" si="0">(E4*G4)/(F4*H4)</f>
        <v>1.1666666666666667E-2</v>
      </c>
      <c r="J4" s="14">
        <f t="shared" ref="J4:J20" si="1">(ROUNDUP($E4*$B$1/($F4*H4),0))</f>
        <v>7</v>
      </c>
      <c r="K4" s="170">
        <f>SUM(J4:J6)</f>
        <v>16</v>
      </c>
      <c r="L4" s="166">
        <f>G4*N4</f>
        <v>70</v>
      </c>
      <c r="M4" s="171">
        <f>L4/$B$1</f>
        <v>1.6746411483253589E-2</v>
      </c>
      <c r="N4" s="166">
        <f>SUMIFS('Tableau plaquette complet'!F:F,'Tableau plaquette complet'!G:G,"EMAG 3",'Tableau plaquette complet'!H:H,"OP 10",'Tableau plaquette complet'!J:J,"330x28 RPE KO",'Tableau plaquette complet'!B:B,"Z000 546 265")</f>
        <v>10</v>
      </c>
      <c r="O4" s="172">
        <f>-(K4-N4)</f>
        <v>-6</v>
      </c>
    </row>
    <row r="5" spans="1:15" x14ac:dyDescent="0.25">
      <c r="A5" s="55" t="s">
        <v>163</v>
      </c>
      <c r="B5" s="55" t="s">
        <v>39</v>
      </c>
      <c r="C5" s="163"/>
      <c r="D5" s="55" t="s">
        <v>22</v>
      </c>
      <c r="E5" s="55">
        <v>1</v>
      </c>
      <c r="F5" s="55">
        <v>4</v>
      </c>
      <c r="G5" s="56">
        <v>7</v>
      </c>
      <c r="H5" s="62">
        <v>150</v>
      </c>
      <c r="I5" s="15">
        <f t="shared" si="0"/>
        <v>1.1666666666666667E-2</v>
      </c>
      <c r="J5" s="14">
        <f t="shared" si="1"/>
        <v>7</v>
      </c>
      <c r="K5" s="170"/>
      <c r="L5" s="166"/>
      <c r="M5" s="171"/>
      <c r="N5" s="166"/>
      <c r="O5" s="172"/>
    </row>
    <row r="6" spans="1:15" x14ac:dyDescent="0.25">
      <c r="A6" s="55" t="s">
        <v>126</v>
      </c>
      <c r="B6" s="55" t="s">
        <v>39</v>
      </c>
      <c r="C6" s="164"/>
      <c r="D6" s="55" t="s">
        <v>22</v>
      </c>
      <c r="E6" s="55">
        <v>1</v>
      </c>
      <c r="F6" s="55">
        <v>4</v>
      </c>
      <c r="G6" s="56">
        <v>7</v>
      </c>
      <c r="H6" s="62">
        <v>1000</v>
      </c>
      <c r="I6" s="15">
        <f t="shared" si="0"/>
        <v>1.75E-3</v>
      </c>
      <c r="J6" s="14">
        <f t="shared" si="1"/>
        <v>2</v>
      </c>
      <c r="K6" s="170"/>
      <c r="L6" s="166"/>
      <c r="M6" s="171"/>
      <c r="N6" s="166"/>
      <c r="O6" s="172"/>
    </row>
    <row r="7" spans="1:15" x14ac:dyDescent="0.25">
      <c r="A7" s="55" t="s">
        <v>164</v>
      </c>
      <c r="B7" s="55" t="s">
        <v>39</v>
      </c>
      <c r="C7" s="50" t="s">
        <v>165</v>
      </c>
      <c r="D7" s="55" t="s">
        <v>44</v>
      </c>
      <c r="E7" s="55">
        <v>1</v>
      </c>
      <c r="F7" s="55">
        <v>4</v>
      </c>
      <c r="G7" s="55">
        <v>8.9700000000000006</v>
      </c>
      <c r="H7" s="62">
        <v>150</v>
      </c>
      <c r="I7" s="15">
        <f t="shared" si="0"/>
        <v>1.4950000000000001E-2</v>
      </c>
      <c r="J7" s="14">
        <f t="shared" si="1"/>
        <v>7</v>
      </c>
      <c r="K7" s="14">
        <f>SUM(J7)</f>
        <v>7</v>
      </c>
      <c r="L7" s="50">
        <f>N7*G7</f>
        <v>89.7</v>
      </c>
      <c r="M7" s="53">
        <f>L7/$B$1</f>
        <v>2.1459330143540671E-2</v>
      </c>
      <c r="N7" s="50">
        <f>SUMIFS('Tableau plaquette complet'!F:F,'Tableau plaquette complet'!G:G,"EMAG 3",'Tableau plaquette complet'!H:H,"OP 10",'Tableau plaquette complet'!J:J,"330x28 RPE KO",'Tableau plaquette complet'!B:B,"Z000 532 588")</f>
        <v>10</v>
      </c>
      <c r="O7" s="52">
        <f>-(K7-N7)</f>
        <v>3</v>
      </c>
    </row>
    <row r="8" spans="1:15" x14ac:dyDescent="0.25">
      <c r="A8" s="55" t="s">
        <v>103</v>
      </c>
      <c r="B8" s="55" t="s">
        <v>39</v>
      </c>
      <c r="C8" s="162" t="s">
        <v>104</v>
      </c>
      <c r="D8" s="55" t="s">
        <v>23</v>
      </c>
      <c r="E8" s="55">
        <v>1</v>
      </c>
      <c r="F8" s="55">
        <v>8</v>
      </c>
      <c r="G8" s="56">
        <v>7.12</v>
      </c>
      <c r="H8" s="62">
        <v>150</v>
      </c>
      <c r="I8" s="15">
        <f t="shared" si="0"/>
        <v>5.933333333333333E-3</v>
      </c>
      <c r="J8" s="14">
        <f t="shared" si="1"/>
        <v>4</v>
      </c>
      <c r="K8" s="170">
        <f>+SUM(J8:J9)</f>
        <v>5</v>
      </c>
      <c r="L8" s="166">
        <f>N8*G8</f>
        <v>0</v>
      </c>
      <c r="M8" s="171">
        <f>L8/$B$1</f>
        <v>0</v>
      </c>
      <c r="N8" s="166">
        <f>SUMIFS('Tableau plaquette complet'!F:F,'Tableau plaquette complet'!G:G,"EMAG 3",'Tableau plaquette complet'!H:H,"OP 10",'Tableau plaquette complet'!J:J,"330x28 RPE KO",'Tableau plaquette complet'!B:B,"Z000 546 266")</f>
        <v>0</v>
      </c>
      <c r="O8" s="172">
        <f>-(K8-N8)</f>
        <v>-5</v>
      </c>
    </row>
    <row r="9" spans="1:15" x14ac:dyDescent="0.25">
      <c r="A9" s="55" t="s">
        <v>128</v>
      </c>
      <c r="B9" s="55" t="s">
        <v>39</v>
      </c>
      <c r="C9" s="164"/>
      <c r="D9" s="55" t="s">
        <v>23</v>
      </c>
      <c r="E9" s="55">
        <v>1</v>
      </c>
      <c r="F9" s="55">
        <v>8</v>
      </c>
      <c r="G9" s="56">
        <v>7.12</v>
      </c>
      <c r="H9" s="62">
        <v>1000</v>
      </c>
      <c r="I9" s="15">
        <f t="shared" si="0"/>
        <v>8.9000000000000006E-4</v>
      </c>
      <c r="J9" s="14">
        <f t="shared" si="1"/>
        <v>1</v>
      </c>
      <c r="K9" s="170"/>
      <c r="L9" s="166"/>
      <c r="M9" s="171"/>
      <c r="N9" s="166"/>
      <c r="O9" s="172"/>
    </row>
    <row r="10" spans="1:15" x14ac:dyDescent="0.25">
      <c r="A10" s="61" t="s">
        <v>106</v>
      </c>
      <c r="B10" s="61" t="s">
        <v>14</v>
      </c>
      <c r="C10" s="178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63">
        <v>150</v>
      </c>
      <c r="I10" s="15">
        <f t="shared" si="0"/>
        <v>5.933333333333333E-3</v>
      </c>
      <c r="J10" s="14">
        <f t="shared" si="1"/>
        <v>4</v>
      </c>
      <c r="K10" s="167">
        <f>SUM(J10:J11)</f>
        <v>8</v>
      </c>
      <c r="L10" s="147">
        <f>N10*G10</f>
        <v>71.2</v>
      </c>
      <c r="M10" s="180">
        <f>L10/$B$1</f>
        <v>1.7033492822966508E-2</v>
      </c>
      <c r="N10" s="147">
        <f>SUMIFS('Tableau plaquette complet'!F:F,'Tableau plaquette complet'!G:G,"EMAG 3",'Tableau plaquette complet'!H:H,"OP 20",'Tableau plaquette complet'!J:J,"330x28 RPE KO",'Tableau plaquette complet'!B:B,"Z000 546 266")</f>
        <v>10</v>
      </c>
      <c r="O10" s="176">
        <f>-(K10-N10)</f>
        <v>2</v>
      </c>
    </row>
    <row r="11" spans="1:15" x14ac:dyDescent="0.25">
      <c r="A11" s="61" t="s">
        <v>114</v>
      </c>
      <c r="B11" s="61" t="s">
        <v>14</v>
      </c>
      <c r="C11" s="179"/>
      <c r="D11" s="61" t="s">
        <v>23</v>
      </c>
      <c r="E11" s="61">
        <v>1</v>
      </c>
      <c r="F11" s="61">
        <v>8</v>
      </c>
      <c r="G11" s="68">
        <v>7.12</v>
      </c>
      <c r="H11" s="63">
        <v>150</v>
      </c>
      <c r="I11" s="15">
        <f>(E11*G11)/(F11*H11)</f>
        <v>5.933333333333333E-3</v>
      </c>
      <c r="J11" s="14">
        <f>(ROUNDUP($E11*$B$1/($F11*H11),0))</f>
        <v>4</v>
      </c>
      <c r="K11" s="169"/>
      <c r="L11" s="149"/>
      <c r="M11" s="181"/>
      <c r="N11" s="149"/>
      <c r="O11" s="177"/>
    </row>
    <row r="12" spans="1:15" x14ac:dyDescent="0.25">
      <c r="A12" s="61" t="s">
        <v>136</v>
      </c>
      <c r="B12" s="61" t="s">
        <v>14</v>
      </c>
      <c r="C12" s="178" t="s">
        <v>100</v>
      </c>
      <c r="D12" s="61" t="s">
        <v>22</v>
      </c>
      <c r="E12" s="61">
        <v>1</v>
      </c>
      <c r="F12" s="61">
        <v>4</v>
      </c>
      <c r="G12" s="68">
        <v>7</v>
      </c>
      <c r="H12" s="63">
        <v>150</v>
      </c>
      <c r="I12" s="15">
        <f t="shared" si="0"/>
        <v>1.1666666666666667E-2</v>
      </c>
      <c r="J12" s="14">
        <f t="shared" si="1"/>
        <v>7</v>
      </c>
      <c r="K12" s="167">
        <f>J13</f>
        <v>7</v>
      </c>
      <c r="L12" s="147">
        <f>N12*G12</f>
        <v>210</v>
      </c>
      <c r="M12" s="180">
        <f>L12/$B$1</f>
        <v>5.0239234449760764E-2</v>
      </c>
      <c r="N12" s="147">
        <f>SUMIFS('Tableau plaquette complet'!F:F,'Tableau plaquette complet'!G:G,"EMAG 3",'Tableau plaquette complet'!H:H,"OP 20",'Tableau plaquette complet'!J:J,"330x28 RPE KO",'Tableau plaquette complet'!B:B,"Z000 546 265")</f>
        <v>30</v>
      </c>
      <c r="O12" s="176">
        <f>-(K12-N12)</f>
        <v>23</v>
      </c>
    </row>
    <row r="13" spans="1:15" x14ac:dyDescent="0.25">
      <c r="A13" s="61" t="s">
        <v>137</v>
      </c>
      <c r="B13" s="61" t="s">
        <v>14</v>
      </c>
      <c r="C13" s="179"/>
      <c r="D13" s="61" t="s">
        <v>22</v>
      </c>
      <c r="E13" s="61">
        <v>1</v>
      </c>
      <c r="F13" s="61">
        <v>4</v>
      </c>
      <c r="G13" s="68">
        <v>7</v>
      </c>
      <c r="H13" s="63">
        <v>150</v>
      </c>
      <c r="I13" s="15">
        <f t="shared" si="0"/>
        <v>1.1666666666666667E-2</v>
      </c>
      <c r="J13" s="14">
        <f t="shared" si="1"/>
        <v>7</v>
      </c>
      <c r="K13" s="169"/>
      <c r="L13" s="149"/>
      <c r="M13" s="181"/>
      <c r="N13" s="149"/>
      <c r="O13" s="177"/>
    </row>
    <row r="14" spans="1:15" x14ac:dyDescent="0.25">
      <c r="A14" s="61" t="s">
        <v>110</v>
      </c>
      <c r="B14" s="61" t="s">
        <v>14</v>
      </c>
      <c r="C14" s="178" t="s">
        <v>111</v>
      </c>
      <c r="D14" s="36" t="s">
        <v>12</v>
      </c>
      <c r="E14" s="61">
        <v>1</v>
      </c>
      <c r="F14" s="61">
        <v>2</v>
      </c>
      <c r="G14" s="68">
        <v>10.85</v>
      </c>
      <c r="H14" s="63">
        <v>150</v>
      </c>
      <c r="I14" s="15">
        <f t="shared" si="0"/>
        <v>3.6166666666666666E-2</v>
      </c>
      <c r="J14" s="14">
        <f t="shared" si="1"/>
        <v>14</v>
      </c>
      <c r="K14" s="170">
        <f>+SUM(J14:J15)</f>
        <v>28</v>
      </c>
      <c r="L14" s="207">
        <f>N14*G14</f>
        <v>325.5</v>
      </c>
      <c r="M14" s="210">
        <f>L14/$B$1</f>
        <v>7.7870813397129188E-2</v>
      </c>
      <c r="N14" s="207">
        <f>SUMIFS('Tableau plaquette complet'!F:F,'Tableau plaquette complet'!G:G,"EMAG 3",'Tableau plaquette complet'!H:H,"OP 20",'Tableau plaquette complet'!J:J,"330x28 RPE KO",'Tableau plaquette complet'!B:B,"Z000 544 318")</f>
        <v>30</v>
      </c>
      <c r="O14" s="211">
        <f>-(K14-N14)</f>
        <v>2</v>
      </c>
    </row>
    <row r="15" spans="1:15" x14ac:dyDescent="0.25">
      <c r="A15" s="61" t="s">
        <v>159</v>
      </c>
      <c r="B15" s="61" t="s">
        <v>14</v>
      </c>
      <c r="C15" s="179"/>
      <c r="D15" s="61" t="s">
        <v>12</v>
      </c>
      <c r="E15" s="61">
        <v>1</v>
      </c>
      <c r="F15" s="61">
        <v>2</v>
      </c>
      <c r="G15" s="68">
        <v>10.85</v>
      </c>
      <c r="H15" s="63">
        <v>150</v>
      </c>
      <c r="I15" s="15">
        <f t="shared" si="0"/>
        <v>3.6166666666666666E-2</v>
      </c>
      <c r="J15" s="14">
        <f t="shared" si="1"/>
        <v>14</v>
      </c>
      <c r="K15" s="170"/>
      <c r="L15" s="207"/>
      <c r="M15" s="210"/>
      <c r="N15" s="207"/>
      <c r="O15" s="211"/>
    </row>
    <row r="16" spans="1:15" x14ac:dyDescent="0.25">
      <c r="A16" s="55" t="s">
        <v>131</v>
      </c>
      <c r="B16" s="55" t="s">
        <v>20</v>
      </c>
      <c r="C16" s="50" t="s">
        <v>132</v>
      </c>
      <c r="D16" s="55" t="s">
        <v>133</v>
      </c>
      <c r="E16" s="55">
        <v>1</v>
      </c>
      <c r="F16" s="55">
        <v>4</v>
      </c>
      <c r="G16" s="56">
        <v>3.68</v>
      </c>
      <c r="H16" s="62">
        <v>80</v>
      </c>
      <c r="I16" s="15">
        <f t="shared" si="0"/>
        <v>1.15E-2</v>
      </c>
      <c r="J16" s="14">
        <f t="shared" si="1"/>
        <v>14</v>
      </c>
      <c r="K16" s="14">
        <f>SUM(J16)</f>
        <v>14</v>
      </c>
      <c r="L16" s="50">
        <f>N16*G16</f>
        <v>0</v>
      </c>
      <c r="M16" s="53">
        <f>L16/$B$1</f>
        <v>0</v>
      </c>
      <c r="N16" s="50">
        <f>SUMIFS('Tableau plaquette complet'!F:F,'Tableau plaquette complet'!G:G,"EMAG 3",'Tableau plaquette complet'!H:H,"OP 40",'Tableau plaquette complet'!J:J,"330x28 RPE KO",'Tableau plaquette complet'!B:B,"Z000 548 367")</f>
        <v>0</v>
      </c>
      <c r="O16" s="52">
        <f t="shared" ref="O16" si="2">-(K16-N16)</f>
        <v>-14</v>
      </c>
    </row>
    <row r="17" spans="1:15" x14ac:dyDescent="0.25">
      <c r="A17" s="55" t="s">
        <v>115</v>
      </c>
      <c r="B17" s="55" t="s">
        <v>20</v>
      </c>
      <c r="C17" s="162" t="s">
        <v>116</v>
      </c>
      <c r="D17" s="55" t="s">
        <v>17</v>
      </c>
      <c r="E17" s="55">
        <v>1</v>
      </c>
      <c r="F17" s="55">
        <v>8</v>
      </c>
      <c r="G17" s="56">
        <v>9.56</v>
      </c>
      <c r="H17" s="62">
        <v>80</v>
      </c>
      <c r="I17" s="15">
        <f t="shared" si="0"/>
        <v>1.4937500000000001E-2</v>
      </c>
      <c r="J17" s="14">
        <f t="shared" si="1"/>
        <v>7</v>
      </c>
      <c r="K17" s="170">
        <f>+SUM(J17:J18)</f>
        <v>14</v>
      </c>
      <c r="L17" s="166">
        <f>N17*G17</f>
        <v>239</v>
      </c>
      <c r="M17" s="171">
        <f>L17/$B$1</f>
        <v>5.7177033492822965E-2</v>
      </c>
      <c r="N17" s="166">
        <f>SUMIFS('Tableau plaquette complet'!F:F,'Tableau plaquette complet'!G:G,"EMAG 3",'Tableau plaquette complet'!H:H,"OP 40",'Tableau plaquette complet'!J:J,"330x28 RPE KO",'Tableau plaquette complet'!B:B,"Z000 513 527")</f>
        <v>25</v>
      </c>
      <c r="O17" s="172">
        <f>-(K17-N17)</f>
        <v>11</v>
      </c>
    </row>
    <row r="18" spans="1:15" x14ac:dyDescent="0.25">
      <c r="A18" s="55" t="s">
        <v>117</v>
      </c>
      <c r="B18" s="55" t="s">
        <v>20</v>
      </c>
      <c r="C18" s="164"/>
      <c r="D18" s="55" t="s">
        <v>17</v>
      </c>
      <c r="E18" s="55">
        <v>1</v>
      </c>
      <c r="F18" s="55">
        <v>8</v>
      </c>
      <c r="G18" s="56">
        <v>9.56</v>
      </c>
      <c r="H18" s="62">
        <v>80</v>
      </c>
      <c r="I18" s="15">
        <f t="shared" si="0"/>
        <v>1.4937500000000001E-2</v>
      </c>
      <c r="J18" s="14">
        <f t="shared" si="1"/>
        <v>7</v>
      </c>
      <c r="K18" s="170"/>
      <c r="L18" s="166"/>
      <c r="M18" s="171"/>
      <c r="N18" s="166"/>
      <c r="O18" s="172"/>
    </row>
    <row r="19" spans="1:15" x14ac:dyDescent="0.25">
      <c r="A19" s="55" t="s">
        <v>118</v>
      </c>
      <c r="B19" s="55" t="s">
        <v>20</v>
      </c>
      <c r="C19" s="50" t="s">
        <v>119</v>
      </c>
      <c r="D19" s="55" t="s">
        <v>120</v>
      </c>
      <c r="E19" s="55">
        <v>1</v>
      </c>
      <c r="F19" s="55">
        <v>8</v>
      </c>
      <c r="G19" s="56">
        <v>10.97</v>
      </c>
      <c r="H19" s="62">
        <v>300</v>
      </c>
      <c r="I19" s="15">
        <f t="shared" si="0"/>
        <v>4.5708333333333339E-3</v>
      </c>
      <c r="J19" s="14">
        <f t="shared" si="1"/>
        <v>2</v>
      </c>
      <c r="K19" s="14">
        <f>J19</f>
        <v>2</v>
      </c>
      <c r="L19" s="50">
        <f>N19*G19</f>
        <v>109.7</v>
      </c>
      <c r="M19" s="53">
        <f>L19/$B$1</f>
        <v>2.6244019138755983E-2</v>
      </c>
      <c r="N19" s="50">
        <f>SUMIFS('Tableau plaquette complet'!F:F,'Tableau plaquette complet'!G:G,"EMAG 3",'Tableau plaquette complet'!H:H,"OP 40",'Tableau plaquette complet'!J:J,"330x28 RPE KO",'Tableau plaquette complet'!B:B,"Z000 455 182")</f>
        <v>10</v>
      </c>
      <c r="O19" s="52">
        <f>-(K19-N19)</f>
        <v>8</v>
      </c>
    </row>
    <row r="20" spans="1:15" x14ac:dyDescent="0.25">
      <c r="A20" s="55" t="s">
        <v>121</v>
      </c>
      <c r="B20" s="55" t="s">
        <v>20</v>
      </c>
      <c r="C20" s="50" t="s">
        <v>122</v>
      </c>
      <c r="D20" s="55" t="s">
        <v>35</v>
      </c>
      <c r="E20" s="55">
        <v>1</v>
      </c>
      <c r="F20" s="55">
        <v>6</v>
      </c>
      <c r="G20" s="56">
        <v>11.87</v>
      </c>
      <c r="H20" s="62">
        <v>80</v>
      </c>
      <c r="I20" s="15">
        <f t="shared" si="0"/>
        <v>2.4729166666666667E-2</v>
      </c>
      <c r="J20" s="14">
        <f t="shared" si="1"/>
        <v>9</v>
      </c>
      <c r="K20" s="14">
        <f>J20</f>
        <v>9</v>
      </c>
      <c r="L20" s="50">
        <f>N20*G20</f>
        <v>356.09999999999997</v>
      </c>
      <c r="M20" s="53">
        <f>L20/$B$1</f>
        <v>8.519138755980861E-2</v>
      </c>
      <c r="N20" s="50">
        <f>SUMIFS('Tableau plaquette complet'!F:F,'Tableau plaquette complet'!G:G,"EMAG 3",'Tableau plaquette complet'!H:H,"OP 40",'Tableau plaquette complet'!J:J,"330x28 RPE KO",'Tableau plaquette complet'!B:B,"Z000 519 285")</f>
        <v>30</v>
      </c>
      <c r="O20" s="52">
        <f>-(K20-N20)</f>
        <v>21</v>
      </c>
    </row>
    <row r="21" spans="1:15" ht="15.75" thickBot="1" x14ac:dyDescent="0.3">
      <c r="A21" s="4"/>
      <c r="B21" s="4"/>
      <c r="C21" s="4"/>
      <c r="D21" s="4"/>
      <c r="E21" s="4"/>
      <c r="F21" s="4"/>
      <c r="G21" s="4"/>
      <c r="H21" s="4"/>
      <c r="I21" s="65">
        <f>SUM(I4:I19)</f>
        <v>0.20033583333333335</v>
      </c>
      <c r="J21" s="66">
        <f>SUM(J4:J19)</f>
        <v>108</v>
      </c>
      <c r="K21" s="4"/>
      <c r="L21" s="4"/>
      <c r="M21" s="41">
        <f>SUM(M4:M19)</f>
        <v>0.26677033492822966</v>
      </c>
      <c r="N21" s="42">
        <f>SUM(N4:N19)</f>
        <v>125</v>
      </c>
      <c r="O21" s="4"/>
    </row>
    <row r="22" spans="1:15" x14ac:dyDescent="0.25">
      <c r="A22" s="4"/>
      <c r="B22" s="4"/>
      <c r="C22" s="4"/>
      <c r="D22" s="4"/>
      <c r="E22" s="4"/>
      <c r="F22" s="4"/>
      <c r="G22" s="4"/>
      <c r="H22" s="4"/>
      <c r="I22" s="19">
        <f>B1*I21</f>
        <v>837.40378333333342</v>
      </c>
      <c r="J22" s="4"/>
      <c r="K22" s="4"/>
      <c r="L22" s="4"/>
      <c r="M22" s="19">
        <f>B1*M21</f>
        <v>1115.0999999999999</v>
      </c>
      <c r="N22" s="4"/>
      <c r="O22" s="4"/>
    </row>
    <row r="23" spans="1:15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x14ac:dyDescent="0.25">
      <c r="A24" s="4"/>
      <c r="B24" s="4"/>
      <c r="C24" s="4"/>
      <c r="D24" s="4"/>
      <c r="E24" s="4"/>
      <c r="F24" s="4"/>
      <c r="G24" s="4"/>
      <c r="H24" t="s">
        <v>124</v>
      </c>
      <c r="I24" t="s">
        <v>93</v>
      </c>
      <c r="J24" s="4"/>
      <c r="K24" s="4"/>
      <c r="L24" s="4"/>
      <c r="M24" s="4"/>
      <c r="N24" s="4"/>
      <c r="O24" s="4"/>
    </row>
    <row r="25" spans="1:15" x14ac:dyDescent="0.25">
      <c r="H25" t="s">
        <v>46</v>
      </c>
      <c r="I25">
        <f>SUMIF($D$4:$D$21,TRIM(H25),$J$4:$J$21)</f>
        <v>0</v>
      </c>
    </row>
    <row r="26" spans="1:15" x14ac:dyDescent="0.25">
      <c r="H26" t="s">
        <v>198</v>
      </c>
      <c r="I26">
        <f>SUMIF($D$4:$D$21,TRIM(H26),$J$4:$J$21)</f>
        <v>0</v>
      </c>
      <c r="J26" s="40"/>
      <c r="K26" s="39"/>
      <c r="L26" s="39"/>
      <c r="M26" s="39"/>
      <c r="N26" s="40"/>
    </row>
    <row r="27" spans="1:15" x14ac:dyDescent="0.25">
      <c r="H27" t="s">
        <v>22</v>
      </c>
      <c r="I27">
        <f>SUMIF($D$4:$D$21,TRIM(H27),$J$4:$J$21)</f>
        <v>30</v>
      </c>
    </row>
    <row r="28" spans="1:15" x14ac:dyDescent="0.25">
      <c r="H28" t="s">
        <v>12</v>
      </c>
      <c r="I28">
        <f>SUMIF($D$4:$D$21,TRIM(H28),$J$4:$J$21)</f>
        <v>28</v>
      </c>
    </row>
    <row r="29" spans="1:15" x14ac:dyDescent="0.25">
      <c r="H29" t="s">
        <v>25</v>
      </c>
      <c r="I29">
        <f>SUMIF($D$4:$D$21,TRIM(H29),$J$4:$J$21)</f>
        <v>0</v>
      </c>
    </row>
    <row r="30" spans="1:15" x14ac:dyDescent="0.25">
      <c r="H30" t="s">
        <v>23</v>
      </c>
      <c r="I30">
        <f>SUMIF($D$4:$D$21,TRIM(H30),$J$4:$J$21)</f>
        <v>13</v>
      </c>
    </row>
    <row r="31" spans="1:15" x14ac:dyDescent="0.25">
      <c r="H31" t="s">
        <v>120</v>
      </c>
      <c r="I31">
        <f>SUMIF($D$4:$D$21,TRIM(H31),$J$4:$J$21)</f>
        <v>2</v>
      </c>
    </row>
    <row r="32" spans="1:15" x14ac:dyDescent="0.25">
      <c r="H32" t="s">
        <v>17</v>
      </c>
      <c r="I32">
        <f>SUMIF($D$4:$D$21,TRIM(H32),$J$4:$J$21)</f>
        <v>14</v>
      </c>
    </row>
    <row r="33" spans="8:9" x14ac:dyDescent="0.25">
      <c r="H33" t="s">
        <v>35</v>
      </c>
      <c r="I33">
        <f>SUMIF($D$4:$D$21,TRIM(H33),$J$4:$J$21)</f>
        <v>9</v>
      </c>
    </row>
    <row r="34" spans="8:9" x14ac:dyDescent="0.25">
      <c r="H34" t="s">
        <v>133</v>
      </c>
      <c r="I34">
        <f>SUMIF($D$4:$D$21,TRIM(H34),$J$4:$J$21)</f>
        <v>14</v>
      </c>
    </row>
  </sheetData>
  <mergeCells count="36">
    <mergeCell ref="O12:O13"/>
    <mergeCell ref="N12:N13"/>
    <mergeCell ref="M12:M13"/>
    <mergeCell ref="L12:L13"/>
    <mergeCell ref="K12:K13"/>
    <mergeCell ref="O10:O11"/>
    <mergeCell ref="N10:N11"/>
    <mergeCell ref="M10:M11"/>
    <mergeCell ref="L10:L11"/>
    <mergeCell ref="K10:K11"/>
    <mergeCell ref="O17:O18"/>
    <mergeCell ref="O14:O15"/>
    <mergeCell ref="L14:L15"/>
    <mergeCell ref="M14:M15"/>
    <mergeCell ref="N14:N15"/>
    <mergeCell ref="C14:C15"/>
    <mergeCell ref="K14:K15"/>
    <mergeCell ref="K17:K18"/>
    <mergeCell ref="K8:K9"/>
    <mergeCell ref="N8:N9"/>
    <mergeCell ref="L8:L9"/>
    <mergeCell ref="M8:M9"/>
    <mergeCell ref="C17:C18"/>
    <mergeCell ref="L17:L18"/>
    <mergeCell ref="M17:M18"/>
    <mergeCell ref="N17:N18"/>
    <mergeCell ref="C10:C11"/>
    <mergeCell ref="C12:C13"/>
    <mergeCell ref="L4:L6"/>
    <mergeCell ref="M4:M6"/>
    <mergeCell ref="N4:N6"/>
    <mergeCell ref="O4:O6"/>
    <mergeCell ref="C8:C9"/>
    <mergeCell ref="C4:C6"/>
    <mergeCell ref="K4:K6"/>
    <mergeCell ref="O8:O9"/>
  </mergeCells>
  <phoneticPr fontId="10" type="noConversion"/>
  <conditionalFormatting sqref="M21">
    <cfRule type="cellIs" dxfId="13" priority="3" operator="lessThan">
      <formula>$I$21</formula>
    </cfRule>
    <cfRule type="cellIs" dxfId="12" priority="4" operator="greaterThan">
      <formula>$I$21</formula>
    </cfRule>
  </conditionalFormatting>
  <conditionalFormatting sqref="N21">
    <cfRule type="cellIs" dxfId="11" priority="1" operator="greaterThan">
      <formula>$J$21</formula>
    </cfRule>
    <cfRule type="cellIs" dxfId="10" priority="2" operator="lessThan">
      <formula>$J$21</formula>
    </cfRule>
  </conditionalFormatting>
  <dataValidations disablePrompts="1" count="1">
    <dataValidation type="list" allowBlank="1" showInputMessage="1" showErrorMessage="1" sqref="C4:C5" xr:uid="{00000000-0002-0000-1200-000000000000}">
      <formula1>"CNMX120716T03030 SL506, CNMX120716T02020 KY3500"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6">
    <tabColor rgb="FFFFFF00"/>
  </sheetPr>
  <dimension ref="A1:F52"/>
  <sheetViews>
    <sheetView topLeftCell="A10" zoomScale="130" zoomScaleNormal="85" workbookViewId="0">
      <selection activeCell="B36" sqref="B36"/>
    </sheetView>
  </sheetViews>
  <sheetFormatPr baseColWidth="10" defaultColWidth="11.42578125" defaultRowHeight="15" x14ac:dyDescent="0.25"/>
  <cols>
    <col min="2" max="2" width="14.28515625" style="23" bestFit="1" customWidth="1"/>
  </cols>
  <sheetData>
    <row r="1" spans="1:6" x14ac:dyDescent="0.25">
      <c r="A1" s="10" t="s">
        <v>166</v>
      </c>
      <c r="B1" s="33" t="s">
        <v>167</v>
      </c>
      <c r="C1" s="33" t="s">
        <v>82</v>
      </c>
    </row>
    <row r="2" spans="1:6" x14ac:dyDescent="0.25">
      <c r="A2" s="4">
        <v>2</v>
      </c>
      <c r="B2" s="34">
        <v>6245.95</v>
      </c>
      <c r="C2" s="23">
        <v>17508</v>
      </c>
    </row>
    <row r="3" spans="1:6" x14ac:dyDescent="0.25">
      <c r="A3" s="4">
        <v>3</v>
      </c>
      <c r="B3" s="34">
        <v>10014.32</v>
      </c>
      <c r="C3" s="23">
        <v>20754</v>
      </c>
    </row>
    <row r="4" spans="1:6" x14ac:dyDescent="0.25">
      <c r="A4" s="4">
        <v>4</v>
      </c>
      <c r="B4" s="35">
        <v>8872.07</v>
      </c>
      <c r="C4" s="23">
        <v>19592</v>
      </c>
    </row>
    <row r="5" spans="1:6" x14ac:dyDescent="0.25">
      <c r="A5" s="4">
        <v>5</v>
      </c>
      <c r="B5" s="35">
        <v>10032.14</v>
      </c>
      <c r="C5" s="23">
        <v>18583</v>
      </c>
    </row>
    <row r="6" spans="1:6" x14ac:dyDescent="0.25">
      <c r="A6" s="4">
        <v>6</v>
      </c>
      <c r="B6" s="35">
        <v>10898.93</v>
      </c>
      <c r="C6" s="23">
        <v>19916</v>
      </c>
    </row>
    <row r="7" spans="1:6" x14ac:dyDescent="0.25">
      <c r="A7" s="4">
        <v>7</v>
      </c>
      <c r="B7" s="35">
        <v>9905.93</v>
      </c>
      <c r="C7" s="23">
        <v>21937</v>
      </c>
    </row>
    <row r="8" spans="1:6" x14ac:dyDescent="0.25">
      <c r="A8" s="4">
        <v>8</v>
      </c>
      <c r="B8" s="35">
        <v>11327.75</v>
      </c>
      <c r="C8" s="23">
        <v>22555</v>
      </c>
      <c r="F8" s="109"/>
    </row>
    <row r="9" spans="1:6" x14ac:dyDescent="0.25">
      <c r="A9" s="4">
        <v>9</v>
      </c>
      <c r="B9" s="35">
        <v>10727.13</v>
      </c>
      <c r="C9" s="4">
        <v>20488</v>
      </c>
    </row>
    <row r="10" spans="1:6" x14ac:dyDescent="0.25">
      <c r="A10" s="4">
        <v>10</v>
      </c>
      <c r="B10" s="35">
        <v>6629.77</v>
      </c>
      <c r="C10" s="23">
        <v>11429</v>
      </c>
    </row>
    <row r="11" spans="1:6" x14ac:dyDescent="0.25">
      <c r="A11" s="4">
        <v>11</v>
      </c>
      <c r="B11" s="35">
        <v>11656.82</v>
      </c>
      <c r="C11" s="23">
        <v>19842</v>
      </c>
    </row>
    <row r="12" spans="1:6" x14ac:dyDescent="0.25">
      <c r="A12" s="4">
        <v>12</v>
      </c>
      <c r="B12" s="35">
        <v>9451.2000000000007</v>
      </c>
      <c r="C12" s="4">
        <v>15913</v>
      </c>
    </row>
    <row r="13" spans="1:6" x14ac:dyDescent="0.25">
      <c r="A13" s="4">
        <v>13</v>
      </c>
      <c r="B13" s="35">
        <v>9618.0400000000009</v>
      </c>
      <c r="C13" s="23">
        <v>16991</v>
      </c>
    </row>
    <row r="14" spans="1:6" x14ac:dyDescent="0.25">
      <c r="A14" s="4">
        <v>14</v>
      </c>
      <c r="B14" s="35">
        <v>9882.99</v>
      </c>
      <c r="C14" s="4">
        <v>13017</v>
      </c>
    </row>
    <row r="15" spans="1:6" x14ac:dyDescent="0.25">
      <c r="A15" s="4">
        <v>15</v>
      </c>
      <c r="B15" s="35">
        <v>7312.18</v>
      </c>
      <c r="C15" s="23">
        <v>13188</v>
      </c>
    </row>
    <row r="16" spans="1:6" x14ac:dyDescent="0.25">
      <c r="A16" s="4">
        <v>16</v>
      </c>
      <c r="B16" s="35">
        <v>9102.4</v>
      </c>
      <c r="C16" s="4">
        <v>16762</v>
      </c>
    </row>
    <row r="17" spans="1:3" x14ac:dyDescent="0.25">
      <c r="A17" s="4">
        <v>17</v>
      </c>
      <c r="B17" s="35">
        <v>9219.06</v>
      </c>
      <c r="C17" s="23">
        <v>15965</v>
      </c>
    </row>
    <row r="18" spans="1:3" x14ac:dyDescent="0.25">
      <c r="A18" s="4">
        <v>18</v>
      </c>
      <c r="B18" s="35">
        <v>7188.42</v>
      </c>
      <c r="C18" s="4">
        <v>9771</v>
      </c>
    </row>
    <row r="19" spans="1:3" x14ac:dyDescent="0.25">
      <c r="A19" s="4">
        <v>19</v>
      </c>
      <c r="B19" s="35">
        <v>7966.14</v>
      </c>
      <c r="C19" s="23">
        <v>10802</v>
      </c>
    </row>
    <row r="20" spans="1:3" x14ac:dyDescent="0.25">
      <c r="A20" s="4">
        <v>20</v>
      </c>
      <c r="B20" s="95">
        <v>6906.86</v>
      </c>
      <c r="C20" s="4">
        <v>10178</v>
      </c>
    </row>
    <row r="21" spans="1:3" x14ac:dyDescent="0.25">
      <c r="A21" s="4">
        <v>21</v>
      </c>
      <c r="B21" s="95">
        <v>5728.37</v>
      </c>
      <c r="C21" s="23">
        <v>10141</v>
      </c>
    </row>
    <row r="22" spans="1:3" x14ac:dyDescent="0.25">
      <c r="A22" s="4">
        <v>22</v>
      </c>
      <c r="B22" s="95">
        <v>9367.51</v>
      </c>
      <c r="C22" s="4">
        <v>14064</v>
      </c>
    </row>
    <row r="23" spans="1:3" x14ac:dyDescent="0.25">
      <c r="A23" s="4">
        <v>23</v>
      </c>
      <c r="B23" s="95">
        <v>9789.24</v>
      </c>
      <c r="C23" s="23">
        <v>14979</v>
      </c>
    </row>
    <row r="24" spans="1:3" x14ac:dyDescent="0.25">
      <c r="A24" s="4">
        <v>24</v>
      </c>
      <c r="B24" s="95">
        <v>10925.55</v>
      </c>
      <c r="C24" s="4">
        <v>15987</v>
      </c>
    </row>
    <row r="25" spans="1:3" x14ac:dyDescent="0.25">
      <c r="A25" s="4">
        <v>25</v>
      </c>
      <c r="B25" s="95">
        <v>9725.83</v>
      </c>
      <c r="C25" s="23">
        <v>12958</v>
      </c>
    </row>
    <row r="26" spans="1:3" x14ac:dyDescent="0.25">
      <c r="A26" s="4">
        <v>26</v>
      </c>
      <c r="B26" s="95">
        <v>7040.16</v>
      </c>
      <c r="C26" s="23">
        <v>8577</v>
      </c>
    </row>
    <row r="27" spans="1:3" x14ac:dyDescent="0.25">
      <c r="A27" s="4">
        <v>27</v>
      </c>
      <c r="B27" s="95">
        <v>9547.24</v>
      </c>
      <c r="C27" s="23">
        <v>14406</v>
      </c>
    </row>
    <row r="28" spans="1:3" x14ac:dyDescent="0.25">
      <c r="A28" s="4">
        <v>28</v>
      </c>
      <c r="B28" s="95">
        <v>9373.61</v>
      </c>
      <c r="C28" s="23">
        <v>12763</v>
      </c>
    </row>
    <row r="29" spans="1:3" x14ac:dyDescent="0.25">
      <c r="A29" s="4">
        <v>29</v>
      </c>
      <c r="B29" s="95">
        <v>7907.5</v>
      </c>
      <c r="C29" s="23">
        <v>12171</v>
      </c>
    </row>
    <row r="30" spans="1:3" x14ac:dyDescent="0.25">
      <c r="A30" s="4">
        <v>30</v>
      </c>
      <c r="B30" s="95">
        <v>7890.24</v>
      </c>
      <c r="C30" s="23">
        <v>14142</v>
      </c>
    </row>
    <row r="31" spans="1:3" x14ac:dyDescent="0.25">
      <c r="A31" s="4">
        <v>34</v>
      </c>
      <c r="B31" s="95">
        <v>8040.55</v>
      </c>
      <c r="C31" s="23">
        <v>12482</v>
      </c>
    </row>
    <row r="32" spans="1:3" x14ac:dyDescent="0.25">
      <c r="A32" s="4">
        <v>35</v>
      </c>
      <c r="B32" s="95">
        <v>9654.8799999999992</v>
      </c>
      <c r="C32" s="23">
        <v>14652</v>
      </c>
    </row>
    <row r="33" spans="1:3" x14ac:dyDescent="0.25">
      <c r="A33" s="4">
        <v>36</v>
      </c>
      <c r="B33" s="95">
        <v>10000.15</v>
      </c>
      <c r="C33" s="23">
        <v>16543</v>
      </c>
    </row>
    <row r="34" spans="1:3" x14ac:dyDescent="0.25">
      <c r="A34" s="4">
        <v>37</v>
      </c>
      <c r="B34" s="95">
        <v>10221.35</v>
      </c>
      <c r="C34" s="23">
        <v>17737</v>
      </c>
    </row>
    <row r="35" spans="1:3" x14ac:dyDescent="0.25">
      <c r="A35" s="4">
        <v>38</v>
      </c>
      <c r="B35" s="95">
        <v>9349.64</v>
      </c>
      <c r="C35" s="23">
        <v>15685</v>
      </c>
    </row>
    <row r="36" spans="1:3" x14ac:dyDescent="0.25">
      <c r="A36" s="4">
        <v>39</v>
      </c>
      <c r="B36" s="95"/>
      <c r="C36" s="23"/>
    </row>
    <row r="37" spans="1:3" x14ac:dyDescent="0.25">
      <c r="A37" s="4">
        <v>40</v>
      </c>
      <c r="B37" s="95"/>
      <c r="C37" s="23"/>
    </row>
    <row r="38" spans="1:3" x14ac:dyDescent="0.25">
      <c r="A38" s="4">
        <v>41</v>
      </c>
      <c r="B38" s="95"/>
      <c r="C38" s="23"/>
    </row>
    <row r="39" spans="1:3" x14ac:dyDescent="0.25">
      <c r="A39" s="4">
        <v>42</v>
      </c>
    </row>
    <row r="40" spans="1:3" x14ac:dyDescent="0.25">
      <c r="A40" s="4">
        <v>43</v>
      </c>
    </row>
    <row r="41" spans="1:3" x14ac:dyDescent="0.25">
      <c r="A41" s="4">
        <v>44</v>
      </c>
    </row>
    <row r="42" spans="1:3" x14ac:dyDescent="0.25">
      <c r="A42" s="4">
        <v>45</v>
      </c>
    </row>
    <row r="43" spans="1:3" x14ac:dyDescent="0.25">
      <c r="A43" s="4">
        <v>46</v>
      </c>
    </row>
    <row r="44" spans="1:3" x14ac:dyDescent="0.25">
      <c r="A44" s="4">
        <v>47</v>
      </c>
    </row>
    <row r="45" spans="1:3" x14ac:dyDescent="0.25">
      <c r="A45" s="4">
        <v>48</v>
      </c>
    </row>
    <row r="46" spans="1:3" x14ac:dyDescent="0.25">
      <c r="A46" s="4">
        <v>49</v>
      </c>
    </row>
    <row r="47" spans="1:3" x14ac:dyDescent="0.25">
      <c r="A47" s="4">
        <v>50</v>
      </c>
    </row>
    <row r="48" spans="1:3" x14ac:dyDescent="0.25">
      <c r="A48" s="4">
        <v>51</v>
      </c>
    </row>
    <row r="49" spans="1:1" x14ac:dyDescent="0.25">
      <c r="A49" s="4">
        <v>52</v>
      </c>
    </row>
    <row r="50" spans="1:1" x14ac:dyDescent="0.25">
      <c r="A50" s="4"/>
    </row>
    <row r="51" spans="1:1" x14ac:dyDescent="0.25">
      <c r="A51" s="4"/>
    </row>
    <row r="52" spans="1:1" x14ac:dyDescent="0.25">
      <c r="A52" s="4"/>
    </row>
  </sheetData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0">
    <tabColor rgb="FFFFFF00"/>
  </sheetPr>
  <dimension ref="A1:F52"/>
  <sheetViews>
    <sheetView topLeftCell="A3" zoomScale="101" zoomScaleNormal="85" workbookViewId="0">
      <selection activeCell="B36" sqref="B36"/>
    </sheetView>
  </sheetViews>
  <sheetFormatPr baseColWidth="10" defaultColWidth="11.42578125" defaultRowHeight="15" x14ac:dyDescent="0.25"/>
  <cols>
    <col min="2" max="2" width="18.140625" bestFit="1" customWidth="1"/>
  </cols>
  <sheetData>
    <row r="1" spans="1:3" x14ac:dyDescent="0.25">
      <c r="A1" s="10" t="s">
        <v>166</v>
      </c>
      <c r="B1" s="33" t="s">
        <v>193</v>
      </c>
      <c r="C1" s="33" t="s">
        <v>82</v>
      </c>
    </row>
    <row r="2" spans="1:3" x14ac:dyDescent="0.25">
      <c r="A2" s="4">
        <v>2</v>
      </c>
      <c r="B2" s="110">
        <v>583</v>
      </c>
      <c r="C2" s="23">
        <f>IF('Evolution coût EMAG'!C2&gt;0,'Evolution coût EMAG'!C2,NA())</f>
        <v>17508</v>
      </c>
    </row>
    <row r="3" spans="1:3" x14ac:dyDescent="0.25">
      <c r="A3" s="4">
        <v>3</v>
      </c>
      <c r="B3" s="23">
        <v>880</v>
      </c>
      <c r="C3" s="23">
        <f>IF('Evolution coût EMAG'!C3&gt;0,'Evolution coût EMAG'!C3,NA())</f>
        <v>20754</v>
      </c>
    </row>
    <row r="4" spans="1:3" x14ac:dyDescent="0.25">
      <c r="A4" s="4">
        <v>4</v>
      </c>
      <c r="B4" s="4">
        <v>792</v>
      </c>
      <c r="C4" s="23">
        <f>IF('Evolution coût EMAG'!C4&gt;0,'Evolution coût EMAG'!C4,NA())</f>
        <v>19592</v>
      </c>
    </row>
    <row r="5" spans="1:3" x14ac:dyDescent="0.25">
      <c r="A5" s="4">
        <v>5</v>
      </c>
      <c r="B5" s="4">
        <v>876</v>
      </c>
      <c r="C5" s="23">
        <f>IF('Evolution coût EMAG'!C5&gt;0,'Evolution coût EMAG'!C5,NA())</f>
        <v>18583</v>
      </c>
    </row>
    <row r="6" spans="1:3" x14ac:dyDescent="0.25">
      <c r="A6" s="4">
        <v>6</v>
      </c>
      <c r="B6" s="4">
        <v>962</v>
      </c>
      <c r="C6" s="23">
        <f>IF('Evolution coût EMAG'!C6&gt;0,'Evolution coût EMAG'!C6,NA())</f>
        <v>19916</v>
      </c>
    </row>
    <row r="7" spans="1:3" x14ac:dyDescent="0.25">
      <c r="A7" s="4">
        <v>7</v>
      </c>
      <c r="B7" s="4">
        <v>866</v>
      </c>
      <c r="C7" s="23">
        <f>IF('Evolution coût EMAG'!C7&gt;0,'Evolution coût EMAG'!C7,NA())</f>
        <v>21937</v>
      </c>
    </row>
    <row r="8" spans="1:3" x14ac:dyDescent="0.25">
      <c r="A8" s="4">
        <v>8</v>
      </c>
      <c r="B8" s="4">
        <v>986</v>
      </c>
      <c r="C8" s="23">
        <f>IF('Evolution coût EMAG'!C8&gt;0,'Evolution coût EMAG'!C8,NA())</f>
        <v>22555</v>
      </c>
    </row>
    <row r="9" spans="1:3" x14ac:dyDescent="0.25">
      <c r="A9" s="4">
        <v>9</v>
      </c>
      <c r="B9" s="4">
        <v>937</v>
      </c>
      <c r="C9" s="23">
        <f>IF('Evolution coût EMAG'!C9&gt;0,'Evolution coût EMAG'!C9,NA())</f>
        <v>20488</v>
      </c>
    </row>
    <row r="10" spans="1:3" x14ac:dyDescent="0.25">
      <c r="A10" s="4">
        <v>10</v>
      </c>
      <c r="B10" s="4">
        <v>603</v>
      </c>
      <c r="C10" s="23">
        <f>IF('Evolution coût EMAG'!C10&gt;0,'Evolution coût EMAG'!C10,NA())</f>
        <v>11429</v>
      </c>
    </row>
    <row r="11" spans="1:3" x14ac:dyDescent="0.25">
      <c r="A11" s="4">
        <v>11</v>
      </c>
      <c r="B11" s="4">
        <v>974</v>
      </c>
      <c r="C11" s="23">
        <f>IF('Evolution coût EMAG'!C11&gt;0,'Evolution coût EMAG'!C11,NA())</f>
        <v>19842</v>
      </c>
    </row>
    <row r="12" spans="1:3" x14ac:dyDescent="0.25">
      <c r="A12" s="4">
        <v>12</v>
      </c>
      <c r="B12" s="4">
        <v>842</v>
      </c>
      <c r="C12" s="23">
        <f>IF('Evolution coût EMAG'!C12&gt;0,'Evolution coût EMAG'!C12,NA())</f>
        <v>15913</v>
      </c>
    </row>
    <row r="13" spans="1:3" x14ac:dyDescent="0.25">
      <c r="A13" s="4">
        <v>13</v>
      </c>
      <c r="B13" s="4">
        <v>827</v>
      </c>
      <c r="C13" s="23">
        <f>IF('Evolution coût EMAG'!C13&gt;0,'Evolution coût EMAG'!C13,NA())</f>
        <v>16991</v>
      </c>
    </row>
    <row r="14" spans="1:3" x14ac:dyDescent="0.25">
      <c r="A14" s="4">
        <v>14</v>
      </c>
      <c r="B14" s="4">
        <v>828</v>
      </c>
      <c r="C14" s="23">
        <f>IF('Evolution coût EMAG'!C14&gt;0,'Evolution coût EMAG'!C14,NA())</f>
        <v>13017</v>
      </c>
    </row>
    <row r="15" spans="1:3" x14ac:dyDescent="0.25">
      <c r="A15" s="4">
        <v>15</v>
      </c>
      <c r="B15" s="4">
        <v>666</v>
      </c>
      <c r="C15" s="23">
        <f>IF('Evolution coût EMAG'!C15&gt;0,'Evolution coût EMAG'!C15,NA())</f>
        <v>13188</v>
      </c>
    </row>
    <row r="16" spans="1:3" x14ac:dyDescent="0.25">
      <c r="A16" s="4">
        <v>16</v>
      </c>
      <c r="B16" s="4">
        <v>769</v>
      </c>
      <c r="C16" s="23">
        <f>IF('Evolution coût EMAG'!C16&gt;0,'Evolution coût EMAG'!C16,NA())</f>
        <v>16762</v>
      </c>
    </row>
    <row r="17" spans="1:6" x14ac:dyDescent="0.25">
      <c r="A17" s="4">
        <v>17</v>
      </c>
      <c r="B17" s="4">
        <v>811</v>
      </c>
      <c r="C17" s="23">
        <f>IF('Evolution coût EMAG'!C17&gt;0,'Evolution coût EMAG'!C17,NA())</f>
        <v>15965</v>
      </c>
    </row>
    <row r="18" spans="1:6" x14ac:dyDescent="0.25">
      <c r="A18" s="4">
        <v>18</v>
      </c>
      <c r="B18" s="4">
        <v>651</v>
      </c>
      <c r="C18" s="23">
        <f>IF('Evolution coût EMAG'!C18&gt;0,'Evolution coût EMAG'!C18,NA())</f>
        <v>9771</v>
      </c>
    </row>
    <row r="19" spans="1:6" x14ac:dyDescent="0.25">
      <c r="A19" s="4">
        <v>19</v>
      </c>
      <c r="B19" s="4">
        <v>763</v>
      </c>
      <c r="C19" s="23">
        <f>IF('Evolution coût EMAG'!C19&gt;0,'Evolution coût EMAG'!C19,NA())</f>
        <v>10802</v>
      </c>
    </row>
    <row r="20" spans="1:6" x14ac:dyDescent="0.25">
      <c r="A20" s="4">
        <v>20</v>
      </c>
      <c r="B20" s="4">
        <v>654</v>
      </c>
      <c r="C20" s="23">
        <f>IF('Evolution coût EMAG'!C20&gt;0,'Evolution coût EMAG'!C20,NA())</f>
        <v>10178</v>
      </c>
    </row>
    <row r="21" spans="1:6" x14ac:dyDescent="0.25">
      <c r="A21" s="4">
        <v>21</v>
      </c>
      <c r="B21" s="4">
        <v>527</v>
      </c>
      <c r="C21" s="23">
        <f>IF('Evolution coût EMAG'!C21&gt;0,'Evolution coût EMAG'!C21,NA())</f>
        <v>10141</v>
      </c>
    </row>
    <row r="22" spans="1:6" x14ac:dyDescent="0.25">
      <c r="A22" s="4">
        <v>22</v>
      </c>
      <c r="B22" s="4">
        <v>851</v>
      </c>
      <c r="C22" s="23">
        <f>IF('Evolution coût EMAG'!C22&gt;0,'Evolution coût EMAG'!C22,NA())</f>
        <v>14064</v>
      </c>
    </row>
    <row r="23" spans="1:6" x14ac:dyDescent="0.25">
      <c r="A23" s="4">
        <v>23</v>
      </c>
      <c r="B23" s="4">
        <v>913</v>
      </c>
      <c r="C23" s="23">
        <f>IF('Evolution coût EMAG'!C23&gt;0,'Evolution coût EMAG'!C23,NA())</f>
        <v>14979</v>
      </c>
    </row>
    <row r="24" spans="1:6" x14ac:dyDescent="0.25">
      <c r="A24" s="4">
        <v>24</v>
      </c>
      <c r="B24" s="4">
        <v>987</v>
      </c>
      <c r="C24" s="23">
        <f>IF('Evolution coût EMAG'!C24&gt;0,'Evolution coût EMAG'!C24,NA())</f>
        <v>15987</v>
      </c>
    </row>
    <row r="25" spans="1:6" x14ac:dyDescent="0.25">
      <c r="A25" s="4">
        <v>25</v>
      </c>
      <c r="B25" s="4">
        <v>878</v>
      </c>
      <c r="C25" s="23">
        <f>IF('Evolution coût EMAG'!C25&gt;0,'Evolution coût EMAG'!C25,NA())</f>
        <v>12958</v>
      </c>
    </row>
    <row r="26" spans="1:6" x14ac:dyDescent="0.25">
      <c r="A26" s="4">
        <v>26</v>
      </c>
      <c r="B26" s="4">
        <v>637</v>
      </c>
      <c r="C26" s="23">
        <f>IF('Evolution coût EMAG'!C26&gt;0,'Evolution coût EMAG'!C26,NA())</f>
        <v>8577</v>
      </c>
    </row>
    <row r="27" spans="1:6" x14ac:dyDescent="0.25">
      <c r="A27" s="4">
        <v>27</v>
      </c>
      <c r="B27" s="4">
        <v>778</v>
      </c>
      <c r="C27" s="23">
        <f>IF('Evolution coût EMAG'!C27&gt;0,'Evolution coût EMAG'!C27,NA())</f>
        <v>14406</v>
      </c>
    </row>
    <row r="28" spans="1:6" x14ac:dyDescent="0.25">
      <c r="A28" s="4">
        <v>28</v>
      </c>
      <c r="B28" s="4">
        <v>793</v>
      </c>
      <c r="C28" s="23">
        <f>IF('Evolution coût EMAG'!C28&gt;0,'Evolution coût EMAG'!C28,NA())</f>
        <v>12763</v>
      </c>
      <c r="F28" s="4"/>
    </row>
    <row r="29" spans="1:6" x14ac:dyDescent="0.25">
      <c r="A29" s="4">
        <v>29</v>
      </c>
      <c r="B29" s="4">
        <v>659</v>
      </c>
      <c r="C29" s="23">
        <f>IF('Evolution coût EMAG'!C29&gt;0,'Evolution coût EMAG'!C29,NA())</f>
        <v>12171</v>
      </c>
    </row>
    <row r="30" spans="1:6" x14ac:dyDescent="0.25">
      <c r="A30" s="4">
        <v>30</v>
      </c>
      <c r="B30" s="4">
        <v>691</v>
      </c>
      <c r="C30" s="23">
        <f>IF('Evolution coût EMAG'!C30&gt;0,'Evolution coût EMAG'!C30,NA())</f>
        <v>14142</v>
      </c>
    </row>
    <row r="31" spans="1:6" x14ac:dyDescent="0.25">
      <c r="A31" s="4">
        <v>34</v>
      </c>
      <c r="B31" s="4">
        <v>698</v>
      </c>
      <c r="C31" s="23">
        <f>IF('Evolution coût EMAG'!C31&gt;0,'Evolution coût EMAG'!C31,NA())</f>
        <v>12482</v>
      </c>
    </row>
    <row r="32" spans="1:6" x14ac:dyDescent="0.25">
      <c r="A32" s="4">
        <v>35</v>
      </c>
      <c r="B32" s="4">
        <v>843</v>
      </c>
      <c r="C32" s="23">
        <f>IF('Evolution coût EMAG'!C32&gt;0,'Evolution coût EMAG'!C32,NA())</f>
        <v>14652</v>
      </c>
    </row>
    <row r="33" spans="1:3" x14ac:dyDescent="0.25">
      <c r="A33" s="4">
        <v>36</v>
      </c>
      <c r="B33" s="4">
        <v>881</v>
      </c>
      <c r="C33" s="23">
        <f>IF('Evolution coût EMAG'!C33&gt;0,'Evolution coût EMAG'!C33,NA())</f>
        <v>16543</v>
      </c>
    </row>
    <row r="34" spans="1:3" x14ac:dyDescent="0.25">
      <c r="A34" s="4">
        <v>37</v>
      </c>
      <c r="B34" s="4">
        <v>901</v>
      </c>
      <c r="C34" s="23">
        <f>IF('Evolution coût EMAG'!C34&gt;0,'Evolution coût EMAG'!C34,NA())</f>
        <v>17737</v>
      </c>
    </row>
    <row r="35" spans="1:3" x14ac:dyDescent="0.25">
      <c r="A35" s="4">
        <v>38</v>
      </c>
      <c r="B35" s="4">
        <v>822</v>
      </c>
      <c r="C35" s="23">
        <f>IF('Evolution coût EMAG'!C35&gt;0,'Evolution coût EMAG'!C35,NA())</f>
        <v>15685</v>
      </c>
    </row>
    <row r="36" spans="1:3" x14ac:dyDescent="0.25">
      <c r="A36" s="4">
        <v>39</v>
      </c>
      <c r="B36" s="4"/>
      <c r="C36" s="23" t="e">
        <f>IF('Evolution coût EMAG'!C36&gt;0,'Evolution coût EMAG'!C36,NA())</f>
        <v>#N/A</v>
      </c>
    </row>
    <row r="37" spans="1:3" x14ac:dyDescent="0.25">
      <c r="A37" s="4">
        <v>40</v>
      </c>
      <c r="B37" s="4"/>
      <c r="C37" s="23" t="e">
        <f>IF('Evolution coût EMAG'!C37&gt;0,'Evolution coût EMAG'!C37,NA())</f>
        <v>#N/A</v>
      </c>
    </row>
    <row r="38" spans="1:3" x14ac:dyDescent="0.25">
      <c r="A38" s="4">
        <v>41</v>
      </c>
      <c r="B38" s="4"/>
      <c r="C38" s="23" t="e">
        <f>IF('Evolution coût EMAG'!C38&gt;0,'Evolution coût EMAG'!C38,NA())</f>
        <v>#N/A</v>
      </c>
    </row>
    <row r="39" spans="1:3" x14ac:dyDescent="0.25">
      <c r="A39" s="4">
        <v>42</v>
      </c>
      <c r="B39" s="4"/>
      <c r="C39" s="23" t="e">
        <f>IF('Evolution coût EMAG'!C39&gt;0,'Evolution coût EMAG'!C39,NA())</f>
        <v>#N/A</v>
      </c>
    </row>
    <row r="40" spans="1:3" x14ac:dyDescent="0.25">
      <c r="A40" s="4">
        <v>43</v>
      </c>
      <c r="B40" s="4"/>
      <c r="C40" s="23" t="e">
        <f>IF('Evolution coût EMAG'!C40&gt;0,'Evolution coût EMAG'!C40,NA())</f>
        <v>#N/A</v>
      </c>
    </row>
    <row r="41" spans="1:3" x14ac:dyDescent="0.25">
      <c r="A41" s="4">
        <v>44</v>
      </c>
      <c r="C41" s="23" t="e">
        <f>IF('Evolution coût EMAG'!C41&gt;0,'Evolution coût EMAG'!C41,NA())</f>
        <v>#N/A</v>
      </c>
    </row>
    <row r="42" spans="1:3" x14ac:dyDescent="0.25">
      <c r="A42" s="4">
        <v>45</v>
      </c>
      <c r="C42" s="23" t="e">
        <f>IF('Evolution coût EMAG'!C42&gt;0,'Evolution coût EMAG'!C42,NA())</f>
        <v>#N/A</v>
      </c>
    </row>
    <row r="43" spans="1:3" x14ac:dyDescent="0.25">
      <c r="A43" s="4">
        <v>46</v>
      </c>
      <c r="C43" s="23" t="e">
        <f>IF('Evolution coût EMAG'!C43&gt;0,'Evolution coût EMAG'!C43,NA())</f>
        <v>#N/A</v>
      </c>
    </row>
    <row r="44" spans="1:3" x14ac:dyDescent="0.25">
      <c r="A44" s="4">
        <v>47</v>
      </c>
      <c r="C44" s="23" t="e">
        <f>IF('Evolution coût EMAG'!C44&gt;0,'Evolution coût EMAG'!C44,NA())</f>
        <v>#N/A</v>
      </c>
    </row>
    <row r="45" spans="1:3" x14ac:dyDescent="0.25">
      <c r="A45" s="4">
        <v>48</v>
      </c>
      <c r="C45" s="23" t="e">
        <f>IF('Evolution coût EMAG'!C45&gt;0,'Evolution coût EMAG'!C45,NA())</f>
        <v>#N/A</v>
      </c>
    </row>
    <row r="46" spans="1:3" x14ac:dyDescent="0.25">
      <c r="A46" s="4">
        <v>49</v>
      </c>
      <c r="C46" s="23" t="e">
        <f>IF('Evolution coût EMAG'!C46&gt;0,'Evolution coût EMAG'!C46,NA())</f>
        <v>#N/A</v>
      </c>
    </row>
    <row r="47" spans="1:3" x14ac:dyDescent="0.25">
      <c r="A47" s="4">
        <v>50</v>
      </c>
      <c r="C47" s="23" t="e">
        <f>IF('Evolution coût EMAG'!C47&gt;0,'Evolution coût EMAG'!C47,NA())</f>
        <v>#N/A</v>
      </c>
    </row>
    <row r="48" spans="1:3" x14ac:dyDescent="0.25">
      <c r="A48" s="4">
        <v>51</v>
      </c>
      <c r="C48" s="23" t="e">
        <f>IF('Evolution coût EMAG'!C48&gt;0,'Evolution coût EMAG'!C48,NA())</f>
        <v>#N/A</v>
      </c>
    </row>
    <row r="49" spans="1:3" x14ac:dyDescent="0.25">
      <c r="A49" s="4">
        <v>52</v>
      </c>
      <c r="C49" s="23" t="e">
        <f>IF('Evolution coût EMAG'!C49&gt;0,'Evolution coût EMAG'!C49,NA())</f>
        <v>#N/A</v>
      </c>
    </row>
    <row r="50" spans="1:3" x14ac:dyDescent="0.25">
      <c r="C50" s="23" t="e">
        <f>IF('Evolution coût EMAG'!C50&gt;0,'Evolution coût EMAG'!C50,NA())</f>
        <v>#N/A</v>
      </c>
    </row>
    <row r="51" spans="1:3" x14ac:dyDescent="0.25">
      <c r="C51" s="23" t="e">
        <f>IF('Evolution coût EMAG'!C51&gt;0,'Evolution coût EMAG'!C51,NA())</f>
        <v>#N/A</v>
      </c>
    </row>
    <row r="52" spans="1:3" x14ac:dyDescent="0.25">
      <c r="C52" s="23" t="e">
        <f>IF('Evolution coût EMAG'!C52&gt;0,'Evolution coût EMAG'!C52,NA())</f>
        <v>#N/A</v>
      </c>
    </row>
  </sheetData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>
    <tabColor rgb="FFFFFF00"/>
  </sheetPr>
  <dimension ref="A1:U54"/>
  <sheetViews>
    <sheetView topLeftCell="AI40" zoomScale="87" zoomScaleNormal="85" workbookViewId="0">
      <selection activeCell="P36" sqref="P36"/>
    </sheetView>
  </sheetViews>
  <sheetFormatPr baseColWidth="10" defaultColWidth="11.42578125" defaultRowHeight="15" x14ac:dyDescent="0.25"/>
  <cols>
    <col min="1" max="1" width="11.5703125" style="4" bestFit="1" customWidth="1"/>
    <col min="2" max="2" width="18.5703125" style="4" bestFit="1" customWidth="1"/>
    <col min="3" max="3" width="7.42578125" style="4" bestFit="1" customWidth="1"/>
    <col min="4" max="4" width="17.7109375" style="4" bestFit="1" customWidth="1"/>
    <col min="5" max="5" width="7.42578125" style="4" bestFit="1" customWidth="1"/>
    <col min="6" max="6" width="13.140625" style="4" bestFit="1" customWidth="1"/>
    <col min="7" max="7" width="8.42578125" style="4" bestFit="1" customWidth="1"/>
    <col min="8" max="8" width="18.140625" style="4" bestFit="1" customWidth="1"/>
    <col min="9" max="9" width="13" style="4" bestFit="1" customWidth="1"/>
    <col min="10" max="10" width="18.140625" style="4" customWidth="1"/>
    <col min="11" max="11" width="7.42578125" style="4" bestFit="1" customWidth="1"/>
    <col min="12" max="12" width="13.140625" style="4" bestFit="1" customWidth="1"/>
    <col min="13" max="13" width="7.42578125" style="4" customWidth="1"/>
    <col min="14" max="14" width="18.140625" style="4" bestFit="1" customWidth="1"/>
    <col min="15" max="15" width="7.42578125" style="4" customWidth="1"/>
    <col min="16" max="16" width="22.85546875" style="4" bestFit="1" customWidth="1"/>
    <col min="17" max="17" width="7.42578125" style="4" bestFit="1" customWidth="1"/>
    <col min="18" max="18" width="18.5703125" style="4" bestFit="1" customWidth="1"/>
    <col min="19" max="19" width="7.42578125" style="4" bestFit="1" customWidth="1"/>
    <col min="20" max="20" width="13.140625" style="4" bestFit="1" customWidth="1"/>
    <col min="21" max="21" width="7.42578125" style="4" customWidth="1"/>
    <col min="22" max="16384" width="11.42578125" style="4"/>
  </cols>
  <sheetData>
    <row r="1" spans="1:21" x14ac:dyDescent="0.25">
      <c r="A1" s="10" t="s">
        <v>166</v>
      </c>
      <c r="B1" s="10" t="s">
        <v>169</v>
      </c>
      <c r="C1" s="10" t="s">
        <v>170</v>
      </c>
      <c r="D1" s="10" t="s">
        <v>171</v>
      </c>
      <c r="E1" s="10" t="s">
        <v>170</v>
      </c>
      <c r="F1" s="10" t="s">
        <v>172</v>
      </c>
      <c r="G1" s="10" t="s">
        <v>170</v>
      </c>
      <c r="H1" s="10" t="s">
        <v>173</v>
      </c>
      <c r="I1" s="10" t="s">
        <v>170</v>
      </c>
      <c r="J1" s="10" t="s">
        <v>194</v>
      </c>
      <c r="K1" s="10" t="s">
        <v>170</v>
      </c>
      <c r="L1" s="10" t="s">
        <v>174</v>
      </c>
      <c r="M1" s="10" t="s">
        <v>170</v>
      </c>
      <c r="N1" s="10" t="s">
        <v>175</v>
      </c>
      <c r="O1" s="10" t="s">
        <v>170</v>
      </c>
      <c r="P1" s="10" t="s">
        <v>176</v>
      </c>
      <c r="Q1" s="10" t="s">
        <v>170</v>
      </c>
      <c r="R1" s="10" t="s">
        <v>177</v>
      </c>
      <c r="S1" s="10" t="s">
        <v>170</v>
      </c>
      <c r="T1" s="10" t="s">
        <v>178</v>
      </c>
      <c r="U1" s="10" t="s">
        <v>170</v>
      </c>
    </row>
    <row r="2" spans="1:21" x14ac:dyDescent="0.25">
      <c r="A2" s="4">
        <v>2</v>
      </c>
      <c r="C2" s="4">
        <v>0.21199999999999999</v>
      </c>
      <c r="D2" s="4">
        <v>0.30199999999999999</v>
      </c>
      <c r="E2" s="4">
        <v>0.57499999999999996</v>
      </c>
      <c r="G2" s="4">
        <v>0.38400000000000001</v>
      </c>
      <c r="I2" s="4">
        <v>0.308</v>
      </c>
      <c r="J2" s="4">
        <v>0.24299999999999999</v>
      </c>
      <c r="K2" s="4">
        <v>0.23200000000000001</v>
      </c>
      <c r="M2" s="4">
        <v>0.23499999999999999</v>
      </c>
      <c r="P2" s="4">
        <v>0.215</v>
      </c>
      <c r="Q2" s="4">
        <v>0.218</v>
      </c>
    </row>
    <row r="3" spans="1:21" x14ac:dyDescent="0.25">
      <c r="A3" s="4">
        <v>3</v>
      </c>
      <c r="B3" s="4">
        <v>0</v>
      </c>
      <c r="C3" s="4">
        <v>0.21199999999999999</v>
      </c>
      <c r="D3" s="4">
        <v>0.46300000000000002</v>
      </c>
      <c r="E3" s="4">
        <v>0.57499999999999996</v>
      </c>
      <c r="F3" s="4">
        <v>0.51300000000000001</v>
      </c>
      <c r="G3" s="4">
        <v>0.38400000000000001</v>
      </c>
      <c r="H3" s="4">
        <v>1.1479999999999999</v>
      </c>
      <c r="I3" s="4">
        <v>0.308</v>
      </c>
      <c r="J3" s="4">
        <v>0.40600000000000003</v>
      </c>
      <c r="K3" s="4">
        <v>0.23200000000000001</v>
      </c>
      <c r="M3" s="4">
        <v>0.23499999999999999</v>
      </c>
      <c r="P3" s="4">
        <v>0.21099999999999999</v>
      </c>
      <c r="Q3" s="4">
        <v>0.218</v>
      </c>
    </row>
    <row r="4" spans="1:21" x14ac:dyDescent="0.25">
      <c r="A4" s="4">
        <v>4</v>
      </c>
      <c r="B4" s="4">
        <v>0.25</v>
      </c>
      <c r="C4" s="4">
        <v>0.21199999999999999</v>
      </c>
      <c r="D4" s="4">
        <v>0.66800000000000004</v>
      </c>
      <c r="E4" s="4">
        <v>0.57499999999999996</v>
      </c>
      <c r="F4" s="4">
        <v>0.60799999999999998</v>
      </c>
      <c r="G4" s="4">
        <v>0.38400000000000001</v>
      </c>
      <c r="H4" s="4">
        <v>0.504</v>
      </c>
      <c r="I4" s="4">
        <v>0.308</v>
      </c>
      <c r="K4" s="4">
        <v>0.23200000000000001</v>
      </c>
      <c r="L4" s="4">
        <v>0.192</v>
      </c>
      <c r="M4" s="4">
        <v>0.23499999999999999</v>
      </c>
      <c r="P4" s="4">
        <v>0.29299999999999998</v>
      </c>
      <c r="Q4" s="4">
        <v>0.218</v>
      </c>
    </row>
    <row r="5" spans="1:21" x14ac:dyDescent="0.25">
      <c r="A5" s="4">
        <v>5</v>
      </c>
      <c r="B5" s="4">
        <v>0</v>
      </c>
      <c r="C5" s="4">
        <v>0.21199999999999999</v>
      </c>
      <c r="D5" s="4">
        <v>0.78400000000000003</v>
      </c>
      <c r="E5" s="4">
        <v>0.57499999999999996</v>
      </c>
      <c r="F5" s="4">
        <v>0.69</v>
      </c>
      <c r="G5" s="4">
        <v>0.38400000000000001</v>
      </c>
      <c r="H5" s="4">
        <v>1.1100000000000001</v>
      </c>
      <c r="I5" s="4">
        <v>0.308</v>
      </c>
      <c r="J5" s="4">
        <v>0.14899999999999999</v>
      </c>
      <c r="K5" s="4">
        <v>0.23200000000000001</v>
      </c>
      <c r="L5" s="4">
        <v>0.224</v>
      </c>
      <c r="M5" s="4">
        <v>0.23499999999999999</v>
      </c>
      <c r="P5" s="4">
        <v>0.17799999999999999</v>
      </c>
      <c r="Q5" s="4">
        <v>0.218</v>
      </c>
    </row>
    <row r="6" spans="1:21" x14ac:dyDescent="0.25">
      <c r="A6" s="4">
        <v>6</v>
      </c>
      <c r="B6" s="4">
        <v>0.27700000000000002</v>
      </c>
      <c r="C6" s="4">
        <v>0.21199999999999999</v>
      </c>
      <c r="D6" s="4">
        <v>0.60599999999999998</v>
      </c>
      <c r="E6" s="4">
        <v>0.57499999999999996</v>
      </c>
      <c r="G6" s="4">
        <v>0.38400000000000001</v>
      </c>
      <c r="I6" s="4">
        <v>0.308</v>
      </c>
      <c r="J6" s="4">
        <v>0.27800000000000002</v>
      </c>
      <c r="K6" s="4">
        <v>0.23200000000000001</v>
      </c>
      <c r="M6" s="4">
        <v>0.23499999999999999</v>
      </c>
      <c r="P6" s="4">
        <v>0.22700000000000001</v>
      </c>
      <c r="Q6" s="4">
        <v>0.218</v>
      </c>
    </row>
    <row r="7" spans="1:21" x14ac:dyDescent="0.25">
      <c r="A7" s="4">
        <v>7</v>
      </c>
      <c r="C7" s="4">
        <v>0.21199999999999999</v>
      </c>
      <c r="D7" s="4">
        <v>0.38900000000000001</v>
      </c>
      <c r="E7" s="4">
        <v>0.57499999999999996</v>
      </c>
      <c r="G7" s="4">
        <v>0.38400000000000001</v>
      </c>
      <c r="I7" s="4">
        <v>0.308</v>
      </c>
      <c r="J7" s="4">
        <v>0.29599999999999999</v>
      </c>
      <c r="K7" s="4">
        <v>0.23200000000000001</v>
      </c>
      <c r="M7" s="4">
        <v>0.23499999999999999</v>
      </c>
      <c r="P7" s="4">
        <v>8.3000000000000004E-2</v>
      </c>
      <c r="Q7" s="4">
        <v>0.218</v>
      </c>
      <c r="T7" s="4">
        <v>1.292</v>
      </c>
    </row>
    <row r="8" spans="1:21" x14ac:dyDescent="0.25">
      <c r="A8" s="4">
        <v>8</v>
      </c>
      <c r="C8" s="4">
        <v>0.21199999999999999</v>
      </c>
      <c r="D8" s="4">
        <v>0.49299999999999999</v>
      </c>
      <c r="E8" s="4">
        <v>0.57499999999999996</v>
      </c>
      <c r="F8" s="4">
        <v>0.68200000000000005</v>
      </c>
      <c r="G8" s="4">
        <v>0.38400000000000001</v>
      </c>
      <c r="I8" s="4">
        <v>0.308</v>
      </c>
      <c r="J8" s="4">
        <v>0.23799999999999999</v>
      </c>
      <c r="K8" s="4">
        <v>0.23200000000000001</v>
      </c>
      <c r="M8" s="4">
        <v>0.23499999999999999</v>
      </c>
      <c r="P8" s="4">
        <v>0.219</v>
      </c>
      <c r="Q8" s="4">
        <v>0.218</v>
      </c>
      <c r="T8" s="4">
        <v>3.7879999999999998</v>
      </c>
    </row>
    <row r="9" spans="1:21" x14ac:dyDescent="0.25">
      <c r="A9" s="4">
        <v>9</v>
      </c>
      <c r="C9" s="4">
        <v>0.21199999999999999</v>
      </c>
      <c r="D9" s="4">
        <v>0.54300000000000004</v>
      </c>
      <c r="E9" s="4">
        <v>0.57499999999999996</v>
      </c>
      <c r="F9" s="4">
        <v>0.873</v>
      </c>
      <c r="G9" s="4">
        <v>0.38400000000000001</v>
      </c>
      <c r="I9" s="4">
        <v>0.308</v>
      </c>
      <c r="J9" s="4">
        <v>0.28000000000000003</v>
      </c>
      <c r="K9" s="4">
        <v>0.23200000000000001</v>
      </c>
      <c r="M9" s="4">
        <v>0.23499999999999999</v>
      </c>
      <c r="P9" s="4">
        <v>0.27800000000000002</v>
      </c>
      <c r="Q9" s="4">
        <v>0.218</v>
      </c>
    </row>
    <row r="10" spans="1:21" x14ac:dyDescent="0.25">
      <c r="A10" s="4">
        <v>10</v>
      </c>
      <c r="C10" s="4">
        <v>0.21199999999999999</v>
      </c>
      <c r="D10" s="4">
        <v>0.60199999999999998</v>
      </c>
      <c r="E10" s="4">
        <v>0.57499999999999996</v>
      </c>
      <c r="F10" s="4">
        <v>7.6769999999999996</v>
      </c>
      <c r="G10" s="4">
        <v>0.38400000000000001</v>
      </c>
      <c r="H10" s="4">
        <v>1.1180000000000001</v>
      </c>
      <c r="I10" s="4">
        <v>0.308</v>
      </c>
      <c r="J10" s="4">
        <v>0.34</v>
      </c>
      <c r="K10" s="4">
        <v>0.23200000000000001</v>
      </c>
      <c r="M10" s="4">
        <v>0.23499999999999999</v>
      </c>
      <c r="P10" s="4">
        <v>0.32800000000000001</v>
      </c>
      <c r="Q10" s="4">
        <v>0.218</v>
      </c>
    </row>
    <row r="11" spans="1:21" x14ac:dyDescent="0.25">
      <c r="A11" s="4">
        <v>11</v>
      </c>
      <c r="B11" s="4">
        <v>0</v>
      </c>
      <c r="C11" s="4">
        <v>0.21199999999999999</v>
      </c>
      <c r="D11" s="4">
        <v>0.47799999999999998</v>
      </c>
      <c r="E11" s="4">
        <v>0.57499999999999996</v>
      </c>
      <c r="G11" s="4">
        <v>0.38400000000000001</v>
      </c>
      <c r="H11" s="4">
        <v>1.78</v>
      </c>
      <c r="I11" s="4">
        <v>0.308</v>
      </c>
      <c r="J11" s="4">
        <v>0.34</v>
      </c>
      <c r="K11" s="4">
        <v>0.23200000000000001</v>
      </c>
      <c r="M11" s="4">
        <v>0.23499999999999999</v>
      </c>
      <c r="P11" s="4">
        <v>0.39600000000000002</v>
      </c>
      <c r="Q11" s="4">
        <v>0.218</v>
      </c>
    </row>
    <row r="12" spans="1:21" x14ac:dyDescent="0.25">
      <c r="A12" s="4">
        <v>12</v>
      </c>
      <c r="B12" s="4">
        <v>0.34200000000000003</v>
      </c>
      <c r="C12" s="4">
        <v>0.21199999999999999</v>
      </c>
      <c r="D12" s="4">
        <v>1.113</v>
      </c>
      <c r="E12" s="4">
        <v>0.57499999999999996</v>
      </c>
      <c r="G12" s="4">
        <v>0.38400000000000001</v>
      </c>
      <c r="H12" s="4">
        <v>0.71499999999999997</v>
      </c>
      <c r="I12" s="4">
        <v>0.308</v>
      </c>
      <c r="J12" s="4">
        <v>0.75800000000000001</v>
      </c>
      <c r="K12" s="4">
        <v>0.23200000000000001</v>
      </c>
      <c r="M12" s="4">
        <v>0.23499999999999999</v>
      </c>
      <c r="P12" s="4">
        <v>0.32600000000000001</v>
      </c>
      <c r="Q12" s="4">
        <v>0.218</v>
      </c>
    </row>
    <row r="13" spans="1:21" x14ac:dyDescent="0.25">
      <c r="A13" s="4">
        <v>13</v>
      </c>
      <c r="B13" s="4">
        <v>0.25600000000000001</v>
      </c>
      <c r="C13" s="4">
        <v>0.21199999999999999</v>
      </c>
      <c r="E13" s="4">
        <v>0.57499999999999996</v>
      </c>
      <c r="G13" s="4">
        <v>0.38400000000000001</v>
      </c>
      <c r="H13" s="4">
        <v>0.69299999999999995</v>
      </c>
      <c r="I13" s="4">
        <v>0.308</v>
      </c>
      <c r="K13" s="4">
        <v>0.23200000000000001</v>
      </c>
      <c r="M13" s="4">
        <v>0.23499999999999999</v>
      </c>
      <c r="P13" s="4">
        <v>0.38200000000000001</v>
      </c>
      <c r="Q13" s="4">
        <v>0.218</v>
      </c>
    </row>
    <row r="14" spans="1:21" x14ac:dyDescent="0.25">
      <c r="A14" s="4">
        <v>14</v>
      </c>
      <c r="B14" s="4">
        <v>0</v>
      </c>
      <c r="C14" s="4">
        <v>0.21199999999999999</v>
      </c>
      <c r="D14" s="4">
        <v>0.68100000000000005</v>
      </c>
      <c r="E14" s="4">
        <v>0.57499999999999996</v>
      </c>
      <c r="F14" s="4">
        <v>0.80500000000000005</v>
      </c>
      <c r="G14" s="4">
        <v>0.38400000000000001</v>
      </c>
      <c r="H14" s="4">
        <v>1.9350000000000001</v>
      </c>
      <c r="I14" s="4">
        <v>0.308</v>
      </c>
      <c r="K14" s="4">
        <v>0.23200000000000001</v>
      </c>
      <c r="M14" s="4">
        <v>0.23499999999999999</v>
      </c>
      <c r="P14" s="4">
        <v>0.34399999999999997</v>
      </c>
      <c r="Q14" s="4">
        <v>0.218</v>
      </c>
    </row>
    <row r="15" spans="1:21" x14ac:dyDescent="0.25">
      <c r="A15" s="4">
        <v>15</v>
      </c>
      <c r="B15" s="4">
        <v>0.32200000000000001</v>
      </c>
      <c r="C15" s="4">
        <v>0.21199999999999999</v>
      </c>
      <c r="D15" s="4">
        <v>1.8620000000000001</v>
      </c>
      <c r="E15" s="4">
        <v>0.57499999999999996</v>
      </c>
      <c r="F15" s="4">
        <v>0.82599999999999996</v>
      </c>
      <c r="G15" s="4">
        <v>0.38400000000000001</v>
      </c>
      <c r="H15" s="4">
        <v>0.56100000000000005</v>
      </c>
      <c r="I15" s="4">
        <v>0.308</v>
      </c>
      <c r="K15" s="4">
        <v>0.23200000000000001</v>
      </c>
      <c r="M15" s="4">
        <v>0.23499999999999999</v>
      </c>
      <c r="P15" s="4">
        <v>0.33300000000000002</v>
      </c>
      <c r="Q15" s="4">
        <v>0.218</v>
      </c>
    </row>
    <row r="16" spans="1:21" x14ac:dyDescent="0.25">
      <c r="A16" s="4">
        <v>16</v>
      </c>
      <c r="B16" s="4">
        <v>0.27600000000000002</v>
      </c>
      <c r="C16" s="4">
        <v>0.21199999999999999</v>
      </c>
      <c r="D16" s="4">
        <v>0.7</v>
      </c>
      <c r="E16" s="4">
        <v>0.57499999999999996</v>
      </c>
      <c r="F16" s="4">
        <v>0.755</v>
      </c>
      <c r="G16" s="4">
        <v>0.38400000000000001</v>
      </c>
      <c r="H16" s="4">
        <v>0.91600000000000004</v>
      </c>
      <c r="I16" s="4">
        <v>0.308</v>
      </c>
      <c r="K16" s="4">
        <v>0.23200000000000001</v>
      </c>
      <c r="M16" s="4">
        <v>0.23499999999999999</v>
      </c>
      <c r="P16" s="4">
        <v>0.19400000000000001</v>
      </c>
      <c r="Q16" s="4">
        <v>0.218</v>
      </c>
    </row>
    <row r="17" spans="1:17" x14ac:dyDescent="0.25">
      <c r="A17" s="4">
        <v>17</v>
      </c>
      <c r="C17" s="4">
        <v>0.21199999999999999</v>
      </c>
      <c r="D17" s="4">
        <v>0.67300000000000004</v>
      </c>
      <c r="E17" s="4">
        <v>0.57499999999999996</v>
      </c>
      <c r="F17" s="4">
        <v>0.65400000000000003</v>
      </c>
      <c r="G17" s="4">
        <v>0.38400000000000001</v>
      </c>
      <c r="I17" s="4">
        <v>0.308</v>
      </c>
      <c r="K17" s="4">
        <v>0.23200000000000001</v>
      </c>
      <c r="M17" s="4">
        <v>0.23499999999999999</v>
      </c>
      <c r="P17" s="4">
        <v>0.20899999999999999</v>
      </c>
      <c r="Q17" s="4">
        <v>0.218</v>
      </c>
    </row>
    <row r="18" spans="1:17" x14ac:dyDescent="0.25">
      <c r="A18" s="4">
        <v>18</v>
      </c>
      <c r="C18" s="4">
        <v>0.21199999999999999</v>
      </c>
      <c r="D18" s="4">
        <v>0.92800000000000005</v>
      </c>
      <c r="E18" s="4">
        <v>0.57499999999999996</v>
      </c>
      <c r="F18" s="4">
        <v>0.57999999999999996</v>
      </c>
      <c r="G18" s="4">
        <v>0.38400000000000001</v>
      </c>
      <c r="H18" s="4">
        <v>0.92400000000000004</v>
      </c>
      <c r="I18" s="4">
        <v>0.308</v>
      </c>
      <c r="K18" s="4">
        <v>0.23200000000000001</v>
      </c>
      <c r="M18" s="4">
        <v>0.23499999999999999</v>
      </c>
      <c r="P18" s="4">
        <v>0.371</v>
      </c>
      <c r="Q18" s="4">
        <v>0.218</v>
      </c>
    </row>
    <row r="19" spans="1:17" x14ac:dyDescent="0.25">
      <c r="A19" s="4">
        <v>19</v>
      </c>
      <c r="C19" s="4">
        <v>0.21199999999999999</v>
      </c>
      <c r="D19" s="4">
        <v>0.82499999999999996</v>
      </c>
      <c r="E19" s="4">
        <v>0.57499999999999996</v>
      </c>
      <c r="G19" s="4">
        <v>0.38400000000000001</v>
      </c>
      <c r="H19" s="4">
        <v>0.82</v>
      </c>
      <c r="I19" s="4">
        <v>0.308</v>
      </c>
      <c r="J19" s="4">
        <v>0.61099999999999999</v>
      </c>
      <c r="K19" s="4">
        <v>0.23200000000000001</v>
      </c>
      <c r="M19" s="4">
        <v>0.23499999999999999</v>
      </c>
      <c r="P19" s="4">
        <v>0.35</v>
      </c>
      <c r="Q19" s="4">
        <v>0.218</v>
      </c>
    </row>
    <row r="20" spans="1:17" x14ac:dyDescent="0.25">
      <c r="A20" s="4">
        <v>20</v>
      </c>
      <c r="C20" s="4">
        <v>0.21199999999999999</v>
      </c>
      <c r="D20" s="4">
        <v>0.76300000000000001</v>
      </c>
      <c r="E20" s="4">
        <v>0.57499999999999996</v>
      </c>
      <c r="G20" s="4">
        <v>0.38400000000000001</v>
      </c>
      <c r="I20" s="4">
        <v>0.308</v>
      </c>
      <c r="J20" s="4">
        <v>0.60799999999999998</v>
      </c>
      <c r="K20" s="4">
        <v>0.23200000000000001</v>
      </c>
      <c r="M20" s="4">
        <v>0.23499999999999999</v>
      </c>
      <c r="P20" s="4">
        <v>0.376</v>
      </c>
      <c r="Q20" s="4">
        <v>0.218</v>
      </c>
    </row>
    <row r="21" spans="1:17" x14ac:dyDescent="0.25">
      <c r="A21" s="4">
        <v>21</v>
      </c>
      <c r="C21" s="4">
        <v>0.21199999999999999</v>
      </c>
      <c r="D21" s="4">
        <v>0.48299999999999998</v>
      </c>
      <c r="E21" s="4">
        <v>0.57499999999999996</v>
      </c>
      <c r="G21" s="4">
        <v>0.38400000000000001</v>
      </c>
      <c r="I21" s="4">
        <v>0.308</v>
      </c>
      <c r="J21" s="4">
        <v>0.33900000000000002</v>
      </c>
      <c r="K21" s="4">
        <v>0.23200000000000001</v>
      </c>
      <c r="M21" s="4">
        <v>0.23499999999999999</v>
      </c>
      <c r="P21" s="4">
        <v>0.307</v>
      </c>
      <c r="Q21" s="4">
        <v>0.218</v>
      </c>
    </row>
    <row r="22" spans="1:17" x14ac:dyDescent="0.25">
      <c r="A22" s="4">
        <v>22</v>
      </c>
      <c r="C22" s="4">
        <v>0.21199999999999999</v>
      </c>
      <c r="D22" s="4">
        <v>0.51700000000000002</v>
      </c>
      <c r="E22" s="4">
        <v>0.57499999999999996</v>
      </c>
      <c r="F22" s="4">
        <v>0.47099999999999997</v>
      </c>
      <c r="G22" s="4">
        <v>0.38400000000000001</v>
      </c>
      <c r="I22" s="4">
        <v>0.308</v>
      </c>
      <c r="J22" s="4">
        <v>3.3679999999999999</v>
      </c>
      <c r="K22" s="4">
        <v>0.23200000000000001</v>
      </c>
      <c r="M22" s="4">
        <v>0.23499999999999999</v>
      </c>
      <c r="Q22" s="4">
        <v>0.218</v>
      </c>
    </row>
    <row r="23" spans="1:17" x14ac:dyDescent="0.25">
      <c r="A23" s="4">
        <v>23</v>
      </c>
      <c r="C23" s="4">
        <v>0.21199999999999999</v>
      </c>
      <c r="D23" s="4">
        <v>0.57499999999999996</v>
      </c>
      <c r="E23" s="4">
        <v>0.57499999999999996</v>
      </c>
      <c r="F23" s="4">
        <v>5.8029999999999999</v>
      </c>
      <c r="G23" s="4">
        <v>0.38400000000000001</v>
      </c>
      <c r="I23" s="4">
        <v>0.308</v>
      </c>
      <c r="J23" s="4">
        <v>0.41799999999999998</v>
      </c>
      <c r="K23" s="4">
        <v>0.23200000000000001</v>
      </c>
      <c r="M23" s="4">
        <v>0.23499999999999999</v>
      </c>
      <c r="P23" s="4">
        <v>0.34499999999999997</v>
      </c>
      <c r="Q23" s="4">
        <v>0.218</v>
      </c>
    </row>
    <row r="24" spans="1:17" x14ac:dyDescent="0.25">
      <c r="A24" s="4">
        <v>24</v>
      </c>
      <c r="C24" s="4">
        <v>0.21199999999999999</v>
      </c>
      <c r="D24" s="4">
        <v>1.0129999999999999</v>
      </c>
      <c r="E24" s="4">
        <v>0.57499999999999996</v>
      </c>
      <c r="F24" s="4">
        <v>0.82499999999999996</v>
      </c>
      <c r="G24" s="4">
        <v>0.38400000000000001</v>
      </c>
      <c r="I24" s="4">
        <v>0.308</v>
      </c>
      <c r="J24" s="4">
        <v>0.23499999999999999</v>
      </c>
      <c r="K24" s="4">
        <v>0.23200000000000001</v>
      </c>
      <c r="M24" s="4">
        <v>0.23499999999999999</v>
      </c>
      <c r="P24" s="4">
        <v>0.28100000000000003</v>
      </c>
      <c r="Q24" s="4">
        <v>0.218</v>
      </c>
    </row>
    <row r="25" spans="1:17" x14ac:dyDescent="0.25">
      <c r="A25" s="4">
        <v>25</v>
      </c>
      <c r="C25" s="4">
        <v>0.21199999999999999</v>
      </c>
      <c r="D25" s="4">
        <v>0.66100000000000003</v>
      </c>
      <c r="E25" s="4">
        <v>0.57499999999999996</v>
      </c>
      <c r="F25" s="4">
        <v>1.117</v>
      </c>
      <c r="G25" s="4">
        <v>0.38400000000000001</v>
      </c>
      <c r="I25" s="4">
        <v>0.308</v>
      </c>
      <c r="J25" s="4">
        <v>0.48</v>
      </c>
      <c r="K25" s="4">
        <v>0.23200000000000001</v>
      </c>
      <c r="M25" s="4">
        <v>0.23499999999999999</v>
      </c>
      <c r="P25" s="4">
        <v>0.317</v>
      </c>
      <c r="Q25" s="4">
        <v>0.218</v>
      </c>
    </row>
    <row r="26" spans="1:17" x14ac:dyDescent="0.25">
      <c r="A26" s="4">
        <v>26</v>
      </c>
      <c r="C26" s="4">
        <v>0.21199999999999999</v>
      </c>
      <c r="D26" s="4">
        <v>0.76200000000000001</v>
      </c>
      <c r="E26" s="4">
        <v>0.57499999999999996</v>
      </c>
      <c r="F26" s="4">
        <v>0.84899999999999998</v>
      </c>
      <c r="G26" s="4">
        <v>0.38400000000000001</v>
      </c>
      <c r="I26" s="4">
        <v>0.308</v>
      </c>
      <c r="J26" s="4">
        <v>0.253</v>
      </c>
      <c r="K26" s="4">
        <v>0.23200000000000001</v>
      </c>
      <c r="M26" s="4">
        <v>0.23499999999999999</v>
      </c>
      <c r="P26" s="4">
        <v>0.48199999999999998</v>
      </c>
      <c r="Q26" s="4">
        <v>0.218</v>
      </c>
    </row>
    <row r="27" spans="1:17" x14ac:dyDescent="0.25">
      <c r="A27" s="4">
        <v>27</v>
      </c>
      <c r="C27" s="4">
        <v>0.21199999999999999</v>
      </c>
      <c r="D27" s="4">
        <v>0.54</v>
      </c>
      <c r="E27" s="4">
        <v>0.57499999999999996</v>
      </c>
      <c r="F27" s="4">
        <v>0.77600000000000002</v>
      </c>
      <c r="G27" s="4">
        <v>0.38400000000000001</v>
      </c>
      <c r="I27" s="4">
        <v>0.308</v>
      </c>
      <c r="K27" s="4">
        <v>0.23200000000000001</v>
      </c>
      <c r="M27" s="4">
        <v>0.23499999999999999</v>
      </c>
      <c r="P27" s="4">
        <v>0.34899999999999998</v>
      </c>
      <c r="Q27" s="4">
        <v>0.218</v>
      </c>
    </row>
    <row r="28" spans="1:17" x14ac:dyDescent="0.25">
      <c r="A28" s="4">
        <v>28</v>
      </c>
      <c r="C28" s="4">
        <v>0.21199999999999999</v>
      </c>
      <c r="D28" s="4">
        <v>0.65200000000000002</v>
      </c>
      <c r="E28" s="4">
        <v>0.57499999999999996</v>
      </c>
      <c r="F28" s="4">
        <v>2.2909999999999999</v>
      </c>
      <c r="G28" s="4">
        <v>0.38400000000000001</v>
      </c>
      <c r="I28" s="4">
        <v>0.308</v>
      </c>
      <c r="J28" s="4">
        <v>0.17599999999999999</v>
      </c>
      <c r="K28" s="4">
        <v>0.23200000000000001</v>
      </c>
      <c r="L28" s="4">
        <v>4.5949999999999998</v>
      </c>
      <c r="M28" s="4">
        <v>0.23499999999999999</v>
      </c>
      <c r="P28" s="4">
        <v>0.27600000000000002</v>
      </c>
      <c r="Q28" s="4">
        <v>0.218</v>
      </c>
    </row>
    <row r="29" spans="1:17" x14ac:dyDescent="0.25">
      <c r="A29" s="4">
        <v>29</v>
      </c>
      <c r="C29" s="4">
        <v>0.21199999999999999</v>
      </c>
      <c r="D29" s="4">
        <v>0.36199999999999999</v>
      </c>
      <c r="E29" s="4">
        <v>0.57499999999999996</v>
      </c>
      <c r="F29" s="4">
        <v>0.84899999999999998</v>
      </c>
      <c r="G29" s="4">
        <v>0.38400000000000001</v>
      </c>
      <c r="I29" s="4">
        <v>0.308</v>
      </c>
      <c r="J29" s="4">
        <v>0.28899999999999998</v>
      </c>
      <c r="K29" s="4">
        <v>0.23200000000000001</v>
      </c>
      <c r="M29" s="4">
        <v>0.23499999999999999</v>
      </c>
      <c r="P29" s="4">
        <v>0.41399999999999998</v>
      </c>
      <c r="Q29" s="4">
        <v>0.218</v>
      </c>
    </row>
    <row r="30" spans="1:17" x14ac:dyDescent="0.25">
      <c r="A30" s="4">
        <v>30</v>
      </c>
      <c r="C30" s="4">
        <v>0.21199999999999999</v>
      </c>
      <c r="D30" s="4">
        <v>0.48699999999999999</v>
      </c>
      <c r="E30" s="4">
        <v>0.57499999999999996</v>
      </c>
      <c r="F30" s="4">
        <v>1.232</v>
      </c>
      <c r="G30" s="4">
        <v>0.38400000000000001</v>
      </c>
      <c r="I30" s="4">
        <v>0.308</v>
      </c>
      <c r="J30" s="4" t="s">
        <v>239</v>
      </c>
      <c r="K30" s="4">
        <v>0.23200000000000001</v>
      </c>
      <c r="M30" s="4">
        <v>0.23499999999999999</v>
      </c>
      <c r="P30" s="4">
        <v>0.27800000000000002</v>
      </c>
      <c r="Q30" s="4">
        <v>0.218</v>
      </c>
    </row>
    <row r="31" spans="1:17" x14ac:dyDescent="0.25">
      <c r="A31" s="4">
        <v>34</v>
      </c>
      <c r="C31" s="4">
        <v>0.21199999999999999</v>
      </c>
      <c r="D31" s="4">
        <v>0.66100000000000003</v>
      </c>
      <c r="E31" s="4">
        <v>0.57499999999999996</v>
      </c>
      <c r="F31" s="4">
        <v>0.76100000000000001</v>
      </c>
      <c r="G31" s="4">
        <v>0.38400000000000001</v>
      </c>
      <c r="H31" s="4">
        <v>0.98099999999999998</v>
      </c>
      <c r="I31" s="4">
        <v>0.308</v>
      </c>
      <c r="K31" s="4">
        <v>0.23200000000000001</v>
      </c>
      <c r="M31" s="4">
        <v>0.23499999999999999</v>
      </c>
      <c r="P31" s="4">
        <v>0.31</v>
      </c>
      <c r="Q31" s="4">
        <v>0.218</v>
      </c>
    </row>
    <row r="32" spans="1:17" x14ac:dyDescent="0.25">
      <c r="A32" s="4">
        <v>35</v>
      </c>
      <c r="C32" s="4">
        <v>0.21199999999999999</v>
      </c>
      <c r="D32" s="4">
        <v>0.58899999999999997</v>
      </c>
      <c r="E32" s="4">
        <v>0.57499999999999996</v>
      </c>
      <c r="F32" s="4">
        <v>0.72699999999999998</v>
      </c>
      <c r="G32" s="4">
        <v>0.38400000000000001</v>
      </c>
      <c r="I32" s="4">
        <v>0.308</v>
      </c>
      <c r="K32" s="4">
        <v>0.23200000000000001</v>
      </c>
      <c r="M32" s="4">
        <v>0.23499999999999999</v>
      </c>
      <c r="P32" s="4">
        <v>0.40899999999999997</v>
      </c>
      <c r="Q32" s="4">
        <v>0.218</v>
      </c>
    </row>
    <row r="33" spans="1:17" x14ac:dyDescent="0.25">
      <c r="A33" s="4">
        <v>36</v>
      </c>
      <c r="C33" s="4">
        <v>0.21199999999999999</v>
      </c>
      <c r="D33" s="4">
        <v>0.69599999999999995</v>
      </c>
      <c r="E33" s="4">
        <v>0.57499999999999996</v>
      </c>
      <c r="F33" s="4">
        <v>0.438</v>
      </c>
      <c r="G33" s="4">
        <v>0.38400000000000001</v>
      </c>
      <c r="I33" s="4">
        <v>0.308</v>
      </c>
      <c r="J33" s="4">
        <v>0.88600000000000001</v>
      </c>
      <c r="K33" s="4">
        <v>0.23200000000000001</v>
      </c>
      <c r="M33" s="4">
        <v>0.23499999999999999</v>
      </c>
      <c r="P33" s="4">
        <v>0.27400000000000002</v>
      </c>
      <c r="Q33" s="4">
        <v>0.218</v>
      </c>
    </row>
    <row r="34" spans="1:17" x14ac:dyDescent="0.25">
      <c r="A34" s="4">
        <v>37</v>
      </c>
      <c r="C34" s="4">
        <v>0.21199999999999999</v>
      </c>
      <c r="D34" s="4">
        <v>0.53300000000000003</v>
      </c>
      <c r="E34" s="4">
        <v>0.57499999999999996</v>
      </c>
      <c r="F34" s="4">
        <v>0.76600000000000001</v>
      </c>
      <c r="G34" s="4">
        <v>0.38400000000000001</v>
      </c>
      <c r="I34" s="4">
        <v>0.308</v>
      </c>
      <c r="J34" s="4">
        <v>0.15</v>
      </c>
      <c r="K34" s="4">
        <v>0.23200000000000001</v>
      </c>
      <c r="M34" s="4">
        <v>0.23499999999999999</v>
      </c>
      <c r="P34" s="4">
        <v>0.32300000000000001</v>
      </c>
      <c r="Q34" s="4">
        <v>0.218</v>
      </c>
    </row>
    <row r="35" spans="1:17" x14ac:dyDescent="0.25">
      <c r="A35" s="4">
        <v>38</v>
      </c>
      <c r="C35" s="4">
        <v>0.21199999999999999</v>
      </c>
      <c r="D35" s="4">
        <v>0.58899999999999997</v>
      </c>
      <c r="E35" s="4">
        <v>0.57499999999999996</v>
      </c>
      <c r="F35" s="4">
        <v>0.95299999999999996</v>
      </c>
      <c r="G35" s="4">
        <v>0.38400000000000001</v>
      </c>
      <c r="I35" s="4">
        <v>0.308</v>
      </c>
      <c r="J35" s="4">
        <v>0.30399999999999999</v>
      </c>
      <c r="K35" s="4">
        <v>0.23200000000000001</v>
      </c>
      <c r="M35" s="4">
        <v>0.23499999999999999</v>
      </c>
      <c r="P35" s="4">
        <v>0.26700000000000002</v>
      </c>
      <c r="Q35" s="4">
        <v>0.218</v>
      </c>
    </row>
    <row r="36" spans="1:17" x14ac:dyDescent="0.25">
      <c r="A36" s="4">
        <v>39</v>
      </c>
      <c r="C36" s="4">
        <v>0.21199999999999999</v>
      </c>
      <c r="E36" s="4">
        <v>0.57499999999999996</v>
      </c>
      <c r="G36" s="4">
        <v>0.38400000000000001</v>
      </c>
      <c r="I36" s="4">
        <v>0.308</v>
      </c>
      <c r="K36" s="4">
        <v>0.23200000000000001</v>
      </c>
      <c r="M36" s="4">
        <v>0.23499999999999999</v>
      </c>
      <c r="Q36" s="4">
        <v>0.218</v>
      </c>
    </row>
    <row r="37" spans="1:17" x14ac:dyDescent="0.25">
      <c r="A37" s="4">
        <v>40</v>
      </c>
      <c r="C37" s="4">
        <v>0.21199999999999999</v>
      </c>
      <c r="E37" s="4">
        <v>0.57499999999999996</v>
      </c>
      <c r="G37" s="4">
        <v>0.38400000000000001</v>
      </c>
      <c r="I37" s="4">
        <v>0.308</v>
      </c>
      <c r="K37" s="4">
        <v>0.23200000000000001</v>
      </c>
      <c r="M37" s="4">
        <v>0.23499999999999999</v>
      </c>
      <c r="Q37" s="4">
        <v>0.218</v>
      </c>
    </row>
    <row r="38" spans="1:17" x14ac:dyDescent="0.25">
      <c r="A38" s="4">
        <v>41</v>
      </c>
      <c r="C38" s="4">
        <v>0.21199999999999999</v>
      </c>
      <c r="E38" s="4">
        <v>0.57499999999999996</v>
      </c>
      <c r="G38" s="4">
        <v>0.38400000000000001</v>
      </c>
      <c r="I38" s="4">
        <v>0.308</v>
      </c>
      <c r="K38" s="4">
        <v>0.23200000000000001</v>
      </c>
      <c r="M38" s="4">
        <v>0.23499999999999999</v>
      </c>
      <c r="Q38" s="4">
        <v>0.218</v>
      </c>
    </row>
    <row r="39" spans="1:17" x14ac:dyDescent="0.25">
      <c r="A39" s="4">
        <v>42</v>
      </c>
      <c r="C39" s="4">
        <v>0.21199999999999999</v>
      </c>
      <c r="E39" s="4">
        <v>0.57499999999999996</v>
      </c>
      <c r="G39" s="4">
        <v>0.38400000000000001</v>
      </c>
      <c r="I39" s="4">
        <v>0.308</v>
      </c>
      <c r="K39" s="4">
        <v>0.23200000000000001</v>
      </c>
      <c r="M39" s="4">
        <v>0.23499999999999999</v>
      </c>
      <c r="Q39" s="4">
        <v>0.218</v>
      </c>
    </row>
    <row r="40" spans="1:17" x14ac:dyDescent="0.25">
      <c r="A40" s="4">
        <v>43</v>
      </c>
      <c r="C40" s="4">
        <v>0.21199999999999999</v>
      </c>
      <c r="E40" s="4">
        <v>0.57499999999999996</v>
      </c>
      <c r="G40" s="4">
        <v>0.38400000000000001</v>
      </c>
      <c r="I40" s="4">
        <v>0.308</v>
      </c>
      <c r="K40" s="4">
        <v>0.23200000000000001</v>
      </c>
      <c r="M40" s="4">
        <v>0.23499999999999999</v>
      </c>
      <c r="Q40" s="4">
        <v>0.218</v>
      </c>
    </row>
    <row r="41" spans="1:17" x14ac:dyDescent="0.25">
      <c r="A41" s="4">
        <v>44</v>
      </c>
      <c r="C41" s="4">
        <v>0.21199999999999999</v>
      </c>
      <c r="E41" s="4">
        <v>0.57499999999999996</v>
      </c>
      <c r="G41" s="4">
        <v>0.38400000000000001</v>
      </c>
      <c r="I41" s="4">
        <v>0.308</v>
      </c>
      <c r="K41" s="4">
        <v>0.23200000000000001</v>
      </c>
      <c r="M41" s="4">
        <v>0.23499999999999999</v>
      </c>
      <c r="Q41" s="4">
        <v>0.218</v>
      </c>
    </row>
    <row r="42" spans="1:17" x14ac:dyDescent="0.25">
      <c r="A42" s="4">
        <v>45</v>
      </c>
      <c r="C42" s="4">
        <v>0.21199999999999999</v>
      </c>
      <c r="E42" s="4">
        <v>0.57499999999999996</v>
      </c>
      <c r="G42" s="4">
        <v>0.38400000000000001</v>
      </c>
      <c r="I42" s="4">
        <v>0.308</v>
      </c>
      <c r="K42" s="4">
        <v>0.23200000000000001</v>
      </c>
      <c r="M42" s="4">
        <v>0.23499999999999999</v>
      </c>
      <c r="Q42" s="4">
        <v>0.218</v>
      </c>
    </row>
    <row r="43" spans="1:17" x14ac:dyDescent="0.25">
      <c r="A43" s="4">
        <v>46</v>
      </c>
      <c r="C43" s="4">
        <v>0.21199999999999999</v>
      </c>
      <c r="E43" s="4">
        <v>0.57499999999999996</v>
      </c>
      <c r="G43" s="4">
        <v>0.38400000000000001</v>
      </c>
      <c r="I43" s="4">
        <v>0.308</v>
      </c>
      <c r="K43" s="4">
        <v>0.23200000000000001</v>
      </c>
      <c r="M43" s="4">
        <v>0.23499999999999999</v>
      </c>
      <c r="Q43" s="4">
        <v>0.218</v>
      </c>
    </row>
    <row r="44" spans="1:17" x14ac:dyDescent="0.25">
      <c r="A44" s="4">
        <v>47</v>
      </c>
      <c r="C44" s="4">
        <v>0.21199999999999999</v>
      </c>
      <c r="E44" s="4">
        <v>0.57499999999999996</v>
      </c>
      <c r="G44" s="4">
        <v>0.38400000000000001</v>
      </c>
      <c r="I44" s="4">
        <v>0.308</v>
      </c>
      <c r="K44" s="4">
        <v>0.23200000000000001</v>
      </c>
      <c r="M44" s="4">
        <v>0.23499999999999999</v>
      </c>
      <c r="Q44" s="4">
        <v>0.218</v>
      </c>
    </row>
    <row r="45" spans="1:17" x14ac:dyDescent="0.25">
      <c r="A45" s="4">
        <v>48</v>
      </c>
      <c r="C45" s="4">
        <v>0.21199999999999999</v>
      </c>
      <c r="E45" s="4">
        <v>0.57499999999999996</v>
      </c>
      <c r="G45" s="4">
        <v>0.38400000000000001</v>
      </c>
      <c r="I45" s="4">
        <v>0.308</v>
      </c>
      <c r="K45" s="4">
        <v>0.23200000000000001</v>
      </c>
      <c r="M45" s="4">
        <v>0.23499999999999999</v>
      </c>
      <c r="Q45" s="4">
        <v>0.218</v>
      </c>
    </row>
    <row r="46" spans="1:17" x14ac:dyDescent="0.25">
      <c r="A46" s="4">
        <v>49</v>
      </c>
      <c r="C46" s="4">
        <v>0.21199999999999999</v>
      </c>
      <c r="E46" s="4">
        <v>0.57499999999999996</v>
      </c>
      <c r="G46" s="4">
        <v>0.38400000000000001</v>
      </c>
      <c r="I46" s="4">
        <v>0.308</v>
      </c>
      <c r="K46" s="4">
        <v>0.23200000000000001</v>
      </c>
      <c r="M46" s="4">
        <v>0.23499999999999999</v>
      </c>
      <c r="Q46" s="4">
        <v>0.218</v>
      </c>
    </row>
    <row r="47" spans="1:17" x14ac:dyDescent="0.25">
      <c r="A47" s="4">
        <v>50</v>
      </c>
      <c r="C47" s="4">
        <v>0.21199999999999999</v>
      </c>
      <c r="E47" s="4">
        <v>0.57499999999999996</v>
      </c>
      <c r="G47" s="4">
        <v>0.38400000000000001</v>
      </c>
      <c r="I47" s="4">
        <v>0.308</v>
      </c>
      <c r="K47" s="4">
        <v>0.23200000000000001</v>
      </c>
      <c r="M47" s="4">
        <v>0.23499999999999999</v>
      </c>
      <c r="Q47" s="4">
        <v>0.218</v>
      </c>
    </row>
    <row r="48" spans="1:17" x14ac:dyDescent="0.25">
      <c r="A48" s="4">
        <v>51</v>
      </c>
      <c r="C48" s="4">
        <v>0.21199999999999999</v>
      </c>
      <c r="E48" s="4">
        <v>0.57499999999999996</v>
      </c>
      <c r="G48" s="4">
        <v>0.38400000000000001</v>
      </c>
      <c r="I48" s="4">
        <v>0.308</v>
      </c>
      <c r="K48" s="4">
        <v>0.23200000000000001</v>
      </c>
      <c r="M48" s="4">
        <v>0.23499999999999999</v>
      </c>
      <c r="Q48" s="4">
        <v>0.218</v>
      </c>
    </row>
    <row r="49" spans="1:17" x14ac:dyDescent="0.25">
      <c r="A49" s="4">
        <v>52</v>
      </c>
      <c r="C49" s="4">
        <v>0.21199999999999999</v>
      </c>
      <c r="E49" s="4">
        <v>0.57499999999999996</v>
      </c>
      <c r="G49" s="4">
        <v>0.38400000000000001</v>
      </c>
      <c r="I49" s="4">
        <v>0.308</v>
      </c>
      <c r="K49" s="4">
        <v>0.23200000000000001</v>
      </c>
      <c r="M49" s="4">
        <v>0.23499999999999999</v>
      </c>
      <c r="Q49" s="4">
        <v>0.218</v>
      </c>
    </row>
    <row r="50" spans="1:17" x14ac:dyDescent="0.25">
      <c r="C50" s="4">
        <v>0.21199999999999999</v>
      </c>
      <c r="E50" s="4">
        <v>0.57499999999999996</v>
      </c>
      <c r="G50" s="4">
        <v>0.38400000000000001</v>
      </c>
      <c r="I50" s="4">
        <v>0.308</v>
      </c>
      <c r="K50" s="4">
        <v>0.23200000000000001</v>
      </c>
      <c r="M50" s="4">
        <v>0.23499999999999999</v>
      </c>
      <c r="Q50" s="4">
        <v>0.218</v>
      </c>
    </row>
    <row r="51" spans="1:17" x14ac:dyDescent="0.25">
      <c r="C51" s="4">
        <v>0.21199999999999999</v>
      </c>
      <c r="E51" s="4">
        <v>0.57499999999999996</v>
      </c>
      <c r="G51" s="4">
        <v>0.38400000000000001</v>
      </c>
      <c r="I51" s="4">
        <v>0.308</v>
      </c>
      <c r="K51" s="4">
        <v>0.23200000000000001</v>
      </c>
      <c r="M51" s="4">
        <v>0.23499999999999999</v>
      </c>
      <c r="Q51" s="4">
        <v>0.218</v>
      </c>
    </row>
    <row r="52" spans="1:17" x14ac:dyDescent="0.25">
      <c r="C52" s="4">
        <v>0.21199999999999999</v>
      </c>
      <c r="E52" s="4">
        <v>0.57499999999999996</v>
      </c>
      <c r="G52" s="4">
        <v>0.38400000000000001</v>
      </c>
      <c r="I52" s="4">
        <v>0.308</v>
      </c>
      <c r="K52" s="4">
        <v>0.23200000000000001</v>
      </c>
      <c r="M52" s="4">
        <v>0.23499999999999999</v>
      </c>
      <c r="Q52" s="4">
        <v>0.218</v>
      </c>
    </row>
    <row r="54" spans="1:17" x14ac:dyDescent="0.25">
      <c r="D54" s="116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2">
    <tabColor rgb="FF7030A0"/>
  </sheetPr>
  <dimension ref="A2:B18"/>
  <sheetViews>
    <sheetView zoomScale="62" zoomScaleNormal="40" workbookViewId="0">
      <selection activeCell="B18" sqref="B18"/>
    </sheetView>
  </sheetViews>
  <sheetFormatPr baseColWidth="10" defaultColWidth="11.42578125" defaultRowHeight="15" x14ac:dyDescent="0.25"/>
  <cols>
    <col min="1" max="1" width="28.42578125" bestFit="1" customWidth="1"/>
    <col min="2" max="2" width="21.5703125" bestFit="1" customWidth="1"/>
  </cols>
  <sheetData>
    <row r="2" spans="1:2" x14ac:dyDescent="0.25">
      <c r="A2" s="5" t="s">
        <v>7</v>
      </c>
      <c r="B2" t="s">
        <v>32</v>
      </c>
    </row>
    <row r="4" spans="1:2" x14ac:dyDescent="0.25">
      <c r="A4" s="5" t="s">
        <v>78</v>
      </c>
      <c r="B4" t="s">
        <v>79</v>
      </c>
    </row>
    <row r="5" spans="1:2" x14ac:dyDescent="0.25">
      <c r="A5" s="6" t="s">
        <v>39</v>
      </c>
      <c r="B5">
        <v>354.8</v>
      </c>
    </row>
    <row r="6" spans="1:2" x14ac:dyDescent="0.25">
      <c r="A6" s="7" t="s">
        <v>22</v>
      </c>
      <c r="B6">
        <v>70</v>
      </c>
    </row>
    <row r="7" spans="1:2" x14ac:dyDescent="0.25">
      <c r="A7" s="7" t="s">
        <v>23</v>
      </c>
      <c r="B7">
        <v>284.8</v>
      </c>
    </row>
    <row r="8" spans="1:2" x14ac:dyDescent="0.25">
      <c r="A8" s="6" t="s">
        <v>33</v>
      </c>
      <c r="B8">
        <v>1173.7</v>
      </c>
    </row>
    <row r="9" spans="1:2" x14ac:dyDescent="0.25">
      <c r="A9" s="7" t="s">
        <v>22</v>
      </c>
      <c r="B9">
        <v>560</v>
      </c>
    </row>
    <row r="10" spans="1:2" x14ac:dyDescent="0.25">
      <c r="A10" s="7" t="s">
        <v>23</v>
      </c>
      <c r="B10">
        <v>71.2</v>
      </c>
    </row>
    <row r="11" spans="1:2" x14ac:dyDescent="0.25">
      <c r="A11" s="7" t="s">
        <v>25</v>
      </c>
      <c r="B11">
        <v>542.5</v>
      </c>
    </row>
    <row r="12" spans="1:2" x14ac:dyDescent="0.25">
      <c r="A12" s="6" t="s">
        <v>14</v>
      </c>
      <c r="B12">
        <v>462.4</v>
      </c>
    </row>
    <row r="13" spans="1:2" x14ac:dyDescent="0.25">
      <c r="A13" s="7" t="s">
        <v>240</v>
      </c>
      <c r="B13">
        <v>320</v>
      </c>
    </row>
    <row r="14" spans="1:2" x14ac:dyDescent="0.25">
      <c r="A14" s="7" t="s">
        <v>23</v>
      </c>
      <c r="B14">
        <v>142.4</v>
      </c>
    </row>
    <row r="15" spans="1:2" x14ac:dyDescent="0.25">
      <c r="A15" s="6" t="s">
        <v>38</v>
      </c>
      <c r="B15">
        <v>544.6</v>
      </c>
    </row>
    <row r="16" spans="1:2" x14ac:dyDescent="0.25">
      <c r="A16" s="7" t="s">
        <v>17</v>
      </c>
      <c r="B16">
        <v>334.6</v>
      </c>
    </row>
    <row r="17" spans="1:2" x14ac:dyDescent="0.25">
      <c r="A17" s="7" t="s">
        <v>22</v>
      </c>
      <c r="B17">
        <v>210</v>
      </c>
    </row>
    <row r="18" spans="1:2" x14ac:dyDescent="0.25">
      <c r="A18" s="6" t="s">
        <v>80</v>
      </c>
      <c r="B18">
        <v>2535.5</v>
      </c>
    </row>
  </sheetData>
  <pageMargins left="0.7" right="0.7" top="0.75" bottom="0.75" header="0.3" footer="0.3"/>
  <pageSetup paperSize="9"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3">
    <tabColor rgb="FF7030A0"/>
  </sheetPr>
  <dimension ref="A2:B18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1" bestFit="1" customWidth="1"/>
    <col min="2" max="2" width="14.140625" bestFit="1" customWidth="1"/>
  </cols>
  <sheetData>
    <row r="2" spans="1:2" x14ac:dyDescent="0.25">
      <c r="A2" s="5" t="s">
        <v>7</v>
      </c>
      <c r="B2" t="s">
        <v>32</v>
      </c>
    </row>
    <row r="4" spans="1:2" x14ac:dyDescent="0.25">
      <c r="A4" s="5" t="s">
        <v>78</v>
      </c>
      <c r="B4" t="s">
        <v>81</v>
      </c>
    </row>
    <row r="5" spans="1:2" x14ac:dyDescent="0.25">
      <c r="A5" s="6" t="s">
        <v>39</v>
      </c>
      <c r="B5">
        <v>50</v>
      </c>
    </row>
    <row r="6" spans="1:2" x14ac:dyDescent="0.25">
      <c r="A6" s="7" t="s">
        <v>22</v>
      </c>
      <c r="B6">
        <v>10</v>
      </c>
    </row>
    <row r="7" spans="1:2" x14ac:dyDescent="0.25">
      <c r="A7" s="7" t="s">
        <v>23</v>
      </c>
      <c r="B7">
        <v>40</v>
      </c>
    </row>
    <row r="8" spans="1:2" x14ac:dyDescent="0.25">
      <c r="A8" s="6" t="s">
        <v>33</v>
      </c>
      <c r="B8">
        <v>140</v>
      </c>
    </row>
    <row r="9" spans="1:2" x14ac:dyDescent="0.25">
      <c r="A9" s="7" t="s">
        <v>22</v>
      </c>
      <c r="B9">
        <v>80</v>
      </c>
    </row>
    <row r="10" spans="1:2" x14ac:dyDescent="0.25">
      <c r="A10" s="7" t="s">
        <v>23</v>
      </c>
      <c r="B10">
        <v>10</v>
      </c>
    </row>
    <row r="11" spans="1:2" x14ac:dyDescent="0.25">
      <c r="A11" s="7" t="s">
        <v>25</v>
      </c>
      <c r="B11">
        <v>50</v>
      </c>
    </row>
    <row r="12" spans="1:2" x14ac:dyDescent="0.25">
      <c r="A12" s="6" t="s">
        <v>14</v>
      </c>
      <c r="B12">
        <v>60</v>
      </c>
    </row>
    <row r="13" spans="1:2" x14ac:dyDescent="0.25">
      <c r="A13" s="7" t="s">
        <v>240</v>
      </c>
      <c r="B13">
        <v>40</v>
      </c>
    </row>
    <row r="14" spans="1:2" x14ac:dyDescent="0.25">
      <c r="A14" s="7" t="s">
        <v>23</v>
      </c>
      <c r="B14">
        <v>20</v>
      </c>
    </row>
    <row r="15" spans="1:2" x14ac:dyDescent="0.25">
      <c r="A15" s="6" t="s">
        <v>38</v>
      </c>
      <c r="B15">
        <v>65</v>
      </c>
    </row>
    <row r="16" spans="1:2" x14ac:dyDescent="0.25">
      <c r="A16" s="7" t="s">
        <v>17</v>
      </c>
      <c r="B16">
        <v>35</v>
      </c>
    </row>
    <row r="17" spans="1:2" x14ac:dyDescent="0.25">
      <c r="A17" s="7" t="s">
        <v>22</v>
      </c>
      <c r="B17">
        <v>30</v>
      </c>
    </row>
    <row r="18" spans="1:2" x14ac:dyDescent="0.25">
      <c r="A18" s="6" t="s">
        <v>80</v>
      </c>
      <c r="B18">
        <v>315</v>
      </c>
    </row>
  </sheetData>
  <pageMargins left="0.7" right="0.7" top="0.75" bottom="0.75" header="0.3" footer="0.3"/>
  <pageSetup paperSize="9"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37">
    <tabColor rgb="FF7030A0"/>
  </sheetPr>
  <dimension ref="A3:B10"/>
  <sheetViews>
    <sheetView workbookViewId="0">
      <selection activeCell="A3" sqref="A3"/>
    </sheetView>
  </sheetViews>
  <sheetFormatPr baseColWidth="10" defaultColWidth="11.42578125" defaultRowHeight="15" x14ac:dyDescent="0.25"/>
  <cols>
    <col min="1" max="1" width="21" bestFit="1" customWidth="1"/>
    <col min="2" max="2" width="14.140625" bestFit="1" customWidth="1"/>
  </cols>
  <sheetData>
    <row r="3" spans="1:2" x14ac:dyDescent="0.25">
      <c r="A3" s="5" t="s">
        <v>78</v>
      </c>
      <c r="B3" t="s">
        <v>81</v>
      </c>
    </row>
    <row r="4" spans="1:2" x14ac:dyDescent="0.25">
      <c r="A4" s="6" t="s">
        <v>32</v>
      </c>
      <c r="B4">
        <v>315</v>
      </c>
    </row>
    <row r="5" spans="1:2" x14ac:dyDescent="0.25">
      <c r="A5" s="7" t="s">
        <v>22</v>
      </c>
      <c r="B5">
        <v>120</v>
      </c>
    </row>
    <row r="6" spans="1:2" x14ac:dyDescent="0.25">
      <c r="A6" s="7" t="s">
        <v>23</v>
      </c>
      <c r="B6">
        <v>70</v>
      </c>
    </row>
    <row r="7" spans="1:2" x14ac:dyDescent="0.25">
      <c r="A7" s="7" t="s">
        <v>25</v>
      </c>
      <c r="B7">
        <v>50</v>
      </c>
    </row>
    <row r="8" spans="1:2" x14ac:dyDescent="0.25">
      <c r="A8" s="7" t="s">
        <v>240</v>
      </c>
      <c r="B8">
        <v>40</v>
      </c>
    </row>
    <row r="9" spans="1:2" x14ac:dyDescent="0.25">
      <c r="A9" s="7" t="s">
        <v>17</v>
      </c>
      <c r="B9">
        <v>35</v>
      </c>
    </row>
    <row r="10" spans="1:2" x14ac:dyDescent="0.25">
      <c r="A10" s="6" t="s">
        <v>80</v>
      </c>
      <c r="B10">
        <v>315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38">
    <tabColor rgb="FF7030A0"/>
  </sheetPr>
  <dimension ref="A3:B10"/>
  <sheetViews>
    <sheetView zoomScale="80" workbookViewId="0">
      <selection activeCell="A3" sqref="A3"/>
    </sheetView>
  </sheetViews>
  <sheetFormatPr baseColWidth="10" defaultColWidth="11.42578125" defaultRowHeight="15" x14ac:dyDescent="0.25"/>
  <cols>
    <col min="1" max="1" width="21.5703125" bestFit="1" customWidth="1"/>
    <col min="2" max="2" width="15.7109375" bestFit="1" customWidth="1"/>
  </cols>
  <sheetData>
    <row r="3" spans="1:2" x14ac:dyDescent="0.25">
      <c r="A3" s="5" t="s">
        <v>78</v>
      </c>
      <c r="B3" t="s">
        <v>79</v>
      </c>
    </row>
    <row r="4" spans="1:2" x14ac:dyDescent="0.25">
      <c r="A4" s="6" t="s">
        <v>32</v>
      </c>
      <c r="B4">
        <v>2535.5</v>
      </c>
    </row>
    <row r="5" spans="1:2" x14ac:dyDescent="0.25">
      <c r="A5" s="7" t="s">
        <v>22</v>
      </c>
      <c r="B5">
        <v>840</v>
      </c>
    </row>
    <row r="6" spans="1:2" x14ac:dyDescent="0.25">
      <c r="A6" s="7" t="s">
        <v>25</v>
      </c>
      <c r="B6">
        <v>542.5</v>
      </c>
    </row>
    <row r="7" spans="1:2" x14ac:dyDescent="0.25">
      <c r="A7" s="7" t="s">
        <v>23</v>
      </c>
      <c r="B7">
        <v>498.4</v>
      </c>
    </row>
    <row r="8" spans="1:2" x14ac:dyDescent="0.25">
      <c r="A8" s="7" t="s">
        <v>17</v>
      </c>
      <c r="B8">
        <v>334.6</v>
      </c>
    </row>
    <row r="9" spans="1:2" x14ac:dyDescent="0.25">
      <c r="A9" s="7" t="s">
        <v>240</v>
      </c>
      <c r="B9">
        <v>320</v>
      </c>
    </row>
    <row r="10" spans="1:2" x14ac:dyDescent="0.25">
      <c r="A10" s="6" t="s">
        <v>80</v>
      </c>
      <c r="B10">
        <v>2535.5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6B92-7A95-4D54-810A-B79E29542745}">
  <sheetPr codeName="Feuil39">
    <tabColor rgb="FF7030A0"/>
  </sheetPr>
  <dimension ref="A1:N14"/>
  <sheetViews>
    <sheetView zoomScale="85" zoomScaleNormal="85" workbookViewId="0">
      <selection activeCell="I13" sqref="I13:J13"/>
    </sheetView>
  </sheetViews>
  <sheetFormatPr baseColWidth="10" defaultRowHeight="15" x14ac:dyDescent="0.25"/>
  <cols>
    <col min="1" max="1" width="14.28515625" bestFit="1" customWidth="1"/>
    <col min="2" max="2" width="14.28515625" customWidth="1"/>
    <col min="3" max="3" width="18.7109375" customWidth="1"/>
    <col min="9" max="9" width="12.7109375" bestFit="1" customWidth="1"/>
    <col min="10" max="10" width="15.85546875" bestFit="1" customWidth="1"/>
    <col min="13" max="13" width="21" bestFit="1" customWidth="1"/>
    <col min="14" max="14" width="14.140625" bestFit="1" customWidth="1"/>
  </cols>
  <sheetData>
    <row r="1" spans="1:14" x14ac:dyDescent="0.25">
      <c r="A1" s="112" t="s">
        <v>124</v>
      </c>
      <c r="B1" t="s">
        <v>200</v>
      </c>
      <c r="C1" t="s">
        <v>93</v>
      </c>
      <c r="I1" t="s">
        <v>124</v>
      </c>
      <c r="J1" t="s">
        <v>93</v>
      </c>
      <c r="M1" s="5" t="s">
        <v>78</v>
      </c>
      <c r="N1" t="s">
        <v>81</v>
      </c>
    </row>
    <row r="2" spans="1:14" x14ac:dyDescent="0.25">
      <c r="A2" s="113" t="s">
        <v>22</v>
      </c>
      <c r="B2">
        <f t="shared" ref="B2:B12" si="0">SUMIF($M$2:$M$12,TRIM(A2),$N$2:$N$12)</f>
        <v>120</v>
      </c>
      <c r="C2">
        <f t="shared" ref="C2:C12" si="1">SUMIF($I$2:$I$13,TRIM(A2),$J$2:$J$13)</f>
        <v>26</v>
      </c>
      <c r="I2" t="s">
        <v>36</v>
      </c>
      <c r="J2">
        <v>0</v>
      </c>
      <c r="M2" s="6" t="s">
        <v>32</v>
      </c>
      <c r="N2">
        <v>315</v>
      </c>
    </row>
    <row r="3" spans="1:14" x14ac:dyDescent="0.25">
      <c r="A3" s="113" t="s">
        <v>23</v>
      </c>
      <c r="B3">
        <f t="shared" si="0"/>
        <v>70</v>
      </c>
      <c r="C3">
        <f t="shared" si="1"/>
        <v>19</v>
      </c>
      <c r="I3" t="s">
        <v>25</v>
      </c>
      <c r="J3">
        <v>21</v>
      </c>
      <c r="M3" s="7" t="s">
        <v>22</v>
      </c>
      <c r="N3">
        <v>120</v>
      </c>
    </row>
    <row r="4" spans="1:14" x14ac:dyDescent="0.25">
      <c r="A4" s="114" t="s">
        <v>25</v>
      </c>
      <c r="B4">
        <f t="shared" si="0"/>
        <v>50</v>
      </c>
      <c r="C4">
        <f t="shared" si="1"/>
        <v>21</v>
      </c>
      <c r="I4" t="s">
        <v>22</v>
      </c>
      <c r="J4">
        <v>26</v>
      </c>
      <c r="M4" s="7" t="s">
        <v>23</v>
      </c>
      <c r="N4">
        <v>70</v>
      </c>
    </row>
    <row r="5" spans="1:14" x14ac:dyDescent="0.25">
      <c r="A5" s="114" t="s">
        <v>240</v>
      </c>
      <c r="B5">
        <f t="shared" si="0"/>
        <v>40</v>
      </c>
      <c r="C5">
        <f t="shared" si="1"/>
        <v>12</v>
      </c>
      <c r="I5" t="s">
        <v>12</v>
      </c>
      <c r="J5">
        <v>0</v>
      </c>
      <c r="M5" s="7" t="s">
        <v>25</v>
      </c>
      <c r="N5">
        <v>50</v>
      </c>
    </row>
    <row r="6" spans="1:14" x14ac:dyDescent="0.25">
      <c r="A6" s="113" t="s">
        <v>17</v>
      </c>
      <c r="B6">
        <f t="shared" si="0"/>
        <v>35</v>
      </c>
      <c r="C6">
        <f t="shared" si="1"/>
        <v>42</v>
      </c>
      <c r="I6" t="s">
        <v>23</v>
      </c>
      <c r="J6">
        <v>19</v>
      </c>
      <c r="M6" s="7" t="s">
        <v>240</v>
      </c>
      <c r="N6">
        <v>40</v>
      </c>
    </row>
    <row r="7" spans="1:14" x14ac:dyDescent="0.25">
      <c r="A7" s="114" t="s">
        <v>143</v>
      </c>
      <c r="B7">
        <f t="shared" si="0"/>
        <v>0</v>
      </c>
      <c r="C7">
        <f t="shared" si="1"/>
        <v>0</v>
      </c>
      <c r="I7" t="s">
        <v>120</v>
      </c>
      <c r="J7">
        <v>0</v>
      </c>
      <c r="M7" s="7" t="s">
        <v>17</v>
      </c>
      <c r="N7">
        <v>35</v>
      </c>
    </row>
    <row r="8" spans="1:14" x14ac:dyDescent="0.25">
      <c r="A8" s="114" t="s">
        <v>120</v>
      </c>
      <c r="B8">
        <f t="shared" si="0"/>
        <v>0</v>
      </c>
      <c r="C8">
        <f t="shared" si="1"/>
        <v>0</v>
      </c>
      <c r="I8" t="s">
        <v>17</v>
      </c>
      <c r="J8">
        <v>42</v>
      </c>
      <c r="M8" s="6" t="s">
        <v>80</v>
      </c>
      <c r="N8">
        <v>315</v>
      </c>
    </row>
    <row r="9" spans="1:14" x14ac:dyDescent="0.25">
      <c r="A9" s="113" t="s">
        <v>41</v>
      </c>
      <c r="B9">
        <f t="shared" si="0"/>
        <v>0</v>
      </c>
      <c r="C9">
        <f t="shared" si="1"/>
        <v>0</v>
      </c>
      <c r="I9" t="s">
        <v>35</v>
      </c>
      <c r="J9">
        <v>7</v>
      </c>
    </row>
    <row r="10" spans="1:14" x14ac:dyDescent="0.25">
      <c r="A10" s="114" t="s">
        <v>35</v>
      </c>
      <c r="B10">
        <f t="shared" si="0"/>
        <v>0</v>
      </c>
      <c r="C10">
        <f t="shared" si="1"/>
        <v>7</v>
      </c>
      <c r="I10" t="s">
        <v>41</v>
      </c>
      <c r="J10">
        <v>0</v>
      </c>
    </row>
    <row r="11" spans="1:14" x14ac:dyDescent="0.25">
      <c r="A11" s="113" t="s">
        <v>36</v>
      </c>
      <c r="B11">
        <f t="shared" si="0"/>
        <v>0</v>
      </c>
      <c r="C11">
        <f t="shared" si="1"/>
        <v>0</v>
      </c>
      <c r="I11" t="s">
        <v>143</v>
      </c>
      <c r="J11">
        <v>0</v>
      </c>
    </row>
    <row r="12" spans="1:14" x14ac:dyDescent="0.25">
      <c r="A12" s="114" t="s">
        <v>12</v>
      </c>
      <c r="B12">
        <f t="shared" si="0"/>
        <v>0</v>
      </c>
      <c r="C12">
        <f t="shared" si="1"/>
        <v>0</v>
      </c>
      <c r="I12" t="s">
        <v>240</v>
      </c>
      <c r="J12">
        <v>12</v>
      </c>
    </row>
    <row r="13" spans="1:14" x14ac:dyDescent="0.25">
      <c r="A13" t="s">
        <v>247</v>
      </c>
      <c r="B13">
        <f>SUBTOTAL(109,Tableau17[Qté réelle])</f>
        <v>315</v>
      </c>
      <c r="C13">
        <f>SUBTOTAL(109,Tableau17[Qté théorique])</f>
        <v>127</v>
      </c>
    </row>
    <row r="14" spans="1:14" x14ac:dyDescent="0.25">
      <c r="I14" t="s">
        <v>247</v>
      </c>
      <c r="J14">
        <f>SUBTOTAL(109,HESSAP_303[Qté théorique])</f>
        <v>127</v>
      </c>
    </row>
  </sheetData>
  <pageMargins left="0.7" right="0.7" top="0.75" bottom="0.75" header="0.3" footer="0.3"/>
  <drawing r:id="rId2"/>
  <tableParts count="2">
    <tablePart r:id="rId3"/>
    <tablePart r:id="rId4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4">
    <tabColor rgb="FF7030A0"/>
  </sheetPr>
  <dimension ref="A1:O19"/>
  <sheetViews>
    <sheetView topLeftCell="G1" zoomScale="68" workbookViewId="0">
      <selection activeCell="O19" sqref="O19"/>
    </sheetView>
  </sheetViews>
  <sheetFormatPr baseColWidth="10" defaultColWidth="11.42578125" defaultRowHeight="15" x14ac:dyDescent="0.25"/>
  <cols>
    <col min="3" max="3" width="24.7109375" bestFit="1" customWidth="1"/>
    <col min="4" max="4" width="11.8554687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0</v>
      </c>
      <c r="O1" s="22"/>
    </row>
    <row r="2" spans="1:15" x14ac:dyDescent="0.25">
      <c r="C2" s="23" t="s">
        <v>179</v>
      </c>
      <c r="E2" s="23"/>
      <c r="G2" s="24"/>
      <c r="O2" s="23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61" t="s">
        <v>180</v>
      </c>
      <c r="B4" s="61" t="s">
        <v>39</v>
      </c>
      <c r="C4" s="61" t="s">
        <v>100</v>
      </c>
      <c r="D4" s="61" t="s">
        <v>22</v>
      </c>
      <c r="E4" s="61">
        <v>1</v>
      </c>
      <c r="F4" s="61">
        <v>4</v>
      </c>
      <c r="G4" s="68">
        <v>7</v>
      </c>
      <c r="H4" s="25"/>
      <c r="I4" s="26" t="e">
        <f t="shared" ref="I4:I17" si="0">(E4*G4)/(F4*H4)</f>
        <v>#DIV/0!</v>
      </c>
      <c r="J4" s="27" t="e">
        <f t="shared" ref="J4:J17" si="1">(ROUNDUP($E4*$B$1/($F4*H4),0))</f>
        <v>#DIV/0!</v>
      </c>
      <c r="K4" s="43" t="e">
        <f>SUM(J4)</f>
        <v>#DIV/0!</v>
      </c>
      <c r="L4" s="31">
        <f>N4*G4</f>
        <v>0</v>
      </c>
      <c r="M4" s="73" t="e">
        <f>L4/$B$1</f>
        <v>#DIV/0!</v>
      </c>
      <c r="N4" s="48">
        <f>SUMIFS('Tableau plaquette complet'!F:F,'Tableau plaquette complet'!G:G,"HESSAPP",'Tableau plaquette complet'!H:H,"OP 10",'Tableau plaquette complet'!J:J,"266x13",'Tableau plaquette complet'!B:B,"Z000 546 265")</f>
        <v>0</v>
      </c>
      <c r="O4" s="74" t="e">
        <f>-(K4-N4)</f>
        <v>#DIV/0!</v>
      </c>
    </row>
    <row r="5" spans="1:15" x14ac:dyDescent="0.25">
      <c r="A5" s="61" t="s">
        <v>181</v>
      </c>
      <c r="B5" s="61" t="s">
        <v>39</v>
      </c>
      <c r="C5" s="178" t="s">
        <v>104</v>
      </c>
      <c r="D5" s="61" t="s">
        <v>23</v>
      </c>
      <c r="E5" s="61">
        <v>1</v>
      </c>
      <c r="F5" s="61">
        <v>8</v>
      </c>
      <c r="G5" s="68">
        <v>7.12</v>
      </c>
      <c r="H5" s="25"/>
      <c r="I5" s="26" t="e">
        <f t="shared" si="0"/>
        <v>#DIV/0!</v>
      </c>
      <c r="J5" s="27" t="e">
        <f t="shared" si="1"/>
        <v>#DIV/0!</v>
      </c>
      <c r="K5" s="167" t="e">
        <f>SUM(J5:J6)</f>
        <v>#DIV/0!</v>
      </c>
      <c r="L5" s="195">
        <f>N5*G5</f>
        <v>0</v>
      </c>
      <c r="M5" s="214" t="e">
        <f>L5/$B$1</f>
        <v>#DIV/0!</v>
      </c>
      <c r="N5" s="147">
        <f>SUMIFS('Tableau plaquette complet'!F:F,'Tableau plaquette complet'!G:G,"HESSAPP",'Tableau plaquette complet'!H:H,"OP 10",'Tableau plaquette complet'!J:J,"266x13",'Tableau plaquette complet'!B:B,"Z000 546 266")</f>
        <v>0</v>
      </c>
      <c r="O5" s="176" t="e">
        <f>-(K5-N5)</f>
        <v>#DIV/0!</v>
      </c>
    </row>
    <row r="6" spans="1:15" x14ac:dyDescent="0.25">
      <c r="A6" s="61" t="s">
        <v>182</v>
      </c>
      <c r="B6" s="61" t="s">
        <v>39</v>
      </c>
      <c r="C6" s="179"/>
      <c r="D6" s="61" t="s">
        <v>23</v>
      </c>
      <c r="E6" s="61">
        <v>1</v>
      </c>
      <c r="F6" s="61">
        <v>8</v>
      </c>
      <c r="G6" s="68">
        <v>7.12</v>
      </c>
      <c r="H6" s="25"/>
      <c r="I6" s="26" t="e">
        <f t="shared" si="0"/>
        <v>#DIV/0!</v>
      </c>
      <c r="J6" s="27" t="e">
        <f t="shared" si="1"/>
        <v>#DIV/0!</v>
      </c>
      <c r="K6" s="169"/>
      <c r="L6" s="196"/>
      <c r="M6" s="215"/>
      <c r="N6" s="149"/>
      <c r="O6" s="177"/>
    </row>
    <row r="7" spans="1:15" x14ac:dyDescent="0.25">
      <c r="A7" s="55" t="s">
        <v>183</v>
      </c>
      <c r="B7" s="55" t="s">
        <v>33</v>
      </c>
      <c r="C7" s="162" t="s">
        <v>100</v>
      </c>
      <c r="D7" s="55" t="s">
        <v>22</v>
      </c>
      <c r="E7" s="55">
        <v>1</v>
      </c>
      <c r="F7" s="55">
        <v>4</v>
      </c>
      <c r="G7" s="56">
        <v>7</v>
      </c>
      <c r="H7" s="25"/>
      <c r="I7" s="26" t="e">
        <f t="shared" si="0"/>
        <v>#DIV/0!</v>
      </c>
      <c r="J7" s="27" t="e">
        <f t="shared" si="1"/>
        <v>#DIV/0!</v>
      </c>
      <c r="K7" s="167" t="e">
        <f>SUM(J7:J8)</f>
        <v>#DIV/0!</v>
      </c>
      <c r="L7" s="216">
        <f>N7*G7</f>
        <v>0</v>
      </c>
      <c r="M7" s="218" t="e">
        <f>L7/$B$1</f>
        <v>#DIV/0!</v>
      </c>
      <c r="N7" s="162">
        <f>SUMIFS('Tableau plaquette complet'!F:F,'Tableau plaquette complet'!G:G,"HESSAPP",'Tableau plaquette complet'!H:H,"OP 15",'Tableau plaquette complet'!J:J,"266x13",'Tableau plaquette complet'!B:B,"Z000 546 265")</f>
        <v>0</v>
      </c>
      <c r="O7" s="156" t="e">
        <f>-(K7-N7)</f>
        <v>#DIV/0!</v>
      </c>
    </row>
    <row r="8" spans="1:15" x14ac:dyDescent="0.25">
      <c r="A8" s="55" t="s">
        <v>184</v>
      </c>
      <c r="B8" s="55" t="s">
        <v>33</v>
      </c>
      <c r="C8" s="164"/>
      <c r="D8" s="55" t="s">
        <v>22</v>
      </c>
      <c r="E8" s="55">
        <v>1</v>
      </c>
      <c r="F8" s="55">
        <v>4</v>
      </c>
      <c r="G8" s="56">
        <v>7</v>
      </c>
      <c r="H8" s="25"/>
      <c r="I8" s="26" t="e">
        <f t="shared" si="0"/>
        <v>#DIV/0!</v>
      </c>
      <c r="J8" s="27" t="e">
        <f t="shared" si="1"/>
        <v>#DIV/0!</v>
      </c>
      <c r="K8" s="169"/>
      <c r="L8" s="217"/>
      <c r="M8" s="219"/>
      <c r="N8" s="164"/>
      <c r="O8" s="158"/>
    </row>
    <row r="9" spans="1:15" x14ac:dyDescent="0.25">
      <c r="A9" s="55" t="s">
        <v>185</v>
      </c>
      <c r="B9" s="55" t="s">
        <v>33</v>
      </c>
      <c r="C9" s="55" t="s">
        <v>111</v>
      </c>
      <c r="D9" s="55" t="s">
        <v>12</v>
      </c>
      <c r="E9" s="55">
        <v>1</v>
      </c>
      <c r="F9" s="55">
        <v>2</v>
      </c>
      <c r="G9" s="55">
        <v>13.67</v>
      </c>
      <c r="H9" s="25"/>
      <c r="I9" s="26" t="e">
        <f t="shared" si="0"/>
        <v>#DIV/0!</v>
      </c>
      <c r="J9" s="27" t="e">
        <f t="shared" si="1"/>
        <v>#DIV/0!</v>
      </c>
      <c r="K9" s="43" t="e">
        <f>SUM(J9)</f>
        <v>#DIV/0!</v>
      </c>
      <c r="L9" s="51">
        <f>N9*G9</f>
        <v>0</v>
      </c>
      <c r="M9" s="75" t="e">
        <f>L9/$B$1</f>
        <v>#DIV/0!</v>
      </c>
      <c r="N9" s="50">
        <f>SUMIFS('Tableau plaquette complet'!F:F,'Tableau plaquette complet'!G:G,"HESSAPP",'Tableau plaquette complet'!H:H,"OP 15",'Tableau plaquette complet'!J:J,"266x13",'Tableau plaquette complet'!B:B,"Z000 544 318")</f>
        <v>0</v>
      </c>
      <c r="O9" s="76" t="e">
        <f>-(K9-N9)</f>
        <v>#DIV/0!</v>
      </c>
    </row>
    <row r="10" spans="1:15" x14ac:dyDescent="0.25">
      <c r="A10" s="55" t="s">
        <v>186</v>
      </c>
      <c r="B10" s="55" t="s">
        <v>33</v>
      </c>
      <c r="C10" s="72" t="s">
        <v>104</v>
      </c>
      <c r="D10" s="55" t="s">
        <v>23</v>
      </c>
      <c r="E10" s="55">
        <v>1</v>
      </c>
      <c r="F10" s="55">
        <v>8</v>
      </c>
      <c r="G10" s="56">
        <v>7.12</v>
      </c>
      <c r="H10" s="28"/>
      <c r="I10" s="26" t="e">
        <f t="shared" si="0"/>
        <v>#DIV/0!</v>
      </c>
      <c r="J10" s="27" t="e">
        <f t="shared" si="1"/>
        <v>#DIV/0!</v>
      </c>
      <c r="K10" s="54" t="e">
        <f>SUM(J10:J10)</f>
        <v>#DIV/0!</v>
      </c>
      <c r="L10" s="79">
        <f>N10*G10</f>
        <v>0</v>
      </c>
      <c r="M10" s="71" t="e">
        <f>L10/$B$1</f>
        <v>#DIV/0!</v>
      </c>
      <c r="N10" s="72">
        <f>SUMIFS('Tableau plaquette complet'!F:F,'Tableau plaquette complet'!G:G,"HESSAPP",'Tableau plaquette complet'!H:H,"OP 15",'Tableau plaquette complet'!J:J,"266x13",'Tableau plaquette complet'!B:B,"Z000 546 266")</f>
        <v>0</v>
      </c>
      <c r="O10" s="70" t="e">
        <f>-(K10-N10)</f>
        <v>#DIV/0!</v>
      </c>
    </row>
    <row r="11" spans="1:15" x14ac:dyDescent="0.25">
      <c r="A11" s="61" t="s">
        <v>182</v>
      </c>
      <c r="B11" s="61" t="s">
        <v>14</v>
      </c>
      <c r="C11" s="178" t="s">
        <v>104</v>
      </c>
      <c r="D11" s="61" t="s">
        <v>23</v>
      </c>
      <c r="E11" s="61">
        <v>1</v>
      </c>
      <c r="F11" s="61">
        <v>8</v>
      </c>
      <c r="G11" s="68">
        <v>7.12</v>
      </c>
      <c r="H11" s="28"/>
      <c r="I11" s="26" t="e">
        <f t="shared" si="0"/>
        <v>#DIV/0!</v>
      </c>
      <c r="J11" s="27" t="e">
        <f t="shared" si="1"/>
        <v>#DIV/0!</v>
      </c>
      <c r="K11" s="167" t="e">
        <f>SUM(J11:J13)</f>
        <v>#DIV/0!</v>
      </c>
      <c r="L11" s="195">
        <f>N11*G11</f>
        <v>0</v>
      </c>
      <c r="M11" s="180" t="e">
        <f t="shared" ref="M11" si="2">L11/$B$1</f>
        <v>#DIV/0!</v>
      </c>
      <c r="N11" s="147">
        <f>SUMIFS('Tableau plaquette complet'!F:F,'Tableau plaquette complet'!G:G,"HESSAPP",'Tableau plaquette complet'!H:H,"OP 20",'Tableau plaquette complet'!J:J,"266x13",'Tableau plaquette complet'!B:B,"Z000 546 266")</f>
        <v>0</v>
      </c>
      <c r="O11" s="176" t="e">
        <f t="shared" ref="O11:O16" si="3">-(K11-N11)</f>
        <v>#DIV/0!</v>
      </c>
    </row>
    <row r="12" spans="1:15" x14ac:dyDescent="0.25">
      <c r="A12" s="61" t="s">
        <v>181</v>
      </c>
      <c r="B12" s="61" t="s">
        <v>14</v>
      </c>
      <c r="C12" s="209"/>
      <c r="D12" s="61" t="s">
        <v>23</v>
      </c>
      <c r="E12" s="61">
        <v>1</v>
      </c>
      <c r="F12" s="61">
        <v>8</v>
      </c>
      <c r="G12" s="68">
        <v>7.12</v>
      </c>
      <c r="H12" s="28"/>
      <c r="I12" s="26" t="e">
        <f t="shared" si="0"/>
        <v>#DIV/0!</v>
      </c>
      <c r="J12" s="27" t="e">
        <f t="shared" si="1"/>
        <v>#DIV/0!</v>
      </c>
      <c r="K12" s="168"/>
      <c r="L12" s="199"/>
      <c r="M12" s="212"/>
      <c r="N12" s="148"/>
      <c r="O12" s="213"/>
    </row>
    <row r="13" spans="1:15" x14ac:dyDescent="0.25">
      <c r="A13" s="61" t="s">
        <v>180</v>
      </c>
      <c r="B13" s="61" t="s">
        <v>14</v>
      </c>
      <c r="C13" s="179"/>
      <c r="D13" s="61" t="s">
        <v>23</v>
      </c>
      <c r="E13" s="61">
        <v>1</v>
      </c>
      <c r="F13" s="61">
        <v>8</v>
      </c>
      <c r="G13" s="68">
        <v>7.12</v>
      </c>
      <c r="H13" s="28"/>
      <c r="I13" s="26" t="e">
        <f t="shared" si="0"/>
        <v>#DIV/0!</v>
      </c>
      <c r="J13" s="27" t="e">
        <f t="shared" si="1"/>
        <v>#DIV/0!</v>
      </c>
      <c r="K13" s="169"/>
      <c r="L13" s="196"/>
      <c r="M13" s="181"/>
      <c r="N13" s="149"/>
      <c r="O13" s="177"/>
    </row>
    <row r="14" spans="1:15" x14ac:dyDescent="0.25">
      <c r="A14" s="61" t="s">
        <v>187</v>
      </c>
      <c r="B14" s="61" t="s">
        <v>14</v>
      </c>
      <c r="C14" s="61" t="s">
        <v>188</v>
      </c>
      <c r="D14" s="61" t="s">
        <v>35</v>
      </c>
      <c r="E14" s="61">
        <v>1</v>
      </c>
      <c r="F14" s="61">
        <v>6</v>
      </c>
      <c r="G14" s="68">
        <v>11.87</v>
      </c>
      <c r="H14" s="28"/>
      <c r="I14" s="26" t="e">
        <f t="shared" si="0"/>
        <v>#DIV/0!</v>
      </c>
      <c r="J14" s="27" t="e">
        <f t="shared" si="1"/>
        <v>#DIV/0!</v>
      </c>
      <c r="K14" s="14" t="e">
        <f>SUM(J14:J14)</f>
        <v>#DIV/0!</v>
      </c>
      <c r="L14" s="31">
        <f>N14*G14</f>
        <v>0</v>
      </c>
      <c r="M14" s="37" t="e">
        <f t="shared" ref="M14:M16" si="4">L14/$B$1</f>
        <v>#DIV/0!</v>
      </c>
      <c r="N14" s="48">
        <f>SUMIFS('Tableau plaquette complet'!F:F,'Tableau plaquette complet'!G:G,"HESSAPP",'Tableau plaquette complet'!H:H,"OP 20",'Tableau plaquette complet'!J:J,"266x13",'Tableau plaquette complet'!B:B,"Z000 519 285")</f>
        <v>0</v>
      </c>
      <c r="O14" s="38" t="e">
        <f t="shared" si="3"/>
        <v>#DIV/0!</v>
      </c>
    </row>
    <row r="15" spans="1:15" x14ac:dyDescent="0.25">
      <c r="A15" s="55" t="s">
        <v>181</v>
      </c>
      <c r="B15" s="55" t="s">
        <v>38</v>
      </c>
      <c r="C15" s="55" t="s">
        <v>100</v>
      </c>
      <c r="D15" s="55" t="s">
        <v>22</v>
      </c>
      <c r="E15" s="55">
        <v>1</v>
      </c>
      <c r="F15" s="55">
        <v>4</v>
      </c>
      <c r="G15" s="56">
        <v>7</v>
      </c>
      <c r="H15" s="28"/>
      <c r="I15" s="26" t="e">
        <f t="shared" si="0"/>
        <v>#DIV/0!</v>
      </c>
      <c r="J15" s="27" t="e">
        <f t="shared" si="1"/>
        <v>#DIV/0!</v>
      </c>
      <c r="K15" s="14" t="e">
        <f t="shared" ref="K15" si="5">SUM(J15:J15)</f>
        <v>#DIV/0!</v>
      </c>
      <c r="L15" s="31">
        <f>N15*G15</f>
        <v>0</v>
      </c>
      <c r="M15" s="37" t="e">
        <f t="shared" si="4"/>
        <v>#DIV/0!</v>
      </c>
      <c r="N15" s="48">
        <f>SUMIFS('Tableau plaquette complet'!F:F,'Tableau plaquette complet'!G:G,"HESSAPP",'Tableau plaquette complet'!H:H,"OP 30",'Tableau plaquette complet'!J:J,"266x13",'Tableau plaquette complet'!B:B,"Z000 546 265")</f>
        <v>0</v>
      </c>
      <c r="O15" s="38" t="e">
        <f t="shared" si="3"/>
        <v>#DIV/0!</v>
      </c>
    </row>
    <row r="16" spans="1:15" x14ac:dyDescent="0.25">
      <c r="A16" s="55" t="s">
        <v>184</v>
      </c>
      <c r="B16" s="55" t="s">
        <v>38</v>
      </c>
      <c r="C16" s="162" t="s">
        <v>189</v>
      </c>
      <c r="D16" s="55" t="s">
        <v>36</v>
      </c>
      <c r="E16" s="55">
        <v>1</v>
      </c>
      <c r="F16" s="55">
        <v>4</v>
      </c>
      <c r="G16" s="55">
        <v>8.6999999999999993</v>
      </c>
      <c r="H16" s="28"/>
      <c r="I16" s="26" t="e">
        <f t="shared" si="0"/>
        <v>#DIV/0!</v>
      </c>
      <c r="J16" s="27" t="e">
        <f t="shared" si="1"/>
        <v>#DIV/0!</v>
      </c>
      <c r="K16" s="167" t="e">
        <f>SUM(J16:J17)</f>
        <v>#DIV/0!</v>
      </c>
      <c r="L16" s="195">
        <f>N16*G16</f>
        <v>0</v>
      </c>
      <c r="M16" s="180" t="e">
        <f t="shared" si="4"/>
        <v>#DIV/0!</v>
      </c>
      <c r="N16" s="147">
        <f>SUMIFS('Tableau plaquette complet'!F:F,'Tableau plaquette complet'!G:G,"HESSAPP",'Tableau plaquette complet'!H:H,"OP 30",'Tableau plaquette complet'!J:J,"266x13",'Tableau plaquette complet'!B:B,"Z000 539 100")</f>
        <v>0</v>
      </c>
      <c r="O16" s="176" t="e">
        <f t="shared" si="3"/>
        <v>#DIV/0!</v>
      </c>
    </row>
    <row r="17" spans="1:15" ht="15.75" thickBot="1" x14ac:dyDescent="0.3">
      <c r="A17" s="55" t="s">
        <v>186</v>
      </c>
      <c r="B17" s="55" t="s">
        <v>38</v>
      </c>
      <c r="C17" s="164"/>
      <c r="D17" s="55" t="s">
        <v>36</v>
      </c>
      <c r="E17" s="55">
        <v>1</v>
      </c>
      <c r="F17" s="55">
        <v>4</v>
      </c>
      <c r="G17" s="55">
        <v>8.6999999999999993</v>
      </c>
      <c r="H17" s="28"/>
      <c r="I17" s="26" t="e">
        <f t="shared" si="0"/>
        <v>#DIV/0!</v>
      </c>
      <c r="J17" s="27" t="e">
        <f t="shared" si="1"/>
        <v>#DIV/0!</v>
      </c>
      <c r="K17" s="169"/>
      <c r="L17" s="196"/>
      <c r="M17" s="181"/>
      <c r="N17" s="149"/>
      <c r="O17" s="177"/>
    </row>
    <row r="18" spans="1:15" ht="15.75" thickBot="1" x14ac:dyDescent="0.3">
      <c r="I18" s="16" t="e">
        <f>SUM(I4:I17)</f>
        <v>#DIV/0!</v>
      </c>
      <c r="J18" s="17" t="e">
        <f>SUM(J4:J17)</f>
        <v>#DIV/0!</v>
      </c>
      <c r="K18" s="29"/>
      <c r="L18" s="29"/>
      <c r="M18" s="41" t="e">
        <f>SUM(M4:M17)</f>
        <v>#DIV/0!</v>
      </c>
      <c r="N18" s="42">
        <f>SUM(N4:N17)</f>
        <v>0</v>
      </c>
    </row>
    <row r="19" spans="1:15" x14ac:dyDescent="0.25">
      <c r="I19" s="19" t="e">
        <f>B1*I18</f>
        <v>#DIV/0!</v>
      </c>
      <c r="M19" s="30" t="e">
        <f>B1*M18</f>
        <v>#DIV/0!</v>
      </c>
    </row>
  </sheetData>
  <mergeCells count="24">
    <mergeCell ref="O7:O8"/>
    <mergeCell ref="C5:C6"/>
    <mergeCell ref="K5:K6"/>
    <mergeCell ref="L5:L6"/>
    <mergeCell ref="M5:M6"/>
    <mergeCell ref="N5:N6"/>
    <mergeCell ref="O5:O6"/>
    <mergeCell ref="C7:C8"/>
    <mergeCell ref="K7:K8"/>
    <mergeCell ref="L7:L8"/>
    <mergeCell ref="M7:M8"/>
    <mergeCell ref="N7:N8"/>
    <mergeCell ref="O16:O17"/>
    <mergeCell ref="C11:C13"/>
    <mergeCell ref="K11:K13"/>
    <mergeCell ref="L11:L13"/>
    <mergeCell ref="M11:M13"/>
    <mergeCell ref="N11:N13"/>
    <mergeCell ref="O11:O13"/>
    <mergeCell ref="C16:C17"/>
    <mergeCell ref="K16:K17"/>
    <mergeCell ref="L16:L17"/>
    <mergeCell ref="M16:M17"/>
    <mergeCell ref="N16:N17"/>
  </mergeCells>
  <conditionalFormatting sqref="M18:N18">
    <cfRule type="cellIs" dxfId="9" priority="1" operator="lessThan">
      <formula>$J$18</formula>
    </cfRule>
    <cfRule type="cellIs" dxfId="8" priority="2" operator="greaterThan">
      <formula>$J$18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5">
    <tabColor rgb="FF7030A0"/>
  </sheetPr>
  <dimension ref="A1:O18"/>
  <sheetViews>
    <sheetView topLeftCell="K5" workbookViewId="0">
      <selection activeCell="O18" sqref="O18"/>
    </sheetView>
  </sheetViews>
  <sheetFormatPr baseColWidth="10" defaultColWidth="11.42578125" defaultRowHeight="15" x14ac:dyDescent="0.25"/>
  <cols>
    <col min="2" max="2" width="10" bestFit="1" customWidth="1"/>
    <col min="3" max="3" width="24.7109375" bestFit="1" customWidth="1"/>
    <col min="4" max="4" width="11.8554687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0</v>
      </c>
      <c r="O1" s="22"/>
    </row>
    <row r="2" spans="1:15" x14ac:dyDescent="0.25">
      <c r="C2" s="23" t="s">
        <v>190</v>
      </c>
      <c r="E2" s="23"/>
      <c r="G2" s="24"/>
      <c r="O2" s="23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61" t="s">
        <v>180</v>
      </c>
      <c r="B4" s="61" t="s">
        <v>39</v>
      </c>
      <c r="C4" s="61" t="s">
        <v>100</v>
      </c>
      <c r="D4" s="61" t="s">
        <v>22</v>
      </c>
      <c r="E4" s="61">
        <v>1</v>
      </c>
      <c r="F4" s="61">
        <v>4</v>
      </c>
      <c r="G4" s="68">
        <v>7</v>
      </c>
      <c r="H4" s="25"/>
      <c r="I4" s="26" t="e">
        <f t="shared" ref="I4:I16" si="0">(E4*G4)/(F4*H4)</f>
        <v>#DIV/0!</v>
      </c>
      <c r="J4" s="27" t="e">
        <f t="shared" ref="J4:J16" si="1">(ROUNDUP($E4*$B$1/($F4*H4),0))</f>
        <v>#DIV/0!</v>
      </c>
      <c r="K4" s="43" t="e">
        <f>SUM(J4)</f>
        <v>#DIV/0!</v>
      </c>
      <c r="L4" s="78">
        <f>N4*G4</f>
        <v>0</v>
      </c>
      <c r="M4" s="73" t="e">
        <f>L4/$B$1</f>
        <v>#DIV/0!</v>
      </c>
      <c r="N4" s="9">
        <f>SUMIFS('Tableau plaquette complet'!F:F,'Tableau plaquette complet'!G:G,"HESSAPP",'Tableau plaquette complet'!H:H,"OP 10",'Tableau plaquette complet'!J:J,"266x22 RPI",'Tableau plaquette complet'!B:B,"Z000 546 265")</f>
        <v>0</v>
      </c>
      <c r="O4" s="74" t="e">
        <f>-(K4-N4)</f>
        <v>#DIV/0!</v>
      </c>
    </row>
    <row r="5" spans="1:15" x14ac:dyDescent="0.25">
      <c r="A5" s="61" t="s">
        <v>181</v>
      </c>
      <c r="B5" s="61" t="s">
        <v>39</v>
      </c>
      <c r="C5" s="178" t="s">
        <v>104</v>
      </c>
      <c r="D5" s="61" t="s">
        <v>23</v>
      </c>
      <c r="E5" s="61">
        <v>1</v>
      </c>
      <c r="F5" s="61">
        <v>8</v>
      </c>
      <c r="G5" s="68">
        <v>7.12</v>
      </c>
      <c r="H5" s="25"/>
      <c r="I5" s="26" t="e">
        <f t="shared" si="0"/>
        <v>#DIV/0!</v>
      </c>
      <c r="J5" s="27" t="e">
        <f t="shared" si="1"/>
        <v>#DIV/0!</v>
      </c>
      <c r="K5" s="167" t="e">
        <f>SUM(J5:J6)</f>
        <v>#DIV/0!</v>
      </c>
      <c r="L5" s="220">
        <f>N5*G5</f>
        <v>0</v>
      </c>
      <c r="M5" s="214" t="e">
        <f>L5/$B$1</f>
        <v>#DIV/0!</v>
      </c>
      <c r="N5" s="223">
        <f>SUMIFS('Tableau plaquette complet'!F:F,'Tableau plaquette complet'!G:G,"HESSAPP",'Tableau plaquette complet'!H:H,"OP 10",'Tableau plaquette complet'!J:J,"266x22 RPI",'Tableau plaquette complet'!B:B,"Z000 546 266")</f>
        <v>0</v>
      </c>
      <c r="O5" s="176" t="e">
        <f>-(K5-N5)</f>
        <v>#DIV/0!</v>
      </c>
    </row>
    <row r="6" spans="1:15" x14ac:dyDescent="0.25">
      <c r="A6" s="61" t="s">
        <v>182</v>
      </c>
      <c r="B6" s="61" t="s">
        <v>39</v>
      </c>
      <c r="C6" s="179"/>
      <c r="D6" s="61" t="s">
        <v>23</v>
      </c>
      <c r="E6" s="61">
        <v>1</v>
      </c>
      <c r="F6" s="61">
        <v>8</v>
      </c>
      <c r="G6" s="68">
        <v>7.12</v>
      </c>
      <c r="H6" s="25"/>
      <c r="I6" s="26" t="e">
        <f t="shared" si="0"/>
        <v>#DIV/0!</v>
      </c>
      <c r="J6" s="27" t="e">
        <f t="shared" si="1"/>
        <v>#DIV/0!</v>
      </c>
      <c r="K6" s="169"/>
      <c r="L6" s="222"/>
      <c r="M6" s="215"/>
      <c r="N6" s="225"/>
      <c r="O6" s="177"/>
    </row>
    <row r="7" spans="1:15" x14ac:dyDescent="0.25">
      <c r="A7" s="55" t="s">
        <v>183</v>
      </c>
      <c r="B7" s="55" t="s">
        <v>33</v>
      </c>
      <c r="C7" s="55" t="s">
        <v>100</v>
      </c>
      <c r="D7" s="55" t="s">
        <v>22</v>
      </c>
      <c r="E7" s="55">
        <v>1</v>
      </c>
      <c r="F7" s="55">
        <v>4</v>
      </c>
      <c r="G7" s="56">
        <v>7</v>
      </c>
      <c r="H7" s="25"/>
      <c r="I7" s="26" t="e">
        <f t="shared" si="0"/>
        <v>#DIV/0!</v>
      </c>
      <c r="J7" s="27" t="e">
        <f t="shared" si="1"/>
        <v>#DIV/0!</v>
      </c>
      <c r="K7" s="43" t="e">
        <f>SUM(J7)</f>
        <v>#DIV/0!</v>
      </c>
      <c r="L7" s="78">
        <f>N7*G7</f>
        <v>0</v>
      </c>
      <c r="M7" s="75" t="e">
        <f>L7/$B$1</f>
        <v>#DIV/0!</v>
      </c>
      <c r="N7" s="9">
        <f>SUMIFS('Tableau plaquette complet'!F:F,'Tableau plaquette complet'!G:G,"HESSAPP",'Tableau plaquette complet'!H:H,"OP 15",'Tableau plaquette complet'!J:J,"266x22 RPI",'Tableau plaquette complet'!B:B,"Z000 546 265")</f>
        <v>0</v>
      </c>
      <c r="O7" s="76" t="e">
        <f>-(K7-N7)</f>
        <v>#DIV/0!</v>
      </c>
    </row>
    <row r="8" spans="1:15" x14ac:dyDescent="0.25">
      <c r="A8" s="55" t="s">
        <v>181</v>
      </c>
      <c r="B8" s="55" t="s">
        <v>33</v>
      </c>
      <c r="C8" s="55" t="s">
        <v>113</v>
      </c>
      <c r="D8" s="55" t="s">
        <v>25</v>
      </c>
      <c r="E8" s="55">
        <v>1</v>
      </c>
      <c r="F8" s="55">
        <v>2</v>
      </c>
      <c r="G8" s="56">
        <v>10.85</v>
      </c>
      <c r="H8" s="25"/>
      <c r="I8" s="26" t="e">
        <f t="shared" si="0"/>
        <v>#DIV/0!</v>
      </c>
      <c r="J8" s="27" t="e">
        <f t="shared" si="1"/>
        <v>#DIV/0!</v>
      </c>
      <c r="K8" s="43" t="e">
        <f>SUM(J8)</f>
        <v>#DIV/0!</v>
      </c>
      <c r="L8" s="78">
        <f>N8*G8</f>
        <v>0</v>
      </c>
      <c r="M8" s="75" t="e">
        <f>L8/$B$1</f>
        <v>#DIV/0!</v>
      </c>
      <c r="N8" s="9">
        <f>SUMIFS('Tableau plaquette complet'!F:F,'Tableau plaquette complet'!G:G,"HESSAPP",'Tableau plaquette complet'!H:H,"OP 15",'Tableau plaquette complet'!J:J,"266x22 RPI",'Tableau plaquette complet'!B:B,"Z000 522 436")</f>
        <v>0</v>
      </c>
      <c r="O8" s="76" t="e">
        <f>-(K8-N8)</f>
        <v>#DIV/0!</v>
      </c>
    </row>
    <row r="9" spans="1:15" x14ac:dyDescent="0.25">
      <c r="A9" s="55" t="s">
        <v>186</v>
      </c>
      <c r="B9" s="55" t="s">
        <v>33</v>
      </c>
      <c r="C9" s="72" t="s">
        <v>104</v>
      </c>
      <c r="D9" s="55" t="s">
        <v>23</v>
      </c>
      <c r="E9" s="55">
        <v>1</v>
      </c>
      <c r="F9" s="55">
        <v>8</v>
      </c>
      <c r="G9" s="56">
        <v>7.12</v>
      </c>
      <c r="H9" s="25"/>
      <c r="I9" s="26" t="e">
        <f t="shared" si="0"/>
        <v>#DIV/0!</v>
      </c>
      <c r="J9" s="27" t="e">
        <f t="shared" si="1"/>
        <v>#DIV/0!</v>
      </c>
      <c r="K9" s="54" t="e">
        <f>SUM(J9:J9)</f>
        <v>#DIV/0!</v>
      </c>
      <c r="L9" s="78">
        <f>N9*G9</f>
        <v>0</v>
      </c>
      <c r="M9" s="80" t="e">
        <f>L9/$B$1</f>
        <v>#DIV/0!</v>
      </c>
      <c r="N9" s="77">
        <f>SUMIFS('Tableau plaquette complet'!F:F,'Tableau plaquette complet'!G:G,"HESSAPP",'Tableau plaquette complet'!H:H,"OP 15",'Tableau plaquette complet'!J:J,"266x22 RPI",'Tableau plaquette complet'!B:B,"Z000 546 266")</f>
        <v>0</v>
      </c>
      <c r="O9" s="70" t="e">
        <f>-(K9-N9)</f>
        <v>#DIV/0!</v>
      </c>
    </row>
    <row r="10" spans="1:15" x14ac:dyDescent="0.25">
      <c r="A10" s="61" t="s">
        <v>187</v>
      </c>
      <c r="B10" s="61" t="s">
        <v>14</v>
      </c>
      <c r="C10" s="178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28"/>
      <c r="I10" s="26" t="e">
        <f t="shared" si="0"/>
        <v>#DIV/0!</v>
      </c>
      <c r="J10" s="27" t="e">
        <f t="shared" si="1"/>
        <v>#DIV/0!</v>
      </c>
      <c r="K10" s="167" t="e">
        <f>SUM(J10:J12)</f>
        <v>#DIV/0!</v>
      </c>
      <c r="L10" s="220">
        <f>N10*G10</f>
        <v>0</v>
      </c>
      <c r="M10" s="180" t="e">
        <f>L10/$B$1</f>
        <v>#DIV/0!</v>
      </c>
      <c r="N10" s="223">
        <f>SUMIFS('Tableau plaquette complet'!F:F,'Tableau plaquette complet'!G:G,"HESSAPP",'Tableau plaquette complet'!H:H,"OP 20",'Tableau plaquette complet'!J:J,"266x22 RPI",'Tableau plaquette complet'!B:B,"Z000 546 266")</f>
        <v>0</v>
      </c>
      <c r="O10" s="76" t="e">
        <f>-(K10-N10)</f>
        <v>#DIV/0!</v>
      </c>
    </row>
    <row r="11" spans="1:15" x14ac:dyDescent="0.25">
      <c r="A11" s="61" t="s">
        <v>181</v>
      </c>
      <c r="B11" s="61" t="s">
        <v>14</v>
      </c>
      <c r="C11" s="209"/>
      <c r="D11" s="61" t="s">
        <v>23</v>
      </c>
      <c r="E11" s="61">
        <v>1</v>
      </c>
      <c r="F11" s="61">
        <v>8</v>
      </c>
      <c r="G11" s="68">
        <v>7.12</v>
      </c>
      <c r="H11" s="28"/>
      <c r="I11" s="26" t="e">
        <f t="shared" si="0"/>
        <v>#DIV/0!</v>
      </c>
      <c r="J11" s="27" t="e">
        <f t="shared" si="1"/>
        <v>#DIV/0!</v>
      </c>
      <c r="K11" s="168"/>
      <c r="L11" s="221"/>
      <c r="M11" s="212"/>
      <c r="N11" s="224"/>
      <c r="O11" s="176" t="e">
        <f>-(K10-N10)</f>
        <v>#DIV/0!</v>
      </c>
    </row>
    <row r="12" spans="1:15" x14ac:dyDescent="0.25">
      <c r="A12" s="61" t="s">
        <v>180</v>
      </c>
      <c r="B12" s="61" t="s">
        <v>14</v>
      </c>
      <c r="C12" s="179"/>
      <c r="D12" s="61" t="s">
        <v>23</v>
      </c>
      <c r="E12" s="61">
        <v>1</v>
      </c>
      <c r="F12" s="61">
        <v>8</v>
      </c>
      <c r="G12" s="68">
        <v>7.12</v>
      </c>
      <c r="H12" s="28"/>
      <c r="I12" s="26" t="e">
        <f t="shared" si="0"/>
        <v>#DIV/0!</v>
      </c>
      <c r="J12" s="27" t="e">
        <f t="shared" si="1"/>
        <v>#DIV/0!</v>
      </c>
      <c r="K12" s="169"/>
      <c r="L12" s="222"/>
      <c r="M12" s="181"/>
      <c r="N12" s="225"/>
      <c r="O12" s="177"/>
    </row>
    <row r="13" spans="1:15" x14ac:dyDescent="0.25">
      <c r="A13" s="61" t="s">
        <v>182</v>
      </c>
      <c r="B13" s="61" t="s">
        <v>14</v>
      </c>
      <c r="C13" s="61" t="s">
        <v>188</v>
      </c>
      <c r="D13" s="61" t="s">
        <v>35</v>
      </c>
      <c r="E13" s="61">
        <v>1</v>
      </c>
      <c r="F13" s="61">
        <v>6</v>
      </c>
      <c r="G13" s="68">
        <v>11.87</v>
      </c>
      <c r="H13" s="28"/>
      <c r="I13" s="26" t="e">
        <f t="shared" si="0"/>
        <v>#DIV/0!</v>
      </c>
      <c r="J13" s="27" t="e">
        <f t="shared" si="1"/>
        <v>#DIV/0!</v>
      </c>
      <c r="K13" s="43" t="e">
        <f>SUM(J13)</f>
        <v>#DIV/0!</v>
      </c>
      <c r="L13" s="78">
        <f>N13*G13</f>
        <v>0</v>
      </c>
      <c r="M13" s="37" t="e">
        <f t="shared" ref="M13:M15" si="2">L13/$B$1</f>
        <v>#DIV/0!</v>
      </c>
      <c r="N13" s="9">
        <f>SUMIFS('Tableau plaquette complet'!F:F,'Tableau plaquette complet'!G:G,"HESSAPP",'Tableau plaquette complet'!H:H,"OP 20",'Tableau plaquette complet'!J:J,"266x22 RPI",'Tableau plaquette complet'!B:B,"Z000 519 285")</f>
        <v>0</v>
      </c>
      <c r="O13" s="38" t="e">
        <f t="shared" ref="O13:O15" si="3">-(K13-N13)</f>
        <v>#DIV/0!</v>
      </c>
    </row>
    <row r="14" spans="1:15" x14ac:dyDescent="0.25">
      <c r="A14" s="55" t="s">
        <v>181</v>
      </c>
      <c r="B14" s="55" t="s">
        <v>38</v>
      </c>
      <c r="C14" s="55" t="s">
        <v>100</v>
      </c>
      <c r="D14" s="55" t="s">
        <v>22</v>
      </c>
      <c r="E14" s="55">
        <v>1</v>
      </c>
      <c r="F14" s="55">
        <v>4</v>
      </c>
      <c r="G14" s="56">
        <v>7</v>
      </c>
      <c r="H14" s="28"/>
      <c r="I14" s="26" t="e">
        <f t="shared" si="0"/>
        <v>#DIV/0!</v>
      </c>
      <c r="J14" s="27" t="e">
        <f t="shared" si="1"/>
        <v>#DIV/0!</v>
      </c>
      <c r="K14" s="14" t="e">
        <f>SUM(J14:J14)</f>
        <v>#DIV/0!</v>
      </c>
      <c r="L14" s="78">
        <f>N14*G14</f>
        <v>0</v>
      </c>
      <c r="M14" s="53" t="e">
        <f t="shared" si="2"/>
        <v>#DIV/0!</v>
      </c>
      <c r="N14" s="9">
        <f>SUMIFS('Tableau plaquette complet'!F:F,'Tableau plaquette complet'!G:G,"HESSAPP",'Tableau plaquette complet'!H:H,"OP 30",'Tableau plaquette complet'!J:J,"266x22 RPI",'Tableau plaquette complet'!B:B,"Z000 546 265")</f>
        <v>0</v>
      </c>
      <c r="O14" s="52" t="e">
        <f t="shared" si="3"/>
        <v>#DIV/0!</v>
      </c>
    </row>
    <row r="15" spans="1:15" x14ac:dyDescent="0.25">
      <c r="A15" s="55" t="s">
        <v>184</v>
      </c>
      <c r="B15" s="55" t="s">
        <v>38</v>
      </c>
      <c r="C15" s="162" t="s">
        <v>191</v>
      </c>
      <c r="D15" s="81" t="s">
        <v>17</v>
      </c>
      <c r="E15" s="55">
        <v>1</v>
      </c>
      <c r="F15" s="55">
        <v>8</v>
      </c>
      <c r="G15" s="81">
        <v>9.56</v>
      </c>
      <c r="H15" s="28"/>
      <c r="I15" s="26" t="e">
        <f t="shared" si="0"/>
        <v>#DIV/0!</v>
      </c>
      <c r="J15" s="27" t="e">
        <f t="shared" si="1"/>
        <v>#DIV/0!</v>
      </c>
      <c r="K15" s="167" t="e">
        <f>SUM(J15:J16)</f>
        <v>#DIV/0!</v>
      </c>
      <c r="L15" s="220">
        <f>N15*G15</f>
        <v>0</v>
      </c>
      <c r="M15" s="159" t="e">
        <f t="shared" si="2"/>
        <v>#DIV/0!</v>
      </c>
      <c r="N15" s="223">
        <f>SUMIFS('Tableau plaquette complet'!F:F,'Tableau plaquette complet'!G:G,"HESSAPP",'Tableau plaquette complet'!H:H,"OP 30",'Tableau plaquette complet'!J:J,"266x22 RPI",'Tableau plaquette complet'!B:B,"Z000 513 527")</f>
        <v>0</v>
      </c>
      <c r="O15" s="156" t="e">
        <f t="shared" si="3"/>
        <v>#DIV/0!</v>
      </c>
    </row>
    <row r="16" spans="1:15" ht="15.75" thickBot="1" x14ac:dyDescent="0.3">
      <c r="A16" s="55" t="s">
        <v>186</v>
      </c>
      <c r="B16" s="55" t="s">
        <v>38</v>
      </c>
      <c r="C16" s="164"/>
      <c r="D16" s="81" t="s">
        <v>17</v>
      </c>
      <c r="E16" s="55">
        <v>1</v>
      </c>
      <c r="F16" s="55">
        <v>8</v>
      </c>
      <c r="G16" s="81">
        <v>9.56</v>
      </c>
      <c r="H16" s="28"/>
      <c r="I16" s="26" t="e">
        <f t="shared" si="0"/>
        <v>#DIV/0!</v>
      </c>
      <c r="J16" s="27" t="e">
        <f t="shared" si="1"/>
        <v>#DIV/0!</v>
      </c>
      <c r="K16" s="169"/>
      <c r="L16" s="222"/>
      <c r="M16" s="161"/>
      <c r="N16" s="225"/>
      <c r="O16" s="158"/>
    </row>
    <row r="17" spans="9:14" ht="15.75" thickBot="1" x14ac:dyDescent="0.3">
      <c r="I17" s="16" t="e">
        <f>SUM(I4:I16)</f>
        <v>#DIV/0!</v>
      </c>
      <c r="J17" s="17" t="e">
        <f>SUM(J4:J16)</f>
        <v>#DIV/0!</v>
      </c>
      <c r="K17" s="29"/>
      <c r="L17" s="29"/>
      <c r="M17" s="41" t="e">
        <f>SUM(M4:M16)</f>
        <v>#DIV/0!</v>
      </c>
      <c r="N17" s="42">
        <f>SUM(N4:N16)</f>
        <v>0</v>
      </c>
    </row>
    <row r="18" spans="9:14" x14ac:dyDescent="0.25">
      <c r="I18" s="19" t="e">
        <f>B1*I17</f>
        <v>#DIV/0!</v>
      </c>
      <c r="M18" s="30" t="e">
        <f>B1*M17</f>
        <v>#DIV/0!</v>
      </c>
    </row>
  </sheetData>
  <mergeCells count="18">
    <mergeCell ref="O5:O6"/>
    <mergeCell ref="C5:C6"/>
    <mergeCell ref="K5:K6"/>
    <mergeCell ref="L5:L6"/>
    <mergeCell ref="M5:M6"/>
    <mergeCell ref="N5:N6"/>
    <mergeCell ref="O15:O16"/>
    <mergeCell ref="C10:C12"/>
    <mergeCell ref="K10:K12"/>
    <mergeCell ref="L10:L12"/>
    <mergeCell ref="M10:M12"/>
    <mergeCell ref="N10:N12"/>
    <mergeCell ref="O11:O12"/>
    <mergeCell ref="C15:C16"/>
    <mergeCell ref="K15:K16"/>
    <mergeCell ref="L15:L16"/>
    <mergeCell ref="M15:M16"/>
    <mergeCell ref="N15:N16"/>
  </mergeCells>
  <conditionalFormatting sqref="M17:N17">
    <cfRule type="cellIs" dxfId="7" priority="1" operator="lessThan">
      <formula>$J$17</formula>
    </cfRule>
    <cfRule type="cellIs" dxfId="6" priority="2" operator="greaterThan">
      <formula>$J$17</formula>
    </cfRule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26">
    <tabColor rgb="FF7030A0"/>
  </sheetPr>
  <dimension ref="A1:O18"/>
  <sheetViews>
    <sheetView zoomScale="60" workbookViewId="0">
      <selection activeCell="O18" sqref="O18"/>
    </sheetView>
  </sheetViews>
  <sheetFormatPr baseColWidth="10" defaultColWidth="11.42578125" defaultRowHeight="15" x14ac:dyDescent="0.25"/>
  <cols>
    <col min="3" max="3" width="24.7109375" bestFit="1" customWidth="1"/>
    <col min="4" max="4" width="11.8554687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0</v>
      </c>
      <c r="O1" s="22"/>
    </row>
    <row r="2" spans="1:15" x14ac:dyDescent="0.25">
      <c r="C2" s="23" t="s">
        <v>192</v>
      </c>
      <c r="E2" s="23"/>
      <c r="G2" s="24"/>
      <c r="O2" s="23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61" t="s">
        <v>180</v>
      </c>
      <c r="B4" s="61" t="s">
        <v>39</v>
      </c>
      <c r="C4" s="61" t="s">
        <v>100</v>
      </c>
      <c r="D4" s="61" t="s">
        <v>22</v>
      </c>
      <c r="E4" s="61">
        <v>1</v>
      </c>
      <c r="F4" s="61">
        <v>4</v>
      </c>
      <c r="G4" s="68">
        <v>7</v>
      </c>
      <c r="H4" s="25"/>
      <c r="I4" s="26" t="e">
        <f t="shared" ref="I4:I16" si="0">(E4*G4)/(F4*H4)</f>
        <v>#DIV/0!</v>
      </c>
      <c r="J4" s="27" t="e">
        <f t="shared" ref="J4:J16" si="1">(ROUNDUP($E4*$B$1/($F4*H4),0))</f>
        <v>#DIV/0!</v>
      </c>
      <c r="K4" s="43" t="e">
        <f>SUM(J4)</f>
        <v>#DIV/0!</v>
      </c>
      <c r="L4" s="31">
        <f>N4*G4</f>
        <v>0</v>
      </c>
      <c r="M4" s="73" t="e">
        <f>L4/$B$1</f>
        <v>#DIV/0!</v>
      </c>
      <c r="N4" s="48">
        <f>SUMIFS('Tableau plaquette complet'!F:F,'Tableau plaquette complet'!G:G,"HESSAPP",'Tableau plaquette complet'!H:H,"OP 10",'Tableau plaquette complet'!J:J,"283x26 RPI",'Tableau plaquette complet'!B:B,"Z000 546 265")</f>
        <v>0</v>
      </c>
      <c r="O4" s="74" t="e">
        <f>-(K4-N4)</f>
        <v>#DIV/0!</v>
      </c>
    </row>
    <row r="5" spans="1:15" x14ac:dyDescent="0.25">
      <c r="A5" s="61" t="s">
        <v>181</v>
      </c>
      <c r="B5" s="61" t="s">
        <v>39</v>
      </c>
      <c r="C5" s="178" t="s">
        <v>104</v>
      </c>
      <c r="D5" s="61" t="s">
        <v>23</v>
      </c>
      <c r="E5" s="61">
        <v>1</v>
      </c>
      <c r="F5" s="61">
        <v>8</v>
      </c>
      <c r="G5" s="68">
        <v>7.12</v>
      </c>
      <c r="H5" s="25"/>
      <c r="I5" s="26" t="e">
        <f t="shared" si="0"/>
        <v>#DIV/0!</v>
      </c>
      <c r="J5" s="27" t="e">
        <f t="shared" si="1"/>
        <v>#DIV/0!</v>
      </c>
      <c r="K5" s="167" t="e">
        <f>SUM(J5:J6)</f>
        <v>#DIV/0!</v>
      </c>
      <c r="L5" s="195">
        <f>N5*G5</f>
        <v>0</v>
      </c>
      <c r="M5" s="214" t="e">
        <f>L5/$B$1</f>
        <v>#DIV/0!</v>
      </c>
      <c r="N5" s="147">
        <f>SUMIFS('Tableau plaquette complet'!F:F,'Tableau plaquette complet'!G:G,"HESSAPP",'Tableau plaquette complet'!H:H,"OP 10",'Tableau plaquette complet'!J:J,"283x26 RPI",'Tableau plaquette complet'!B:B,"Z000 546 266")</f>
        <v>0</v>
      </c>
      <c r="O5" s="176" t="e">
        <f>-(K5-N5)</f>
        <v>#DIV/0!</v>
      </c>
    </row>
    <row r="6" spans="1:15" x14ac:dyDescent="0.25">
      <c r="A6" s="61" t="s">
        <v>182</v>
      </c>
      <c r="B6" s="61" t="s">
        <v>39</v>
      </c>
      <c r="C6" s="179"/>
      <c r="D6" s="61" t="s">
        <v>23</v>
      </c>
      <c r="E6" s="61">
        <v>1</v>
      </c>
      <c r="F6" s="61">
        <v>8</v>
      </c>
      <c r="G6" s="68">
        <v>7.12</v>
      </c>
      <c r="H6" s="25"/>
      <c r="I6" s="26" t="e">
        <f t="shared" si="0"/>
        <v>#DIV/0!</v>
      </c>
      <c r="J6" s="27" t="e">
        <f t="shared" si="1"/>
        <v>#DIV/0!</v>
      </c>
      <c r="K6" s="169"/>
      <c r="L6" s="196"/>
      <c r="M6" s="215"/>
      <c r="N6" s="149"/>
      <c r="O6" s="177"/>
    </row>
    <row r="7" spans="1:15" x14ac:dyDescent="0.25">
      <c r="A7" s="55" t="s">
        <v>183</v>
      </c>
      <c r="B7" s="55" t="s">
        <v>33</v>
      </c>
      <c r="C7" s="55" t="s">
        <v>100</v>
      </c>
      <c r="D7" s="55" t="s">
        <v>22</v>
      </c>
      <c r="E7" s="55">
        <v>1</v>
      </c>
      <c r="F7" s="55">
        <v>4</v>
      </c>
      <c r="G7" s="56">
        <v>7</v>
      </c>
      <c r="H7" s="25"/>
      <c r="I7" s="26" t="e">
        <f t="shared" si="0"/>
        <v>#DIV/0!</v>
      </c>
      <c r="J7" s="27" t="e">
        <f t="shared" si="1"/>
        <v>#DIV/0!</v>
      </c>
      <c r="K7" s="43" t="e">
        <f>SUM(J7)</f>
        <v>#DIV/0!</v>
      </c>
      <c r="L7" s="51">
        <f>N7*G7</f>
        <v>0</v>
      </c>
      <c r="M7" s="75" t="e">
        <f>L7/$B$1</f>
        <v>#DIV/0!</v>
      </c>
      <c r="N7" s="50">
        <f>SUMIFS('Tableau plaquette complet'!F:F,'Tableau plaquette complet'!G:G,"HESSAPP",'Tableau plaquette complet'!H:H,"OP 15",'Tableau plaquette complet'!J:J,"283x26 RPI",'Tableau plaquette complet'!B:B,"Z000 546 265")</f>
        <v>0</v>
      </c>
      <c r="O7" s="76" t="e">
        <f>-(K7-N7)</f>
        <v>#DIV/0!</v>
      </c>
    </row>
    <row r="8" spans="1:15" x14ac:dyDescent="0.25">
      <c r="A8" s="55" t="s">
        <v>181</v>
      </c>
      <c r="B8" s="55" t="s">
        <v>33</v>
      </c>
      <c r="C8" s="55" t="s">
        <v>113</v>
      </c>
      <c r="D8" s="55" t="s">
        <v>25</v>
      </c>
      <c r="E8" s="55">
        <v>1</v>
      </c>
      <c r="F8" s="55">
        <v>2</v>
      </c>
      <c r="G8" s="56">
        <v>10.85</v>
      </c>
      <c r="H8" s="25"/>
      <c r="I8" s="26" t="e">
        <f t="shared" si="0"/>
        <v>#DIV/0!</v>
      </c>
      <c r="J8" s="27" t="e">
        <f t="shared" si="1"/>
        <v>#DIV/0!</v>
      </c>
      <c r="K8" s="43" t="e">
        <f>SUM(J8)</f>
        <v>#DIV/0!</v>
      </c>
      <c r="L8" s="51">
        <f>N8*G8</f>
        <v>0</v>
      </c>
      <c r="M8" s="75" t="e">
        <f>L8/$B$1</f>
        <v>#DIV/0!</v>
      </c>
      <c r="N8" s="50">
        <f>SUMIFS('Tableau plaquette complet'!F:F,'Tableau plaquette complet'!G:G,"HESSAPP",'Tableau plaquette complet'!H:H,"OP 15",'Tableau plaquette complet'!J:J,"283x26 RPI",'Tableau plaquette complet'!B:B,"Z000 522 436")</f>
        <v>0</v>
      </c>
      <c r="O8" s="76" t="e">
        <f>-(K8-N8)</f>
        <v>#DIV/0!</v>
      </c>
    </row>
    <row r="9" spans="1:15" x14ac:dyDescent="0.25">
      <c r="A9" s="55" t="s">
        <v>186</v>
      </c>
      <c r="B9" s="55" t="s">
        <v>33</v>
      </c>
      <c r="C9" s="72" t="s">
        <v>104</v>
      </c>
      <c r="D9" s="55" t="s">
        <v>23</v>
      </c>
      <c r="E9" s="55">
        <v>1</v>
      </c>
      <c r="F9" s="55">
        <v>8</v>
      </c>
      <c r="G9" s="56">
        <v>7.12</v>
      </c>
      <c r="H9" s="25"/>
      <c r="I9" s="26" t="e">
        <f t="shared" si="0"/>
        <v>#DIV/0!</v>
      </c>
      <c r="J9" s="27" t="e">
        <f t="shared" si="1"/>
        <v>#DIV/0!</v>
      </c>
      <c r="K9" s="54" t="e">
        <f>SUM(J9:J9)</f>
        <v>#DIV/0!</v>
      </c>
      <c r="L9" s="51">
        <f>N9*G9</f>
        <v>0</v>
      </c>
      <c r="M9" s="80" t="e">
        <f>L9/$B$1</f>
        <v>#DIV/0!</v>
      </c>
      <c r="N9" s="72">
        <f>SUMIFS('Tableau plaquette complet'!F:F,'Tableau plaquette complet'!G:G,"HESSAPP",'Tableau plaquette complet'!H:H,"OP 15",'Tableau plaquette complet'!J:J,"283x26 RPI",'Tableau plaquette complet'!B:B,"Z000 546 266")</f>
        <v>0</v>
      </c>
      <c r="O9" s="70" t="e">
        <f>-(K9-N9)</f>
        <v>#DIV/0!</v>
      </c>
    </row>
    <row r="10" spans="1:15" x14ac:dyDescent="0.25">
      <c r="A10" s="61" t="s">
        <v>187</v>
      </c>
      <c r="B10" s="61" t="s">
        <v>14</v>
      </c>
      <c r="C10" s="178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28"/>
      <c r="I10" s="26" t="e">
        <f t="shared" si="0"/>
        <v>#DIV/0!</v>
      </c>
      <c r="J10" s="27" t="e">
        <f t="shared" si="1"/>
        <v>#DIV/0!</v>
      </c>
      <c r="K10" s="167" t="e">
        <f>SUM(J10:J12)</f>
        <v>#DIV/0!</v>
      </c>
      <c r="L10" s="195">
        <f>N10*G10</f>
        <v>0</v>
      </c>
      <c r="M10" s="180" t="e">
        <f>L10/$B$1</f>
        <v>#DIV/0!</v>
      </c>
      <c r="N10" s="147">
        <f>SUMIFS('Tableau plaquette complet'!F:F,'Tableau plaquette complet'!G:G,"HESSAPP",'Tableau plaquette complet'!H:H,"OP 20",'Tableau plaquette complet'!J:J,"283x26 RPI",'Tableau plaquette complet'!B:B,"Z000 546 266")</f>
        <v>0</v>
      </c>
      <c r="O10" s="153" t="e">
        <f>-(K10-N10)</f>
        <v>#DIV/0!</v>
      </c>
    </row>
    <row r="11" spans="1:15" x14ac:dyDescent="0.25">
      <c r="A11" s="61" t="s">
        <v>181</v>
      </c>
      <c r="B11" s="61" t="s">
        <v>14</v>
      </c>
      <c r="C11" s="209"/>
      <c r="D11" s="61" t="s">
        <v>23</v>
      </c>
      <c r="E11" s="61">
        <v>1</v>
      </c>
      <c r="F11" s="61">
        <v>8</v>
      </c>
      <c r="G11" s="68">
        <v>7.12</v>
      </c>
      <c r="H11" s="28"/>
      <c r="I11" s="26" t="e">
        <f t="shared" si="0"/>
        <v>#DIV/0!</v>
      </c>
      <c r="J11" s="27" t="e">
        <f t="shared" si="1"/>
        <v>#DIV/0!</v>
      </c>
      <c r="K11" s="168"/>
      <c r="L11" s="199"/>
      <c r="M11" s="212"/>
      <c r="N11" s="148"/>
      <c r="O11" s="154"/>
    </row>
    <row r="12" spans="1:15" x14ac:dyDescent="0.25">
      <c r="A12" s="61" t="s">
        <v>180</v>
      </c>
      <c r="B12" s="61" t="s">
        <v>14</v>
      </c>
      <c r="C12" s="179"/>
      <c r="D12" s="61" t="s">
        <v>23</v>
      </c>
      <c r="E12" s="61">
        <v>1</v>
      </c>
      <c r="F12" s="61">
        <v>8</v>
      </c>
      <c r="G12" s="68">
        <v>7.12</v>
      </c>
      <c r="H12" s="28"/>
      <c r="I12" s="26" t="e">
        <f t="shared" si="0"/>
        <v>#DIV/0!</v>
      </c>
      <c r="J12" s="27" t="e">
        <f t="shared" si="1"/>
        <v>#DIV/0!</v>
      </c>
      <c r="K12" s="169"/>
      <c r="L12" s="196"/>
      <c r="M12" s="181"/>
      <c r="N12" s="149"/>
      <c r="O12" s="155"/>
    </row>
    <row r="13" spans="1:15" x14ac:dyDescent="0.25">
      <c r="A13" s="61" t="s">
        <v>182</v>
      </c>
      <c r="B13" s="61" t="s">
        <v>14</v>
      </c>
      <c r="C13" s="61" t="s">
        <v>188</v>
      </c>
      <c r="D13" s="61" t="s">
        <v>35</v>
      </c>
      <c r="E13" s="61">
        <v>1</v>
      </c>
      <c r="F13" s="61">
        <v>6</v>
      </c>
      <c r="G13" s="68">
        <v>11.87</v>
      </c>
      <c r="H13" s="28"/>
      <c r="I13" s="26" t="e">
        <f t="shared" si="0"/>
        <v>#DIV/0!</v>
      </c>
      <c r="J13" s="27" t="e">
        <f t="shared" si="1"/>
        <v>#DIV/0!</v>
      </c>
      <c r="K13" s="43" t="e">
        <f>SUM(J13)</f>
        <v>#DIV/0!</v>
      </c>
      <c r="L13" s="31">
        <f>N13*G13</f>
        <v>0</v>
      </c>
      <c r="M13" s="37" t="e">
        <f t="shared" ref="M13:M15" si="2">L13/$B$1</f>
        <v>#DIV/0!</v>
      </c>
      <c r="N13" s="48">
        <f>SUMIFS('Tableau plaquette complet'!F:F,'Tableau plaquette complet'!G:G,"HESSAPP",'Tableau plaquette complet'!H:H,"OP 20",'Tableau plaquette complet'!J:J,"283x26 RPI",'Tableau plaquette complet'!B:B,"Z000 519 285")</f>
        <v>0</v>
      </c>
      <c r="O13" s="38" t="e">
        <f t="shared" ref="O13:O15" si="3">-(K13-N13)</f>
        <v>#DIV/0!</v>
      </c>
    </row>
    <row r="14" spans="1:15" x14ac:dyDescent="0.25">
      <c r="A14" s="55" t="s">
        <v>181</v>
      </c>
      <c r="B14" s="55" t="s">
        <v>38</v>
      </c>
      <c r="C14" s="55" t="s">
        <v>100</v>
      </c>
      <c r="D14" s="55" t="s">
        <v>22</v>
      </c>
      <c r="E14" s="55">
        <v>1</v>
      </c>
      <c r="F14" s="55">
        <v>4</v>
      </c>
      <c r="G14" s="56">
        <v>7</v>
      </c>
      <c r="H14" s="28"/>
      <c r="I14" s="26" t="e">
        <f t="shared" si="0"/>
        <v>#DIV/0!</v>
      </c>
      <c r="J14" s="27" t="e">
        <f t="shared" si="1"/>
        <v>#DIV/0!</v>
      </c>
      <c r="K14" s="14" t="e">
        <f>SUM(J14:J14)</f>
        <v>#DIV/0!</v>
      </c>
      <c r="L14" s="51">
        <f>N14*G14</f>
        <v>0</v>
      </c>
      <c r="M14" s="53" t="e">
        <f t="shared" si="2"/>
        <v>#DIV/0!</v>
      </c>
      <c r="N14" s="50">
        <f>SUMIFS('Tableau plaquette complet'!F:F,'Tableau plaquette complet'!G:G,"HESSAPP",'Tableau plaquette complet'!H:H,"OP 30",'Tableau plaquette complet'!J:J,"283x26 RPI",'Tableau plaquette complet'!B:B,"Z000 546 265")</f>
        <v>0</v>
      </c>
      <c r="O14" s="52" t="e">
        <f t="shared" si="3"/>
        <v>#DIV/0!</v>
      </c>
    </row>
    <row r="15" spans="1:15" x14ac:dyDescent="0.25">
      <c r="A15" s="55" t="s">
        <v>184</v>
      </c>
      <c r="B15" s="55" t="s">
        <v>38</v>
      </c>
      <c r="C15" s="162" t="s">
        <v>191</v>
      </c>
      <c r="D15" s="81" t="s">
        <v>17</v>
      </c>
      <c r="E15" s="55">
        <v>1</v>
      </c>
      <c r="F15" s="55">
        <v>8</v>
      </c>
      <c r="G15" s="81">
        <v>9.56</v>
      </c>
      <c r="H15" s="28"/>
      <c r="I15" s="26" t="e">
        <f t="shared" si="0"/>
        <v>#DIV/0!</v>
      </c>
      <c r="J15" s="27" t="e">
        <f t="shared" si="1"/>
        <v>#DIV/0!</v>
      </c>
      <c r="K15" s="167" t="e">
        <f>SUM(J15:J16)</f>
        <v>#DIV/0!</v>
      </c>
      <c r="L15" s="216">
        <f>N15*G15</f>
        <v>0</v>
      </c>
      <c r="M15" s="159" t="e">
        <f t="shared" si="2"/>
        <v>#DIV/0!</v>
      </c>
      <c r="N15" s="162">
        <f>SUMIFS('Tableau plaquette complet'!F:F,'Tableau plaquette complet'!G:G,"HESSAPP",'Tableau plaquette complet'!H:H,"OP 30",'Tableau plaquette complet'!J:J,"283x26 RPI",'Tableau plaquette complet'!B:B,"Z000 513 527")</f>
        <v>0</v>
      </c>
      <c r="O15" s="156" t="e">
        <f t="shared" si="3"/>
        <v>#DIV/0!</v>
      </c>
    </row>
    <row r="16" spans="1:15" ht="15.75" thickBot="1" x14ac:dyDescent="0.3">
      <c r="A16" s="55" t="s">
        <v>186</v>
      </c>
      <c r="B16" s="55" t="s">
        <v>38</v>
      </c>
      <c r="C16" s="164"/>
      <c r="D16" s="81" t="s">
        <v>17</v>
      </c>
      <c r="E16" s="55">
        <v>1</v>
      </c>
      <c r="F16" s="55">
        <v>8</v>
      </c>
      <c r="G16" s="81">
        <v>9.56</v>
      </c>
      <c r="H16" s="28"/>
      <c r="I16" s="26" t="e">
        <f t="shared" si="0"/>
        <v>#DIV/0!</v>
      </c>
      <c r="J16" s="27" t="e">
        <f t="shared" si="1"/>
        <v>#DIV/0!</v>
      </c>
      <c r="K16" s="169"/>
      <c r="L16" s="217"/>
      <c r="M16" s="161"/>
      <c r="N16" s="164"/>
      <c r="O16" s="158"/>
    </row>
    <row r="17" spans="9:14" ht="15.75" thickBot="1" x14ac:dyDescent="0.3">
      <c r="I17" s="16" t="e">
        <f>SUM(I4:I16)</f>
        <v>#DIV/0!</v>
      </c>
      <c r="J17" s="17" t="e">
        <f>SUM(J4:J16)</f>
        <v>#DIV/0!</v>
      </c>
      <c r="K17" s="29"/>
      <c r="L17" s="29"/>
      <c r="M17" s="41" t="e">
        <f>SUM(M4:M16)</f>
        <v>#DIV/0!</v>
      </c>
      <c r="N17" s="42">
        <f>SUM(N4:N16)</f>
        <v>0</v>
      </c>
    </row>
    <row r="18" spans="9:14" x14ac:dyDescent="0.25">
      <c r="I18" s="19" t="e">
        <f>B1*I17</f>
        <v>#DIV/0!</v>
      </c>
      <c r="M18" s="30" t="e">
        <f>B1*M17</f>
        <v>#DIV/0!</v>
      </c>
    </row>
  </sheetData>
  <mergeCells count="18">
    <mergeCell ref="O5:O6"/>
    <mergeCell ref="C5:C6"/>
    <mergeCell ref="K5:K6"/>
    <mergeCell ref="L5:L6"/>
    <mergeCell ref="M5:M6"/>
    <mergeCell ref="N5:N6"/>
    <mergeCell ref="O15:O16"/>
    <mergeCell ref="C10:C12"/>
    <mergeCell ref="K10:K12"/>
    <mergeCell ref="L10:L12"/>
    <mergeCell ref="M10:M12"/>
    <mergeCell ref="N10:N12"/>
    <mergeCell ref="O10:O12"/>
    <mergeCell ref="C15:C16"/>
    <mergeCell ref="K15:K16"/>
    <mergeCell ref="L15:L16"/>
    <mergeCell ref="M15:M16"/>
    <mergeCell ref="N15:N16"/>
  </mergeCells>
  <conditionalFormatting sqref="M17:N17">
    <cfRule type="cellIs" dxfId="5" priority="1" operator="lessThan">
      <formula>$J$17</formula>
    </cfRule>
    <cfRule type="cellIs" dxfId="4" priority="2" operator="greaterThan">
      <formula>$J$17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27">
    <tabColor rgb="FF7030A0"/>
  </sheetPr>
  <dimension ref="A1:O32"/>
  <sheetViews>
    <sheetView zoomScale="97" workbookViewId="0">
      <selection activeCell="H14" sqref="H14"/>
    </sheetView>
  </sheetViews>
  <sheetFormatPr baseColWidth="10" defaultColWidth="11.42578125" defaultRowHeight="15" x14ac:dyDescent="0.25"/>
  <cols>
    <col min="3" max="3" width="26" bestFit="1" customWidth="1"/>
    <col min="4" max="4" width="13" bestFit="1" customWidth="1"/>
    <col min="8" max="8" width="14.5703125" bestFit="1" customWidth="1"/>
    <col min="14" max="14" width="11.85546875" bestFit="1" customWidth="1"/>
  </cols>
  <sheetData>
    <row r="1" spans="1:15" x14ac:dyDescent="0.25">
      <c r="A1" s="20" t="s">
        <v>82</v>
      </c>
      <c r="B1" s="21">
        <v>8149</v>
      </c>
      <c r="O1" s="22"/>
    </row>
    <row r="2" spans="1:15" x14ac:dyDescent="0.25">
      <c r="C2" s="23" t="s">
        <v>161</v>
      </c>
      <c r="E2" s="23"/>
      <c r="G2" s="24"/>
      <c r="O2" s="23"/>
    </row>
    <row r="3" spans="1:15" ht="75" x14ac:dyDescent="0.25">
      <c r="A3" s="12" t="s">
        <v>84</v>
      </c>
      <c r="B3" s="12" t="s">
        <v>85</v>
      </c>
      <c r="C3" s="12" t="s">
        <v>86</v>
      </c>
      <c r="D3" s="12" t="s">
        <v>87</v>
      </c>
      <c r="E3" s="12" t="s">
        <v>88</v>
      </c>
      <c r="F3" s="12" t="s">
        <v>89</v>
      </c>
      <c r="G3" s="12" t="s">
        <v>90</v>
      </c>
      <c r="H3" s="13" t="s">
        <v>91</v>
      </c>
      <c r="I3" s="13" t="s">
        <v>92</v>
      </c>
      <c r="J3" s="13" t="s">
        <v>93</v>
      </c>
      <c r="K3" s="13" t="s">
        <v>94</v>
      </c>
      <c r="L3" s="12" t="s">
        <v>95</v>
      </c>
      <c r="M3" s="12" t="s">
        <v>96</v>
      </c>
      <c r="N3" s="12" t="s">
        <v>97</v>
      </c>
      <c r="O3" s="12" t="s">
        <v>98</v>
      </c>
    </row>
    <row r="4" spans="1:15" x14ac:dyDescent="0.25">
      <c r="A4" s="61" t="s">
        <v>180</v>
      </c>
      <c r="B4" s="61" t="s">
        <v>39</v>
      </c>
      <c r="C4" s="61" t="s">
        <v>100</v>
      </c>
      <c r="D4" s="61" t="s">
        <v>22</v>
      </c>
      <c r="E4" s="61">
        <v>1</v>
      </c>
      <c r="F4" s="61">
        <v>4</v>
      </c>
      <c r="G4" s="68">
        <v>7</v>
      </c>
      <c r="H4" s="25">
        <v>150</v>
      </c>
      <c r="I4" s="26">
        <f t="shared" ref="I4:I16" si="0">(E4*G4)/(F4*H4)</f>
        <v>1.1666666666666667E-2</v>
      </c>
      <c r="J4" s="27">
        <f t="shared" ref="J4:J16" si="1">(ROUNDUP($E4*$B$1/($F4*H4),0))</f>
        <v>14</v>
      </c>
      <c r="K4" s="14">
        <f>SUM(J4)</f>
        <v>14</v>
      </c>
      <c r="L4" s="31">
        <f>N4*G4</f>
        <v>70</v>
      </c>
      <c r="M4" s="73">
        <f>L4/$B$1</f>
        <v>8.5900110442999143E-3</v>
      </c>
      <c r="N4" s="48">
        <f>SUMIFS('Tableau plaquette complet'!F:F,'Tableau plaquette complet'!G:G,"HESSAPP",'Tableau plaquette complet'!H:H,"OP 10",'Tableau plaquette complet'!J:J,"302x26 RPI",'Tableau plaquette complet'!B:B,"Z000 546 265")</f>
        <v>10</v>
      </c>
      <c r="O4" s="38">
        <f>-(K4-N4)</f>
        <v>-4</v>
      </c>
    </row>
    <row r="5" spans="1:15" x14ac:dyDescent="0.25">
      <c r="A5" s="61" t="s">
        <v>181</v>
      </c>
      <c r="B5" s="61" t="s">
        <v>39</v>
      </c>
      <c r="C5" s="178" t="s">
        <v>104</v>
      </c>
      <c r="D5" s="61" t="s">
        <v>23</v>
      </c>
      <c r="E5" s="61">
        <v>1</v>
      </c>
      <c r="F5" s="61">
        <v>8</v>
      </c>
      <c r="G5" s="68">
        <v>7.12</v>
      </c>
      <c r="H5" s="25">
        <v>150</v>
      </c>
      <c r="I5" s="26">
        <f t="shared" si="0"/>
        <v>5.933333333333333E-3</v>
      </c>
      <c r="J5" s="27">
        <f t="shared" si="1"/>
        <v>7</v>
      </c>
      <c r="K5" s="167">
        <f>SUM(J5:J6)</f>
        <v>14</v>
      </c>
      <c r="L5" s="195">
        <f>N5*G5</f>
        <v>284.8</v>
      </c>
      <c r="M5" s="214">
        <f>L5/$B$1</f>
        <v>3.4949073505951653E-2</v>
      </c>
      <c r="N5" s="147">
        <f>SUMIFS('Tableau plaquette complet'!F:F,'Tableau plaquette complet'!G:G,"HESSAPP",'Tableau plaquette complet'!H:H,"OP 10",'Tableau plaquette complet'!J:J,"302x26 RPI",'Tableau plaquette complet'!B:B,"Z000 546 266")</f>
        <v>40</v>
      </c>
      <c r="O5" s="176">
        <f>-(K5-N5)</f>
        <v>26</v>
      </c>
    </row>
    <row r="6" spans="1:15" x14ac:dyDescent="0.25">
      <c r="A6" s="61" t="s">
        <v>182</v>
      </c>
      <c r="B6" s="61" t="s">
        <v>39</v>
      </c>
      <c r="C6" s="179"/>
      <c r="D6" s="61" t="s">
        <v>23</v>
      </c>
      <c r="E6" s="61">
        <v>1</v>
      </c>
      <c r="F6" s="61">
        <v>8</v>
      </c>
      <c r="G6" s="68">
        <v>7.12</v>
      </c>
      <c r="H6" s="25">
        <v>150</v>
      </c>
      <c r="I6" s="26">
        <f t="shared" si="0"/>
        <v>5.933333333333333E-3</v>
      </c>
      <c r="J6" s="27">
        <f t="shared" si="1"/>
        <v>7</v>
      </c>
      <c r="K6" s="169"/>
      <c r="L6" s="196"/>
      <c r="M6" s="215"/>
      <c r="N6" s="149"/>
      <c r="O6" s="177"/>
    </row>
    <row r="7" spans="1:15" x14ac:dyDescent="0.25">
      <c r="A7" s="55" t="s">
        <v>183</v>
      </c>
      <c r="B7" s="55" t="s">
        <v>33</v>
      </c>
      <c r="C7" s="55" t="s">
        <v>100</v>
      </c>
      <c r="D7" s="55" t="s">
        <v>22</v>
      </c>
      <c r="E7" s="55">
        <v>1</v>
      </c>
      <c r="F7" s="55">
        <v>4</v>
      </c>
      <c r="G7" s="56">
        <v>7</v>
      </c>
      <c r="H7" s="25">
        <v>500</v>
      </c>
      <c r="I7" s="26">
        <f t="shared" si="0"/>
        <v>3.5000000000000001E-3</v>
      </c>
      <c r="J7" s="27">
        <f t="shared" si="1"/>
        <v>5</v>
      </c>
      <c r="K7" s="14">
        <f>SUM(J7)</f>
        <v>5</v>
      </c>
      <c r="L7" s="51">
        <f>N7*G7</f>
        <v>560</v>
      </c>
      <c r="M7" s="75">
        <f>L7/$B$1</f>
        <v>6.8720088354399314E-2</v>
      </c>
      <c r="N7" s="50">
        <f>SUMIFS('Tableau plaquette complet'!F:F,'Tableau plaquette complet'!G:G,"HESSAPP",'Tableau plaquette complet'!H:H,"OP 15",'Tableau plaquette complet'!J:J,"302x26 RPI",'Tableau plaquette complet'!B:B,"Z000 546 265")</f>
        <v>80</v>
      </c>
      <c r="O7" s="52">
        <f>-(K7-N7)</f>
        <v>75</v>
      </c>
    </row>
    <row r="8" spans="1:15" x14ac:dyDescent="0.25">
      <c r="A8" s="55" t="s">
        <v>181</v>
      </c>
      <c r="B8" s="55" t="s">
        <v>33</v>
      </c>
      <c r="C8" s="55" t="s">
        <v>113</v>
      </c>
      <c r="D8" s="55" t="s">
        <v>25</v>
      </c>
      <c r="E8" s="55">
        <v>1</v>
      </c>
      <c r="F8" s="55">
        <v>2</v>
      </c>
      <c r="G8" s="56">
        <v>10.85</v>
      </c>
      <c r="H8" s="25">
        <v>200</v>
      </c>
      <c r="I8" s="26">
        <f t="shared" si="0"/>
        <v>2.7125E-2</v>
      </c>
      <c r="J8" s="27">
        <f t="shared" si="1"/>
        <v>21</v>
      </c>
      <c r="K8" s="14">
        <f>SUM(J8)</f>
        <v>21</v>
      </c>
      <c r="L8" s="51">
        <f>N8*G8</f>
        <v>542.5</v>
      </c>
      <c r="M8" s="75">
        <f>L8/$B$1</f>
        <v>6.6572585593324338E-2</v>
      </c>
      <c r="N8" s="50">
        <f>SUMIFS('Tableau plaquette complet'!F:F,'Tableau plaquette complet'!G:G,"HESSAPP",'Tableau plaquette complet'!H:H,"OP 15",'Tableau plaquette complet'!J:J,"302x26 RPI",'Tableau plaquette complet'!B:B,"Z000 522 436")</f>
        <v>50</v>
      </c>
      <c r="O8" s="52">
        <f>-(K8-N8)</f>
        <v>29</v>
      </c>
    </row>
    <row r="9" spans="1:15" x14ac:dyDescent="0.25">
      <c r="A9" s="55" t="s">
        <v>186</v>
      </c>
      <c r="B9" s="55" t="s">
        <v>33</v>
      </c>
      <c r="C9" s="72" t="s">
        <v>104</v>
      </c>
      <c r="D9" s="55" t="s">
        <v>23</v>
      </c>
      <c r="E9" s="55">
        <v>1</v>
      </c>
      <c r="F9" s="55">
        <v>8</v>
      </c>
      <c r="G9" s="56">
        <v>7.12</v>
      </c>
      <c r="H9" s="25">
        <v>500</v>
      </c>
      <c r="I9" s="26">
        <f t="shared" si="0"/>
        <v>1.7800000000000001E-3</v>
      </c>
      <c r="J9" s="27">
        <f t="shared" si="1"/>
        <v>3</v>
      </c>
      <c r="K9" s="54">
        <f>SUM(J9:J9)</f>
        <v>3</v>
      </c>
      <c r="L9" s="51">
        <f>N9*G9</f>
        <v>71.2</v>
      </c>
      <c r="M9" s="80">
        <f>L9/$B$1</f>
        <v>8.7372683764879132E-3</v>
      </c>
      <c r="N9" s="50">
        <f>SUMIFS('Tableau plaquette complet'!F:F,'Tableau plaquette complet'!G:G,"HESSAPP",'Tableau plaquette complet'!H:H,"OP 15",'Tableau plaquette complet'!J:J,"302x26 RPI",'Tableau plaquette complet'!B:B,"Z000 546 266")</f>
        <v>10</v>
      </c>
      <c r="O9" s="70">
        <f>-(K9-N9)</f>
        <v>7</v>
      </c>
    </row>
    <row r="10" spans="1:15" x14ac:dyDescent="0.25">
      <c r="A10" s="61" t="s">
        <v>187</v>
      </c>
      <c r="B10" s="61" t="s">
        <v>14</v>
      </c>
      <c r="C10" s="117" t="s">
        <v>104</v>
      </c>
      <c r="D10" s="61" t="s">
        <v>23</v>
      </c>
      <c r="E10" s="61">
        <v>1</v>
      </c>
      <c r="F10" s="61">
        <v>8</v>
      </c>
      <c r="G10" s="68">
        <v>7.12</v>
      </c>
      <c r="H10" s="28">
        <v>1000</v>
      </c>
      <c r="I10" s="26">
        <f t="shared" si="0"/>
        <v>8.9000000000000006E-4</v>
      </c>
      <c r="J10" s="27">
        <f t="shared" si="1"/>
        <v>2</v>
      </c>
      <c r="K10" s="14">
        <f>SUM(J10,J10)</f>
        <v>4</v>
      </c>
      <c r="L10" s="31">
        <f>N10*G10</f>
        <v>142.4</v>
      </c>
      <c r="M10" s="37">
        <f>L10/$B$1</f>
        <v>1.7474536752975826E-2</v>
      </c>
      <c r="N10" s="48">
        <f>SUMIFS('Tableau plaquette complet'!F:F,'Tableau plaquette complet'!G:G,"HESSAPP",'Tableau plaquette complet'!H:H,"OP 20",'Tableau plaquette complet'!J:J,"302x26 RPI",'Tableau plaquette complet'!B:B,"Z000 546 266")</f>
        <v>20</v>
      </c>
      <c r="O10" s="47">
        <f>-(K10-N10)</f>
        <v>16</v>
      </c>
    </row>
    <row r="11" spans="1:15" x14ac:dyDescent="0.25">
      <c r="A11" s="61" t="s">
        <v>181</v>
      </c>
      <c r="B11" s="61" t="s">
        <v>14</v>
      </c>
      <c r="C11" s="115" t="s">
        <v>248</v>
      </c>
      <c r="D11" s="61" t="s">
        <v>240</v>
      </c>
      <c r="E11" s="61">
        <v>1</v>
      </c>
      <c r="F11" s="61">
        <v>8</v>
      </c>
      <c r="G11" s="68">
        <v>7.96</v>
      </c>
      <c r="H11" s="28">
        <v>200</v>
      </c>
      <c r="I11" s="26">
        <f t="shared" si="0"/>
        <v>4.9750000000000003E-3</v>
      </c>
      <c r="J11" s="27">
        <f t="shared" si="1"/>
        <v>6</v>
      </c>
      <c r="K11" s="170">
        <f>SUM(J11:J12)</f>
        <v>12</v>
      </c>
      <c r="L11" s="195">
        <f t="shared" ref="L11" si="2">N11*G11</f>
        <v>318.39999999999998</v>
      </c>
      <c r="M11" s="210">
        <f>L11/$B$1</f>
        <v>3.9072278807215609E-2</v>
      </c>
      <c r="N11" s="207">
        <f>SUMIFS('Tableau plaquette complet'!F:F,'Tableau plaquette complet'!G:G,"HESSAPP",'Tableau plaquette complet'!H:H,"OP 20",'Tableau plaquette complet'!J:J,"302x26 RPI",'Tableau plaquette complet'!B:B,"IM02 137 021")</f>
        <v>40</v>
      </c>
      <c r="O11" s="153">
        <f t="shared" ref="O11" si="3">-(K11-N11)</f>
        <v>28</v>
      </c>
    </row>
    <row r="12" spans="1:15" x14ac:dyDescent="0.25">
      <c r="A12" s="61" t="s">
        <v>180</v>
      </c>
      <c r="B12" s="61" t="s">
        <v>14</v>
      </c>
      <c r="C12" s="115" t="s">
        <v>248</v>
      </c>
      <c r="D12" s="61" t="s">
        <v>240</v>
      </c>
      <c r="E12" s="61">
        <v>1</v>
      </c>
      <c r="F12" s="61">
        <v>8</v>
      </c>
      <c r="G12" s="68">
        <v>7.96</v>
      </c>
      <c r="H12" s="28">
        <v>200</v>
      </c>
      <c r="I12" s="26">
        <f t="shared" si="0"/>
        <v>4.9750000000000003E-3</v>
      </c>
      <c r="J12" s="27">
        <f t="shared" si="1"/>
        <v>6</v>
      </c>
      <c r="K12" s="170"/>
      <c r="L12" s="196"/>
      <c r="M12" s="210"/>
      <c r="N12" s="207"/>
      <c r="O12" s="155"/>
    </row>
    <row r="13" spans="1:15" x14ac:dyDescent="0.25">
      <c r="A13" s="61" t="s">
        <v>182</v>
      </c>
      <c r="B13" s="61" t="s">
        <v>14</v>
      </c>
      <c r="C13" s="61" t="s">
        <v>188</v>
      </c>
      <c r="D13" s="61" t="s">
        <v>35</v>
      </c>
      <c r="E13" s="61">
        <v>1</v>
      </c>
      <c r="F13" s="61">
        <v>6</v>
      </c>
      <c r="G13" s="68">
        <v>11.87</v>
      </c>
      <c r="H13" s="28">
        <v>200</v>
      </c>
      <c r="I13" s="26">
        <f t="shared" si="0"/>
        <v>9.8916666666666667E-3</v>
      </c>
      <c r="J13" s="27">
        <f t="shared" si="1"/>
        <v>7</v>
      </c>
      <c r="K13" s="14">
        <f>SUM(J13)</f>
        <v>7</v>
      </c>
      <c r="L13" s="31">
        <f>N13*G13</f>
        <v>0</v>
      </c>
      <c r="M13" s="37">
        <f t="shared" ref="M13:M15" si="4">L13/$B$1</f>
        <v>0</v>
      </c>
      <c r="N13" s="48">
        <f>SUMIFS('Tableau plaquette complet'!F:F,'Tableau plaquette complet'!G:G,"HESSAPP",'Tableau plaquette complet'!H:H,"OP 20",'Tableau plaquette complet'!J:J,"302x26 RPI",'Tableau plaquette complet'!B:B,"Z000 519 285")</f>
        <v>0</v>
      </c>
      <c r="O13" s="38">
        <f t="shared" ref="O13:O15" si="5">-(K13-N13)</f>
        <v>-7</v>
      </c>
    </row>
    <row r="14" spans="1:15" x14ac:dyDescent="0.25">
      <c r="A14" s="55" t="s">
        <v>181</v>
      </c>
      <c r="B14" s="55" t="s">
        <v>38</v>
      </c>
      <c r="C14" s="55" t="s">
        <v>100</v>
      </c>
      <c r="D14" s="55" t="s">
        <v>22</v>
      </c>
      <c r="E14" s="55">
        <v>1</v>
      </c>
      <c r="F14" s="55">
        <v>4</v>
      </c>
      <c r="G14" s="56">
        <v>7</v>
      </c>
      <c r="H14" s="28">
        <v>300</v>
      </c>
      <c r="I14" s="26">
        <f t="shared" si="0"/>
        <v>5.8333333333333336E-3</v>
      </c>
      <c r="J14" s="27">
        <f t="shared" si="1"/>
        <v>7</v>
      </c>
      <c r="K14" s="14">
        <f>SUM(J14:J14)</f>
        <v>7</v>
      </c>
      <c r="L14" s="51">
        <f>N14*G14</f>
        <v>210</v>
      </c>
      <c r="M14" s="53">
        <f t="shared" si="4"/>
        <v>2.5770033132899741E-2</v>
      </c>
      <c r="N14" s="50">
        <f>SUMIFS('Tableau plaquette complet'!F:F,'Tableau plaquette complet'!G:G,"HESSAPP",'Tableau plaquette complet'!H:H,"OP 30",'Tableau plaquette complet'!J:J,"302x26 RPI",'Tableau plaquette complet'!B:B,"Z000 546 265")</f>
        <v>30</v>
      </c>
      <c r="O14" s="52">
        <f t="shared" si="5"/>
        <v>23</v>
      </c>
    </row>
    <row r="15" spans="1:15" x14ac:dyDescent="0.25">
      <c r="A15" s="55" t="s">
        <v>184</v>
      </c>
      <c r="B15" s="55" t="s">
        <v>38</v>
      </c>
      <c r="C15" s="162" t="s">
        <v>191</v>
      </c>
      <c r="D15" s="81" t="s">
        <v>17</v>
      </c>
      <c r="E15" s="55">
        <v>1</v>
      </c>
      <c r="F15" s="55">
        <v>8</v>
      </c>
      <c r="G15" s="81">
        <v>9.56</v>
      </c>
      <c r="H15" s="28">
        <v>50</v>
      </c>
      <c r="I15" s="26">
        <f t="shared" si="0"/>
        <v>2.3900000000000001E-2</v>
      </c>
      <c r="J15" s="27">
        <f t="shared" si="1"/>
        <v>21</v>
      </c>
      <c r="K15" s="167">
        <f>SUM(J15:J16)</f>
        <v>42</v>
      </c>
      <c r="L15" s="216">
        <f>N15*G15</f>
        <v>334.6</v>
      </c>
      <c r="M15" s="159">
        <f t="shared" si="4"/>
        <v>4.1060252791753592E-2</v>
      </c>
      <c r="N15" s="162">
        <f>SUMIFS('Tableau plaquette complet'!F:F,'Tableau plaquette complet'!G:G,"HESSAPP",'Tableau plaquette complet'!H:H,"OP 30",'Tableau plaquette complet'!J:J,"302x26 RPI",'Tableau plaquette complet'!B:B,"Z000 513 527")</f>
        <v>35</v>
      </c>
      <c r="O15" s="156">
        <f t="shared" si="5"/>
        <v>-7</v>
      </c>
    </row>
    <row r="16" spans="1:15" ht="15.75" thickBot="1" x14ac:dyDescent="0.3">
      <c r="A16" s="55" t="s">
        <v>186</v>
      </c>
      <c r="B16" s="55" t="s">
        <v>38</v>
      </c>
      <c r="C16" s="164"/>
      <c r="D16" s="81" t="s">
        <v>17</v>
      </c>
      <c r="E16" s="55">
        <v>1</v>
      </c>
      <c r="F16" s="55">
        <v>8</v>
      </c>
      <c r="G16" s="81">
        <v>9.56</v>
      </c>
      <c r="H16" s="28">
        <v>50</v>
      </c>
      <c r="I16" s="26">
        <f t="shared" si="0"/>
        <v>2.3900000000000001E-2</v>
      </c>
      <c r="J16" s="27">
        <f t="shared" si="1"/>
        <v>21</v>
      </c>
      <c r="K16" s="169"/>
      <c r="L16" s="217"/>
      <c r="M16" s="161"/>
      <c r="N16" s="164"/>
      <c r="O16" s="158"/>
    </row>
    <row r="17" spans="8:14" ht="15.75" thickBot="1" x14ac:dyDescent="0.3">
      <c r="I17" s="16">
        <f>SUM(I4:I16)</f>
        <v>0.13030333333333333</v>
      </c>
      <c r="J17" s="17">
        <f>SUM(J4:J16)</f>
        <v>127</v>
      </c>
      <c r="K17" s="29"/>
      <c r="L17" s="29"/>
      <c r="M17" s="41">
        <f>SUM(M4:M16)</f>
        <v>0.31094612835930791</v>
      </c>
      <c r="N17" s="42">
        <f>SUM(N4:N16)</f>
        <v>315</v>
      </c>
    </row>
    <row r="18" spans="8:14" x14ac:dyDescent="0.25">
      <c r="I18" s="19">
        <f>B1*I17</f>
        <v>1061.8418633333333</v>
      </c>
      <c r="M18" s="30">
        <f>B1*M17</f>
        <v>2533.9</v>
      </c>
    </row>
    <row r="21" spans="8:14" x14ac:dyDescent="0.25">
      <c r="H21" t="s">
        <v>124</v>
      </c>
      <c r="I21" t="s">
        <v>93</v>
      </c>
    </row>
    <row r="22" spans="8:14" x14ac:dyDescent="0.25">
      <c r="H22" t="s">
        <v>36</v>
      </c>
      <c r="I22">
        <f>SUMIF($D$4:$D$16,TRIM(H22),$J$4:$J$16)</f>
        <v>0</v>
      </c>
    </row>
    <row r="23" spans="8:14" x14ac:dyDescent="0.25">
      <c r="H23" t="s">
        <v>25</v>
      </c>
      <c r="I23">
        <f t="shared" ref="I23:I31" si="6">SUMIF($D$4:$D$16,TRIM(H23),$J$4:$J$16)</f>
        <v>21</v>
      </c>
    </row>
    <row r="24" spans="8:14" x14ac:dyDescent="0.25">
      <c r="H24" t="s">
        <v>22</v>
      </c>
      <c r="I24">
        <f t="shared" si="6"/>
        <v>26</v>
      </c>
    </row>
    <row r="25" spans="8:14" x14ac:dyDescent="0.25">
      <c r="H25" t="s">
        <v>12</v>
      </c>
      <c r="I25">
        <f t="shared" si="6"/>
        <v>0</v>
      </c>
    </row>
    <row r="26" spans="8:14" x14ac:dyDescent="0.25">
      <c r="H26" t="s">
        <v>23</v>
      </c>
      <c r="I26">
        <f t="shared" si="6"/>
        <v>19</v>
      </c>
    </row>
    <row r="27" spans="8:14" x14ac:dyDescent="0.25">
      <c r="H27" t="s">
        <v>120</v>
      </c>
      <c r="I27">
        <f t="shared" si="6"/>
        <v>0</v>
      </c>
    </row>
    <row r="28" spans="8:14" x14ac:dyDescent="0.25">
      <c r="H28" t="s">
        <v>17</v>
      </c>
      <c r="I28">
        <f t="shared" si="6"/>
        <v>42</v>
      </c>
    </row>
    <row r="29" spans="8:14" x14ac:dyDescent="0.25">
      <c r="H29" t="s">
        <v>35</v>
      </c>
      <c r="I29">
        <f t="shared" si="6"/>
        <v>7</v>
      </c>
    </row>
    <row r="30" spans="8:14" x14ac:dyDescent="0.25">
      <c r="H30" t="s">
        <v>41</v>
      </c>
      <c r="I30">
        <f t="shared" si="6"/>
        <v>0</v>
      </c>
    </row>
    <row r="31" spans="8:14" x14ac:dyDescent="0.25">
      <c r="H31" t="s">
        <v>143</v>
      </c>
      <c r="I31">
        <f t="shared" si="6"/>
        <v>0</v>
      </c>
    </row>
    <row r="32" spans="8:14" x14ac:dyDescent="0.25">
      <c r="H32" t="s">
        <v>240</v>
      </c>
      <c r="I32">
        <f>SUMIF($D$4:$D$16,TRIM(H32),$J$4:$J$16)</f>
        <v>12</v>
      </c>
    </row>
  </sheetData>
  <mergeCells count="17">
    <mergeCell ref="O5:O6"/>
    <mergeCell ref="C5:C6"/>
    <mergeCell ref="K5:K6"/>
    <mergeCell ref="L5:L6"/>
    <mergeCell ref="M5:M6"/>
    <mergeCell ref="N5:N6"/>
    <mergeCell ref="O11:O12"/>
    <mergeCell ref="O15:O16"/>
    <mergeCell ref="C15:C16"/>
    <mergeCell ref="K15:K16"/>
    <mergeCell ref="L15:L16"/>
    <mergeCell ref="M15:M16"/>
    <mergeCell ref="N15:N16"/>
    <mergeCell ref="K11:K12"/>
    <mergeCell ref="L11:L12"/>
    <mergeCell ref="M11:M12"/>
    <mergeCell ref="N11:N12"/>
  </mergeCells>
  <phoneticPr fontId="10" type="noConversion"/>
  <conditionalFormatting sqref="M17">
    <cfRule type="cellIs" dxfId="3" priority="3" operator="lessThan">
      <formula>$I$17</formula>
    </cfRule>
    <cfRule type="cellIs" dxfId="2" priority="4" operator="greaterThan">
      <formula>$I$17</formula>
    </cfRule>
  </conditionalFormatting>
  <conditionalFormatting sqref="N17">
    <cfRule type="cellIs" dxfId="1" priority="1" operator="greaterThan">
      <formula>$J$17</formula>
    </cfRule>
    <cfRule type="cellIs" dxfId="0" priority="2" operator="lessThan">
      <formula>$J$17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17">
    <tabColor rgb="FF7030A0"/>
  </sheetPr>
  <dimension ref="A1:C49"/>
  <sheetViews>
    <sheetView topLeftCell="A3" workbookViewId="0">
      <selection activeCell="B36" sqref="B36"/>
    </sheetView>
  </sheetViews>
  <sheetFormatPr baseColWidth="10" defaultColWidth="11.42578125" defaultRowHeight="15" x14ac:dyDescent="0.25"/>
  <cols>
    <col min="2" max="2" width="14.28515625" bestFit="1" customWidth="1"/>
  </cols>
  <sheetData>
    <row r="1" spans="1:3" x14ac:dyDescent="0.25">
      <c r="A1" s="10" t="s">
        <v>166</v>
      </c>
      <c r="B1" s="33" t="s">
        <v>167</v>
      </c>
      <c r="C1" s="33" t="s">
        <v>82</v>
      </c>
    </row>
    <row r="2" spans="1:3" x14ac:dyDescent="0.25">
      <c r="A2" s="4">
        <v>2</v>
      </c>
      <c r="B2" s="35">
        <v>2031.6</v>
      </c>
      <c r="C2" s="4">
        <v>9131</v>
      </c>
    </row>
    <row r="3" spans="1:3" x14ac:dyDescent="0.25">
      <c r="A3" s="4">
        <v>3</v>
      </c>
      <c r="B3" s="35">
        <v>1996.2</v>
      </c>
      <c r="C3" s="4">
        <v>10849</v>
      </c>
    </row>
    <row r="4" spans="1:3" x14ac:dyDescent="0.25">
      <c r="A4" s="4">
        <v>4</v>
      </c>
      <c r="B4" s="35">
        <v>2137.4</v>
      </c>
      <c r="C4" s="4">
        <v>11226</v>
      </c>
    </row>
    <row r="5" spans="1:3" x14ac:dyDescent="0.25">
      <c r="A5" s="4">
        <v>5</v>
      </c>
      <c r="B5" s="35">
        <v>2957.5</v>
      </c>
      <c r="C5" s="23">
        <v>15780</v>
      </c>
    </row>
    <row r="6" spans="1:3" x14ac:dyDescent="0.25">
      <c r="A6" s="4">
        <v>6</v>
      </c>
      <c r="B6" s="35">
        <v>2694.9</v>
      </c>
      <c r="C6" s="23">
        <v>14337</v>
      </c>
    </row>
    <row r="7" spans="1:3" x14ac:dyDescent="0.25">
      <c r="A7" s="4">
        <v>7</v>
      </c>
      <c r="B7" s="35">
        <v>2655.4</v>
      </c>
      <c r="C7" s="23">
        <v>15197</v>
      </c>
    </row>
    <row r="8" spans="1:3" x14ac:dyDescent="0.25">
      <c r="A8" s="4">
        <v>8</v>
      </c>
      <c r="B8" s="35">
        <v>2262.1999999999998</v>
      </c>
      <c r="C8" s="23">
        <v>12626</v>
      </c>
    </row>
    <row r="9" spans="1:3" x14ac:dyDescent="0.25">
      <c r="A9" s="4">
        <v>9</v>
      </c>
      <c r="B9" s="35">
        <v>2232.4</v>
      </c>
      <c r="C9" s="23">
        <v>11270</v>
      </c>
    </row>
    <row r="10" spans="1:3" x14ac:dyDescent="0.25">
      <c r="A10" s="4">
        <v>10</v>
      </c>
      <c r="B10" s="35">
        <v>2157.1</v>
      </c>
      <c r="C10" s="23">
        <v>11328</v>
      </c>
    </row>
    <row r="11" spans="1:3" x14ac:dyDescent="0.25">
      <c r="A11" s="4">
        <v>11</v>
      </c>
      <c r="B11" s="35">
        <v>2578.3000000000002</v>
      </c>
      <c r="C11" s="23">
        <v>13377</v>
      </c>
    </row>
    <row r="12" spans="1:3" x14ac:dyDescent="0.25">
      <c r="A12" s="4">
        <v>12</v>
      </c>
      <c r="B12" s="35">
        <v>1778.7</v>
      </c>
      <c r="C12" s="4">
        <v>11220</v>
      </c>
    </row>
    <row r="13" spans="1:3" x14ac:dyDescent="0.25">
      <c r="A13" s="4">
        <v>13</v>
      </c>
      <c r="B13" s="35">
        <v>2493.4</v>
      </c>
      <c r="C13" s="23">
        <v>10858</v>
      </c>
    </row>
    <row r="14" spans="1:3" x14ac:dyDescent="0.25">
      <c r="A14" s="4">
        <v>14</v>
      </c>
      <c r="B14" s="35">
        <v>2205</v>
      </c>
      <c r="C14" s="23">
        <v>10395</v>
      </c>
    </row>
    <row r="15" spans="1:3" x14ac:dyDescent="0.25">
      <c r="A15" s="4">
        <v>15</v>
      </c>
      <c r="B15" s="35">
        <v>1967</v>
      </c>
      <c r="C15" s="23">
        <v>11106</v>
      </c>
    </row>
    <row r="16" spans="1:3" x14ac:dyDescent="0.25">
      <c r="A16" s="4">
        <v>16</v>
      </c>
      <c r="B16" s="35">
        <v>1766.3</v>
      </c>
      <c r="C16" s="23">
        <v>7839</v>
      </c>
    </row>
    <row r="17" spans="1:3" x14ac:dyDescent="0.25">
      <c r="A17" s="4">
        <v>17</v>
      </c>
      <c r="B17" s="35">
        <v>2184</v>
      </c>
      <c r="C17" s="23">
        <v>8350</v>
      </c>
    </row>
    <row r="18" spans="1:3" x14ac:dyDescent="0.25">
      <c r="A18" s="4">
        <v>18</v>
      </c>
      <c r="B18" s="35">
        <v>1687.2</v>
      </c>
      <c r="C18" s="23">
        <v>8529</v>
      </c>
    </row>
    <row r="19" spans="1:3" x14ac:dyDescent="0.25">
      <c r="A19" s="4">
        <v>19</v>
      </c>
      <c r="B19" s="35">
        <v>1649.4</v>
      </c>
      <c r="C19" s="23">
        <v>7623</v>
      </c>
    </row>
    <row r="20" spans="1:3" x14ac:dyDescent="0.25">
      <c r="A20" s="4">
        <v>20</v>
      </c>
      <c r="B20" s="35">
        <v>1694.1</v>
      </c>
      <c r="C20" s="23">
        <v>6946</v>
      </c>
    </row>
    <row r="21" spans="1:3" x14ac:dyDescent="0.25">
      <c r="A21" s="4">
        <v>21</v>
      </c>
      <c r="B21" s="35">
        <v>2290.3000000000002</v>
      </c>
      <c r="C21" s="23">
        <v>8633</v>
      </c>
    </row>
    <row r="22" spans="1:3" x14ac:dyDescent="0.25">
      <c r="A22" s="4">
        <v>22</v>
      </c>
      <c r="B22" s="35">
        <v>1153.7</v>
      </c>
      <c r="C22" s="23">
        <v>6483</v>
      </c>
    </row>
    <row r="23" spans="1:3" x14ac:dyDescent="0.25">
      <c r="A23" s="4">
        <v>23</v>
      </c>
      <c r="B23" s="35">
        <v>1047.8</v>
      </c>
      <c r="C23" s="23">
        <v>3905</v>
      </c>
    </row>
    <row r="24" spans="1:3" x14ac:dyDescent="0.25">
      <c r="A24" s="4">
        <v>24</v>
      </c>
      <c r="B24" s="35">
        <v>1198.7</v>
      </c>
      <c r="C24" s="23">
        <v>7300</v>
      </c>
    </row>
    <row r="25" spans="1:3" x14ac:dyDescent="0.25">
      <c r="A25" s="4">
        <v>25</v>
      </c>
      <c r="B25" s="35">
        <v>1436.3</v>
      </c>
      <c r="C25" s="23">
        <v>9025</v>
      </c>
    </row>
    <row r="26" spans="1:3" x14ac:dyDescent="0.25">
      <c r="A26" s="4">
        <v>26</v>
      </c>
      <c r="B26" s="35">
        <v>1743.1</v>
      </c>
      <c r="C26" s="23">
        <v>5847</v>
      </c>
    </row>
    <row r="27" spans="1:3" x14ac:dyDescent="0.25">
      <c r="A27" s="4">
        <v>27</v>
      </c>
      <c r="B27" s="35">
        <v>1485.1</v>
      </c>
      <c r="C27" s="23">
        <v>8442</v>
      </c>
    </row>
    <row r="28" spans="1:3" x14ac:dyDescent="0.25">
      <c r="A28" s="4">
        <v>28</v>
      </c>
      <c r="B28" s="35">
        <v>1421</v>
      </c>
      <c r="C28" s="23">
        <v>8600</v>
      </c>
    </row>
    <row r="29" spans="1:3" x14ac:dyDescent="0.25">
      <c r="A29" s="4">
        <v>29</v>
      </c>
      <c r="B29" s="35">
        <v>1291.5</v>
      </c>
      <c r="C29" s="23">
        <v>5945</v>
      </c>
    </row>
    <row r="30" spans="1:3" x14ac:dyDescent="0.25">
      <c r="A30" s="4">
        <v>30</v>
      </c>
      <c r="B30" s="35">
        <v>2307.6</v>
      </c>
      <c r="C30" s="23">
        <v>12611</v>
      </c>
    </row>
    <row r="31" spans="1:3" x14ac:dyDescent="0.25">
      <c r="A31" s="4">
        <v>34</v>
      </c>
      <c r="B31" s="35">
        <v>947.9</v>
      </c>
      <c r="C31" s="23">
        <v>4633</v>
      </c>
    </row>
    <row r="32" spans="1:3" x14ac:dyDescent="0.25">
      <c r="A32" s="4">
        <v>35</v>
      </c>
      <c r="B32" s="35">
        <v>1081.0999999999999</v>
      </c>
      <c r="C32" s="23">
        <v>5763</v>
      </c>
    </row>
    <row r="33" spans="1:3" x14ac:dyDescent="0.25">
      <c r="A33" s="4">
        <v>36</v>
      </c>
      <c r="B33" s="35">
        <v>2646.9</v>
      </c>
      <c r="C33" s="23">
        <v>8768</v>
      </c>
    </row>
    <row r="34" spans="1:3" x14ac:dyDescent="0.25">
      <c r="A34" s="4">
        <v>37</v>
      </c>
      <c r="B34" s="35">
        <v>2149.6999999999998</v>
      </c>
      <c r="C34" s="23">
        <v>7883</v>
      </c>
    </row>
    <row r="35" spans="1:3" x14ac:dyDescent="0.25">
      <c r="A35" s="4">
        <v>38</v>
      </c>
      <c r="B35" s="35">
        <v>2535.5</v>
      </c>
      <c r="C35" s="23">
        <v>8149</v>
      </c>
    </row>
    <row r="36" spans="1:3" x14ac:dyDescent="0.25">
      <c r="A36" s="4">
        <v>39</v>
      </c>
      <c r="B36" s="35"/>
      <c r="C36" s="23"/>
    </row>
    <row r="37" spans="1:3" x14ac:dyDescent="0.25">
      <c r="A37" s="4">
        <v>40</v>
      </c>
      <c r="B37" s="35"/>
      <c r="C37" s="23"/>
    </row>
    <row r="38" spans="1:3" x14ac:dyDescent="0.25">
      <c r="A38" s="4">
        <v>41</v>
      </c>
      <c r="B38" s="35"/>
      <c r="C38" s="23"/>
    </row>
    <row r="39" spans="1:3" x14ac:dyDescent="0.25">
      <c r="A39" s="4">
        <v>42</v>
      </c>
      <c r="B39" s="35"/>
      <c r="C39" s="23"/>
    </row>
    <row r="40" spans="1:3" x14ac:dyDescent="0.25">
      <c r="A40" s="4">
        <v>43</v>
      </c>
      <c r="B40" s="35"/>
      <c r="C40" s="23"/>
    </row>
    <row r="41" spans="1:3" x14ac:dyDescent="0.25">
      <c r="A41" s="4">
        <v>44</v>
      </c>
    </row>
    <row r="42" spans="1:3" x14ac:dyDescent="0.25">
      <c r="A42" s="4">
        <v>45</v>
      </c>
    </row>
    <row r="43" spans="1:3" x14ac:dyDescent="0.25">
      <c r="A43" s="4">
        <v>46</v>
      </c>
    </row>
    <row r="44" spans="1:3" x14ac:dyDescent="0.25">
      <c r="A44" s="4">
        <v>47</v>
      </c>
    </row>
    <row r="45" spans="1:3" x14ac:dyDescent="0.25">
      <c r="A45" s="4">
        <v>48</v>
      </c>
    </row>
    <row r="46" spans="1:3" x14ac:dyDescent="0.25">
      <c r="A46" s="4">
        <v>49</v>
      </c>
    </row>
    <row r="47" spans="1:3" x14ac:dyDescent="0.25">
      <c r="A47" s="4">
        <v>50</v>
      </c>
    </row>
    <row r="48" spans="1:3" x14ac:dyDescent="0.25">
      <c r="A48" s="4">
        <v>51</v>
      </c>
    </row>
    <row r="49" spans="1:1" x14ac:dyDescent="0.25">
      <c r="A49" s="4">
        <v>52</v>
      </c>
    </row>
  </sheetData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18">
    <tabColor rgb="FF7030A0"/>
  </sheetPr>
  <dimension ref="A1:C47"/>
  <sheetViews>
    <sheetView topLeftCell="A7" zoomScale="92" workbookViewId="0">
      <selection activeCell="B36" sqref="B36"/>
    </sheetView>
  </sheetViews>
  <sheetFormatPr baseColWidth="10" defaultColWidth="11.42578125" defaultRowHeight="15" x14ac:dyDescent="0.25"/>
  <cols>
    <col min="2" max="2" width="18.140625" bestFit="1" customWidth="1"/>
  </cols>
  <sheetData>
    <row r="1" spans="1:3" x14ac:dyDescent="0.25">
      <c r="A1" s="10" t="s">
        <v>166</v>
      </c>
      <c r="B1" s="33" t="s">
        <v>168</v>
      </c>
      <c r="C1" s="33" t="s">
        <v>82</v>
      </c>
    </row>
    <row r="2" spans="1:3" x14ac:dyDescent="0.25">
      <c r="A2" s="4">
        <v>2</v>
      </c>
      <c r="B2" s="4">
        <v>250</v>
      </c>
      <c r="C2" s="4">
        <f>IF('Evolution coût EMAG'!C2&gt;0,'Evolution coût HESSAPP'!C2,NA())</f>
        <v>9131</v>
      </c>
    </row>
    <row r="3" spans="1:3" x14ac:dyDescent="0.25">
      <c r="A3" s="4">
        <v>3</v>
      </c>
      <c r="B3" s="4">
        <v>245</v>
      </c>
      <c r="C3" s="4">
        <f>IF('Evolution coût EMAG'!C3&gt;0,'Evolution coût HESSAPP'!C3,NA())</f>
        <v>10849</v>
      </c>
    </row>
    <row r="4" spans="1:3" x14ac:dyDescent="0.25">
      <c r="A4" s="4">
        <v>4</v>
      </c>
      <c r="B4" s="18">
        <v>265</v>
      </c>
      <c r="C4" s="4">
        <f>IF('Evolution coût EMAG'!C4&gt;0,'Evolution coût HESSAPP'!C4,NA())</f>
        <v>11226</v>
      </c>
    </row>
    <row r="5" spans="1:3" x14ac:dyDescent="0.25">
      <c r="A5" s="4">
        <v>5</v>
      </c>
      <c r="B5" s="18">
        <v>360</v>
      </c>
      <c r="C5" s="4">
        <f>IF('Evolution coût EMAG'!C5&gt;0,'Evolution coût HESSAPP'!C5,NA())</f>
        <v>15780</v>
      </c>
    </row>
    <row r="6" spans="1:3" x14ac:dyDescent="0.25">
      <c r="A6" s="4">
        <v>6</v>
      </c>
      <c r="B6" s="18">
        <v>330</v>
      </c>
      <c r="C6" s="4">
        <f>IF('Evolution coût EMAG'!C6&gt;0,'Evolution coût HESSAPP'!C6,NA())</f>
        <v>14337</v>
      </c>
    </row>
    <row r="7" spans="1:3" x14ac:dyDescent="0.25">
      <c r="A7" s="4">
        <v>7</v>
      </c>
      <c r="B7" s="18">
        <v>335</v>
      </c>
      <c r="C7" s="4">
        <f>IF('Evolution coût EMAG'!C7&gt;0,'Evolution coût HESSAPP'!C7,NA())</f>
        <v>15197</v>
      </c>
    </row>
    <row r="8" spans="1:3" x14ac:dyDescent="0.25">
      <c r="A8" s="4">
        <v>8</v>
      </c>
      <c r="B8" s="18">
        <v>270</v>
      </c>
      <c r="C8" s="4">
        <f>IF('Evolution coût EMAG'!C8&gt;0,'Evolution coût HESSAPP'!C8,NA())</f>
        <v>12626</v>
      </c>
    </row>
    <row r="9" spans="1:3" x14ac:dyDescent="0.25">
      <c r="A9" s="4">
        <v>9</v>
      </c>
      <c r="B9" s="18">
        <v>265</v>
      </c>
      <c r="C9" s="4">
        <f>IF('Evolution coût EMAG'!C9&gt;0,'Evolution coût HESSAPP'!C9,NA())</f>
        <v>11270</v>
      </c>
    </row>
    <row r="10" spans="1:3" x14ac:dyDescent="0.25">
      <c r="A10" s="4">
        <v>10</v>
      </c>
      <c r="B10" s="18">
        <v>270</v>
      </c>
      <c r="C10" s="4">
        <f>IF('Evolution coût EMAG'!C10&gt;0,'Evolution coût HESSAPP'!C10,NA())</f>
        <v>11328</v>
      </c>
    </row>
    <row r="11" spans="1:3" x14ac:dyDescent="0.25">
      <c r="A11" s="4">
        <v>11</v>
      </c>
      <c r="B11" s="18">
        <v>315</v>
      </c>
      <c r="C11" s="4">
        <f>IF('Evolution coût EMAG'!C11&gt;0,'Evolution coût HESSAPP'!C11,NA())</f>
        <v>13377</v>
      </c>
    </row>
    <row r="12" spans="1:3" x14ac:dyDescent="0.25">
      <c r="A12" s="4">
        <v>12</v>
      </c>
      <c r="B12" s="18">
        <v>215</v>
      </c>
      <c r="C12" s="4">
        <f>IF('Evolution coût EMAG'!C12&gt;0,'Evolution coût HESSAPP'!C12,NA())</f>
        <v>11220</v>
      </c>
    </row>
    <row r="13" spans="1:3" x14ac:dyDescent="0.25">
      <c r="A13" s="4">
        <v>13</v>
      </c>
      <c r="B13" s="18">
        <v>315</v>
      </c>
      <c r="C13" s="4">
        <f>IF('Evolution coût EMAG'!C13&gt;0,'Evolution coût HESSAPP'!C13,NA())</f>
        <v>10858</v>
      </c>
    </row>
    <row r="14" spans="1:3" x14ac:dyDescent="0.25">
      <c r="A14" s="4">
        <v>14</v>
      </c>
      <c r="B14" s="18">
        <v>275</v>
      </c>
      <c r="C14" s="4">
        <f>IF('Evolution coût EMAG'!C14&gt;0,'Evolution coût HESSAPP'!C14,NA())</f>
        <v>10395</v>
      </c>
    </row>
    <row r="15" spans="1:3" x14ac:dyDescent="0.25">
      <c r="A15" s="4">
        <v>15</v>
      </c>
      <c r="B15" s="18">
        <v>250</v>
      </c>
      <c r="C15" s="4">
        <f>IF('Evolution coût EMAG'!C15&gt;0,'Evolution coût HESSAPP'!C15,NA())</f>
        <v>11106</v>
      </c>
    </row>
    <row r="16" spans="1:3" x14ac:dyDescent="0.25">
      <c r="A16" s="4">
        <v>16</v>
      </c>
      <c r="B16" s="18">
        <v>220</v>
      </c>
      <c r="C16" s="4">
        <f>IF('Evolution coût EMAG'!C16&gt;0,'Evolution coût HESSAPP'!C16,NA())</f>
        <v>7839</v>
      </c>
    </row>
    <row r="17" spans="1:3" x14ac:dyDescent="0.25">
      <c r="A17" s="4">
        <v>17</v>
      </c>
      <c r="B17" s="18">
        <v>270</v>
      </c>
      <c r="C17" s="4">
        <f>IF('Evolution coût EMAG'!C17&gt;0,'Evolution coût HESSAPP'!C17,NA())</f>
        <v>8350</v>
      </c>
    </row>
    <row r="18" spans="1:3" x14ac:dyDescent="0.25">
      <c r="A18" s="4">
        <v>18</v>
      </c>
      <c r="B18" s="18">
        <v>210</v>
      </c>
      <c r="C18" s="4">
        <f>IF('Evolution coût EMAG'!C18&gt;0,'Evolution coût HESSAPP'!C18,NA())</f>
        <v>8529</v>
      </c>
    </row>
    <row r="19" spans="1:3" x14ac:dyDescent="0.25">
      <c r="A19" s="4">
        <v>19</v>
      </c>
      <c r="B19" s="18">
        <v>200</v>
      </c>
      <c r="C19" s="4">
        <f>IF('Evolution coût EMAG'!C19&gt;0,'Evolution coût HESSAPP'!C19,NA())</f>
        <v>7623</v>
      </c>
    </row>
    <row r="20" spans="1:3" x14ac:dyDescent="0.25">
      <c r="A20" s="4">
        <v>20</v>
      </c>
      <c r="B20" s="18">
        <v>215</v>
      </c>
      <c r="C20" s="4">
        <f>IF('Evolution coût EMAG'!C20&gt;0,'Evolution coût HESSAPP'!C20,NA())</f>
        <v>6946</v>
      </c>
    </row>
    <row r="21" spans="1:3" x14ac:dyDescent="0.25">
      <c r="A21" s="4">
        <v>21</v>
      </c>
      <c r="B21" s="18">
        <v>285</v>
      </c>
      <c r="C21" s="4">
        <f>IF('Evolution coût EMAG'!C21&gt;0,'Evolution coût HESSAPP'!C21,NA())</f>
        <v>8633</v>
      </c>
    </row>
    <row r="22" spans="1:3" x14ac:dyDescent="0.25">
      <c r="A22" s="4">
        <v>22</v>
      </c>
      <c r="B22" s="18">
        <v>140</v>
      </c>
      <c r="C22" s="4">
        <f>IF('Evolution coût EMAG'!C22&gt;0,'Evolution coût HESSAPP'!C22,NA())</f>
        <v>6483</v>
      </c>
    </row>
    <row r="23" spans="1:3" x14ac:dyDescent="0.25">
      <c r="A23" s="4">
        <v>23</v>
      </c>
      <c r="B23" s="18">
        <v>125</v>
      </c>
      <c r="C23" s="4">
        <f>IF('Evolution coût EMAG'!C23&gt;0,'Evolution coût HESSAPP'!C23,NA())</f>
        <v>3905</v>
      </c>
    </row>
    <row r="24" spans="1:3" x14ac:dyDescent="0.25">
      <c r="A24" s="4">
        <v>24</v>
      </c>
      <c r="B24" s="18">
        <v>210</v>
      </c>
      <c r="C24" s="4">
        <f>IF('Evolution coût EMAG'!C24&gt;0,'Evolution coût HESSAPP'!C24,NA())</f>
        <v>7300</v>
      </c>
    </row>
    <row r="25" spans="1:3" x14ac:dyDescent="0.25">
      <c r="A25" s="4">
        <v>25</v>
      </c>
      <c r="B25" s="18">
        <v>180</v>
      </c>
      <c r="C25" s="4">
        <f>IF('Evolution coût EMAG'!C25&gt;0,'Evolution coût HESSAPP'!C25,NA())</f>
        <v>9025</v>
      </c>
    </row>
    <row r="26" spans="1:3" x14ac:dyDescent="0.25">
      <c r="A26" s="4">
        <v>26</v>
      </c>
      <c r="B26" s="18">
        <v>220</v>
      </c>
      <c r="C26" s="4">
        <f>IF('Evolution coût EMAG'!C26&gt;0,'Evolution coût HESSAPP'!C26,NA())</f>
        <v>5847</v>
      </c>
    </row>
    <row r="27" spans="1:3" x14ac:dyDescent="0.25">
      <c r="A27" s="4">
        <v>27</v>
      </c>
      <c r="B27" s="18">
        <v>180</v>
      </c>
      <c r="C27" s="4">
        <f>IF('Evolution coût EMAG'!C27&gt;0,'Evolution coût HESSAPP'!C27,NA())</f>
        <v>8442</v>
      </c>
    </row>
    <row r="28" spans="1:3" x14ac:dyDescent="0.25">
      <c r="A28" s="4">
        <v>28</v>
      </c>
      <c r="B28" s="18">
        <v>180</v>
      </c>
      <c r="C28" s="4">
        <f>IF('Evolution coût EMAG'!C28&gt;0,'Evolution coût HESSAPP'!C28,NA())</f>
        <v>8600</v>
      </c>
    </row>
    <row r="29" spans="1:3" x14ac:dyDescent="0.25">
      <c r="A29" s="4">
        <v>29</v>
      </c>
      <c r="B29" s="18">
        <v>160</v>
      </c>
      <c r="C29" s="4">
        <f>IF('Evolution coût EMAG'!C29&gt;0,'Evolution coût HESSAPP'!C29,NA())</f>
        <v>5945</v>
      </c>
    </row>
    <row r="30" spans="1:3" x14ac:dyDescent="0.25">
      <c r="A30" s="4">
        <v>30</v>
      </c>
      <c r="B30" s="18">
        <v>275</v>
      </c>
      <c r="C30" s="4">
        <f>IF('Evolution coût EMAG'!C30&gt;0,'Evolution coût HESSAPP'!C30,NA())</f>
        <v>12611</v>
      </c>
    </row>
    <row r="31" spans="1:3" x14ac:dyDescent="0.25">
      <c r="A31" s="4">
        <v>34</v>
      </c>
      <c r="B31" s="18">
        <v>120</v>
      </c>
      <c r="C31" s="4">
        <f>IF('Evolution coût EMAG'!C31&gt;0,'Evolution coût HESSAPP'!C31,NA())</f>
        <v>4633</v>
      </c>
    </row>
    <row r="32" spans="1:3" x14ac:dyDescent="0.25">
      <c r="A32" s="4">
        <v>35</v>
      </c>
      <c r="B32" s="18">
        <v>135</v>
      </c>
      <c r="C32" s="4">
        <f>IF('Evolution coût EMAG'!C32&gt;0,'Evolution coût HESSAPP'!C32,NA())</f>
        <v>5763</v>
      </c>
    </row>
    <row r="33" spans="1:3" x14ac:dyDescent="0.25">
      <c r="A33" s="4">
        <v>36</v>
      </c>
      <c r="B33" s="18">
        <v>325</v>
      </c>
      <c r="C33" s="4">
        <f>IF('Evolution coût EMAG'!C33&gt;0,'Evolution coût HESSAPP'!C33,NA())</f>
        <v>8768</v>
      </c>
    </row>
    <row r="34" spans="1:3" x14ac:dyDescent="0.25">
      <c r="A34" s="4">
        <v>37</v>
      </c>
      <c r="B34" s="18">
        <v>270</v>
      </c>
      <c r="C34" s="4">
        <f>IF('Evolution coût EMAG'!C34&gt;0,'Evolution coût HESSAPP'!C34,NA())</f>
        <v>7883</v>
      </c>
    </row>
    <row r="35" spans="1:3" x14ac:dyDescent="0.25">
      <c r="A35" s="4">
        <v>38</v>
      </c>
      <c r="B35" s="18">
        <v>315</v>
      </c>
      <c r="C35" s="4">
        <f>IF('Evolution coût EMAG'!C35&gt;0,'Evolution coût HESSAPP'!C35,NA())</f>
        <v>8149</v>
      </c>
    </row>
    <row r="36" spans="1:3" x14ac:dyDescent="0.25">
      <c r="A36" s="4">
        <v>39</v>
      </c>
      <c r="B36" s="18"/>
      <c r="C36" s="4" t="e">
        <f>IF('Evolution coût EMAG'!C36&gt;0,'Evolution coût HESSAPP'!C36,NA())</f>
        <v>#N/A</v>
      </c>
    </row>
    <row r="37" spans="1:3" x14ac:dyDescent="0.25">
      <c r="A37" s="4">
        <v>40</v>
      </c>
      <c r="B37" s="18"/>
      <c r="C37" s="4" t="e">
        <f>IF('Evolution coût EMAG'!C37&gt;0,'Evolution coût HESSAPP'!C37,NA())</f>
        <v>#N/A</v>
      </c>
    </row>
    <row r="38" spans="1:3" x14ac:dyDescent="0.25">
      <c r="A38" s="4">
        <v>41</v>
      </c>
      <c r="B38" s="18"/>
      <c r="C38" s="4" t="e">
        <f>IF('Evolution coût EMAG'!C38&gt;0,'Evolution coût HESSAPP'!C38,NA())</f>
        <v>#N/A</v>
      </c>
    </row>
    <row r="39" spans="1:3" x14ac:dyDescent="0.25">
      <c r="A39" s="4">
        <v>42</v>
      </c>
      <c r="B39" s="18"/>
      <c r="C39" s="4" t="e">
        <f>IF('Evolution coût EMAG'!C39&gt;0,'Evolution coût HESSAPP'!C39,NA())</f>
        <v>#N/A</v>
      </c>
    </row>
    <row r="40" spans="1:3" x14ac:dyDescent="0.25">
      <c r="A40" s="4">
        <v>43</v>
      </c>
      <c r="B40" s="18"/>
      <c r="C40" s="4" t="e">
        <f>IF('Evolution coût EMAG'!C40&gt;0,'Evolution coût HESSAPP'!C40,NA())</f>
        <v>#N/A</v>
      </c>
    </row>
    <row r="41" spans="1:3" x14ac:dyDescent="0.25">
      <c r="A41" s="4">
        <v>44</v>
      </c>
      <c r="B41" s="18"/>
      <c r="C41" s="4" t="e">
        <f>IF('Evolution coût EMAG'!C41&gt;0,'Evolution coût HESSAPP'!C41,NA())</f>
        <v>#N/A</v>
      </c>
    </row>
    <row r="42" spans="1:3" x14ac:dyDescent="0.25">
      <c r="A42" s="4">
        <v>45</v>
      </c>
      <c r="B42" s="18"/>
      <c r="C42" s="4" t="e">
        <f>IF('Evolution coût EMAG'!C42&gt;0,'Evolution coût HESSAPP'!C42,NA())</f>
        <v>#N/A</v>
      </c>
    </row>
    <row r="43" spans="1:3" x14ac:dyDescent="0.25">
      <c r="A43" s="4">
        <v>46</v>
      </c>
      <c r="B43" s="18"/>
      <c r="C43" s="4" t="e">
        <f>IF('Evolution coût EMAG'!C43&gt;0,'Evolution coût HESSAPP'!C43,NA())</f>
        <v>#N/A</v>
      </c>
    </row>
    <row r="44" spans="1:3" x14ac:dyDescent="0.25">
      <c r="A44" s="4">
        <v>47</v>
      </c>
      <c r="B44" s="18"/>
      <c r="C44" s="4" t="e">
        <f>IF('Evolution coût EMAG'!C44&gt;0,'Evolution coût HESSAPP'!C44,NA())</f>
        <v>#N/A</v>
      </c>
    </row>
    <row r="45" spans="1:3" x14ac:dyDescent="0.25">
      <c r="B45" s="18"/>
      <c r="C45" s="4" t="e">
        <f>IF('Evolution coût EMAG'!C45&gt;0,'Evolution coût HESSAPP'!C45,NA())</f>
        <v>#N/A</v>
      </c>
    </row>
    <row r="46" spans="1:3" x14ac:dyDescent="0.25">
      <c r="B46" s="18"/>
      <c r="C46" s="4" t="e">
        <f>IF('Evolution coût EMAG'!C46&gt;0,'Evolution coût HESSAPP'!C46,NA())</f>
        <v>#N/A</v>
      </c>
    </row>
    <row r="47" spans="1:3" x14ac:dyDescent="0.25">
      <c r="B47" s="18"/>
      <c r="C47" s="4" t="e">
        <f>IF('Evolution coût EMAG'!C47&gt;0,'Evolution coût HESSAPP'!C47,NA())</f>
        <v>#N/A</v>
      </c>
    </row>
  </sheetData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28">
    <tabColor rgb="FF7030A0"/>
  </sheetPr>
  <dimension ref="A1:C52"/>
  <sheetViews>
    <sheetView zoomScale="85" workbookViewId="0">
      <selection activeCell="V14" sqref="V14"/>
    </sheetView>
  </sheetViews>
  <sheetFormatPr baseColWidth="10" defaultColWidth="11.42578125" defaultRowHeight="15" x14ac:dyDescent="0.25"/>
  <cols>
    <col min="1" max="1" width="8.7109375" bestFit="1" customWidth="1"/>
    <col min="2" max="2" width="10.42578125" bestFit="1" customWidth="1"/>
  </cols>
  <sheetData>
    <row r="1" spans="1:3" x14ac:dyDescent="0.25">
      <c r="A1" s="10" t="s">
        <v>166</v>
      </c>
      <c r="B1" s="10" t="s">
        <v>34</v>
      </c>
      <c r="C1" s="10" t="s">
        <v>170</v>
      </c>
    </row>
    <row r="2" spans="1:3" x14ac:dyDescent="0.25">
      <c r="A2" s="4">
        <v>2</v>
      </c>
      <c r="B2" s="4">
        <v>0.214</v>
      </c>
      <c r="C2" s="23">
        <v>0.129</v>
      </c>
    </row>
    <row r="3" spans="1:3" x14ac:dyDescent="0.25">
      <c r="A3" s="4">
        <v>3</v>
      </c>
      <c r="B3" s="4">
        <v>0.184</v>
      </c>
      <c r="C3" s="23">
        <v>0.129</v>
      </c>
    </row>
    <row r="4" spans="1:3" x14ac:dyDescent="0.25">
      <c r="A4" s="4">
        <v>4</v>
      </c>
      <c r="B4" s="23">
        <v>0.19</v>
      </c>
      <c r="C4" s="23">
        <v>0.129</v>
      </c>
    </row>
    <row r="5" spans="1:3" x14ac:dyDescent="0.25">
      <c r="A5" s="4">
        <v>5</v>
      </c>
      <c r="B5" s="23">
        <v>0.187</v>
      </c>
      <c r="C5" s="23">
        <v>0.129</v>
      </c>
    </row>
    <row r="6" spans="1:3" x14ac:dyDescent="0.25">
      <c r="A6" s="4">
        <v>6</v>
      </c>
      <c r="B6" s="23">
        <v>0.188</v>
      </c>
      <c r="C6" s="23">
        <v>0.129</v>
      </c>
    </row>
    <row r="7" spans="1:3" x14ac:dyDescent="0.25">
      <c r="A7" s="4">
        <v>7</v>
      </c>
      <c r="B7" s="23">
        <v>0.17499999999999999</v>
      </c>
      <c r="C7" s="23">
        <v>0.129</v>
      </c>
    </row>
    <row r="8" spans="1:3" x14ac:dyDescent="0.25">
      <c r="A8" s="4">
        <v>8</v>
      </c>
      <c r="B8" s="23">
        <v>0.17899999999999999</v>
      </c>
      <c r="C8" s="23">
        <v>0.129</v>
      </c>
    </row>
    <row r="9" spans="1:3" x14ac:dyDescent="0.25">
      <c r="A9" s="4">
        <v>9</v>
      </c>
      <c r="B9" s="23">
        <v>0.19800000000000001</v>
      </c>
      <c r="C9" s="23">
        <v>0.129</v>
      </c>
    </row>
    <row r="10" spans="1:3" x14ac:dyDescent="0.25">
      <c r="A10" s="4">
        <v>10</v>
      </c>
      <c r="B10" s="23">
        <v>0.19</v>
      </c>
      <c r="C10" s="23">
        <v>0.129</v>
      </c>
    </row>
    <row r="11" spans="1:3" x14ac:dyDescent="0.25">
      <c r="A11" s="4">
        <v>11</v>
      </c>
      <c r="B11" s="23">
        <v>0.193</v>
      </c>
      <c r="C11" s="23">
        <v>0.129</v>
      </c>
    </row>
    <row r="12" spans="1:3" x14ac:dyDescent="0.25">
      <c r="A12" s="4">
        <v>12</v>
      </c>
      <c r="B12" s="23">
        <v>0.159</v>
      </c>
      <c r="C12" s="23">
        <v>0.129</v>
      </c>
    </row>
    <row r="13" spans="1:3" x14ac:dyDescent="0.25">
      <c r="A13" s="4">
        <v>13</v>
      </c>
      <c r="B13" s="23">
        <v>0.223</v>
      </c>
      <c r="C13" s="23">
        <v>0.129</v>
      </c>
    </row>
    <row r="14" spans="1:3" x14ac:dyDescent="0.25">
      <c r="A14" s="4">
        <v>14</v>
      </c>
      <c r="B14" s="23">
        <v>0.21199999999999999</v>
      </c>
      <c r="C14" s="23">
        <v>0.129</v>
      </c>
    </row>
    <row r="15" spans="1:3" x14ac:dyDescent="0.25">
      <c r="A15" s="4">
        <v>15</v>
      </c>
      <c r="B15" s="23">
        <v>0.17799999999999999</v>
      </c>
      <c r="C15" s="23">
        <v>0.129</v>
      </c>
    </row>
    <row r="16" spans="1:3" x14ac:dyDescent="0.25">
      <c r="A16" s="4">
        <v>16</v>
      </c>
      <c r="B16" s="23">
        <v>0.219</v>
      </c>
      <c r="C16" s="23">
        <v>0.129</v>
      </c>
    </row>
    <row r="17" spans="1:3" x14ac:dyDescent="0.25">
      <c r="A17" s="4">
        <v>17</v>
      </c>
      <c r="B17" s="23">
        <v>0.26200000000000001</v>
      </c>
      <c r="C17" s="23">
        <v>0.129</v>
      </c>
    </row>
    <row r="18" spans="1:3" x14ac:dyDescent="0.25">
      <c r="A18" s="4">
        <v>18</v>
      </c>
      <c r="B18" s="23">
        <v>0.19800000000000001</v>
      </c>
      <c r="C18" s="23">
        <v>0.129</v>
      </c>
    </row>
    <row r="19" spans="1:3" x14ac:dyDescent="0.25">
      <c r="A19" s="4">
        <v>19</v>
      </c>
      <c r="B19" s="23">
        <v>0.216</v>
      </c>
      <c r="C19" s="23">
        <v>0.129</v>
      </c>
    </row>
    <row r="20" spans="1:3" x14ac:dyDescent="0.25">
      <c r="A20" s="4">
        <v>20</v>
      </c>
      <c r="B20" s="23">
        <v>0.24399999999999999</v>
      </c>
      <c r="C20" s="23">
        <v>0.129</v>
      </c>
    </row>
    <row r="21" spans="1:3" x14ac:dyDescent="0.25">
      <c r="A21" s="4">
        <v>21</v>
      </c>
      <c r="B21" s="23">
        <v>0.26500000000000001</v>
      </c>
      <c r="C21" s="23">
        <v>0.129</v>
      </c>
    </row>
    <row r="22" spans="1:3" x14ac:dyDescent="0.25">
      <c r="A22" s="4">
        <v>22</v>
      </c>
      <c r="B22" s="23">
        <v>0.17799999999999999</v>
      </c>
      <c r="C22" s="23">
        <v>0.129</v>
      </c>
    </row>
    <row r="23" spans="1:3" x14ac:dyDescent="0.25">
      <c r="A23" s="4">
        <v>23</v>
      </c>
      <c r="B23" s="23">
        <v>0.26800000000000002</v>
      </c>
      <c r="C23" s="23">
        <v>0.129</v>
      </c>
    </row>
    <row r="24" spans="1:3" x14ac:dyDescent="0.25">
      <c r="A24" s="4">
        <v>24</v>
      </c>
      <c r="B24" s="23">
        <v>0.23300000000000001</v>
      </c>
      <c r="C24" s="23">
        <v>0.129</v>
      </c>
    </row>
    <row r="25" spans="1:3" x14ac:dyDescent="0.25">
      <c r="A25" s="4">
        <v>25</v>
      </c>
      <c r="B25" s="23">
        <v>0.159</v>
      </c>
      <c r="C25" s="23">
        <v>0.129</v>
      </c>
    </row>
    <row r="26" spans="1:3" x14ac:dyDescent="0.25">
      <c r="A26" s="4">
        <v>26</v>
      </c>
      <c r="B26" s="23">
        <v>0.29799999999999999</v>
      </c>
      <c r="C26" s="23">
        <v>0.129</v>
      </c>
    </row>
    <row r="27" spans="1:3" x14ac:dyDescent="0.25">
      <c r="A27" s="4">
        <v>27</v>
      </c>
      <c r="B27" s="23">
        <v>0.16800000000000001</v>
      </c>
      <c r="C27" s="23">
        <v>0.129</v>
      </c>
    </row>
    <row r="28" spans="1:3" x14ac:dyDescent="0.25">
      <c r="A28" s="4">
        <v>28</v>
      </c>
      <c r="B28" s="23">
        <v>0.157</v>
      </c>
      <c r="C28" s="23">
        <v>0.129</v>
      </c>
    </row>
    <row r="29" spans="1:3" x14ac:dyDescent="0.25">
      <c r="A29" s="4">
        <v>29</v>
      </c>
      <c r="B29" s="23">
        <v>0.217</v>
      </c>
      <c r="C29" s="23">
        <v>0.129</v>
      </c>
    </row>
    <row r="30" spans="1:3" x14ac:dyDescent="0.25">
      <c r="A30" s="4">
        <v>30</v>
      </c>
      <c r="B30" s="23">
        <v>0.183</v>
      </c>
      <c r="C30" s="23">
        <v>0.129</v>
      </c>
    </row>
    <row r="31" spans="1:3" x14ac:dyDescent="0.25">
      <c r="A31" s="4">
        <v>34</v>
      </c>
      <c r="B31" s="23">
        <v>0.20399999999999999</v>
      </c>
      <c r="C31" s="23">
        <v>0.129</v>
      </c>
    </row>
    <row r="32" spans="1:3" x14ac:dyDescent="0.25">
      <c r="A32" s="4">
        <v>35</v>
      </c>
      <c r="B32" s="23">
        <v>0.17499999999999999</v>
      </c>
      <c r="C32" s="23">
        <v>0.129</v>
      </c>
    </row>
    <row r="33" spans="1:3" x14ac:dyDescent="0.25">
      <c r="A33" s="4">
        <v>36</v>
      </c>
      <c r="B33" s="23">
        <v>0.30199999999999999</v>
      </c>
      <c r="C33" s="23">
        <v>0.129</v>
      </c>
    </row>
    <row r="34" spans="1:3" x14ac:dyDescent="0.25">
      <c r="A34" s="4">
        <v>37</v>
      </c>
      <c r="B34" s="23">
        <v>0.27200000000000002</v>
      </c>
      <c r="C34" s="23">
        <v>0.129</v>
      </c>
    </row>
    <row r="35" spans="1:3" x14ac:dyDescent="0.25">
      <c r="A35" s="4">
        <v>38</v>
      </c>
      <c r="B35" s="23">
        <v>0.311</v>
      </c>
      <c r="C35" s="23">
        <v>0.129</v>
      </c>
    </row>
    <row r="36" spans="1:3" x14ac:dyDescent="0.25">
      <c r="A36" s="4">
        <v>39</v>
      </c>
      <c r="B36" s="23"/>
      <c r="C36" s="23">
        <v>0.129</v>
      </c>
    </row>
    <row r="37" spans="1:3" x14ac:dyDescent="0.25">
      <c r="A37" s="4">
        <v>40</v>
      </c>
      <c r="B37" s="23"/>
      <c r="C37" s="23">
        <v>0.129</v>
      </c>
    </row>
    <row r="38" spans="1:3" x14ac:dyDescent="0.25">
      <c r="A38" s="4">
        <v>41</v>
      </c>
      <c r="B38" s="23"/>
      <c r="C38" s="23">
        <v>0.129</v>
      </c>
    </row>
    <row r="39" spans="1:3" x14ac:dyDescent="0.25">
      <c r="A39" s="4">
        <v>42</v>
      </c>
      <c r="B39" s="23"/>
      <c r="C39" s="23">
        <v>0.129</v>
      </c>
    </row>
    <row r="40" spans="1:3" x14ac:dyDescent="0.25">
      <c r="A40" s="4">
        <v>43</v>
      </c>
      <c r="B40" s="23"/>
      <c r="C40" s="23">
        <v>0.129</v>
      </c>
    </row>
    <row r="41" spans="1:3" x14ac:dyDescent="0.25">
      <c r="A41" s="4">
        <v>44</v>
      </c>
      <c r="C41" s="23">
        <v>0.129</v>
      </c>
    </row>
    <row r="42" spans="1:3" x14ac:dyDescent="0.25">
      <c r="A42" s="4">
        <v>45</v>
      </c>
      <c r="C42" s="23">
        <v>0.129</v>
      </c>
    </row>
    <row r="43" spans="1:3" x14ac:dyDescent="0.25">
      <c r="A43" s="4">
        <v>46</v>
      </c>
      <c r="C43" s="23">
        <v>0.129</v>
      </c>
    </row>
    <row r="44" spans="1:3" x14ac:dyDescent="0.25">
      <c r="A44" s="4">
        <v>47</v>
      </c>
      <c r="C44" s="23">
        <v>0.129</v>
      </c>
    </row>
    <row r="45" spans="1:3" x14ac:dyDescent="0.25">
      <c r="A45" s="4">
        <v>48</v>
      </c>
      <c r="C45" s="23">
        <v>0.129</v>
      </c>
    </row>
    <row r="46" spans="1:3" x14ac:dyDescent="0.25">
      <c r="A46" s="4">
        <v>49</v>
      </c>
      <c r="C46" s="23">
        <v>0.129</v>
      </c>
    </row>
    <row r="47" spans="1:3" x14ac:dyDescent="0.25">
      <c r="A47" s="4">
        <v>50</v>
      </c>
      <c r="C47" s="23">
        <v>0.129</v>
      </c>
    </row>
    <row r="48" spans="1:3" x14ac:dyDescent="0.25">
      <c r="A48" s="4">
        <v>51</v>
      </c>
      <c r="C48" s="23">
        <v>0.129</v>
      </c>
    </row>
    <row r="49" spans="1:3" x14ac:dyDescent="0.25">
      <c r="A49" s="4">
        <v>52</v>
      </c>
      <c r="C49" s="23">
        <v>0.129</v>
      </c>
    </row>
    <row r="50" spans="1:3" x14ac:dyDescent="0.25">
      <c r="A50" s="4">
        <v>53</v>
      </c>
      <c r="C50" s="23">
        <v>0.129</v>
      </c>
    </row>
    <row r="51" spans="1:3" x14ac:dyDescent="0.25">
      <c r="A51" s="4">
        <v>54</v>
      </c>
      <c r="C51" s="23">
        <v>0.129</v>
      </c>
    </row>
    <row r="52" spans="1:3" x14ac:dyDescent="0.25">
      <c r="A52" s="4">
        <v>55</v>
      </c>
      <c r="C52" s="23">
        <v>0.129</v>
      </c>
    </row>
  </sheetData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BDE0-2FF2-42EB-BD21-9D9C55C685D5}">
  <sheetPr codeName="Feuil40"/>
  <dimension ref="A1:K143"/>
  <sheetViews>
    <sheetView workbookViewId="0"/>
  </sheetViews>
  <sheetFormatPr baseColWidth="10" defaultRowHeight="15" x14ac:dyDescent="0.25"/>
  <cols>
    <col min="1" max="1" width="26.85546875" bestFit="1" customWidth="1"/>
    <col min="2" max="2" width="12.140625" bestFit="1" customWidth="1"/>
    <col min="3" max="3" width="32.7109375" bestFit="1" customWidth="1"/>
    <col min="4" max="4" width="15.85546875" bestFit="1" customWidth="1"/>
    <col min="5" max="5" width="25.85546875" bestFit="1" customWidth="1"/>
    <col min="6" max="6" width="6.5703125" bestFit="1" customWidth="1"/>
    <col min="7" max="7" width="10.5703125" bestFit="1" customWidth="1"/>
    <col min="8" max="8" width="6.28515625" bestFit="1" customWidth="1"/>
    <col min="9" max="9" width="12" bestFit="1" customWidth="1"/>
    <col min="10" max="10" width="13.7109375" bestFit="1" customWidth="1"/>
    <col min="11" max="11" width="7.85546875" bestFit="1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A2" s="105">
        <v>46279.106145833335</v>
      </c>
      <c r="B2" t="s">
        <v>12</v>
      </c>
      <c r="C2" t="s">
        <v>201</v>
      </c>
      <c r="D2" t="s">
        <v>207</v>
      </c>
      <c r="E2" t="s">
        <v>208</v>
      </c>
      <c r="F2">
        <v>10</v>
      </c>
      <c r="G2" t="s">
        <v>19</v>
      </c>
      <c r="H2" t="s">
        <v>14</v>
      </c>
      <c r="I2" t="s">
        <v>15</v>
      </c>
      <c r="J2" t="s">
        <v>16</v>
      </c>
      <c r="K2">
        <v>136.69999999999999</v>
      </c>
    </row>
    <row r="3" spans="1:11" x14ac:dyDescent="0.25">
      <c r="A3" s="105">
        <v>46279.344085648147</v>
      </c>
      <c r="B3" t="s">
        <v>240</v>
      </c>
      <c r="C3" t="s">
        <v>241</v>
      </c>
      <c r="D3" t="s">
        <v>283</v>
      </c>
      <c r="E3" t="s">
        <v>284</v>
      </c>
      <c r="F3">
        <v>5</v>
      </c>
      <c r="G3" t="s">
        <v>32</v>
      </c>
      <c r="H3" t="s">
        <v>14</v>
      </c>
      <c r="I3" t="s">
        <v>15</v>
      </c>
      <c r="J3" t="s">
        <v>34</v>
      </c>
      <c r="K3">
        <v>40</v>
      </c>
    </row>
    <row r="4" spans="1:11" x14ac:dyDescent="0.25">
      <c r="A4" s="105">
        <v>46279.344363425924</v>
      </c>
      <c r="B4" t="s">
        <v>23</v>
      </c>
      <c r="C4" t="s">
        <v>24</v>
      </c>
      <c r="D4" t="s">
        <v>283</v>
      </c>
      <c r="E4" t="s">
        <v>284</v>
      </c>
      <c r="F4">
        <v>10</v>
      </c>
      <c r="G4" t="s">
        <v>32</v>
      </c>
      <c r="H4" t="s">
        <v>14</v>
      </c>
      <c r="I4" t="s">
        <v>15</v>
      </c>
      <c r="J4" t="s">
        <v>34</v>
      </c>
      <c r="K4">
        <v>71.2</v>
      </c>
    </row>
    <row r="5" spans="1:11" x14ac:dyDescent="0.25">
      <c r="A5" s="105">
        <v>46279.344606481478</v>
      </c>
      <c r="B5" t="s">
        <v>22</v>
      </c>
      <c r="C5" t="s">
        <v>202</v>
      </c>
      <c r="D5" t="s">
        <v>283</v>
      </c>
      <c r="E5" t="s">
        <v>284</v>
      </c>
      <c r="F5">
        <v>10</v>
      </c>
      <c r="G5" t="s">
        <v>32</v>
      </c>
      <c r="H5" t="s">
        <v>33</v>
      </c>
      <c r="I5" t="s">
        <v>15</v>
      </c>
      <c r="J5" t="s">
        <v>34</v>
      </c>
      <c r="K5">
        <v>70</v>
      </c>
    </row>
    <row r="6" spans="1:11" x14ac:dyDescent="0.25">
      <c r="A6" s="105">
        <v>46279.344930555555</v>
      </c>
      <c r="B6" t="s">
        <v>23</v>
      </c>
      <c r="C6" t="s">
        <v>24</v>
      </c>
      <c r="D6" t="s">
        <v>283</v>
      </c>
      <c r="E6" t="s">
        <v>284</v>
      </c>
      <c r="F6">
        <v>10</v>
      </c>
      <c r="G6" t="s">
        <v>32</v>
      </c>
      <c r="H6" t="s">
        <v>39</v>
      </c>
      <c r="I6" t="s">
        <v>15</v>
      </c>
      <c r="J6" t="s">
        <v>34</v>
      </c>
      <c r="K6">
        <v>71.2</v>
      </c>
    </row>
    <row r="7" spans="1:11" x14ac:dyDescent="0.25">
      <c r="A7" s="105">
        <v>46279.345300925925</v>
      </c>
      <c r="B7" t="s">
        <v>22</v>
      </c>
      <c r="C7" t="s">
        <v>202</v>
      </c>
      <c r="D7" t="s">
        <v>283</v>
      </c>
      <c r="E7" t="s">
        <v>284</v>
      </c>
      <c r="F7">
        <v>10</v>
      </c>
      <c r="G7" t="s">
        <v>32</v>
      </c>
      <c r="H7" t="s">
        <v>38</v>
      </c>
      <c r="I7" t="s">
        <v>15</v>
      </c>
      <c r="J7" t="s">
        <v>34</v>
      </c>
      <c r="K7">
        <v>70</v>
      </c>
    </row>
    <row r="8" spans="1:11" x14ac:dyDescent="0.25">
      <c r="A8" s="105">
        <v>46279.589525462965</v>
      </c>
      <c r="B8" t="s">
        <v>12</v>
      </c>
      <c r="C8" t="s">
        <v>201</v>
      </c>
      <c r="D8" t="s">
        <v>288</v>
      </c>
      <c r="E8" t="s">
        <v>289</v>
      </c>
      <c r="F8">
        <v>10</v>
      </c>
      <c r="G8" t="s">
        <v>19</v>
      </c>
      <c r="H8" t="s">
        <v>14</v>
      </c>
      <c r="I8" t="s">
        <v>15</v>
      </c>
      <c r="J8" t="s">
        <v>16</v>
      </c>
      <c r="K8">
        <v>136.69999999999999</v>
      </c>
    </row>
    <row r="9" spans="1:11" x14ac:dyDescent="0.25">
      <c r="A9" s="105">
        <v>46279.589826388888</v>
      </c>
      <c r="B9" t="s">
        <v>22</v>
      </c>
      <c r="C9" t="s">
        <v>202</v>
      </c>
      <c r="D9" t="s">
        <v>288</v>
      </c>
      <c r="E9" t="s">
        <v>289</v>
      </c>
      <c r="F9">
        <v>10</v>
      </c>
      <c r="G9" t="s">
        <v>19</v>
      </c>
      <c r="H9" t="s">
        <v>14</v>
      </c>
      <c r="I9" t="s">
        <v>15</v>
      </c>
      <c r="J9" t="s">
        <v>16</v>
      </c>
      <c r="K9">
        <v>70</v>
      </c>
    </row>
    <row r="10" spans="1:11" x14ac:dyDescent="0.25">
      <c r="A10" s="105">
        <v>46279.613969907405</v>
      </c>
      <c r="B10" t="s">
        <v>22</v>
      </c>
      <c r="C10" t="s">
        <v>202</v>
      </c>
      <c r="D10" t="s">
        <v>290</v>
      </c>
      <c r="E10" t="s">
        <v>291</v>
      </c>
      <c r="F10">
        <v>10</v>
      </c>
      <c r="G10" t="s">
        <v>32</v>
      </c>
      <c r="H10" t="s">
        <v>33</v>
      </c>
      <c r="I10" t="s">
        <v>15</v>
      </c>
      <c r="J10" t="s">
        <v>34</v>
      </c>
      <c r="K10">
        <v>70</v>
      </c>
    </row>
    <row r="11" spans="1:11" x14ac:dyDescent="0.25">
      <c r="A11" s="105">
        <v>46279.726678240739</v>
      </c>
      <c r="B11" t="s">
        <v>17</v>
      </c>
      <c r="C11" t="s">
        <v>18</v>
      </c>
      <c r="D11" t="s">
        <v>288</v>
      </c>
      <c r="E11" t="s">
        <v>289</v>
      </c>
      <c r="F11">
        <v>5</v>
      </c>
      <c r="G11" t="s">
        <v>19</v>
      </c>
      <c r="H11" t="s">
        <v>20</v>
      </c>
      <c r="I11" t="s">
        <v>15</v>
      </c>
      <c r="J11" t="s">
        <v>16</v>
      </c>
      <c r="K11">
        <v>47.8</v>
      </c>
    </row>
    <row r="12" spans="1:11" x14ac:dyDescent="0.25">
      <c r="A12" s="105">
        <v>46279.897719907407</v>
      </c>
      <c r="B12" t="s">
        <v>22</v>
      </c>
      <c r="C12" t="s">
        <v>202</v>
      </c>
      <c r="D12" t="s">
        <v>242</v>
      </c>
      <c r="E12" t="s">
        <v>243</v>
      </c>
      <c r="F12">
        <v>10</v>
      </c>
      <c r="G12" t="s">
        <v>32</v>
      </c>
      <c r="H12" t="s">
        <v>39</v>
      </c>
      <c r="I12" t="s">
        <v>15</v>
      </c>
      <c r="J12" t="s">
        <v>34</v>
      </c>
      <c r="K12">
        <v>70</v>
      </c>
    </row>
    <row r="13" spans="1:11" x14ac:dyDescent="0.25">
      <c r="A13" s="105">
        <v>46279.897962962961</v>
      </c>
      <c r="B13" t="s">
        <v>25</v>
      </c>
      <c r="C13" t="s">
        <v>201</v>
      </c>
      <c r="D13" t="s">
        <v>242</v>
      </c>
      <c r="E13" t="s">
        <v>243</v>
      </c>
      <c r="F13">
        <v>10</v>
      </c>
      <c r="G13" t="s">
        <v>32</v>
      </c>
      <c r="H13" t="s">
        <v>33</v>
      </c>
      <c r="I13" t="s">
        <v>15</v>
      </c>
      <c r="J13" t="s">
        <v>34</v>
      </c>
      <c r="K13">
        <v>108.5</v>
      </c>
    </row>
    <row r="14" spans="1:11" x14ac:dyDescent="0.25">
      <c r="A14" s="105">
        <v>46279.915532407409</v>
      </c>
      <c r="B14" t="s">
        <v>17</v>
      </c>
      <c r="C14" t="s">
        <v>18</v>
      </c>
      <c r="D14" t="s">
        <v>292</v>
      </c>
      <c r="E14" t="s">
        <v>293</v>
      </c>
      <c r="F14">
        <v>5</v>
      </c>
      <c r="G14" t="s">
        <v>19</v>
      </c>
      <c r="H14" t="s">
        <v>20</v>
      </c>
      <c r="I14" t="s">
        <v>15</v>
      </c>
      <c r="J14" t="s">
        <v>16</v>
      </c>
      <c r="K14">
        <v>47.8</v>
      </c>
    </row>
    <row r="15" spans="1:11" x14ac:dyDescent="0.25">
      <c r="A15" s="105">
        <v>46279.915706018517</v>
      </c>
      <c r="B15" t="s">
        <v>35</v>
      </c>
      <c r="C15" t="s">
        <v>205</v>
      </c>
      <c r="D15" t="s">
        <v>292</v>
      </c>
      <c r="E15" t="s">
        <v>293</v>
      </c>
      <c r="F15">
        <v>10</v>
      </c>
      <c r="G15" t="s">
        <v>19</v>
      </c>
      <c r="H15" t="s">
        <v>20</v>
      </c>
      <c r="I15" t="s">
        <v>15</v>
      </c>
      <c r="J15" t="s">
        <v>16</v>
      </c>
      <c r="K15">
        <v>118.7</v>
      </c>
    </row>
    <row r="16" spans="1:11" x14ac:dyDescent="0.25">
      <c r="A16" s="105">
        <v>46279.915891203702</v>
      </c>
      <c r="B16" t="s">
        <v>22</v>
      </c>
      <c r="C16" t="s">
        <v>202</v>
      </c>
      <c r="D16" t="s">
        <v>292</v>
      </c>
      <c r="E16" t="s">
        <v>293</v>
      </c>
      <c r="F16">
        <v>10</v>
      </c>
      <c r="G16" t="s">
        <v>19</v>
      </c>
      <c r="H16" t="s">
        <v>20</v>
      </c>
      <c r="I16" t="s">
        <v>15</v>
      </c>
      <c r="J16" t="s">
        <v>16</v>
      </c>
      <c r="K16">
        <v>70</v>
      </c>
    </row>
    <row r="17" spans="1:11" x14ac:dyDescent="0.25">
      <c r="A17" s="105">
        <v>46279.997800925928</v>
      </c>
      <c r="B17" t="s">
        <v>36</v>
      </c>
      <c r="C17" t="s">
        <v>204</v>
      </c>
      <c r="D17" t="s">
        <v>30</v>
      </c>
      <c r="E17" t="s">
        <v>31</v>
      </c>
      <c r="F17">
        <v>10</v>
      </c>
      <c r="G17" t="s">
        <v>13</v>
      </c>
      <c r="H17" t="s">
        <v>20</v>
      </c>
      <c r="I17" t="s">
        <v>15</v>
      </c>
      <c r="J17" t="s">
        <v>37</v>
      </c>
      <c r="K17">
        <v>87</v>
      </c>
    </row>
    <row r="18" spans="1:11" x14ac:dyDescent="0.25">
      <c r="A18" s="105">
        <v>46280.008738425924</v>
      </c>
      <c r="B18" t="s">
        <v>240</v>
      </c>
      <c r="C18" t="s">
        <v>241</v>
      </c>
      <c r="D18" t="s">
        <v>212</v>
      </c>
      <c r="E18" t="s">
        <v>213</v>
      </c>
      <c r="F18">
        <v>5</v>
      </c>
      <c r="G18" t="s">
        <v>32</v>
      </c>
      <c r="H18" t="s">
        <v>14</v>
      </c>
      <c r="I18" t="s">
        <v>15</v>
      </c>
      <c r="J18" t="s">
        <v>34</v>
      </c>
      <c r="K18">
        <v>40</v>
      </c>
    </row>
    <row r="19" spans="1:11" x14ac:dyDescent="0.25">
      <c r="A19" s="105">
        <v>46280.060925925929</v>
      </c>
      <c r="B19" t="s">
        <v>12</v>
      </c>
      <c r="C19" t="s">
        <v>201</v>
      </c>
      <c r="D19" t="s">
        <v>30</v>
      </c>
      <c r="E19" t="s">
        <v>31</v>
      </c>
      <c r="F19">
        <v>10</v>
      </c>
      <c r="G19" t="s">
        <v>28</v>
      </c>
      <c r="H19" t="s">
        <v>14</v>
      </c>
      <c r="I19" t="s">
        <v>15</v>
      </c>
      <c r="J19" t="s">
        <v>37</v>
      </c>
      <c r="K19">
        <v>136.69999999999999</v>
      </c>
    </row>
    <row r="20" spans="1:11" x14ac:dyDescent="0.25">
      <c r="A20" s="105">
        <v>46280.102650462963</v>
      </c>
      <c r="B20" t="s">
        <v>12</v>
      </c>
      <c r="C20" t="s">
        <v>201</v>
      </c>
      <c r="D20" t="s">
        <v>292</v>
      </c>
      <c r="E20" t="s">
        <v>293</v>
      </c>
      <c r="F20">
        <v>10</v>
      </c>
      <c r="G20" t="s">
        <v>19</v>
      </c>
      <c r="H20" t="s">
        <v>14</v>
      </c>
      <c r="I20" t="s">
        <v>15</v>
      </c>
      <c r="J20" t="s">
        <v>16</v>
      </c>
      <c r="K20">
        <v>136.69999999999999</v>
      </c>
    </row>
    <row r="21" spans="1:11" x14ac:dyDescent="0.25">
      <c r="A21" s="105">
        <v>46280.209699074076</v>
      </c>
      <c r="B21" t="s">
        <v>25</v>
      </c>
      <c r="C21" t="s">
        <v>201</v>
      </c>
      <c r="D21" t="s">
        <v>215</v>
      </c>
      <c r="E21" t="s">
        <v>203</v>
      </c>
      <c r="F21">
        <v>10</v>
      </c>
      <c r="G21" t="s">
        <v>32</v>
      </c>
      <c r="H21" t="s">
        <v>33</v>
      </c>
      <c r="I21" t="s">
        <v>15</v>
      </c>
      <c r="J21" t="s">
        <v>34</v>
      </c>
      <c r="K21">
        <v>108.5</v>
      </c>
    </row>
    <row r="22" spans="1:11" x14ac:dyDescent="0.25">
      <c r="A22" s="105">
        <v>46280.209872685184</v>
      </c>
      <c r="B22" t="s">
        <v>22</v>
      </c>
      <c r="C22" t="s">
        <v>202</v>
      </c>
      <c r="D22" t="s">
        <v>215</v>
      </c>
      <c r="E22" t="s">
        <v>203</v>
      </c>
      <c r="F22">
        <v>10</v>
      </c>
      <c r="G22" t="s">
        <v>32</v>
      </c>
      <c r="H22" t="s">
        <v>33</v>
      </c>
      <c r="I22" t="s">
        <v>15</v>
      </c>
      <c r="J22" t="s">
        <v>34</v>
      </c>
      <c r="K22">
        <v>70</v>
      </c>
    </row>
    <row r="23" spans="1:11" x14ac:dyDescent="0.25">
      <c r="A23" s="105">
        <v>46280.210034722222</v>
      </c>
      <c r="B23" t="s">
        <v>23</v>
      </c>
      <c r="C23" t="s">
        <v>24</v>
      </c>
      <c r="D23" t="s">
        <v>215</v>
      </c>
      <c r="E23" t="s">
        <v>203</v>
      </c>
      <c r="F23">
        <v>10</v>
      </c>
      <c r="G23" t="s">
        <v>32</v>
      </c>
      <c r="H23" t="s">
        <v>33</v>
      </c>
      <c r="I23" t="s">
        <v>15</v>
      </c>
      <c r="J23" t="s">
        <v>34</v>
      </c>
      <c r="K23">
        <v>71.2</v>
      </c>
    </row>
    <row r="24" spans="1:11" x14ac:dyDescent="0.25">
      <c r="A24" s="105">
        <v>46280.299849537034</v>
      </c>
      <c r="B24" t="s">
        <v>17</v>
      </c>
      <c r="C24" t="s">
        <v>18</v>
      </c>
      <c r="D24" t="s">
        <v>26</v>
      </c>
      <c r="E24" t="s">
        <v>27</v>
      </c>
      <c r="F24">
        <v>5</v>
      </c>
      <c r="G24" t="s">
        <v>19</v>
      </c>
      <c r="H24" t="s">
        <v>20</v>
      </c>
      <c r="I24" t="s">
        <v>15</v>
      </c>
      <c r="J24" t="s">
        <v>16</v>
      </c>
      <c r="K24">
        <v>47.8</v>
      </c>
    </row>
    <row r="25" spans="1:11" x14ac:dyDescent="0.25">
      <c r="A25" s="105">
        <v>46280.3</v>
      </c>
      <c r="B25" t="s">
        <v>17</v>
      </c>
      <c r="C25" t="s">
        <v>18</v>
      </c>
      <c r="D25" t="s">
        <v>26</v>
      </c>
      <c r="E25" t="s">
        <v>27</v>
      </c>
      <c r="F25">
        <v>5</v>
      </c>
      <c r="G25" t="s">
        <v>19</v>
      </c>
      <c r="H25" t="s">
        <v>20</v>
      </c>
      <c r="I25" t="s">
        <v>15</v>
      </c>
      <c r="J25" t="s">
        <v>16</v>
      </c>
      <c r="K25">
        <v>47.8</v>
      </c>
    </row>
    <row r="26" spans="1:11" x14ac:dyDescent="0.25">
      <c r="A26" s="105">
        <v>46280.371469907404</v>
      </c>
      <c r="B26" t="s">
        <v>22</v>
      </c>
      <c r="C26" t="s">
        <v>202</v>
      </c>
      <c r="D26" t="s">
        <v>215</v>
      </c>
      <c r="E26" t="s">
        <v>203</v>
      </c>
      <c r="F26">
        <v>10</v>
      </c>
      <c r="G26" t="s">
        <v>32</v>
      </c>
      <c r="H26" t="s">
        <v>33</v>
      </c>
      <c r="I26" t="s">
        <v>15</v>
      </c>
      <c r="J26" t="s">
        <v>34</v>
      </c>
      <c r="K26">
        <v>70</v>
      </c>
    </row>
    <row r="27" spans="1:11" x14ac:dyDescent="0.25">
      <c r="A27" s="105">
        <v>46280.400833333333</v>
      </c>
      <c r="B27" t="s">
        <v>17</v>
      </c>
      <c r="C27" t="s">
        <v>18</v>
      </c>
      <c r="D27" t="s">
        <v>236</v>
      </c>
      <c r="E27" t="s">
        <v>237</v>
      </c>
      <c r="F27">
        <v>5</v>
      </c>
      <c r="G27" t="s">
        <v>28</v>
      </c>
      <c r="H27" t="s">
        <v>20</v>
      </c>
      <c r="I27" t="s">
        <v>15</v>
      </c>
      <c r="J27" t="s">
        <v>29</v>
      </c>
      <c r="K27">
        <v>47.8</v>
      </c>
    </row>
    <row r="28" spans="1:11" x14ac:dyDescent="0.25">
      <c r="A28" s="105">
        <v>46280.401006944441</v>
      </c>
      <c r="B28" t="s">
        <v>12</v>
      </c>
      <c r="C28" t="s">
        <v>201</v>
      </c>
      <c r="D28" t="s">
        <v>236</v>
      </c>
      <c r="E28" t="s">
        <v>237</v>
      </c>
      <c r="F28">
        <v>10</v>
      </c>
      <c r="G28" t="s">
        <v>28</v>
      </c>
      <c r="H28" t="s">
        <v>14</v>
      </c>
      <c r="I28" t="s">
        <v>15</v>
      </c>
      <c r="J28" t="s">
        <v>29</v>
      </c>
      <c r="K28">
        <v>136.69999999999999</v>
      </c>
    </row>
    <row r="29" spans="1:11" x14ac:dyDescent="0.25">
      <c r="A29" s="105">
        <v>46280.428287037037</v>
      </c>
      <c r="B29" t="s">
        <v>35</v>
      </c>
      <c r="C29" t="s">
        <v>205</v>
      </c>
      <c r="D29" t="s">
        <v>236</v>
      </c>
      <c r="E29" t="s">
        <v>237</v>
      </c>
      <c r="F29">
        <v>10</v>
      </c>
      <c r="G29" t="s">
        <v>13</v>
      </c>
      <c r="H29" t="s">
        <v>20</v>
      </c>
      <c r="I29" t="s">
        <v>15</v>
      </c>
      <c r="J29" t="s">
        <v>37</v>
      </c>
      <c r="K29">
        <v>118.7</v>
      </c>
    </row>
    <row r="30" spans="1:11" x14ac:dyDescent="0.25">
      <c r="A30" s="105">
        <v>46280.428587962961</v>
      </c>
      <c r="B30" t="s">
        <v>36</v>
      </c>
      <c r="C30" t="s">
        <v>204</v>
      </c>
      <c r="D30" t="s">
        <v>236</v>
      </c>
      <c r="E30" t="s">
        <v>237</v>
      </c>
      <c r="F30">
        <v>10</v>
      </c>
      <c r="G30" t="s">
        <v>13</v>
      </c>
      <c r="H30" t="s">
        <v>20</v>
      </c>
      <c r="I30" t="s">
        <v>15</v>
      </c>
      <c r="J30" t="s">
        <v>37</v>
      </c>
      <c r="K30">
        <v>87</v>
      </c>
    </row>
    <row r="31" spans="1:11" x14ac:dyDescent="0.25">
      <c r="A31" s="105">
        <v>46280.694108796299</v>
      </c>
      <c r="B31" t="s">
        <v>22</v>
      </c>
      <c r="C31" t="s">
        <v>202</v>
      </c>
      <c r="D31" t="s">
        <v>290</v>
      </c>
      <c r="E31" t="s">
        <v>291</v>
      </c>
      <c r="F31">
        <v>10</v>
      </c>
      <c r="G31" t="s">
        <v>32</v>
      </c>
      <c r="H31" t="s">
        <v>33</v>
      </c>
      <c r="I31" t="s">
        <v>15</v>
      </c>
      <c r="J31" t="s">
        <v>34</v>
      </c>
      <c r="K31">
        <v>70</v>
      </c>
    </row>
    <row r="32" spans="1:11" x14ac:dyDescent="0.25">
      <c r="A32" s="105">
        <v>46280.789340277777</v>
      </c>
      <c r="B32" t="s">
        <v>36</v>
      </c>
      <c r="C32" t="s">
        <v>204</v>
      </c>
      <c r="D32" t="s">
        <v>288</v>
      </c>
      <c r="E32" t="s">
        <v>289</v>
      </c>
      <c r="F32">
        <v>10</v>
      </c>
      <c r="G32" t="s">
        <v>13</v>
      </c>
      <c r="H32" t="s">
        <v>20</v>
      </c>
      <c r="I32" t="s">
        <v>15</v>
      </c>
      <c r="J32" t="s">
        <v>160</v>
      </c>
      <c r="K32">
        <v>87</v>
      </c>
    </row>
    <row r="33" spans="1:11" x14ac:dyDescent="0.25">
      <c r="A33" s="105">
        <v>46280.880601851852</v>
      </c>
      <c r="B33" t="s">
        <v>17</v>
      </c>
      <c r="C33" t="s">
        <v>18</v>
      </c>
      <c r="D33" t="s">
        <v>212</v>
      </c>
      <c r="E33" t="s">
        <v>213</v>
      </c>
      <c r="F33">
        <v>5</v>
      </c>
      <c r="G33" t="s">
        <v>32</v>
      </c>
      <c r="H33" t="s">
        <v>38</v>
      </c>
      <c r="I33" t="s">
        <v>15</v>
      </c>
      <c r="J33" t="s">
        <v>34</v>
      </c>
      <c r="K33">
        <v>47.8</v>
      </c>
    </row>
    <row r="34" spans="1:11" x14ac:dyDescent="0.25">
      <c r="A34" s="105">
        <v>46280.880914351852</v>
      </c>
      <c r="B34" t="s">
        <v>240</v>
      </c>
      <c r="C34" t="s">
        <v>241</v>
      </c>
      <c r="D34" t="s">
        <v>212</v>
      </c>
      <c r="E34" t="s">
        <v>213</v>
      </c>
      <c r="F34">
        <v>5</v>
      </c>
      <c r="G34" t="s">
        <v>32</v>
      </c>
      <c r="H34" t="s">
        <v>14</v>
      </c>
      <c r="I34" t="s">
        <v>15</v>
      </c>
      <c r="J34" t="s">
        <v>34</v>
      </c>
      <c r="K34">
        <v>40</v>
      </c>
    </row>
    <row r="35" spans="1:11" x14ac:dyDescent="0.25">
      <c r="A35" s="105">
        <v>46280.883067129631</v>
      </c>
      <c r="B35" t="s">
        <v>12</v>
      </c>
      <c r="C35" t="s">
        <v>201</v>
      </c>
      <c r="D35" t="s">
        <v>30</v>
      </c>
      <c r="E35" t="s">
        <v>31</v>
      </c>
      <c r="F35">
        <v>10</v>
      </c>
      <c r="G35" t="s">
        <v>19</v>
      </c>
      <c r="H35" t="s">
        <v>14</v>
      </c>
      <c r="I35" t="s">
        <v>15</v>
      </c>
      <c r="J35" t="s">
        <v>16</v>
      </c>
      <c r="K35">
        <v>136.69999999999999</v>
      </c>
    </row>
    <row r="36" spans="1:11" x14ac:dyDescent="0.25">
      <c r="A36" s="105">
        <v>46280.883194444446</v>
      </c>
      <c r="B36" t="s">
        <v>17</v>
      </c>
      <c r="C36" t="s">
        <v>18</v>
      </c>
      <c r="D36" t="s">
        <v>30</v>
      </c>
      <c r="E36" t="s">
        <v>31</v>
      </c>
      <c r="F36">
        <v>5</v>
      </c>
      <c r="G36" t="s">
        <v>19</v>
      </c>
      <c r="H36" t="s">
        <v>20</v>
      </c>
      <c r="I36" t="s">
        <v>15</v>
      </c>
      <c r="J36" t="s">
        <v>16</v>
      </c>
      <c r="K36">
        <v>47.8</v>
      </c>
    </row>
    <row r="37" spans="1:11" x14ac:dyDescent="0.25">
      <c r="A37" s="105">
        <v>46280.883842592593</v>
      </c>
      <c r="B37" t="s">
        <v>22</v>
      </c>
      <c r="C37" t="s">
        <v>202</v>
      </c>
      <c r="D37" t="s">
        <v>242</v>
      </c>
      <c r="E37" t="s">
        <v>243</v>
      </c>
      <c r="F37">
        <v>10</v>
      </c>
      <c r="G37" t="s">
        <v>32</v>
      </c>
      <c r="H37" t="s">
        <v>33</v>
      </c>
      <c r="I37" t="s">
        <v>15</v>
      </c>
      <c r="J37" t="s">
        <v>34</v>
      </c>
      <c r="K37">
        <v>70</v>
      </c>
    </row>
    <row r="38" spans="1:11" x14ac:dyDescent="0.25">
      <c r="A38" s="105">
        <v>46280.884050925924</v>
      </c>
      <c r="B38" t="s">
        <v>23</v>
      </c>
      <c r="C38" t="s">
        <v>24</v>
      </c>
      <c r="D38" t="s">
        <v>242</v>
      </c>
      <c r="E38" t="s">
        <v>243</v>
      </c>
      <c r="F38">
        <v>10</v>
      </c>
      <c r="G38" t="s">
        <v>32</v>
      </c>
      <c r="H38" t="s">
        <v>39</v>
      </c>
      <c r="I38" t="s">
        <v>15</v>
      </c>
      <c r="J38" t="s">
        <v>34</v>
      </c>
      <c r="K38">
        <v>71.2</v>
      </c>
    </row>
    <row r="39" spans="1:11" x14ac:dyDescent="0.25">
      <c r="A39" s="105">
        <v>46280.947106481479</v>
      </c>
      <c r="B39" t="s">
        <v>35</v>
      </c>
      <c r="C39" t="s">
        <v>205</v>
      </c>
      <c r="D39" t="s">
        <v>30</v>
      </c>
      <c r="E39" t="s">
        <v>31</v>
      </c>
      <c r="F39">
        <v>10</v>
      </c>
      <c r="G39" t="s">
        <v>19</v>
      </c>
      <c r="H39" t="s">
        <v>20</v>
      </c>
      <c r="I39" t="s">
        <v>15</v>
      </c>
      <c r="J39" t="s">
        <v>16</v>
      </c>
      <c r="K39">
        <v>118.7</v>
      </c>
    </row>
    <row r="40" spans="1:11" x14ac:dyDescent="0.25">
      <c r="A40" s="105">
        <v>46281.075312499997</v>
      </c>
      <c r="B40" t="s">
        <v>17</v>
      </c>
      <c r="C40" t="s">
        <v>18</v>
      </c>
      <c r="D40" t="s">
        <v>30</v>
      </c>
      <c r="E40" t="s">
        <v>31</v>
      </c>
      <c r="F40">
        <v>5</v>
      </c>
      <c r="G40" t="s">
        <v>19</v>
      </c>
      <c r="H40" t="s">
        <v>20</v>
      </c>
      <c r="I40" t="s">
        <v>15</v>
      </c>
      <c r="J40" t="s">
        <v>16</v>
      </c>
      <c r="K40">
        <v>47.8</v>
      </c>
    </row>
    <row r="41" spans="1:11" x14ac:dyDescent="0.25">
      <c r="A41" s="105">
        <v>46281.248067129629</v>
      </c>
      <c r="B41" t="s">
        <v>240</v>
      </c>
      <c r="C41" t="s">
        <v>241</v>
      </c>
      <c r="D41" t="s">
        <v>283</v>
      </c>
      <c r="E41" t="s">
        <v>284</v>
      </c>
      <c r="F41">
        <v>5</v>
      </c>
      <c r="G41" t="s">
        <v>32</v>
      </c>
      <c r="H41" t="s">
        <v>14</v>
      </c>
      <c r="I41" t="s">
        <v>15</v>
      </c>
      <c r="J41" t="s">
        <v>34</v>
      </c>
      <c r="K41">
        <v>40</v>
      </c>
    </row>
    <row r="42" spans="1:11" x14ac:dyDescent="0.25">
      <c r="A42" s="105">
        <v>46281.403275462966</v>
      </c>
      <c r="B42" t="s">
        <v>40</v>
      </c>
      <c r="C42" t="s">
        <v>209</v>
      </c>
      <c r="D42" t="s">
        <v>236</v>
      </c>
      <c r="E42" t="s">
        <v>237</v>
      </c>
      <c r="F42">
        <v>10</v>
      </c>
      <c r="G42" t="s">
        <v>13</v>
      </c>
      <c r="H42" t="s">
        <v>14</v>
      </c>
      <c r="I42" t="s">
        <v>15</v>
      </c>
      <c r="J42" t="s">
        <v>37</v>
      </c>
      <c r="K42">
        <v>188</v>
      </c>
    </row>
    <row r="43" spans="1:11" x14ac:dyDescent="0.25">
      <c r="A43" s="105">
        <v>46281.438796296294</v>
      </c>
      <c r="B43" t="s">
        <v>44</v>
      </c>
      <c r="C43" t="s">
        <v>18</v>
      </c>
      <c r="D43" t="s">
        <v>236</v>
      </c>
      <c r="E43" t="s">
        <v>237</v>
      </c>
      <c r="F43">
        <v>5</v>
      </c>
      <c r="G43" t="s">
        <v>28</v>
      </c>
      <c r="H43" t="s">
        <v>39</v>
      </c>
      <c r="I43" t="s">
        <v>15</v>
      </c>
      <c r="J43" t="s">
        <v>29</v>
      </c>
      <c r="K43">
        <v>44.85</v>
      </c>
    </row>
    <row r="44" spans="1:11" x14ac:dyDescent="0.25">
      <c r="A44" s="105">
        <v>46281.439236111109</v>
      </c>
      <c r="B44" t="s">
        <v>22</v>
      </c>
      <c r="C44" t="s">
        <v>202</v>
      </c>
      <c r="D44" t="s">
        <v>236</v>
      </c>
      <c r="E44" t="s">
        <v>237</v>
      </c>
      <c r="F44">
        <v>10</v>
      </c>
      <c r="G44" t="s">
        <v>28</v>
      </c>
      <c r="H44" t="s">
        <v>39</v>
      </c>
      <c r="I44" t="s">
        <v>15</v>
      </c>
      <c r="J44" t="s">
        <v>29</v>
      </c>
      <c r="K44">
        <v>70</v>
      </c>
    </row>
    <row r="45" spans="1:11" x14ac:dyDescent="0.25">
      <c r="A45" s="105">
        <v>46281.439398148148</v>
      </c>
      <c r="B45" t="s">
        <v>12</v>
      </c>
      <c r="C45" t="s">
        <v>201</v>
      </c>
      <c r="D45" t="s">
        <v>236</v>
      </c>
      <c r="E45" t="s">
        <v>237</v>
      </c>
      <c r="F45">
        <v>10</v>
      </c>
      <c r="G45" t="s">
        <v>28</v>
      </c>
      <c r="H45" t="s">
        <v>14</v>
      </c>
      <c r="I45" t="s">
        <v>15</v>
      </c>
      <c r="J45" t="s">
        <v>29</v>
      </c>
      <c r="K45">
        <v>136.69999999999999</v>
      </c>
    </row>
    <row r="46" spans="1:11" x14ac:dyDescent="0.25">
      <c r="A46" s="105">
        <v>46281.439571759256</v>
      </c>
      <c r="B46" t="s">
        <v>23</v>
      </c>
      <c r="C46" t="s">
        <v>24</v>
      </c>
      <c r="D46" t="s">
        <v>236</v>
      </c>
      <c r="E46" t="s">
        <v>237</v>
      </c>
      <c r="F46">
        <v>10</v>
      </c>
      <c r="G46" t="s">
        <v>13</v>
      </c>
      <c r="H46" t="s">
        <v>14</v>
      </c>
      <c r="I46" t="s">
        <v>15</v>
      </c>
      <c r="J46" t="s">
        <v>37</v>
      </c>
      <c r="K46">
        <v>71.2</v>
      </c>
    </row>
    <row r="47" spans="1:11" x14ac:dyDescent="0.25">
      <c r="A47" s="105">
        <v>46281.882025462961</v>
      </c>
      <c r="B47" t="s">
        <v>36</v>
      </c>
      <c r="C47" t="s">
        <v>204</v>
      </c>
      <c r="D47" t="s">
        <v>30</v>
      </c>
      <c r="E47" t="s">
        <v>31</v>
      </c>
      <c r="F47">
        <v>10</v>
      </c>
      <c r="G47" t="s">
        <v>13</v>
      </c>
      <c r="H47" t="s">
        <v>20</v>
      </c>
      <c r="I47" t="s">
        <v>15</v>
      </c>
      <c r="J47" t="s">
        <v>160</v>
      </c>
      <c r="K47">
        <v>87</v>
      </c>
    </row>
    <row r="48" spans="1:11" x14ac:dyDescent="0.25">
      <c r="A48" s="105">
        <v>46281.925370370373</v>
      </c>
      <c r="B48" t="s">
        <v>17</v>
      </c>
      <c r="C48" t="s">
        <v>18</v>
      </c>
      <c r="D48" t="s">
        <v>212</v>
      </c>
      <c r="E48" t="s">
        <v>213</v>
      </c>
      <c r="F48">
        <v>5</v>
      </c>
      <c r="G48" t="s">
        <v>32</v>
      </c>
      <c r="H48" t="s">
        <v>38</v>
      </c>
      <c r="I48" t="s">
        <v>15</v>
      </c>
      <c r="J48" t="s">
        <v>34</v>
      </c>
      <c r="K48">
        <v>47.8</v>
      </c>
    </row>
    <row r="49" spans="1:11" x14ac:dyDescent="0.25">
      <c r="A49" s="105">
        <v>46282.061192129629</v>
      </c>
      <c r="B49" t="s">
        <v>17</v>
      </c>
      <c r="C49" t="s">
        <v>18</v>
      </c>
      <c r="D49" t="s">
        <v>207</v>
      </c>
      <c r="E49" t="s">
        <v>208</v>
      </c>
      <c r="F49">
        <v>5</v>
      </c>
      <c r="G49" t="s">
        <v>19</v>
      </c>
      <c r="H49" t="s">
        <v>20</v>
      </c>
      <c r="I49" t="s">
        <v>15</v>
      </c>
      <c r="J49" t="s">
        <v>16</v>
      </c>
      <c r="K49">
        <v>47.8</v>
      </c>
    </row>
    <row r="50" spans="1:11" x14ac:dyDescent="0.25">
      <c r="A50" s="105">
        <v>46282.061481481483</v>
      </c>
      <c r="B50" t="s">
        <v>12</v>
      </c>
      <c r="C50" t="s">
        <v>201</v>
      </c>
      <c r="D50" t="s">
        <v>207</v>
      </c>
      <c r="E50" t="s">
        <v>208</v>
      </c>
      <c r="F50">
        <v>10</v>
      </c>
      <c r="G50" t="s">
        <v>19</v>
      </c>
      <c r="H50" t="s">
        <v>14</v>
      </c>
      <c r="I50" t="s">
        <v>15</v>
      </c>
      <c r="J50" t="s">
        <v>16</v>
      </c>
      <c r="K50">
        <v>136.69999999999999</v>
      </c>
    </row>
    <row r="51" spans="1:11" x14ac:dyDescent="0.25">
      <c r="A51" s="105">
        <v>46282.22047453704</v>
      </c>
      <c r="B51" t="s">
        <v>41</v>
      </c>
      <c r="C51" t="s">
        <v>205</v>
      </c>
      <c r="D51" t="s">
        <v>236</v>
      </c>
      <c r="E51" t="s">
        <v>237</v>
      </c>
      <c r="F51">
        <v>10</v>
      </c>
      <c r="G51" t="s">
        <v>13</v>
      </c>
      <c r="H51" t="s">
        <v>20</v>
      </c>
      <c r="I51" t="s">
        <v>15</v>
      </c>
      <c r="J51" t="s">
        <v>160</v>
      </c>
      <c r="K51">
        <v>138.80000000000001</v>
      </c>
    </row>
    <row r="52" spans="1:11" x14ac:dyDescent="0.25">
      <c r="A52" s="105">
        <v>46282.226840277777</v>
      </c>
      <c r="B52" t="s">
        <v>240</v>
      </c>
      <c r="C52" t="s">
        <v>241</v>
      </c>
      <c r="D52" t="s">
        <v>26</v>
      </c>
      <c r="E52" t="s">
        <v>27</v>
      </c>
      <c r="F52">
        <v>5</v>
      </c>
      <c r="G52" t="s">
        <v>19</v>
      </c>
      <c r="H52" t="s">
        <v>39</v>
      </c>
      <c r="I52" t="s">
        <v>15</v>
      </c>
      <c r="J52" t="s">
        <v>16</v>
      </c>
      <c r="K52">
        <v>40</v>
      </c>
    </row>
    <row r="53" spans="1:11" x14ac:dyDescent="0.25">
      <c r="A53" s="105">
        <v>46282.227025462962</v>
      </c>
      <c r="B53" t="s">
        <v>294</v>
      </c>
      <c r="C53" t="s">
        <v>295</v>
      </c>
      <c r="D53" t="s">
        <v>26</v>
      </c>
      <c r="E53" t="s">
        <v>27</v>
      </c>
      <c r="F53">
        <v>5</v>
      </c>
      <c r="G53" t="s">
        <v>19</v>
      </c>
      <c r="H53" t="s">
        <v>39</v>
      </c>
      <c r="I53" t="s">
        <v>15</v>
      </c>
      <c r="J53" t="s">
        <v>16</v>
      </c>
      <c r="K53">
        <v>40</v>
      </c>
    </row>
    <row r="54" spans="1:11" x14ac:dyDescent="0.25">
      <c r="A54" s="105">
        <v>46282.227314814816</v>
      </c>
      <c r="B54" t="s">
        <v>22</v>
      </c>
      <c r="C54" t="s">
        <v>202</v>
      </c>
      <c r="D54" t="s">
        <v>26</v>
      </c>
      <c r="E54" t="s">
        <v>27</v>
      </c>
      <c r="F54">
        <v>10</v>
      </c>
      <c r="G54" t="s">
        <v>19</v>
      </c>
      <c r="H54" t="s">
        <v>14</v>
      </c>
      <c r="I54" t="s">
        <v>15</v>
      </c>
      <c r="J54" t="s">
        <v>16</v>
      </c>
      <c r="K54">
        <v>70</v>
      </c>
    </row>
    <row r="55" spans="1:11" x14ac:dyDescent="0.25">
      <c r="A55" s="105">
        <v>46282.247870370367</v>
      </c>
      <c r="B55" t="s">
        <v>22</v>
      </c>
      <c r="C55" t="s">
        <v>202</v>
      </c>
      <c r="D55" t="s">
        <v>215</v>
      </c>
      <c r="E55" t="s">
        <v>203</v>
      </c>
      <c r="F55">
        <v>10</v>
      </c>
      <c r="G55" t="s">
        <v>32</v>
      </c>
      <c r="H55" t="s">
        <v>33</v>
      </c>
      <c r="I55" t="s">
        <v>15</v>
      </c>
      <c r="J55" t="s">
        <v>34</v>
      </c>
      <c r="K55">
        <v>70</v>
      </c>
    </row>
    <row r="56" spans="1:11" x14ac:dyDescent="0.25">
      <c r="A56" s="105">
        <v>46282.250844907408</v>
      </c>
      <c r="B56" t="s">
        <v>240</v>
      </c>
      <c r="C56" t="s">
        <v>241</v>
      </c>
      <c r="D56" t="s">
        <v>283</v>
      </c>
      <c r="E56" t="s">
        <v>284</v>
      </c>
      <c r="F56">
        <v>5</v>
      </c>
      <c r="G56" t="s">
        <v>32</v>
      </c>
      <c r="H56" t="s">
        <v>14</v>
      </c>
      <c r="I56" t="s">
        <v>15</v>
      </c>
      <c r="J56" t="s">
        <v>34</v>
      </c>
      <c r="K56">
        <v>40</v>
      </c>
    </row>
    <row r="57" spans="1:11" x14ac:dyDescent="0.25">
      <c r="A57" s="105">
        <v>46282.251087962963</v>
      </c>
      <c r="B57" t="s">
        <v>17</v>
      </c>
      <c r="C57" t="s">
        <v>18</v>
      </c>
      <c r="D57" t="s">
        <v>283</v>
      </c>
      <c r="E57" t="s">
        <v>284</v>
      </c>
      <c r="F57">
        <v>5</v>
      </c>
      <c r="G57" t="s">
        <v>32</v>
      </c>
      <c r="H57" t="s">
        <v>38</v>
      </c>
      <c r="I57" t="s">
        <v>15</v>
      </c>
      <c r="J57" t="s">
        <v>34</v>
      </c>
      <c r="K57">
        <v>47.8</v>
      </c>
    </row>
    <row r="58" spans="1:11" x14ac:dyDescent="0.25">
      <c r="A58" s="105">
        <v>46282.336354166669</v>
      </c>
      <c r="B58" t="s">
        <v>23</v>
      </c>
      <c r="C58" t="s">
        <v>24</v>
      </c>
      <c r="D58" t="s">
        <v>236</v>
      </c>
      <c r="E58" t="s">
        <v>237</v>
      </c>
      <c r="F58">
        <v>10</v>
      </c>
      <c r="G58" t="s">
        <v>13</v>
      </c>
      <c r="H58" t="s">
        <v>14</v>
      </c>
      <c r="I58" t="s">
        <v>15</v>
      </c>
      <c r="J58" t="s">
        <v>160</v>
      </c>
      <c r="K58">
        <v>71.2</v>
      </c>
    </row>
    <row r="59" spans="1:11" x14ac:dyDescent="0.25">
      <c r="A59" s="105">
        <v>46282.389976851853</v>
      </c>
      <c r="B59" t="s">
        <v>25</v>
      </c>
      <c r="C59" t="s">
        <v>201</v>
      </c>
      <c r="D59" t="s">
        <v>215</v>
      </c>
      <c r="E59" t="s">
        <v>203</v>
      </c>
      <c r="F59">
        <v>10</v>
      </c>
      <c r="G59" t="s">
        <v>32</v>
      </c>
      <c r="H59" t="s">
        <v>33</v>
      </c>
      <c r="I59" t="s">
        <v>15</v>
      </c>
      <c r="J59" t="s">
        <v>34</v>
      </c>
      <c r="K59">
        <v>108.5</v>
      </c>
    </row>
    <row r="60" spans="1:11" x14ac:dyDescent="0.25">
      <c r="A60" s="105">
        <v>46282.50141203704</v>
      </c>
      <c r="B60" t="s">
        <v>36</v>
      </c>
      <c r="C60" t="s">
        <v>204</v>
      </c>
      <c r="D60" t="s">
        <v>236</v>
      </c>
      <c r="E60" t="s">
        <v>237</v>
      </c>
      <c r="F60">
        <v>10</v>
      </c>
      <c r="G60" t="s">
        <v>13</v>
      </c>
      <c r="H60" t="s">
        <v>20</v>
      </c>
      <c r="I60" t="s">
        <v>15</v>
      </c>
      <c r="J60" t="s">
        <v>160</v>
      </c>
      <c r="K60">
        <v>87</v>
      </c>
    </row>
    <row r="61" spans="1:11" x14ac:dyDescent="0.25">
      <c r="A61" s="105">
        <v>46282.877638888887</v>
      </c>
      <c r="B61" t="s">
        <v>17</v>
      </c>
      <c r="C61" t="s">
        <v>18</v>
      </c>
      <c r="D61" t="s">
        <v>212</v>
      </c>
      <c r="E61" t="s">
        <v>213</v>
      </c>
      <c r="F61">
        <v>5</v>
      </c>
      <c r="G61" t="s">
        <v>32</v>
      </c>
      <c r="H61" t="s">
        <v>38</v>
      </c>
      <c r="I61" t="s">
        <v>15</v>
      </c>
      <c r="J61" t="s">
        <v>34</v>
      </c>
      <c r="K61">
        <v>47.8</v>
      </c>
    </row>
    <row r="62" spans="1:11" x14ac:dyDescent="0.25">
      <c r="A62" s="105">
        <v>46282.877986111111</v>
      </c>
      <c r="B62" t="s">
        <v>240</v>
      </c>
      <c r="C62" t="s">
        <v>241</v>
      </c>
      <c r="D62" t="s">
        <v>212</v>
      </c>
      <c r="E62" t="s">
        <v>213</v>
      </c>
      <c r="F62">
        <v>5</v>
      </c>
      <c r="G62" t="s">
        <v>32</v>
      </c>
      <c r="H62" t="s">
        <v>14</v>
      </c>
      <c r="I62" t="s">
        <v>15</v>
      </c>
      <c r="J62" t="s">
        <v>34</v>
      </c>
      <c r="K62">
        <v>40</v>
      </c>
    </row>
    <row r="63" spans="1:11" x14ac:dyDescent="0.25">
      <c r="A63" s="105">
        <v>46282.878240740742</v>
      </c>
      <c r="B63" t="s">
        <v>22</v>
      </c>
      <c r="C63" t="s">
        <v>202</v>
      </c>
      <c r="D63" t="s">
        <v>212</v>
      </c>
      <c r="E63" t="s">
        <v>213</v>
      </c>
      <c r="F63">
        <v>10</v>
      </c>
      <c r="G63" t="s">
        <v>32</v>
      </c>
      <c r="H63" t="s">
        <v>38</v>
      </c>
      <c r="I63" t="s">
        <v>15</v>
      </c>
      <c r="J63" t="s">
        <v>34</v>
      </c>
      <c r="K63">
        <v>70</v>
      </c>
    </row>
    <row r="64" spans="1:11" x14ac:dyDescent="0.25">
      <c r="A64" s="105">
        <v>46282.882094907407</v>
      </c>
      <c r="B64" t="s">
        <v>25</v>
      </c>
      <c r="C64" t="s">
        <v>201</v>
      </c>
      <c r="D64" t="s">
        <v>242</v>
      </c>
      <c r="E64" t="s">
        <v>243</v>
      </c>
      <c r="F64">
        <v>10</v>
      </c>
      <c r="G64" t="s">
        <v>32</v>
      </c>
      <c r="H64" t="s">
        <v>33</v>
      </c>
      <c r="I64" t="s">
        <v>15</v>
      </c>
      <c r="J64" t="s">
        <v>34</v>
      </c>
      <c r="K64">
        <v>108.5</v>
      </c>
    </row>
    <row r="65" spans="1:11" x14ac:dyDescent="0.25">
      <c r="A65" s="105">
        <v>46282.882349537038</v>
      </c>
      <c r="B65" t="s">
        <v>22</v>
      </c>
      <c r="C65" t="s">
        <v>202</v>
      </c>
      <c r="D65" t="s">
        <v>242</v>
      </c>
      <c r="E65" t="s">
        <v>243</v>
      </c>
      <c r="F65">
        <v>10</v>
      </c>
      <c r="G65" t="s">
        <v>32</v>
      </c>
      <c r="H65" t="s">
        <v>33</v>
      </c>
      <c r="I65" t="s">
        <v>15</v>
      </c>
      <c r="J65" t="s">
        <v>34</v>
      </c>
      <c r="K65">
        <v>70</v>
      </c>
    </row>
    <row r="66" spans="1:11" x14ac:dyDescent="0.25">
      <c r="A66" s="105">
        <v>46282.882523148146</v>
      </c>
      <c r="B66" t="s">
        <v>23</v>
      </c>
      <c r="C66" t="s">
        <v>24</v>
      </c>
      <c r="D66" t="s">
        <v>242</v>
      </c>
      <c r="E66" t="s">
        <v>243</v>
      </c>
      <c r="F66">
        <v>10</v>
      </c>
      <c r="G66" t="s">
        <v>32</v>
      </c>
      <c r="H66" t="s">
        <v>39</v>
      </c>
      <c r="I66" t="s">
        <v>15</v>
      </c>
      <c r="J66" t="s">
        <v>34</v>
      </c>
      <c r="K66">
        <v>71.2</v>
      </c>
    </row>
    <row r="67" spans="1:11" x14ac:dyDescent="0.25">
      <c r="A67" s="105">
        <v>46282.89644675926</v>
      </c>
      <c r="B67" t="s">
        <v>17</v>
      </c>
      <c r="C67" t="s">
        <v>18</v>
      </c>
      <c r="D67" t="s">
        <v>30</v>
      </c>
      <c r="E67" t="s">
        <v>31</v>
      </c>
      <c r="F67">
        <v>5</v>
      </c>
      <c r="G67" t="s">
        <v>19</v>
      </c>
      <c r="H67" t="s">
        <v>20</v>
      </c>
      <c r="I67" t="s">
        <v>15</v>
      </c>
      <c r="J67" t="s">
        <v>16</v>
      </c>
      <c r="K67">
        <v>47.8</v>
      </c>
    </row>
    <row r="68" spans="1:11" x14ac:dyDescent="0.25">
      <c r="A68" s="105">
        <v>46282.896701388891</v>
      </c>
      <c r="B68" t="s">
        <v>36</v>
      </c>
      <c r="C68" t="s">
        <v>204</v>
      </c>
      <c r="D68" t="s">
        <v>30</v>
      </c>
      <c r="E68" t="s">
        <v>31</v>
      </c>
      <c r="F68">
        <v>10</v>
      </c>
      <c r="G68" t="s">
        <v>13</v>
      </c>
      <c r="H68" t="s">
        <v>20</v>
      </c>
      <c r="I68" t="s">
        <v>15</v>
      </c>
      <c r="J68" t="s">
        <v>160</v>
      </c>
      <c r="K68">
        <v>87</v>
      </c>
    </row>
    <row r="69" spans="1:11" x14ac:dyDescent="0.25">
      <c r="A69" s="105">
        <v>46282.923472222225</v>
      </c>
      <c r="B69" t="s">
        <v>40</v>
      </c>
      <c r="C69" t="s">
        <v>209</v>
      </c>
      <c r="D69" t="s">
        <v>30</v>
      </c>
      <c r="E69" t="s">
        <v>31</v>
      </c>
      <c r="F69">
        <v>10</v>
      </c>
      <c r="G69" t="s">
        <v>13</v>
      </c>
      <c r="H69" t="s">
        <v>14</v>
      </c>
      <c r="I69" t="s">
        <v>15</v>
      </c>
      <c r="J69" t="s">
        <v>37</v>
      </c>
      <c r="K69">
        <v>188</v>
      </c>
    </row>
    <row r="70" spans="1:11" x14ac:dyDescent="0.25">
      <c r="A70" s="105">
        <v>46283.016458333332</v>
      </c>
      <c r="B70" t="s">
        <v>23</v>
      </c>
      <c r="C70" t="s">
        <v>24</v>
      </c>
      <c r="D70" t="s">
        <v>285</v>
      </c>
      <c r="E70" t="s">
        <v>213</v>
      </c>
      <c r="F70">
        <v>10</v>
      </c>
      <c r="G70" t="s">
        <v>32</v>
      </c>
      <c r="H70" t="s">
        <v>14</v>
      </c>
      <c r="I70" t="s">
        <v>15</v>
      </c>
      <c r="J70" t="s">
        <v>34</v>
      </c>
      <c r="K70">
        <v>71.2</v>
      </c>
    </row>
    <row r="71" spans="1:11" x14ac:dyDescent="0.25">
      <c r="A71" s="105">
        <v>46283.21539351852</v>
      </c>
      <c r="B71" t="s">
        <v>36</v>
      </c>
      <c r="C71" t="s">
        <v>204</v>
      </c>
      <c r="D71" t="s">
        <v>229</v>
      </c>
      <c r="E71" t="s">
        <v>230</v>
      </c>
      <c r="F71">
        <v>10</v>
      </c>
      <c r="G71" t="s">
        <v>13</v>
      </c>
      <c r="H71" t="s">
        <v>20</v>
      </c>
      <c r="I71" t="s">
        <v>15</v>
      </c>
      <c r="J71" t="s">
        <v>160</v>
      </c>
      <c r="K71">
        <v>87</v>
      </c>
    </row>
    <row r="72" spans="1:11" x14ac:dyDescent="0.25">
      <c r="A72" s="105">
        <v>46283.215590277781</v>
      </c>
      <c r="B72" t="s">
        <v>17</v>
      </c>
      <c r="C72" t="s">
        <v>18</v>
      </c>
      <c r="D72" t="s">
        <v>229</v>
      </c>
      <c r="E72" t="s">
        <v>230</v>
      </c>
      <c r="F72">
        <v>5</v>
      </c>
      <c r="G72" t="s">
        <v>28</v>
      </c>
      <c r="H72" t="s">
        <v>20</v>
      </c>
      <c r="I72" t="s">
        <v>15</v>
      </c>
      <c r="J72" t="s">
        <v>29</v>
      </c>
      <c r="K72">
        <v>47.8</v>
      </c>
    </row>
    <row r="73" spans="1:11" x14ac:dyDescent="0.25">
      <c r="A73" s="105">
        <v>46283.215787037036</v>
      </c>
      <c r="B73" t="s">
        <v>22</v>
      </c>
      <c r="C73" t="s">
        <v>202</v>
      </c>
      <c r="D73" t="s">
        <v>229</v>
      </c>
      <c r="E73" t="s">
        <v>230</v>
      </c>
      <c r="F73">
        <v>10</v>
      </c>
      <c r="G73" t="s">
        <v>28</v>
      </c>
      <c r="H73" t="s">
        <v>14</v>
      </c>
      <c r="I73" t="s">
        <v>15</v>
      </c>
      <c r="J73" t="s">
        <v>29</v>
      </c>
      <c r="K73">
        <v>70</v>
      </c>
    </row>
    <row r="74" spans="1:11" x14ac:dyDescent="0.25">
      <c r="A74" s="105">
        <v>46283.215949074074</v>
      </c>
      <c r="B74" t="s">
        <v>35</v>
      </c>
      <c r="C74" t="s">
        <v>205</v>
      </c>
      <c r="D74" t="s">
        <v>229</v>
      </c>
      <c r="E74" t="s">
        <v>230</v>
      </c>
      <c r="F74">
        <v>10</v>
      </c>
      <c r="G74" t="s">
        <v>28</v>
      </c>
      <c r="H74" t="s">
        <v>20</v>
      </c>
      <c r="I74" t="s">
        <v>15</v>
      </c>
      <c r="J74" t="s">
        <v>29</v>
      </c>
      <c r="K74">
        <v>118.7</v>
      </c>
    </row>
    <row r="75" spans="1:11" x14ac:dyDescent="0.25">
      <c r="A75" s="105">
        <v>46283.250543981485</v>
      </c>
      <c r="B75" t="s">
        <v>17</v>
      </c>
      <c r="C75" t="s">
        <v>18</v>
      </c>
      <c r="D75" t="s">
        <v>207</v>
      </c>
      <c r="E75" t="s">
        <v>208</v>
      </c>
      <c r="F75">
        <v>5</v>
      </c>
      <c r="G75" t="s">
        <v>19</v>
      </c>
      <c r="H75" t="s">
        <v>20</v>
      </c>
      <c r="I75" t="s">
        <v>15</v>
      </c>
      <c r="J75" t="s">
        <v>16</v>
      </c>
      <c r="K75">
        <v>47.8</v>
      </c>
    </row>
    <row r="76" spans="1:11" x14ac:dyDescent="0.25">
      <c r="A76" s="105">
        <v>46283.309872685182</v>
      </c>
      <c r="B76" t="s">
        <v>12</v>
      </c>
      <c r="C76" t="s">
        <v>201</v>
      </c>
      <c r="D76" t="s">
        <v>229</v>
      </c>
      <c r="E76" t="s">
        <v>230</v>
      </c>
      <c r="F76">
        <v>10</v>
      </c>
      <c r="G76" t="s">
        <v>28</v>
      </c>
      <c r="H76" t="s">
        <v>14</v>
      </c>
      <c r="I76" t="s">
        <v>15</v>
      </c>
      <c r="J76" t="s">
        <v>29</v>
      </c>
      <c r="K76">
        <v>136.69999999999999</v>
      </c>
    </row>
    <row r="77" spans="1:11" x14ac:dyDescent="0.25">
      <c r="A77" s="105">
        <v>46283.310289351852</v>
      </c>
      <c r="B77" t="s">
        <v>22</v>
      </c>
      <c r="C77" t="s">
        <v>202</v>
      </c>
      <c r="D77" t="s">
        <v>229</v>
      </c>
      <c r="E77" t="s">
        <v>230</v>
      </c>
      <c r="F77">
        <v>10</v>
      </c>
      <c r="G77" t="s">
        <v>28</v>
      </c>
      <c r="H77" t="s">
        <v>14</v>
      </c>
      <c r="I77" t="s">
        <v>15</v>
      </c>
      <c r="J77" t="s">
        <v>29</v>
      </c>
      <c r="K77">
        <v>70</v>
      </c>
    </row>
    <row r="78" spans="1:11" x14ac:dyDescent="0.25">
      <c r="A78" s="105">
        <v>46283.310497685183</v>
      </c>
      <c r="B78" t="s">
        <v>23</v>
      </c>
      <c r="C78" t="s">
        <v>24</v>
      </c>
      <c r="D78" t="s">
        <v>229</v>
      </c>
      <c r="E78" t="s">
        <v>230</v>
      </c>
      <c r="F78">
        <v>10</v>
      </c>
      <c r="G78" t="s">
        <v>28</v>
      </c>
      <c r="H78" t="s">
        <v>14</v>
      </c>
      <c r="I78" t="s">
        <v>15</v>
      </c>
      <c r="J78" t="s">
        <v>29</v>
      </c>
      <c r="K78">
        <v>71.2</v>
      </c>
    </row>
    <row r="79" spans="1:11" x14ac:dyDescent="0.25">
      <c r="A79" s="105">
        <v>46283.312395833331</v>
      </c>
      <c r="B79" t="s">
        <v>22</v>
      </c>
      <c r="C79" t="s">
        <v>202</v>
      </c>
      <c r="D79" t="s">
        <v>229</v>
      </c>
      <c r="E79" t="s">
        <v>230</v>
      </c>
      <c r="F79">
        <v>10</v>
      </c>
      <c r="G79" t="s">
        <v>13</v>
      </c>
      <c r="H79" t="s">
        <v>14</v>
      </c>
      <c r="I79" t="s">
        <v>15</v>
      </c>
      <c r="J79" t="s">
        <v>37</v>
      </c>
      <c r="K79">
        <v>70</v>
      </c>
    </row>
    <row r="80" spans="1:11" x14ac:dyDescent="0.25">
      <c r="A80" s="105">
        <v>46283.312592592592</v>
      </c>
      <c r="B80" t="s">
        <v>23</v>
      </c>
      <c r="C80" t="s">
        <v>24</v>
      </c>
      <c r="D80" t="s">
        <v>229</v>
      </c>
      <c r="E80" t="s">
        <v>230</v>
      </c>
      <c r="F80">
        <v>10</v>
      </c>
      <c r="G80" t="s">
        <v>13</v>
      </c>
      <c r="H80" t="s">
        <v>14</v>
      </c>
      <c r="I80" t="s">
        <v>15</v>
      </c>
      <c r="J80" t="s">
        <v>37</v>
      </c>
      <c r="K80">
        <v>71.2</v>
      </c>
    </row>
    <row r="81" spans="1:11" x14ac:dyDescent="0.25">
      <c r="A81" s="105">
        <v>46283.313854166663</v>
      </c>
      <c r="B81" t="s">
        <v>120</v>
      </c>
      <c r="C81" t="s">
        <v>18</v>
      </c>
      <c r="D81" t="s">
        <v>229</v>
      </c>
      <c r="E81" t="s">
        <v>230</v>
      </c>
      <c r="F81">
        <v>10</v>
      </c>
      <c r="G81" t="s">
        <v>13</v>
      </c>
      <c r="H81" t="s">
        <v>20</v>
      </c>
      <c r="I81" t="s">
        <v>15</v>
      </c>
      <c r="J81" t="s">
        <v>37</v>
      </c>
      <c r="K81">
        <v>109.7</v>
      </c>
    </row>
    <row r="82" spans="1:11" x14ac:dyDescent="0.25">
      <c r="A82" s="105">
        <v>46283.314085648148</v>
      </c>
      <c r="B82" t="s">
        <v>41</v>
      </c>
      <c r="C82" t="s">
        <v>205</v>
      </c>
      <c r="D82" t="s">
        <v>229</v>
      </c>
      <c r="E82" t="s">
        <v>230</v>
      </c>
      <c r="F82">
        <v>10</v>
      </c>
      <c r="G82" t="s">
        <v>13</v>
      </c>
      <c r="H82" t="s">
        <v>20</v>
      </c>
      <c r="I82" t="s">
        <v>15</v>
      </c>
      <c r="J82" t="s">
        <v>37</v>
      </c>
      <c r="K82">
        <v>138.80000000000001</v>
      </c>
    </row>
    <row r="83" spans="1:11" x14ac:dyDescent="0.25">
      <c r="A83" s="105">
        <v>46283.314247685186</v>
      </c>
      <c r="B83" t="s">
        <v>17</v>
      </c>
      <c r="C83" t="s">
        <v>18</v>
      </c>
      <c r="D83" t="s">
        <v>229</v>
      </c>
      <c r="E83" t="s">
        <v>230</v>
      </c>
      <c r="F83">
        <v>5</v>
      </c>
      <c r="G83" t="s">
        <v>28</v>
      </c>
      <c r="H83" t="s">
        <v>20</v>
      </c>
      <c r="I83" t="s">
        <v>15</v>
      </c>
      <c r="J83" t="s">
        <v>29</v>
      </c>
      <c r="K83">
        <v>47.8</v>
      </c>
    </row>
    <row r="84" spans="1:11" x14ac:dyDescent="0.25">
      <c r="A84" s="105">
        <v>46283.314432870371</v>
      </c>
      <c r="B84" t="s">
        <v>120</v>
      </c>
      <c r="C84" t="s">
        <v>18</v>
      </c>
      <c r="D84" t="s">
        <v>229</v>
      </c>
      <c r="E84" t="s">
        <v>230</v>
      </c>
      <c r="F84">
        <v>10</v>
      </c>
      <c r="G84" t="s">
        <v>28</v>
      </c>
      <c r="H84" t="s">
        <v>20</v>
      </c>
      <c r="I84" t="s">
        <v>15</v>
      </c>
      <c r="J84" t="s">
        <v>29</v>
      </c>
      <c r="K84">
        <v>109.7</v>
      </c>
    </row>
    <row r="85" spans="1:11" x14ac:dyDescent="0.25">
      <c r="A85" s="105">
        <v>46283.314629629633</v>
      </c>
      <c r="B85" t="s">
        <v>35</v>
      </c>
      <c r="C85" t="s">
        <v>205</v>
      </c>
      <c r="D85" t="s">
        <v>229</v>
      </c>
      <c r="E85" t="s">
        <v>230</v>
      </c>
      <c r="F85">
        <v>10</v>
      </c>
      <c r="G85" t="s">
        <v>28</v>
      </c>
      <c r="H85" t="s">
        <v>20</v>
      </c>
      <c r="I85" t="s">
        <v>15</v>
      </c>
      <c r="J85" t="s">
        <v>29</v>
      </c>
      <c r="K85">
        <v>118.7</v>
      </c>
    </row>
    <row r="86" spans="1:11" x14ac:dyDescent="0.25">
      <c r="A86" s="105">
        <v>46283.330416666664</v>
      </c>
      <c r="B86" t="s">
        <v>35</v>
      </c>
      <c r="C86" t="s">
        <v>205</v>
      </c>
      <c r="D86" t="s">
        <v>229</v>
      </c>
      <c r="E86" t="s">
        <v>230</v>
      </c>
      <c r="F86">
        <v>10</v>
      </c>
      <c r="G86" t="s">
        <v>28</v>
      </c>
      <c r="H86" t="s">
        <v>20</v>
      </c>
      <c r="I86" t="s">
        <v>15</v>
      </c>
      <c r="J86" t="s">
        <v>29</v>
      </c>
      <c r="K86">
        <v>118.7</v>
      </c>
    </row>
    <row r="87" spans="1:11" x14ac:dyDescent="0.25">
      <c r="A87" s="105">
        <v>46283.391643518517</v>
      </c>
      <c r="B87" t="s">
        <v>12</v>
      </c>
      <c r="C87" t="s">
        <v>201</v>
      </c>
      <c r="D87" t="s">
        <v>207</v>
      </c>
      <c r="E87" t="s">
        <v>208</v>
      </c>
      <c r="F87">
        <v>10</v>
      </c>
      <c r="G87" t="s">
        <v>19</v>
      </c>
      <c r="H87" t="s">
        <v>14</v>
      </c>
      <c r="I87" t="s">
        <v>15</v>
      </c>
      <c r="J87" t="s">
        <v>16</v>
      </c>
      <c r="K87">
        <v>136.69999999999999</v>
      </c>
    </row>
    <row r="88" spans="1:11" x14ac:dyDescent="0.25">
      <c r="A88" s="105">
        <v>46283.596944444442</v>
      </c>
      <c r="B88" t="s">
        <v>17</v>
      </c>
      <c r="C88" t="s">
        <v>18</v>
      </c>
      <c r="D88" t="s">
        <v>281</v>
      </c>
      <c r="E88" t="s">
        <v>282</v>
      </c>
      <c r="F88">
        <v>5</v>
      </c>
      <c r="G88" t="s">
        <v>19</v>
      </c>
      <c r="H88" t="s">
        <v>20</v>
      </c>
      <c r="I88" t="s">
        <v>15</v>
      </c>
      <c r="J88" t="s">
        <v>16</v>
      </c>
      <c r="K88">
        <v>47.8</v>
      </c>
    </row>
    <row r="89" spans="1:11" x14ac:dyDescent="0.25">
      <c r="A89" s="105">
        <v>46283.59716435185</v>
      </c>
      <c r="B89" t="s">
        <v>22</v>
      </c>
      <c r="C89" t="s">
        <v>202</v>
      </c>
      <c r="D89" t="s">
        <v>281</v>
      </c>
      <c r="E89" t="s">
        <v>282</v>
      </c>
      <c r="F89">
        <v>10</v>
      </c>
      <c r="G89" t="s">
        <v>19</v>
      </c>
      <c r="H89" t="s">
        <v>14</v>
      </c>
      <c r="I89" t="s">
        <v>15</v>
      </c>
      <c r="J89" t="s">
        <v>16</v>
      </c>
      <c r="K89">
        <v>70</v>
      </c>
    </row>
    <row r="90" spans="1:11" x14ac:dyDescent="0.25">
      <c r="A90" s="105">
        <v>46283.597361111111</v>
      </c>
      <c r="B90" t="s">
        <v>240</v>
      </c>
      <c r="C90" t="s">
        <v>241</v>
      </c>
      <c r="D90" t="s">
        <v>281</v>
      </c>
      <c r="E90" t="s">
        <v>282</v>
      </c>
      <c r="F90">
        <v>5</v>
      </c>
      <c r="G90" t="s">
        <v>19</v>
      </c>
      <c r="H90" t="s">
        <v>39</v>
      </c>
      <c r="I90" t="s">
        <v>15</v>
      </c>
      <c r="J90" t="s">
        <v>16</v>
      </c>
      <c r="K90">
        <v>40</v>
      </c>
    </row>
    <row r="91" spans="1:11" x14ac:dyDescent="0.25">
      <c r="A91" s="105">
        <v>46283.597534722219</v>
      </c>
      <c r="B91" t="s">
        <v>294</v>
      </c>
      <c r="C91" t="s">
        <v>295</v>
      </c>
      <c r="D91" t="s">
        <v>281</v>
      </c>
      <c r="E91" t="s">
        <v>282</v>
      </c>
      <c r="F91">
        <v>5</v>
      </c>
      <c r="G91" t="s">
        <v>19</v>
      </c>
      <c r="H91" t="s">
        <v>39</v>
      </c>
      <c r="I91" t="s">
        <v>15</v>
      </c>
      <c r="J91" t="s">
        <v>16</v>
      </c>
      <c r="K91">
        <v>40</v>
      </c>
    </row>
    <row r="92" spans="1:11" x14ac:dyDescent="0.25">
      <c r="A92" s="105">
        <v>46283.708298611113</v>
      </c>
      <c r="B92" t="s">
        <v>240</v>
      </c>
      <c r="C92" t="s">
        <v>241</v>
      </c>
      <c r="D92" t="s">
        <v>234</v>
      </c>
      <c r="E92" t="s">
        <v>235</v>
      </c>
      <c r="F92">
        <v>5</v>
      </c>
      <c r="G92" t="s">
        <v>32</v>
      </c>
      <c r="H92" t="s">
        <v>14</v>
      </c>
      <c r="I92" t="s">
        <v>15</v>
      </c>
      <c r="J92" t="s">
        <v>34</v>
      </c>
      <c r="K92">
        <v>40</v>
      </c>
    </row>
    <row r="93" spans="1:11" x14ac:dyDescent="0.25">
      <c r="A93" s="105">
        <v>46283.708506944444</v>
      </c>
      <c r="B93" t="s">
        <v>240</v>
      </c>
      <c r="C93" t="s">
        <v>241</v>
      </c>
      <c r="D93" t="s">
        <v>234</v>
      </c>
      <c r="E93" t="s">
        <v>235</v>
      </c>
      <c r="F93">
        <v>5</v>
      </c>
      <c r="G93" t="s">
        <v>32</v>
      </c>
      <c r="H93" t="s">
        <v>14</v>
      </c>
      <c r="I93" t="s">
        <v>15</v>
      </c>
      <c r="J93" t="s">
        <v>34</v>
      </c>
      <c r="K93">
        <v>40</v>
      </c>
    </row>
    <row r="94" spans="1:11" x14ac:dyDescent="0.25">
      <c r="A94" s="105">
        <v>46283.708657407406</v>
      </c>
      <c r="B94" t="s">
        <v>17</v>
      </c>
      <c r="C94" t="s">
        <v>18</v>
      </c>
      <c r="D94" t="s">
        <v>234</v>
      </c>
      <c r="E94" t="s">
        <v>235</v>
      </c>
      <c r="F94">
        <v>5</v>
      </c>
      <c r="G94" t="s">
        <v>32</v>
      </c>
      <c r="H94" t="s">
        <v>38</v>
      </c>
      <c r="I94" t="s">
        <v>15</v>
      </c>
      <c r="J94" t="s">
        <v>34</v>
      </c>
      <c r="K94">
        <v>47.8</v>
      </c>
    </row>
    <row r="95" spans="1:11" x14ac:dyDescent="0.25">
      <c r="A95" s="105">
        <v>46283.708923611113</v>
      </c>
      <c r="B95" t="s">
        <v>17</v>
      </c>
      <c r="C95" t="s">
        <v>18</v>
      </c>
      <c r="D95" t="s">
        <v>234</v>
      </c>
      <c r="E95" t="s">
        <v>235</v>
      </c>
      <c r="F95">
        <v>5</v>
      </c>
      <c r="G95" t="s">
        <v>32</v>
      </c>
      <c r="H95" t="s">
        <v>38</v>
      </c>
      <c r="I95" t="s">
        <v>15</v>
      </c>
      <c r="J95" t="s">
        <v>34</v>
      </c>
      <c r="K95">
        <v>47.8</v>
      </c>
    </row>
    <row r="96" spans="1:11" x14ac:dyDescent="0.25">
      <c r="A96" s="105">
        <v>46283.709085648145</v>
      </c>
      <c r="B96" t="s">
        <v>22</v>
      </c>
      <c r="C96" t="s">
        <v>202</v>
      </c>
      <c r="D96" t="s">
        <v>234</v>
      </c>
      <c r="E96" t="s">
        <v>235</v>
      </c>
      <c r="F96">
        <v>10</v>
      </c>
      <c r="G96" t="s">
        <v>32</v>
      </c>
      <c r="H96" t="s">
        <v>38</v>
      </c>
      <c r="I96" t="s">
        <v>15</v>
      </c>
      <c r="J96" t="s">
        <v>34</v>
      </c>
      <c r="K96">
        <v>70</v>
      </c>
    </row>
    <row r="97" spans="1:11" x14ac:dyDescent="0.25">
      <c r="A97" s="105">
        <v>46283.876284722224</v>
      </c>
      <c r="B97" t="s">
        <v>25</v>
      </c>
      <c r="C97" t="s">
        <v>201</v>
      </c>
      <c r="D97" t="s">
        <v>212</v>
      </c>
      <c r="E97" t="s">
        <v>213</v>
      </c>
      <c r="F97">
        <v>10</v>
      </c>
      <c r="G97" t="s">
        <v>32</v>
      </c>
      <c r="H97" t="s">
        <v>33</v>
      </c>
      <c r="I97" t="s">
        <v>15</v>
      </c>
      <c r="J97" t="s">
        <v>34</v>
      </c>
      <c r="K97">
        <v>108.5</v>
      </c>
    </row>
    <row r="98" spans="1:11" x14ac:dyDescent="0.25">
      <c r="A98" s="105">
        <v>46283.876701388886</v>
      </c>
      <c r="B98" t="s">
        <v>23</v>
      </c>
      <c r="C98" t="s">
        <v>24</v>
      </c>
      <c r="D98" t="s">
        <v>212</v>
      </c>
      <c r="E98" t="s">
        <v>213</v>
      </c>
      <c r="F98">
        <v>10</v>
      </c>
      <c r="G98" t="s">
        <v>32</v>
      </c>
      <c r="H98" t="s">
        <v>39</v>
      </c>
      <c r="I98" t="s">
        <v>15</v>
      </c>
      <c r="J98" t="s">
        <v>34</v>
      </c>
      <c r="K98">
        <v>71.2</v>
      </c>
    </row>
    <row r="99" spans="1:11" x14ac:dyDescent="0.25">
      <c r="A99" s="105">
        <v>46283.895844907405</v>
      </c>
      <c r="B99" t="s">
        <v>17</v>
      </c>
      <c r="C99" t="s">
        <v>18</v>
      </c>
      <c r="D99" t="s">
        <v>212</v>
      </c>
      <c r="E99" t="s">
        <v>213</v>
      </c>
      <c r="F99">
        <v>5</v>
      </c>
      <c r="G99" t="s">
        <v>32</v>
      </c>
      <c r="H99" t="s">
        <v>38</v>
      </c>
      <c r="I99" t="s">
        <v>15</v>
      </c>
      <c r="J99" t="s">
        <v>34</v>
      </c>
      <c r="K99">
        <v>47.8</v>
      </c>
    </row>
    <row r="100" spans="1:11" x14ac:dyDescent="0.25">
      <c r="A100" s="105">
        <v>46284.035266203704</v>
      </c>
      <c r="B100" t="s">
        <v>22</v>
      </c>
      <c r="C100" t="s">
        <v>202</v>
      </c>
      <c r="D100" t="s">
        <v>30</v>
      </c>
      <c r="E100" t="s">
        <v>31</v>
      </c>
      <c r="F100">
        <v>10</v>
      </c>
      <c r="G100" t="s">
        <v>19</v>
      </c>
      <c r="H100" t="s">
        <v>20</v>
      </c>
      <c r="I100" t="s">
        <v>15</v>
      </c>
      <c r="J100" t="s">
        <v>16</v>
      </c>
      <c r="K100">
        <v>70</v>
      </c>
    </row>
    <row r="101" spans="1:11" x14ac:dyDescent="0.25">
      <c r="A101" s="105">
        <v>46284.035509259258</v>
      </c>
      <c r="B101" t="s">
        <v>17</v>
      </c>
      <c r="C101" t="s">
        <v>18</v>
      </c>
      <c r="D101" t="s">
        <v>30</v>
      </c>
      <c r="E101" t="s">
        <v>31</v>
      </c>
      <c r="F101">
        <v>5</v>
      </c>
      <c r="G101" t="s">
        <v>19</v>
      </c>
      <c r="H101" t="s">
        <v>20</v>
      </c>
      <c r="I101" t="s">
        <v>15</v>
      </c>
      <c r="J101" t="s">
        <v>16</v>
      </c>
      <c r="K101">
        <v>47.8</v>
      </c>
    </row>
    <row r="102" spans="1:11" x14ac:dyDescent="0.25">
      <c r="A102" s="105">
        <v>46284.035798611112</v>
      </c>
      <c r="B102" t="s">
        <v>12</v>
      </c>
      <c r="C102" t="s">
        <v>201</v>
      </c>
      <c r="D102" t="s">
        <v>30</v>
      </c>
      <c r="E102" t="s">
        <v>31</v>
      </c>
      <c r="F102">
        <v>10</v>
      </c>
      <c r="G102" t="s">
        <v>19</v>
      </c>
      <c r="H102" t="s">
        <v>14</v>
      </c>
      <c r="I102" t="s">
        <v>15</v>
      </c>
      <c r="J102" t="s">
        <v>16</v>
      </c>
      <c r="K102">
        <v>136.69999999999999</v>
      </c>
    </row>
    <row r="103" spans="1:11" x14ac:dyDescent="0.25">
      <c r="A103" s="105">
        <v>46284.082708333335</v>
      </c>
      <c r="B103" t="s">
        <v>36</v>
      </c>
      <c r="C103" t="s">
        <v>204</v>
      </c>
      <c r="D103" t="s">
        <v>30</v>
      </c>
      <c r="E103" t="s">
        <v>31</v>
      </c>
      <c r="F103">
        <v>10</v>
      </c>
      <c r="G103" t="s">
        <v>13</v>
      </c>
      <c r="H103" t="s">
        <v>20</v>
      </c>
      <c r="I103" t="s">
        <v>15</v>
      </c>
      <c r="J103" t="s">
        <v>160</v>
      </c>
      <c r="K103">
        <v>87</v>
      </c>
    </row>
    <row r="104" spans="1:11" x14ac:dyDescent="0.25">
      <c r="A104" s="105">
        <v>46284.210752314815</v>
      </c>
      <c r="B104" t="s">
        <v>22</v>
      </c>
      <c r="C104" t="s">
        <v>202</v>
      </c>
      <c r="D104" t="s">
        <v>229</v>
      </c>
      <c r="E104" t="s">
        <v>230</v>
      </c>
      <c r="F104">
        <v>10</v>
      </c>
      <c r="G104" t="s">
        <v>13</v>
      </c>
      <c r="H104" t="s">
        <v>14</v>
      </c>
      <c r="I104" t="s">
        <v>15</v>
      </c>
      <c r="J104" t="s">
        <v>37</v>
      </c>
      <c r="K104">
        <v>70</v>
      </c>
    </row>
    <row r="105" spans="1:11" x14ac:dyDescent="0.25">
      <c r="A105" s="105">
        <v>46284.252453703702</v>
      </c>
      <c r="B105" t="s">
        <v>36</v>
      </c>
      <c r="C105" t="s">
        <v>204</v>
      </c>
      <c r="D105" t="s">
        <v>229</v>
      </c>
      <c r="E105" t="s">
        <v>230</v>
      </c>
      <c r="F105">
        <v>10</v>
      </c>
      <c r="G105" t="s">
        <v>13</v>
      </c>
      <c r="H105" t="s">
        <v>20</v>
      </c>
      <c r="I105" t="s">
        <v>15</v>
      </c>
      <c r="J105" t="s">
        <v>160</v>
      </c>
      <c r="K105">
        <v>87</v>
      </c>
    </row>
    <row r="106" spans="1:11" x14ac:dyDescent="0.25">
      <c r="A106" s="105">
        <v>46284.252627314818</v>
      </c>
      <c r="B106" t="s">
        <v>17</v>
      </c>
      <c r="C106" t="s">
        <v>18</v>
      </c>
      <c r="D106" t="s">
        <v>229</v>
      </c>
      <c r="E106" t="s">
        <v>230</v>
      </c>
      <c r="F106">
        <v>5</v>
      </c>
      <c r="G106" t="s">
        <v>28</v>
      </c>
      <c r="H106" t="s">
        <v>20</v>
      </c>
      <c r="I106" t="s">
        <v>15</v>
      </c>
      <c r="J106" t="s">
        <v>29</v>
      </c>
      <c r="K106">
        <v>47.8</v>
      </c>
    </row>
    <row r="107" spans="1:11" x14ac:dyDescent="0.25">
      <c r="A107" s="105">
        <v>46284.55704861111</v>
      </c>
      <c r="B107" t="s">
        <v>22</v>
      </c>
      <c r="C107" t="s">
        <v>202</v>
      </c>
      <c r="D107" t="s">
        <v>229</v>
      </c>
      <c r="E107" t="s">
        <v>230</v>
      </c>
      <c r="F107">
        <v>10</v>
      </c>
      <c r="G107" t="s">
        <v>28</v>
      </c>
      <c r="H107" t="s">
        <v>14</v>
      </c>
      <c r="I107" t="s">
        <v>15</v>
      </c>
      <c r="J107" t="s">
        <v>29</v>
      </c>
      <c r="K107">
        <v>70</v>
      </c>
    </row>
    <row r="108" spans="1:11" x14ac:dyDescent="0.25">
      <c r="A108" s="105">
        <v>46284.635451388887</v>
      </c>
      <c r="B108" t="s">
        <v>240</v>
      </c>
      <c r="C108" t="s">
        <v>241</v>
      </c>
      <c r="D108" t="s">
        <v>229</v>
      </c>
      <c r="E108" t="s">
        <v>230</v>
      </c>
      <c r="F108">
        <v>5</v>
      </c>
      <c r="G108" t="s">
        <v>19</v>
      </c>
      <c r="H108" t="s">
        <v>39</v>
      </c>
      <c r="I108" t="s">
        <v>15</v>
      </c>
      <c r="J108" t="s">
        <v>16</v>
      </c>
      <c r="K108">
        <v>40</v>
      </c>
    </row>
    <row r="109" spans="1:11" x14ac:dyDescent="0.25">
      <c r="A109" s="105">
        <v>46284.635682870372</v>
      </c>
      <c r="B109" t="s">
        <v>294</v>
      </c>
      <c r="C109" t="s">
        <v>295</v>
      </c>
      <c r="D109" t="s">
        <v>229</v>
      </c>
      <c r="E109" t="s">
        <v>230</v>
      </c>
      <c r="F109">
        <v>5</v>
      </c>
      <c r="G109" t="s">
        <v>19</v>
      </c>
      <c r="H109" t="s">
        <v>39</v>
      </c>
      <c r="I109" t="s">
        <v>15</v>
      </c>
      <c r="J109" t="s">
        <v>16</v>
      </c>
      <c r="K109">
        <v>40</v>
      </c>
    </row>
    <row r="110" spans="1:11" x14ac:dyDescent="0.25">
      <c r="A110" s="105">
        <v>46284.63585648148</v>
      </c>
      <c r="B110" t="s">
        <v>12</v>
      </c>
      <c r="C110" t="s">
        <v>201</v>
      </c>
      <c r="D110" t="s">
        <v>229</v>
      </c>
      <c r="E110" t="s">
        <v>230</v>
      </c>
      <c r="F110">
        <v>10</v>
      </c>
      <c r="G110" t="s">
        <v>19</v>
      </c>
      <c r="H110" t="s">
        <v>14</v>
      </c>
      <c r="I110" t="s">
        <v>15</v>
      </c>
      <c r="J110" t="s">
        <v>16</v>
      </c>
      <c r="K110">
        <v>136.69999999999999</v>
      </c>
    </row>
    <row r="111" spans="1:11" x14ac:dyDescent="0.25">
      <c r="A111" s="105">
        <v>46284.636041666665</v>
      </c>
      <c r="B111" t="s">
        <v>22</v>
      </c>
      <c r="C111" t="s">
        <v>202</v>
      </c>
      <c r="D111" t="s">
        <v>229</v>
      </c>
      <c r="E111" t="s">
        <v>230</v>
      </c>
      <c r="F111">
        <v>10</v>
      </c>
      <c r="G111" t="s">
        <v>19</v>
      </c>
      <c r="H111" t="s">
        <v>14</v>
      </c>
      <c r="I111" t="s">
        <v>15</v>
      </c>
      <c r="J111" t="s">
        <v>16</v>
      </c>
      <c r="K111">
        <v>70</v>
      </c>
    </row>
    <row r="112" spans="1:11" x14ac:dyDescent="0.25">
      <c r="A112" s="105">
        <v>46284.63622685185</v>
      </c>
      <c r="B112" t="s">
        <v>23</v>
      </c>
      <c r="C112" t="s">
        <v>24</v>
      </c>
      <c r="D112" t="s">
        <v>229</v>
      </c>
      <c r="E112" t="s">
        <v>230</v>
      </c>
      <c r="F112">
        <v>10</v>
      </c>
      <c r="G112" t="s">
        <v>19</v>
      </c>
      <c r="H112" t="s">
        <v>14</v>
      </c>
      <c r="I112" t="s">
        <v>15</v>
      </c>
      <c r="J112" t="s">
        <v>16</v>
      </c>
      <c r="K112">
        <v>71.2</v>
      </c>
    </row>
    <row r="113" spans="1:11" x14ac:dyDescent="0.25">
      <c r="A113" s="105">
        <v>46284.636388888888</v>
      </c>
      <c r="B113" t="s">
        <v>17</v>
      </c>
      <c r="C113" t="s">
        <v>18</v>
      </c>
      <c r="D113" t="s">
        <v>229</v>
      </c>
      <c r="E113" t="s">
        <v>230</v>
      </c>
      <c r="F113">
        <v>5</v>
      </c>
      <c r="G113" t="s">
        <v>19</v>
      </c>
      <c r="H113" t="s">
        <v>20</v>
      </c>
      <c r="I113" t="s">
        <v>15</v>
      </c>
      <c r="J113" t="s">
        <v>16</v>
      </c>
      <c r="K113">
        <v>47.8</v>
      </c>
    </row>
    <row r="114" spans="1:11" x14ac:dyDescent="0.25">
      <c r="A114" s="105">
        <v>46284.636550925927</v>
      </c>
      <c r="B114" t="s">
        <v>17</v>
      </c>
      <c r="C114" t="s">
        <v>18</v>
      </c>
      <c r="D114" t="s">
        <v>229</v>
      </c>
      <c r="E114" t="s">
        <v>230</v>
      </c>
      <c r="F114">
        <v>5</v>
      </c>
      <c r="G114" t="s">
        <v>19</v>
      </c>
      <c r="H114" t="s">
        <v>20</v>
      </c>
      <c r="I114" t="s">
        <v>15</v>
      </c>
      <c r="J114" t="s">
        <v>16</v>
      </c>
      <c r="K114">
        <v>47.8</v>
      </c>
    </row>
    <row r="115" spans="1:11" x14ac:dyDescent="0.25">
      <c r="A115" s="105">
        <v>46284.636747685188</v>
      </c>
      <c r="B115" t="s">
        <v>35</v>
      </c>
      <c r="C115" t="s">
        <v>205</v>
      </c>
      <c r="D115" t="s">
        <v>229</v>
      </c>
      <c r="E115" t="s">
        <v>230</v>
      </c>
      <c r="F115">
        <v>10</v>
      </c>
      <c r="G115" t="s">
        <v>19</v>
      </c>
      <c r="H115" t="s">
        <v>20</v>
      </c>
      <c r="I115" t="s">
        <v>15</v>
      </c>
      <c r="J115" t="s">
        <v>16</v>
      </c>
      <c r="K115">
        <v>118.7</v>
      </c>
    </row>
    <row r="116" spans="1:11" x14ac:dyDescent="0.25">
      <c r="A116" s="105">
        <v>46284.636956018519</v>
      </c>
      <c r="B116" t="s">
        <v>22</v>
      </c>
      <c r="C116" t="s">
        <v>202</v>
      </c>
      <c r="D116" t="s">
        <v>229</v>
      </c>
      <c r="E116" t="s">
        <v>230</v>
      </c>
      <c r="F116">
        <v>10</v>
      </c>
      <c r="G116" t="s">
        <v>19</v>
      </c>
      <c r="H116" t="s">
        <v>14</v>
      </c>
      <c r="I116" t="s">
        <v>15</v>
      </c>
      <c r="J116" t="s">
        <v>16</v>
      </c>
      <c r="K116">
        <v>70</v>
      </c>
    </row>
    <row r="117" spans="1:11" x14ac:dyDescent="0.25">
      <c r="A117" s="105">
        <v>46285.172476851854</v>
      </c>
      <c r="B117" t="s">
        <v>12</v>
      </c>
      <c r="C117" t="s">
        <v>201</v>
      </c>
      <c r="D117" t="s">
        <v>26</v>
      </c>
      <c r="E117" t="s">
        <v>27</v>
      </c>
      <c r="F117">
        <v>10</v>
      </c>
      <c r="G117" t="s">
        <v>19</v>
      </c>
      <c r="H117" t="s">
        <v>14</v>
      </c>
      <c r="I117" t="s">
        <v>15</v>
      </c>
      <c r="J117" t="s">
        <v>16</v>
      </c>
      <c r="K117">
        <v>136.69999999999999</v>
      </c>
    </row>
    <row r="118" spans="1:11" x14ac:dyDescent="0.25">
      <c r="A118" s="105">
        <v>46285.221597222226</v>
      </c>
      <c r="B118" t="s">
        <v>44</v>
      </c>
      <c r="C118" t="s">
        <v>18</v>
      </c>
      <c r="D118" t="s">
        <v>229</v>
      </c>
      <c r="E118" t="s">
        <v>230</v>
      </c>
      <c r="F118">
        <v>5</v>
      </c>
      <c r="G118" t="s">
        <v>28</v>
      </c>
      <c r="H118" t="s">
        <v>39</v>
      </c>
      <c r="I118" t="s">
        <v>15</v>
      </c>
      <c r="J118" t="s">
        <v>29</v>
      </c>
      <c r="K118">
        <v>44.85</v>
      </c>
    </row>
    <row r="119" spans="1:11" x14ac:dyDescent="0.25">
      <c r="A119" s="105">
        <v>46285.395590277774</v>
      </c>
      <c r="B119" t="s">
        <v>36</v>
      </c>
      <c r="C119" t="s">
        <v>204</v>
      </c>
      <c r="D119" t="s">
        <v>229</v>
      </c>
      <c r="E119" t="s">
        <v>230</v>
      </c>
      <c r="F119">
        <v>10</v>
      </c>
      <c r="G119" t="s">
        <v>13</v>
      </c>
      <c r="H119" t="s">
        <v>20</v>
      </c>
      <c r="I119" t="s">
        <v>15</v>
      </c>
      <c r="J119" t="s">
        <v>37</v>
      </c>
      <c r="K119">
        <v>87</v>
      </c>
    </row>
    <row r="120" spans="1:11" x14ac:dyDescent="0.25">
      <c r="A120" s="105">
        <v>46285.395775462966</v>
      </c>
      <c r="B120" t="s">
        <v>17</v>
      </c>
      <c r="C120" t="s">
        <v>18</v>
      </c>
      <c r="D120" t="s">
        <v>229</v>
      </c>
      <c r="E120" t="s">
        <v>230</v>
      </c>
      <c r="F120">
        <v>5</v>
      </c>
      <c r="G120" t="s">
        <v>28</v>
      </c>
      <c r="H120" t="s">
        <v>20</v>
      </c>
      <c r="I120" t="s">
        <v>15</v>
      </c>
      <c r="J120" t="s">
        <v>29</v>
      </c>
      <c r="K120">
        <v>47.8</v>
      </c>
    </row>
    <row r="121" spans="1:11" x14ac:dyDescent="0.25">
      <c r="A121" s="105">
        <v>46285.395949074074</v>
      </c>
      <c r="B121" t="s">
        <v>40</v>
      </c>
      <c r="C121" t="s">
        <v>209</v>
      </c>
      <c r="D121" t="s">
        <v>229</v>
      </c>
      <c r="E121" t="s">
        <v>230</v>
      </c>
      <c r="F121">
        <v>10</v>
      </c>
      <c r="G121" t="s">
        <v>13</v>
      </c>
      <c r="H121" t="s">
        <v>14</v>
      </c>
      <c r="I121" t="s">
        <v>15</v>
      </c>
      <c r="J121" t="s">
        <v>37</v>
      </c>
      <c r="K121">
        <v>188</v>
      </c>
    </row>
    <row r="122" spans="1:11" x14ac:dyDescent="0.25">
      <c r="A122" s="105">
        <v>46285.396134259259</v>
      </c>
      <c r="B122" t="s">
        <v>40</v>
      </c>
      <c r="C122" t="s">
        <v>209</v>
      </c>
      <c r="D122" t="s">
        <v>229</v>
      </c>
      <c r="E122" t="s">
        <v>230</v>
      </c>
      <c r="F122">
        <v>10</v>
      </c>
      <c r="G122" t="s">
        <v>13</v>
      </c>
      <c r="H122" t="s">
        <v>14</v>
      </c>
      <c r="I122" t="s">
        <v>15</v>
      </c>
      <c r="J122" t="s">
        <v>37</v>
      </c>
      <c r="K122">
        <v>188</v>
      </c>
    </row>
    <row r="123" spans="1:11" x14ac:dyDescent="0.25">
      <c r="A123" s="105">
        <v>46285.397696759261</v>
      </c>
      <c r="B123" t="s">
        <v>41</v>
      </c>
      <c r="C123" t="s">
        <v>205</v>
      </c>
      <c r="D123" t="s">
        <v>229</v>
      </c>
      <c r="E123" t="s">
        <v>230</v>
      </c>
      <c r="F123">
        <v>10</v>
      </c>
      <c r="G123" t="s">
        <v>13</v>
      </c>
      <c r="H123" t="s">
        <v>20</v>
      </c>
      <c r="I123" t="s">
        <v>15</v>
      </c>
      <c r="J123" t="s">
        <v>37</v>
      </c>
      <c r="K123">
        <v>138.80000000000001</v>
      </c>
    </row>
    <row r="124" spans="1:11" x14ac:dyDescent="0.25">
      <c r="A124" s="105">
        <v>46285.397858796299</v>
      </c>
      <c r="B124" t="s">
        <v>35</v>
      </c>
      <c r="C124" t="s">
        <v>205</v>
      </c>
      <c r="D124" t="s">
        <v>229</v>
      </c>
      <c r="E124" t="s">
        <v>230</v>
      </c>
      <c r="F124">
        <v>10</v>
      </c>
      <c r="G124" t="s">
        <v>13</v>
      </c>
      <c r="H124" t="s">
        <v>20</v>
      </c>
      <c r="I124" t="s">
        <v>15</v>
      </c>
      <c r="J124" t="s">
        <v>37</v>
      </c>
      <c r="K124">
        <v>118.7</v>
      </c>
    </row>
    <row r="125" spans="1:11" x14ac:dyDescent="0.25">
      <c r="A125" s="105">
        <v>46285.777106481481</v>
      </c>
      <c r="B125" t="s">
        <v>22</v>
      </c>
      <c r="C125" t="s">
        <v>202</v>
      </c>
      <c r="D125" t="s">
        <v>207</v>
      </c>
      <c r="E125" t="s">
        <v>208</v>
      </c>
      <c r="F125">
        <v>10</v>
      </c>
      <c r="G125" t="s">
        <v>13</v>
      </c>
      <c r="H125" t="s">
        <v>14</v>
      </c>
      <c r="I125" t="s">
        <v>15</v>
      </c>
      <c r="J125" t="s">
        <v>37</v>
      </c>
      <c r="K125">
        <v>70</v>
      </c>
    </row>
    <row r="126" spans="1:11" x14ac:dyDescent="0.25">
      <c r="A126" s="105">
        <v>46285.777581018519</v>
      </c>
      <c r="B126" t="s">
        <v>22</v>
      </c>
      <c r="C126" t="s">
        <v>202</v>
      </c>
      <c r="D126" t="s">
        <v>207</v>
      </c>
      <c r="E126" t="s">
        <v>208</v>
      </c>
      <c r="F126">
        <v>10</v>
      </c>
      <c r="G126" t="s">
        <v>13</v>
      </c>
      <c r="H126" t="s">
        <v>39</v>
      </c>
      <c r="I126" t="s">
        <v>15</v>
      </c>
      <c r="J126" t="s">
        <v>37</v>
      </c>
      <c r="K126">
        <v>70</v>
      </c>
    </row>
    <row r="127" spans="1:11" x14ac:dyDescent="0.25">
      <c r="A127" s="105">
        <v>46285.779699074075</v>
      </c>
      <c r="B127" t="s">
        <v>294</v>
      </c>
      <c r="C127" t="s">
        <v>295</v>
      </c>
      <c r="D127" t="s">
        <v>207</v>
      </c>
      <c r="E127" t="s">
        <v>208</v>
      </c>
      <c r="F127">
        <v>5</v>
      </c>
      <c r="G127" t="s">
        <v>19</v>
      </c>
      <c r="H127" t="s">
        <v>39</v>
      </c>
      <c r="I127" t="s">
        <v>15</v>
      </c>
      <c r="J127" t="s">
        <v>16</v>
      </c>
      <c r="K127">
        <v>40</v>
      </c>
    </row>
    <row r="128" spans="1:11" x14ac:dyDescent="0.25">
      <c r="A128" s="105">
        <v>46285.806157407409</v>
      </c>
      <c r="B128" t="s">
        <v>294</v>
      </c>
      <c r="C128" t="s">
        <v>295</v>
      </c>
      <c r="D128" t="s">
        <v>26</v>
      </c>
      <c r="E128" t="s">
        <v>27</v>
      </c>
      <c r="F128">
        <v>5</v>
      </c>
      <c r="G128" t="s">
        <v>19</v>
      </c>
      <c r="H128" t="s">
        <v>39</v>
      </c>
      <c r="I128" t="s">
        <v>15</v>
      </c>
      <c r="J128" t="s">
        <v>16</v>
      </c>
      <c r="K128">
        <v>40</v>
      </c>
    </row>
    <row r="129" spans="1:11" x14ac:dyDescent="0.25">
      <c r="A129" s="105">
        <v>46285.806307870371</v>
      </c>
      <c r="B129" t="s">
        <v>294</v>
      </c>
      <c r="C129" t="s">
        <v>295</v>
      </c>
      <c r="D129" t="s">
        <v>26</v>
      </c>
      <c r="E129" t="s">
        <v>27</v>
      </c>
      <c r="F129">
        <v>5</v>
      </c>
      <c r="G129" t="s">
        <v>19</v>
      </c>
      <c r="H129" t="s">
        <v>39</v>
      </c>
      <c r="I129" t="s">
        <v>15</v>
      </c>
      <c r="J129" t="s">
        <v>16</v>
      </c>
      <c r="K129">
        <v>40</v>
      </c>
    </row>
    <row r="130" spans="1:11" x14ac:dyDescent="0.25">
      <c r="A130" s="105">
        <v>46285.848796296297</v>
      </c>
      <c r="B130" t="s">
        <v>17</v>
      </c>
      <c r="C130" t="s">
        <v>18</v>
      </c>
      <c r="D130" t="s">
        <v>26</v>
      </c>
      <c r="E130" t="s">
        <v>27</v>
      </c>
      <c r="F130">
        <v>5</v>
      </c>
      <c r="G130" t="s">
        <v>19</v>
      </c>
      <c r="H130" t="s">
        <v>20</v>
      </c>
      <c r="I130" t="s">
        <v>15</v>
      </c>
      <c r="J130" t="s">
        <v>16</v>
      </c>
      <c r="K130">
        <v>47.8</v>
      </c>
    </row>
    <row r="131" spans="1:11" x14ac:dyDescent="0.25">
      <c r="A131" s="105">
        <v>46285.848935185182</v>
      </c>
      <c r="B131" t="s">
        <v>17</v>
      </c>
      <c r="C131" t="s">
        <v>18</v>
      </c>
      <c r="D131" t="s">
        <v>26</v>
      </c>
      <c r="E131" t="s">
        <v>27</v>
      </c>
      <c r="F131">
        <v>5</v>
      </c>
      <c r="G131" t="s">
        <v>19</v>
      </c>
      <c r="H131" t="s">
        <v>20</v>
      </c>
      <c r="I131" t="s">
        <v>15</v>
      </c>
      <c r="J131" t="s">
        <v>16</v>
      </c>
      <c r="K131">
        <v>47.8</v>
      </c>
    </row>
    <row r="132" spans="1:11" x14ac:dyDescent="0.25">
      <c r="A132" s="105">
        <v>46285.849097222221</v>
      </c>
      <c r="B132" t="s">
        <v>35</v>
      </c>
      <c r="C132" t="s">
        <v>205</v>
      </c>
      <c r="D132" t="s">
        <v>26</v>
      </c>
      <c r="E132" t="s">
        <v>27</v>
      </c>
      <c r="F132">
        <v>10</v>
      </c>
      <c r="G132" t="s">
        <v>19</v>
      </c>
      <c r="H132" t="s">
        <v>20</v>
      </c>
      <c r="I132" t="s">
        <v>15</v>
      </c>
      <c r="J132" t="s">
        <v>16</v>
      </c>
      <c r="K132">
        <v>118.7</v>
      </c>
    </row>
    <row r="133" spans="1:11" x14ac:dyDescent="0.25">
      <c r="A133" s="105">
        <v>46285.849236111113</v>
      </c>
      <c r="B133" t="s">
        <v>22</v>
      </c>
      <c r="C133" t="s">
        <v>202</v>
      </c>
      <c r="D133" t="s">
        <v>26</v>
      </c>
      <c r="E133" t="s">
        <v>27</v>
      </c>
      <c r="F133">
        <v>10</v>
      </c>
      <c r="G133" t="s">
        <v>13</v>
      </c>
      <c r="H133" t="s">
        <v>14</v>
      </c>
      <c r="I133" t="s">
        <v>15</v>
      </c>
      <c r="J133" t="s">
        <v>16</v>
      </c>
      <c r="K133">
        <v>70</v>
      </c>
    </row>
    <row r="134" spans="1:11" x14ac:dyDescent="0.25">
      <c r="A134" s="105">
        <v>46285.891250000001</v>
      </c>
      <c r="B134" t="s">
        <v>294</v>
      </c>
      <c r="C134" t="s">
        <v>295</v>
      </c>
      <c r="D134" t="s">
        <v>207</v>
      </c>
      <c r="E134" t="s">
        <v>208</v>
      </c>
      <c r="F134">
        <v>5</v>
      </c>
      <c r="G134" t="s">
        <v>19</v>
      </c>
      <c r="H134" t="s">
        <v>39</v>
      </c>
      <c r="I134" t="s">
        <v>15</v>
      </c>
      <c r="J134" t="s">
        <v>16</v>
      </c>
      <c r="K134">
        <v>40</v>
      </c>
    </row>
    <row r="135" spans="1:11" x14ac:dyDescent="0.25">
      <c r="A135" s="105">
        <v>46285.891539351855</v>
      </c>
      <c r="B135" t="s">
        <v>240</v>
      </c>
      <c r="C135" t="s">
        <v>241</v>
      </c>
      <c r="D135" t="s">
        <v>207</v>
      </c>
      <c r="E135" t="s">
        <v>208</v>
      </c>
      <c r="F135">
        <v>5</v>
      </c>
      <c r="G135" t="s">
        <v>19</v>
      </c>
      <c r="H135" t="s">
        <v>39</v>
      </c>
      <c r="I135" t="s">
        <v>15</v>
      </c>
      <c r="J135" t="s">
        <v>16</v>
      </c>
      <c r="K135">
        <v>40</v>
      </c>
    </row>
    <row r="136" spans="1:11" x14ac:dyDescent="0.25">
      <c r="A136" s="105"/>
    </row>
    <row r="137" spans="1:11" x14ac:dyDescent="0.25">
      <c r="A137" s="105"/>
    </row>
    <row r="138" spans="1:11" x14ac:dyDescent="0.25">
      <c r="A138" s="105"/>
    </row>
    <row r="139" spans="1:11" x14ac:dyDescent="0.25">
      <c r="A139" s="105"/>
    </row>
    <row r="140" spans="1:11" x14ac:dyDescent="0.25">
      <c r="A140" s="105"/>
    </row>
    <row r="141" spans="1:11" x14ac:dyDescent="0.25">
      <c r="A141" s="105"/>
    </row>
    <row r="142" spans="1:11" x14ac:dyDescent="0.25">
      <c r="A142" s="105"/>
    </row>
    <row r="143" spans="1:11" x14ac:dyDescent="0.25">
      <c r="A143" s="105"/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B545-377E-4731-8A8A-AC8CA162A8B0}">
  <sheetPr codeName="Feuil41"/>
  <dimension ref="A1:K28"/>
  <sheetViews>
    <sheetView workbookViewId="0">
      <selection activeCell="M9" sqref="M9"/>
    </sheetView>
  </sheetViews>
  <sheetFormatPr baseColWidth="10" defaultRowHeight="15" x14ac:dyDescent="0.25"/>
  <cols>
    <col min="1" max="1" width="26.85546875" bestFit="1" customWidth="1"/>
    <col min="2" max="2" width="22.7109375" bestFit="1" customWidth="1"/>
    <col min="3" max="3" width="20" bestFit="1" customWidth="1"/>
    <col min="4" max="4" width="14.7109375" bestFit="1" customWidth="1"/>
    <col min="5" max="5" width="17.140625" bestFit="1" customWidth="1"/>
    <col min="6" max="6" width="6.5703125" bestFit="1" customWidth="1"/>
    <col min="7" max="7" width="10.5703125" bestFit="1" customWidth="1"/>
    <col min="8" max="8" width="6.28515625" bestFit="1" customWidth="1"/>
    <col min="9" max="9" width="12" bestFit="1" customWidth="1"/>
    <col min="10" max="10" width="10.7109375" bestFit="1" customWidth="1"/>
    <col min="11" max="11" width="7.85546875" bestFit="1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25">
      <c r="B2" t="s">
        <v>198</v>
      </c>
      <c r="F2">
        <v>0</v>
      </c>
      <c r="G2" t="s">
        <v>19</v>
      </c>
      <c r="H2" t="s">
        <v>39</v>
      </c>
      <c r="I2" t="s">
        <v>15</v>
      </c>
      <c r="J2" t="s">
        <v>21</v>
      </c>
      <c r="K2">
        <v>0</v>
      </c>
    </row>
    <row r="3" spans="1:11" x14ac:dyDescent="0.25">
      <c r="B3" t="s">
        <v>46</v>
      </c>
      <c r="F3">
        <v>0</v>
      </c>
      <c r="G3" t="s">
        <v>19</v>
      </c>
      <c r="H3" t="s">
        <v>39</v>
      </c>
      <c r="I3" t="s">
        <v>15</v>
      </c>
      <c r="J3" t="s">
        <v>21</v>
      </c>
      <c r="K3">
        <v>0</v>
      </c>
    </row>
    <row r="4" spans="1:11" x14ac:dyDescent="0.25">
      <c r="B4" t="s">
        <v>198</v>
      </c>
      <c r="F4">
        <v>4</v>
      </c>
      <c r="G4" t="s">
        <v>19</v>
      </c>
      <c r="H4" t="s">
        <v>39</v>
      </c>
      <c r="I4" t="s">
        <v>15</v>
      </c>
      <c r="J4" t="s">
        <v>16</v>
      </c>
      <c r="K4">
        <v>152</v>
      </c>
    </row>
    <row r="5" spans="1:11" x14ac:dyDescent="0.25">
      <c r="B5" t="s">
        <v>46</v>
      </c>
      <c r="F5">
        <v>5</v>
      </c>
      <c r="G5" t="s">
        <v>19</v>
      </c>
      <c r="H5" t="s">
        <v>39</v>
      </c>
      <c r="I5" t="s">
        <v>15</v>
      </c>
      <c r="J5" t="s">
        <v>16</v>
      </c>
      <c r="K5">
        <v>190</v>
      </c>
    </row>
    <row r="6" spans="1:11" x14ac:dyDescent="0.25">
      <c r="B6" t="s">
        <v>198</v>
      </c>
      <c r="F6">
        <v>0</v>
      </c>
      <c r="G6" t="s">
        <v>13</v>
      </c>
      <c r="H6" t="s">
        <v>39</v>
      </c>
      <c r="I6" t="s">
        <v>15</v>
      </c>
      <c r="J6" t="s">
        <v>16</v>
      </c>
      <c r="K6">
        <v>0</v>
      </c>
    </row>
    <row r="7" spans="1:11" x14ac:dyDescent="0.25">
      <c r="B7" t="s">
        <v>46</v>
      </c>
      <c r="F7">
        <v>1</v>
      </c>
      <c r="G7" t="s">
        <v>13</v>
      </c>
      <c r="H7" t="s">
        <v>39</v>
      </c>
      <c r="I7" t="s">
        <v>15</v>
      </c>
      <c r="J7" t="s">
        <v>16</v>
      </c>
      <c r="K7">
        <v>38</v>
      </c>
    </row>
    <row r="8" spans="1:11" x14ac:dyDescent="0.25">
      <c r="B8" t="s">
        <v>198</v>
      </c>
      <c r="F8">
        <v>1</v>
      </c>
      <c r="G8" t="s">
        <v>13</v>
      </c>
      <c r="H8" t="s">
        <v>39</v>
      </c>
      <c r="I8" t="s">
        <v>15</v>
      </c>
      <c r="J8" t="s">
        <v>37</v>
      </c>
      <c r="K8">
        <v>38</v>
      </c>
    </row>
    <row r="9" spans="1:11" x14ac:dyDescent="0.25">
      <c r="B9" t="s">
        <v>46</v>
      </c>
      <c r="F9">
        <v>4</v>
      </c>
      <c r="G9" t="s">
        <v>13</v>
      </c>
      <c r="H9" t="s">
        <v>39</v>
      </c>
      <c r="I9" t="s">
        <v>15</v>
      </c>
      <c r="J9" t="s">
        <v>37</v>
      </c>
      <c r="K9">
        <v>152</v>
      </c>
    </row>
    <row r="10" spans="1:11" x14ac:dyDescent="0.25">
      <c r="B10" t="s">
        <v>47</v>
      </c>
      <c r="F10">
        <v>0</v>
      </c>
      <c r="G10" t="s">
        <v>13</v>
      </c>
      <c r="H10" t="s">
        <v>39</v>
      </c>
      <c r="I10" t="s">
        <v>15</v>
      </c>
      <c r="J10" t="s">
        <v>16</v>
      </c>
      <c r="K10">
        <v>0</v>
      </c>
    </row>
    <row r="11" spans="1:11" x14ac:dyDescent="0.25">
      <c r="B11" t="s">
        <v>198</v>
      </c>
      <c r="F11">
        <v>0</v>
      </c>
      <c r="G11" t="s">
        <v>28</v>
      </c>
      <c r="H11" t="s">
        <v>39</v>
      </c>
      <c r="I11" t="s">
        <v>15</v>
      </c>
      <c r="J11" t="s">
        <v>21</v>
      </c>
      <c r="K11">
        <v>0</v>
      </c>
    </row>
    <row r="12" spans="1:11" x14ac:dyDescent="0.25">
      <c r="B12" t="s">
        <v>46</v>
      </c>
      <c r="F12">
        <v>0</v>
      </c>
      <c r="G12" t="s">
        <v>28</v>
      </c>
      <c r="H12" t="s">
        <v>39</v>
      </c>
      <c r="I12" t="s">
        <v>15</v>
      </c>
      <c r="J12" t="s">
        <v>21</v>
      </c>
      <c r="K12">
        <v>0</v>
      </c>
    </row>
    <row r="13" spans="1:11" x14ac:dyDescent="0.25">
      <c r="B13" t="s">
        <v>198</v>
      </c>
      <c r="F13">
        <v>0</v>
      </c>
      <c r="G13" t="s">
        <v>28</v>
      </c>
      <c r="H13" t="s">
        <v>39</v>
      </c>
      <c r="I13" t="s">
        <v>15</v>
      </c>
      <c r="J13" t="s">
        <v>37</v>
      </c>
      <c r="K13">
        <v>0</v>
      </c>
    </row>
    <row r="14" spans="1:11" x14ac:dyDescent="0.25">
      <c r="B14" t="s">
        <v>46</v>
      </c>
      <c r="F14">
        <v>0</v>
      </c>
      <c r="G14" t="s">
        <v>28</v>
      </c>
      <c r="H14" t="s">
        <v>39</v>
      </c>
      <c r="I14" t="s">
        <v>15</v>
      </c>
      <c r="J14" t="s">
        <v>37</v>
      </c>
      <c r="K14">
        <v>0</v>
      </c>
    </row>
    <row r="15" spans="1:11" x14ac:dyDescent="0.25">
      <c r="B15" t="s">
        <v>48</v>
      </c>
      <c r="F15">
        <v>2</v>
      </c>
      <c r="G15" t="s">
        <v>19</v>
      </c>
      <c r="H15" t="s">
        <v>38</v>
      </c>
      <c r="I15" t="s">
        <v>49</v>
      </c>
      <c r="K15">
        <v>90</v>
      </c>
    </row>
    <row r="16" spans="1:11" x14ac:dyDescent="0.25">
      <c r="B16" t="s">
        <v>50</v>
      </c>
      <c r="F16">
        <v>1</v>
      </c>
      <c r="G16" t="s">
        <v>19</v>
      </c>
      <c r="H16" t="s">
        <v>38</v>
      </c>
      <c r="I16" t="s">
        <v>15</v>
      </c>
      <c r="K16">
        <v>10.65</v>
      </c>
    </row>
    <row r="17" spans="2:11" x14ac:dyDescent="0.25">
      <c r="B17" t="s">
        <v>51</v>
      </c>
      <c r="F17">
        <v>0</v>
      </c>
      <c r="G17" t="s">
        <v>19</v>
      </c>
      <c r="H17" t="s">
        <v>38</v>
      </c>
      <c r="I17" t="s">
        <v>49</v>
      </c>
      <c r="J17" t="s">
        <v>21</v>
      </c>
      <c r="K17">
        <v>0</v>
      </c>
    </row>
    <row r="18" spans="2:11" x14ac:dyDescent="0.25">
      <c r="B18" t="s">
        <v>52</v>
      </c>
      <c r="F18">
        <v>0</v>
      </c>
      <c r="G18" t="s">
        <v>19</v>
      </c>
      <c r="H18" t="s">
        <v>38</v>
      </c>
      <c r="I18" t="s">
        <v>15</v>
      </c>
      <c r="J18" t="s">
        <v>21</v>
      </c>
      <c r="K18">
        <v>0</v>
      </c>
    </row>
    <row r="19" spans="2:11" x14ac:dyDescent="0.25">
      <c r="B19" t="s">
        <v>53</v>
      </c>
      <c r="F19">
        <v>4</v>
      </c>
      <c r="G19" t="s">
        <v>19</v>
      </c>
      <c r="H19" t="s">
        <v>38</v>
      </c>
      <c r="I19" t="s">
        <v>49</v>
      </c>
      <c r="J19" t="s">
        <v>16</v>
      </c>
      <c r="K19">
        <v>208</v>
      </c>
    </row>
    <row r="20" spans="2:11" x14ac:dyDescent="0.25">
      <c r="B20" t="s">
        <v>52</v>
      </c>
      <c r="F20">
        <v>3</v>
      </c>
      <c r="G20" t="s">
        <v>19</v>
      </c>
      <c r="H20" t="s">
        <v>38</v>
      </c>
      <c r="I20" t="s">
        <v>15</v>
      </c>
      <c r="J20" t="s">
        <v>16</v>
      </c>
      <c r="K20">
        <v>36.54</v>
      </c>
    </row>
    <row r="21" spans="2:11" x14ac:dyDescent="0.25">
      <c r="B21" t="s">
        <v>48</v>
      </c>
      <c r="F21">
        <v>2</v>
      </c>
      <c r="G21" t="s">
        <v>13</v>
      </c>
      <c r="H21" t="s">
        <v>38</v>
      </c>
      <c r="I21" t="s">
        <v>49</v>
      </c>
      <c r="K21">
        <v>90</v>
      </c>
    </row>
    <row r="22" spans="2:11" x14ac:dyDescent="0.25">
      <c r="B22" t="s">
        <v>50</v>
      </c>
      <c r="F22">
        <v>1</v>
      </c>
      <c r="G22" t="s">
        <v>13</v>
      </c>
      <c r="H22" t="s">
        <v>38</v>
      </c>
      <c r="I22" t="s">
        <v>15</v>
      </c>
      <c r="K22">
        <v>10.65</v>
      </c>
    </row>
    <row r="23" spans="2:11" x14ac:dyDescent="0.25">
      <c r="B23" t="s">
        <v>51</v>
      </c>
      <c r="F23">
        <v>4</v>
      </c>
      <c r="G23" t="s">
        <v>13</v>
      </c>
      <c r="H23" t="s">
        <v>38</v>
      </c>
      <c r="I23" t="s">
        <v>49</v>
      </c>
      <c r="J23" t="s">
        <v>37</v>
      </c>
      <c r="K23">
        <v>208</v>
      </c>
    </row>
    <row r="24" spans="2:11" x14ac:dyDescent="0.25">
      <c r="B24" t="s">
        <v>52</v>
      </c>
      <c r="F24">
        <v>3</v>
      </c>
      <c r="G24" t="s">
        <v>13</v>
      </c>
      <c r="H24" t="s">
        <v>38</v>
      </c>
      <c r="I24" t="s">
        <v>15</v>
      </c>
      <c r="J24" t="s">
        <v>37</v>
      </c>
      <c r="K24">
        <v>36.54</v>
      </c>
    </row>
    <row r="25" spans="2:11" x14ac:dyDescent="0.25">
      <c r="B25" t="s">
        <v>53</v>
      </c>
      <c r="F25">
        <v>0</v>
      </c>
      <c r="G25" t="s">
        <v>13</v>
      </c>
      <c r="H25" t="s">
        <v>38</v>
      </c>
      <c r="I25" t="s">
        <v>49</v>
      </c>
      <c r="J25" t="s">
        <v>16</v>
      </c>
      <c r="K25">
        <v>0</v>
      </c>
    </row>
    <row r="26" spans="2:11" x14ac:dyDescent="0.25">
      <c r="B26" t="s">
        <v>52</v>
      </c>
      <c r="F26">
        <v>0</v>
      </c>
      <c r="G26" t="s">
        <v>13</v>
      </c>
      <c r="H26" t="s">
        <v>38</v>
      </c>
      <c r="I26" t="s">
        <v>15</v>
      </c>
      <c r="J26" t="s">
        <v>16</v>
      </c>
      <c r="K26">
        <v>0</v>
      </c>
    </row>
    <row r="27" spans="2:11" x14ac:dyDescent="0.25">
      <c r="B27" t="s">
        <v>51</v>
      </c>
      <c r="F27">
        <v>1</v>
      </c>
      <c r="G27" t="s">
        <v>28</v>
      </c>
      <c r="H27" t="s">
        <v>38</v>
      </c>
      <c r="I27" t="s">
        <v>49</v>
      </c>
      <c r="J27" t="s">
        <v>37</v>
      </c>
      <c r="K27">
        <v>12.18</v>
      </c>
    </row>
    <row r="28" spans="2:11" x14ac:dyDescent="0.25">
      <c r="B28" t="s">
        <v>52</v>
      </c>
      <c r="F28">
        <v>1</v>
      </c>
      <c r="G28" t="s">
        <v>28</v>
      </c>
      <c r="H28" t="s">
        <v>38</v>
      </c>
      <c r="I28" t="s">
        <v>15</v>
      </c>
      <c r="J28" t="s">
        <v>37</v>
      </c>
      <c r="K28">
        <v>12.18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1F7F-1AA6-4670-ADDF-116A87093DE5}">
  <sheetPr codeName="Feuil43"/>
  <dimension ref="A1"/>
  <sheetViews>
    <sheetView zoomScale="64" workbookViewId="0">
      <selection activeCell="L4" sqref="L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126BE89112504EB6F49DB302F7D9F6" ma:contentTypeVersion="3" ma:contentTypeDescription="Create a new document." ma:contentTypeScope="" ma:versionID="e4517713629a51f1dbce9849fda36032">
  <xsd:schema xmlns:xsd="http://www.w3.org/2001/XMLSchema" xmlns:xs="http://www.w3.org/2001/XMLSchema" xmlns:p="http://schemas.microsoft.com/office/2006/metadata/properties" xmlns:ns2="c82f905a-0012-40f1-a59b-9a30ea40ee29" targetNamespace="http://schemas.microsoft.com/office/2006/metadata/properties" ma:root="true" ma:fieldsID="b4276c2470832f655ca42a00923fb5ee" ns2:_="">
    <xsd:import namespace="c82f905a-0012-40f1-a59b-9a30ea40ee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2f905a-0012-40f1-a59b-9a30ea40ee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5D6A787-7FA2-428C-B34F-F8BD4DDCD7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568EA2-2ECE-48D0-93A1-F0768E57C0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2f905a-0012-40f1-a59b-9a30ea40ee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7E8637-2FFD-4E25-81BA-57DCF67D0E1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5960EC6-0D52-4D0C-ABB3-0A5BB33D81CD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Privilege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42</vt:i4>
      </vt:variant>
    </vt:vector>
  </HeadingPairs>
  <TitlesOfParts>
    <vt:vector size="42" baseType="lpstr">
      <vt:lpstr>Tableau plaquette colonne</vt:lpstr>
      <vt:lpstr>Tableau outil complet</vt:lpstr>
      <vt:lpstr>Tableau roto</vt:lpstr>
      <vt:lpstr>Tableau plaquette outil</vt:lpstr>
      <vt:lpstr>Feuil1</vt:lpstr>
      <vt:lpstr>Feuil2</vt:lpstr>
      <vt:lpstr>Tableau plaquette complet</vt:lpstr>
      <vt:lpstr>Coût EMAG </vt:lpstr>
      <vt:lpstr>Quantité EMAG</vt:lpstr>
      <vt:lpstr>Pareto coût EMAG</vt:lpstr>
      <vt:lpstr>Pareto conso EMAG</vt:lpstr>
      <vt:lpstr>Réel-Théorique</vt:lpstr>
      <vt:lpstr>Coût pièce E1 302x26 RPI  </vt:lpstr>
      <vt:lpstr>Cout pièce E1 304x28 RPE</vt:lpstr>
      <vt:lpstr>Cout pièce E1 356x26 RPI</vt:lpstr>
      <vt:lpstr>Coût pièce E2 290x12</vt:lpstr>
      <vt:lpstr>Coût pièce E2 304x28 RPE</vt:lpstr>
      <vt:lpstr>Cout pièce E2 330x14</vt:lpstr>
      <vt:lpstr>Cout pièce E2 356x26 RPI</vt:lpstr>
      <vt:lpstr>Coût pièce E3 290x12</vt:lpstr>
      <vt:lpstr>Cout pièce E3 302x26 RPI</vt:lpstr>
      <vt:lpstr>Cout pièce E3 304x28 RPE</vt:lpstr>
      <vt:lpstr>Cout pièce E3 330x14</vt:lpstr>
      <vt:lpstr>Cout pièce E3 330x28 RPE K0</vt:lpstr>
      <vt:lpstr>Evolution coût EMAG</vt:lpstr>
      <vt:lpstr>Evolution quantité EMAG</vt:lpstr>
      <vt:lpstr>Evolution coût pièce EMAG</vt:lpstr>
      <vt:lpstr>Coût HESSAP</vt:lpstr>
      <vt:lpstr>Quantité HESSAP</vt:lpstr>
      <vt:lpstr>pareto conso HESSAPP</vt:lpstr>
      <vt:lpstr>Pareto cout HESSAPP</vt:lpstr>
      <vt:lpstr>Réel-Théorique HESSAP</vt:lpstr>
      <vt:lpstr>Cout pièce H 266x13</vt:lpstr>
      <vt:lpstr>Cout pièce H 266x22 RPI</vt:lpstr>
      <vt:lpstr>Cout pièce H 283x26 RPI</vt:lpstr>
      <vt:lpstr>Cout pièce H 302x26 RPI</vt:lpstr>
      <vt:lpstr>Evolution coût HESSAPP</vt:lpstr>
      <vt:lpstr>Evolution quantité HESSAP</vt:lpstr>
      <vt:lpstr>Evolution coût pièce HESSAP</vt:lpstr>
      <vt:lpstr>Tableau_plaquette_colonne</vt:lpstr>
      <vt:lpstr>Tableau_plaquette_outil</vt:lpstr>
      <vt:lpstr>Image diapo</vt:lpstr>
    </vt:vector>
  </TitlesOfParts>
  <Manager/>
  <Company>STELLANTIS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COLINE BONTEMS (EXTERNAL)</dc:creator>
  <cp:keywords/>
  <dc:description/>
  <cp:lastModifiedBy>MATIS HERNU</cp:lastModifiedBy>
  <cp:revision/>
  <dcterms:created xsi:type="dcterms:W3CDTF">2024-10-25T06:11:05Z</dcterms:created>
  <dcterms:modified xsi:type="dcterms:W3CDTF">2026-09-28T12:46:52Z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0x01010062126BE89112504EB6F49DB302F7D9F6</vt:lpwstr>
  </property>
  <property fmtid="{D5CDD505-2E9C-101B-9397-08002B2CF9AE}" pid="3" name="MSIP_Label_725ca717-11da-4935-b601-f527b9741f2e_Enabled">
    <vt:lpwstr>true</vt:lpwstr>
  </property>
  <property fmtid="{D5CDD505-2E9C-101B-9397-08002B2CF9AE}" pid="4" name="MSIP_Label_725ca717-11da-4935-b601-f527b9741f2e_SetDate">
    <vt:lpwstr>2025-09-22T13:49:19Z</vt:lpwstr>
  </property>
  <property fmtid="{D5CDD505-2E9C-101B-9397-08002B2CF9AE}" pid="5" name="MSIP_Label_725ca717-11da-4935-b601-f527b9741f2e_Method">
    <vt:lpwstr>Privileged</vt:lpwstr>
  </property>
  <property fmtid="{D5CDD505-2E9C-101B-9397-08002B2CF9AE}" pid="6" name="MSIP_Label_725ca717-11da-4935-b601-f527b9741f2e_Name">
    <vt:lpwstr>C2 - Internal</vt:lpwstr>
  </property>
  <property fmtid="{D5CDD505-2E9C-101B-9397-08002B2CF9AE}" pid="7" name="MSIP_Label_725ca717-11da-4935-b601-f527b9741f2e_SiteId">
    <vt:lpwstr>d852d5cd-724c-4128-8812-ffa5db3f8507</vt:lpwstr>
  </property>
  <property fmtid="{D5CDD505-2E9C-101B-9397-08002B2CF9AE}" pid="8" name="MSIP_Label_725ca717-11da-4935-b601-f527b9741f2e_ActionId">
    <vt:lpwstr>81bf9d7a-b66c-4af0-86c9-2d6c7f0cde73</vt:lpwstr>
  </property>
  <property fmtid="{D5CDD505-2E9C-101B-9397-08002B2CF9AE}" pid="9" name="MSIP_Label_725ca717-11da-4935-b601-f527b9741f2e_ContentBits">
    <vt:lpwstr>0</vt:lpwstr>
  </property>
  <property fmtid="{D5CDD505-2E9C-101B-9397-08002B2CF9AE}" pid="10" name="MSIP_Label_2f065793-cb5f-4919-86bd-a613a0bd79ee_Enabled">
    <vt:lpwstr>true</vt:lpwstr>
  </property>
  <property fmtid="{D5CDD505-2E9C-101B-9397-08002B2CF9AE}" pid="11" name="MSIP_Label_2f065793-cb5f-4919-86bd-a613a0bd79ee_SetDate">
    <vt:lpwstr>2026-09-04T06:02:52Z</vt:lpwstr>
  </property>
  <property fmtid="{D5CDD505-2E9C-101B-9397-08002B2CF9AE}" pid="12" name="MSIP_Label_2f065793-cb5f-4919-86bd-a613a0bd79ee_Method">
    <vt:lpwstr>Standard</vt:lpwstr>
  </property>
  <property fmtid="{D5CDD505-2E9C-101B-9397-08002B2CF9AE}" pid="13" name="MSIP_Label_2f065793-cb5f-4919-86bd-a613a0bd79ee_Name">
    <vt:lpwstr>2f065793-cb5f-4919-86bd-a613a0bd79ee</vt:lpwstr>
  </property>
  <property fmtid="{D5CDD505-2E9C-101B-9397-08002B2CF9AE}" pid="14" name="MSIP_Label_2f065793-cb5f-4919-86bd-a613a0bd79ee_SiteId">
    <vt:lpwstr>e7ee4711-c0b1-4311-b500-b80d89e5b298</vt:lpwstr>
  </property>
  <property fmtid="{D5CDD505-2E9C-101B-9397-08002B2CF9AE}" pid="15" name="MSIP_Label_2f065793-cb5f-4919-86bd-a613a0bd79ee_ActionId">
    <vt:lpwstr>dcd631ae-a30f-4e18-8eab-e8b00752dcf4</vt:lpwstr>
  </property>
  <property fmtid="{D5CDD505-2E9C-101B-9397-08002B2CF9AE}" pid="16" name="MSIP_Label_2f065793-cb5f-4919-86bd-a613a0bd79ee_ContentBits">
    <vt:lpwstr>0</vt:lpwstr>
  </property>
  <property fmtid="{D5CDD505-2E9C-101B-9397-08002B2CF9AE}" pid="17" name="MSIP_Label_2f065793-cb5f-4919-86bd-a613a0bd79ee_Tag">
    <vt:lpwstr>10, 3, 0, 1</vt:lpwstr>
  </property>
</Properties>
</file>