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2.xml" ContentType="application/vnd.openxmlformats-officedocument.spreadsheetml.table+xml"/>
  <Override PartName="/xl/queryTables/queryTable3.xml" ContentType="application/vnd.openxmlformats-officedocument.spreadsheetml.queryTable+xml"/>
  <Override PartName="/xl/tables/table13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shiftup-my.sharepoint.com/personal/sg58524_stellantis_com/Documents/4-Consommations/2026/PCI/10-OCTOBRE/25-09-2026 au 02-10-2026/"/>
    </mc:Choice>
  </mc:AlternateContent>
  <xr:revisionPtr revIDLastSave="223" documentId="8_{1881F986-0F89-43B6-ADB8-A262F6CD68FC}" xr6:coauthVersionLast="47" xr6:coauthVersionMax="47" xr10:uidLastSave="{12103415-4669-4C73-93C5-882E2036314B}"/>
  <bookViews>
    <workbookView xWindow="-105" yWindow="0" windowWidth="14610" windowHeight="15585" tabRatio="810" xr2:uid="{00000000-000D-0000-FFFF-FFFF00000000}"/>
  </bookViews>
  <sheets>
    <sheet name="Tableau colonne" sheetId="1" r:id="rId1"/>
    <sheet name="Tableau roto" sheetId="7" r:id="rId2"/>
    <sheet name="Tableau plaquettes roto" sheetId="26" r:id="rId3"/>
    <sheet name="Tableau plaquettes complet" sheetId="30" r:id="rId4"/>
    <sheet name="Coût sans total" sheetId="3" r:id="rId5"/>
    <sheet name="Coût avec total" sheetId="5" r:id="rId6"/>
    <sheet name="Quantité sans total" sheetId="4" r:id="rId7"/>
    <sheet name="Quantité avec total" sheetId="6" r:id="rId8"/>
    <sheet name="pareto conso plaquette" sheetId="21" r:id="rId9"/>
    <sheet name="Pareto coût plaquette" sheetId="22" r:id="rId10"/>
    <sheet name="Réel-Théorique" sheetId="25" r:id="rId11"/>
    <sheet name="Coût pièce PCI 4 302 " sheetId="8" r:id="rId12"/>
    <sheet name="Cout pièce PCI 4 283" sheetId="10" r:id="rId13"/>
    <sheet name="Cout pièce PCI 4 268" sheetId="16" r:id="rId14"/>
    <sheet name="Coût pièce PCI 5 304" sheetId="9" r:id="rId15"/>
    <sheet name="Coût pièce PCI 5 268" sheetId="11" r:id="rId16"/>
    <sheet name="Evolution coût " sheetId="20" r:id="rId17"/>
    <sheet name="Evolution quantité" sheetId="19" r:id="rId18"/>
    <sheet name="Evolution coût pièce" sheetId="18" r:id="rId19"/>
    <sheet name="Tableau_colonne" sheetId="28" r:id="rId20"/>
    <sheet name="Tableau_plaquettes_roto" sheetId="29" r:id="rId21"/>
    <sheet name="Image diapo" sheetId="31" r:id="rId22"/>
  </sheets>
  <definedNames>
    <definedName name="_xlnm._FilterDatabase" localSheetId="0" hidden="1">'Tableau colonne'!$A$1:$K$85</definedName>
    <definedName name="_xlnm._FilterDatabase" localSheetId="1" hidden="1">'Tableau roto'!$A$3:$F$106</definedName>
    <definedName name="DonnéesExternes_1" localSheetId="10" hidden="1">'Réel-Théorique'!$I$1:$J$12</definedName>
    <definedName name="DonnéesExternes_1" localSheetId="3" hidden="1">'Tableau plaquettes complet'!$A$1:$K$82</definedName>
    <definedName name="DonnéesExternes_1" localSheetId="19" hidden="1">Tableau_colonne!$A$1:$K$85</definedName>
    <definedName name="DonnéesExternes_1" localSheetId="20" hidden="1">Tableau_plaquettes_roto!$A$1:$K$9</definedName>
  </definedNames>
  <calcPr calcId="191029"/>
  <pivotCaches>
    <pivotCache cacheId="35" r:id="rId2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3" i="25" l="1"/>
  <c r="B1" i="10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I94" i="7"/>
  <c r="I95" i="7"/>
  <c r="I96" i="7"/>
  <c r="I97" i="7"/>
  <c r="I98" i="7"/>
  <c r="I99" i="7"/>
  <c r="I100" i="7"/>
  <c r="I101" i="7"/>
  <c r="I102" i="7"/>
  <c r="I103" i="7"/>
  <c r="I104" i="7"/>
  <c r="I105" i="7"/>
  <c r="I106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O94" i="7"/>
  <c r="O95" i="7"/>
  <c r="O96" i="7"/>
  <c r="O97" i="7"/>
  <c r="O98" i="7"/>
  <c r="O99" i="7"/>
  <c r="O100" i="7"/>
  <c r="O101" i="7"/>
  <c r="O102" i="7"/>
  <c r="O103" i="7"/>
  <c r="O104" i="7"/>
  <c r="O105" i="7"/>
  <c r="O106" i="7"/>
  <c r="B17" i="25"/>
  <c r="C17" i="25"/>
  <c r="B16" i="25"/>
  <c r="C16" i="25"/>
  <c r="B13" i="25"/>
  <c r="C13" i="25"/>
  <c r="B14" i="25"/>
  <c r="C14" i="25"/>
  <c r="N22" i="11"/>
  <c r="N21" i="11"/>
  <c r="N19" i="11"/>
  <c r="N12" i="11"/>
  <c r="N10" i="11"/>
  <c r="N6" i="11"/>
  <c r="N4" i="11"/>
  <c r="O21" i="9"/>
  <c r="O19" i="9"/>
  <c r="O12" i="9"/>
  <c r="O11" i="9"/>
  <c r="O10" i="9"/>
  <c r="O6" i="9"/>
  <c r="O4" i="9"/>
  <c r="N22" i="16"/>
  <c r="N21" i="16"/>
  <c r="N19" i="16"/>
  <c r="N12" i="16"/>
  <c r="N10" i="16"/>
  <c r="N6" i="16"/>
  <c r="N4" i="16"/>
  <c r="N19" i="10"/>
  <c r="N12" i="10"/>
  <c r="N11" i="10"/>
  <c r="N10" i="10"/>
  <c r="N6" i="10"/>
  <c r="N4" i="10"/>
  <c r="N20" i="8"/>
  <c r="N19" i="8"/>
  <c r="N12" i="8"/>
  <c r="N11" i="8"/>
  <c r="N10" i="8"/>
  <c r="N6" i="8"/>
  <c r="N4" i="8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I4" i="10"/>
  <c r="H4" i="7"/>
  <c r="I4" i="7"/>
  <c r="J4" i="7"/>
  <c r="H5" i="7"/>
  <c r="I5" i="7"/>
  <c r="J5" i="7"/>
  <c r="H6" i="7"/>
  <c r="I6" i="7"/>
  <c r="J6" i="7"/>
  <c r="H7" i="7"/>
  <c r="I7" i="7"/>
  <c r="J7" i="7"/>
  <c r="H8" i="7"/>
  <c r="I8" i="7"/>
  <c r="J8" i="7"/>
  <c r="H9" i="7"/>
  <c r="I9" i="7"/>
  <c r="J9" i="7"/>
  <c r="H10" i="7"/>
  <c r="I10" i="7"/>
  <c r="J10" i="7"/>
  <c r="H11" i="7"/>
  <c r="I11" i="7"/>
  <c r="J11" i="7"/>
  <c r="H12" i="7"/>
  <c r="I12" i="7"/>
  <c r="J12" i="7"/>
  <c r="H13" i="7"/>
  <c r="I13" i="7"/>
  <c r="J13" i="7"/>
  <c r="H14" i="7"/>
  <c r="I14" i="7"/>
  <c r="J14" i="7"/>
  <c r="H15" i="7"/>
  <c r="I15" i="7"/>
  <c r="J15" i="7"/>
  <c r="H16" i="7"/>
  <c r="I16" i="7"/>
  <c r="J16" i="7"/>
  <c r="H17" i="7"/>
  <c r="I17" i="7"/>
  <c r="J17" i="7"/>
  <c r="H18" i="7"/>
  <c r="I18" i="7"/>
  <c r="J18" i="7"/>
  <c r="H19" i="7"/>
  <c r="I19" i="7"/>
  <c r="J19" i="7"/>
  <c r="H20" i="7"/>
  <c r="I20" i="7"/>
  <c r="J20" i="7"/>
  <c r="H21" i="7"/>
  <c r="I21" i="7"/>
  <c r="J21" i="7"/>
  <c r="H22" i="7"/>
  <c r="I22" i="7"/>
  <c r="J22" i="7"/>
  <c r="H23" i="7"/>
  <c r="I23" i="7"/>
  <c r="J23" i="7"/>
  <c r="H24" i="7"/>
  <c r="I24" i="7"/>
  <c r="J24" i="7"/>
  <c r="H25" i="7"/>
  <c r="I25" i="7"/>
  <c r="J25" i="7"/>
  <c r="H26" i="7"/>
  <c r="I26" i="7"/>
  <c r="J26" i="7"/>
  <c r="H27" i="7"/>
  <c r="I27" i="7"/>
  <c r="J27" i="7"/>
  <c r="H28" i="7"/>
  <c r="I28" i="7"/>
  <c r="J28" i="7"/>
  <c r="H29" i="7"/>
  <c r="I29" i="7"/>
  <c r="J29" i="7"/>
  <c r="H30" i="7"/>
  <c r="I30" i="7"/>
  <c r="J30" i="7"/>
  <c r="H31" i="7"/>
  <c r="I31" i="7"/>
  <c r="J31" i="7"/>
  <c r="H32" i="7"/>
  <c r="I32" i="7"/>
  <c r="J32" i="7"/>
  <c r="H33" i="7"/>
  <c r="I33" i="7"/>
  <c r="J33" i="7"/>
  <c r="H34" i="7"/>
  <c r="I34" i="7"/>
  <c r="J34" i="7"/>
  <c r="H35" i="7"/>
  <c r="I35" i="7"/>
  <c r="J35" i="7"/>
  <c r="H36" i="7"/>
  <c r="I36" i="7"/>
  <c r="J36" i="7"/>
  <c r="H37" i="7"/>
  <c r="I37" i="7"/>
  <c r="J37" i="7"/>
  <c r="H38" i="7"/>
  <c r="I38" i="7"/>
  <c r="J38" i="7"/>
  <c r="H39" i="7"/>
  <c r="I39" i="7"/>
  <c r="J39" i="7"/>
  <c r="H40" i="7"/>
  <c r="I40" i="7"/>
  <c r="J40" i="7"/>
  <c r="H41" i="7"/>
  <c r="I41" i="7"/>
  <c r="J41" i="7"/>
  <c r="H42" i="7"/>
  <c r="I42" i="7"/>
  <c r="J42" i="7"/>
  <c r="H43" i="7"/>
  <c r="I43" i="7"/>
  <c r="J43" i="7"/>
  <c r="H44" i="7"/>
  <c r="I44" i="7"/>
  <c r="J44" i="7"/>
  <c r="H45" i="7"/>
  <c r="I45" i="7"/>
  <c r="J45" i="7"/>
  <c r="H46" i="7"/>
  <c r="I46" i="7"/>
  <c r="J46" i="7"/>
  <c r="H47" i="7"/>
  <c r="I47" i="7"/>
  <c r="J47" i="7"/>
  <c r="H48" i="7"/>
  <c r="I48" i="7"/>
  <c r="J48" i="7"/>
  <c r="H49" i="7"/>
  <c r="I49" i="7"/>
  <c r="J49" i="7"/>
  <c r="H50" i="7"/>
  <c r="I50" i="7"/>
  <c r="J50" i="7"/>
  <c r="H51" i="7"/>
  <c r="I51" i="7"/>
  <c r="J51" i="7"/>
  <c r="H52" i="7"/>
  <c r="I52" i="7"/>
  <c r="J52" i="7"/>
  <c r="H53" i="7"/>
  <c r="I53" i="7"/>
  <c r="J53" i="7"/>
  <c r="H54" i="7"/>
  <c r="I54" i="7"/>
  <c r="J54" i="7"/>
  <c r="H55" i="7"/>
  <c r="I55" i="7"/>
  <c r="J55" i="7"/>
  <c r="H56" i="7"/>
  <c r="I56" i="7"/>
  <c r="J56" i="7"/>
  <c r="H57" i="7"/>
  <c r="I57" i="7"/>
  <c r="J57" i="7"/>
  <c r="H58" i="7"/>
  <c r="I58" i="7"/>
  <c r="J58" i="7"/>
  <c r="H59" i="7"/>
  <c r="I59" i="7"/>
  <c r="J59" i="7"/>
  <c r="H60" i="7"/>
  <c r="I60" i="7"/>
  <c r="J60" i="7"/>
  <c r="H61" i="7"/>
  <c r="I61" i="7"/>
  <c r="J61" i="7"/>
  <c r="H62" i="7"/>
  <c r="I62" i="7"/>
  <c r="J62" i="7"/>
  <c r="H63" i="7"/>
  <c r="I63" i="7"/>
  <c r="J63" i="7"/>
  <c r="H64" i="7"/>
  <c r="I64" i="7"/>
  <c r="J64" i="7"/>
  <c r="H65" i="7"/>
  <c r="I65" i="7"/>
  <c r="J65" i="7"/>
  <c r="H66" i="7"/>
  <c r="I66" i="7"/>
  <c r="J66" i="7"/>
  <c r="H67" i="7"/>
  <c r="I67" i="7"/>
  <c r="J67" i="7"/>
  <c r="H68" i="7"/>
  <c r="I68" i="7"/>
  <c r="J68" i="7"/>
  <c r="H69" i="7"/>
  <c r="I69" i="7"/>
  <c r="J69" i="7"/>
  <c r="H70" i="7"/>
  <c r="I70" i="7"/>
  <c r="J70" i="7"/>
  <c r="H71" i="7"/>
  <c r="I71" i="7"/>
  <c r="J71" i="7"/>
  <c r="H72" i="7"/>
  <c r="I72" i="7"/>
  <c r="J72" i="7"/>
  <c r="H73" i="7"/>
  <c r="I73" i="7"/>
  <c r="J73" i="7"/>
  <c r="H74" i="7"/>
  <c r="I74" i="7"/>
  <c r="J74" i="7"/>
  <c r="G75" i="7"/>
  <c r="H75" i="7"/>
  <c r="I75" i="7"/>
  <c r="J75" i="7"/>
  <c r="G76" i="7"/>
  <c r="H76" i="7"/>
  <c r="I76" i="7"/>
  <c r="J76" i="7"/>
  <c r="G77" i="7"/>
  <c r="H77" i="7"/>
  <c r="I77" i="7"/>
  <c r="J77" i="7"/>
  <c r="G78" i="7"/>
  <c r="H78" i="7"/>
  <c r="I78" i="7"/>
  <c r="J78" i="7"/>
  <c r="G79" i="7"/>
  <c r="H79" i="7"/>
  <c r="I79" i="7"/>
  <c r="J79" i="7"/>
  <c r="G80" i="7"/>
  <c r="H80" i="7"/>
  <c r="I80" i="7"/>
  <c r="J80" i="7"/>
  <c r="G81" i="7"/>
  <c r="H81" i="7"/>
  <c r="I81" i="7"/>
  <c r="J81" i="7"/>
  <c r="G82" i="7"/>
  <c r="H82" i="7"/>
  <c r="I82" i="7"/>
  <c r="J82" i="7"/>
  <c r="G83" i="7"/>
  <c r="H83" i="7"/>
  <c r="I83" i="7"/>
  <c r="J83" i="7"/>
  <c r="C11" i="25" l="1"/>
  <c r="J4" i="9"/>
  <c r="K4" i="9"/>
  <c r="J5" i="9"/>
  <c r="K5" i="9"/>
  <c r="J6" i="9"/>
  <c r="K6" i="9"/>
  <c r="M6" i="9"/>
  <c r="N6" i="9" s="1"/>
  <c r="J7" i="9"/>
  <c r="K7" i="9"/>
  <c r="J8" i="9"/>
  <c r="K8" i="9"/>
  <c r="J9" i="9"/>
  <c r="K9" i="9"/>
  <c r="J10" i="9"/>
  <c r="K10" i="9"/>
  <c r="L10" i="9" s="1"/>
  <c r="M10" i="9"/>
  <c r="N10" i="9" s="1"/>
  <c r="J11" i="9"/>
  <c r="K11" i="9"/>
  <c r="L11" i="9" s="1"/>
  <c r="M11" i="9"/>
  <c r="N11" i="9" s="1"/>
  <c r="J12" i="9"/>
  <c r="K12" i="9"/>
  <c r="M12" i="9"/>
  <c r="N12" i="9" s="1"/>
  <c r="J13" i="9"/>
  <c r="K13" i="9"/>
  <c r="J14" i="9"/>
  <c r="K14" i="9"/>
  <c r="J15" i="9"/>
  <c r="K15" i="9"/>
  <c r="L15" i="9" s="1"/>
  <c r="J16" i="9"/>
  <c r="K16" i="9"/>
  <c r="L16" i="9" s="1"/>
  <c r="J17" i="9"/>
  <c r="J18" i="9"/>
  <c r="J19" i="9"/>
  <c r="K19" i="9"/>
  <c r="M19" i="9"/>
  <c r="N19" i="9" s="1"/>
  <c r="J20" i="9"/>
  <c r="K20" i="9"/>
  <c r="J21" i="9"/>
  <c r="K21" i="9"/>
  <c r="L21" i="9" s="1"/>
  <c r="M21" i="9"/>
  <c r="N21" i="9" s="1"/>
  <c r="J22" i="9"/>
  <c r="B2" i="25"/>
  <c r="C2" i="25"/>
  <c r="B3" i="25"/>
  <c r="C3" i="25"/>
  <c r="B4" i="25"/>
  <c r="C4" i="25"/>
  <c r="B5" i="25"/>
  <c r="C5" i="25"/>
  <c r="B6" i="25"/>
  <c r="C6" i="25"/>
  <c r="B7" i="25"/>
  <c r="C7" i="25"/>
  <c r="B8" i="25"/>
  <c r="C8" i="25"/>
  <c r="B9" i="25"/>
  <c r="C9" i="25"/>
  <c r="B10" i="25"/>
  <c r="C10" i="25"/>
  <c r="B11" i="25"/>
  <c r="B12" i="25"/>
  <c r="C12" i="25"/>
  <c r="B15" i="25"/>
  <c r="C15" i="25"/>
  <c r="B18" i="25" l="1"/>
  <c r="C18" i="25"/>
  <c r="L6" i="9"/>
  <c r="L19" i="9"/>
  <c r="L12" i="9"/>
  <c r="K18" i="9"/>
  <c r="L18" i="9" s="1"/>
  <c r="L4" i="9"/>
  <c r="K17" i="9"/>
  <c r="L17" i="9" s="1"/>
  <c r="M4" i="9"/>
  <c r="N4" i="9" s="1"/>
  <c r="J32" i="9"/>
  <c r="I35" i="8"/>
  <c r="K22" i="9" l="1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2" i="19"/>
  <c r="C33" i="19"/>
  <c r="C34" i="19"/>
  <c r="C35" i="19"/>
  <c r="C36" i="19"/>
  <c r="C37" i="19"/>
  <c r="C38" i="19"/>
  <c r="C39" i="19"/>
  <c r="C40" i="19"/>
  <c r="C41" i="19"/>
  <c r="C42" i="19"/>
  <c r="C43" i="19"/>
  <c r="C44" i="19"/>
  <c r="C45" i="19"/>
  <c r="C46" i="19"/>
  <c r="C47" i="19"/>
  <c r="C48" i="19"/>
  <c r="C49" i="19"/>
  <c r="C50" i="19"/>
  <c r="C51" i="19"/>
  <c r="C52" i="19"/>
  <c r="C2" i="19"/>
  <c r="C3" i="19" l="1"/>
  <c r="C4" i="19"/>
  <c r="C5" i="19"/>
  <c r="C6" i="19"/>
  <c r="C7" i="19"/>
  <c r="C8" i="19"/>
  <c r="C9" i="19"/>
  <c r="D11" i="11" l="1"/>
  <c r="D10" i="11"/>
  <c r="D5" i="11"/>
  <c r="D4" i="11"/>
  <c r="D4" i="16"/>
  <c r="G84" i="7"/>
  <c r="G85" i="7"/>
  <c r="G86" i="7"/>
  <c r="G87" i="7"/>
  <c r="G88" i="7"/>
  <c r="G89" i="7"/>
  <c r="G90" i="7"/>
  <c r="G91" i="7"/>
  <c r="G92" i="7"/>
  <c r="G93" i="7"/>
  <c r="H84" i="7"/>
  <c r="F3" i="26" s="1"/>
  <c r="I84" i="7"/>
  <c r="J84" i="7"/>
  <c r="H85" i="7"/>
  <c r="I85" i="7"/>
  <c r="J85" i="7"/>
  <c r="H86" i="7"/>
  <c r="I86" i="7"/>
  <c r="J86" i="7"/>
  <c r="H87" i="7"/>
  <c r="I87" i="7"/>
  <c r="J87" i="7"/>
  <c r="H88" i="7"/>
  <c r="I88" i="7"/>
  <c r="J88" i="7"/>
  <c r="H89" i="7"/>
  <c r="I89" i="7"/>
  <c r="J89" i="7"/>
  <c r="H90" i="7"/>
  <c r="I90" i="7"/>
  <c r="J90" i="7"/>
  <c r="H91" i="7"/>
  <c r="I91" i="7"/>
  <c r="J91" i="7"/>
  <c r="H92" i="7"/>
  <c r="I92" i="7"/>
  <c r="J92" i="7"/>
  <c r="H93" i="7"/>
  <c r="I93" i="7"/>
  <c r="J93" i="7"/>
  <c r="F5" i="26" l="1"/>
  <c r="K5" i="26" s="1"/>
  <c r="F2" i="26"/>
  <c r="F4" i="26"/>
  <c r="K4" i="26" s="1"/>
  <c r="K3" i="26"/>
  <c r="L85" i="7"/>
  <c r="M85" i="7"/>
  <c r="N85" i="7"/>
  <c r="O85" i="7"/>
  <c r="L86" i="7"/>
  <c r="M86" i="7"/>
  <c r="N86" i="7"/>
  <c r="O86" i="7"/>
  <c r="L87" i="7"/>
  <c r="M87" i="7"/>
  <c r="N87" i="7"/>
  <c r="O87" i="7"/>
  <c r="L88" i="7"/>
  <c r="M88" i="7"/>
  <c r="N88" i="7"/>
  <c r="O88" i="7"/>
  <c r="L89" i="7"/>
  <c r="M89" i="7"/>
  <c r="N89" i="7"/>
  <c r="O89" i="7"/>
  <c r="L90" i="7"/>
  <c r="M90" i="7"/>
  <c r="N90" i="7"/>
  <c r="O90" i="7"/>
  <c r="L91" i="7"/>
  <c r="M91" i="7"/>
  <c r="N91" i="7"/>
  <c r="O91" i="7"/>
  <c r="L92" i="7"/>
  <c r="M92" i="7"/>
  <c r="N92" i="7"/>
  <c r="O92" i="7"/>
  <c r="L93" i="7"/>
  <c r="M93" i="7"/>
  <c r="N93" i="7"/>
  <c r="O93" i="7"/>
  <c r="L72" i="7"/>
  <c r="M72" i="7"/>
  <c r="N72" i="7"/>
  <c r="O72" i="7"/>
  <c r="L73" i="7"/>
  <c r="M73" i="7"/>
  <c r="N73" i="7"/>
  <c r="O73" i="7"/>
  <c r="L74" i="7"/>
  <c r="M74" i="7"/>
  <c r="N74" i="7"/>
  <c r="O74" i="7"/>
  <c r="L75" i="7"/>
  <c r="M75" i="7"/>
  <c r="N75" i="7"/>
  <c r="O75" i="7"/>
  <c r="L76" i="7"/>
  <c r="M76" i="7"/>
  <c r="N76" i="7"/>
  <c r="O76" i="7"/>
  <c r="L77" i="7"/>
  <c r="M77" i="7"/>
  <c r="N77" i="7"/>
  <c r="O77" i="7"/>
  <c r="L78" i="7"/>
  <c r="M78" i="7"/>
  <c r="N78" i="7"/>
  <c r="O78" i="7"/>
  <c r="L79" i="7"/>
  <c r="M79" i="7"/>
  <c r="N79" i="7"/>
  <c r="O79" i="7"/>
  <c r="L80" i="7"/>
  <c r="M80" i="7"/>
  <c r="N80" i="7"/>
  <c r="O80" i="7"/>
  <c r="L81" i="7"/>
  <c r="M81" i="7"/>
  <c r="N81" i="7"/>
  <c r="O81" i="7"/>
  <c r="L82" i="7"/>
  <c r="M82" i="7"/>
  <c r="N82" i="7"/>
  <c r="O82" i="7"/>
  <c r="L83" i="7"/>
  <c r="M83" i="7"/>
  <c r="N83" i="7"/>
  <c r="O83" i="7"/>
  <c r="L84" i="7"/>
  <c r="M84" i="7"/>
  <c r="N84" i="7"/>
  <c r="O84" i="7"/>
  <c r="K2" i="26" l="1"/>
  <c r="O59" i="7"/>
  <c r="O60" i="7"/>
  <c r="O61" i="7"/>
  <c r="O62" i="7"/>
  <c r="O63" i="7"/>
  <c r="O64" i="7"/>
  <c r="O65" i="7"/>
  <c r="O66" i="7"/>
  <c r="O67" i="7"/>
  <c r="O68" i="7"/>
  <c r="O69" i="7"/>
  <c r="O70" i="7"/>
  <c r="O71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G20" i="11" l="1"/>
  <c r="G19" i="11"/>
  <c r="F20" i="11"/>
  <c r="F19" i="11"/>
  <c r="C19" i="11" l="1"/>
  <c r="L47" i="7" l="1"/>
  <c r="M47" i="7"/>
  <c r="N47" i="7"/>
  <c r="O47" i="7"/>
  <c r="L48" i="7"/>
  <c r="M48" i="7"/>
  <c r="N48" i="7"/>
  <c r="O48" i="7"/>
  <c r="L49" i="7"/>
  <c r="M49" i="7"/>
  <c r="N49" i="7"/>
  <c r="O49" i="7"/>
  <c r="L50" i="7"/>
  <c r="M50" i="7"/>
  <c r="N50" i="7"/>
  <c r="O50" i="7"/>
  <c r="L51" i="7"/>
  <c r="M51" i="7"/>
  <c r="N51" i="7"/>
  <c r="O51" i="7"/>
  <c r="L52" i="7"/>
  <c r="M52" i="7"/>
  <c r="N52" i="7"/>
  <c r="O52" i="7"/>
  <c r="L53" i="7"/>
  <c r="M53" i="7"/>
  <c r="N53" i="7"/>
  <c r="O53" i="7"/>
  <c r="L54" i="7"/>
  <c r="M54" i="7"/>
  <c r="N54" i="7"/>
  <c r="O54" i="7"/>
  <c r="L55" i="7"/>
  <c r="M55" i="7"/>
  <c r="N55" i="7"/>
  <c r="O55" i="7"/>
  <c r="L56" i="7"/>
  <c r="M56" i="7"/>
  <c r="N56" i="7"/>
  <c r="O56" i="7"/>
  <c r="L57" i="7"/>
  <c r="M57" i="7"/>
  <c r="N57" i="7"/>
  <c r="O57" i="7"/>
  <c r="L58" i="7"/>
  <c r="M58" i="7"/>
  <c r="N58" i="7"/>
  <c r="O58" i="7"/>
  <c r="G4" i="11"/>
  <c r="G4" i="16"/>
  <c r="L4" i="16" s="1"/>
  <c r="M4" i="16" s="1"/>
  <c r="D5" i="16"/>
  <c r="L22" i="16" l="1"/>
  <c r="M22" i="16" s="1"/>
  <c r="L21" i="16"/>
  <c r="M21" i="16" s="1"/>
  <c r="L19" i="16"/>
  <c r="M19" i="16" s="1"/>
  <c r="L12" i="16"/>
  <c r="M12" i="16" s="1"/>
  <c r="L10" i="16"/>
  <c r="M10" i="16" s="1"/>
  <c r="J22" i="16"/>
  <c r="I22" i="16"/>
  <c r="J21" i="16"/>
  <c r="I21" i="16"/>
  <c r="J20" i="16"/>
  <c r="I20" i="16"/>
  <c r="J19" i="16"/>
  <c r="I19" i="16"/>
  <c r="I18" i="16"/>
  <c r="I17" i="16"/>
  <c r="J16" i="16"/>
  <c r="I32" i="16" s="1"/>
  <c r="I16" i="16"/>
  <c r="J15" i="16"/>
  <c r="I31" i="16" s="1"/>
  <c r="I15" i="16"/>
  <c r="J14" i="16"/>
  <c r="I14" i="16"/>
  <c r="J13" i="16"/>
  <c r="I13" i="16"/>
  <c r="J12" i="16"/>
  <c r="I12" i="16"/>
  <c r="J11" i="16"/>
  <c r="I11" i="16"/>
  <c r="J10" i="16"/>
  <c r="I10" i="16"/>
  <c r="J9" i="16"/>
  <c r="I9" i="16"/>
  <c r="J8" i="16"/>
  <c r="I8" i="16"/>
  <c r="J7" i="16"/>
  <c r="I7" i="16"/>
  <c r="J6" i="16"/>
  <c r="I6" i="16"/>
  <c r="J5" i="16"/>
  <c r="I5" i="16"/>
  <c r="J4" i="16"/>
  <c r="I4" i="16"/>
  <c r="I23" i="16" s="1"/>
  <c r="K22" i="16" l="1"/>
  <c r="O22" i="16" s="1"/>
  <c r="I36" i="16"/>
  <c r="I28" i="16"/>
  <c r="I29" i="16"/>
  <c r="I35" i="16"/>
  <c r="K21" i="16"/>
  <c r="O21" i="16" s="1"/>
  <c r="I30" i="16"/>
  <c r="K4" i="16"/>
  <c r="O4" i="16" s="1"/>
  <c r="L6" i="16"/>
  <c r="M6" i="16" s="1"/>
  <c r="K15" i="16"/>
  <c r="J18" i="16"/>
  <c r="K16" i="16"/>
  <c r="J17" i="16"/>
  <c r="N18" i="16"/>
  <c r="N18" i="8"/>
  <c r="N18" i="10"/>
  <c r="N15" i="16"/>
  <c r="N15" i="10"/>
  <c r="N15" i="8"/>
  <c r="N17" i="16"/>
  <c r="N17" i="8"/>
  <c r="N17" i="10"/>
  <c r="N16" i="16"/>
  <c r="N16" i="8"/>
  <c r="N16" i="10"/>
  <c r="I24" i="16"/>
  <c r="K12" i="16"/>
  <c r="O12" i="16" s="1"/>
  <c r="K19" i="16"/>
  <c r="O19" i="16" s="1"/>
  <c r="K6" i="16"/>
  <c r="O6" i="16" s="1"/>
  <c r="K10" i="16"/>
  <c r="O10" i="16" s="1"/>
  <c r="K17" i="16" l="1"/>
  <c r="I33" i="16"/>
  <c r="K18" i="16"/>
  <c r="I34" i="16"/>
  <c r="N23" i="16"/>
  <c r="J23" i="16"/>
  <c r="L4" i="7"/>
  <c r="M4" i="7"/>
  <c r="N4" i="7"/>
  <c r="O4" i="7"/>
  <c r="L5" i="7"/>
  <c r="M5" i="7"/>
  <c r="N5" i="7"/>
  <c r="O5" i="7"/>
  <c r="L6" i="7"/>
  <c r="M6" i="7"/>
  <c r="N6" i="7"/>
  <c r="O6" i="7"/>
  <c r="L7" i="7"/>
  <c r="M7" i="7"/>
  <c r="N7" i="7"/>
  <c r="O7" i="7"/>
  <c r="L8" i="7"/>
  <c r="M8" i="7"/>
  <c r="N8" i="7"/>
  <c r="O8" i="7"/>
  <c r="L9" i="7"/>
  <c r="M9" i="7"/>
  <c r="N9" i="7"/>
  <c r="O9" i="7"/>
  <c r="L10" i="7"/>
  <c r="M10" i="7"/>
  <c r="N10" i="7"/>
  <c r="O10" i="7"/>
  <c r="L11" i="7"/>
  <c r="M11" i="7"/>
  <c r="N11" i="7"/>
  <c r="O11" i="7"/>
  <c r="L12" i="7"/>
  <c r="M12" i="7"/>
  <c r="N12" i="7"/>
  <c r="O12" i="7"/>
  <c r="L13" i="7"/>
  <c r="M13" i="7"/>
  <c r="N13" i="7"/>
  <c r="O13" i="7"/>
  <c r="L14" i="7"/>
  <c r="M14" i="7"/>
  <c r="N14" i="7"/>
  <c r="O14" i="7"/>
  <c r="L15" i="7"/>
  <c r="M15" i="7"/>
  <c r="N15" i="7"/>
  <c r="O15" i="7"/>
  <c r="L16" i="7"/>
  <c r="M16" i="7"/>
  <c r="N16" i="7"/>
  <c r="O16" i="7"/>
  <c r="L17" i="7"/>
  <c r="M17" i="7"/>
  <c r="N17" i="7"/>
  <c r="O17" i="7"/>
  <c r="L18" i="7"/>
  <c r="M18" i="7"/>
  <c r="N18" i="7"/>
  <c r="O18" i="7"/>
  <c r="L19" i="7"/>
  <c r="M19" i="7"/>
  <c r="N19" i="7"/>
  <c r="O19" i="7"/>
  <c r="L20" i="7"/>
  <c r="M20" i="7"/>
  <c r="N20" i="7"/>
  <c r="O20" i="7"/>
  <c r="L21" i="7"/>
  <c r="M21" i="7"/>
  <c r="N21" i="7"/>
  <c r="O21" i="7"/>
  <c r="L22" i="7"/>
  <c r="M22" i="7"/>
  <c r="N22" i="7"/>
  <c r="O22" i="7"/>
  <c r="L23" i="7"/>
  <c r="M23" i="7"/>
  <c r="N23" i="7"/>
  <c r="O23" i="7"/>
  <c r="L24" i="7"/>
  <c r="M24" i="7"/>
  <c r="N24" i="7"/>
  <c r="O24" i="7"/>
  <c r="L25" i="7"/>
  <c r="M25" i="7"/>
  <c r="N25" i="7"/>
  <c r="O25" i="7"/>
  <c r="L26" i="7"/>
  <c r="M26" i="7"/>
  <c r="N26" i="7"/>
  <c r="O26" i="7"/>
  <c r="L27" i="7"/>
  <c r="M27" i="7"/>
  <c r="N27" i="7"/>
  <c r="O27" i="7"/>
  <c r="L28" i="7"/>
  <c r="M28" i="7"/>
  <c r="N28" i="7"/>
  <c r="O28" i="7"/>
  <c r="L29" i="7"/>
  <c r="M29" i="7"/>
  <c r="N29" i="7"/>
  <c r="O29" i="7"/>
  <c r="L30" i="7"/>
  <c r="M30" i="7"/>
  <c r="N30" i="7"/>
  <c r="O30" i="7"/>
  <c r="L31" i="7"/>
  <c r="M31" i="7"/>
  <c r="N31" i="7"/>
  <c r="O31" i="7"/>
  <c r="L32" i="7"/>
  <c r="M32" i="7"/>
  <c r="N32" i="7"/>
  <c r="O32" i="7"/>
  <c r="L33" i="7"/>
  <c r="M33" i="7"/>
  <c r="N33" i="7"/>
  <c r="O33" i="7"/>
  <c r="L34" i="7"/>
  <c r="M34" i="7"/>
  <c r="N34" i="7"/>
  <c r="O34" i="7"/>
  <c r="L35" i="7"/>
  <c r="M35" i="7"/>
  <c r="N35" i="7"/>
  <c r="O35" i="7"/>
  <c r="L36" i="7"/>
  <c r="M36" i="7"/>
  <c r="N36" i="7"/>
  <c r="O36" i="7"/>
  <c r="L37" i="7"/>
  <c r="M37" i="7"/>
  <c r="N37" i="7"/>
  <c r="O37" i="7"/>
  <c r="L38" i="7"/>
  <c r="M38" i="7"/>
  <c r="N38" i="7"/>
  <c r="O38" i="7"/>
  <c r="L39" i="7"/>
  <c r="M39" i="7"/>
  <c r="N39" i="7"/>
  <c r="O39" i="7"/>
  <c r="L40" i="7"/>
  <c r="M40" i="7"/>
  <c r="N40" i="7"/>
  <c r="O40" i="7"/>
  <c r="L41" i="7"/>
  <c r="M41" i="7"/>
  <c r="N41" i="7"/>
  <c r="O41" i="7"/>
  <c r="L42" i="7"/>
  <c r="M42" i="7"/>
  <c r="N42" i="7"/>
  <c r="O42" i="7"/>
  <c r="L43" i="7"/>
  <c r="M43" i="7"/>
  <c r="N43" i="7"/>
  <c r="O43" i="7"/>
  <c r="L44" i="7"/>
  <c r="M44" i="7"/>
  <c r="N44" i="7"/>
  <c r="O44" i="7"/>
  <c r="L45" i="7"/>
  <c r="M45" i="7"/>
  <c r="N45" i="7"/>
  <c r="O45" i="7"/>
  <c r="L46" i="7"/>
  <c r="M46" i="7"/>
  <c r="N46" i="7"/>
  <c r="O46" i="7"/>
  <c r="J14" i="8"/>
  <c r="I14" i="8"/>
  <c r="J13" i="8"/>
  <c r="I13" i="8"/>
  <c r="J12" i="8"/>
  <c r="I12" i="8"/>
  <c r="F6" i="26" l="1"/>
  <c r="O18" i="9" s="1"/>
  <c r="M18" i="9" s="1"/>
  <c r="N18" i="9" s="1"/>
  <c r="F7" i="26"/>
  <c r="K7" i="26" s="1"/>
  <c r="F9" i="26"/>
  <c r="O16" i="9" s="1"/>
  <c r="M16" i="9" s="1"/>
  <c r="N16" i="9" s="1"/>
  <c r="F8" i="26"/>
  <c r="K8" i="26" s="1"/>
  <c r="K12" i="8"/>
  <c r="L22" i="11"/>
  <c r="M22" i="11" s="1"/>
  <c r="L21" i="11"/>
  <c r="M21" i="11" s="1"/>
  <c r="L19" i="11"/>
  <c r="M19" i="11" s="1"/>
  <c r="L12" i="11"/>
  <c r="M12" i="11" s="1"/>
  <c r="L10" i="11"/>
  <c r="M10" i="11" s="1"/>
  <c r="L6" i="11"/>
  <c r="M6" i="11" s="1"/>
  <c r="L4" i="11"/>
  <c r="M4" i="11" s="1"/>
  <c r="J22" i="11"/>
  <c r="I22" i="11"/>
  <c r="J21" i="11"/>
  <c r="I21" i="11"/>
  <c r="J20" i="11"/>
  <c r="I20" i="11"/>
  <c r="J19" i="11"/>
  <c r="I34" i="11" s="1"/>
  <c r="I19" i="11"/>
  <c r="I18" i="11"/>
  <c r="I17" i="11"/>
  <c r="J16" i="11"/>
  <c r="I31" i="11" s="1"/>
  <c r="I16" i="11"/>
  <c r="J15" i="11"/>
  <c r="I30" i="11" s="1"/>
  <c r="I15" i="11"/>
  <c r="J14" i="11"/>
  <c r="I14" i="11"/>
  <c r="J13" i="11"/>
  <c r="I13" i="11"/>
  <c r="J12" i="11"/>
  <c r="I12" i="11"/>
  <c r="J11" i="11"/>
  <c r="I11" i="11"/>
  <c r="J10" i="11"/>
  <c r="I10" i="11"/>
  <c r="J9" i="11"/>
  <c r="I9" i="11"/>
  <c r="J8" i="11"/>
  <c r="I8" i="11"/>
  <c r="J7" i="11"/>
  <c r="I7" i="11"/>
  <c r="J6" i="11"/>
  <c r="I6" i="11"/>
  <c r="J5" i="11"/>
  <c r="I5" i="11"/>
  <c r="J4" i="11"/>
  <c r="I4" i="11"/>
  <c r="I27" i="11" l="1"/>
  <c r="K9" i="26"/>
  <c r="O15" i="9"/>
  <c r="M15" i="9" s="1"/>
  <c r="N15" i="9" s="1"/>
  <c r="O17" i="9"/>
  <c r="M17" i="9" s="1"/>
  <c r="N17" i="9" s="1"/>
  <c r="K6" i="26"/>
  <c r="F10" i="26"/>
  <c r="K21" i="11"/>
  <c r="O21" i="11" s="1"/>
  <c r="I29" i="11"/>
  <c r="K22" i="11"/>
  <c r="O22" i="11" s="1"/>
  <c r="I35" i="11"/>
  <c r="I28" i="11"/>
  <c r="K15" i="11"/>
  <c r="J18" i="11"/>
  <c r="K16" i="11"/>
  <c r="J17" i="11"/>
  <c r="N17" i="11"/>
  <c r="L17" i="11" s="1"/>
  <c r="M17" i="11" s="1"/>
  <c r="N18" i="11"/>
  <c r="N15" i="11"/>
  <c r="N16" i="11"/>
  <c r="L16" i="11" s="1"/>
  <c r="M16" i="11" s="1"/>
  <c r="I23" i="11"/>
  <c r="I24" i="11" s="1"/>
  <c r="K4" i="11"/>
  <c r="O4" i="11" s="1"/>
  <c r="K12" i="11"/>
  <c r="O12" i="11" s="1"/>
  <c r="K19" i="11"/>
  <c r="O19" i="11" s="1"/>
  <c r="K6" i="11"/>
  <c r="O6" i="11" s="1"/>
  <c r="K10" i="11"/>
  <c r="O10" i="11" s="1"/>
  <c r="J20" i="10"/>
  <c r="I20" i="10"/>
  <c r="J19" i="10"/>
  <c r="I34" i="10" s="1"/>
  <c r="I19" i="10"/>
  <c r="I18" i="10"/>
  <c r="I17" i="10"/>
  <c r="J16" i="10"/>
  <c r="I31" i="10" s="1"/>
  <c r="I16" i="10"/>
  <c r="J15" i="10"/>
  <c r="I30" i="10" s="1"/>
  <c r="I15" i="10"/>
  <c r="J14" i="10"/>
  <c r="I14" i="10"/>
  <c r="J13" i="10"/>
  <c r="I13" i="10"/>
  <c r="J12" i="10"/>
  <c r="I35" i="10" s="1"/>
  <c r="I12" i="10"/>
  <c r="J11" i="10"/>
  <c r="K11" i="10" s="1"/>
  <c r="I11" i="10"/>
  <c r="J10" i="10"/>
  <c r="I10" i="10"/>
  <c r="J9" i="10"/>
  <c r="I9" i="10"/>
  <c r="J8" i="10"/>
  <c r="I8" i="10"/>
  <c r="J7" i="10"/>
  <c r="I7" i="10"/>
  <c r="J6" i="10"/>
  <c r="I6" i="10"/>
  <c r="J5" i="10"/>
  <c r="I5" i="10"/>
  <c r="J4" i="10"/>
  <c r="K10" i="26" l="1"/>
  <c r="N22" i="9"/>
  <c r="O22" i="9"/>
  <c r="I28" i="10"/>
  <c r="K17" i="11"/>
  <c r="I32" i="11"/>
  <c r="K18" i="11"/>
  <c r="I33" i="11"/>
  <c r="K10" i="10"/>
  <c r="O10" i="10" s="1"/>
  <c r="I29" i="10"/>
  <c r="I27" i="10"/>
  <c r="L19" i="10"/>
  <c r="M19" i="10" s="1"/>
  <c r="L6" i="10"/>
  <c r="M6" i="10" s="1"/>
  <c r="L10" i="10"/>
  <c r="M10" i="10" s="1"/>
  <c r="L11" i="10"/>
  <c r="M11" i="10" s="1"/>
  <c r="O11" i="10"/>
  <c r="L12" i="10"/>
  <c r="M12" i="10" s="1"/>
  <c r="J23" i="11"/>
  <c r="I21" i="10"/>
  <c r="I22" i="10" s="1"/>
  <c r="K15" i="10"/>
  <c r="O15" i="10" s="1"/>
  <c r="J18" i="10"/>
  <c r="I33" i="10" s="1"/>
  <c r="K16" i="10"/>
  <c r="O16" i="10" s="1"/>
  <c r="J17" i="10"/>
  <c r="O16" i="11"/>
  <c r="N21" i="10"/>
  <c r="L17" i="16"/>
  <c r="M17" i="16" s="1"/>
  <c r="O17" i="16"/>
  <c r="L15" i="16"/>
  <c r="M15" i="16" s="1"/>
  <c r="O15" i="16"/>
  <c r="L18" i="16"/>
  <c r="M18" i="16" s="1"/>
  <c r="O18" i="16"/>
  <c r="L16" i="16"/>
  <c r="M16" i="16" s="1"/>
  <c r="O16" i="16"/>
  <c r="L4" i="10"/>
  <c r="M4" i="10" s="1"/>
  <c r="K4" i="10"/>
  <c r="O4" i="10" s="1"/>
  <c r="L15" i="11"/>
  <c r="M15" i="11" s="1"/>
  <c r="O17" i="11"/>
  <c r="N23" i="11"/>
  <c r="O15" i="11"/>
  <c r="K12" i="10"/>
  <c r="O12" i="10" s="1"/>
  <c r="K6" i="10"/>
  <c r="O6" i="10" s="1"/>
  <c r="K19" i="10"/>
  <c r="O19" i="10" s="1"/>
  <c r="K18" i="10" l="1"/>
  <c r="K17" i="10"/>
  <c r="I32" i="10"/>
  <c r="K35" i="10" s="1"/>
  <c r="J21" i="10"/>
  <c r="M23" i="16"/>
  <c r="M24" i="16" s="1"/>
  <c r="L18" i="11"/>
  <c r="M18" i="11" s="1"/>
  <c r="M23" i="11" s="1"/>
  <c r="O18" i="11"/>
  <c r="L11" i="8"/>
  <c r="N22" i="8" l="1"/>
  <c r="M24" i="11"/>
  <c r="J29" i="9"/>
  <c r="J28" i="9"/>
  <c r="J26" i="9" l="1"/>
  <c r="J27" i="9"/>
  <c r="J33" i="9"/>
  <c r="P16" i="9"/>
  <c r="P15" i="9"/>
  <c r="P19" i="9"/>
  <c r="P12" i="9"/>
  <c r="J23" i="9"/>
  <c r="P6" i="9"/>
  <c r="P21" i="9"/>
  <c r="P11" i="9"/>
  <c r="P10" i="9"/>
  <c r="N23" i="9"/>
  <c r="P4" i="9"/>
  <c r="P17" i="9" l="1"/>
  <c r="J30" i="9"/>
  <c r="P18" i="9"/>
  <c r="J31" i="9"/>
  <c r="L20" i="8"/>
  <c r="M20" i="8" s="1"/>
  <c r="L12" i="8"/>
  <c r="M12" i="8" s="1"/>
  <c r="M11" i="8"/>
  <c r="L10" i="8"/>
  <c r="M10" i="8" s="1"/>
  <c r="L6" i="8"/>
  <c r="M6" i="8" s="1"/>
  <c r="L4" i="8"/>
  <c r="M4" i="8" s="1"/>
  <c r="J21" i="8"/>
  <c r="I21" i="8"/>
  <c r="J20" i="8"/>
  <c r="I20" i="8"/>
  <c r="I19" i="8"/>
  <c r="I18" i="8"/>
  <c r="I17" i="8"/>
  <c r="J16" i="8"/>
  <c r="I32" i="8" s="1"/>
  <c r="I16" i="8"/>
  <c r="J15" i="8"/>
  <c r="I31" i="8" s="1"/>
  <c r="I15" i="8"/>
  <c r="J11" i="8"/>
  <c r="K11" i="8" s="1"/>
  <c r="I11" i="8"/>
  <c r="J10" i="8"/>
  <c r="I10" i="8"/>
  <c r="J9" i="8"/>
  <c r="I9" i="8"/>
  <c r="J8" i="8"/>
  <c r="I8" i="8"/>
  <c r="J7" i="8"/>
  <c r="I7" i="8"/>
  <c r="J6" i="8"/>
  <c r="I6" i="8"/>
  <c r="J5" i="8"/>
  <c r="I5" i="8"/>
  <c r="J4" i="8"/>
  <c r="I4" i="8"/>
  <c r="I29" i="8" l="1"/>
  <c r="K10" i="8"/>
  <c r="I30" i="8"/>
  <c r="K16" i="8"/>
  <c r="J17" i="8"/>
  <c r="J19" i="8"/>
  <c r="K19" i="8" s="1"/>
  <c r="O19" i="8" s="1"/>
  <c r="K15" i="8"/>
  <c r="J18" i="8"/>
  <c r="I22" i="8"/>
  <c r="I23" i="8" s="1"/>
  <c r="L16" i="8"/>
  <c r="M16" i="8" s="1"/>
  <c r="L15" i="8"/>
  <c r="M15" i="8" s="1"/>
  <c r="L18" i="8"/>
  <c r="M18" i="8" s="1"/>
  <c r="L17" i="8"/>
  <c r="M17" i="8" s="1"/>
  <c r="L19" i="8"/>
  <c r="M19" i="8" s="1"/>
  <c r="K6" i="8"/>
  <c r="O6" i="8" s="1"/>
  <c r="K20" i="8"/>
  <c r="O20" i="8" s="1"/>
  <c r="O12" i="8"/>
  <c r="O11" i="8"/>
  <c r="O10" i="8"/>
  <c r="K4" i="8"/>
  <c r="O4" i="8" s="1"/>
  <c r="K17" i="8" l="1"/>
  <c r="I33" i="8"/>
  <c r="K18" i="8"/>
  <c r="I34" i="8"/>
  <c r="I28" i="8"/>
  <c r="J22" i="8"/>
  <c r="M22" i="8"/>
  <c r="M23" i="8" s="1"/>
  <c r="O18" i="8"/>
  <c r="L18" i="10"/>
  <c r="M18" i="10" s="1"/>
  <c r="O18" i="10"/>
  <c r="L15" i="10"/>
  <c r="M15" i="10" s="1"/>
  <c r="L17" i="10"/>
  <c r="M17" i="10" s="1"/>
  <c r="O17" i="10"/>
  <c r="L16" i="10"/>
  <c r="M16" i="10" s="1"/>
  <c r="O16" i="8"/>
  <c r="O15" i="8"/>
  <c r="O17" i="8"/>
  <c r="I37" i="8" l="1"/>
  <c r="M21" i="10"/>
  <c r="M22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331E93D-06E4-4BFD-B29D-76D65656C360}" keepAlive="1" name="Requête - Ajouter1" description="Connexion à la requête « Ajouter1 » dans le classeur." type="5" refreshedVersion="0" background="1" saveData="1">
    <dbPr connection="Provider=Microsoft.Mashup.OleDb.1;Data Source=$Workbook$;Location=Ajouter1;Extended Properties=&quot;&quot;" command="SELECT * FROM [Ajouter1]"/>
  </connection>
  <connection id="2" xr16:uid="{21CAB304-7B8F-4D99-B199-2147B892F67C}" keepAlive="1" name="Requête - Ajouter2" description="Connexion à la requête « Ajouter2 » dans le classeur." type="5" refreshedVersion="0" background="1" saveData="1">
    <dbPr connection="Provider=Microsoft.Mashup.OleDb.1;Data Source=$Workbook$;Location=Ajouter2;Extended Properties=&quot;&quot;" command="SELECT * FROM [Ajouter2]"/>
  </connection>
  <connection id="3" xr16:uid="{22E249E3-FE7C-48C9-940F-BD606D26BF6C}" keepAlive="1" name="Requête - Ajouter2 (2)" description="Connexion à la requête « Ajouter2 (2) » dans le classeur." type="5" refreshedVersion="8" background="1" saveData="1">
    <dbPr connection="Provider=Microsoft.Mashup.OleDb.1;Data Source=$Workbook$;Location=&quot;Ajouter2 (2)&quot;;Extended Properties=&quot;&quot;" command="SELECT * FROM [Ajouter2 (2)]"/>
  </connection>
  <connection id="4" xr16:uid="{15D8D984-2439-4316-BEA7-A09D365357FD}" keepAlive="1" name="Requête - Ajouter3" description="Connexion à la requête « Ajouter3 » dans le classeur." type="5" refreshedVersion="0" background="1" saveData="1">
    <dbPr connection="Provider=Microsoft.Mashup.OleDb.1;Data Source=$Workbook$;Location=Ajouter3;Extended Properties=&quot;&quot;" command="SELECT * FROM [Ajouter3]"/>
  </connection>
  <connection id="5" xr16:uid="{AC960B13-04A5-4140-81D5-D84C805CBA9F}" keepAlive="1" name="Requête - Ajouter4" description="Connexion à la requête « Ajouter4 » dans le classeur." type="5" refreshedVersion="8" background="1" saveData="1">
    <dbPr connection="Provider=Microsoft.Mashup.OleDb.1;Data Source=$Workbook$;Location=Ajouter4;Extended Properties=&quot;&quot;" command="SELECT * FROM [Ajouter4]"/>
  </connection>
  <connection id="6" xr16:uid="{7450B377-1E5B-433A-BFD9-2E194DA56E2F}" keepAlive="1" name="Requête - Ajouter5" description="Connexion à la requête « Ajouter5 » dans le classeur." type="5" refreshedVersion="8" background="1" saveData="1">
    <dbPr connection="Provider=Microsoft.Mashup.OleDb.1;Data Source=$Workbook$;Location=Ajouter5;Extended Properties=&quot;&quot;" command="SELECT * FROM [Ajouter5]"/>
  </connection>
  <connection id="7" xr16:uid="{575583B1-40C5-4114-86ED-05F75E40001E}" keepAlive="1" name="Requête - PCI_4_268" description="Connexion à la requête « PCI_4_268 » dans le classeur." type="5" refreshedVersion="0" background="1">
    <dbPr connection="Provider=Microsoft.Mashup.OleDb.1;Data Source=$Workbook$;Location=PCI_4_268;Extended Properties=&quot;&quot;" command="SELECT * FROM [PCI_4_268]"/>
  </connection>
  <connection id="8" xr16:uid="{6FC8E3A7-D1BF-4D37-A27D-E4897321C390}" keepAlive="1" name="Requête - PCI_4_283" description="Connexion à la requête « PCI_4_283 » dans le classeur." type="5" refreshedVersion="0" background="1">
    <dbPr connection="Provider=Microsoft.Mashup.OleDb.1;Data Source=$Workbook$;Location=PCI_4_283;Extended Properties=&quot;&quot;" command="SELECT * FROM [PCI_4_283]"/>
  </connection>
  <connection id="9" xr16:uid="{F0946DCC-DB99-41D6-AD3A-CEA14795BCEC}" keepAlive="1" name="Requête - PCI_4_302" description="Connexion à la requête « PCI_4_302 » dans le classeur." type="5" refreshedVersion="0" background="1">
    <dbPr connection="Provider=Microsoft.Mashup.OleDb.1;Data Source=$Workbook$;Location=PCI_4_302;Extended Properties=&quot;&quot;" command="SELECT * FROM [PCI_4_302]"/>
  </connection>
  <connection id="10" xr16:uid="{93A72DF1-824E-4BA9-9FB2-1BC758D2DBF9}" keepAlive="1" name="Requête - PCI_5_268" description="Connexion à la requête « PCI_5_268 » dans le classeur." type="5" refreshedVersion="0" background="1">
    <dbPr connection="Provider=Microsoft.Mashup.OleDb.1;Data Source=$Workbook$;Location=PCI_5_268;Extended Properties=&quot;&quot;" command="SELECT * FROM [PCI_5_268]"/>
  </connection>
  <connection id="11" xr16:uid="{3274F8C6-89B8-4E63-8049-52150AC6DAC1}" keepAlive="1" name="Requête - PCI_5_304" description="Connexion à la requête « PCI_5_304 » dans le classeur." type="5" refreshedVersion="0" background="1">
    <dbPr connection="Provider=Microsoft.Mashup.OleDb.1;Data Source=$Workbook$;Location=PCI_5_304;Extended Properties=&quot;&quot;" command="SELECT * FROM [PCI_5_304]"/>
  </connection>
  <connection id="12" xr16:uid="{2F5EC7D6-EC56-4240-941A-1EA327469146}" keepAlive="1" name="Requête - Tableau_colonne" description="Connexion à la requête « Tableau_colonne » dans le classeur." type="5" refreshedVersion="8" background="1" saveData="1">
    <dbPr connection="Provider=Microsoft.Mashup.OleDb.1;Data Source=$Workbook$;Location=Tableau_colonne;Extended Properties=&quot;&quot;" command="SELECT * FROM [Tableau_colonne]"/>
  </connection>
  <connection id="13" xr16:uid="{A6C1AAF0-212E-40D2-AB12-9F85330419BA}" keepAlive="1" name="Requête - Tableau_plaquettes_roto" description="Connexion à la requête « Tableau_plaquettes_roto » dans le classeur." type="5" refreshedVersion="8" background="1" saveData="1">
    <dbPr connection="Provider=Microsoft.Mashup.OleDb.1;Data Source=$Workbook$;Location=Tableau_plaquettes_roto;Extended Properties=&quot;&quot;" command="SELECT * FROM [Tableau_plaquettes_roto]"/>
  </connection>
</connections>
</file>

<file path=xl/sharedStrings.xml><?xml version="1.0" encoding="utf-8"?>
<sst xmlns="http://schemas.openxmlformats.org/spreadsheetml/2006/main" count="3028" uniqueCount="200">
  <si>
    <t>Date-Heure de transaction</t>
  </si>
  <si>
    <t>Article</t>
  </si>
  <si>
    <t xml:space="preserve">Description article </t>
  </si>
  <si>
    <t>ID utilisateur</t>
  </si>
  <si>
    <t>Nom utilisateur</t>
  </si>
  <si>
    <t>Qté</t>
  </si>
  <si>
    <t xml:space="preserve">Activité </t>
  </si>
  <si>
    <t xml:space="preserve">OP </t>
  </si>
  <si>
    <t xml:space="preserve">Type </t>
  </si>
  <si>
    <t>Disque</t>
  </si>
  <si>
    <t xml:space="preserve">Cout </t>
  </si>
  <si>
    <t>IM02 137 020</t>
  </si>
  <si>
    <t>PCI 4</t>
  </si>
  <si>
    <t>OP 20</t>
  </si>
  <si>
    <t>PLAQUETTES</t>
  </si>
  <si>
    <t>IM02 137 021</t>
  </si>
  <si>
    <t>PCI 5</t>
  </si>
  <si>
    <t>OP 10</t>
  </si>
  <si>
    <t>IM02 137 022</t>
  </si>
  <si>
    <t>Z000 513 527</t>
  </si>
  <si>
    <t>OP 40</t>
  </si>
  <si>
    <t>IM02 140 677</t>
  </si>
  <si>
    <t>IM02 145 346</t>
  </si>
  <si>
    <t>OP 30</t>
  </si>
  <si>
    <t>IM02 140 678</t>
  </si>
  <si>
    <t>IM02 137 023</t>
  </si>
  <si>
    <t>IM02 137 019</t>
  </si>
  <si>
    <t>PLAQUETTE FRAISURAGE</t>
  </si>
  <si>
    <t>EMBOUT D8,6</t>
  </si>
  <si>
    <t>EMBOUTS</t>
  </si>
  <si>
    <t>PLAQUETTE CHANFREIN</t>
  </si>
  <si>
    <t>EMBOUT D13,3</t>
  </si>
  <si>
    <t>Historique de Transaction - Sorties</t>
  </si>
  <si>
    <t xml:space="preserve">Description </t>
  </si>
  <si>
    <t>ID Utilisateur</t>
  </si>
  <si>
    <t>Nom Utilisateur</t>
  </si>
  <si>
    <t>Activité</t>
  </si>
  <si>
    <t>VCGT110304</t>
  </si>
  <si>
    <t>TPGX0902ZPRGD</t>
  </si>
  <si>
    <t>T6305</t>
  </si>
  <si>
    <t>T6304</t>
  </si>
  <si>
    <t>(Tous)</t>
  </si>
  <si>
    <t>Étiquettes de lignes</t>
  </si>
  <si>
    <t xml:space="preserve">Somme de Cout </t>
  </si>
  <si>
    <t>Total général</t>
  </si>
  <si>
    <t>Somme de Qté</t>
  </si>
  <si>
    <t>Production</t>
  </si>
  <si>
    <t>DV302x26 RPI</t>
  </si>
  <si>
    <t>N° d'outil
N° correcteur</t>
  </si>
  <si>
    <t>Opération</t>
  </si>
  <si>
    <t>ISO</t>
  </si>
  <si>
    <t>Mabec</t>
  </si>
  <si>
    <t xml:space="preserve">Nb d'outils </t>
  </si>
  <si>
    <t>Nb d'aretes ou d'utilisation</t>
  </si>
  <si>
    <t xml:space="preserve">Prix UHT Outil neuf 
</t>
  </si>
  <si>
    <t>DDV
Actuelle</t>
  </si>
  <si>
    <t>CPP 
Actuel</t>
  </si>
  <si>
    <t>Qté théorique</t>
  </si>
  <si>
    <t>Qté théorique / plaquette</t>
  </si>
  <si>
    <t>Coût Réel
consommé</t>
  </si>
  <si>
    <t>CPP Réel
consommé</t>
  </si>
  <si>
    <t>Qté réelle consommée</t>
  </si>
  <si>
    <t>Delta Quantité
Qté réelle conso - Qté théorique</t>
  </si>
  <si>
    <t>T6103 D1</t>
  </si>
  <si>
    <t>CNMX120716T02020 KY3500</t>
  </si>
  <si>
    <t>T6103 D2</t>
  </si>
  <si>
    <t>T6101 D1</t>
  </si>
  <si>
    <t>SNMX120716T02020 KY3500</t>
  </si>
  <si>
    <t>T6101 D2</t>
  </si>
  <si>
    <t>T6105 D1</t>
  </si>
  <si>
    <t>T6105 D2</t>
  </si>
  <si>
    <t>T6205 D1</t>
  </si>
  <si>
    <t>A4R0800M08P00T01025</t>
  </si>
  <si>
    <t>T6203 D1</t>
  </si>
  <si>
    <t>T6201 D1</t>
  </si>
  <si>
    <t>T6201 D2</t>
  </si>
  <si>
    <t>T6207 D1</t>
  </si>
  <si>
    <t>Plaquette chanfrein</t>
  </si>
  <si>
    <t>Plaquette fraisurage</t>
  </si>
  <si>
    <t>IM02 151 674</t>
  </si>
  <si>
    <t>T6403 D1</t>
  </si>
  <si>
    <t>T6407 D1</t>
  </si>
  <si>
    <t>1743941 KY3500</t>
  </si>
  <si>
    <t xml:space="preserve">Z000 513 527 </t>
  </si>
  <si>
    <t>T6417 D1</t>
  </si>
  <si>
    <t>DV 283x26</t>
  </si>
  <si>
    <t>MM</t>
  </si>
  <si>
    <t>Coût réel consommé</t>
  </si>
  <si>
    <t>DP268x12</t>
  </si>
  <si>
    <t>MABEC</t>
  </si>
  <si>
    <t>T6103 T0303</t>
  </si>
  <si>
    <t>T6103 T0313</t>
  </si>
  <si>
    <t>T6101 T0101</t>
  </si>
  <si>
    <t>T6101 T0111</t>
  </si>
  <si>
    <t>T6105 T0515</t>
  </si>
  <si>
    <t>T6105 T0525</t>
  </si>
  <si>
    <t>T6203 T0303</t>
  </si>
  <si>
    <t>T6203 T0313</t>
  </si>
  <si>
    <t>T6201 T0101</t>
  </si>
  <si>
    <t>T6201 T0111</t>
  </si>
  <si>
    <t>T6207 T0717</t>
  </si>
  <si>
    <t>T6407 T0707</t>
  </si>
  <si>
    <t>T6417 T0707</t>
  </si>
  <si>
    <t>T6401 T0101</t>
  </si>
  <si>
    <t>SNGN090412S02025 KYHK15B</t>
  </si>
  <si>
    <t>T6401 T0111</t>
  </si>
  <si>
    <t>TNGN110416T01020 KY3500</t>
  </si>
  <si>
    <t>DV304x28 RPE</t>
  </si>
  <si>
    <t>T6205 T0505</t>
  </si>
  <si>
    <t>A4R0800M08P00T01025 KY3500</t>
  </si>
  <si>
    <t>T6303 T</t>
  </si>
  <si>
    <t>T6304 T</t>
  </si>
  <si>
    <t>T6403 T0303</t>
  </si>
  <si>
    <t>Semaine</t>
  </si>
  <si>
    <t>Coût plaquette</t>
  </si>
  <si>
    <t>Quantité plaquette</t>
  </si>
  <si>
    <t>PCI 4 302</t>
  </si>
  <si>
    <t>Cible</t>
  </si>
  <si>
    <t>PCI 4 283</t>
  </si>
  <si>
    <t>PCI 4 268</t>
  </si>
  <si>
    <t>PCI 5 304</t>
  </si>
  <si>
    <t>PCI 5 268</t>
  </si>
  <si>
    <t>Z000 519 285</t>
  </si>
  <si>
    <t>Z000 517 182</t>
  </si>
  <si>
    <t>Qté réelle</t>
  </si>
  <si>
    <t xml:space="preserve">Qté théorique </t>
  </si>
  <si>
    <t>Té théorique</t>
  </si>
  <si>
    <t>10301115</t>
  </si>
  <si>
    <t>BOUCHART LUDOVIC</t>
  </si>
  <si>
    <t>040E47C25C7780</t>
  </si>
  <si>
    <t>PARINGAUX CARROLANE</t>
  </si>
  <si>
    <t>Plaquettes d'ébauches carrées</t>
  </si>
  <si>
    <t>304x28 RPE</t>
  </si>
  <si>
    <t>Plaquettes d'ébauches rhombiques</t>
  </si>
  <si>
    <t>Plaquettes de gorges</t>
  </si>
  <si>
    <t>Plaquettes de finition carrées</t>
  </si>
  <si>
    <t>268x12</t>
  </si>
  <si>
    <t>Plaquettes de finition</t>
  </si>
  <si>
    <t>Plaquettes de finition triangulaires</t>
  </si>
  <si>
    <t>12824586</t>
  </si>
  <si>
    <t>DASILVA FERNANDO</t>
  </si>
  <si>
    <t>7236310</t>
  </si>
  <si>
    <t>OZYURT IREM</t>
  </si>
  <si>
    <t>TOUT DISQUES</t>
  </si>
  <si>
    <t>Total</t>
  </si>
  <si>
    <t>Colonne1</t>
  </si>
  <si>
    <t>VCGT1103042</t>
  </si>
  <si>
    <t>EMBOUT D8,63</t>
  </si>
  <si>
    <t>TPGX0902ZPRGD4</t>
  </si>
  <si>
    <t>EMBOUT D13,35</t>
  </si>
  <si>
    <t>283x26 RPI</t>
  </si>
  <si>
    <t>FORET D13,3 COMPLET</t>
  </si>
  <si>
    <t>j529800</t>
  </si>
  <si>
    <t>MONTCHARMONT BAPTISTE</t>
  </si>
  <si>
    <t>EMAG 2</t>
  </si>
  <si>
    <t>FORET D15,3 affûté monobloc</t>
  </si>
  <si>
    <t>DA SILVA Fernando</t>
  </si>
  <si>
    <t>EMAG 1</t>
  </si>
  <si>
    <t>CLE OUTIL CGO</t>
  </si>
  <si>
    <t>CLES</t>
  </si>
  <si>
    <t>FORET D8,5 affûté monobloc</t>
  </si>
  <si>
    <t>EMBOUT EMAG D13,3 FP</t>
  </si>
  <si>
    <t>FORET D13,3 CERI affûté</t>
  </si>
  <si>
    <t>WEISSER 1</t>
  </si>
  <si>
    <t>FORET FOND PLAT D13,36 COMPLET</t>
  </si>
  <si>
    <t>FORET D8,6 COMPLET</t>
  </si>
  <si>
    <t>FORET D15,3 COMPLET</t>
  </si>
  <si>
    <t>EMAG 3</t>
  </si>
  <si>
    <t>Plaquette d'ébauche S CBN</t>
  </si>
  <si>
    <t>046A5BE2707A80</t>
  </si>
  <si>
    <t>BARBIER LEANDRE</t>
  </si>
  <si>
    <t>04123EC25C7780</t>
  </si>
  <si>
    <t>HERNU Matis</t>
  </si>
  <si>
    <t>040725</t>
  </si>
  <si>
    <t>BARGEOT LUCAS</t>
  </si>
  <si>
    <t>SE08251</t>
  </si>
  <si>
    <t>FAYET AYMERIC</t>
  </si>
  <si>
    <t>045B77CAA77080</t>
  </si>
  <si>
    <t>CAMUS CAMILLE</t>
  </si>
  <si>
    <t>CLE SERVANTE CGO</t>
  </si>
  <si>
    <t>Plaquette d'ébauche S</t>
  </si>
  <si>
    <t>041575EA707A80</t>
  </si>
  <si>
    <t>ROY JOHAN</t>
  </si>
  <si>
    <t>Plaquette d'ébauche C</t>
  </si>
  <si>
    <t>302x26 RPI</t>
  </si>
  <si>
    <t>Plaquettes TPGX0902ZPRGD KC7315</t>
  </si>
  <si>
    <t>LAME T6205</t>
  </si>
  <si>
    <t>EMBOUT EMAG D15,36 FP</t>
  </si>
  <si>
    <t>FORET D8,6 CERI affûté</t>
  </si>
  <si>
    <t>130325</t>
  </si>
  <si>
    <t>PAPONNEAU JULIEN</t>
  </si>
  <si>
    <t>FORET HESSAPP D13,3 affûté</t>
  </si>
  <si>
    <t>HESSAPP</t>
  </si>
  <si>
    <t>FORET HESSAPP D8,6 affûté</t>
  </si>
  <si>
    <t>FORET MONOBLOC D13</t>
  </si>
  <si>
    <t>FORET HEULE D8</t>
  </si>
  <si>
    <t>U505000</t>
  </si>
  <si>
    <t>RECEVEUR BENOIT</t>
  </si>
  <si>
    <t>FORET HEULE D13</t>
  </si>
  <si>
    <t>CORPS FORET D13,3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</si>
</sst>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[$-40C]dd\/mm\/yyyy\ hh\:mm\:ss"/>
    <numFmt numFmtId="165" formatCode="#,##0.00\ [$€-40C];\-#,##0.00\ [$€-40C]"/>
    <numFmt numFmtId="166" formatCode="0.000"/>
    <numFmt numFmtId="167" formatCode="#,##0.00\ &quot;€&quot;"/>
    <numFmt numFmtId="168" formatCode="0.0"/>
    <numFmt numFmtId="169" formatCode="0.0000"/>
    <numFmt numFmtId="170" formatCode="_-* #,##0.00\ [$€-40C]_-;\-* #,##0.00\ [$€-40C]_-;_-* &quot;-&quot;??\ [$€-40C]_-;_-@_-"/>
  </numFmts>
  <fonts count="14" x14ac:knownFonts="1">
    <font>
      <sz val="11"/>
      <color theme="1"/>
      <name val="Calibri"/>
      <family val="2"/>
      <scheme val="minor"/>
    </font>
    <font>
      <b/>
      <sz val="18"/>
      <name val="Verdana"/>
      <family val="2"/>
    </font>
    <font>
      <b/>
      <sz val="7"/>
      <name val="Verdana"/>
      <family val="2"/>
    </font>
    <font>
      <b/>
      <sz val="11"/>
      <color theme="1"/>
      <name val="Calibri"/>
      <family val="2"/>
      <scheme val="minor"/>
    </font>
    <font>
      <sz val="9"/>
      <color rgb="FF000000"/>
      <name val="Arial"/>
      <family val="2"/>
    </font>
    <font>
      <b/>
      <sz val="14"/>
      <name val="Verdana"/>
      <family val="2"/>
    </font>
    <font>
      <sz val="7"/>
      <name val="Verdana"/>
      <family val="2"/>
    </font>
    <font>
      <sz val="8"/>
      <name val="Calibri"/>
      <family val="2"/>
      <scheme val="minor"/>
    </font>
    <font>
      <b/>
      <sz val="7"/>
      <color rgb="FFFF0000"/>
      <name val="Verdana"/>
      <family val="2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7"/>
      <name val="Verdana"/>
      <family val="2"/>
    </font>
    <font>
      <sz val="7"/>
      <name val="Verdana"/>
    </font>
    <font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9"/>
        <bgColor indexed="8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</borders>
  <cellStyleXfs count="2">
    <xf numFmtId="0" fontId="0" fillId="0" borderId="0"/>
    <xf numFmtId="44" fontId="13" fillId="0" borderId="0" applyFont="0" applyFill="0" applyBorder="0" applyAlignment="0" applyProtection="0"/>
  </cellStyleXfs>
  <cellXfs count="180">
    <xf numFmtId="0" fontId="0" fillId="0" borderId="0" xfId="0"/>
    <xf numFmtId="49" fontId="1" fillId="0" borderId="0" xfId="0" applyNumberFormat="1" applyFont="1" applyAlignment="1">
      <alignment horizontal="left" vertical="top"/>
    </xf>
    <xf numFmtId="0" fontId="1" fillId="0" borderId="0" xfId="0" applyFont="1" applyAlignment="1">
      <alignment horizontal="left" vertical="top"/>
    </xf>
    <xf numFmtId="49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3" fillId="2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2" fontId="0" fillId="5" borderId="1" xfId="0" applyNumberFormat="1" applyFill="1" applyBorder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166" fontId="0" fillId="4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5" borderId="1" xfId="0" applyNumberFormat="1" applyFill="1" applyBorder="1" applyAlignment="1">
      <alignment horizontal="center" vertical="center"/>
    </xf>
    <xf numFmtId="1" fontId="0" fillId="5" borderId="1" xfId="0" applyNumberFormat="1" applyFill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 vertical="center"/>
    </xf>
    <xf numFmtId="1" fontId="0" fillId="2" borderId="5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6" fontId="0" fillId="2" borderId="6" xfId="0" applyNumberFormat="1" applyFill="1" applyBorder="1" applyAlignment="1">
      <alignment horizontal="center" vertical="center"/>
    </xf>
    <xf numFmtId="1" fontId="0" fillId="2" borderId="7" xfId="0" applyNumberFormat="1" applyFill="1" applyBorder="1" applyAlignment="1">
      <alignment horizontal="center" vertical="center"/>
    </xf>
    <xf numFmtId="167" fontId="0" fillId="7" borderId="3" xfId="0" applyNumberFormat="1" applyFill="1" applyBorder="1" applyAlignment="1">
      <alignment horizontal="center" vertical="center"/>
    </xf>
    <xf numFmtId="0" fontId="3" fillId="2" borderId="1" xfId="0" applyFont="1" applyFill="1" applyBorder="1"/>
    <xf numFmtId="0" fontId="0" fillId="3" borderId="1" xfId="0" applyFill="1" applyBorder="1"/>
    <xf numFmtId="0" fontId="3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4" borderId="1" xfId="0" applyFill="1" applyBorder="1" applyAlignment="1">
      <alignment horizontal="center"/>
    </xf>
    <xf numFmtId="166" fontId="0" fillId="4" borderId="1" xfId="0" applyNumberFormat="1" applyFill="1" applyBorder="1" applyAlignment="1">
      <alignment horizontal="center"/>
    </xf>
    <xf numFmtId="1" fontId="0" fillId="4" borderId="1" xfId="0" applyNumberForma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1" xfId="0" applyFill="1" applyBorder="1" applyAlignment="1">
      <alignment horizontal="center" vertical="center"/>
    </xf>
    <xf numFmtId="2" fontId="0" fillId="8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66" fontId="0" fillId="4" borderId="2" xfId="0" applyNumberFormat="1" applyFill="1" applyBorder="1" applyAlignment="1">
      <alignment horizontal="center"/>
    </xf>
    <xf numFmtId="1" fontId="0" fillId="0" borderId="0" xfId="0" applyNumberFormat="1" applyAlignment="1">
      <alignment horizontal="right"/>
    </xf>
    <xf numFmtId="167" fontId="0" fillId="7" borderId="3" xfId="0" applyNumberFormat="1" applyFill="1" applyBorder="1" applyAlignment="1">
      <alignment horizontal="right"/>
    </xf>
    <xf numFmtId="0" fontId="0" fillId="8" borderId="2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2" fontId="0" fillId="8" borderId="1" xfId="0" applyNumberFormat="1" applyFill="1" applyBorder="1" applyAlignment="1">
      <alignment horizontal="center" vertical="center"/>
    </xf>
    <xf numFmtId="1" fontId="0" fillId="7" borderId="1" xfId="0" applyNumberFormat="1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/>
    </xf>
    <xf numFmtId="168" fontId="0" fillId="7" borderId="1" xfId="0" applyNumberFormat="1" applyFill="1" applyBorder="1" applyAlignment="1">
      <alignment horizontal="center" vertical="center"/>
    </xf>
    <xf numFmtId="168" fontId="0" fillId="9" borderId="1" xfId="0" applyNumberFormat="1" applyFill="1" applyBorder="1" applyAlignment="1">
      <alignment horizontal="center" vertical="center"/>
    </xf>
    <xf numFmtId="166" fontId="0" fillId="9" borderId="1" xfId="0" applyNumberFormat="1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1" fontId="0" fillId="9" borderId="1" xfId="0" applyNumberFormat="1" applyFill="1" applyBorder="1" applyAlignment="1">
      <alignment horizontal="center" vertical="center"/>
    </xf>
    <xf numFmtId="168" fontId="0" fillId="9" borderId="2" xfId="0" applyNumberFormat="1" applyFill="1" applyBorder="1" applyAlignment="1">
      <alignment horizontal="center" vertical="center"/>
    </xf>
    <xf numFmtId="1" fontId="0" fillId="9" borderId="2" xfId="0" applyNumberFormat="1" applyFill="1" applyBorder="1" applyAlignment="1">
      <alignment horizontal="center" vertical="center"/>
    </xf>
    <xf numFmtId="166" fontId="0" fillId="9" borderId="2" xfId="0" applyNumberFormat="1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167" fontId="3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6" fontId="0" fillId="2" borderId="7" xfId="0" applyNumberFormat="1" applyFill="1" applyBorder="1" applyAlignment="1">
      <alignment horizontal="center" vertical="center"/>
    </xf>
    <xf numFmtId="166" fontId="0" fillId="8" borderId="1" xfId="0" applyNumberFormat="1" applyFill="1" applyBorder="1" applyAlignment="1">
      <alignment horizontal="center" vertical="center"/>
    </xf>
    <xf numFmtId="1" fontId="0" fillId="8" borderId="1" xfId="0" applyNumberFormat="1" applyFill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6" fontId="0" fillId="0" borderId="0" xfId="0" applyNumberFormat="1"/>
    <xf numFmtId="1" fontId="0" fillId="0" borderId="0" xfId="0" applyNumberFormat="1"/>
    <xf numFmtId="164" fontId="6" fillId="10" borderId="0" xfId="0" applyNumberFormat="1" applyFont="1" applyFill="1" applyAlignment="1">
      <alignment horizontal="left" vertical="top"/>
    </xf>
    <xf numFmtId="49" fontId="6" fillId="10" borderId="0" xfId="0" applyNumberFormat="1" applyFont="1" applyFill="1" applyAlignment="1">
      <alignment vertical="top"/>
    </xf>
    <xf numFmtId="49" fontId="2" fillId="0" borderId="0" xfId="0" applyNumberFormat="1" applyFont="1" applyAlignment="1">
      <alignment vertical="center"/>
    </xf>
    <xf numFmtId="0" fontId="9" fillId="0" borderId="0" xfId="0" applyFont="1"/>
    <xf numFmtId="49" fontId="8" fillId="0" borderId="0" xfId="0" applyNumberFormat="1" applyFont="1" applyAlignment="1">
      <alignment vertical="top"/>
    </xf>
    <xf numFmtId="2" fontId="9" fillId="0" borderId="0" xfId="0" applyNumberFormat="1" applyFont="1"/>
    <xf numFmtId="165" fontId="9" fillId="0" borderId="0" xfId="0" applyNumberFormat="1" applyFont="1"/>
    <xf numFmtId="49" fontId="2" fillId="0" borderId="0" xfId="0" applyNumberFormat="1" applyFont="1" applyAlignment="1">
      <alignment vertical="top"/>
    </xf>
    <xf numFmtId="49" fontId="2" fillId="0" borderId="0" xfId="0" applyNumberFormat="1" applyFont="1" applyAlignment="1">
      <alignment horizontal="right" vertical="top"/>
    </xf>
    <xf numFmtId="167" fontId="0" fillId="0" borderId="0" xfId="0" applyNumberFormat="1" applyAlignment="1">
      <alignment horizontal="center"/>
    </xf>
    <xf numFmtId="0" fontId="6" fillId="10" borderId="0" xfId="0" applyFont="1" applyFill="1" applyAlignment="1">
      <alignment horizontal="right" vertical="top"/>
    </xf>
    <xf numFmtId="8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 vertical="center"/>
    </xf>
    <xf numFmtId="167" fontId="0" fillId="0" borderId="0" xfId="0" applyNumberFormat="1"/>
    <xf numFmtId="3" fontId="0" fillId="0" borderId="0" xfId="0" applyNumberFormat="1" applyAlignment="1">
      <alignment horizontal="center"/>
    </xf>
    <xf numFmtId="164" fontId="11" fillId="10" borderId="0" xfId="0" applyNumberFormat="1" applyFont="1" applyFill="1" applyAlignment="1">
      <alignment horizontal="left" vertical="top"/>
    </xf>
    <xf numFmtId="49" fontId="11" fillId="10" borderId="0" xfId="0" applyNumberFormat="1" applyFont="1" applyFill="1" applyAlignment="1">
      <alignment vertical="top"/>
    </xf>
    <xf numFmtId="49" fontId="11" fillId="10" borderId="0" xfId="0" applyNumberFormat="1" applyFont="1" applyFill="1" applyAlignment="1">
      <alignment horizontal="right" vertical="top"/>
    </xf>
    <xf numFmtId="49" fontId="0" fillId="0" borderId="0" xfId="0" applyNumberFormat="1"/>
    <xf numFmtId="49" fontId="0" fillId="0" borderId="8" xfId="0" applyNumberFormat="1" applyBorder="1"/>
    <xf numFmtId="49" fontId="0" fillId="11" borderId="8" xfId="0" applyNumberFormat="1" applyFill="1" applyBorder="1"/>
    <xf numFmtId="49" fontId="0" fillId="11" borderId="9" xfId="0" quotePrefix="1" applyNumberFormat="1" applyFill="1" applyBorder="1"/>
    <xf numFmtId="49" fontId="0" fillId="11" borderId="9" xfId="0" applyNumberFormat="1" applyFill="1" applyBorder="1"/>
    <xf numFmtId="164" fontId="12" fillId="10" borderId="0" xfId="0" applyNumberFormat="1" applyFont="1" applyFill="1" applyAlignment="1">
      <alignment horizontal="left" vertical="top"/>
    </xf>
    <xf numFmtId="49" fontId="12" fillId="10" borderId="0" xfId="0" applyNumberFormat="1" applyFont="1" applyFill="1" applyAlignment="1">
      <alignment vertical="top"/>
    </xf>
    <xf numFmtId="165" fontId="12" fillId="10" borderId="0" xfId="0" applyNumberFormat="1" applyFont="1" applyFill="1" applyAlignment="1">
      <alignment horizontal="right" vertical="top"/>
    </xf>
    <xf numFmtId="0" fontId="12" fillId="10" borderId="0" xfId="0" applyFont="1" applyFill="1" applyAlignment="1">
      <alignment horizontal="right" vertical="top"/>
    </xf>
    <xf numFmtId="0" fontId="0" fillId="11" borderId="10" xfId="0" applyFill="1" applyBorder="1"/>
    <xf numFmtId="170" fontId="12" fillId="10" borderId="0" xfId="0" applyNumberFormat="1" applyFont="1" applyFill="1" applyAlignment="1">
      <alignment horizontal="left" vertical="top"/>
    </xf>
    <xf numFmtId="22" fontId="0" fillId="0" borderId="0" xfId="0" applyNumberFormat="1"/>
    <xf numFmtId="164" fontId="0" fillId="0" borderId="0" xfId="0" applyNumberFormat="1"/>
    <xf numFmtId="170" fontId="0" fillId="0" borderId="0" xfId="0" applyNumberFormat="1"/>
    <xf numFmtId="170" fontId="12" fillId="10" borderId="0" xfId="1" applyNumberFormat="1" applyFont="1" applyFill="1" applyAlignment="1">
      <alignment horizontal="left" vertical="top"/>
    </xf>
    <xf numFmtId="49" fontId="5" fillId="0" borderId="0" xfId="0" applyNumberFormat="1" applyFont="1" applyAlignment="1">
      <alignment horizontal="center" vertical="center"/>
    </xf>
    <xf numFmtId="166" fontId="0" fillId="7" borderId="2" xfId="0" applyNumberFormat="1" applyFill="1" applyBorder="1" applyAlignment="1">
      <alignment horizontal="center" vertical="center"/>
    </xf>
    <xf numFmtId="166" fontId="0" fillId="7" borderId="4" xfId="0" applyNumberFormat="1" applyFill="1" applyBorder="1" applyAlignment="1">
      <alignment horizontal="center" vertical="center"/>
    </xf>
    <xf numFmtId="166" fontId="0" fillId="7" borderId="3" xfId="0" applyNumberFormat="1" applyFill="1" applyBorder="1" applyAlignment="1">
      <alignment horizontal="center" vertical="center"/>
    </xf>
    <xf numFmtId="1" fontId="0" fillId="7" borderId="2" xfId="0" applyNumberFormat="1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1" fontId="0" fillId="7" borderId="3" xfId="0" applyNumberFormat="1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" fontId="0" fillId="6" borderId="2" xfId="0" applyNumberFormat="1" applyFill="1" applyBorder="1" applyAlignment="1">
      <alignment horizontal="center" vertical="center"/>
    </xf>
    <xf numFmtId="1" fontId="0" fillId="6" borderId="4" xfId="0" applyNumberFormat="1" applyFill="1" applyBorder="1" applyAlignment="1">
      <alignment horizontal="center" vertical="center"/>
    </xf>
    <xf numFmtId="1" fontId="0" fillId="6" borderId="3" xfId="0" applyNumberFormat="1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1" fontId="0" fillId="5" borderId="2" xfId="0" applyNumberFormat="1" applyFill="1" applyBorder="1" applyAlignment="1">
      <alignment horizontal="center" vertical="center"/>
    </xf>
    <xf numFmtId="1" fontId="0" fillId="5" borderId="4" xfId="0" applyNumberFormat="1" applyFill="1" applyBorder="1" applyAlignment="1">
      <alignment horizontal="center" vertical="center"/>
    </xf>
    <xf numFmtId="1" fontId="0" fillId="5" borderId="3" xfId="0" applyNumberForma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66" fontId="0" fillId="5" borderId="2" xfId="0" applyNumberFormat="1" applyFill="1" applyBorder="1" applyAlignment="1">
      <alignment horizontal="center" vertical="center"/>
    </xf>
    <xf numFmtId="166" fontId="0" fillId="5" borderId="3" xfId="0" applyNumberForma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1" fontId="0" fillId="4" borderId="4" xfId="0" applyNumberFormat="1" applyFill="1" applyBorder="1" applyAlignment="1">
      <alignment horizontal="center" vertical="center"/>
    </xf>
    <xf numFmtId="1" fontId="0" fillId="4" borderId="3" xfId="0" applyNumberFormat="1" applyFill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1" fontId="0" fillId="7" borderId="1" xfId="0" applyNumberForma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0" fillId="4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/>
    </xf>
    <xf numFmtId="1" fontId="0" fillId="9" borderId="1" xfId="0" applyNumberFormat="1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166" fontId="0" fillId="9" borderId="1" xfId="0" applyNumberFormat="1" applyFill="1" applyBorder="1" applyAlignment="1">
      <alignment horizontal="center" vertical="center"/>
    </xf>
    <xf numFmtId="1" fontId="0" fillId="0" borderId="2" xfId="0" applyNumberFormat="1" applyBorder="1" applyAlignment="1">
      <alignment horizontal="center" vertical="center"/>
    </xf>
    <xf numFmtId="1" fontId="0" fillId="0" borderId="3" xfId="0" applyNumberFormat="1" applyBorder="1" applyAlignment="1">
      <alignment horizontal="center" vertical="center"/>
    </xf>
    <xf numFmtId="166" fontId="0" fillId="0" borderId="2" xfId="0" applyNumberFormat="1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1" fontId="0" fillId="8" borderId="2" xfId="0" applyNumberFormat="1" applyFill="1" applyBorder="1" applyAlignment="1">
      <alignment horizontal="center" vertical="center"/>
    </xf>
    <xf numFmtId="1" fontId="0" fillId="8" borderId="3" xfId="0" applyNumberFormat="1" applyFill="1" applyBorder="1" applyAlignment="1">
      <alignment horizontal="center" vertical="center"/>
    </xf>
    <xf numFmtId="166" fontId="0" fillId="0" borderId="4" xfId="0" applyNumberFormat="1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166" fontId="0" fillId="8" borderId="2" xfId="0" applyNumberFormat="1" applyFill="1" applyBorder="1" applyAlignment="1">
      <alignment horizontal="center" vertical="center"/>
    </xf>
    <xf numFmtId="166" fontId="0" fillId="8" borderId="3" xfId="0" applyNumberFormat="1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166" fontId="0" fillId="8" borderId="4" xfId="0" applyNumberFormat="1" applyFill="1" applyBorder="1" applyAlignment="1">
      <alignment horizontal="center" vertical="center"/>
    </xf>
    <xf numFmtId="1" fontId="0" fillId="8" borderId="4" xfId="0" applyNumberFormat="1" applyFill="1" applyBorder="1" applyAlignment="1">
      <alignment horizontal="center" vertical="center"/>
    </xf>
    <xf numFmtId="1" fontId="0" fillId="9" borderId="2" xfId="0" applyNumberFormat="1" applyFill="1" applyBorder="1" applyAlignment="1">
      <alignment horizontal="center" vertical="center"/>
    </xf>
    <xf numFmtId="1" fontId="0" fillId="9" borderId="3" xfId="0" applyNumberFormat="1" applyFill="1" applyBorder="1" applyAlignment="1">
      <alignment horizontal="center" vertical="center"/>
    </xf>
    <xf numFmtId="168" fontId="0" fillId="9" borderId="2" xfId="0" applyNumberFormat="1" applyFill="1" applyBorder="1" applyAlignment="1">
      <alignment horizontal="center" vertical="center"/>
    </xf>
    <xf numFmtId="168" fontId="0" fillId="9" borderId="4" xfId="0" applyNumberFormat="1" applyFill="1" applyBorder="1" applyAlignment="1">
      <alignment horizontal="center" vertical="center"/>
    </xf>
    <xf numFmtId="168" fontId="0" fillId="9" borderId="3" xfId="0" applyNumberFormat="1" applyFill="1" applyBorder="1" applyAlignment="1">
      <alignment horizontal="center" vertical="center"/>
    </xf>
    <xf numFmtId="166" fontId="0" fillId="9" borderId="2" xfId="0" applyNumberFormat="1" applyFill="1" applyBorder="1" applyAlignment="1">
      <alignment horizontal="center" vertical="center"/>
    </xf>
    <xf numFmtId="166" fontId="0" fillId="9" borderId="4" xfId="0" applyNumberFormat="1" applyFill="1" applyBorder="1" applyAlignment="1">
      <alignment horizontal="center" vertical="center"/>
    </xf>
    <xf numFmtId="166" fontId="0" fillId="9" borderId="3" xfId="0" applyNumberFormat="1" applyFill="1" applyBorder="1" applyAlignment="1">
      <alignment horizontal="center" vertical="center"/>
    </xf>
    <xf numFmtId="0" fontId="0" fillId="9" borderId="2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1" fontId="0" fillId="9" borderId="4" xfId="0" applyNumberFormat="1" applyFill="1" applyBorder="1" applyAlignment="1">
      <alignment horizontal="center" vertical="center"/>
    </xf>
    <xf numFmtId="168" fontId="0" fillId="7" borderId="2" xfId="0" applyNumberFormat="1" applyFill="1" applyBorder="1" applyAlignment="1">
      <alignment horizontal="center" vertical="center"/>
    </xf>
    <xf numFmtId="168" fontId="0" fillId="7" borderId="3" xfId="0" applyNumberFormat="1" applyFill="1" applyBorder="1" applyAlignment="1">
      <alignment horizontal="center" vertical="center"/>
    </xf>
    <xf numFmtId="169" fontId="0" fillId="7" borderId="2" xfId="0" applyNumberFormat="1" applyFill="1" applyBorder="1" applyAlignment="1">
      <alignment horizontal="center" vertical="center"/>
    </xf>
    <xf numFmtId="169" fontId="0" fillId="7" borderId="3" xfId="0" applyNumberFormat="1" applyFill="1" applyBorder="1" applyAlignment="1">
      <alignment horizontal="center" vertical="center"/>
    </xf>
    <xf numFmtId="168" fontId="0" fillId="7" borderId="4" xfId="0" applyNumberFormat="1" applyFill="1" applyBorder="1" applyAlignment="1">
      <alignment horizontal="center" vertical="center"/>
    </xf>
    <xf numFmtId="0" fontId="12" fillId="10" borderId="0" xfId="0" applyNumberFormat="1" applyFont="1" applyFill="1" applyAlignment="1">
      <alignment horizontal="right" vertical="top"/>
    </xf>
    <xf numFmtId="0" fontId="0" fillId="0" borderId="0" xfId="0" applyNumberFormat="1"/>
  </cellXfs>
  <cellStyles count="2">
    <cellStyle name="Monétaire" xfId="1" builtinId="4"/>
    <cellStyle name="Normal" xfId="0" builtinId="0"/>
  </cellStyles>
  <dxfs count="97">
    <dxf>
      <numFmt numFmtId="170" formatCode="_-* #,##0.00\ [$€-40C]_-;\-* #,##0.00\ [$€-40C]_-;_-* &quot;-&quot;??\ [$€-40C]_-;_-@_-"/>
    </dxf>
    <dxf>
      <numFmt numFmtId="164" formatCode="[$-40C]dd\/mm\/yyyy\ hh\:mm\:ss"/>
    </dxf>
    <dxf>
      <numFmt numFmtId="27" formatCode="dd/mm/yyyy\ hh:mm"/>
    </dxf>
    <dxf>
      <numFmt numFmtId="167" formatCode="#,##0.00\ &quot;€&quot;"/>
    </dxf>
    <dxf>
      <numFmt numFmtId="167" formatCode="#,##0.00\ &quot;€&quot;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164" formatCode="[$-40C]dd\/mm\/yyyy\ hh\:mm\:ss"/>
      <fill>
        <patternFill patternType="solid">
          <fgColor indexed="8"/>
          <bgColor indexed="9"/>
        </patternFill>
      </fill>
      <alignment horizontal="left" vertical="top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theme="4" tint="0.3999755851924192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numFmt numFmtId="167" formatCode="#,##0.00\ &quot;€&quot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170" formatCode="_-* #,##0.00\ [$€-40C]_-;\-* #,##0.00\ [$€-40C]_-;_-* &quot;-&quot;??\ [$€-40C]_-;_-@_-"/>
      <fill>
        <patternFill patternType="solid">
          <fgColor indexed="8"/>
          <bgColor indexed="9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fill>
        <patternFill patternType="solid">
          <fgColor indexed="8"/>
          <bgColor indexed="9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164" formatCode="[$-40C]dd\/mm\/yyyy\ hh\:mm\:ss"/>
      <fill>
        <patternFill patternType="solid">
          <fgColor indexed="8"/>
          <bgColor indexed="9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family val="2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165" formatCode="#,##0.00\ [$€-40C];\-#,##0.00\ [$€-40C]"/>
      <fill>
        <patternFill patternType="solid">
          <fgColor indexed="8"/>
          <bgColor indexed="9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30" formatCode="@"/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numFmt numFmtId="164" formatCode="[$-40C]dd\/mm\/yyyy\ hh\:mm\:ss"/>
      <fill>
        <patternFill patternType="solid">
          <fgColor indexed="8"/>
          <bgColor indexed="9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scheme val="none"/>
      </font>
      <fill>
        <patternFill patternType="solid">
          <fgColor indexed="8"/>
          <bgColor indexed="9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auto="1"/>
        <name val="Verdana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[SUIVI DES CONSOMMATIONS LIGNES PCI -25-09-2026 au 02-10-2026.xlsm]Coût sans total!Tableau croisé dynamique2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Coût</a:t>
            </a:r>
            <a:r>
              <a:rPr lang="en-US" baseline="0"/>
              <a:t> sans total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'Coût sans total'!$B$6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'Coût sans total'!$A$7:$A$25</c:f>
              <c:multiLvlStrCache>
                <c:ptCount val="14"/>
                <c:lvl>
                  <c:pt idx="0">
                    <c:v>IM02 137 021</c:v>
                  </c:pt>
                  <c:pt idx="1">
                    <c:v>IM02 137 022</c:v>
                  </c:pt>
                  <c:pt idx="2">
                    <c:v>IM02 137 020</c:v>
                  </c:pt>
                  <c:pt idx="3">
                    <c:v>IM02 137 021</c:v>
                  </c:pt>
                  <c:pt idx="4">
                    <c:v>IM02 137 022</c:v>
                  </c:pt>
                  <c:pt idx="5">
                    <c:v>EMBOUT D8,6</c:v>
                  </c:pt>
                  <c:pt idx="6">
                    <c:v>EMBOUT D13,3</c:v>
                  </c:pt>
                  <c:pt idx="7">
                    <c:v>PLAQUETTE FRAISURAGE</c:v>
                  </c:pt>
                  <c:pt idx="8">
                    <c:v>PLAQUETTE CHANFREIN</c:v>
                  </c:pt>
                  <c:pt idx="9">
                    <c:v>IM02 137 019</c:v>
                  </c:pt>
                  <c:pt idx="10">
                    <c:v>IM02 137 022</c:v>
                  </c:pt>
                  <c:pt idx="11">
                    <c:v>IM02 137 023</c:v>
                  </c:pt>
                  <c:pt idx="12">
                    <c:v>Z000 513 527</c:v>
                  </c:pt>
                  <c:pt idx="13">
                    <c:v>IM02 140 677</c:v>
                  </c:pt>
                </c:lvl>
                <c:lvl>
                  <c:pt idx="0">
                    <c:v>OP 10</c:v>
                  </c:pt>
                  <c:pt idx="2">
                    <c:v>OP 20</c:v>
                  </c:pt>
                  <c:pt idx="5">
                    <c:v>OP 30</c:v>
                  </c:pt>
                  <c:pt idx="10">
                    <c:v>OP 40</c:v>
                  </c:pt>
                </c:lvl>
              </c:multiLvlStrCache>
            </c:multiLvlStrRef>
          </c:cat>
          <c:val>
            <c:numRef>
              <c:f>'Coût sans total'!$B$7:$B$25</c:f>
              <c:numCache>
                <c:formatCode>General</c:formatCode>
                <c:ptCount val="14"/>
                <c:pt idx="0">
                  <c:v>318.40000000000003</c:v>
                </c:pt>
                <c:pt idx="1">
                  <c:v>278.60000000000002</c:v>
                </c:pt>
                <c:pt idx="2">
                  <c:v>500</c:v>
                </c:pt>
                <c:pt idx="3">
                  <c:v>358.20000000000005</c:v>
                </c:pt>
                <c:pt idx="4">
                  <c:v>358.20000000000005</c:v>
                </c:pt>
                <c:pt idx="5">
                  <c:v>727.5</c:v>
                </c:pt>
                <c:pt idx="6">
                  <c:v>610.35000000000014</c:v>
                </c:pt>
                <c:pt idx="7">
                  <c:v>182.7</c:v>
                </c:pt>
                <c:pt idx="8">
                  <c:v>73.349999999999994</c:v>
                </c:pt>
                <c:pt idx="9">
                  <c:v>81.5</c:v>
                </c:pt>
                <c:pt idx="10">
                  <c:v>119.39999999999999</c:v>
                </c:pt>
                <c:pt idx="11">
                  <c:v>85</c:v>
                </c:pt>
                <c:pt idx="12">
                  <c:v>1099.3999999999996</c:v>
                </c:pt>
                <c:pt idx="13">
                  <c:v>292.2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ED-4908-B4CC-271562F149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05430960"/>
        <c:axId val="705428440"/>
      </c:barChart>
      <c:catAx>
        <c:axId val="70543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5428440"/>
        <c:crosses val="autoZero"/>
        <c:auto val="1"/>
        <c:lblAlgn val="ctr"/>
        <c:lblOffset val="100"/>
        <c:noMultiLvlLbl val="0"/>
      </c:catAx>
      <c:valAx>
        <c:axId val="705428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543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-5400000" vert="horz"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[SUIVI DES CONSOMMATIONS LIGNES PCI -25-09-2026 au 02-10-2026.xlsm]Coût avec total!Tableau croisé dynamique2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Coût</a:t>
            </a:r>
            <a:r>
              <a:rPr lang="en-US" baseline="0"/>
              <a:t> avec total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'Coût avec total'!$B$4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'Coût avec total'!$A$5:$A$22</c:f>
              <c:multiLvlStrCache>
                <c:ptCount val="14"/>
                <c:lvl>
                  <c:pt idx="0">
                    <c:v>IM02 137 021</c:v>
                  </c:pt>
                  <c:pt idx="1">
                    <c:v>IM02 137 022</c:v>
                  </c:pt>
                  <c:pt idx="2">
                    <c:v>IM02 137 020</c:v>
                  </c:pt>
                  <c:pt idx="3">
                    <c:v>IM02 137 021</c:v>
                  </c:pt>
                  <c:pt idx="4">
                    <c:v>IM02 137 022</c:v>
                  </c:pt>
                  <c:pt idx="5">
                    <c:v>IM02 137 019</c:v>
                  </c:pt>
                  <c:pt idx="6">
                    <c:v>PLAQUETTE FRAISURAGE</c:v>
                  </c:pt>
                  <c:pt idx="7">
                    <c:v>EMBOUT D8,6</c:v>
                  </c:pt>
                  <c:pt idx="8">
                    <c:v>PLAQUETTE CHANFREIN</c:v>
                  </c:pt>
                  <c:pt idx="9">
                    <c:v>EMBOUT D13,3</c:v>
                  </c:pt>
                  <c:pt idx="10">
                    <c:v>IM02 137 022</c:v>
                  </c:pt>
                  <c:pt idx="11">
                    <c:v>IM02 137 023</c:v>
                  </c:pt>
                  <c:pt idx="12">
                    <c:v>Z000 513 527</c:v>
                  </c:pt>
                  <c:pt idx="13">
                    <c:v>IM02 140 677</c:v>
                  </c:pt>
                </c:lvl>
                <c:lvl>
                  <c:pt idx="0">
                    <c:v>OP 10</c:v>
                  </c:pt>
                  <c:pt idx="2">
                    <c:v>OP 20</c:v>
                  </c:pt>
                  <c:pt idx="5">
                    <c:v>OP 30</c:v>
                  </c:pt>
                  <c:pt idx="10">
                    <c:v>OP 40</c:v>
                  </c:pt>
                </c:lvl>
              </c:multiLvlStrCache>
            </c:multiLvlStrRef>
          </c:cat>
          <c:val>
            <c:numRef>
              <c:f>'Coût avec total'!$B$5:$B$22</c:f>
              <c:numCache>
                <c:formatCode>General</c:formatCode>
                <c:ptCount val="14"/>
                <c:pt idx="0">
                  <c:v>318.40000000000003</c:v>
                </c:pt>
                <c:pt idx="1">
                  <c:v>278.60000000000002</c:v>
                </c:pt>
                <c:pt idx="2">
                  <c:v>500</c:v>
                </c:pt>
                <c:pt idx="3">
                  <c:v>358.20000000000005</c:v>
                </c:pt>
                <c:pt idx="4">
                  <c:v>358.20000000000005</c:v>
                </c:pt>
                <c:pt idx="5">
                  <c:v>81.5</c:v>
                </c:pt>
                <c:pt idx="6">
                  <c:v>182.7</c:v>
                </c:pt>
                <c:pt idx="7">
                  <c:v>727.5</c:v>
                </c:pt>
                <c:pt idx="8">
                  <c:v>73.349999999999994</c:v>
                </c:pt>
                <c:pt idx="9">
                  <c:v>610.35000000000014</c:v>
                </c:pt>
                <c:pt idx="10">
                  <c:v>119.39999999999999</c:v>
                </c:pt>
                <c:pt idx="11">
                  <c:v>85</c:v>
                </c:pt>
                <c:pt idx="12">
                  <c:v>1099.3999999999996</c:v>
                </c:pt>
                <c:pt idx="13">
                  <c:v>292.2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BB-4288-A33D-FED32A2661B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05430960"/>
        <c:axId val="705428440"/>
      </c:barChart>
      <c:catAx>
        <c:axId val="70543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5428440"/>
        <c:crosses val="autoZero"/>
        <c:auto val="1"/>
        <c:lblAlgn val="ctr"/>
        <c:lblOffset val="100"/>
        <c:noMultiLvlLbl val="0"/>
      </c:catAx>
      <c:valAx>
        <c:axId val="705428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543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[SUIVI DES CONSOMMATIONS LIGNES PCI -25-09-2026 au 02-10-2026.xlsm]Quantité sans total!Tableau croisé dynamique2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800"/>
              <a:t>Quantité</a:t>
            </a:r>
            <a:r>
              <a:rPr lang="en-US" sz="2800" baseline="0"/>
              <a:t> sans total</a:t>
            </a:r>
            <a:endParaRPr lang="en-US" sz="2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'Quantité sans total'!$B$6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'Quantité sans total'!$A$7:$A$25</c:f>
              <c:multiLvlStrCache>
                <c:ptCount val="14"/>
                <c:lvl>
                  <c:pt idx="0">
                    <c:v>IM02 137 021</c:v>
                  </c:pt>
                  <c:pt idx="1">
                    <c:v>IM02 137 022</c:v>
                  </c:pt>
                  <c:pt idx="2">
                    <c:v>IM02 137 020</c:v>
                  </c:pt>
                  <c:pt idx="3">
                    <c:v>IM02 137 021</c:v>
                  </c:pt>
                  <c:pt idx="4">
                    <c:v>IM02 137 022</c:v>
                  </c:pt>
                  <c:pt idx="5">
                    <c:v>PLAQUETTE FRAISURAGE</c:v>
                  </c:pt>
                  <c:pt idx="6">
                    <c:v>EMBOUT D8,6</c:v>
                  </c:pt>
                  <c:pt idx="7">
                    <c:v>PLAQUETTE CHANFREIN</c:v>
                  </c:pt>
                  <c:pt idx="8">
                    <c:v>EMBOUT D13,3</c:v>
                  </c:pt>
                  <c:pt idx="9">
                    <c:v>IM02 137 019</c:v>
                  </c:pt>
                  <c:pt idx="10">
                    <c:v>IM02 137 022</c:v>
                  </c:pt>
                  <c:pt idx="11">
                    <c:v>IM02 137 023</c:v>
                  </c:pt>
                  <c:pt idx="12">
                    <c:v>Z000 513 527</c:v>
                  </c:pt>
                  <c:pt idx="13">
                    <c:v>IM02 140 677</c:v>
                  </c:pt>
                </c:lvl>
                <c:lvl>
                  <c:pt idx="0">
                    <c:v>OP 10</c:v>
                  </c:pt>
                  <c:pt idx="2">
                    <c:v>OP 20</c:v>
                  </c:pt>
                  <c:pt idx="5">
                    <c:v>OP 30</c:v>
                  </c:pt>
                  <c:pt idx="10">
                    <c:v>OP 40</c:v>
                  </c:pt>
                </c:lvl>
              </c:multiLvlStrCache>
            </c:multiLvlStrRef>
          </c:cat>
          <c:val>
            <c:numRef>
              <c:f>'Quantité sans total'!$B$7:$B$25</c:f>
              <c:numCache>
                <c:formatCode>General</c:formatCode>
                <c:ptCount val="14"/>
                <c:pt idx="0">
                  <c:v>40</c:v>
                </c:pt>
                <c:pt idx="1">
                  <c:v>35</c:v>
                </c:pt>
                <c:pt idx="2">
                  <c:v>50</c:v>
                </c:pt>
                <c:pt idx="3">
                  <c:v>45</c:v>
                </c:pt>
                <c:pt idx="4">
                  <c:v>45</c:v>
                </c:pt>
                <c:pt idx="5">
                  <c:v>15</c:v>
                </c:pt>
                <c:pt idx="6">
                  <c:v>15</c:v>
                </c:pt>
                <c:pt idx="7">
                  <c:v>9</c:v>
                </c:pt>
                <c:pt idx="8">
                  <c:v>13</c:v>
                </c:pt>
                <c:pt idx="9">
                  <c:v>10</c:v>
                </c:pt>
                <c:pt idx="10">
                  <c:v>15</c:v>
                </c:pt>
                <c:pt idx="11">
                  <c:v>10</c:v>
                </c:pt>
                <c:pt idx="12">
                  <c:v>115</c:v>
                </c:pt>
                <c:pt idx="13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D7-45ED-BA81-52DE2A67A20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05430960"/>
        <c:axId val="705428440"/>
      </c:barChart>
      <c:catAx>
        <c:axId val="70543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5428440"/>
        <c:crosses val="autoZero"/>
        <c:auto val="1"/>
        <c:lblAlgn val="ctr"/>
        <c:lblOffset val="100"/>
        <c:noMultiLvlLbl val="0"/>
      </c:catAx>
      <c:valAx>
        <c:axId val="705428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543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[SUIVI DES CONSOMMATIONS LIGNES PCI -25-09-2026 au 02-10-2026.xlsm]Quantité avec total!Tableau croisé dynamique2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Quantité</a:t>
            </a:r>
            <a:r>
              <a:rPr lang="en-US" baseline="0"/>
              <a:t> avec total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'Quantité avec total'!$B$4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'Quantité avec total'!$A$5:$A$22</c:f>
              <c:multiLvlStrCache>
                <c:ptCount val="14"/>
                <c:lvl>
                  <c:pt idx="0">
                    <c:v>IM02 137 021</c:v>
                  </c:pt>
                  <c:pt idx="1">
                    <c:v>IM02 137 022</c:v>
                  </c:pt>
                  <c:pt idx="2">
                    <c:v>IM02 137 020</c:v>
                  </c:pt>
                  <c:pt idx="3">
                    <c:v>IM02 137 021</c:v>
                  </c:pt>
                  <c:pt idx="4">
                    <c:v>IM02 137 022</c:v>
                  </c:pt>
                  <c:pt idx="5">
                    <c:v>IM02 137 019</c:v>
                  </c:pt>
                  <c:pt idx="6">
                    <c:v>PLAQUETTE FRAISURAGE</c:v>
                  </c:pt>
                  <c:pt idx="7">
                    <c:v>EMBOUT D8,6</c:v>
                  </c:pt>
                  <c:pt idx="8">
                    <c:v>PLAQUETTE CHANFREIN</c:v>
                  </c:pt>
                  <c:pt idx="9">
                    <c:v>EMBOUT D13,3</c:v>
                  </c:pt>
                  <c:pt idx="10">
                    <c:v>IM02 137 022</c:v>
                  </c:pt>
                  <c:pt idx="11">
                    <c:v>IM02 137 023</c:v>
                  </c:pt>
                  <c:pt idx="12">
                    <c:v>Z000 513 527</c:v>
                  </c:pt>
                  <c:pt idx="13">
                    <c:v>IM02 140 677</c:v>
                  </c:pt>
                </c:lvl>
                <c:lvl>
                  <c:pt idx="0">
                    <c:v>OP 10</c:v>
                  </c:pt>
                  <c:pt idx="2">
                    <c:v>OP 20</c:v>
                  </c:pt>
                  <c:pt idx="5">
                    <c:v>OP 30</c:v>
                  </c:pt>
                  <c:pt idx="10">
                    <c:v>OP 40</c:v>
                  </c:pt>
                </c:lvl>
              </c:multiLvlStrCache>
            </c:multiLvlStrRef>
          </c:cat>
          <c:val>
            <c:numRef>
              <c:f>'Quantité avec total'!$B$5:$B$22</c:f>
              <c:numCache>
                <c:formatCode>General</c:formatCode>
                <c:ptCount val="14"/>
                <c:pt idx="0">
                  <c:v>40</c:v>
                </c:pt>
                <c:pt idx="1">
                  <c:v>35</c:v>
                </c:pt>
                <c:pt idx="2">
                  <c:v>50</c:v>
                </c:pt>
                <c:pt idx="3">
                  <c:v>45</c:v>
                </c:pt>
                <c:pt idx="4">
                  <c:v>45</c:v>
                </c:pt>
                <c:pt idx="5">
                  <c:v>10</c:v>
                </c:pt>
                <c:pt idx="6">
                  <c:v>15</c:v>
                </c:pt>
                <c:pt idx="7">
                  <c:v>15</c:v>
                </c:pt>
                <c:pt idx="8">
                  <c:v>9</c:v>
                </c:pt>
                <c:pt idx="9">
                  <c:v>13</c:v>
                </c:pt>
                <c:pt idx="10">
                  <c:v>15</c:v>
                </c:pt>
                <c:pt idx="11">
                  <c:v>10</c:v>
                </c:pt>
                <c:pt idx="12">
                  <c:v>115</c:v>
                </c:pt>
                <c:pt idx="13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29-4D49-9DB5-A1017BA3B90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05430960"/>
        <c:axId val="705428440"/>
      </c:barChart>
      <c:catAx>
        <c:axId val="70543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5428440"/>
        <c:crosses val="autoZero"/>
        <c:auto val="1"/>
        <c:lblAlgn val="ctr"/>
        <c:lblOffset val="100"/>
        <c:noMultiLvlLbl val="0"/>
      </c:catAx>
      <c:valAx>
        <c:axId val="705428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543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[SUIVI DES CONSOMMATIONS LIGNES PCI -25-09-2026 au 02-10-2026.xlsm]pareto conso plaquette!Tableau croisé dynamique1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Pareto</a:t>
            </a:r>
            <a:r>
              <a:rPr lang="en-US" baseline="0"/>
              <a:t> conso plaquette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'pareto conso plaquette'!$B$3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'pareto conso plaquette'!$A$4:$A$27</c:f>
              <c:multiLvlStrCache>
                <c:ptCount val="21"/>
                <c:lvl>
                  <c:pt idx="0">
                    <c:v>Z000 513 527</c:v>
                  </c:pt>
                  <c:pt idx="1">
                    <c:v>IM02 137 021</c:v>
                  </c:pt>
                  <c:pt idx="2">
                    <c:v>IM02 137 022</c:v>
                  </c:pt>
                  <c:pt idx="3">
                    <c:v>IM02 140 677</c:v>
                  </c:pt>
                  <c:pt idx="4">
                    <c:v>IM02 137 020</c:v>
                  </c:pt>
                  <c:pt idx="5">
                    <c:v>PLAQUETTE FRAISURAGE</c:v>
                  </c:pt>
                  <c:pt idx="6">
                    <c:v>EMBOUT D8,6</c:v>
                  </c:pt>
                  <c:pt idx="7">
                    <c:v>IM02 137 019</c:v>
                  </c:pt>
                  <c:pt idx="8">
                    <c:v>EMBOUT D13,3</c:v>
                  </c:pt>
                  <c:pt idx="9">
                    <c:v>PLAQUETTE CHANFREIN</c:v>
                  </c:pt>
                  <c:pt idx="10">
                    <c:v>IM02 137 023</c:v>
                  </c:pt>
                  <c:pt idx="11">
                    <c:v>Z000 513 527</c:v>
                  </c:pt>
                  <c:pt idx="12">
                    <c:v>IM02 137 022</c:v>
                  </c:pt>
                  <c:pt idx="13">
                    <c:v>IM02 137 021</c:v>
                  </c:pt>
                  <c:pt idx="14">
                    <c:v>IM02 137 020</c:v>
                  </c:pt>
                  <c:pt idx="15">
                    <c:v>EMBOUT D13,3</c:v>
                  </c:pt>
                  <c:pt idx="16">
                    <c:v>IM02 140 677</c:v>
                  </c:pt>
                  <c:pt idx="17">
                    <c:v>IM02 137 023</c:v>
                  </c:pt>
                  <c:pt idx="18">
                    <c:v>PLAQUETTE CHANFREIN</c:v>
                  </c:pt>
                  <c:pt idx="19">
                    <c:v>EMBOUT D8,6</c:v>
                  </c:pt>
                  <c:pt idx="20">
                    <c:v>PLAQUETTE FRAISURAGE</c:v>
                  </c:pt>
                </c:lvl>
                <c:lvl>
                  <c:pt idx="0">
                    <c:v>PCI 4</c:v>
                  </c:pt>
                  <c:pt idx="11">
                    <c:v>PCI 5</c:v>
                  </c:pt>
                </c:lvl>
              </c:multiLvlStrCache>
            </c:multiLvlStrRef>
          </c:cat>
          <c:val>
            <c:numRef>
              <c:f>'pareto conso plaquette'!$B$4:$B$27</c:f>
              <c:numCache>
                <c:formatCode>General</c:formatCode>
                <c:ptCount val="21"/>
                <c:pt idx="0">
                  <c:v>65</c:v>
                </c:pt>
                <c:pt idx="1">
                  <c:v>45</c:v>
                </c:pt>
                <c:pt idx="2">
                  <c:v>45</c:v>
                </c:pt>
                <c:pt idx="3">
                  <c:v>25</c:v>
                </c:pt>
                <c:pt idx="4">
                  <c:v>20</c:v>
                </c:pt>
                <c:pt idx="5">
                  <c:v>11</c:v>
                </c:pt>
                <c:pt idx="6">
                  <c:v>11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5</c:v>
                </c:pt>
                <c:pt idx="11">
                  <c:v>50</c:v>
                </c:pt>
                <c:pt idx="12">
                  <c:v>50</c:v>
                </c:pt>
                <c:pt idx="13">
                  <c:v>40</c:v>
                </c:pt>
                <c:pt idx="14">
                  <c:v>30</c:v>
                </c:pt>
                <c:pt idx="15">
                  <c:v>6</c:v>
                </c:pt>
                <c:pt idx="16">
                  <c:v>5</c:v>
                </c:pt>
                <c:pt idx="17">
                  <c:v>5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AB-47C0-9D6C-5767ADAF7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0220984"/>
        <c:axId val="790221968"/>
      </c:barChart>
      <c:catAx>
        <c:axId val="790220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0221968"/>
        <c:crosses val="autoZero"/>
        <c:auto val="1"/>
        <c:lblAlgn val="ctr"/>
        <c:lblOffset val="100"/>
        <c:noMultiLvlLbl val="0"/>
      </c:catAx>
      <c:valAx>
        <c:axId val="79022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0220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[SUIVI DES CONSOMMATIONS LIGNES PCI -25-09-2026 au 02-10-2026.xlsm]Pareto coût plaquette!Tableau croisé dynamique1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PARETO COUT</a:t>
            </a:r>
            <a:r>
              <a:rPr lang="en-US" baseline="0"/>
              <a:t> PLAQUETTE PCI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'Pareto coût plaquette'!$B$3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'Pareto coût plaquette'!$A$4:$A$27</c:f>
              <c:multiLvlStrCache>
                <c:ptCount val="21"/>
                <c:lvl>
                  <c:pt idx="0">
                    <c:v>Z000 513 527</c:v>
                  </c:pt>
                  <c:pt idx="1">
                    <c:v>EMBOUT D8,6</c:v>
                  </c:pt>
                  <c:pt idx="2">
                    <c:v>IM02 137 021</c:v>
                  </c:pt>
                  <c:pt idx="3">
                    <c:v>IM02 137 022</c:v>
                  </c:pt>
                  <c:pt idx="4">
                    <c:v>EMBOUT D13,3</c:v>
                  </c:pt>
                  <c:pt idx="5">
                    <c:v>IM02 140 677</c:v>
                  </c:pt>
                  <c:pt idx="6">
                    <c:v>IM02 137 020</c:v>
                  </c:pt>
                  <c:pt idx="7">
                    <c:v>PLAQUETTE FRAISURAGE</c:v>
                  </c:pt>
                  <c:pt idx="8">
                    <c:v>IM02 137 019</c:v>
                  </c:pt>
                  <c:pt idx="9">
                    <c:v>IM02 137 023</c:v>
                  </c:pt>
                  <c:pt idx="10">
                    <c:v>PLAQUETTE CHANFREIN</c:v>
                  </c:pt>
                  <c:pt idx="11">
                    <c:v>Z000 513 527</c:v>
                  </c:pt>
                  <c:pt idx="12">
                    <c:v>IM02 137 022</c:v>
                  </c:pt>
                  <c:pt idx="13">
                    <c:v>IM02 137 021</c:v>
                  </c:pt>
                  <c:pt idx="14">
                    <c:v>IM02 137 020</c:v>
                  </c:pt>
                  <c:pt idx="15">
                    <c:v>EMBOUT D13,3</c:v>
                  </c:pt>
                  <c:pt idx="16">
                    <c:v>EMBOUT D8,6</c:v>
                  </c:pt>
                  <c:pt idx="17">
                    <c:v>PLAQUETTE FRAISURAGE</c:v>
                  </c:pt>
                  <c:pt idx="18">
                    <c:v>IM02 140 677</c:v>
                  </c:pt>
                  <c:pt idx="19">
                    <c:v>IM02 137 023</c:v>
                  </c:pt>
                  <c:pt idx="20">
                    <c:v>PLAQUETTE CHANFREIN</c:v>
                  </c:pt>
                </c:lvl>
                <c:lvl>
                  <c:pt idx="0">
                    <c:v>PCI 4</c:v>
                  </c:pt>
                  <c:pt idx="11">
                    <c:v>PCI 5</c:v>
                  </c:pt>
                </c:lvl>
              </c:multiLvlStrCache>
            </c:multiLvlStrRef>
          </c:cat>
          <c:val>
            <c:numRef>
              <c:f>'Pareto coût plaquette'!$B$4:$B$27</c:f>
              <c:numCache>
                <c:formatCode>#\ ##0.00\ "€"</c:formatCode>
                <c:ptCount val="21"/>
                <c:pt idx="0">
                  <c:v>621.4</c:v>
                </c:pt>
                <c:pt idx="1">
                  <c:v>533.5</c:v>
                </c:pt>
                <c:pt idx="2">
                  <c:v>358.20000000000005</c:v>
                </c:pt>
                <c:pt idx="3">
                  <c:v>358.20000000000005</c:v>
                </c:pt>
                <c:pt idx="4">
                  <c:v>328.65000000000003</c:v>
                </c:pt>
                <c:pt idx="5">
                  <c:v>243.5</c:v>
                </c:pt>
                <c:pt idx="6">
                  <c:v>200</c:v>
                </c:pt>
                <c:pt idx="7">
                  <c:v>133.97999999999999</c:v>
                </c:pt>
                <c:pt idx="8">
                  <c:v>81.5</c:v>
                </c:pt>
                <c:pt idx="9">
                  <c:v>42.5</c:v>
                </c:pt>
                <c:pt idx="10">
                  <c:v>40.75</c:v>
                </c:pt>
                <c:pt idx="11">
                  <c:v>478.00000000000006</c:v>
                </c:pt>
                <c:pt idx="12">
                  <c:v>398.00000000000006</c:v>
                </c:pt>
                <c:pt idx="13">
                  <c:v>318.40000000000003</c:v>
                </c:pt>
                <c:pt idx="14">
                  <c:v>300</c:v>
                </c:pt>
                <c:pt idx="15">
                  <c:v>281.70000000000005</c:v>
                </c:pt>
                <c:pt idx="16">
                  <c:v>194</c:v>
                </c:pt>
                <c:pt idx="17">
                  <c:v>48.72</c:v>
                </c:pt>
                <c:pt idx="18">
                  <c:v>48.7</c:v>
                </c:pt>
                <c:pt idx="19">
                  <c:v>42.5</c:v>
                </c:pt>
                <c:pt idx="20">
                  <c:v>32.6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B0-4CD3-87E6-2F6E5B499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0722888"/>
        <c:axId val="570724528"/>
      </c:barChart>
      <c:catAx>
        <c:axId val="570722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0724528"/>
        <c:crosses val="autoZero"/>
        <c:auto val="1"/>
        <c:lblAlgn val="ctr"/>
        <c:lblOffset val="100"/>
        <c:noMultiLvlLbl val="0"/>
      </c:catAx>
      <c:valAx>
        <c:axId val="57072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70722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QUANTITE</a:t>
            </a:r>
            <a:r>
              <a:rPr lang="fr-FR" baseline="0"/>
              <a:t> THEORIQUE/CONSOMMEE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'Réel-Théorique'!$B$1</c:f>
              <c:strCache>
                <c:ptCount val="1"/>
                <c:pt idx="0">
                  <c:v>Qté réelle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'Réel-Théorique'!$A$2:$A$17</c:f>
              <c:strCache>
                <c:ptCount val="16"/>
                <c:pt idx="0">
                  <c:v>IM02 137 021</c:v>
                </c:pt>
                <c:pt idx="1">
                  <c:v>IM02 137 022</c:v>
                </c:pt>
                <c:pt idx="2">
                  <c:v>Z000 513 527</c:v>
                </c:pt>
                <c:pt idx="3">
                  <c:v>IM02 137 020</c:v>
                </c:pt>
                <c:pt idx="4">
                  <c:v>IM02 140 677</c:v>
                </c:pt>
                <c:pt idx="5">
                  <c:v>IM02 137 023</c:v>
                </c:pt>
                <c:pt idx="6">
                  <c:v>IM02 137 019</c:v>
                </c:pt>
                <c:pt idx="7">
                  <c:v>IM02 151 674</c:v>
                </c:pt>
                <c:pt idx="8">
                  <c:v>IM02 145 346</c:v>
                </c:pt>
                <c:pt idx="9">
                  <c:v>IM02 140 678</c:v>
                </c:pt>
                <c:pt idx="10">
                  <c:v>Z000 519 285</c:v>
                </c:pt>
                <c:pt idx="11">
                  <c:v>EMBOUT D8,6</c:v>
                </c:pt>
                <c:pt idx="12">
                  <c:v>EMBOUT D13,3</c:v>
                </c:pt>
                <c:pt idx="13">
                  <c:v>Z000 517 182</c:v>
                </c:pt>
                <c:pt idx="14">
                  <c:v>PLAQUETTE FRAISURAGE</c:v>
                </c:pt>
                <c:pt idx="15">
                  <c:v>PLAQUETTE CHANFREIN</c:v>
                </c:pt>
              </c:strCache>
            </c:strRef>
          </c:cat>
          <c:val>
            <c:numRef>
              <c:f>'Réel-Théorique'!$B$2:$B$17</c:f>
              <c:numCache>
                <c:formatCode>0</c:formatCode>
                <c:ptCount val="16"/>
                <c:pt idx="0">
                  <c:v>85</c:v>
                </c:pt>
                <c:pt idx="1">
                  <c:v>95</c:v>
                </c:pt>
                <c:pt idx="2">
                  <c:v>115</c:v>
                </c:pt>
                <c:pt idx="3">
                  <c:v>50</c:v>
                </c:pt>
                <c:pt idx="4">
                  <c:v>30</c:v>
                </c:pt>
                <c:pt idx="5">
                  <c:v>10</c:v>
                </c:pt>
                <c:pt idx="6">
                  <c:v>10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15</c:v>
                </c:pt>
                <c:pt idx="12">
                  <c:v>13</c:v>
                </c:pt>
                <c:pt idx="13">
                  <c:v>0</c:v>
                </c:pt>
                <c:pt idx="14">
                  <c:v>15</c:v>
                </c:pt>
                <c:pt idx="1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29-4E60-A340-E5932ECB8CB9}"/>
            </c:ext>
          </c:extLst>
        </c:ser>
        <c:ser>
          <c:idx val="1"/>
          <c:order val="1"/>
          <c:tx>
            <c:strRef>
              <c:f>'Réel-Théorique'!$C$1</c:f>
              <c:strCache>
                <c:ptCount val="1"/>
                <c:pt idx="0">
                  <c:v>Qté théorique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'Réel-Théorique'!$A$2:$A$17</c:f>
              <c:strCache>
                <c:ptCount val="16"/>
                <c:pt idx="0">
                  <c:v>IM02 137 021</c:v>
                </c:pt>
                <c:pt idx="1">
                  <c:v>IM02 137 022</c:v>
                </c:pt>
                <c:pt idx="2">
                  <c:v>Z000 513 527</c:v>
                </c:pt>
                <c:pt idx="3">
                  <c:v>IM02 137 020</c:v>
                </c:pt>
                <c:pt idx="4">
                  <c:v>IM02 140 677</c:v>
                </c:pt>
                <c:pt idx="5">
                  <c:v>IM02 137 023</c:v>
                </c:pt>
                <c:pt idx="6">
                  <c:v>IM02 137 019</c:v>
                </c:pt>
                <c:pt idx="7">
                  <c:v>IM02 151 674</c:v>
                </c:pt>
                <c:pt idx="8">
                  <c:v>IM02 145 346</c:v>
                </c:pt>
                <c:pt idx="9">
                  <c:v>IM02 140 678</c:v>
                </c:pt>
                <c:pt idx="10">
                  <c:v>Z000 519 285</c:v>
                </c:pt>
                <c:pt idx="11">
                  <c:v>EMBOUT D8,6</c:v>
                </c:pt>
                <c:pt idx="12">
                  <c:v>EMBOUT D13,3</c:v>
                </c:pt>
                <c:pt idx="13">
                  <c:v>Z000 517 182</c:v>
                </c:pt>
                <c:pt idx="14">
                  <c:v>PLAQUETTE FRAISURAGE</c:v>
                </c:pt>
                <c:pt idx="15">
                  <c:v>PLAQUETTE CHANFREIN</c:v>
                </c:pt>
              </c:strCache>
            </c:strRef>
          </c:cat>
          <c:val>
            <c:numRef>
              <c:f>'Réel-Théorique'!$C$2:$C$17</c:f>
              <c:numCache>
                <c:formatCode>0</c:formatCode>
                <c:ptCount val="16"/>
                <c:pt idx="0">
                  <c:v>135</c:v>
                </c:pt>
                <c:pt idx="1">
                  <c:v>136</c:v>
                </c:pt>
                <c:pt idx="2">
                  <c:v>76</c:v>
                </c:pt>
                <c:pt idx="3">
                  <c:v>30</c:v>
                </c:pt>
                <c:pt idx="4">
                  <c:v>18</c:v>
                </c:pt>
                <c:pt idx="5">
                  <c:v>14</c:v>
                </c:pt>
                <c:pt idx="6">
                  <c:v>10</c:v>
                </c:pt>
                <c:pt idx="7">
                  <c:v>10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16</c:v>
                </c:pt>
                <c:pt idx="12">
                  <c:v>16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29-4E60-A340-E5932ECB8CB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130031"/>
        <c:axId val="9131831"/>
      </c:barChart>
      <c:catAx>
        <c:axId val="9130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131831"/>
        <c:crosses val="autoZero"/>
        <c:auto val="1"/>
        <c:lblAlgn val="ctr"/>
        <c:lblOffset val="100"/>
        <c:noMultiLvlLbl val="0"/>
      </c:catAx>
      <c:valAx>
        <c:axId val="9131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1300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Evolution des coûts totaux par semaine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'Evolution coût '!$B$1</c:f>
              <c:strCache>
                <c:ptCount val="1"/>
                <c:pt idx="0">
                  <c:v>Coût plaquette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9.1413646751550524E-3"/>
                  <c:y val="3.42979635584137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B23-40D3-A2D9-273F7C41E3F4}"/>
                </c:ext>
              </c:extLst>
            </c:dLbl>
            <c:dLbl>
              <c:idx val="1"/>
              <c:layout>
                <c:manualLayout>
                  <c:x val="-4.7882785628596249E-17"/>
                  <c:y val="4.501607717041792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B23-40D3-A2D9-273F7C41E3F4}"/>
                </c:ext>
              </c:extLst>
            </c:dLbl>
            <c:dLbl>
              <c:idx val="2"/>
              <c:layout>
                <c:manualLayout>
                  <c:x val="4.20369099308228E-3"/>
                  <c:y val="5.35905680600214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23-40D3-A2D9-273F7C41E3F4}"/>
                </c:ext>
              </c:extLst>
            </c:dLbl>
            <c:dLbl>
              <c:idx val="3"/>
              <c:layout>
                <c:manualLayout>
                  <c:x val="-4.1789095657851778E-2"/>
                  <c:y val="9.43193997856377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23-40D3-A2D9-273F7C41E3F4}"/>
                </c:ext>
              </c:extLst>
            </c:dLbl>
            <c:dLbl>
              <c:idx val="4"/>
              <c:layout>
                <c:manualLayout>
                  <c:x val="-7.0519098922624882E-2"/>
                  <c:y val="4.50160771704180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B23-40D3-A2D9-273F7C41E3F4}"/>
                </c:ext>
              </c:extLst>
            </c:dLbl>
            <c:dLbl>
              <c:idx val="5"/>
              <c:layout>
                <c:manualLayout>
                  <c:x val="-7.4908496379186729E-2"/>
                  <c:y val="0.1114683815648445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B23-40D3-A2D9-273F7C41E3F4}"/>
                </c:ext>
              </c:extLst>
            </c:dLbl>
            <c:dLbl>
              <c:idx val="6"/>
              <c:layout>
                <c:manualLayout>
                  <c:x val="-6.2770635551065421E-2"/>
                  <c:y val="8.145766345123250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23-40D3-A2D9-273F7C41E3F4}"/>
                </c:ext>
              </c:extLst>
            </c:dLbl>
            <c:dLbl>
              <c:idx val="7"/>
              <c:layout>
                <c:manualLayout>
                  <c:x val="-7.7048645119164316E-2"/>
                  <c:y val="4.93033226152197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23-40D3-A2D9-273F7C41E3F4}"/>
                </c:ext>
              </c:extLst>
            </c:dLbl>
            <c:dLbl>
              <c:idx val="8"/>
              <c:layout>
                <c:manualLayout>
                  <c:x val="-6.5295461965393403E-2"/>
                  <c:y val="7.07395498392282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B23-40D3-A2D9-273F7C41E3F4}"/>
                </c:ext>
              </c:extLst>
            </c:dLbl>
            <c:dLbl>
              <c:idx val="9"/>
              <c:layout>
                <c:manualLayout>
                  <c:x val="-3.3953640222004478E-2"/>
                  <c:y val="6.43086816720257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B23-40D3-A2D9-273F7C41E3F4}"/>
                </c:ext>
              </c:extLst>
            </c:dLbl>
            <c:dLbl>
              <c:idx val="10"/>
              <c:layout>
                <c:manualLayout>
                  <c:x val="-6.6601371204701276E-2"/>
                  <c:y val="0.10932475884244378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B23-40D3-A2D9-273F7C41E3F4}"/>
                </c:ext>
              </c:extLst>
            </c:dLbl>
            <c:dLbl>
              <c:idx val="11"/>
              <c:layout>
                <c:manualLayout>
                  <c:x val="-3.0035912504080966E-2"/>
                  <c:y val="6.43086816720257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23-40D3-A2D9-273F7C41E3F4}"/>
                </c:ext>
              </c:extLst>
            </c:dLbl>
            <c:dLbl>
              <c:idx val="14"/>
              <c:layout>
                <c:manualLayout>
                  <c:x val="-8.2272282076395684E-2"/>
                  <c:y val="3.00107181136120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D54-4CAC-9CA5-4FFF42AFEC58}"/>
                </c:ext>
              </c:extLst>
            </c:dLbl>
            <c:dLbl>
              <c:idx val="15"/>
              <c:layout>
                <c:manualLayout>
                  <c:x val="1.3059092393078681E-3"/>
                  <c:y val="-7.71704180064309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BB23-40D3-A2D9-273F7C41E3F4}"/>
                </c:ext>
              </c:extLst>
            </c:dLbl>
            <c:dLbl>
              <c:idx val="16"/>
              <c:layout>
                <c:manualLayout>
                  <c:x val="0"/>
                  <c:y val="-3.215434083601290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B23-40D3-A2D9-273F7C41E3F4}"/>
                </c:ext>
              </c:extLst>
            </c:dLbl>
            <c:dLbl>
              <c:idx val="18"/>
              <c:layout>
                <c:manualLayout>
                  <c:x val="-1.1753183153770812E-2"/>
                  <c:y val="5.14469453376205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D54-4CAC-9CA5-4FFF42AFEC58}"/>
                </c:ext>
              </c:extLst>
            </c:dLbl>
            <c:dLbl>
              <c:idx val="22"/>
              <c:layout>
                <c:manualLayout>
                  <c:x val="-7.3130917401240614E-2"/>
                  <c:y val="3.21543408360127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D54-4CAC-9CA5-4FFF42AFEC58}"/>
                </c:ext>
              </c:extLst>
            </c:dLbl>
            <c:dLbl>
              <c:idx val="24"/>
              <c:layout>
                <c:manualLayout>
                  <c:x val="-5.3542278811622691E-2"/>
                  <c:y val="-3.2154340836012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D54-4CAC-9CA5-4FFF42AFEC58}"/>
                </c:ext>
              </c:extLst>
            </c:dLbl>
            <c:dLbl>
              <c:idx val="25"/>
              <c:layout>
                <c:manualLayout>
                  <c:x val="-6.790728044400933E-2"/>
                  <c:y val="-4.715969989281886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5E9-4AD5-A3DE-8C8E63CED1F1}"/>
                </c:ext>
              </c:extLst>
            </c:dLbl>
            <c:dLbl>
              <c:idx val="26"/>
              <c:layout>
                <c:manualLayout>
                  <c:x val="-3.9177277179236044E-3"/>
                  <c:y val="3.85852090032154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DFA-4E69-9952-DC84E926EE45}"/>
                </c:ext>
              </c:extLst>
            </c:dLbl>
            <c:dLbl>
              <c:idx val="28"/>
              <c:layout>
                <c:manualLayout>
                  <c:x val="-8.6190009794319386E-2"/>
                  <c:y val="-3.215434083601290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D54-4CAC-9CA5-4FFF42AFEC58}"/>
                </c:ext>
              </c:extLst>
            </c:dLbl>
            <c:dLbl>
              <c:idx val="29"/>
              <c:layout>
                <c:manualLayout>
                  <c:x val="-3.9177277179236136E-2"/>
                  <c:y val="-7.502679528403001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D98-46A0-81A9-23329BBCB058}"/>
                </c:ext>
              </c:extLst>
            </c:dLbl>
            <c:dLbl>
              <c:idx val="30"/>
              <c:layout>
                <c:manualLayout>
                  <c:x val="-4.701273261508325E-2"/>
                  <c:y val="-3.2154340836012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1C6-40A7-8AB0-6C5321CE2671}"/>
                </c:ext>
              </c:extLst>
            </c:dLbl>
            <c:dLbl>
              <c:idx val="32"/>
              <c:layout>
                <c:manualLayout>
                  <c:x val="-6.0698027314112293E-3"/>
                  <c:y val="-1.07181136120042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D54-4CAC-9CA5-4FFF42AFEC58}"/>
                </c:ext>
              </c:extLst>
            </c:dLbl>
            <c:dLbl>
              <c:idx val="33"/>
              <c:layout>
                <c:manualLayout>
                  <c:x val="-3.5407182599898834E-2"/>
                  <c:y val="4.50160771704179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083-42B5-B485-6CF93AAC2D02}"/>
                </c:ext>
              </c:extLst>
            </c:dLbl>
            <c:dLbl>
              <c:idx val="34"/>
              <c:layout>
                <c:manualLayout>
                  <c:x val="-2.6049570055639858E-2"/>
                  <c:y val="-4.448017148981783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30A-42D1-AD85-A5994A49626D}"/>
                </c:ext>
              </c:extLst>
            </c:dLbl>
            <c:dLbl>
              <c:idx val="35"/>
              <c:layout>
                <c:manualLayout>
                  <c:x val="-4.0465351542741529E-2"/>
                  <c:y val="1.71489817792068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541-46A1-829C-A9A201695DB3}"/>
                </c:ext>
              </c:extLst>
            </c:dLbl>
            <c:dLbl>
              <c:idx val="37"/>
              <c:layout>
                <c:manualLayout>
                  <c:x val="-4.3500252908447293E-2"/>
                  <c:y val="3.2154340836012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D54-4CAC-9CA5-4FFF42AFEC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'Evolution coût '!$A$2:$A$47</c:f>
              <c:numCache>
                <c:formatCode>General</c:formatCode>
                <c:ptCount val="46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</c:numCache>
            </c:numRef>
          </c:xVal>
          <c:yVal>
            <c:numRef>
              <c:f>'Evolution coût '!$B$2:$B$51</c:f>
              <c:numCache>
                <c:formatCode>#\ ##0.00\ "€"</c:formatCode>
                <c:ptCount val="50"/>
                <c:pt idx="0">
                  <c:v>4916.37</c:v>
                </c:pt>
                <c:pt idx="1">
                  <c:v>5864.93</c:v>
                </c:pt>
                <c:pt idx="2">
                  <c:v>7343.72</c:v>
                </c:pt>
                <c:pt idx="3">
                  <c:v>8326.86</c:v>
                </c:pt>
                <c:pt idx="4">
                  <c:v>6622.58</c:v>
                </c:pt>
                <c:pt idx="5">
                  <c:v>9106.83</c:v>
                </c:pt>
                <c:pt idx="6">
                  <c:v>5508.57</c:v>
                </c:pt>
                <c:pt idx="7">
                  <c:v>4933.1000000000004</c:v>
                </c:pt>
                <c:pt idx="8">
                  <c:v>5192.78</c:v>
                </c:pt>
                <c:pt idx="9">
                  <c:v>5443.49</c:v>
                </c:pt>
                <c:pt idx="10">
                  <c:v>5799.69</c:v>
                </c:pt>
                <c:pt idx="11">
                  <c:v>6636.48</c:v>
                </c:pt>
                <c:pt idx="12">
                  <c:v>5684.78</c:v>
                </c:pt>
                <c:pt idx="13">
                  <c:v>6305.78</c:v>
                </c:pt>
                <c:pt idx="14">
                  <c:v>4943.93</c:v>
                </c:pt>
                <c:pt idx="15">
                  <c:v>6589.79</c:v>
                </c:pt>
                <c:pt idx="16">
                  <c:v>5519.98</c:v>
                </c:pt>
                <c:pt idx="17">
                  <c:v>5722.45</c:v>
                </c:pt>
                <c:pt idx="18">
                  <c:v>4989.8900000000003</c:v>
                </c:pt>
                <c:pt idx="19">
                  <c:v>4003.13</c:v>
                </c:pt>
                <c:pt idx="20">
                  <c:v>7215.81</c:v>
                </c:pt>
                <c:pt idx="21">
                  <c:v>6377.95</c:v>
                </c:pt>
                <c:pt idx="22">
                  <c:v>6627.27</c:v>
                </c:pt>
                <c:pt idx="23">
                  <c:v>4831.07</c:v>
                </c:pt>
                <c:pt idx="24">
                  <c:v>3435.37</c:v>
                </c:pt>
                <c:pt idx="25">
                  <c:v>6004.71</c:v>
                </c:pt>
                <c:pt idx="26">
                  <c:v>5325.31</c:v>
                </c:pt>
                <c:pt idx="27" formatCode="&quot;€&quot;#,##0.00_);[Red]\(&quot;€&quot;#,##0.00\)">
                  <c:v>5377.94</c:v>
                </c:pt>
                <c:pt idx="28">
                  <c:v>4204.13</c:v>
                </c:pt>
                <c:pt idx="29">
                  <c:v>4859.68</c:v>
                </c:pt>
                <c:pt idx="30">
                  <c:v>5100.08</c:v>
                </c:pt>
                <c:pt idx="31">
                  <c:v>3911.31</c:v>
                </c:pt>
                <c:pt idx="32">
                  <c:v>5586.17</c:v>
                </c:pt>
                <c:pt idx="33">
                  <c:v>5084.8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BB23-40D3-A2D9-273F7C41E3F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794898304"/>
        <c:axId val="794901904"/>
      </c:scatterChart>
      <c:scatterChart>
        <c:scatterStyle val="lineMarker"/>
        <c:varyColors val="0"/>
        <c:ser>
          <c:idx val="1"/>
          <c:order val="1"/>
          <c:tx>
            <c:strRef>
              <c:f>'Evolution coût '!$C$1</c:f>
              <c:strCache>
                <c:ptCount val="1"/>
                <c:pt idx="0">
                  <c:v>Production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1"/>
              <c:layout>
                <c:manualLayout>
                  <c:x val="-2.2573412407680186E-2"/>
                  <c:y val="-0.117899249732047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BB23-40D3-A2D9-273F7C41E3F4}"/>
                </c:ext>
              </c:extLst>
            </c:dLbl>
            <c:dLbl>
              <c:idx val="2"/>
              <c:layout>
                <c:manualLayout>
                  <c:x val="-1.5048908954100828E-2"/>
                  <c:y val="7.288317256162911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BB23-40D3-A2D9-273F7C41E3F4}"/>
                </c:ext>
              </c:extLst>
            </c:dLbl>
            <c:dLbl>
              <c:idx val="3"/>
              <c:layout>
                <c:manualLayout>
                  <c:x val="-4.7845532530764748E-2"/>
                  <c:y val="-3.858520900321545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BB23-40D3-A2D9-273F7C41E3F4}"/>
                </c:ext>
              </c:extLst>
            </c:dLbl>
            <c:dLbl>
              <c:idx val="4"/>
              <c:layout>
                <c:manualLayout>
                  <c:x val="-6.1377734247469798E-2"/>
                  <c:y val="-8.145766345123260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BB23-40D3-A2D9-273F7C41E3F4}"/>
                </c:ext>
              </c:extLst>
            </c:dLbl>
            <c:dLbl>
              <c:idx val="5"/>
              <c:layout>
                <c:manualLayout>
                  <c:x val="-7.3130917401240614E-2"/>
                  <c:y val="-0.1414790996784565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BB23-40D3-A2D9-273F7C41E3F4}"/>
                </c:ext>
              </c:extLst>
            </c:dLbl>
            <c:dLbl>
              <c:idx val="6"/>
              <c:layout>
                <c:manualLayout>
                  <c:x val="-6.2683643486777671E-2"/>
                  <c:y val="-0.1114683815648445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BB23-40D3-A2D9-273F7C41E3F4}"/>
                </c:ext>
              </c:extLst>
            </c:dLbl>
            <c:dLbl>
              <c:idx val="7"/>
              <c:layout>
                <c:manualLayout>
                  <c:x val="-5.8765915768854066E-2"/>
                  <c:y val="-8.36012861736334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BB23-40D3-A2D9-273F7C41E3F4}"/>
                </c:ext>
              </c:extLst>
            </c:dLbl>
            <c:dLbl>
              <c:idx val="8"/>
              <c:layout>
                <c:manualLayout>
                  <c:x val="-4.9624551093699086E-2"/>
                  <c:y val="-7.93140407288317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BB23-40D3-A2D9-273F7C41E3F4}"/>
                </c:ext>
              </c:extLst>
            </c:dLbl>
            <c:dLbl>
              <c:idx val="9"/>
              <c:layout>
                <c:manualLayout>
                  <c:x val="-2.0894547828925889E-2"/>
                  <c:y val="-7.717041800643088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BB23-40D3-A2D9-273F7C41E3F4}"/>
                </c:ext>
              </c:extLst>
            </c:dLbl>
            <c:dLbl>
              <c:idx val="10"/>
              <c:layout>
                <c:manualLayout>
                  <c:x val="-6.1377734247469798E-2"/>
                  <c:y val="-3.00107181136120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BB23-40D3-A2D9-273F7C41E3F4}"/>
                </c:ext>
              </c:extLst>
            </c:dLbl>
            <c:dLbl>
              <c:idx val="11"/>
              <c:layout>
                <c:manualLayout>
                  <c:x val="0"/>
                  <c:y val="-3.85852090032154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BB23-40D3-A2D9-273F7C41E3F4}"/>
                </c:ext>
              </c:extLst>
            </c:dLbl>
            <c:dLbl>
              <c:idx val="16"/>
              <c:layout>
                <c:manualLayout>
                  <c:x val="1.3059092393078681E-3"/>
                  <c:y val="2.572347266881028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D54-4CAC-9CA5-4FFF42AFEC58}"/>
                </c:ext>
              </c:extLst>
            </c:dLbl>
            <c:dLbl>
              <c:idx val="22"/>
              <c:layout>
                <c:manualLayout>
                  <c:x val="-5.8765915768854066E-2"/>
                  <c:y val="-4.287245444801714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4D54-4CAC-9CA5-4FFF42AFEC58}"/>
                </c:ext>
              </c:extLst>
            </c:dLbl>
            <c:dLbl>
              <c:idx val="25"/>
              <c:layout>
                <c:manualLayout>
                  <c:x val="-1.9588638589618214E-2"/>
                  <c:y val="5.78778135048232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D54-4CAC-9CA5-4FFF42AFEC58}"/>
                </c:ext>
              </c:extLst>
            </c:dLbl>
            <c:dLbl>
              <c:idx val="26"/>
              <c:layout>
                <c:manualLayout>
                  <c:x val="-3.5259549461312441E-2"/>
                  <c:y val="-4.072883172561628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DFA-4E69-9952-DC84E926EE45}"/>
                </c:ext>
              </c:extLst>
            </c:dLbl>
            <c:dLbl>
              <c:idx val="28"/>
              <c:layout>
                <c:manualLayout>
                  <c:x val="-7.835455435847209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D54-4CAC-9CA5-4FFF42AFEC58}"/>
                </c:ext>
              </c:extLst>
            </c:dLbl>
            <c:dLbl>
              <c:idx val="29"/>
              <c:layout>
                <c:manualLayout>
                  <c:x val="0"/>
                  <c:y val="-1.28617363344051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D98-46A0-81A9-23329BBCB058}"/>
                </c:ext>
              </c:extLst>
            </c:dLbl>
            <c:dLbl>
              <c:idx val="31"/>
              <c:layout>
                <c:manualLayout>
                  <c:x val="-6.0698027314113777E-3"/>
                  <c:y val="-1.714898177920689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D54-4CAC-9CA5-4FFF42AFEC58}"/>
                </c:ext>
              </c:extLst>
            </c:dLbl>
            <c:dLbl>
              <c:idx val="32"/>
              <c:layout>
                <c:manualLayout>
                  <c:x val="-2.0232675771370764E-2"/>
                  <c:y val="3.001071811361204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F34-4BB0-9EAD-AD5E8A147F5A}"/>
                </c:ext>
              </c:extLst>
            </c:dLbl>
            <c:dLbl>
              <c:idx val="33"/>
              <c:layout>
                <c:manualLayout>
                  <c:x val="-1.1886697015680323E-2"/>
                  <c:y val="-3.054662379421225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30A-42D1-AD85-A5994A49626D}"/>
                </c:ext>
              </c:extLst>
            </c:dLbl>
            <c:dLbl>
              <c:idx val="34"/>
              <c:layout>
                <c:manualLayout>
                  <c:x val="-2.5290844714213456E-2"/>
                  <c:y val="3.42979635584137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30A-42D1-AD85-A5994A49626D}"/>
                </c:ext>
              </c:extLst>
            </c:dLbl>
            <c:dLbl>
              <c:idx val="35"/>
              <c:layout>
                <c:manualLayout>
                  <c:x val="-2.0232675771370914E-2"/>
                  <c:y val="4.501607717041792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B38-4E32-9E69-6840E9F679BA}"/>
                </c:ext>
              </c:extLst>
            </c:dLbl>
            <c:dLbl>
              <c:idx val="36"/>
              <c:layout>
                <c:manualLayout>
                  <c:x val="-3.6418816388467376E-2"/>
                  <c:y val="-3.64415862808145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B38-4E32-9E69-6840E9F679BA}"/>
                </c:ext>
              </c:extLst>
            </c:dLbl>
            <c:dLbl>
              <c:idx val="37"/>
              <c:layout>
                <c:manualLayout>
                  <c:x val="-5.0581689428426911E-3"/>
                  <c:y val="-2.78670953912111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083-42B5-B485-6CF93AAC2D02}"/>
                </c:ext>
              </c:extLst>
            </c:dLbl>
            <c:dLbl>
              <c:idx val="38"/>
              <c:layout>
                <c:manualLayout>
                  <c:x val="-8.0930703085483058E-3"/>
                  <c:y val="1.7148981779206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083-42B5-B485-6CF93AAC2D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'Evolution coût '!$A$2:$A$47</c:f>
              <c:numCache>
                <c:formatCode>General</c:formatCode>
                <c:ptCount val="46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</c:numCache>
            </c:numRef>
          </c:xVal>
          <c:yVal>
            <c:numRef>
              <c:f>'Evolution coût '!$C$2:$C$51</c:f>
              <c:numCache>
                <c:formatCode>General</c:formatCode>
                <c:ptCount val="50"/>
                <c:pt idx="0">
                  <c:v>16360</c:v>
                </c:pt>
                <c:pt idx="1">
                  <c:v>20296</c:v>
                </c:pt>
                <c:pt idx="2">
                  <c:v>25465</c:v>
                </c:pt>
                <c:pt idx="3">
                  <c:v>25133</c:v>
                </c:pt>
                <c:pt idx="4">
                  <c:v>22343</c:v>
                </c:pt>
                <c:pt idx="5">
                  <c:v>25170</c:v>
                </c:pt>
                <c:pt idx="6">
                  <c:v>16697</c:v>
                </c:pt>
                <c:pt idx="7">
                  <c:v>12984</c:v>
                </c:pt>
                <c:pt idx="8">
                  <c:v>16163</c:v>
                </c:pt>
                <c:pt idx="9">
                  <c:v>17495</c:v>
                </c:pt>
                <c:pt idx="10">
                  <c:v>17942</c:v>
                </c:pt>
                <c:pt idx="11">
                  <c:v>19212</c:v>
                </c:pt>
                <c:pt idx="12">
                  <c:v>16542</c:v>
                </c:pt>
                <c:pt idx="13">
                  <c:v>20618</c:v>
                </c:pt>
                <c:pt idx="14">
                  <c:v>18956</c:v>
                </c:pt>
                <c:pt idx="15">
                  <c:v>19939</c:v>
                </c:pt>
                <c:pt idx="16">
                  <c:v>16767</c:v>
                </c:pt>
                <c:pt idx="17">
                  <c:v>16660</c:v>
                </c:pt>
                <c:pt idx="18">
                  <c:v>16379</c:v>
                </c:pt>
                <c:pt idx="19">
                  <c:v>14447</c:v>
                </c:pt>
                <c:pt idx="20">
                  <c:v>21902</c:v>
                </c:pt>
                <c:pt idx="21">
                  <c:v>17428</c:v>
                </c:pt>
                <c:pt idx="22">
                  <c:v>19292</c:v>
                </c:pt>
                <c:pt idx="23">
                  <c:v>14269</c:v>
                </c:pt>
                <c:pt idx="24">
                  <c:v>13055</c:v>
                </c:pt>
                <c:pt idx="25">
                  <c:v>15335</c:v>
                </c:pt>
                <c:pt idx="26">
                  <c:v>17510</c:v>
                </c:pt>
                <c:pt idx="27">
                  <c:v>19320</c:v>
                </c:pt>
                <c:pt idx="28">
                  <c:v>20052</c:v>
                </c:pt>
                <c:pt idx="29">
                  <c:v>18014</c:v>
                </c:pt>
                <c:pt idx="30">
                  <c:v>20824</c:v>
                </c:pt>
                <c:pt idx="31">
                  <c:v>17351</c:v>
                </c:pt>
                <c:pt idx="32">
                  <c:v>20713</c:v>
                </c:pt>
                <c:pt idx="33">
                  <c:v>19827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BB23-40D3-A2D9-273F7C41E3F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808458192"/>
        <c:axId val="808456752"/>
      </c:scatterChart>
      <c:valAx>
        <c:axId val="794898304"/>
        <c:scaling>
          <c:orientation val="minMax"/>
          <c:max val="52"/>
          <c:min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4901904"/>
        <c:crosses val="autoZero"/>
        <c:crossBetween val="midCat"/>
        <c:majorUnit val="1"/>
      </c:valAx>
      <c:valAx>
        <c:axId val="79490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Coût des plaquettes consommées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#\ ##0.00\ &quot;€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4898304"/>
        <c:crosses val="autoZero"/>
        <c:crossBetween val="midCat"/>
      </c:valAx>
      <c:valAx>
        <c:axId val="80845675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Nombre disques produits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08458192"/>
        <c:crosses val="max"/>
        <c:crossBetween val="midCat"/>
      </c:valAx>
      <c:valAx>
        <c:axId val="808458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08456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Evolution des quantités par semaine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6349395377496548E-2"/>
          <c:y val="7.5219721329046085E-2"/>
          <c:w val="0.83658638606968716"/>
          <c:h val="0.82172907646994287"/>
        </c:manualLayout>
      </c:layout>
      <c:scatterChart>
        <c:scatterStyle val="lineMarker"/>
        <c:varyColors val="0"/>
        <c:ser>
          <c:idx val="0"/>
          <c:order val="0"/>
          <c:tx>
            <c:strRef>
              <c:f>'Evolution quantité'!$B$1</c:f>
              <c:strCache>
                <c:ptCount val="1"/>
                <c:pt idx="0">
                  <c:v>Quantité plaquette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195635816403309E-3"/>
                  <c:y val="4.072883172561628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2EB-46BA-8FA1-E01BCF78D2C9}"/>
                </c:ext>
              </c:extLst>
            </c:dLbl>
            <c:dLbl>
              <c:idx val="1"/>
              <c:layout>
                <c:manualLayout>
                  <c:x val="-1.8058690744920992E-2"/>
                  <c:y val="-6.430868167202574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2EB-46BA-8FA1-E01BCF78D2C9}"/>
                </c:ext>
              </c:extLst>
            </c:dLbl>
            <c:dLbl>
              <c:idx val="2"/>
              <c:layout>
                <c:manualLayout>
                  <c:x val="-1.8058690744920992E-2"/>
                  <c:y val="6.00214362272240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2EB-46BA-8FA1-E01BCF78D2C9}"/>
                </c:ext>
              </c:extLst>
            </c:dLbl>
            <c:dLbl>
              <c:idx val="3"/>
              <c:layout>
                <c:manualLayout>
                  <c:x val="-3.6117381489842039E-2"/>
                  <c:y val="7.07395498392283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EB-46BA-8FA1-E01BCF78D2C9}"/>
                </c:ext>
              </c:extLst>
            </c:dLbl>
            <c:dLbl>
              <c:idx val="4"/>
              <c:layout>
                <c:manualLayout>
                  <c:x val="-5.4176072234762979E-2"/>
                  <c:y val="3.215434083601290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2EB-46BA-8FA1-E01BCF78D2C9}"/>
                </c:ext>
              </c:extLst>
            </c:dLbl>
            <c:dLbl>
              <c:idx val="5"/>
              <c:layout>
                <c:manualLayout>
                  <c:x val="-1.2039127163280662E-2"/>
                  <c:y val="-7.288317256162915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2EB-46BA-8FA1-E01BCF78D2C9}"/>
                </c:ext>
              </c:extLst>
            </c:dLbl>
            <c:dLbl>
              <c:idx val="6"/>
              <c:layout>
                <c:manualLayout>
                  <c:x val="-4.6651617757712566E-2"/>
                  <c:y val="5.14469453376205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2EB-46BA-8FA1-E01BCF78D2C9}"/>
                </c:ext>
              </c:extLst>
            </c:dLbl>
            <c:dLbl>
              <c:idx val="7"/>
              <c:layout>
                <c:manualLayout>
                  <c:x val="-3.4612490594432013E-2"/>
                  <c:y val="5.57341907824222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2EB-46BA-8FA1-E01BCF78D2C9}"/>
                </c:ext>
              </c:extLst>
            </c:dLbl>
            <c:dLbl>
              <c:idx val="9"/>
              <c:layout>
                <c:manualLayout>
                  <c:x val="-2.7088036117381489E-2"/>
                  <c:y val="3.85852090032154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2EB-46BA-8FA1-E01BCF78D2C9}"/>
                </c:ext>
              </c:extLst>
            </c:dLbl>
            <c:dLbl>
              <c:idx val="10"/>
              <c:layout>
                <c:manualLayout>
                  <c:x val="-3.1602708803611629E-2"/>
                  <c:y val="-5.787781350482314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E2EB-46BA-8FA1-E01BCF78D2C9}"/>
                </c:ext>
              </c:extLst>
            </c:dLbl>
            <c:dLbl>
              <c:idx val="11"/>
              <c:layout>
                <c:manualLayout>
                  <c:x val="-4.9661340300859794E-2"/>
                  <c:y val="7.395506831742490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2.9616252821670425E-2"/>
                      <c:h val="4.712762994657820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E2EB-46BA-8FA1-E01BCF78D2C9}"/>
                </c:ext>
              </c:extLst>
            </c:dLbl>
            <c:dLbl>
              <c:idx val="26"/>
              <c:layout>
                <c:manualLayout>
                  <c:x val="-4.3641835966892403E-2"/>
                  <c:y val="-3.21543408360128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955-45D8-ABA5-CC174BF667EC}"/>
                </c:ext>
              </c:extLst>
            </c:dLbl>
            <c:dLbl>
              <c:idx val="27"/>
              <c:layout>
                <c:manualLayout>
                  <c:x val="4.5146726862302479E-3"/>
                  <c:y val="1.500535905680600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955-45D8-ABA5-CC174BF667EC}"/>
                </c:ext>
              </c:extLst>
            </c:dLbl>
            <c:dLbl>
              <c:idx val="29"/>
              <c:layout>
                <c:manualLayout>
                  <c:x val="-3.7658134745513383E-2"/>
                  <c:y val="-9.7680097680097975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ECC-4252-A070-E0918C5A971E}"/>
                </c:ext>
              </c:extLst>
            </c:dLbl>
            <c:dLbl>
              <c:idx val="30"/>
              <c:layout>
                <c:manualLayout>
                  <c:x val="-1.9714654679808027E-2"/>
                  <c:y val="-6.09255892272044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30B-4853-83D6-FF709584112F}"/>
                </c:ext>
              </c:extLst>
            </c:dLbl>
            <c:dLbl>
              <c:idx val="31"/>
              <c:layout>
                <c:manualLayout>
                  <c:x val="-3.1128402126012673E-3"/>
                  <c:y val="1.405975136012408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30B-4853-83D6-FF709584112F}"/>
                </c:ext>
              </c:extLst>
            </c:dLbl>
            <c:dLbl>
              <c:idx val="34"/>
              <c:layout>
                <c:manualLayout>
                  <c:x val="-3.2166015530213247E-2"/>
                  <c:y val="2.343291893354018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B49-4698-9B54-D57C95713C48}"/>
                </c:ext>
              </c:extLst>
            </c:dLbl>
            <c:dLbl>
              <c:idx val="35"/>
              <c:layout>
                <c:manualLayout>
                  <c:x val="-1.0894940744104437E-2"/>
                  <c:y val="-2.69478567735712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B49-4698-9B54-D57C95713C48}"/>
                </c:ext>
              </c:extLst>
            </c:dLbl>
            <c:dLbl>
              <c:idx val="36"/>
              <c:layout>
                <c:manualLayout>
                  <c:x val="0"/>
                  <c:y val="2.8119502720248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143-41D7-BBE1-EAD8556039E2}"/>
                </c:ext>
              </c:extLst>
            </c:dLbl>
            <c:dLbl>
              <c:idx val="37"/>
              <c:layout>
                <c:manualLayout>
                  <c:x val="-4.1504536168016897E-3"/>
                  <c:y val="-2.811950272024826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BCF-4B2A-B8E4-57BF99B247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'Evolution quantité'!$A$2:$A$42</c:f>
              <c:numCache>
                <c:formatCode>General</c:formatCode>
                <c:ptCount val="41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</c:numCache>
            </c:numRef>
          </c:xVal>
          <c:yVal>
            <c:numRef>
              <c:f>'Evolution quantité'!$B$2:$B$47</c:f>
              <c:numCache>
                <c:formatCode>General</c:formatCode>
                <c:ptCount val="46"/>
                <c:pt idx="0">
                  <c:v>381</c:v>
                </c:pt>
                <c:pt idx="1">
                  <c:v>483</c:v>
                </c:pt>
                <c:pt idx="2">
                  <c:v>601</c:v>
                </c:pt>
                <c:pt idx="3">
                  <c:v>667</c:v>
                </c:pt>
                <c:pt idx="4">
                  <c:v>541</c:v>
                </c:pt>
                <c:pt idx="5">
                  <c:v>687</c:v>
                </c:pt>
                <c:pt idx="6">
                  <c:v>463</c:v>
                </c:pt>
                <c:pt idx="7">
                  <c:v>434</c:v>
                </c:pt>
                <c:pt idx="8">
                  <c:v>486</c:v>
                </c:pt>
                <c:pt idx="9">
                  <c:v>458</c:v>
                </c:pt>
                <c:pt idx="10">
                  <c:v>461</c:v>
                </c:pt>
                <c:pt idx="11" formatCode="#,##0">
                  <c:v>542</c:v>
                </c:pt>
                <c:pt idx="12" formatCode="#,##0">
                  <c:v>473</c:v>
                </c:pt>
                <c:pt idx="13" formatCode="#,##0">
                  <c:v>501</c:v>
                </c:pt>
                <c:pt idx="14" formatCode="#,##0">
                  <c:v>403</c:v>
                </c:pt>
                <c:pt idx="15" formatCode="#,##0">
                  <c:v>574</c:v>
                </c:pt>
                <c:pt idx="16" formatCode="#,##0">
                  <c:v>435</c:v>
                </c:pt>
                <c:pt idx="17" formatCode="#,##0">
                  <c:v>434</c:v>
                </c:pt>
                <c:pt idx="18" formatCode="#,##0">
                  <c:v>403</c:v>
                </c:pt>
                <c:pt idx="19" formatCode="#,##0">
                  <c:v>292</c:v>
                </c:pt>
                <c:pt idx="20" formatCode="#,##0">
                  <c:v>572</c:v>
                </c:pt>
                <c:pt idx="21" formatCode="#,##0">
                  <c:v>507</c:v>
                </c:pt>
                <c:pt idx="22" formatCode="#,##0">
                  <c:v>503</c:v>
                </c:pt>
                <c:pt idx="23" formatCode="#,##0">
                  <c:v>353</c:v>
                </c:pt>
                <c:pt idx="24" formatCode="#,##0">
                  <c:v>253</c:v>
                </c:pt>
                <c:pt idx="25" formatCode="#,##0">
                  <c:v>482</c:v>
                </c:pt>
                <c:pt idx="26" formatCode="#,##0">
                  <c:v>458</c:v>
                </c:pt>
                <c:pt idx="27" formatCode="#,##0">
                  <c:v>451</c:v>
                </c:pt>
                <c:pt idx="28">
                  <c:v>388</c:v>
                </c:pt>
                <c:pt idx="29" formatCode="#,##0">
                  <c:v>414</c:v>
                </c:pt>
                <c:pt idx="30" formatCode="#,##0">
                  <c:v>480</c:v>
                </c:pt>
                <c:pt idx="31" formatCode="#,##0">
                  <c:v>380</c:v>
                </c:pt>
                <c:pt idx="32" formatCode="#,##0">
                  <c:v>457</c:v>
                </c:pt>
                <c:pt idx="33" formatCode="#,##0">
                  <c:v>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EB-46BA-8FA1-E01BCF78D2C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794898304"/>
        <c:axId val="794901904"/>
      </c:scatterChart>
      <c:scatterChart>
        <c:scatterStyle val="lineMarker"/>
        <c:varyColors val="0"/>
        <c:ser>
          <c:idx val="1"/>
          <c:order val="1"/>
          <c:tx>
            <c:strRef>
              <c:f>'Evolution quantité'!$C$1</c:f>
              <c:strCache>
                <c:ptCount val="1"/>
                <c:pt idx="0">
                  <c:v>Production</c:v>
                </c:pt>
              </c:strCache>
            </c:strRef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0097817908201654E-3"/>
                  <c:y val="-5.14469453376205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2EB-46BA-8FA1-E01BCF78D2C9}"/>
                </c:ext>
              </c:extLst>
            </c:dLbl>
            <c:dLbl>
              <c:idx val="1"/>
              <c:layout>
                <c:manualLayout>
                  <c:x val="-2.2573363431151298E-2"/>
                  <c:y val="4.93033226152197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E2EB-46BA-8FA1-E01BCF78D2C9}"/>
                </c:ext>
              </c:extLst>
            </c:dLbl>
            <c:dLbl>
              <c:idx val="2"/>
              <c:layout>
                <c:manualLayout>
                  <c:x val="-3.160270880361174E-2"/>
                  <c:y val="-3.85852090032154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E2EB-46BA-8FA1-E01BCF78D2C9}"/>
                </c:ext>
              </c:extLst>
            </c:dLbl>
            <c:dLbl>
              <c:idx val="3"/>
              <c:layout>
                <c:manualLayout>
                  <c:x val="-3.160270880361174E-2"/>
                  <c:y val="-5.35905680600214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E2EB-46BA-8FA1-E01BCF78D2C9}"/>
                </c:ext>
              </c:extLst>
            </c:dLbl>
            <c:dLbl>
              <c:idx val="4"/>
              <c:layout>
                <c:manualLayout>
                  <c:x val="-6.320541760722348E-2"/>
                  <c:y val="-5.35905680600214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E2EB-46BA-8FA1-E01BCF78D2C9}"/>
                </c:ext>
              </c:extLst>
            </c:dLbl>
            <c:dLbl>
              <c:idx val="5"/>
              <c:layout>
                <c:manualLayout>
                  <c:x val="-3.0097817908201655E-2"/>
                  <c:y val="6.4308681672025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E2EB-46BA-8FA1-E01BCF78D2C9}"/>
                </c:ext>
              </c:extLst>
            </c:dLbl>
            <c:dLbl>
              <c:idx val="6"/>
              <c:layout>
                <c:manualLayout>
                  <c:x val="-5.2671181339352897E-2"/>
                  <c:y val="-5.359056806002143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E2EB-46BA-8FA1-E01BCF78D2C9}"/>
                </c:ext>
              </c:extLst>
            </c:dLbl>
            <c:dLbl>
              <c:idx val="7"/>
              <c:layout>
                <c:manualLayout>
                  <c:x val="-4.3641835966892403E-2"/>
                  <c:y val="-3.858520900321547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E2EB-46BA-8FA1-E01BCF78D2C9}"/>
                </c:ext>
              </c:extLst>
            </c:dLbl>
            <c:dLbl>
              <c:idx val="9"/>
              <c:layout>
                <c:manualLayout>
                  <c:x val="0"/>
                  <c:y val="-2.572347266881028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E2EB-46BA-8FA1-E01BCF78D2C9}"/>
                </c:ext>
              </c:extLst>
            </c:dLbl>
            <c:dLbl>
              <c:idx val="10"/>
              <c:layout>
                <c:manualLayout>
                  <c:x val="-5.4176072234762979E-2"/>
                  <c:y val="4.930332261521971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E2EB-46BA-8FA1-E01BCF78D2C9}"/>
                </c:ext>
              </c:extLst>
            </c:dLbl>
            <c:dLbl>
              <c:idx val="11"/>
              <c:layout>
                <c:manualLayout>
                  <c:x val="-5.8690744920993118E-2"/>
                  <c:y val="-3.001071811361200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E2EB-46BA-8FA1-E01BCF78D2C9}"/>
                </c:ext>
              </c:extLst>
            </c:dLbl>
            <c:dLbl>
              <c:idx val="17"/>
              <c:layout>
                <c:manualLayout>
                  <c:x val="3.009781790820276E-3"/>
                  <c:y val="-5.14469453376205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E2EB-46BA-8FA1-E01BCF78D2C9}"/>
                </c:ext>
              </c:extLst>
            </c:dLbl>
            <c:dLbl>
              <c:idx val="26"/>
              <c:layout>
                <c:manualLayout>
                  <c:x val="-4.514672686230359E-3"/>
                  <c:y val="2.572347266881036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ECC-4252-A070-E0918C5A971E}"/>
                </c:ext>
              </c:extLst>
            </c:dLbl>
            <c:dLbl>
              <c:idx val="27"/>
              <c:layout>
                <c:manualLayout>
                  <c:x val="-3.7622272385251961E-2"/>
                  <c:y val="-5.144694533762057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955-45D8-ABA5-CC174BF667EC}"/>
                </c:ext>
              </c:extLst>
            </c:dLbl>
            <c:dLbl>
              <c:idx val="29"/>
              <c:layout>
                <c:manualLayout>
                  <c:x val="-7.3022304597988155E-2"/>
                  <c:y val="1.640304325347808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21A-491B-84B8-36ADE69D2996}"/>
                </c:ext>
              </c:extLst>
            </c:dLbl>
            <c:dLbl>
              <c:idx val="30"/>
              <c:layout>
                <c:manualLayout>
                  <c:x val="0"/>
                  <c:y val="-1.405975136012415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21A-491B-84B8-36ADE69D2996}"/>
                </c:ext>
              </c:extLst>
            </c:dLbl>
            <c:dLbl>
              <c:idx val="31"/>
              <c:layout>
                <c:manualLayout>
                  <c:x val="0"/>
                  <c:y val="1.640304325347812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F42-497A-922B-FDEDEE75AC25}"/>
                </c:ext>
              </c:extLst>
            </c:dLbl>
            <c:dLbl>
              <c:idx val="32"/>
              <c:layout>
                <c:manualLayout>
                  <c:x val="-6.2256804252025346E-3"/>
                  <c:y val="-1.405975136012411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30B-4853-83D6-FF709584112F}"/>
                </c:ext>
              </c:extLst>
            </c:dLbl>
            <c:dLbl>
              <c:idx val="33"/>
              <c:layout>
                <c:manualLayout>
                  <c:x val="-3.0090788721812253E-2"/>
                  <c:y val="3.514937840031027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6D39-4E71-AEC0-80CD70AE4444}"/>
                </c:ext>
              </c:extLst>
            </c:dLbl>
            <c:dLbl>
              <c:idx val="34"/>
              <c:layout>
                <c:manualLayout>
                  <c:x val="2.0752268084008449E-3"/>
                  <c:y val="-2.108962704018620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39-4E71-AEC0-80CD70AE4444}"/>
                </c:ext>
              </c:extLst>
            </c:dLbl>
            <c:dLbl>
              <c:idx val="35"/>
              <c:layout>
                <c:manualLayout>
                  <c:x val="-2.4902721700810138E-2"/>
                  <c:y val="4.217925408037232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143-41D7-BBE1-EAD8556039E2}"/>
                </c:ext>
              </c:extLst>
            </c:dLbl>
            <c:dLbl>
              <c:idx val="36"/>
              <c:layout>
                <c:manualLayout>
                  <c:x val="4.1504536168015379E-3"/>
                  <c:y val="-7.615698653400559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19FF-4BD8-AA6C-49C54359D5B8}"/>
                </c:ext>
              </c:extLst>
            </c:dLbl>
            <c:dLbl>
              <c:idx val="37"/>
              <c:layout>
                <c:manualLayout>
                  <c:x val="-3.7354082551215209E-2"/>
                  <c:y val="-3.280608650695625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143-41D7-BBE1-EAD8556039E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'Evolution quantité'!$A$2:$A$42</c:f>
              <c:numCache>
                <c:formatCode>General</c:formatCode>
                <c:ptCount val="41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</c:numCache>
            </c:numRef>
          </c:xVal>
          <c:yVal>
            <c:numRef>
              <c:f>'Evolution quantité'!$C$2:$C$47</c:f>
              <c:numCache>
                <c:formatCode>General</c:formatCode>
                <c:ptCount val="46"/>
                <c:pt idx="0">
                  <c:v>16360</c:v>
                </c:pt>
                <c:pt idx="1">
                  <c:v>20296</c:v>
                </c:pt>
                <c:pt idx="2">
                  <c:v>25465</c:v>
                </c:pt>
                <c:pt idx="3">
                  <c:v>25133</c:v>
                </c:pt>
                <c:pt idx="4">
                  <c:v>22343</c:v>
                </c:pt>
                <c:pt idx="5">
                  <c:v>25170</c:v>
                </c:pt>
                <c:pt idx="6">
                  <c:v>16697</c:v>
                </c:pt>
                <c:pt idx="7">
                  <c:v>12984</c:v>
                </c:pt>
                <c:pt idx="8">
                  <c:v>16163</c:v>
                </c:pt>
                <c:pt idx="9">
                  <c:v>17495</c:v>
                </c:pt>
                <c:pt idx="10">
                  <c:v>17942</c:v>
                </c:pt>
                <c:pt idx="11">
                  <c:v>19212</c:v>
                </c:pt>
                <c:pt idx="12">
                  <c:v>16542</c:v>
                </c:pt>
                <c:pt idx="13">
                  <c:v>20618</c:v>
                </c:pt>
                <c:pt idx="14">
                  <c:v>18956</c:v>
                </c:pt>
                <c:pt idx="15">
                  <c:v>19939</c:v>
                </c:pt>
                <c:pt idx="16">
                  <c:v>16767</c:v>
                </c:pt>
                <c:pt idx="17">
                  <c:v>16660</c:v>
                </c:pt>
                <c:pt idx="18">
                  <c:v>16379</c:v>
                </c:pt>
                <c:pt idx="19">
                  <c:v>14447</c:v>
                </c:pt>
                <c:pt idx="20">
                  <c:v>21902</c:v>
                </c:pt>
                <c:pt idx="21">
                  <c:v>17428</c:v>
                </c:pt>
                <c:pt idx="22">
                  <c:v>19292</c:v>
                </c:pt>
                <c:pt idx="23">
                  <c:v>14269</c:v>
                </c:pt>
                <c:pt idx="24">
                  <c:v>13055</c:v>
                </c:pt>
                <c:pt idx="25">
                  <c:v>15335</c:v>
                </c:pt>
                <c:pt idx="26">
                  <c:v>17510</c:v>
                </c:pt>
                <c:pt idx="27">
                  <c:v>19320</c:v>
                </c:pt>
                <c:pt idx="28">
                  <c:v>20052</c:v>
                </c:pt>
                <c:pt idx="29">
                  <c:v>18014</c:v>
                </c:pt>
                <c:pt idx="30">
                  <c:v>20824</c:v>
                </c:pt>
                <c:pt idx="31">
                  <c:v>17351</c:v>
                </c:pt>
                <c:pt idx="32">
                  <c:v>20713</c:v>
                </c:pt>
                <c:pt idx="33">
                  <c:v>19827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EB-46BA-8FA1-E01BCF78D2C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axId val="808458192"/>
        <c:axId val="808456752"/>
      </c:scatterChart>
      <c:valAx>
        <c:axId val="794898304"/>
        <c:scaling>
          <c:orientation val="minMax"/>
          <c:max val="52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4901904"/>
        <c:crosses val="autoZero"/>
        <c:crossBetween val="midCat"/>
        <c:majorUnit val="1"/>
      </c:valAx>
      <c:valAx>
        <c:axId val="79490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Nombre de plaquettes consommées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4898304"/>
        <c:crosses val="autoZero"/>
        <c:crossBetween val="midCat"/>
      </c:valAx>
      <c:valAx>
        <c:axId val="80845675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Nombre disques produits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08458192"/>
        <c:crosses val="max"/>
        <c:crossBetween val="midCat"/>
      </c:valAx>
      <c:valAx>
        <c:axId val="8084581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08456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Coût pièce DV 302x26 RPI PCI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'Evolution coût pièce'!$B$1</c:f>
              <c:strCache>
                <c:ptCount val="1"/>
                <c:pt idx="0">
                  <c:v>PCI 4 302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'Evolution coût pièce'!$A$2:$A$139</c:f>
              <c:numCache>
                <c:formatCode>General</c:formatCode>
                <c:ptCount val="13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</c:numCache>
            </c:numRef>
          </c:xVal>
          <c:yVal>
            <c:numRef>
              <c:f>'Evolution coût pièce'!$B$2:$B$139</c:f>
              <c:numCache>
                <c:formatCode>General</c:formatCode>
                <c:ptCount val="138"/>
                <c:pt idx="20">
                  <c:v>0.32800000000000001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58-45D4-BEA7-BB55C3E70F39}"/>
            </c:ext>
          </c:extLst>
        </c:ser>
        <c:ser>
          <c:idx val="1"/>
          <c:order val="1"/>
          <c:tx>
            <c:strRef>
              <c:f>'Evolution coût pièce'!$C$1</c:f>
              <c:strCache>
                <c:ptCount val="1"/>
                <c:pt idx="0">
                  <c:v>Cible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5"/>
            <c:spPr>
              <a:solidFill>
                <a:schemeClr val="tx1">
                  <a:alpha val="0"/>
                </a:schemeClr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'Evolution coût pièce'!$A$2:$A$139</c:f>
              <c:numCache>
                <c:formatCode>General</c:formatCode>
                <c:ptCount val="13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</c:numCache>
            </c:numRef>
          </c:xVal>
          <c:yVal>
            <c:numRef>
              <c:f>'Evolution coût pièce'!$C$2:$C$139</c:f>
              <c:numCache>
                <c:formatCode>General</c:formatCode>
                <c:ptCount val="138"/>
                <c:pt idx="0">
                  <c:v>0.31900000000000001</c:v>
                </c:pt>
                <c:pt idx="1">
                  <c:v>0.31900000000000001</c:v>
                </c:pt>
                <c:pt idx="2">
                  <c:v>0.31900000000000001</c:v>
                </c:pt>
                <c:pt idx="3">
                  <c:v>0.31900000000000001</c:v>
                </c:pt>
                <c:pt idx="4">
                  <c:v>0.31900000000000001</c:v>
                </c:pt>
                <c:pt idx="5">
                  <c:v>0.31900000000000001</c:v>
                </c:pt>
                <c:pt idx="6">
                  <c:v>0.31900000000000001</c:v>
                </c:pt>
                <c:pt idx="7">
                  <c:v>0.31900000000000001</c:v>
                </c:pt>
                <c:pt idx="8">
                  <c:v>0.31900000000000001</c:v>
                </c:pt>
                <c:pt idx="9">
                  <c:v>0.31900000000000001</c:v>
                </c:pt>
                <c:pt idx="10">
                  <c:v>0.31900000000000001</c:v>
                </c:pt>
                <c:pt idx="11">
                  <c:v>0.31900000000000001</c:v>
                </c:pt>
                <c:pt idx="12">
                  <c:v>0.31900000000000001</c:v>
                </c:pt>
                <c:pt idx="13">
                  <c:v>0.31900000000000001</c:v>
                </c:pt>
                <c:pt idx="14">
                  <c:v>0.31900000000000001</c:v>
                </c:pt>
                <c:pt idx="15">
                  <c:v>0.31900000000000001</c:v>
                </c:pt>
                <c:pt idx="16">
                  <c:v>0.31900000000000001</c:v>
                </c:pt>
                <c:pt idx="17">
                  <c:v>0.31900000000000001</c:v>
                </c:pt>
                <c:pt idx="18">
                  <c:v>0.31900000000000001</c:v>
                </c:pt>
                <c:pt idx="19">
                  <c:v>0.31900000000000001</c:v>
                </c:pt>
                <c:pt idx="20">
                  <c:v>0.31900000000000001</c:v>
                </c:pt>
                <c:pt idx="21">
                  <c:v>0.31900000000000001</c:v>
                </c:pt>
                <c:pt idx="22">
                  <c:v>0.31900000000000001</c:v>
                </c:pt>
                <c:pt idx="23">
                  <c:v>0.31900000000000001</c:v>
                </c:pt>
                <c:pt idx="24">
                  <c:v>0.31900000000000001</c:v>
                </c:pt>
                <c:pt idx="25">
                  <c:v>0.31900000000000001</c:v>
                </c:pt>
                <c:pt idx="26">
                  <c:v>0.31900000000000001</c:v>
                </c:pt>
                <c:pt idx="27">
                  <c:v>0.31900000000000001</c:v>
                </c:pt>
                <c:pt idx="28">
                  <c:v>0.31900000000000001</c:v>
                </c:pt>
                <c:pt idx="29">
                  <c:v>0.31900000000000001</c:v>
                </c:pt>
                <c:pt idx="30">
                  <c:v>0.31900000000000001</c:v>
                </c:pt>
                <c:pt idx="31">
                  <c:v>0.31900000000000001</c:v>
                </c:pt>
                <c:pt idx="32">
                  <c:v>0.31900000000000001</c:v>
                </c:pt>
                <c:pt idx="33">
                  <c:v>0.31900000000000001</c:v>
                </c:pt>
                <c:pt idx="34">
                  <c:v>0.31900000000000001</c:v>
                </c:pt>
                <c:pt idx="35">
                  <c:v>0.31900000000000001</c:v>
                </c:pt>
                <c:pt idx="36">
                  <c:v>0.31900000000000001</c:v>
                </c:pt>
                <c:pt idx="37">
                  <c:v>0.31900000000000001</c:v>
                </c:pt>
                <c:pt idx="38">
                  <c:v>0.31900000000000001</c:v>
                </c:pt>
                <c:pt idx="39">
                  <c:v>0.31900000000000001</c:v>
                </c:pt>
                <c:pt idx="40">
                  <c:v>0.31900000000000001</c:v>
                </c:pt>
                <c:pt idx="41">
                  <c:v>0.31900000000000001</c:v>
                </c:pt>
                <c:pt idx="42">
                  <c:v>0.31900000000000001</c:v>
                </c:pt>
                <c:pt idx="43">
                  <c:v>0.31900000000000001</c:v>
                </c:pt>
                <c:pt idx="44">
                  <c:v>0.31900000000000001</c:v>
                </c:pt>
                <c:pt idx="45">
                  <c:v>0.31900000000000001</c:v>
                </c:pt>
                <c:pt idx="46">
                  <c:v>0.31900000000000001</c:v>
                </c:pt>
                <c:pt idx="47">
                  <c:v>0.31900000000000001</c:v>
                </c:pt>
                <c:pt idx="48">
                  <c:v>0.31900000000000001</c:v>
                </c:pt>
                <c:pt idx="49">
                  <c:v>0.31900000000000001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58-45D4-BEA7-BB55C3E70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643720"/>
        <c:axId val="739641560"/>
      </c:scatterChart>
      <c:valAx>
        <c:axId val="739643720"/>
        <c:scaling>
          <c:orientation val="minMax"/>
          <c:max val="52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9641560"/>
        <c:crosses val="autoZero"/>
        <c:crossBetween val="midCat"/>
        <c:majorUnit val="1"/>
      </c:valAx>
      <c:valAx>
        <c:axId val="739641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9643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Coût pièce DV 283x26 RPI PCI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'Evolution coût pièce'!$D$1</c:f>
              <c:strCache>
                <c:ptCount val="1"/>
                <c:pt idx="0">
                  <c:v>PCI 4 283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28"/>
              <c:layout>
                <c:manualLayout>
                  <c:x val="-6.9968101348239495E-4"/>
                  <c:y val="-5.293333919642317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38-42B6-AE7B-9187E00DDB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'Evolution coût pièce'!$A$2:$A$139</c:f>
              <c:numCache>
                <c:formatCode>General</c:formatCode>
                <c:ptCount val="13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</c:numCache>
            </c:numRef>
          </c:xVal>
          <c:yVal>
            <c:numRef>
              <c:f>'Evolution coût pièce'!$D$2:$D$139</c:f>
              <c:numCache>
                <c:formatCode>General</c:formatCode>
                <c:ptCount val="138"/>
                <c:pt idx="0">
                  <c:v>0.29899999999999999</c:v>
                </c:pt>
                <c:pt idx="1">
                  <c:v>0.58199999999999996</c:v>
                </c:pt>
                <c:pt idx="2">
                  <c:v>0.39800000000000002</c:v>
                </c:pt>
                <c:pt idx="4">
                  <c:v>0.57299999999999995</c:v>
                </c:pt>
                <c:pt idx="5">
                  <c:v>0.56200000000000006</c:v>
                </c:pt>
                <c:pt idx="7">
                  <c:v>0.72499999999999998</c:v>
                </c:pt>
                <c:pt idx="9">
                  <c:v>0.875</c:v>
                </c:pt>
                <c:pt idx="10">
                  <c:v>0.373</c:v>
                </c:pt>
                <c:pt idx="12">
                  <c:v>0.442</c:v>
                </c:pt>
                <c:pt idx="13">
                  <c:v>0.318</c:v>
                </c:pt>
                <c:pt idx="18">
                  <c:v>0.375</c:v>
                </c:pt>
                <c:pt idx="19">
                  <c:v>0.29199999999999998</c:v>
                </c:pt>
                <c:pt idx="21">
                  <c:v>0.33400000000000002</c:v>
                </c:pt>
                <c:pt idx="22">
                  <c:v>1.0049999999999999</c:v>
                </c:pt>
                <c:pt idx="23">
                  <c:v>0.78500000000000003</c:v>
                </c:pt>
                <c:pt idx="24">
                  <c:v>0.34499999999999997</c:v>
                </c:pt>
                <c:pt idx="25">
                  <c:v>0.93100000000000005</c:v>
                </c:pt>
                <c:pt idx="26">
                  <c:v>0.32700000000000001</c:v>
                </c:pt>
                <c:pt idx="27">
                  <c:v>0.39500000000000002</c:v>
                </c:pt>
                <c:pt idx="28">
                  <c:v>0.29199999999999998</c:v>
                </c:pt>
                <c:pt idx="29">
                  <c:v>1.2090000000000001</c:v>
                </c:pt>
                <c:pt idx="30">
                  <c:v>0.35</c:v>
                </c:pt>
                <c:pt idx="31">
                  <c:v>0.56499999999999995</c:v>
                </c:pt>
                <c:pt idx="32">
                  <c:v>0.34300000000000003</c:v>
                </c:pt>
                <c:pt idx="33">
                  <c:v>0.57399999999999995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70-4ADE-AB69-412F01AA96E2}"/>
            </c:ext>
          </c:extLst>
        </c:ser>
        <c:ser>
          <c:idx val="3"/>
          <c:order val="1"/>
          <c:tx>
            <c:strRef>
              <c:f>'Evolution coût pièce'!$E$1</c:f>
              <c:strCache>
                <c:ptCount val="1"/>
                <c:pt idx="0">
                  <c:v>Cible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'Evolution coût pièce'!$A$2:$A$139</c:f>
              <c:numCache>
                <c:formatCode>General</c:formatCode>
                <c:ptCount val="13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</c:numCache>
            </c:numRef>
          </c:xVal>
          <c:yVal>
            <c:numRef>
              <c:f>'Evolution coût pièce'!$E$2:$E$139</c:f>
              <c:numCache>
                <c:formatCode>General</c:formatCode>
                <c:ptCount val="138"/>
                <c:pt idx="0">
                  <c:v>0.32900000000000001</c:v>
                </c:pt>
                <c:pt idx="1">
                  <c:v>0.32900000000000001</c:v>
                </c:pt>
                <c:pt idx="2">
                  <c:v>0.32900000000000001</c:v>
                </c:pt>
                <c:pt idx="3">
                  <c:v>0.32900000000000001</c:v>
                </c:pt>
                <c:pt idx="4">
                  <c:v>0.32900000000000001</c:v>
                </c:pt>
                <c:pt idx="5">
                  <c:v>0.32900000000000001</c:v>
                </c:pt>
                <c:pt idx="6">
                  <c:v>0.32900000000000001</c:v>
                </c:pt>
                <c:pt idx="7">
                  <c:v>0.32900000000000001</c:v>
                </c:pt>
                <c:pt idx="8">
                  <c:v>0.32900000000000001</c:v>
                </c:pt>
                <c:pt idx="9">
                  <c:v>0.32900000000000001</c:v>
                </c:pt>
                <c:pt idx="10">
                  <c:v>0.32900000000000001</c:v>
                </c:pt>
                <c:pt idx="11">
                  <c:v>0.32900000000000001</c:v>
                </c:pt>
                <c:pt idx="12">
                  <c:v>0.32900000000000001</c:v>
                </c:pt>
                <c:pt idx="13">
                  <c:v>0.32900000000000001</c:v>
                </c:pt>
                <c:pt idx="14">
                  <c:v>0.32900000000000001</c:v>
                </c:pt>
                <c:pt idx="15">
                  <c:v>0.32900000000000001</c:v>
                </c:pt>
                <c:pt idx="16">
                  <c:v>0.32900000000000001</c:v>
                </c:pt>
                <c:pt idx="17">
                  <c:v>0.32900000000000001</c:v>
                </c:pt>
                <c:pt idx="18">
                  <c:v>0.32900000000000001</c:v>
                </c:pt>
                <c:pt idx="19">
                  <c:v>0.32900000000000001</c:v>
                </c:pt>
                <c:pt idx="20">
                  <c:v>0.32900000000000001</c:v>
                </c:pt>
                <c:pt idx="21">
                  <c:v>0.32900000000000001</c:v>
                </c:pt>
                <c:pt idx="22">
                  <c:v>0.32900000000000001</c:v>
                </c:pt>
                <c:pt idx="23">
                  <c:v>0.32900000000000001</c:v>
                </c:pt>
                <c:pt idx="24">
                  <c:v>0.32900000000000001</c:v>
                </c:pt>
                <c:pt idx="25">
                  <c:v>0.32900000000000001</c:v>
                </c:pt>
                <c:pt idx="26">
                  <c:v>0.32900000000000001</c:v>
                </c:pt>
                <c:pt idx="27">
                  <c:v>0.32900000000000001</c:v>
                </c:pt>
                <c:pt idx="28">
                  <c:v>0.32900000000000001</c:v>
                </c:pt>
                <c:pt idx="29">
                  <c:v>0.32900000000000001</c:v>
                </c:pt>
                <c:pt idx="30">
                  <c:v>0.32900000000000001</c:v>
                </c:pt>
                <c:pt idx="31">
                  <c:v>0.32900000000000001</c:v>
                </c:pt>
                <c:pt idx="32">
                  <c:v>0.32900000000000001</c:v>
                </c:pt>
                <c:pt idx="33">
                  <c:v>0.32900000000000001</c:v>
                </c:pt>
                <c:pt idx="34">
                  <c:v>0.32900000000000001</c:v>
                </c:pt>
                <c:pt idx="35">
                  <c:v>0.32900000000000001</c:v>
                </c:pt>
                <c:pt idx="36">
                  <c:v>0.32900000000000001</c:v>
                </c:pt>
                <c:pt idx="37">
                  <c:v>0.32900000000000001</c:v>
                </c:pt>
                <c:pt idx="38">
                  <c:v>0.32900000000000001</c:v>
                </c:pt>
                <c:pt idx="39">
                  <c:v>0.32900000000000001</c:v>
                </c:pt>
                <c:pt idx="40">
                  <c:v>0.32900000000000001</c:v>
                </c:pt>
                <c:pt idx="41">
                  <c:v>0.32900000000000001</c:v>
                </c:pt>
                <c:pt idx="42">
                  <c:v>0.32900000000000001</c:v>
                </c:pt>
                <c:pt idx="43">
                  <c:v>0.32900000000000001</c:v>
                </c:pt>
                <c:pt idx="44">
                  <c:v>0.32900000000000001</c:v>
                </c:pt>
                <c:pt idx="45">
                  <c:v>0.32900000000000001</c:v>
                </c:pt>
                <c:pt idx="46">
                  <c:v>0.32900000000000001</c:v>
                </c:pt>
                <c:pt idx="47">
                  <c:v>0.32900000000000001</c:v>
                </c:pt>
                <c:pt idx="48">
                  <c:v>0.32900000000000001</c:v>
                </c:pt>
                <c:pt idx="49">
                  <c:v>0.32900000000000001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70-4ADE-AB69-412F01AA9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643720"/>
        <c:axId val="739641560"/>
      </c:scatterChart>
      <c:valAx>
        <c:axId val="739643720"/>
        <c:scaling>
          <c:orientation val="minMax"/>
          <c:max val="52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9641560"/>
        <c:crosses val="autoZero"/>
        <c:crossBetween val="midCat"/>
        <c:majorUnit val="1"/>
      </c:valAx>
      <c:valAx>
        <c:axId val="739641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9643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Coût pièce DV 304x28 RPE PCI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'Evolution coût pièce'!$H$1</c:f>
              <c:strCache>
                <c:ptCount val="1"/>
                <c:pt idx="0">
                  <c:v>PCI 5 304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11"/>
              <c:layout>
                <c:manualLayout>
                  <c:x val="2.7713059983417282E-3"/>
                  <c:y val="-7.9998321943270563E-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19-4F55-98C9-9C5CEBB2C22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'Evolution coût pièce'!$A$2:$A$139</c:f>
              <c:numCache>
                <c:formatCode>General</c:formatCode>
                <c:ptCount val="13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</c:numCache>
            </c:numRef>
          </c:xVal>
          <c:yVal>
            <c:numRef>
              <c:f>'Evolution coût pièce'!$H$2:$H$139</c:f>
              <c:numCache>
                <c:formatCode>General</c:formatCode>
                <c:ptCount val="138"/>
                <c:pt idx="0">
                  <c:v>0.28199999999999997</c:v>
                </c:pt>
                <c:pt idx="1">
                  <c:v>0.38500000000000001</c:v>
                </c:pt>
                <c:pt idx="2">
                  <c:v>0.39900000000000002</c:v>
                </c:pt>
                <c:pt idx="3">
                  <c:v>0.371</c:v>
                </c:pt>
                <c:pt idx="4">
                  <c:v>0.38800000000000001</c:v>
                </c:pt>
                <c:pt idx="5">
                  <c:v>0.41599999999999998</c:v>
                </c:pt>
                <c:pt idx="6">
                  <c:v>0.34599999999999997</c:v>
                </c:pt>
                <c:pt idx="7">
                  <c:v>0.28199999999999997</c:v>
                </c:pt>
                <c:pt idx="8">
                  <c:v>0.58499999999999996</c:v>
                </c:pt>
                <c:pt idx="9">
                  <c:v>0.53800000000000003</c:v>
                </c:pt>
                <c:pt idx="11">
                  <c:v>0.41199999999999998</c:v>
                </c:pt>
                <c:pt idx="12">
                  <c:v>0.35299999999999998</c:v>
                </c:pt>
                <c:pt idx="13">
                  <c:v>0.372</c:v>
                </c:pt>
                <c:pt idx="14">
                  <c:v>0.35499999999999998</c:v>
                </c:pt>
                <c:pt idx="15">
                  <c:v>0.51500000000000001</c:v>
                </c:pt>
                <c:pt idx="16">
                  <c:v>0.42399999999999999</c:v>
                </c:pt>
                <c:pt idx="17">
                  <c:v>0.435</c:v>
                </c:pt>
                <c:pt idx="18">
                  <c:v>0.42399999999999999</c:v>
                </c:pt>
                <c:pt idx="19">
                  <c:v>0.27300000000000002</c:v>
                </c:pt>
                <c:pt idx="20">
                  <c:v>0.379</c:v>
                </c:pt>
                <c:pt idx="21">
                  <c:v>0.44800000000000001</c:v>
                </c:pt>
                <c:pt idx="22">
                  <c:v>0.34100000000000003</c:v>
                </c:pt>
                <c:pt idx="23">
                  <c:v>0.377</c:v>
                </c:pt>
                <c:pt idx="24">
                  <c:v>0.20799999999999999</c:v>
                </c:pt>
                <c:pt idx="25">
                  <c:v>0.48399999999999999</c:v>
                </c:pt>
                <c:pt idx="26">
                  <c:v>0.39100000000000001</c:v>
                </c:pt>
                <c:pt idx="27">
                  <c:v>0.34200000000000003</c:v>
                </c:pt>
                <c:pt idx="28">
                  <c:v>1.17</c:v>
                </c:pt>
                <c:pt idx="29">
                  <c:v>0.38300000000000001</c:v>
                </c:pt>
                <c:pt idx="30">
                  <c:v>0.17899999999999999</c:v>
                </c:pt>
                <c:pt idx="31">
                  <c:v>0.36299999999999999</c:v>
                </c:pt>
                <c:pt idx="32">
                  <c:v>0.51100000000000001</c:v>
                </c:pt>
                <c:pt idx="33">
                  <c:v>0.59199999999999997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98-44C3-A014-DAFA649E9D29}"/>
            </c:ext>
          </c:extLst>
        </c:ser>
        <c:ser>
          <c:idx val="3"/>
          <c:order val="1"/>
          <c:tx>
            <c:strRef>
              <c:f>'Evolution coût pièce'!$I$1</c:f>
              <c:strCache>
                <c:ptCount val="1"/>
                <c:pt idx="0">
                  <c:v>Cible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'Evolution coût pièce'!$A$2:$A$139</c:f>
              <c:numCache>
                <c:formatCode>General</c:formatCode>
                <c:ptCount val="13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</c:numCache>
            </c:numRef>
          </c:xVal>
          <c:yVal>
            <c:numRef>
              <c:f>'Evolution coût pièce'!$I$2:$I$139</c:f>
              <c:numCache>
                <c:formatCode>General</c:formatCode>
                <c:ptCount val="138"/>
                <c:pt idx="0">
                  <c:v>0.33800000000000002</c:v>
                </c:pt>
                <c:pt idx="1">
                  <c:v>0.33800000000000002</c:v>
                </c:pt>
                <c:pt idx="2">
                  <c:v>0.33800000000000002</c:v>
                </c:pt>
                <c:pt idx="3">
                  <c:v>0.33800000000000002</c:v>
                </c:pt>
                <c:pt idx="4">
                  <c:v>0.33800000000000002</c:v>
                </c:pt>
                <c:pt idx="5">
                  <c:v>0.33800000000000002</c:v>
                </c:pt>
                <c:pt idx="6">
                  <c:v>0.33800000000000002</c:v>
                </c:pt>
                <c:pt idx="7">
                  <c:v>0.33800000000000002</c:v>
                </c:pt>
                <c:pt idx="8">
                  <c:v>0.33800000000000002</c:v>
                </c:pt>
                <c:pt idx="9">
                  <c:v>0.33800000000000002</c:v>
                </c:pt>
                <c:pt idx="10">
                  <c:v>0.33800000000000002</c:v>
                </c:pt>
                <c:pt idx="11">
                  <c:v>0.33800000000000002</c:v>
                </c:pt>
                <c:pt idx="12">
                  <c:v>0.33800000000000002</c:v>
                </c:pt>
                <c:pt idx="13">
                  <c:v>0.33800000000000002</c:v>
                </c:pt>
                <c:pt idx="14">
                  <c:v>0.33800000000000002</c:v>
                </c:pt>
                <c:pt idx="15">
                  <c:v>0.33800000000000002</c:v>
                </c:pt>
                <c:pt idx="16">
                  <c:v>0.33800000000000002</c:v>
                </c:pt>
                <c:pt idx="17">
                  <c:v>0.33800000000000002</c:v>
                </c:pt>
                <c:pt idx="18">
                  <c:v>0.33800000000000002</c:v>
                </c:pt>
                <c:pt idx="19">
                  <c:v>0.33800000000000002</c:v>
                </c:pt>
                <c:pt idx="20">
                  <c:v>0.33800000000000002</c:v>
                </c:pt>
                <c:pt idx="21">
                  <c:v>0.33800000000000002</c:v>
                </c:pt>
                <c:pt idx="22">
                  <c:v>0.33800000000000002</c:v>
                </c:pt>
                <c:pt idx="23">
                  <c:v>0.33800000000000002</c:v>
                </c:pt>
                <c:pt idx="24">
                  <c:v>0.33800000000000002</c:v>
                </c:pt>
                <c:pt idx="25">
                  <c:v>0.33800000000000002</c:v>
                </c:pt>
                <c:pt idx="26">
                  <c:v>0.33800000000000002</c:v>
                </c:pt>
                <c:pt idx="27">
                  <c:v>0.33800000000000002</c:v>
                </c:pt>
                <c:pt idx="28">
                  <c:v>0.33800000000000002</c:v>
                </c:pt>
                <c:pt idx="29">
                  <c:v>0.33800000000000002</c:v>
                </c:pt>
                <c:pt idx="30">
                  <c:v>0.33800000000000002</c:v>
                </c:pt>
                <c:pt idx="31">
                  <c:v>0.33800000000000002</c:v>
                </c:pt>
                <c:pt idx="32">
                  <c:v>0.33800000000000002</c:v>
                </c:pt>
                <c:pt idx="33">
                  <c:v>0.33800000000000002</c:v>
                </c:pt>
                <c:pt idx="34">
                  <c:v>0.33800000000000002</c:v>
                </c:pt>
                <c:pt idx="35">
                  <c:v>0.33800000000000002</c:v>
                </c:pt>
                <c:pt idx="36">
                  <c:v>0.33800000000000002</c:v>
                </c:pt>
                <c:pt idx="37">
                  <c:v>0.33800000000000002</c:v>
                </c:pt>
                <c:pt idx="38">
                  <c:v>0.33800000000000002</c:v>
                </c:pt>
                <c:pt idx="39">
                  <c:v>0.33800000000000002</c:v>
                </c:pt>
                <c:pt idx="40">
                  <c:v>0.33800000000000002</c:v>
                </c:pt>
                <c:pt idx="41">
                  <c:v>0.33800000000000002</c:v>
                </c:pt>
                <c:pt idx="42">
                  <c:v>0.33800000000000002</c:v>
                </c:pt>
                <c:pt idx="43">
                  <c:v>0.33800000000000002</c:v>
                </c:pt>
                <c:pt idx="44">
                  <c:v>0.33800000000000002</c:v>
                </c:pt>
                <c:pt idx="45">
                  <c:v>0.33800000000000002</c:v>
                </c:pt>
                <c:pt idx="46">
                  <c:v>0.33800000000000002</c:v>
                </c:pt>
                <c:pt idx="47">
                  <c:v>0.33800000000000002</c:v>
                </c:pt>
                <c:pt idx="48">
                  <c:v>0.33800000000000002</c:v>
                </c:pt>
                <c:pt idx="49">
                  <c:v>0.33800000000000002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98-44C3-A014-DAFA649E9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643720"/>
        <c:axId val="739641560"/>
      </c:scatterChart>
      <c:valAx>
        <c:axId val="739643720"/>
        <c:scaling>
          <c:orientation val="minMax"/>
          <c:max val="52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9641560"/>
        <c:crosses val="autoZero"/>
        <c:crossBetween val="midCat"/>
        <c:majorUnit val="1"/>
      </c:valAx>
      <c:valAx>
        <c:axId val="739641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9643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Coût pièce DP 268x12 PCI 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'Evolution coût pièce'!$J$1</c:f>
              <c:strCache>
                <c:ptCount val="1"/>
                <c:pt idx="0">
                  <c:v>PCI 5 268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1.485954493663132E-2"/>
                  <c:y val="-0.21982922234706559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78-4A3B-943F-C4A7D2153A34}"/>
                </c:ext>
              </c:extLst>
            </c:dLbl>
            <c:dLbl>
              <c:idx val="36"/>
              <c:layout>
                <c:manualLayout>
                  <c:x val="-7.8599793669697673E-2"/>
                  <c:y val="-1.779819795637756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9BD-4170-A297-A185325BC69C}"/>
                </c:ext>
              </c:extLst>
            </c:dLbl>
            <c:dLbl>
              <c:idx val="37"/>
              <c:layout>
                <c:manualLayout>
                  <c:x val="-3.6817734293807011E-2"/>
                  <c:y val="3.404889292937849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C43-456A-9E56-76EF457BCFB9}"/>
                </c:ext>
              </c:extLst>
            </c:dLbl>
            <c:dLbl>
              <c:idx val="38"/>
              <c:layout>
                <c:manualLayout>
                  <c:x val="-5.6609236103439424E-2"/>
                  <c:y val="-3.40004138581763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43-456A-9E56-76EF457BCFB9}"/>
                </c:ext>
              </c:extLst>
            </c:dLbl>
            <c:dLbl>
              <c:idx val="39"/>
              <c:layout>
                <c:manualLayout>
                  <c:x val="1.1819491806872343E-3"/>
                  <c:y val="-4.04813002188957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43-456A-9E56-76EF457BCFB9}"/>
                </c:ext>
              </c:extLst>
            </c:dLbl>
            <c:dLbl>
              <c:idx val="40"/>
              <c:layout>
                <c:manualLayout>
                  <c:x val="-7.6142738458162239E-3"/>
                  <c:y val="-3.400041385817632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43-456A-9E56-76EF457BCF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'Evolution coût pièce'!$A$2:$A$139</c:f>
              <c:numCache>
                <c:formatCode>General</c:formatCode>
                <c:ptCount val="13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</c:numCache>
            </c:numRef>
          </c:xVal>
          <c:yVal>
            <c:numRef>
              <c:f>'Evolution coût pièce'!$J$2:$J$139</c:f>
              <c:numCache>
                <c:formatCode>General</c:formatCode>
                <c:ptCount val="138"/>
                <c:pt idx="0">
                  <c:v>0</c:v>
                </c:pt>
                <c:pt idx="2">
                  <c:v>0.22600000000000001</c:v>
                </c:pt>
                <c:pt idx="9">
                  <c:v>0.14399999999999999</c:v>
                </c:pt>
                <c:pt idx="10">
                  <c:v>0.25</c:v>
                </c:pt>
                <c:pt idx="11">
                  <c:v>0.32300000000000001</c:v>
                </c:pt>
                <c:pt idx="12">
                  <c:v>0.16500000000000001</c:v>
                </c:pt>
                <c:pt idx="13">
                  <c:v>0.254</c:v>
                </c:pt>
                <c:pt idx="24">
                  <c:v>0.26300000000000001</c:v>
                </c:pt>
                <c:pt idx="28">
                  <c:v>0.13700000000000001</c:v>
                </c:pt>
                <c:pt idx="29">
                  <c:v>0.18099999999999999</c:v>
                </c:pt>
                <c:pt idx="31">
                  <c:v>0.151</c:v>
                </c:pt>
                <c:pt idx="32">
                  <c:v>0.23200000000000001</c:v>
                </c:pt>
                <c:pt idx="33">
                  <c:v>0.159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78-4A3B-943F-C4A7D2153A34}"/>
            </c:ext>
          </c:extLst>
        </c:ser>
        <c:ser>
          <c:idx val="3"/>
          <c:order val="1"/>
          <c:tx>
            <c:strRef>
              <c:f>'Evolution coût pièce'!$K$1</c:f>
              <c:strCache>
                <c:ptCount val="1"/>
                <c:pt idx="0">
                  <c:v>Cible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'Evolution coût pièce'!$A$2:$A$139</c:f>
              <c:numCache>
                <c:formatCode>General</c:formatCode>
                <c:ptCount val="13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</c:numCache>
            </c:numRef>
          </c:xVal>
          <c:yVal>
            <c:numRef>
              <c:f>'Evolution coût pièce'!$K$2:$K$139</c:f>
              <c:numCache>
                <c:formatCode>General</c:formatCode>
                <c:ptCount val="138"/>
                <c:pt idx="0">
                  <c:v>0.216</c:v>
                </c:pt>
                <c:pt idx="1">
                  <c:v>0.216</c:v>
                </c:pt>
                <c:pt idx="2">
                  <c:v>0.216</c:v>
                </c:pt>
                <c:pt idx="3">
                  <c:v>0.216</c:v>
                </c:pt>
                <c:pt idx="4">
                  <c:v>0.216</c:v>
                </c:pt>
                <c:pt idx="5">
                  <c:v>0.216</c:v>
                </c:pt>
                <c:pt idx="6">
                  <c:v>0.216</c:v>
                </c:pt>
                <c:pt idx="7">
                  <c:v>0.216</c:v>
                </c:pt>
                <c:pt idx="8">
                  <c:v>0.216</c:v>
                </c:pt>
                <c:pt idx="9">
                  <c:v>0.216</c:v>
                </c:pt>
                <c:pt idx="10">
                  <c:v>0.216</c:v>
                </c:pt>
                <c:pt idx="11">
                  <c:v>0.216</c:v>
                </c:pt>
                <c:pt idx="12">
                  <c:v>0.216</c:v>
                </c:pt>
                <c:pt idx="13">
                  <c:v>0.216</c:v>
                </c:pt>
                <c:pt idx="14">
                  <c:v>0.216</c:v>
                </c:pt>
                <c:pt idx="15">
                  <c:v>0.216</c:v>
                </c:pt>
                <c:pt idx="16">
                  <c:v>0.216</c:v>
                </c:pt>
                <c:pt idx="17">
                  <c:v>0.216</c:v>
                </c:pt>
                <c:pt idx="18">
                  <c:v>0.216</c:v>
                </c:pt>
                <c:pt idx="19">
                  <c:v>0.216</c:v>
                </c:pt>
                <c:pt idx="20">
                  <c:v>0.216</c:v>
                </c:pt>
                <c:pt idx="21">
                  <c:v>0.216</c:v>
                </c:pt>
                <c:pt idx="22">
                  <c:v>0.216</c:v>
                </c:pt>
                <c:pt idx="23">
                  <c:v>0.216</c:v>
                </c:pt>
                <c:pt idx="24">
                  <c:v>0.216</c:v>
                </c:pt>
                <c:pt idx="25">
                  <c:v>0.216</c:v>
                </c:pt>
                <c:pt idx="26">
                  <c:v>0.216</c:v>
                </c:pt>
                <c:pt idx="27">
                  <c:v>0.216</c:v>
                </c:pt>
                <c:pt idx="28">
                  <c:v>0.216</c:v>
                </c:pt>
                <c:pt idx="29">
                  <c:v>0.216</c:v>
                </c:pt>
                <c:pt idx="30">
                  <c:v>0.216</c:v>
                </c:pt>
                <c:pt idx="31">
                  <c:v>0.216</c:v>
                </c:pt>
                <c:pt idx="32">
                  <c:v>0.216</c:v>
                </c:pt>
                <c:pt idx="33">
                  <c:v>0.216</c:v>
                </c:pt>
                <c:pt idx="34">
                  <c:v>0.216</c:v>
                </c:pt>
                <c:pt idx="35">
                  <c:v>0.216</c:v>
                </c:pt>
                <c:pt idx="36">
                  <c:v>0.216</c:v>
                </c:pt>
                <c:pt idx="37">
                  <c:v>0.216</c:v>
                </c:pt>
                <c:pt idx="38">
                  <c:v>0.216</c:v>
                </c:pt>
                <c:pt idx="39">
                  <c:v>0.216</c:v>
                </c:pt>
                <c:pt idx="40">
                  <c:v>0.216</c:v>
                </c:pt>
                <c:pt idx="41">
                  <c:v>0.216</c:v>
                </c:pt>
                <c:pt idx="42">
                  <c:v>0.216</c:v>
                </c:pt>
                <c:pt idx="43">
                  <c:v>0.216</c:v>
                </c:pt>
                <c:pt idx="44">
                  <c:v>0.216</c:v>
                </c:pt>
                <c:pt idx="45">
                  <c:v>0.216</c:v>
                </c:pt>
                <c:pt idx="46">
                  <c:v>0.216</c:v>
                </c:pt>
                <c:pt idx="47">
                  <c:v>0.216</c:v>
                </c:pt>
                <c:pt idx="48">
                  <c:v>0.216</c:v>
                </c:pt>
                <c:pt idx="49">
                  <c:v>0.216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778-4A3B-943F-C4A7D2153A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643720"/>
        <c:axId val="739641560"/>
      </c:scatterChart>
      <c:valAx>
        <c:axId val="739643720"/>
        <c:scaling>
          <c:orientation val="minMax"/>
          <c:max val="52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9641560"/>
        <c:crosses val="autoZero"/>
        <c:crossBetween val="midCat"/>
        <c:majorUnit val="1"/>
      </c:valAx>
      <c:valAx>
        <c:axId val="739641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9643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Coût pièce DP 268x12 PCI 4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'Evolution coût pièce'!$F$1</c:f>
              <c:strCache>
                <c:ptCount val="1"/>
                <c:pt idx="0">
                  <c:v>PCI 4 268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75000"/>
                  <a:alpha val="0"/>
                </a:schemeClr>
              </a:solidFill>
              <a:ln w="9525">
                <a:solidFill>
                  <a:srgbClr val="7030A0"/>
                </a:solidFill>
              </a:ln>
              <a:effectLst/>
            </c:spPr>
          </c:marker>
          <c:dPt>
            <c:idx val="1"/>
            <c:marker>
              <c:symbol val="circle"/>
              <c:size val="5"/>
              <c:spPr>
                <a:solidFill>
                  <a:schemeClr val="accent2">
                    <a:lumMod val="75000"/>
                    <a:alpha val="0"/>
                  </a:schemeClr>
                </a:solidFill>
                <a:ln w="9525">
                  <a:solidFill>
                    <a:srgbClr val="7030A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7BFC-449D-804E-C14AF3CCA63F}"/>
              </c:ext>
            </c:extLst>
          </c:dPt>
          <c:dPt>
            <c:idx val="10"/>
            <c:marker>
              <c:symbol val="circle"/>
              <c:size val="5"/>
              <c:spPr>
                <a:solidFill>
                  <a:schemeClr val="accent2">
                    <a:lumMod val="75000"/>
                    <a:alpha val="0"/>
                  </a:schemeClr>
                </a:solidFill>
                <a:ln w="9525">
                  <a:solidFill>
                    <a:srgbClr val="7030A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7EEA-42AE-BEF5-F2026EB36AC8}"/>
              </c:ext>
            </c:extLst>
          </c:dPt>
          <c:dPt>
            <c:idx val="12"/>
            <c:marker>
              <c:symbol val="circle"/>
              <c:size val="5"/>
              <c:spPr>
                <a:solidFill>
                  <a:schemeClr val="accent2">
                    <a:lumMod val="75000"/>
                    <a:alpha val="0"/>
                  </a:schemeClr>
                </a:solidFill>
                <a:ln w="9525">
                  <a:solidFill>
                    <a:srgbClr val="7030A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7EEA-42AE-BEF5-F2026EB36AC8}"/>
              </c:ext>
            </c:extLst>
          </c:dPt>
          <c:dLbls>
            <c:dLbl>
              <c:idx val="1"/>
              <c:layout>
                <c:manualLayout>
                  <c:x val="1.3790587832699864E-2"/>
                  <c:y val="-7.860962891190656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BFC-449D-804E-C14AF3CCA63F}"/>
                </c:ext>
              </c:extLst>
            </c:dLbl>
            <c:dLbl>
              <c:idx val="38"/>
              <c:layout>
                <c:manualLayout>
                  <c:x val="4.4322492745224309E-3"/>
                  <c:y val="-9.3806734409644071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EA-42AE-BEF5-F2026EB36AC8}"/>
                </c:ext>
              </c:extLst>
            </c:dLbl>
            <c:dLbl>
              <c:idx val="39"/>
              <c:layout>
                <c:manualLayout>
                  <c:x val="-5.3845567572940803E-3"/>
                  <c:y val="-4.609629694375202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299-4991-9A54-51480A344887}"/>
                </c:ext>
              </c:extLst>
            </c:dLbl>
            <c:dLbl>
              <c:idx val="40"/>
              <c:layout>
                <c:manualLayout>
                  <c:x val="-4.4651780884560698E-2"/>
                  <c:y val="4.9324577988032067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299-4991-9A54-51480A3448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'Evolution coût pièce'!$A$2:$A$139</c:f>
              <c:numCache>
                <c:formatCode>General</c:formatCode>
                <c:ptCount val="13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</c:numCache>
            </c:numRef>
          </c:xVal>
          <c:yVal>
            <c:numRef>
              <c:f>'Evolution coût pièce'!$F$2:$F$139</c:f>
              <c:numCache>
                <c:formatCode>General</c:formatCode>
                <c:ptCount val="138"/>
                <c:pt idx="1">
                  <c:v>0.16400000000000001</c:v>
                </c:pt>
                <c:pt idx="2">
                  <c:v>0.224</c:v>
                </c:pt>
                <c:pt idx="3">
                  <c:v>0.20499999999999999</c:v>
                </c:pt>
                <c:pt idx="4">
                  <c:v>0.16600000000000001</c:v>
                </c:pt>
                <c:pt idx="5">
                  <c:v>0.21199999999999999</c:v>
                </c:pt>
                <c:pt idx="6">
                  <c:v>0.3</c:v>
                </c:pt>
                <c:pt idx="7">
                  <c:v>0.35699999999999998</c:v>
                </c:pt>
                <c:pt idx="8">
                  <c:v>0.219</c:v>
                </c:pt>
                <c:pt idx="9">
                  <c:v>0.26300000000000001</c:v>
                </c:pt>
                <c:pt idx="10">
                  <c:v>0.33900000000000002</c:v>
                </c:pt>
                <c:pt idx="11">
                  <c:v>0.316</c:v>
                </c:pt>
                <c:pt idx="12">
                  <c:v>0.34899999999999998</c:v>
                </c:pt>
                <c:pt idx="13">
                  <c:v>0.21299999999999999</c:v>
                </c:pt>
                <c:pt idx="14">
                  <c:v>0.19400000000000001</c:v>
                </c:pt>
                <c:pt idx="15">
                  <c:v>0.19</c:v>
                </c:pt>
                <c:pt idx="16">
                  <c:v>0.223</c:v>
                </c:pt>
                <c:pt idx="17">
                  <c:v>0.253</c:v>
                </c:pt>
                <c:pt idx="18">
                  <c:v>0.151</c:v>
                </c:pt>
                <c:pt idx="19">
                  <c:v>0.214</c:v>
                </c:pt>
                <c:pt idx="20">
                  <c:v>0.30099999999999999</c:v>
                </c:pt>
                <c:pt idx="21">
                  <c:v>0.25</c:v>
                </c:pt>
                <c:pt idx="22">
                  <c:v>0.27500000000000002</c:v>
                </c:pt>
                <c:pt idx="23">
                  <c:v>0.30299999999999999</c:v>
                </c:pt>
                <c:pt idx="24">
                  <c:v>0.17299999999999999</c:v>
                </c:pt>
                <c:pt idx="25">
                  <c:v>0.216</c:v>
                </c:pt>
                <c:pt idx="26">
                  <c:v>0.18</c:v>
                </c:pt>
                <c:pt idx="27">
                  <c:v>0.20300000000000001</c:v>
                </c:pt>
                <c:pt idx="28">
                  <c:v>0.20699999999999999</c:v>
                </c:pt>
                <c:pt idx="29">
                  <c:v>0.20200000000000001</c:v>
                </c:pt>
                <c:pt idx="30">
                  <c:v>0.29099999999999998</c:v>
                </c:pt>
                <c:pt idx="31">
                  <c:v>0.126</c:v>
                </c:pt>
                <c:pt idx="32">
                  <c:v>0.191</c:v>
                </c:pt>
                <c:pt idx="33">
                  <c:v>0.21199999999999999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BFC-449D-804E-C14AF3CCA63F}"/>
            </c:ext>
          </c:extLst>
        </c:ser>
        <c:ser>
          <c:idx val="3"/>
          <c:order val="1"/>
          <c:tx>
            <c:strRef>
              <c:f>'Evolution coût pièce'!$G$1</c:f>
              <c:strCache>
                <c:ptCount val="1"/>
                <c:pt idx="0">
                  <c:v>Cible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'Evolution coût pièce'!$A$2:$A$139</c:f>
              <c:numCache>
                <c:formatCode>General</c:formatCode>
                <c:ptCount val="13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26</c:v>
                </c:pt>
                <c:pt idx="24">
                  <c:v>27</c:v>
                </c:pt>
                <c:pt idx="25">
                  <c:v>28</c:v>
                </c:pt>
                <c:pt idx="26">
                  <c:v>29</c:v>
                </c:pt>
                <c:pt idx="27">
                  <c:v>30</c:v>
                </c:pt>
                <c:pt idx="28">
                  <c:v>35</c:v>
                </c:pt>
                <c:pt idx="29">
                  <c:v>36</c:v>
                </c:pt>
                <c:pt idx="30">
                  <c:v>37</c:v>
                </c:pt>
                <c:pt idx="31">
                  <c:v>38</c:v>
                </c:pt>
                <c:pt idx="32">
                  <c:v>39</c:v>
                </c:pt>
                <c:pt idx="33">
                  <c:v>40</c:v>
                </c:pt>
                <c:pt idx="34">
                  <c:v>41</c:v>
                </c:pt>
                <c:pt idx="35">
                  <c:v>42</c:v>
                </c:pt>
                <c:pt idx="36">
                  <c:v>43</c:v>
                </c:pt>
                <c:pt idx="37">
                  <c:v>44</c:v>
                </c:pt>
                <c:pt idx="38">
                  <c:v>45</c:v>
                </c:pt>
                <c:pt idx="39">
                  <c:v>46</c:v>
                </c:pt>
                <c:pt idx="40">
                  <c:v>47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</c:numCache>
            </c:numRef>
          </c:xVal>
          <c:yVal>
            <c:numRef>
              <c:f>'Evolution coût pièce'!$G$2:$G$139</c:f>
              <c:numCache>
                <c:formatCode>General</c:formatCode>
                <c:ptCount val="138"/>
                <c:pt idx="0">
                  <c:v>0.216</c:v>
                </c:pt>
                <c:pt idx="1">
                  <c:v>0.216</c:v>
                </c:pt>
                <c:pt idx="2">
                  <c:v>0.216</c:v>
                </c:pt>
                <c:pt idx="3">
                  <c:v>0.216</c:v>
                </c:pt>
                <c:pt idx="4">
                  <c:v>0.216</c:v>
                </c:pt>
                <c:pt idx="5">
                  <c:v>0.216</c:v>
                </c:pt>
                <c:pt idx="6">
                  <c:v>0.216</c:v>
                </c:pt>
                <c:pt idx="7">
                  <c:v>0.216</c:v>
                </c:pt>
                <c:pt idx="8">
                  <c:v>0.216</c:v>
                </c:pt>
                <c:pt idx="9">
                  <c:v>0.216</c:v>
                </c:pt>
                <c:pt idx="10">
                  <c:v>0.216</c:v>
                </c:pt>
                <c:pt idx="11">
                  <c:v>0.216</c:v>
                </c:pt>
                <c:pt idx="12">
                  <c:v>0.216</c:v>
                </c:pt>
                <c:pt idx="13">
                  <c:v>0.216</c:v>
                </c:pt>
                <c:pt idx="14">
                  <c:v>0.216</c:v>
                </c:pt>
                <c:pt idx="15">
                  <c:v>0.216</c:v>
                </c:pt>
                <c:pt idx="16">
                  <c:v>0.216</c:v>
                </c:pt>
                <c:pt idx="17">
                  <c:v>0.216</c:v>
                </c:pt>
                <c:pt idx="18">
                  <c:v>0.216</c:v>
                </c:pt>
                <c:pt idx="19">
                  <c:v>0.216</c:v>
                </c:pt>
                <c:pt idx="20">
                  <c:v>0.216</c:v>
                </c:pt>
                <c:pt idx="21">
                  <c:v>0.216</c:v>
                </c:pt>
                <c:pt idx="22">
                  <c:v>0.216</c:v>
                </c:pt>
                <c:pt idx="23">
                  <c:v>0.216</c:v>
                </c:pt>
                <c:pt idx="24">
                  <c:v>0.216</c:v>
                </c:pt>
                <c:pt idx="25">
                  <c:v>0.216</c:v>
                </c:pt>
                <c:pt idx="26">
                  <c:v>0.216</c:v>
                </c:pt>
                <c:pt idx="27">
                  <c:v>0.216</c:v>
                </c:pt>
                <c:pt idx="28">
                  <c:v>0.216</c:v>
                </c:pt>
                <c:pt idx="29">
                  <c:v>0.216</c:v>
                </c:pt>
                <c:pt idx="30">
                  <c:v>0.216</c:v>
                </c:pt>
                <c:pt idx="31">
                  <c:v>0.216</c:v>
                </c:pt>
                <c:pt idx="32">
                  <c:v>0.216</c:v>
                </c:pt>
                <c:pt idx="33">
                  <c:v>0.216</c:v>
                </c:pt>
                <c:pt idx="34">
                  <c:v>0.216</c:v>
                </c:pt>
                <c:pt idx="35">
                  <c:v>0.216</c:v>
                </c:pt>
                <c:pt idx="36">
                  <c:v>0.216</c:v>
                </c:pt>
                <c:pt idx="37">
                  <c:v>0.216</c:v>
                </c:pt>
                <c:pt idx="38">
                  <c:v>0.216</c:v>
                </c:pt>
                <c:pt idx="39">
                  <c:v>0.216</c:v>
                </c:pt>
                <c:pt idx="40">
                  <c:v>0.216</c:v>
                </c:pt>
                <c:pt idx="41">
                  <c:v>0.216</c:v>
                </c:pt>
                <c:pt idx="42">
                  <c:v>0.216</c:v>
                </c:pt>
                <c:pt idx="43">
                  <c:v>0.216</c:v>
                </c:pt>
                <c:pt idx="44">
                  <c:v>0.216</c:v>
                </c:pt>
                <c:pt idx="45">
                  <c:v>0.216</c:v>
                </c:pt>
                <c:pt idx="46">
                  <c:v>0.216</c:v>
                </c:pt>
                <c:pt idx="47">
                  <c:v>0.216</c:v>
                </c:pt>
                <c:pt idx="48">
                  <c:v>0.216</c:v>
                </c:pt>
                <c:pt idx="49">
                  <c:v>0.216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BFC-449D-804E-C14AF3CCA6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9643720"/>
        <c:axId val="739641560"/>
      </c:scatterChart>
      <c:valAx>
        <c:axId val="739643720"/>
        <c:scaling>
          <c:orientation val="minMax"/>
          <c:max val="52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9641560"/>
        <c:crosses val="autoZero"/>
        <c:crossBetween val="midCat"/>
        <c:majorUnit val="1"/>
      </c:valAx>
      <c:valAx>
        <c:axId val="739641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9643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723900</xdr:colOff>
      <xdr:row>1</xdr:row>
      <xdr:rowOff>114301</xdr:rowOff>
    </xdr:from>
    <xdr:to>
      <xdr:col>15</xdr:col>
      <xdr:colOff>723900</xdr:colOff>
      <xdr:row>41</xdr:row>
      <xdr:rowOff>136071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742949</xdr:colOff>
      <xdr:row>2</xdr:row>
      <xdr:rowOff>66676</xdr:rowOff>
    </xdr:from>
    <xdr:to>
      <xdr:col>17</xdr:col>
      <xdr:colOff>28574</xdr:colOff>
      <xdr:row>33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723899</xdr:colOff>
      <xdr:row>0</xdr:row>
      <xdr:rowOff>56029</xdr:rowOff>
    </xdr:from>
    <xdr:to>
      <xdr:col>17</xdr:col>
      <xdr:colOff>134470</xdr:colOff>
      <xdr:row>39</xdr:row>
      <xdr:rowOff>156882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714375</xdr:colOff>
      <xdr:row>2</xdr:row>
      <xdr:rowOff>33058</xdr:rowOff>
    </xdr:from>
    <xdr:to>
      <xdr:col>15</xdr:col>
      <xdr:colOff>714375</xdr:colOff>
      <xdr:row>33</xdr:row>
      <xdr:rowOff>4482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1</xdr:row>
      <xdr:rowOff>0</xdr:rowOff>
    </xdr:from>
    <xdr:to>
      <xdr:col>16</xdr:col>
      <xdr:colOff>0</xdr:colOff>
      <xdr:row>29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209550</xdr:colOff>
      <xdr:row>0</xdr:row>
      <xdr:rowOff>190499</xdr:rowOff>
    </xdr:from>
    <xdr:to>
      <xdr:col>17</xdr:col>
      <xdr:colOff>295274</xdr:colOff>
      <xdr:row>31</xdr:row>
      <xdr:rowOff>28574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177039</xdr:rowOff>
    </xdr:from>
    <xdr:to>
      <xdr:col>11</xdr:col>
      <xdr:colOff>695011</xdr:colOff>
      <xdr:row>45</xdr:row>
      <xdr:rowOff>104188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A9A7F16-4313-A7AC-9FEE-54D42908F3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1</xdr:row>
      <xdr:rowOff>66675</xdr:rowOff>
    </xdr:from>
    <xdr:to>
      <xdr:col>20</xdr:col>
      <xdr:colOff>447675</xdr:colOff>
      <xdr:row>32</xdr:row>
      <xdr:rowOff>85725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93765E6-B275-40CA-8763-AC062C908B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676274</xdr:colOff>
      <xdr:row>3</xdr:row>
      <xdr:rowOff>123825</xdr:rowOff>
    </xdr:from>
    <xdr:to>
      <xdr:col>19</xdr:col>
      <xdr:colOff>723900</xdr:colOff>
      <xdr:row>32</xdr:row>
      <xdr:rowOff>19051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040F6BA-7D18-4A01-98E0-475A45BC89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697117</xdr:colOff>
      <xdr:row>2</xdr:row>
      <xdr:rowOff>166285</xdr:rowOff>
    </xdr:from>
    <xdr:to>
      <xdr:col>19</xdr:col>
      <xdr:colOff>363743</xdr:colOff>
      <xdr:row>23</xdr:row>
      <xdr:rowOff>122743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650662DC-B3FC-4943-9886-833B4157C2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648959</xdr:colOff>
      <xdr:row>2</xdr:row>
      <xdr:rowOff>136419</xdr:rowOff>
    </xdr:from>
    <xdr:to>
      <xdr:col>27</xdr:col>
      <xdr:colOff>315586</xdr:colOff>
      <xdr:row>23</xdr:row>
      <xdr:rowOff>89901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B21EF27E-CB98-45DC-8C89-A3811263BF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153902</xdr:colOff>
      <xdr:row>28</xdr:row>
      <xdr:rowOff>193045</xdr:rowOff>
    </xdr:from>
    <xdr:to>
      <xdr:col>19</xdr:col>
      <xdr:colOff>582528</xdr:colOff>
      <xdr:row>49</xdr:row>
      <xdr:rowOff>149503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D289A64-C8D6-4D9D-9287-7CB5DBE4F6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285891</xdr:colOff>
      <xdr:row>29</xdr:row>
      <xdr:rowOff>7669</xdr:rowOff>
    </xdr:from>
    <xdr:to>
      <xdr:col>28</xdr:col>
      <xdr:colOff>733814</xdr:colOff>
      <xdr:row>49</xdr:row>
      <xdr:rowOff>153741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8109C41B-08E5-43D9-838C-A2594C755A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157966</xdr:colOff>
      <xdr:row>2</xdr:row>
      <xdr:rowOff>175039</xdr:rowOff>
    </xdr:from>
    <xdr:to>
      <xdr:col>36</xdr:col>
      <xdr:colOff>544132</xdr:colOff>
      <xdr:row>23</xdr:row>
      <xdr:rowOff>131497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22C2DC6-A047-4AAD-9E8A-AA07C23443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0</xdr:row>
      <xdr:rowOff>139700</xdr:rowOff>
    </xdr:from>
    <xdr:to>
      <xdr:col>2</xdr:col>
      <xdr:colOff>735648</xdr:colOff>
      <xdr:row>3</xdr:row>
      <xdr:rowOff>144462</xdr:rowOff>
    </xdr:to>
    <xdr:pic>
      <xdr:nvPicPr>
        <xdr:cNvPr id="2" name="Image 1" descr="Une image contenant texte&#10;&#10;Description générée automatiquement">
          <a:extLst>
            <a:ext uri="{FF2B5EF4-FFF2-40B4-BE49-F238E27FC236}">
              <a16:creationId xmlns:a16="http://schemas.microsoft.com/office/drawing/2014/main" id="{B6CC3BFC-972B-4ADC-AACF-77418472502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55600" y="139700"/>
          <a:ext cx="1904048" cy="557212"/>
        </a:xfrm>
        <a:prstGeom prst="rect">
          <a:avLst/>
        </a:prstGeom>
      </xdr:spPr>
    </xdr:pic>
    <xdr:clientData/>
  </xdr:twoCellAnchor>
  <xdr:twoCellAnchor editAs="oneCell">
    <xdr:from>
      <xdr:col>4</xdr:col>
      <xdr:colOff>660400</xdr:colOff>
      <xdr:row>7</xdr:row>
      <xdr:rowOff>25400</xdr:rowOff>
    </xdr:from>
    <xdr:to>
      <xdr:col>7</xdr:col>
      <xdr:colOff>57042</xdr:colOff>
      <xdr:row>13</xdr:row>
      <xdr:rowOff>5682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D4CA943E-7A8E-493D-A1C6-CD8891B926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08400" y="1314450"/>
          <a:ext cx="1682642" cy="1085182"/>
        </a:xfrm>
        <a:prstGeom prst="rect">
          <a:avLst/>
        </a:prstGeom>
      </xdr:spPr>
    </xdr:pic>
    <xdr:clientData/>
  </xdr:twoCellAnchor>
  <xdr:twoCellAnchor editAs="oneCell">
    <xdr:from>
      <xdr:col>1</xdr:col>
      <xdr:colOff>6350</xdr:colOff>
      <xdr:row>14</xdr:row>
      <xdr:rowOff>134309</xdr:rowOff>
    </xdr:from>
    <xdr:to>
      <xdr:col>13</xdr:col>
      <xdr:colOff>549734</xdr:colOff>
      <xdr:row>16</xdr:row>
      <xdr:rowOff>99399</xdr:rowOff>
    </xdr:to>
    <xdr:pic>
      <xdr:nvPicPr>
        <xdr:cNvPr id="4" name="Image 4">
          <a:extLst>
            <a:ext uri="{FF2B5EF4-FFF2-40B4-BE49-F238E27FC236}">
              <a16:creationId xmlns:a16="http://schemas.microsoft.com/office/drawing/2014/main" id="{120FBA4C-F29D-49D7-A2B0-E42EFFC49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rcRect/>
        <a:stretch/>
      </xdr:blipFill>
      <xdr:spPr>
        <a:xfrm>
          <a:off x="768350" y="2712409"/>
          <a:ext cx="9687384" cy="33339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TIS HERNU (EXTERNAL)" refreshedDate="46297.652814930552" createdVersion="8" refreshedVersion="8" minRefreshableVersion="3" recordCount="81" xr:uid="{22C7204C-0C4E-4569-91F2-8AEEF0D38BA5}">
  <cacheSource type="worksheet">
    <worksheetSource name="Tableau_plaquettes_complet"/>
  </cacheSource>
  <cacheFields count="11">
    <cacheField name="Date-Heure de transaction" numFmtId="164">
      <sharedItems containsNonDate="0" containsDate="1" containsString="0" containsBlank="1" minDate="2026-09-25T02:43:19" maxDate="2026-10-01T21:12:54"/>
    </cacheField>
    <cacheField name="Article" numFmtId="0">
      <sharedItems count="12">
        <s v="IM02 137 021"/>
        <s v="Z000 513 527"/>
        <s v="IM02 140 677"/>
        <s v="IM02 137 022"/>
        <s v="IM02 137 020"/>
        <s v="IM02 137 023"/>
        <s v="IM02 137 019"/>
        <s v="PLAQUETTE FRAISURAGE"/>
        <s v="EMBOUT D8,6"/>
        <s v="PLAQUETTE CHANFREIN"/>
        <s v="EMBOUT D13,3"/>
        <s v="IM02 145 346" u="1"/>
      </sharedItems>
    </cacheField>
    <cacheField name="Description article " numFmtId="0">
      <sharedItems containsBlank="1"/>
    </cacheField>
    <cacheField name="ID utilisateur" numFmtId="0">
      <sharedItems containsBlank="1"/>
    </cacheField>
    <cacheField name="Nom utilisateur" numFmtId="0">
      <sharedItems containsBlank="1"/>
    </cacheField>
    <cacheField name="Qté" numFmtId="0">
      <sharedItems containsSemiMixedTypes="0" containsString="0" containsNumber="1" containsInteger="1" minValue="4" maxValue="11"/>
    </cacheField>
    <cacheField name="Activité " numFmtId="0">
      <sharedItems count="2">
        <s v="PCI 4"/>
        <s v="PCI 5"/>
      </sharedItems>
    </cacheField>
    <cacheField name="OP " numFmtId="0">
      <sharedItems count="4">
        <s v="OP 10"/>
        <s v="OP 20"/>
        <s v="OP 40"/>
        <s v="OP 30"/>
      </sharedItems>
    </cacheField>
    <cacheField name="Type " numFmtId="0">
      <sharedItems/>
    </cacheField>
    <cacheField name="Disque" numFmtId="0">
      <sharedItems containsBlank="1" count="6">
        <s v="268x12"/>
        <s v="304x28 RPE"/>
        <s v="302x26 RPI"/>
        <s v="TOUT DISQUES"/>
        <s v="283x26 RPI"/>
        <m/>
      </sharedItems>
    </cacheField>
    <cacheField name="Cout " numFmtId="170">
      <sharedItems containsSemiMixedTypes="0" containsString="0" containsNumber="1" minValue="32.6" maxValue="533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">
  <r>
    <d v="2026-09-25T02:43:19"/>
    <x v="0"/>
    <s v="Plaquettes d'ébauches carrées"/>
    <s v="7236310"/>
    <s v="OZYURT IREM"/>
    <n v="5"/>
    <x v="0"/>
    <x v="0"/>
    <s v="PLAQUETTES"/>
    <x v="0"/>
    <n v="39.799999999999997"/>
  </r>
  <r>
    <d v="2026-09-25T02:43:30"/>
    <x v="0"/>
    <s v="Plaquettes d'ébauches carrées"/>
    <s v="7236310"/>
    <s v="OZYURT IREM"/>
    <n v="5"/>
    <x v="0"/>
    <x v="1"/>
    <s v="PLAQUETTES"/>
    <x v="0"/>
    <n v="39.799999999999997"/>
  </r>
  <r>
    <d v="2026-09-25T14:08:33"/>
    <x v="1"/>
    <s v="Plaquettes de finition carrées"/>
    <s v="SE08251"/>
    <s v="FAYET AYMERIC"/>
    <n v="5"/>
    <x v="0"/>
    <x v="2"/>
    <s v="PLAQUETTES"/>
    <x v="0"/>
    <n v="47.8"/>
  </r>
  <r>
    <d v="2026-09-25T14:08:52"/>
    <x v="1"/>
    <s v="Plaquettes de finition carrées"/>
    <s v="SE08251"/>
    <s v="FAYET AYMERIC"/>
    <n v="5"/>
    <x v="1"/>
    <x v="2"/>
    <s v="PLAQUETTES"/>
    <x v="0"/>
    <n v="47.8"/>
  </r>
  <r>
    <d v="2026-09-25T21:32:05"/>
    <x v="1"/>
    <s v="Plaquettes de finition carrées"/>
    <s v="7236310"/>
    <s v="OZYURT IREM"/>
    <n v="5"/>
    <x v="0"/>
    <x v="2"/>
    <s v="PLAQUETTES"/>
    <x v="0"/>
    <n v="47.8"/>
  </r>
  <r>
    <d v="2026-09-25T21:32:21"/>
    <x v="2"/>
    <s v="Plaquettes de finition triangulaires"/>
    <s v="7236310"/>
    <s v="OZYURT IREM"/>
    <n v="5"/>
    <x v="0"/>
    <x v="2"/>
    <s v="PLAQUETTES"/>
    <x v="0"/>
    <n v="48.7"/>
  </r>
  <r>
    <d v="2026-09-25T21:32:44"/>
    <x v="3"/>
    <s v="Plaquettes d'ébauches rhombiques"/>
    <s v="7236310"/>
    <s v="OZYURT IREM"/>
    <n v="5"/>
    <x v="1"/>
    <x v="2"/>
    <s v="PLAQUETTES"/>
    <x v="1"/>
    <n v="39.799999999999997"/>
  </r>
  <r>
    <d v="2026-09-25T22:48:57"/>
    <x v="3"/>
    <s v="Plaquettes d'ébauches rhombiques"/>
    <s v="j529800"/>
    <s v="MONTCHARMONT BAPTISTE"/>
    <n v="5"/>
    <x v="1"/>
    <x v="0"/>
    <s v="PLAQUETTES"/>
    <x v="1"/>
    <n v="39.799999999999997"/>
  </r>
  <r>
    <d v="2026-09-26T01:47:15"/>
    <x v="4"/>
    <s v="Plaquettes de gorges"/>
    <s v="7236310"/>
    <s v="OZYURT IREM"/>
    <n v="10"/>
    <x v="1"/>
    <x v="1"/>
    <s v="PLAQUETTES"/>
    <x v="1"/>
    <n v="100"/>
  </r>
  <r>
    <d v="2026-09-26T04:27:48"/>
    <x v="0"/>
    <s v="Plaquettes d'ébauches carrées"/>
    <s v="7236310"/>
    <s v="OZYURT IREM"/>
    <n v="5"/>
    <x v="0"/>
    <x v="1"/>
    <s v="PLAQUETTES"/>
    <x v="0"/>
    <n v="39.799999999999997"/>
  </r>
  <r>
    <d v="2026-09-26T04:28:05"/>
    <x v="0"/>
    <s v="Plaquettes d'ébauches carrées"/>
    <s v="7236310"/>
    <s v="OZYURT IREM"/>
    <n v="5"/>
    <x v="1"/>
    <x v="0"/>
    <s v="PLAQUETTES"/>
    <x v="1"/>
    <n v="39.799999999999997"/>
  </r>
  <r>
    <d v="2026-09-26T05:56:46"/>
    <x v="0"/>
    <s v="Plaquettes d'ébauches carrées"/>
    <s v="10301115"/>
    <s v="BOUCHART LUDOVIC"/>
    <n v="5"/>
    <x v="0"/>
    <x v="0"/>
    <s v="PLAQUETTES"/>
    <x v="0"/>
    <n v="39.799999999999997"/>
  </r>
  <r>
    <d v="2026-09-26T05:56:58"/>
    <x v="3"/>
    <s v="Plaquettes d'ébauches rhombiques"/>
    <s v="10301115"/>
    <s v="BOUCHART LUDOVIC"/>
    <n v="5"/>
    <x v="0"/>
    <x v="0"/>
    <s v="PLAQUETTES"/>
    <x v="0"/>
    <n v="39.799999999999997"/>
  </r>
  <r>
    <d v="2026-09-26T05:57:14"/>
    <x v="0"/>
    <s v="Plaquettes d'ébauches carrées"/>
    <s v="10301115"/>
    <s v="BOUCHART LUDOVIC"/>
    <n v="5"/>
    <x v="0"/>
    <x v="1"/>
    <s v="PLAQUETTES"/>
    <x v="0"/>
    <n v="39.799999999999997"/>
  </r>
  <r>
    <d v="2026-09-26T05:57:27"/>
    <x v="3"/>
    <s v="Plaquettes d'ébauches rhombiques"/>
    <s v="10301115"/>
    <s v="BOUCHART LUDOVIC"/>
    <n v="5"/>
    <x v="0"/>
    <x v="1"/>
    <s v="PLAQUETTES"/>
    <x v="0"/>
    <n v="39.799999999999997"/>
  </r>
  <r>
    <d v="2026-09-26T05:57:46"/>
    <x v="2"/>
    <s v="Plaquettes de finition triangulaires"/>
    <s v="10301115"/>
    <s v="BOUCHART LUDOVIC"/>
    <n v="5"/>
    <x v="0"/>
    <x v="2"/>
    <s v="PLAQUETTES"/>
    <x v="0"/>
    <n v="48.7"/>
  </r>
  <r>
    <d v="2026-09-26T05:58:04"/>
    <x v="1"/>
    <s v="Plaquettes de finition carrées"/>
    <s v="10301115"/>
    <s v="BOUCHART LUDOVIC"/>
    <n v="5"/>
    <x v="0"/>
    <x v="2"/>
    <s v="PLAQUETTES"/>
    <x v="0"/>
    <n v="47.8"/>
  </r>
  <r>
    <d v="2026-09-26T05:58:16"/>
    <x v="1"/>
    <s v="Plaquettes de finition carrées"/>
    <s v="10301115"/>
    <s v="BOUCHART LUDOVIC"/>
    <n v="5"/>
    <x v="0"/>
    <x v="2"/>
    <s v="PLAQUETTES"/>
    <x v="0"/>
    <n v="47.8"/>
  </r>
  <r>
    <d v="2026-09-26T05:58:36"/>
    <x v="0"/>
    <s v="Plaquettes d'ébauches carrées"/>
    <s v="10301115"/>
    <s v="BOUCHART LUDOVIC"/>
    <n v="5"/>
    <x v="1"/>
    <x v="0"/>
    <s v="PLAQUETTES"/>
    <x v="1"/>
    <n v="39.799999999999997"/>
  </r>
  <r>
    <d v="2026-09-26T05:59:03"/>
    <x v="3"/>
    <s v="Plaquettes d'ébauches rhombiques"/>
    <s v="10301115"/>
    <s v="BOUCHART LUDOVIC"/>
    <n v="5"/>
    <x v="1"/>
    <x v="0"/>
    <s v="PLAQUETTES"/>
    <x v="1"/>
    <n v="39.799999999999997"/>
  </r>
  <r>
    <d v="2026-09-26T05:59:20"/>
    <x v="4"/>
    <s v="Plaquettes de gorges"/>
    <s v="10301115"/>
    <s v="BOUCHART LUDOVIC"/>
    <n v="10"/>
    <x v="1"/>
    <x v="1"/>
    <s v="PLAQUETTES"/>
    <x v="1"/>
    <n v="100"/>
  </r>
  <r>
    <d v="2026-09-26T05:59:34"/>
    <x v="0"/>
    <s v="Plaquettes d'ébauches carrées"/>
    <s v="10301115"/>
    <s v="BOUCHART LUDOVIC"/>
    <n v="5"/>
    <x v="1"/>
    <x v="1"/>
    <s v="PLAQUETTES"/>
    <x v="1"/>
    <n v="39.799999999999997"/>
  </r>
  <r>
    <d v="2026-09-26T05:59:47"/>
    <x v="3"/>
    <s v="Plaquettes d'ébauches rhombiques"/>
    <s v="10301115"/>
    <s v="BOUCHART LUDOVIC"/>
    <n v="5"/>
    <x v="1"/>
    <x v="1"/>
    <s v="PLAQUETTES"/>
    <x v="1"/>
    <n v="39.799999999999997"/>
  </r>
  <r>
    <d v="2026-09-26T06:00:05"/>
    <x v="1"/>
    <s v="Plaquettes de finition carrées"/>
    <s v="10301115"/>
    <s v="BOUCHART LUDOVIC"/>
    <n v="5"/>
    <x v="1"/>
    <x v="2"/>
    <s v="PLAQUETTES"/>
    <x v="1"/>
    <n v="47.8"/>
  </r>
  <r>
    <d v="2026-09-26T06:00:18"/>
    <x v="1"/>
    <s v="Plaquettes de finition carrées"/>
    <s v="10301115"/>
    <s v="BOUCHART LUDOVIC"/>
    <n v="5"/>
    <x v="1"/>
    <x v="2"/>
    <s v="PLAQUETTES"/>
    <x v="1"/>
    <n v="47.8"/>
  </r>
  <r>
    <d v="2026-09-27T17:43:20"/>
    <x v="0"/>
    <s v="Plaquettes d'ébauches carrées"/>
    <s v="10301115"/>
    <s v="BOUCHART LUDOVIC"/>
    <n v="5"/>
    <x v="0"/>
    <x v="0"/>
    <s v="PLAQUETTES"/>
    <x v="0"/>
    <n v="39.799999999999997"/>
  </r>
  <r>
    <d v="2026-09-27T17:43:29"/>
    <x v="3"/>
    <s v="Plaquettes d'ébauches rhombiques"/>
    <s v="10301115"/>
    <s v="BOUCHART LUDOVIC"/>
    <n v="5"/>
    <x v="0"/>
    <x v="0"/>
    <s v="PLAQUETTES"/>
    <x v="0"/>
    <n v="39.799999999999997"/>
  </r>
  <r>
    <d v="2026-09-27T17:43:41"/>
    <x v="0"/>
    <s v="Plaquettes d'ébauches carrées"/>
    <s v="10301115"/>
    <s v="BOUCHART LUDOVIC"/>
    <n v="5"/>
    <x v="0"/>
    <x v="1"/>
    <s v="PLAQUETTES"/>
    <x v="0"/>
    <n v="39.799999999999997"/>
  </r>
  <r>
    <d v="2026-09-27T17:43:51"/>
    <x v="3"/>
    <s v="Plaquettes d'ébauches rhombiques"/>
    <s v="10301115"/>
    <s v="BOUCHART LUDOVIC"/>
    <n v="5"/>
    <x v="0"/>
    <x v="1"/>
    <s v="PLAQUETTES"/>
    <x v="0"/>
    <n v="39.799999999999997"/>
  </r>
  <r>
    <d v="2026-09-27T17:44:05"/>
    <x v="5"/>
    <s v="Plaquettes de finition"/>
    <s v="10301115"/>
    <s v="BOUCHART LUDOVIC"/>
    <n v="5"/>
    <x v="0"/>
    <x v="2"/>
    <s v="PLAQUETTES"/>
    <x v="0"/>
    <n v="42.5"/>
  </r>
  <r>
    <d v="2026-09-27T17:44:17"/>
    <x v="2"/>
    <s v="Plaquettes de finition triangulaires"/>
    <s v="10301115"/>
    <s v="BOUCHART LUDOVIC"/>
    <n v="5"/>
    <x v="0"/>
    <x v="2"/>
    <s v="PLAQUETTES"/>
    <x v="0"/>
    <n v="48.7"/>
  </r>
  <r>
    <d v="2026-09-27T17:44:29"/>
    <x v="1"/>
    <s v="Plaquettes de finition carrées"/>
    <s v="10301115"/>
    <s v="BOUCHART LUDOVIC"/>
    <n v="5"/>
    <x v="0"/>
    <x v="2"/>
    <s v="PLAQUETTES"/>
    <x v="0"/>
    <n v="47.8"/>
  </r>
  <r>
    <d v="2026-09-27T17:44:42"/>
    <x v="1"/>
    <s v="Plaquettes de finition carrées"/>
    <s v="10301115"/>
    <s v="BOUCHART LUDOVIC"/>
    <n v="5"/>
    <x v="0"/>
    <x v="2"/>
    <s v="PLAQUETTES"/>
    <x v="0"/>
    <n v="47.8"/>
  </r>
  <r>
    <d v="2026-09-27T17:44:54"/>
    <x v="0"/>
    <s v="Plaquettes d'ébauches carrées"/>
    <s v="10301115"/>
    <s v="BOUCHART LUDOVIC"/>
    <n v="5"/>
    <x v="1"/>
    <x v="0"/>
    <s v="PLAQUETTES"/>
    <x v="1"/>
    <n v="39.799999999999997"/>
  </r>
  <r>
    <d v="2026-09-27T17:45:05"/>
    <x v="3"/>
    <s v="Plaquettes d'ébauches rhombiques"/>
    <s v="10301115"/>
    <s v="BOUCHART LUDOVIC"/>
    <n v="5"/>
    <x v="1"/>
    <x v="0"/>
    <s v="PLAQUETTES"/>
    <x v="1"/>
    <n v="39.799999999999997"/>
  </r>
  <r>
    <d v="2026-09-27T17:45:20"/>
    <x v="4"/>
    <s v="Plaquettes de gorges"/>
    <s v="10301115"/>
    <s v="BOUCHART LUDOVIC"/>
    <n v="10"/>
    <x v="1"/>
    <x v="1"/>
    <s v="PLAQUETTES"/>
    <x v="1"/>
    <n v="100"/>
  </r>
  <r>
    <d v="2026-09-27T17:45:33"/>
    <x v="0"/>
    <s v="Plaquettes d'ébauches carrées"/>
    <s v="10301115"/>
    <s v="BOUCHART LUDOVIC"/>
    <n v="5"/>
    <x v="1"/>
    <x v="1"/>
    <s v="PLAQUETTES"/>
    <x v="1"/>
    <n v="39.799999999999997"/>
  </r>
  <r>
    <d v="2026-09-27T17:45:45"/>
    <x v="3"/>
    <s v="Plaquettes d'ébauches rhombiques"/>
    <s v="10301115"/>
    <s v="BOUCHART LUDOVIC"/>
    <n v="5"/>
    <x v="1"/>
    <x v="1"/>
    <s v="PLAQUETTES"/>
    <x v="1"/>
    <n v="39.799999999999997"/>
  </r>
  <r>
    <d v="2026-09-27T17:46:00"/>
    <x v="3"/>
    <s v="Plaquettes d'ébauches rhombiques"/>
    <s v="10301115"/>
    <s v="BOUCHART LUDOVIC"/>
    <n v="5"/>
    <x v="1"/>
    <x v="2"/>
    <s v="PLAQUETTES"/>
    <x v="1"/>
    <n v="39.799999999999997"/>
  </r>
  <r>
    <d v="2026-09-27T17:46:12"/>
    <x v="1"/>
    <s v="Plaquettes de finition carrées"/>
    <s v="10301115"/>
    <s v="BOUCHART LUDOVIC"/>
    <n v="5"/>
    <x v="1"/>
    <x v="2"/>
    <s v="PLAQUETTES"/>
    <x v="1"/>
    <n v="47.8"/>
  </r>
  <r>
    <d v="2026-09-28T09:31:28"/>
    <x v="4"/>
    <s v="Plaquettes de gorges"/>
    <s v="12824586"/>
    <s v="DASILVA FERNANDO"/>
    <n v="10"/>
    <x v="0"/>
    <x v="1"/>
    <s v="PLAQUETTES"/>
    <x v="2"/>
    <n v="100"/>
  </r>
  <r>
    <d v="2026-09-28T21:30:31"/>
    <x v="5"/>
    <s v="Plaquettes de finition"/>
    <s v="7236310"/>
    <s v="OZYURT IREM"/>
    <n v="5"/>
    <x v="1"/>
    <x v="2"/>
    <s v="PLAQUETTES"/>
    <x v="0"/>
    <n v="42.5"/>
  </r>
  <r>
    <d v="2026-09-28T21:30:52"/>
    <x v="1"/>
    <s v="Plaquettes de finition carrées"/>
    <s v="7236310"/>
    <s v="OZYURT IREM"/>
    <n v="5"/>
    <x v="0"/>
    <x v="2"/>
    <s v="PLAQUETTES"/>
    <x v="0"/>
    <n v="47.8"/>
  </r>
  <r>
    <d v="2026-09-29T13:05:27"/>
    <x v="6"/>
    <s v="Plaquettes TPGX0902ZPRGD KC7315"/>
    <s v="12824586"/>
    <s v="DASILVA FERNANDO"/>
    <n v="10"/>
    <x v="0"/>
    <x v="3"/>
    <s v="PLAQUETTES"/>
    <x v="3"/>
    <n v="81.5"/>
  </r>
  <r>
    <d v="2026-09-29T13:30:56"/>
    <x v="1"/>
    <s v="Plaquettes de finition carrées"/>
    <s v="045B77CAA77080"/>
    <s v="CAMUS CAMILLE"/>
    <n v="5"/>
    <x v="0"/>
    <x v="2"/>
    <s v="PLAQUETTES"/>
    <x v="0"/>
    <n v="47.8"/>
  </r>
  <r>
    <d v="2026-09-29T13:31:07"/>
    <x v="1"/>
    <s v="Plaquettes de finition carrées"/>
    <s v="045B77CAA77080"/>
    <s v="CAMUS CAMILLE"/>
    <n v="5"/>
    <x v="0"/>
    <x v="2"/>
    <s v="PLAQUETTES"/>
    <x v="0"/>
    <n v="47.8"/>
  </r>
  <r>
    <d v="2026-09-29T13:31:20"/>
    <x v="2"/>
    <s v="Plaquettes de finition triangulaires"/>
    <s v="045B77CAA77080"/>
    <s v="CAMUS CAMILLE"/>
    <n v="5"/>
    <x v="0"/>
    <x v="2"/>
    <s v="PLAQUETTES"/>
    <x v="0"/>
    <n v="48.7"/>
  </r>
  <r>
    <d v="2026-09-29T21:30:42"/>
    <x v="1"/>
    <s v="Plaquettes de finition carrées"/>
    <s v="7236310"/>
    <s v="OZYURT IREM"/>
    <n v="5"/>
    <x v="0"/>
    <x v="2"/>
    <s v="PLAQUETTES"/>
    <x v="0"/>
    <n v="47.8"/>
  </r>
  <r>
    <d v="2026-09-29T21:30:54"/>
    <x v="2"/>
    <s v="Plaquettes de finition triangulaires"/>
    <s v="7236310"/>
    <s v="OZYURT IREM"/>
    <n v="5"/>
    <x v="1"/>
    <x v="2"/>
    <s v="PLAQUETTES"/>
    <x v="0"/>
    <n v="48.7"/>
  </r>
  <r>
    <d v="2026-09-29T21:31:08"/>
    <x v="1"/>
    <s v="Plaquettes de finition carrées"/>
    <s v="7236310"/>
    <s v="OZYURT IREM"/>
    <n v="5"/>
    <x v="1"/>
    <x v="2"/>
    <s v="PLAQUETTES"/>
    <x v="0"/>
    <n v="47.8"/>
  </r>
  <r>
    <d v="2026-09-30T02:24:06"/>
    <x v="2"/>
    <s v="Plaquettes de finition triangulaires"/>
    <s v="7236310"/>
    <s v="OZYURT IREM"/>
    <n v="5"/>
    <x v="0"/>
    <x v="2"/>
    <s v="PLAQUETTES"/>
    <x v="0"/>
    <n v="48.7"/>
  </r>
  <r>
    <d v="2026-09-30T02:24:16"/>
    <x v="1"/>
    <s v="Plaquettes de finition carrées"/>
    <s v="7236310"/>
    <s v="OZYURT IREM"/>
    <n v="5"/>
    <x v="1"/>
    <x v="2"/>
    <s v="PLAQUETTES"/>
    <x v="0"/>
    <n v="47.8"/>
  </r>
  <r>
    <d v="2026-09-30T14:59:15"/>
    <x v="0"/>
    <s v="Plaquettes d'ébauches carrées"/>
    <s v="045B77CAA77080"/>
    <s v="CAMUS CAMILLE"/>
    <n v="5"/>
    <x v="0"/>
    <x v="0"/>
    <s v="PLAQUETTES"/>
    <x v="4"/>
    <n v="39.799999999999997"/>
  </r>
  <r>
    <d v="2026-09-30T14:59:33"/>
    <x v="3"/>
    <s v="Plaquettes d'ébauches rhombiques"/>
    <s v="045B77CAA77080"/>
    <s v="CAMUS CAMILLE"/>
    <n v="5"/>
    <x v="0"/>
    <x v="0"/>
    <s v="PLAQUETTES"/>
    <x v="4"/>
    <n v="39.799999999999997"/>
  </r>
  <r>
    <d v="2026-09-30T14:59:44"/>
    <x v="4"/>
    <s v="Plaquettes de gorges"/>
    <s v="045B77CAA77080"/>
    <s v="CAMUS CAMILLE"/>
    <n v="10"/>
    <x v="0"/>
    <x v="1"/>
    <s v="PLAQUETTES"/>
    <x v="4"/>
    <n v="100"/>
  </r>
  <r>
    <d v="2026-09-30T14:59:58"/>
    <x v="0"/>
    <s v="Plaquettes d'ébauches carrées"/>
    <s v="045B77CAA77080"/>
    <s v="CAMUS CAMILLE"/>
    <n v="5"/>
    <x v="0"/>
    <x v="1"/>
    <s v="PLAQUETTES"/>
    <x v="4"/>
    <n v="39.799999999999997"/>
  </r>
  <r>
    <d v="2026-09-30T15:00:12"/>
    <x v="3"/>
    <s v="Plaquettes d'ébauches rhombiques"/>
    <s v="045B77CAA77080"/>
    <s v="CAMUS CAMILLE"/>
    <n v="5"/>
    <x v="0"/>
    <x v="1"/>
    <s v="PLAQUETTES"/>
    <x v="4"/>
    <n v="39.799999999999997"/>
  </r>
  <r>
    <d v="2026-09-30T15:00:24"/>
    <x v="3"/>
    <s v="Plaquettes d'ébauches rhombiques"/>
    <s v="045B77CAA77080"/>
    <s v="CAMUS CAMILLE"/>
    <n v="5"/>
    <x v="0"/>
    <x v="2"/>
    <s v="PLAQUETTES"/>
    <x v="4"/>
    <n v="39.799999999999997"/>
  </r>
  <r>
    <d v="2026-09-30T15:00:37"/>
    <x v="1"/>
    <s v="Plaquettes de finition carrées"/>
    <s v="045B77CAA77080"/>
    <s v="CAMUS CAMILLE"/>
    <n v="5"/>
    <x v="0"/>
    <x v="2"/>
    <s v="PLAQUETTES"/>
    <x v="4"/>
    <n v="47.8"/>
  </r>
  <r>
    <d v="2026-09-30T21:02:59"/>
    <x v="3"/>
    <s v="Plaquettes d'ébauches rhombiques"/>
    <s v="j529800"/>
    <s v="MONTCHARMONT BAPTISTE"/>
    <n v="5"/>
    <x v="1"/>
    <x v="1"/>
    <s v="PLAQUETTES"/>
    <x v="1"/>
    <n v="39.799999999999997"/>
  </r>
  <r>
    <d v="2026-09-30T22:07:34"/>
    <x v="3"/>
    <s v="Plaquettes d'ébauches rhombiques"/>
    <s v="j529800"/>
    <s v="MONTCHARMONT BAPTISTE"/>
    <n v="5"/>
    <x v="0"/>
    <x v="1"/>
    <s v="PLAQUETTES"/>
    <x v="4"/>
    <n v="39.799999999999997"/>
  </r>
  <r>
    <d v="2026-09-30T23:31:24"/>
    <x v="1"/>
    <s v="Plaquettes de finition carrées"/>
    <s v="7236310"/>
    <s v="OZYURT IREM"/>
    <n v="5"/>
    <x v="0"/>
    <x v="2"/>
    <s v="PLAQUETTES"/>
    <x v="4"/>
    <n v="47.8"/>
  </r>
  <r>
    <d v="2026-09-30T23:31:34"/>
    <x v="1"/>
    <s v="Plaquettes de finition carrées"/>
    <s v="7236310"/>
    <s v="OZYURT IREM"/>
    <n v="5"/>
    <x v="1"/>
    <x v="2"/>
    <s v="PLAQUETTES"/>
    <x v="0"/>
    <n v="47.8"/>
  </r>
  <r>
    <d v="2026-10-01T04:02:58"/>
    <x v="0"/>
    <s v="Plaquettes d'ébauches carrées"/>
    <s v="7236310"/>
    <s v="OZYURT IREM"/>
    <n v="5"/>
    <x v="1"/>
    <x v="1"/>
    <s v="PLAQUETTES"/>
    <x v="0"/>
    <n v="39.799999999999997"/>
  </r>
  <r>
    <d v="2026-10-01T06:00:49"/>
    <x v="0"/>
    <s v="Plaquettes d'ébauches carrées"/>
    <s v="040E47C25C7780"/>
    <s v="PARINGAUX CARROLANE"/>
    <n v="5"/>
    <x v="1"/>
    <x v="0"/>
    <s v="PLAQUETTES"/>
    <x v="0"/>
    <n v="39.799999999999997"/>
  </r>
  <r>
    <d v="2026-10-01T06:01:01"/>
    <x v="3"/>
    <s v="Plaquettes d'ébauches rhombiques"/>
    <s v="040E47C25C7780"/>
    <s v="PARINGAUX CARROLANE"/>
    <n v="5"/>
    <x v="1"/>
    <x v="0"/>
    <s v="PLAQUETTES"/>
    <x v="0"/>
    <n v="39.799999999999997"/>
  </r>
  <r>
    <d v="2026-10-01T06:01:14"/>
    <x v="0"/>
    <s v="Plaquettes d'ébauches carrées"/>
    <s v="040E47C25C7780"/>
    <s v="PARINGAUX CARROLANE"/>
    <n v="5"/>
    <x v="1"/>
    <x v="1"/>
    <s v="PLAQUETTES"/>
    <x v="0"/>
    <n v="39.799999999999997"/>
  </r>
  <r>
    <d v="2026-10-01T06:01:27"/>
    <x v="3"/>
    <s v="Plaquettes d'ébauches rhombiques"/>
    <s v="040E47C25C7780"/>
    <s v="PARINGAUX CARROLANE"/>
    <n v="5"/>
    <x v="1"/>
    <x v="1"/>
    <s v="PLAQUETTES"/>
    <x v="0"/>
    <n v="39.799999999999997"/>
  </r>
  <r>
    <d v="2026-10-01T06:01:40"/>
    <x v="1"/>
    <s v="Plaquettes de finition carrées"/>
    <s v="040E47C25C7780"/>
    <s v="PARINGAUX CARROLANE"/>
    <n v="5"/>
    <x v="1"/>
    <x v="2"/>
    <s v="PLAQUETTES"/>
    <x v="0"/>
    <n v="47.8"/>
  </r>
  <r>
    <d v="2026-10-01T06:01:54"/>
    <x v="1"/>
    <s v="Plaquettes de finition carrées"/>
    <s v="040E47C25C7780"/>
    <s v="PARINGAUX CARROLANE"/>
    <n v="5"/>
    <x v="1"/>
    <x v="2"/>
    <s v="PLAQUETTES"/>
    <x v="0"/>
    <n v="47.8"/>
  </r>
  <r>
    <d v="2026-10-01T21:02:35"/>
    <x v="3"/>
    <s v="Plaquettes d'ébauches rhombiques"/>
    <s v="j529800"/>
    <s v="MONTCHARMONT BAPTISTE"/>
    <n v="5"/>
    <x v="0"/>
    <x v="1"/>
    <s v="PLAQUETTES"/>
    <x v="4"/>
    <n v="39.799999999999997"/>
  </r>
  <r>
    <d v="2026-10-01T21:12:28"/>
    <x v="1"/>
    <s v="Plaquettes de finition carrées"/>
    <s v="7236310"/>
    <s v="OZYURT IREM"/>
    <n v="5"/>
    <x v="0"/>
    <x v="2"/>
    <s v="PLAQUETTES"/>
    <x v="4"/>
    <n v="47.8"/>
  </r>
  <r>
    <d v="2026-10-01T21:12:54"/>
    <x v="1"/>
    <s v="Plaquettes de finition carrées"/>
    <s v="7236310"/>
    <s v="OZYURT IREM"/>
    <n v="5"/>
    <x v="1"/>
    <x v="2"/>
    <s v="PLAQUETTES"/>
    <x v="0"/>
    <n v="47.8"/>
  </r>
  <r>
    <m/>
    <x v="7"/>
    <s v="PLAQUETTE FRAISURAGE"/>
    <m/>
    <m/>
    <n v="11"/>
    <x v="0"/>
    <x v="3"/>
    <s v="PLAQUETTES"/>
    <x v="5"/>
    <n v="133.97999999999999"/>
  </r>
  <r>
    <m/>
    <x v="8"/>
    <m/>
    <m/>
    <m/>
    <n v="11"/>
    <x v="0"/>
    <x v="3"/>
    <s v="EMBOUTS"/>
    <x v="5"/>
    <n v="533.5"/>
  </r>
  <r>
    <m/>
    <x v="9"/>
    <s v="PLAQUETTE CHANFREIN"/>
    <m/>
    <m/>
    <n v="5"/>
    <x v="0"/>
    <x v="3"/>
    <s v="PLAQUETTES"/>
    <x v="5"/>
    <n v="40.75"/>
  </r>
  <r>
    <m/>
    <x v="10"/>
    <m/>
    <m/>
    <m/>
    <n v="7"/>
    <x v="0"/>
    <x v="3"/>
    <s v="EMBOUTS"/>
    <x v="5"/>
    <n v="328.65000000000003"/>
  </r>
  <r>
    <m/>
    <x v="7"/>
    <s v="PLAQUETTE FRAISURAGE"/>
    <m/>
    <m/>
    <n v="4"/>
    <x v="1"/>
    <x v="3"/>
    <s v="PLAQUETTES"/>
    <x v="5"/>
    <n v="48.72"/>
  </r>
  <r>
    <m/>
    <x v="8"/>
    <m/>
    <m/>
    <m/>
    <n v="4"/>
    <x v="1"/>
    <x v="3"/>
    <s v="EMBOUTS"/>
    <x v="5"/>
    <n v="194"/>
  </r>
  <r>
    <m/>
    <x v="9"/>
    <s v="PLAQUETTE CHANFREIN"/>
    <m/>
    <m/>
    <n v="4"/>
    <x v="1"/>
    <x v="3"/>
    <s v="PLAQUETTES"/>
    <x v="5"/>
    <n v="32.6"/>
  </r>
  <r>
    <m/>
    <x v="10"/>
    <m/>
    <m/>
    <m/>
    <n v="6"/>
    <x v="1"/>
    <x v="3"/>
    <s v="EMBOUTS"/>
    <x v="5"/>
    <n v="281.7000000000000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BFEEBC-2082-4932-91DE-2030D9D9F345}" name="Tableau croisé dynamique2" cacheId="3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58">
  <location ref="A6:B25" firstHeaderRow="1" firstDataRow="1" firstDataCol="1" rowPageCount="2" colPageCount="1"/>
  <pivotFields count="11">
    <pivotField numFmtId="164" showAll="0"/>
    <pivotField axis="axisRow" showAll="0">
      <items count="13">
        <item x="4"/>
        <item x="0"/>
        <item x="3"/>
        <item x="5"/>
        <item x="1"/>
        <item x="2"/>
        <item x="8"/>
        <item x="10"/>
        <item x="7"/>
        <item x="9"/>
        <item x="6"/>
        <item m="1" x="11"/>
        <item t="default"/>
      </items>
    </pivotField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axis="axisRow" showAll="0">
      <items count="5">
        <item x="0"/>
        <item x="1"/>
        <item x="3"/>
        <item x="2"/>
        <item t="default"/>
      </items>
    </pivotField>
    <pivotField showAll="0"/>
    <pivotField axis="axisPage" showAll="0">
      <items count="7">
        <item x="2"/>
        <item x="1"/>
        <item x="0"/>
        <item x="5"/>
        <item x="3"/>
        <item x="4"/>
        <item t="default"/>
      </items>
    </pivotField>
    <pivotField dataField="1" numFmtId="165" showAll="0"/>
  </pivotFields>
  <rowFields count="2">
    <field x="7"/>
    <field x="1"/>
  </rowFields>
  <rowItems count="19">
    <i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 v="6"/>
    </i>
    <i r="1">
      <x v="7"/>
    </i>
    <i r="1">
      <x v="8"/>
    </i>
    <i r="1">
      <x v="9"/>
    </i>
    <i r="1">
      <x v="10"/>
    </i>
    <i>
      <x v="3"/>
    </i>
    <i r="1">
      <x v="2"/>
    </i>
    <i r="1">
      <x v="3"/>
    </i>
    <i r="1">
      <x v="4"/>
    </i>
    <i r="1">
      <x v="5"/>
    </i>
    <i t="grand">
      <x/>
    </i>
  </rowItems>
  <colItems count="1">
    <i/>
  </colItems>
  <pageFields count="2">
    <pageField fld="9" hier="-1"/>
    <pageField fld="6" hier="-1"/>
  </pageFields>
  <dataFields count="1">
    <dataField name="Somme de Cout " fld="10" baseField="0" baseItem="0"/>
  </dataFields>
  <chartFormats count="3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8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B5193A0-6141-4A05-8E46-211F07353281}" name="Tableau croisé dynamique2" cacheId="35" applyNumberFormats="0" applyBorderFormats="0" applyFontFormats="0" applyPatternFormats="0" applyAlignmentFormats="0" applyWidthHeightFormats="1" dataCaption="Valeurs" updatedVersion="8" minRefreshableVersion="3" useAutoFormatting="1" rowGrandTotals="0" colGrandTotals="0" itemPrintTitles="1" createdVersion="8" indent="0" outline="1" outlineData="1" multipleFieldFilters="0" chartFormat="35">
  <location ref="A4:B22" firstHeaderRow="1" firstDataRow="1" firstDataCol="1" rowPageCount="2" colPageCount="1"/>
  <pivotFields count="11">
    <pivotField numFmtId="164" showAll="0"/>
    <pivotField axis="axisRow" showAll="0">
      <items count="13">
        <item x="6"/>
        <item x="4"/>
        <item x="0"/>
        <item x="3"/>
        <item x="5"/>
        <item x="1"/>
        <item x="2"/>
        <item x="7"/>
        <item x="8"/>
        <item x="9"/>
        <item x="10"/>
        <item m="1" x="11"/>
        <item t="default"/>
      </items>
    </pivotField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axis="axisRow" showAll="0">
      <items count="5">
        <item x="0"/>
        <item x="1"/>
        <item x="3"/>
        <item x="2"/>
        <item t="default"/>
      </items>
    </pivotField>
    <pivotField showAll="0"/>
    <pivotField axis="axisPage" showAll="0">
      <items count="7">
        <item x="2"/>
        <item x="1"/>
        <item x="5"/>
        <item x="0"/>
        <item x="3"/>
        <item x="4"/>
        <item t="default"/>
      </items>
    </pivotField>
    <pivotField dataField="1" numFmtId="165" showAll="0"/>
  </pivotFields>
  <rowFields count="2">
    <field x="7"/>
    <field x="1"/>
  </rowFields>
  <rowItems count="18">
    <i>
      <x/>
    </i>
    <i r="1">
      <x v="2"/>
    </i>
    <i r="1">
      <x v="3"/>
    </i>
    <i>
      <x v="1"/>
    </i>
    <i r="1">
      <x v="1"/>
    </i>
    <i r="1">
      <x v="2"/>
    </i>
    <i r="1">
      <x v="3"/>
    </i>
    <i>
      <x v="2"/>
    </i>
    <i r="1">
      <x/>
    </i>
    <i r="1">
      <x v="7"/>
    </i>
    <i r="1">
      <x v="8"/>
    </i>
    <i r="1">
      <x v="9"/>
    </i>
    <i r="1">
      <x v="10"/>
    </i>
    <i>
      <x v="3"/>
    </i>
    <i r="1">
      <x v="3"/>
    </i>
    <i r="1">
      <x v="4"/>
    </i>
    <i r="1">
      <x v="5"/>
    </i>
    <i r="1">
      <x v="6"/>
    </i>
  </rowItems>
  <colItems count="1">
    <i/>
  </colItems>
  <pageFields count="2">
    <pageField fld="6" hier="-1"/>
    <pageField fld="9" hier="-1"/>
  </pageFields>
  <dataFields count="1">
    <dataField name="Somme de Cout " fld="10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A27D6D-9141-4CA0-8F3E-585D304A49F3}" name="Tableau croisé dynamique2" cacheId="35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223">
  <location ref="A6:B25" firstHeaderRow="1" firstDataRow="1" firstDataCol="1" rowPageCount="2" colPageCount="1"/>
  <pivotFields count="11">
    <pivotField numFmtId="164" showAll="0"/>
    <pivotField axis="axisRow" showAll="0">
      <items count="13">
        <item x="4"/>
        <item x="0"/>
        <item x="3"/>
        <item x="5"/>
        <item x="1"/>
        <item x="2"/>
        <item x="7"/>
        <item x="8"/>
        <item x="9"/>
        <item x="10"/>
        <item x="6"/>
        <item m="1" x="11"/>
        <item t="default"/>
      </items>
    </pivotField>
    <pivotField showAll="0"/>
    <pivotField showAll="0"/>
    <pivotField showAll="0"/>
    <pivotField dataField="1" showAll="0"/>
    <pivotField axis="axisPage" showAll="0">
      <items count="3">
        <item x="0"/>
        <item x="1"/>
        <item t="default"/>
      </items>
    </pivotField>
    <pivotField axis="axisRow" showAll="0">
      <items count="5">
        <item x="0"/>
        <item x="1"/>
        <item x="3"/>
        <item x="2"/>
        <item t="default"/>
      </items>
    </pivotField>
    <pivotField showAll="0"/>
    <pivotField axis="axisPage" showAll="0">
      <items count="7">
        <item x="2"/>
        <item x="1"/>
        <item x="0"/>
        <item x="5"/>
        <item x="3"/>
        <item x="4"/>
        <item t="default"/>
      </items>
    </pivotField>
    <pivotField numFmtId="165" showAll="0"/>
  </pivotFields>
  <rowFields count="2">
    <field x="7"/>
    <field x="1"/>
  </rowFields>
  <rowItems count="19">
    <i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 v="6"/>
    </i>
    <i r="1">
      <x v="7"/>
    </i>
    <i r="1">
      <x v="8"/>
    </i>
    <i r="1">
      <x v="9"/>
    </i>
    <i r="1">
      <x v="10"/>
    </i>
    <i>
      <x v="3"/>
    </i>
    <i r="1">
      <x v="2"/>
    </i>
    <i r="1">
      <x v="3"/>
    </i>
    <i r="1">
      <x v="4"/>
    </i>
    <i r="1">
      <x v="5"/>
    </i>
    <i t="grand">
      <x/>
    </i>
  </rowItems>
  <colItems count="1">
    <i/>
  </colItems>
  <pageFields count="2">
    <pageField fld="9" hier="-1"/>
    <pageField fld="6" hier="-1"/>
  </pageFields>
  <dataFields count="1">
    <dataField name="Somme de Qté" fld="5" baseField="0" baseItem="0"/>
  </dataFields>
  <chartFormats count="9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4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5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3FA1B8-41C0-4573-953D-0B9017E2A3CB}" name="Tableau croisé dynamique2" cacheId="35" applyNumberFormats="0" applyBorderFormats="0" applyFontFormats="0" applyPatternFormats="0" applyAlignmentFormats="0" applyWidthHeightFormats="1" dataCaption="Valeurs" updatedVersion="8" minRefreshableVersion="3" useAutoFormatting="1" rowGrandTotals="0" colGrandTotals="0" itemPrintTitles="1" createdVersion="8" indent="0" outline="1" outlineData="1" multipleFieldFilters="0" chartFormat="10">
  <location ref="A4:B22" firstHeaderRow="1" firstDataRow="1" firstDataCol="1" rowPageCount="2" colPageCount="1"/>
  <pivotFields count="11">
    <pivotField numFmtId="164" showAll="0"/>
    <pivotField axis="axisRow" showAll="0">
      <items count="13">
        <item x="6"/>
        <item x="4"/>
        <item x="0"/>
        <item x="3"/>
        <item x="5"/>
        <item x="1"/>
        <item x="2"/>
        <item x="7"/>
        <item x="8"/>
        <item x="9"/>
        <item x="10"/>
        <item m="1" x="11"/>
        <item t="default"/>
      </items>
    </pivotField>
    <pivotField showAll="0"/>
    <pivotField showAll="0"/>
    <pivotField showAll="0"/>
    <pivotField dataField="1" showAll="0"/>
    <pivotField axis="axisPage" showAll="0">
      <items count="3">
        <item x="0"/>
        <item x="1"/>
        <item t="default"/>
      </items>
    </pivotField>
    <pivotField axis="axisRow" showAll="0">
      <items count="5">
        <item x="0"/>
        <item x="1"/>
        <item x="3"/>
        <item x="2"/>
        <item t="default"/>
      </items>
    </pivotField>
    <pivotField showAll="0"/>
    <pivotField axis="axisPage" showAll="0">
      <items count="7">
        <item x="2"/>
        <item x="1"/>
        <item x="5"/>
        <item x="0"/>
        <item x="3"/>
        <item x="4"/>
        <item t="default"/>
      </items>
    </pivotField>
    <pivotField numFmtId="165" showAll="0"/>
  </pivotFields>
  <rowFields count="2">
    <field x="7"/>
    <field x="1"/>
  </rowFields>
  <rowItems count="18">
    <i>
      <x/>
    </i>
    <i r="1">
      <x v="2"/>
    </i>
    <i r="1">
      <x v="3"/>
    </i>
    <i>
      <x v="1"/>
    </i>
    <i r="1">
      <x v="1"/>
    </i>
    <i r="1">
      <x v="2"/>
    </i>
    <i r="1">
      <x v="3"/>
    </i>
    <i>
      <x v="2"/>
    </i>
    <i r="1">
      <x/>
    </i>
    <i r="1">
      <x v="7"/>
    </i>
    <i r="1">
      <x v="8"/>
    </i>
    <i r="1">
      <x v="9"/>
    </i>
    <i r="1">
      <x v="10"/>
    </i>
    <i>
      <x v="3"/>
    </i>
    <i r="1">
      <x v="3"/>
    </i>
    <i r="1">
      <x v="4"/>
    </i>
    <i r="1">
      <x v="5"/>
    </i>
    <i r="1">
      <x v="6"/>
    </i>
  </rowItems>
  <colItems count="1">
    <i/>
  </colItems>
  <pageFields count="2">
    <pageField fld="9" hier="-1"/>
    <pageField fld="6" hier="-1"/>
  </pageFields>
  <dataFields count="1">
    <dataField name="Somme de Qté" fld="5" baseField="0" baseItem="0"/>
  </dataFields>
  <chartFormats count="1">
    <chartFormat chart="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42C7C8-0745-462C-AA59-F125BE3C7C91}" name="Tableau croisé dynamique1" cacheId="35" applyNumberFormats="0" applyBorderFormats="0" applyFontFormats="0" applyPatternFormats="0" applyAlignmentFormats="0" applyWidthHeightFormats="1" dataCaption="Valeurs" updatedVersion="8" minRefreshableVersion="3" useAutoFormatting="1" itemPrintTitles="1" createdVersion="6" indent="0" outline="1" outlineData="1" multipleFieldFilters="0" chartFormat="129">
  <location ref="A3:B27" firstHeaderRow="1" firstDataRow="1" firstDataCol="1"/>
  <pivotFields count="11">
    <pivotField showAll="0"/>
    <pivotField axis="axisRow" showAll="0" sortType="descending">
      <items count="13">
        <item x="10"/>
        <item x="8"/>
        <item x="6"/>
        <item x="4"/>
        <item x="0"/>
        <item x="3"/>
        <item x="5"/>
        <item x="2"/>
        <item x="9"/>
        <item x="7"/>
        <item x="1"/>
        <item m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</pivotFields>
  <rowFields count="2">
    <field x="6"/>
    <field x="1"/>
  </rowFields>
  <rowItems count="24">
    <i>
      <x/>
    </i>
    <i r="1">
      <x v="10"/>
    </i>
    <i r="1">
      <x v="4"/>
    </i>
    <i r="1">
      <x v="5"/>
    </i>
    <i r="1">
      <x v="7"/>
    </i>
    <i r="1">
      <x v="3"/>
    </i>
    <i r="1">
      <x v="9"/>
    </i>
    <i r="1">
      <x v="1"/>
    </i>
    <i r="1">
      <x v="2"/>
    </i>
    <i r="1">
      <x/>
    </i>
    <i r="1">
      <x v="8"/>
    </i>
    <i r="1">
      <x v="6"/>
    </i>
    <i>
      <x v="1"/>
    </i>
    <i r="1">
      <x v="10"/>
    </i>
    <i r="1">
      <x v="5"/>
    </i>
    <i r="1">
      <x v="4"/>
    </i>
    <i r="1">
      <x v="3"/>
    </i>
    <i r="1">
      <x/>
    </i>
    <i r="1">
      <x v="7"/>
    </i>
    <i r="1">
      <x v="6"/>
    </i>
    <i r="1">
      <x v="8"/>
    </i>
    <i r="1">
      <x v="1"/>
    </i>
    <i r="1">
      <x v="9"/>
    </i>
    <i t="grand">
      <x/>
    </i>
  </rowItems>
  <colItems count="1">
    <i/>
  </colItems>
  <dataFields count="1">
    <dataField name="Somme de Qté" fld="5" baseField="1" baseItem="4"/>
  </dataFields>
  <chartFormats count="7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09AB15-1D3F-468D-90B7-DBCF5059EFCD}" name="Tableau croisé dynamique1" cacheId="35" applyNumberFormats="0" applyBorderFormats="0" applyFontFormats="0" applyPatternFormats="0" applyAlignmentFormats="0" applyWidthHeightFormats="1" dataCaption="Valeurs" updatedVersion="8" minRefreshableVersion="3" useAutoFormatting="1" itemPrintTitles="1" createdVersion="6" indent="0" outline="1" outlineData="1" multipleFieldFilters="0" chartFormat="140">
  <location ref="A3:B27" firstHeaderRow="1" firstDataRow="1" firstDataCol="1"/>
  <pivotFields count="11">
    <pivotField showAll="0"/>
    <pivotField axis="axisRow" showAll="0" sortType="descending">
      <items count="13">
        <item x="10"/>
        <item x="8"/>
        <item x="6"/>
        <item x="4"/>
        <item x="0"/>
        <item x="3"/>
        <item x="5"/>
        <item x="2"/>
        <item x="9"/>
        <item x="7"/>
        <item x="1"/>
        <item m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axis="axisRow" showAll="0" sortType="ascending">
      <items count="3">
        <item x="0"/>
        <item x="1"/>
        <item t="default"/>
      </items>
    </pivotField>
    <pivotField showAll="0"/>
    <pivotField showAll="0"/>
    <pivotField showAll="0"/>
    <pivotField dataField="1" showAll="0"/>
  </pivotFields>
  <rowFields count="2">
    <field x="6"/>
    <field x="1"/>
  </rowFields>
  <rowItems count="24">
    <i>
      <x/>
    </i>
    <i r="1">
      <x v="10"/>
    </i>
    <i r="1">
      <x v="1"/>
    </i>
    <i r="1">
      <x v="4"/>
    </i>
    <i r="1">
      <x v="5"/>
    </i>
    <i r="1">
      <x/>
    </i>
    <i r="1">
      <x v="7"/>
    </i>
    <i r="1">
      <x v="3"/>
    </i>
    <i r="1">
      <x v="9"/>
    </i>
    <i r="1">
      <x v="2"/>
    </i>
    <i r="1">
      <x v="6"/>
    </i>
    <i r="1">
      <x v="8"/>
    </i>
    <i>
      <x v="1"/>
    </i>
    <i r="1">
      <x v="10"/>
    </i>
    <i r="1">
      <x v="5"/>
    </i>
    <i r="1">
      <x v="4"/>
    </i>
    <i r="1">
      <x v="3"/>
    </i>
    <i r="1">
      <x/>
    </i>
    <i r="1">
      <x v="1"/>
    </i>
    <i r="1">
      <x v="9"/>
    </i>
    <i r="1">
      <x v="7"/>
    </i>
    <i r="1">
      <x v="6"/>
    </i>
    <i r="1">
      <x v="8"/>
    </i>
    <i t="grand">
      <x/>
    </i>
  </rowItems>
  <colItems count="1">
    <i/>
  </colItems>
  <dataFields count="1">
    <dataField name="Somme de Cout " fld="10" baseField="6" baseItem="0" numFmtId="167"/>
  </dataFields>
  <formats count="1">
    <format dxfId="55">
      <pivotArea outline="0" collapsedLevelsAreSubtotals="1" fieldPosition="0"/>
    </format>
  </formats>
  <chartFormats count="3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8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9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6DAE0A-AE5B-4744-B468-239410625343}" name="Tableau croisé dynamique2" cacheId="35" applyNumberFormats="0" applyBorderFormats="0" applyFontFormats="0" applyPatternFormats="0" applyAlignmentFormats="0" applyWidthHeightFormats="1" dataCaption="Valeurs" updatedVersion="8" minRefreshableVersion="3" useAutoFormatting="1" itemPrintTitles="1" createdVersion="6" indent="0" outline="1" outlineData="1" multipleFieldFilters="0" chartFormat="59">
  <location ref="M1:N25" firstHeaderRow="1" firstDataRow="1" firstDataCol="1"/>
  <pivotFields count="11">
    <pivotField showAll="0"/>
    <pivotField axis="axisRow" showAll="0" sortType="descending">
      <items count="13">
        <item x="10"/>
        <item x="8"/>
        <item x="6"/>
        <item x="4"/>
        <item x="0"/>
        <item x="3"/>
        <item x="5"/>
        <item x="2"/>
        <item x="9"/>
        <item x="7"/>
        <item x="1"/>
        <item m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</pivotFields>
  <rowFields count="2">
    <field x="6"/>
    <field x="1"/>
  </rowFields>
  <rowItems count="24">
    <i>
      <x/>
    </i>
    <i r="1">
      <x v="10"/>
    </i>
    <i r="1">
      <x v="4"/>
    </i>
    <i r="1">
      <x v="5"/>
    </i>
    <i r="1">
      <x v="7"/>
    </i>
    <i r="1">
      <x v="3"/>
    </i>
    <i r="1">
      <x v="9"/>
    </i>
    <i r="1">
      <x v="1"/>
    </i>
    <i r="1">
      <x v="2"/>
    </i>
    <i r="1">
      <x/>
    </i>
    <i r="1">
      <x v="8"/>
    </i>
    <i r="1">
      <x v="6"/>
    </i>
    <i>
      <x v="1"/>
    </i>
    <i r="1">
      <x v="10"/>
    </i>
    <i r="1">
      <x v="5"/>
    </i>
    <i r="1">
      <x v="4"/>
    </i>
    <i r="1">
      <x v="3"/>
    </i>
    <i r="1">
      <x/>
    </i>
    <i r="1">
      <x v="7"/>
    </i>
    <i r="1">
      <x v="6"/>
    </i>
    <i r="1">
      <x v="8"/>
    </i>
    <i r="1">
      <x v="1"/>
    </i>
    <i r="1">
      <x v="9"/>
    </i>
    <i t="grand">
      <x/>
    </i>
  </rowItems>
  <colItems count="1">
    <i/>
  </colItems>
  <dataFields count="1">
    <dataField name="Somme de Qté" fld="5" baseField="1" baseItem="4"/>
  </dataFields>
  <chartFormats count="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6" xr16:uid="{5EF581B5-8D1D-4AB5-9317-87AA1B50E486}" autoFormatId="16" applyNumberFormats="0" applyBorderFormats="0" applyFontFormats="0" applyPatternFormats="0" applyAlignmentFormats="0" applyWidthHeightFormats="0">
  <queryTableRefresh nextId="12">
    <queryTableFields count="11">
      <queryTableField id="1" name="Date-Heure de transaction" tableColumnId="1"/>
      <queryTableField id="2" name="Article" tableColumnId="2"/>
      <queryTableField id="3" name="Description article " tableColumnId="3"/>
      <queryTableField id="4" name="ID utilisateur" tableColumnId="4"/>
      <queryTableField id="5" name="Nom utilisateur" tableColumnId="5"/>
      <queryTableField id="6" name="Qté" tableColumnId="6"/>
      <queryTableField id="7" name="Activité " tableColumnId="7"/>
      <queryTableField id="8" name="OP " tableColumnId="8"/>
      <queryTableField id="9" name="Type " tableColumnId="9"/>
      <queryTableField id="10" name="Disque" tableColumnId="10"/>
      <queryTableField id="11" name="Cout 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5" xr16:uid="{B19349D8-2BCE-496E-AF15-A9FF524BB111}" autoFormatId="16" applyNumberFormats="0" applyBorderFormats="0" applyFontFormats="0" applyPatternFormats="0" applyAlignmentFormats="0" applyWidthHeightFormats="0">
  <queryTableRefresh nextId="3">
    <queryTableFields count="2">
      <queryTableField id="1" name="MABEC" tableColumnId="1"/>
      <queryTableField id="2" name="Té théorique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2" xr16:uid="{D4D283FD-2B50-4998-BCE2-1B75F93AE9DD}" autoFormatId="16" applyNumberFormats="0" applyBorderFormats="0" applyFontFormats="0" applyPatternFormats="0" applyAlignmentFormats="0" applyWidthHeightFormats="0">
  <queryTableRefresh nextId="12">
    <queryTableFields count="11">
      <queryTableField id="1" name="Date-Heure de transaction" tableColumnId="1"/>
      <queryTableField id="2" name="Article" tableColumnId="2"/>
      <queryTableField id="3" name="Description article " tableColumnId="3"/>
      <queryTableField id="4" name="ID utilisateur" tableColumnId="4"/>
      <queryTableField id="5" name="Nom utilisateur" tableColumnId="5"/>
      <queryTableField id="6" name="Qté" tableColumnId="6"/>
      <queryTableField id="7" name="Activité " tableColumnId="7"/>
      <queryTableField id="8" name="OP " tableColumnId="8"/>
      <queryTableField id="9" name="Type " tableColumnId="9"/>
      <queryTableField id="10" name="Disque" tableColumnId="10"/>
      <queryTableField id="11" name="Cout " tableColumnId="1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3" xr16:uid="{79C3EE27-CA0B-45D1-BB9A-2D69EC6ABA99}" autoFormatId="16" applyNumberFormats="0" applyBorderFormats="0" applyFontFormats="0" applyPatternFormats="0" applyAlignmentFormats="0" applyWidthHeightFormats="0">
  <queryTableRefresh nextId="12">
    <queryTableFields count="11">
      <queryTableField id="1" name="Date-Heure de transaction" tableColumnId="1"/>
      <queryTableField id="2" name="Article" tableColumnId="2"/>
      <queryTableField id="3" name="Description article " tableColumnId="3"/>
      <queryTableField id="4" name="ID utilisateur" tableColumnId="4"/>
      <queryTableField id="5" name="Nom utilisateur" tableColumnId="5"/>
      <queryTableField id="6" name="Qté" tableColumnId="6"/>
      <queryTableField id="7" name="Activité " tableColumnId="7"/>
      <queryTableField id="8" name="OP " tableColumnId="8"/>
      <queryTableField id="9" name="Type " tableColumnId="9"/>
      <queryTableField id="10" name="Disque" tableColumnId="10"/>
      <queryTableField id="11" name="Cout " tableColumnId="11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CDF45E5-D84B-4137-A115-A14A0E7A2FC6}" name="Tableau_colonne" displayName="Tableau_colonne" ref="A1:K85" totalsRowShown="0" headerRowDxfId="96" dataDxfId="95">
  <autoFilter ref="A1:K85" xr:uid="{00000000-0009-0000-0000-000000000000}">
    <filterColumn colId="1">
      <filters>
        <filter val="IM02 137 022"/>
      </filters>
    </filterColumn>
    <filterColumn colId="7">
      <filters>
        <filter val="OP 20"/>
      </filters>
    </filterColumn>
  </autoFilter>
  <tableColumns count="11">
    <tableColumn id="1" xr3:uid="{F0425D5E-1377-4B59-9F27-1E3FB27F6EA0}" name="Date-Heure de transaction" dataDxfId="94"/>
    <tableColumn id="2" xr3:uid="{130F35A0-11B8-423C-B230-7FFFFA9484F4}" name="Article" dataDxfId="93"/>
    <tableColumn id="3" xr3:uid="{E8850F31-2A8B-4242-B9E1-E05D75A4313D}" name="Description article " dataDxfId="92"/>
    <tableColumn id="4" xr3:uid="{8914A579-544E-4AF3-AC63-CE1B17BEFCC4}" name="ID utilisateur" dataDxfId="91"/>
    <tableColumn id="5" xr3:uid="{2235BE93-7450-4408-9D4E-F0620663ECED}" name="Nom utilisateur" dataDxfId="90"/>
    <tableColumn id="6" xr3:uid="{B76FBBB5-2763-4D0F-B6EA-680BD8092377}" name="Qté" dataDxfId="89"/>
    <tableColumn id="7" xr3:uid="{FD4414A7-7382-4FDC-AD7A-FFA6D13B0626}" name="Activité " dataDxfId="88"/>
    <tableColumn id="8" xr3:uid="{1C5420BC-8513-4675-A565-B931B36DFD0A}" name="OP " dataDxfId="87"/>
    <tableColumn id="9" xr3:uid="{BABFD984-E42E-43CE-BE38-D14356F9537C}" name="Type " dataDxfId="86"/>
    <tableColumn id="10" xr3:uid="{F6C643B4-2516-4930-8743-4FDC4DA89A46}" name="Disque" dataDxfId="85"/>
    <tableColumn id="11" xr3:uid="{9514D737-DF58-4229-A6F3-F1777C5C4E09}" name="Cout " dataDxfId="8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37B83F3-CD88-4663-A5DF-9C65FD50947C}" name="Tableau_roto" displayName="Tableau_roto" ref="A3:O106" totalsRowShown="0" headerRowDxfId="83" dataDxfId="82">
  <autoFilter ref="A3:O106" xr:uid="{B37B83F3-CD88-4663-A5DF-9C65FD50947C}"/>
  <tableColumns count="15">
    <tableColumn id="1" xr3:uid="{9DD13E65-B126-4B76-8B70-D8B3583CF740}" name="Date-Heure de transaction" dataDxfId="30"/>
    <tableColumn id="2" xr3:uid="{5EB337B3-EFB4-4599-B8ED-FD984AD21AE0}" name="Description " dataDxfId="29"/>
    <tableColumn id="3" xr3:uid="{B108FC8C-A1C6-4C72-917B-8C862F03CCA2}" name="ID Utilisateur" dataDxfId="28"/>
    <tableColumn id="4" xr3:uid="{AEA33D52-E322-49AB-8254-09931FEFCFFE}" name="Nom Utilisateur" dataDxfId="27"/>
    <tableColumn id="5" xr3:uid="{EEF58D2F-3DD8-45AE-B3BF-02B067134E10}" name="Qté" dataDxfId="26"/>
    <tableColumn id="6" xr3:uid="{F18998F0-D000-4EE0-9392-351AE21F306C}" name="Activité" dataDxfId="25"/>
    <tableColumn id="7" xr3:uid="{12C07BB7-37C8-42D7-818D-E22A70C5E9EF}" name="VCGT110304" dataDxfId="81">
      <calculatedColumnFormula>IF(AND(ISNUMBER(SEARCH("8,6", $B4)),ISNUMBER(SEARCH("PCI 4", $F4))), 2*$E4, 0)</calculatedColumnFormula>
    </tableColumn>
    <tableColumn id="8" xr3:uid="{971B6FAB-5EE2-4634-ACFF-D2B6CA61874A}" name="EMBOUT D8,6" dataDxfId="80">
      <calculatedColumnFormula>IF(AND(ISNUMBER(SEARCH("8,6", $B4)),ISNUMBER(SEARCH("PCI 4", $F4))), $E4, 0)</calculatedColumnFormula>
    </tableColumn>
    <tableColumn id="9" xr3:uid="{3D869BA8-A257-4793-A572-F9EB844BF438}" name="TPGX0902ZPRGD" dataDxfId="79">
      <calculatedColumnFormula>IF(AND(ISNUMBER(SEARCH("13,36", $B4)),ISNUMBER(SEARCH("PCI 4", $F4))), 2*$E4, 0)</calculatedColumnFormula>
    </tableColumn>
    <tableColumn id="10" xr3:uid="{01C7EF02-55EE-401E-B2AC-18F938E8691A}" name="EMBOUT D13,3" dataDxfId="78">
      <calculatedColumnFormula>IF(AND(ISNUMBER(SEARCH("13,36", $B4)),ISNUMBER(SEARCH("PCI 4", $F4))), $E4, 0)</calculatedColumnFormula>
    </tableColumn>
    <tableColumn id="11" xr3:uid="{8988AE8F-DA30-489F-80B2-4BCE069AF3D1}" name="Colonne1"/>
    <tableColumn id="12" xr3:uid="{A69059D5-6BDA-4282-8E48-48C234730591}" name="VCGT1103042" dataDxfId="77">
      <calculatedColumnFormula>IF(AND(ISNUMBER(SEARCH("8,6", $B4)),ISNUMBER(SEARCH("PCI 5", $F4))), 2*$E4, 0)</calculatedColumnFormula>
    </tableColumn>
    <tableColumn id="13" xr3:uid="{972EC7E6-ADD0-4579-895E-7A986E4703FE}" name="EMBOUT D8,63" dataDxfId="76">
      <calculatedColumnFormula>IF(AND(ISNUMBER(SEARCH("8,6", $B4)),ISNUMBER(SEARCH("PCI 5", $F4))), $E4, 0)</calculatedColumnFormula>
    </tableColumn>
    <tableColumn id="14" xr3:uid="{DBBED6D6-A552-49A8-9454-6471BCAD3580}" name="TPGX0902ZPRGD4" dataDxfId="75">
      <calculatedColumnFormula>IF(AND(ISNUMBER(SEARCH("13,36", $B4)),ISNUMBER(SEARCH("PCI 5", $F4))), 2*$E4, 0)</calculatedColumnFormula>
    </tableColumn>
    <tableColumn id="15" xr3:uid="{C318ECFC-564B-4E6C-8BB7-61E530BE2485}" name="EMBOUT D13,35" dataDxfId="74">
      <calculatedColumnFormula>IF(AND(ISNUMBER(SEARCH("13,36", $B4)),ISNUMBER(SEARCH("PCI 5", $F4))), $E4, 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DD9A2B3-C9DB-4E4F-B1D6-4971B06CBF4B}" name="Tableau_plaquettes_roto" displayName="Tableau_plaquettes_roto" ref="A1:K9" totalsRowShown="0" headerRowDxfId="73" dataDxfId="72">
  <autoFilter ref="A1:K9" xr:uid="{BDD9A2B3-C9DB-4E4F-B1D6-4971B06CBF4B}"/>
  <tableColumns count="11">
    <tableColumn id="1" xr3:uid="{D45A6235-61EF-4DBC-9A73-E20B7EB42E3C}" name="Date-Heure de transaction" dataDxfId="71"/>
    <tableColumn id="2" xr3:uid="{ECA1973A-6B35-4506-A352-E60D1A56638E}" name="Article" dataDxfId="70"/>
    <tableColumn id="3" xr3:uid="{474C8CB4-54AE-4700-B5DA-67B45FE15ED8}" name="Description article " dataDxfId="69"/>
    <tableColumn id="4" xr3:uid="{7A3B05C5-02A8-4413-AA56-4DC3B7B89514}" name="ID utilisateur" dataDxfId="68"/>
    <tableColumn id="5" xr3:uid="{1F6BBE95-246F-4616-BBE9-E17A17E8FE27}" name="Nom utilisateur" dataDxfId="67"/>
    <tableColumn id="6" xr3:uid="{682F6C73-E045-4ABF-97F9-4F8DB510216E}" name="Qté" dataDxfId="66"/>
    <tableColumn id="7" xr3:uid="{53EFB2F3-F3FE-4678-9676-D79D7EE79448}" name="Activité " dataDxfId="65"/>
    <tableColumn id="8" xr3:uid="{5F257C93-C2F6-4148-8C74-7479874EF0BF}" name="OP " dataDxfId="64"/>
    <tableColumn id="9" xr3:uid="{3C0B06BD-EEB9-4A77-8588-DDDA9CEA396A}" name="Type " dataDxfId="63"/>
    <tableColumn id="10" xr3:uid="{9C846B81-7832-4BD7-AD16-796594CE9D94}" name="Disque" dataDxfId="62"/>
    <tableColumn id="11" xr3:uid="{5237E404-5611-4F3C-890C-ACD9F15CB023}" name="Cout " dataDxfId="6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E0C18C5-BE8A-49AA-851E-A1635CADECF6}" name="Tableau_plaquettes_complet" displayName="Tableau_plaquettes_complet" ref="A1:K82" tableType="queryTable" totalsRowShown="0">
  <autoFilter ref="A1:K82" xr:uid="{BE0C18C5-BE8A-49AA-851E-A1635CADECF6}"/>
  <tableColumns count="11">
    <tableColumn id="1" xr3:uid="{720EDC16-6E9E-4399-B35E-1512B0BB0F1C}" uniqueName="1" name="Date-Heure de transaction" queryTableFieldId="1" dataDxfId="1"/>
    <tableColumn id="2" xr3:uid="{65C1882B-03BE-4894-B305-69EF47D6DE7D}" uniqueName="2" name="Article" queryTableFieldId="2" dataDxfId="60"/>
    <tableColumn id="3" xr3:uid="{5E0B3A58-EB70-4BA0-B85F-95BF9D78CADA}" uniqueName="3" name="Description article " queryTableFieldId="3" dataDxfId="59"/>
    <tableColumn id="4" xr3:uid="{C925CCCA-E813-4471-A491-D2C79C48E444}" uniqueName="4" name="ID utilisateur" queryTableFieldId="4"/>
    <tableColumn id="5" xr3:uid="{1A701BF9-6193-45A9-A8CE-4E866C3CD3BE}" uniqueName="5" name="Nom utilisateur" queryTableFieldId="5"/>
    <tableColumn id="6" xr3:uid="{22EF1312-50AF-47A9-8ECA-A148B81D7823}" uniqueName="6" name="Qté" queryTableFieldId="6"/>
    <tableColumn id="7" xr3:uid="{1E5BD48F-2A18-4D0D-8218-CD0D64C92C7B}" uniqueName="7" name="Activité " queryTableFieldId="7" dataDxfId="58"/>
    <tableColumn id="8" xr3:uid="{675D9F4B-3A18-4E79-9757-6D777771159E}" uniqueName="8" name="OP " queryTableFieldId="8" dataDxfId="57"/>
    <tableColumn id="9" xr3:uid="{B2773CD7-D1CD-47C2-B39F-853BE4FB82FF}" uniqueName="9" name="Type " queryTableFieldId="9" dataDxfId="56"/>
    <tableColumn id="10" xr3:uid="{E02E89F1-8856-424C-87F2-6DE3427147CA}" uniqueName="10" name="Disque" queryTableFieldId="10"/>
    <tableColumn id="11" xr3:uid="{90DCC346-1495-48E8-BBB4-4ACDFE53AA06}" uniqueName="11" name="Cout " queryTableFieldId="1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D9F10D4-CB79-4ACA-8CC4-6593C099DBF5}" name="Tableau9" displayName="Tableau9" ref="A1:C18" totalsRowCount="1">
  <autoFilter ref="A1:C17" xr:uid="{AD9F10D4-CB79-4ACA-8CC4-6593C099DBF5}"/>
  <sortState xmlns:xlrd2="http://schemas.microsoft.com/office/spreadsheetml/2017/richdata2" ref="A2:C18">
    <sortCondition descending="1" ref="B1:B18"/>
  </sortState>
  <tableColumns count="3">
    <tableColumn id="1" xr3:uid="{CCC64183-5820-43DF-A5DA-7BEA7B4AACFE}" name="MABEC" totalsRowLabel="Total" dataDxfId="54" totalsRowDxfId="53"/>
    <tableColumn id="2" xr3:uid="{AE7911C2-798A-4B3A-B573-B6EBB50E9558}" name="Qté réelle" totalsRowFunction="sum" dataDxfId="52" totalsRowDxfId="51">
      <calculatedColumnFormula>SUMIF($M$2:$M$55,TRIM(A2),$N$2:$N$55)</calculatedColumnFormula>
    </tableColumn>
    <tableColumn id="3" xr3:uid="{C45600DB-51FF-44EC-AF43-2FF897022122}" name="Qté théorique " totalsRowFunction="sum" dataDxfId="50" totalsRowDxfId="49">
      <calculatedColumnFormula>SUMIF($I$2:$I$15,TRIM(A2),$J$2:$J$15)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83F9D7F-C1B4-4145-9855-7E4E9922B5BB}" name="Ajouter4" displayName="Ajouter4" ref="I1:J13" tableType="queryTable" totalsRowCount="1">
  <autoFilter ref="I1:J12" xr:uid="{883F9D7F-C1B4-4145-9855-7E4E9922B5BB}"/>
  <tableColumns count="2">
    <tableColumn id="1" xr3:uid="{5EAD1E1E-6DA4-446D-B67B-843D86CFFCFA}" uniqueName="1" name="MABEC" totalsRowLabel="Total" queryTableFieldId="1" dataDxfId="48"/>
    <tableColumn id="2" xr3:uid="{65AE70F1-DD82-4A0E-A68E-52D3FCD1265A}" uniqueName="2" name="Té théorique" totalsRowFunction="sum" queryTableFieldId="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2AEF14-F7BF-4315-96D1-6C435EF41D82}" name="PCI_4_302" displayName="PCI_4_302" ref="H27:I35" totalsRowShown="0">
  <autoFilter ref="H27:I35" xr:uid="{512AEF14-F7BF-4315-96D1-6C435EF41D82}"/>
  <tableColumns count="2">
    <tableColumn id="1" xr3:uid="{C6490BE4-5533-445F-AE56-69D2F3559E7F}" name="MABEC"/>
    <tableColumn id="2" xr3:uid="{D7D599D1-AEEB-465B-AA59-AA47142DE57C}" name="Qté théorique">
      <calculatedColumnFormula>SUMIF($D$4:$D$21,TRIM(H28),$J$4:$J$21)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015964A-ECBE-4517-ACDE-0006166FEC72}" name="PCI_4_283" displayName="PCI_4_283" ref="H26:I35" totalsRowShown="0">
  <autoFilter ref="H26:I35" xr:uid="{B015964A-ECBE-4517-ACDE-0006166FEC72}"/>
  <tableColumns count="2">
    <tableColumn id="1" xr3:uid="{85945E59-E1A3-4A04-9D45-9BAF8674A849}" name="MABEC"/>
    <tableColumn id="2" xr3:uid="{9C8C217F-AD5A-4276-84E7-859954D0E687}" name="Qté théorique" dataDxfId="47">
      <calculatedColumnFormula>SUMIF($D$4:$D$20,TRIM(H27),$J$4:$J$20)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C0EFE08-F6F7-4A14-BBFB-94C7F4F4084F}" name="PCI_4_268" displayName="PCI_4_268" ref="H27:I36" totalsRowShown="0">
  <autoFilter ref="H27:I36" xr:uid="{2C0EFE08-F6F7-4A14-BBFB-94C7F4F4084F}"/>
  <tableColumns count="2">
    <tableColumn id="1" xr3:uid="{91F347C2-9769-4328-B147-3E8F78D51BEA}" name="MABEC"/>
    <tableColumn id="2" xr3:uid="{67AB4658-431F-4C92-96CE-40E11B59D1B4}" name="Qté théorique" dataDxfId="46">
      <calculatedColumnFormula>SUMIF($D$4:$D$22,TRIM(H28),$J$4:$J$22)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2CDE4E1-5F2E-4C32-8B53-9438F0A2C271}" name="PCI_5_304" displayName="PCI_5_304" ref="I25:J33" totalsRowShown="0">
  <autoFilter ref="I25:J33" xr:uid="{92CDE4E1-5F2E-4C32-8B53-9438F0A2C271}"/>
  <tableColumns count="2">
    <tableColumn id="1" xr3:uid="{C9DBF384-ACEA-499B-B148-21B5DBCED8CA}" name="MABEC"/>
    <tableColumn id="2" xr3:uid="{92FBF7D3-4E99-43A7-9734-6FA439C9E049}" name="Qté théorique" dataDxfId="45">
      <calculatedColumnFormula>SUMIF($E$4:$E$21,TRIM(I26),$K$4:$K$21)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64BEA4-A714-4AB5-A6AE-E0379221CEFE}" name="PCI_5_268" displayName="PCI_5_268" ref="H26:I35" totalsRowShown="0">
  <autoFilter ref="H26:I35" xr:uid="{4164BEA4-A714-4AB5-A6AE-E0379221CEFE}"/>
  <tableColumns count="2">
    <tableColumn id="1" xr3:uid="{9664444A-7489-458C-9873-9A2C62E92719}" name="MABEC"/>
    <tableColumn id="2" xr3:uid="{F0780233-E96B-41FE-80B6-B4A4F37C1905}" name="Qté théorique" dataDxfId="44">
      <calculatedColumnFormula>SUMIF($D$4:$D$22,TRIM(H27),$J$4:$J$22)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5B4AC79-EA6F-46EB-9211-3C4BF4F99D7E}" name="Tableau_colonne_1" displayName="Tableau_colonne_1" ref="A1:K85" tableType="queryTable" totalsRowShown="0">
  <autoFilter ref="A1:K85" xr:uid="{C5B4AC79-EA6F-46EB-9211-3C4BF4F99D7E}"/>
  <tableColumns count="11">
    <tableColumn id="1" xr3:uid="{88891ED2-3517-49DB-93A6-72609F9BFB6A}" uniqueName="1" name="Date-Heure de transaction" queryTableFieldId="1" dataDxfId="2"/>
    <tableColumn id="2" xr3:uid="{0FB53B0F-0812-4A7A-B78C-038BCF77864D}" uniqueName="2" name="Article" queryTableFieldId="2" dataDxfId="43"/>
    <tableColumn id="3" xr3:uid="{5D3BF1C7-AB22-4165-A2F1-DCFDE9D9C3B6}" uniqueName="3" name="Description article " queryTableFieldId="3" dataDxfId="42"/>
    <tableColumn id="4" xr3:uid="{263CC057-1E87-47F1-8CBA-CCCA3C2A7C5E}" uniqueName="4" name="ID utilisateur" queryTableFieldId="4" dataDxfId="41"/>
    <tableColumn id="5" xr3:uid="{B773B267-5F1F-4B20-8D92-88F0748D1467}" uniqueName="5" name="Nom utilisateur" queryTableFieldId="5" dataDxfId="40"/>
    <tableColumn id="6" xr3:uid="{9CEF41DE-5D18-4EE3-9425-01C4BEF7AC29}" uniqueName="6" name="Qté" queryTableFieldId="6"/>
    <tableColumn id="7" xr3:uid="{FCCDB68F-9652-4C1E-9333-1A2B7D1F6F63}" uniqueName="7" name="Activité " queryTableFieldId="7" dataDxfId="39"/>
    <tableColumn id="8" xr3:uid="{DDB0D587-2233-4727-AC1E-AB6440B0240D}" uniqueName="8" name="OP " queryTableFieldId="8" dataDxfId="38"/>
    <tableColumn id="9" xr3:uid="{2768EFD5-291D-4F24-B58B-2E1A83F76228}" uniqueName="9" name="Type " queryTableFieldId="9" dataDxfId="37"/>
    <tableColumn id="10" xr3:uid="{C1CFAFC9-BC3C-4175-B766-9D193BAD8ABE}" uniqueName="10" name="Disque" queryTableFieldId="10" dataDxfId="36"/>
    <tableColumn id="11" xr3:uid="{258CDBB2-7930-4F78-AEFC-DE050216A88C}" uniqueName="11" name="Cout " queryTableFieldId="11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47051F0-BB77-45FC-A5D8-8DEB6FE56232}" name="Tableau_plaquettes_roto_1" displayName="Tableau_plaquettes_roto_1" ref="A1:K9" tableType="queryTable" totalsRowShown="0">
  <autoFilter ref="A1:K9" xr:uid="{747051F0-BB77-45FC-A5D8-8DEB6FE56232}"/>
  <tableColumns count="11">
    <tableColumn id="1" xr3:uid="{2B357B3D-9005-43C8-BE37-082005B720EE}" uniqueName="1" name="Date-Heure de transaction" queryTableFieldId="1"/>
    <tableColumn id="2" xr3:uid="{E08943BB-F3B4-4846-9DDE-67A7F29FC09E}" uniqueName="2" name="Article" queryTableFieldId="2" dataDxfId="35"/>
    <tableColumn id="3" xr3:uid="{1EBDC4CE-2C16-46F6-9472-D09631BBE0C4}" uniqueName="3" name="Description article " queryTableFieldId="3" dataDxfId="34"/>
    <tableColumn id="4" xr3:uid="{3F07E953-6486-4F77-B054-F9B40BC5ECEC}" uniqueName="4" name="ID utilisateur" queryTableFieldId="4"/>
    <tableColumn id="5" xr3:uid="{27335AAE-B7FA-4EA5-B132-CA955F1CDDA2}" uniqueName="5" name="Nom utilisateur" queryTableFieldId="5"/>
    <tableColumn id="6" xr3:uid="{05B8796B-DA3D-4282-A66E-ECD069836CBE}" uniqueName="6" name="Qté" queryTableFieldId="6"/>
    <tableColumn id="7" xr3:uid="{CF4A2B3D-8DAD-4F14-A161-147FF0835E21}" uniqueName="7" name="Activité " queryTableFieldId="7" dataDxfId="33"/>
    <tableColumn id="8" xr3:uid="{9500B400-5098-41AD-853D-1CCE1E8181D1}" uniqueName="8" name="OP " queryTableFieldId="8" dataDxfId="32"/>
    <tableColumn id="9" xr3:uid="{BF63F6DD-77B9-4783-A3E5-5237B091D185}" uniqueName="9" name="Type " queryTableFieldId="9" dataDxfId="31"/>
    <tableColumn id="10" xr3:uid="{A3A2CD6B-42AF-4412-B18D-776FAFD2639C}" uniqueName="10" name="Disque" queryTableFieldId="10"/>
    <tableColumn id="11" xr3:uid="{84B13A6F-4DFA-47AB-99D6-2E48C85F3626}" uniqueName="11" name="Cout 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K85"/>
  <sheetViews>
    <sheetView tabSelected="1" zoomScale="128" zoomScaleNormal="100" workbookViewId="0">
      <selection activeCell="H92" sqref="H92"/>
    </sheetView>
  </sheetViews>
  <sheetFormatPr baseColWidth="10" defaultColWidth="11.42578125" defaultRowHeight="15" x14ac:dyDescent="0.25"/>
  <cols>
    <col min="1" max="1" width="70.140625" bestFit="1" customWidth="1"/>
    <col min="2" max="2" width="21.42578125" bestFit="1" customWidth="1"/>
    <col min="3" max="3" width="31.5703125" customWidth="1"/>
    <col min="4" max="4" width="12.5703125" customWidth="1"/>
    <col min="5" max="5" width="17.28515625" bestFit="1" customWidth="1"/>
    <col min="6" max="6" width="9.28515625" bestFit="1" customWidth="1"/>
    <col min="7" max="7" width="9.42578125" customWidth="1"/>
    <col min="8" max="8" width="9" customWidth="1"/>
    <col min="9" max="9" width="9.85546875" bestFit="1" customWidth="1"/>
    <col min="10" max="10" width="9.85546875" customWidth="1"/>
    <col min="11" max="11" width="12.42578125" bestFit="1" customWidth="1"/>
    <col min="252" max="252" width="15.85546875" customWidth="1"/>
    <col min="253" max="254" width="9" customWidth="1"/>
    <col min="255" max="255" width="4" customWidth="1"/>
    <col min="256" max="257" width="9" customWidth="1"/>
    <col min="258" max="258" width="4" customWidth="1"/>
    <col min="259" max="261" width="9" customWidth="1"/>
    <col min="262" max="265" width="6.85546875" customWidth="1"/>
    <col min="266" max="266" width="9" customWidth="1"/>
    <col min="267" max="267" width="29.85546875" customWidth="1"/>
    <col min="508" max="508" width="15.85546875" customWidth="1"/>
    <col min="509" max="510" width="9" customWidth="1"/>
    <col min="511" max="511" width="4" customWidth="1"/>
    <col min="512" max="513" width="9" customWidth="1"/>
    <col min="514" max="514" width="4" customWidth="1"/>
    <col min="515" max="517" width="9" customWidth="1"/>
    <col min="518" max="521" width="6.85546875" customWidth="1"/>
    <col min="522" max="522" width="9" customWidth="1"/>
    <col min="523" max="523" width="29.85546875" customWidth="1"/>
    <col min="764" max="764" width="15.85546875" customWidth="1"/>
    <col min="765" max="766" width="9" customWidth="1"/>
    <col min="767" max="767" width="4" customWidth="1"/>
    <col min="768" max="769" width="9" customWidth="1"/>
    <col min="770" max="770" width="4" customWidth="1"/>
    <col min="771" max="773" width="9" customWidth="1"/>
    <col min="774" max="777" width="6.85546875" customWidth="1"/>
    <col min="778" max="778" width="9" customWidth="1"/>
    <col min="779" max="779" width="29.85546875" customWidth="1"/>
    <col min="1020" max="1020" width="15.85546875" customWidth="1"/>
    <col min="1021" max="1022" width="9" customWidth="1"/>
    <col min="1023" max="1023" width="4" customWidth="1"/>
    <col min="1024" max="1025" width="9" customWidth="1"/>
    <col min="1026" max="1026" width="4" customWidth="1"/>
    <col min="1027" max="1029" width="9" customWidth="1"/>
    <col min="1030" max="1033" width="6.85546875" customWidth="1"/>
    <col min="1034" max="1034" width="9" customWidth="1"/>
    <col min="1035" max="1035" width="29.85546875" customWidth="1"/>
    <col min="1276" max="1276" width="15.85546875" customWidth="1"/>
    <col min="1277" max="1278" width="9" customWidth="1"/>
    <col min="1279" max="1279" width="4" customWidth="1"/>
    <col min="1280" max="1281" width="9" customWidth="1"/>
    <col min="1282" max="1282" width="4" customWidth="1"/>
    <col min="1283" max="1285" width="9" customWidth="1"/>
    <col min="1286" max="1289" width="6.85546875" customWidth="1"/>
    <col min="1290" max="1290" width="9" customWidth="1"/>
    <col min="1291" max="1291" width="29.85546875" customWidth="1"/>
    <col min="1532" max="1532" width="15.85546875" customWidth="1"/>
    <col min="1533" max="1534" width="9" customWidth="1"/>
    <col min="1535" max="1535" width="4" customWidth="1"/>
    <col min="1536" max="1537" width="9" customWidth="1"/>
    <col min="1538" max="1538" width="4" customWidth="1"/>
    <col min="1539" max="1541" width="9" customWidth="1"/>
    <col min="1542" max="1545" width="6.85546875" customWidth="1"/>
    <col min="1546" max="1546" width="9" customWidth="1"/>
    <col min="1547" max="1547" width="29.85546875" customWidth="1"/>
    <col min="1788" max="1788" width="15.85546875" customWidth="1"/>
    <col min="1789" max="1790" width="9" customWidth="1"/>
    <col min="1791" max="1791" width="4" customWidth="1"/>
    <col min="1792" max="1793" width="9" customWidth="1"/>
    <col min="1794" max="1794" width="4" customWidth="1"/>
    <col min="1795" max="1797" width="9" customWidth="1"/>
    <col min="1798" max="1801" width="6.85546875" customWidth="1"/>
    <col min="1802" max="1802" width="9" customWidth="1"/>
    <col min="1803" max="1803" width="29.85546875" customWidth="1"/>
    <col min="2044" max="2044" width="15.85546875" customWidth="1"/>
    <col min="2045" max="2046" width="9" customWidth="1"/>
    <col min="2047" max="2047" width="4" customWidth="1"/>
    <col min="2048" max="2049" width="9" customWidth="1"/>
    <col min="2050" max="2050" width="4" customWidth="1"/>
    <col min="2051" max="2053" width="9" customWidth="1"/>
    <col min="2054" max="2057" width="6.85546875" customWidth="1"/>
    <col min="2058" max="2058" width="9" customWidth="1"/>
    <col min="2059" max="2059" width="29.85546875" customWidth="1"/>
    <col min="2300" max="2300" width="15.85546875" customWidth="1"/>
    <col min="2301" max="2302" width="9" customWidth="1"/>
    <col min="2303" max="2303" width="4" customWidth="1"/>
    <col min="2304" max="2305" width="9" customWidth="1"/>
    <col min="2306" max="2306" width="4" customWidth="1"/>
    <col min="2307" max="2309" width="9" customWidth="1"/>
    <col min="2310" max="2313" width="6.85546875" customWidth="1"/>
    <col min="2314" max="2314" width="9" customWidth="1"/>
    <col min="2315" max="2315" width="29.85546875" customWidth="1"/>
    <col min="2556" max="2556" width="15.85546875" customWidth="1"/>
    <col min="2557" max="2558" width="9" customWidth="1"/>
    <col min="2559" max="2559" width="4" customWidth="1"/>
    <col min="2560" max="2561" width="9" customWidth="1"/>
    <col min="2562" max="2562" width="4" customWidth="1"/>
    <col min="2563" max="2565" width="9" customWidth="1"/>
    <col min="2566" max="2569" width="6.85546875" customWidth="1"/>
    <col min="2570" max="2570" width="9" customWidth="1"/>
    <col min="2571" max="2571" width="29.85546875" customWidth="1"/>
    <col min="2812" max="2812" width="15.85546875" customWidth="1"/>
    <col min="2813" max="2814" width="9" customWidth="1"/>
    <col min="2815" max="2815" width="4" customWidth="1"/>
    <col min="2816" max="2817" width="9" customWidth="1"/>
    <col min="2818" max="2818" width="4" customWidth="1"/>
    <col min="2819" max="2821" width="9" customWidth="1"/>
    <col min="2822" max="2825" width="6.85546875" customWidth="1"/>
    <col min="2826" max="2826" width="9" customWidth="1"/>
    <col min="2827" max="2827" width="29.85546875" customWidth="1"/>
    <col min="3068" max="3068" width="15.85546875" customWidth="1"/>
    <col min="3069" max="3070" width="9" customWidth="1"/>
    <col min="3071" max="3071" width="4" customWidth="1"/>
    <col min="3072" max="3073" width="9" customWidth="1"/>
    <col min="3074" max="3074" width="4" customWidth="1"/>
    <col min="3075" max="3077" width="9" customWidth="1"/>
    <col min="3078" max="3081" width="6.85546875" customWidth="1"/>
    <col min="3082" max="3082" width="9" customWidth="1"/>
    <col min="3083" max="3083" width="29.85546875" customWidth="1"/>
    <col min="3324" max="3324" width="15.85546875" customWidth="1"/>
    <col min="3325" max="3326" width="9" customWidth="1"/>
    <col min="3327" max="3327" width="4" customWidth="1"/>
    <col min="3328" max="3329" width="9" customWidth="1"/>
    <col min="3330" max="3330" width="4" customWidth="1"/>
    <col min="3331" max="3333" width="9" customWidth="1"/>
    <col min="3334" max="3337" width="6.85546875" customWidth="1"/>
    <col min="3338" max="3338" width="9" customWidth="1"/>
    <col min="3339" max="3339" width="29.85546875" customWidth="1"/>
    <col min="3580" max="3580" width="15.85546875" customWidth="1"/>
    <col min="3581" max="3582" width="9" customWidth="1"/>
    <col min="3583" max="3583" width="4" customWidth="1"/>
    <col min="3584" max="3585" width="9" customWidth="1"/>
    <col min="3586" max="3586" width="4" customWidth="1"/>
    <col min="3587" max="3589" width="9" customWidth="1"/>
    <col min="3590" max="3593" width="6.85546875" customWidth="1"/>
    <col min="3594" max="3594" width="9" customWidth="1"/>
    <col min="3595" max="3595" width="29.85546875" customWidth="1"/>
    <col min="3836" max="3836" width="15.85546875" customWidth="1"/>
    <col min="3837" max="3838" width="9" customWidth="1"/>
    <col min="3839" max="3839" width="4" customWidth="1"/>
    <col min="3840" max="3841" width="9" customWidth="1"/>
    <col min="3842" max="3842" width="4" customWidth="1"/>
    <col min="3843" max="3845" width="9" customWidth="1"/>
    <col min="3846" max="3849" width="6.85546875" customWidth="1"/>
    <col min="3850" max="3850" width="9" customWidth="1"/>
    <col min="3851" max="3851" width="29.85546875" customWidth="1"/>
    <col min="4092" max="4092" width="15.85546875" customWidth="1"/>
    <col min="4093" max="4094" width="9" customWidth="1"/>
    <col min="4095" max="4095" width="4" customWidth="1"/>
    <col min="4096" max="4097" width="9" customWidth="1"/>
    <col min="4098" max="4098" width="4" customWidth="1"/>
    <col min="4099" max="4101" width="9" customWidth="1"/>
    <col min="4102" max="4105" width="6.85546875" customWidth="1"/>
    <col min="4106" max="4106" width="9" customWidth="1"/>
    <col min="4107" max="4107" width="29.85546875" customWidth="1"/>
    <col min="4348" max="4348" width="15.85546875" customWidth="1"/>
    <col min="4349" max="4350" width="9" customWidth="1"/>
    <col min="4351" max="4351" width="4" customWidth="1"/>
    <col min="4352" max="4353" width="9" customWidth="1"/>
    <col min="4354" max="4354" width="4" customWidth="1"/>
    <col min="4355" max="4357" width="9" customWidth="1"/>
    <col min="4358" max="4361" width="6.85546875" customWidth="1"/>
    <col min="4362" max="4362" width="9" customWidth="1"/>
    <col min="4363" max="4363" width="29.85546875" customWidth="1"/>
    <col min="4604" max="4604" width="15.85546875" customWidth="1"/>
    <col min="4605" max="4606" width="9" customWidth="1"/>
    <col min="4607" max="4607" width="4" customWidth="1"/>
    <col min="4608" max="4609" width="9" customWidth="1"/>
    <col min="4610" max="4610" width="4" customWidth="1"/>
    <col min="4611" max="4613" width="9" customWidth="1"/>
    <col min="4614" max="4617" width="6.85546875" customWidth="1"/>
    <col min="4618" max="4618" width="9" customWidth="1"/>
    <col min="4619" max="4619" width="29.85546875" customWidth="1"/>
    <col min="4860" max="4860" width="15.85546875" customWidth="1"/>
    <col min="4861" max="4862" width="9" customWidth="1"/>
    <col min="4863" max="4863" width="4" customWidth="1"/>
    <col min="4864" max="4865" width="9" customWidth="1"/>
    <col min="4866" max="4866" width="4" customWidth="1"/>
    <col min="4867" max="4869" width="9" customWidth="1"/>
    <col min="4870" max="4873" width="6.85546875" customWidth="1"/>
    <col min="4874" max="4874" width="9" customWidth="1"/>
    <col min="4875" max="4875" width="29.85546875" customWidth="1"/>
    <col min="5116" max="5116" width="15.85546875" customWidth="1"/>
    <col min="5117" max="5118" width="9" customWidth="1"/>
    <col min="5119" max="5119" width="4" customWidth="1"/>
    <col min="5120" max="5121" width="9" customWidth="1"/>
    <col min="5122" max="5122" width="4" customWidth="1"/>
    <col min="5123" max="5125" width="9" customWidth="1"/>
    <col min="5126" max="5129" width="6.85546875" customWidth="1"/>
    <col min="5130" max="5130" width="9" customWidth="1"/>
    <col min="5131" max="5131" width="29.85546875" customWidth="1"/>
    <col min="5372" max="5372" width="15.85546875" customWidth="1"/>
    <col min="5373" max="5374" width="9" customWidth="1"/>
    <col min="5375" max="5375" width="4" customWidth="1"/>
    <col min="5376" max="5377" width="9" customWidth="1"/>
    <col min="5378" max="5378" width="4" customWidth="1"/>
    <col min="5379" max="5381" width="9" customWidth="1"/>
    <col min="5382" max="5385" width="6.85546875" customWidth="1"/>
    <col min="5386" max="5386" width="9" customWidth="1"/>
    <col min="5387" max="5387" width="29.85546875" customWidth="1"/>
    <col min="5628" max="5628" width="15.85546875" customWidth="1"/>
    <col min="5629" max="5630" width="9" customWidth="1"/>
    <col min="5631" max="5631" width="4" customWidth="1"/>
    <col min="5632" max="5633" width="9" customWidth="1"/>
    <col min="5634" max="5634" width="4" customWidth="1"/>
    <col min="5635" max="5637" width="9" customWidth="1"/>
    <col min="5638" max="5641" width="6.85546875" customWidth="1"/>
    <col min="5642" max="5642" width="9" customWidth="1"/>
    <col min="5643" max="5643" width="29.85546875" customWidth="1"/>
    <col min="5884" max="5884" width="15.85546875" customWidth="1"/>
    <col min="5885" max="5886" width="9" customWidth="1"/>
    <col min="5887" max="5887" width="4" customWidth="1"/>
    <col min="5888" max="5889" width="9" customWidth="1"/>
    <col min="5890" max="5890" width="4" customWidth="1"/>
    <col min="5891" max="5893" width="9" customWidth="1"/>
    <col min="5894" max="5897" width="6.85546875" customWidth="1"/>
    <col min="5898" max="5898" width="9" customWidth="1"/>
    <col min="5899" max="5899" width="29.85546875" customWidth="1"/>
    <col min="6140" max="6140" width="15.85546875" customWidth="1"/>
    <col min="6141" max="6142" width="9" customWidth="1"/>
    <col min="6143" max="6143" width="4" customWidth="1"/>
    <col min="6144" max="6145" width="9" customWidth="1"/>
    <col min="6146" max="6146" width="4" customWidth="1"/>
    <col min="6147" max="6149" width="9" customWidth="1"/>
    <col min="6150" max="6153" width="6.85546875" customWidth="1"/>
    <col min="6154" max="6154" width="9" customWidth="1"/>
    <col min="6155" max="6155" width="29.85546875" customWidth="1"/>
    <col min="6396" max="6396" width="15.85546875" customWidth="1"/>
    <col min="6397" max="6398" width="9" customWidth="1"/>
    <col min="6399" max="6399" width="4" customWidth="1"/>
    <col min="6400" max="6401" width="9" customWidth="1"/>
    <col min="6402" max="6402" width="4" customWidth="1"/>
    <col min="6403" max="6405" width="9" customWidth="1"/>
    <col min="6406" max="6409" width="6.85546875" customWidth="1"/>
    <col min="6410" max="6410" width="9" customWidth="1"/>
    <col min="6411" max="6411" width="29.85546875" customWidth="1"/>
    <col min="6652" max="6652" width="15.85546875" customWidth="1"/>
    <col min="6653" max="6654" width="9" customWidth="1"/>
    <col min="6655" max="6655" width="4" customWidth="1"/>
    <col min="6656" max="6657" width="9" customWidth="1"/>
    <col min="6658" max="6658" width="4" customWidth="1"/>
    <col min="6659" max="6661" width="9" customWidth="1"/>
    <col min="6662" max="6665" width="6.85546875" customWidth="1"/>
    <col min="6666" max="6666" width="9" customWidth="1"/>
    <col min="6667" max="6667" width="29.85546875" customWidth="1"/>
    <col min="6908" max="6908" width="15.85546875" customWidth="1"/>
    <col min="6909" max="6910" width="9" customWidth="1"/>
    <col min="6911" max="6911" width="4" customWidth="1"/>
    <col min="6912" max="6913" width="9" customWidth="1"/>
    <col min="6914" max="6914" width="4" customWidth="1"/>
    <col min="6915" max="6917" width="9" customWidth="1"/>
    <col min="6918" max="6921" width="6.85546875" customWidth="1"/>
    <col min="6922" max="6922" width="9" customWidth="1"/>
    <col min="6923" max="6923" width="29.85546875" customWidth="1"/>
    <col min="7164" max="7164" width="15.85546875" customWidth="1"/>
    <col min="7165" max="7166" width="9" customWidth="1"/>
    <col min="7167" max="7167" width="4" customWidth="1"/>
    <col min="7168" max="7169" width="9" customWidth="1"/>
    <col min="7170" max="7170" width="4" customWidth="1"/>
    <col min="7171" max="7173" width="9" customWidth="1"/>
    <col min="7174" max="7177" width="6.85546875" customWidth="1"/>
    <col min="7178" max="7178" width="9" customWidth="1"/>
    <col min="7179" max="7179" width="29.85546875" customWidth="1"/>
    <col min="7420" max="7420" width="15.85546875" customWidth="1"/>
    <col min="7421" max="7422" width="9" customWidth="1"/>
    <col min="7423" max="7423" width="4" customWidth="1"/>
    <col min="7424" max="7425" width="9" customWidth="1"/>
    <col min="7426" max="7426" width="4" customWidth="1"/>
    <col min="7427" max="7429" width="9" customWidth="1"/>
    <col min="7430" max="7433" width="6.85546875" customWidth="1"/>
    <col min="7434" max="7434" width="9" customWidth="1"/>
    <col min="7435" max="7435" width="29.85546875" customWidth="1"/>
    <col min="7676" max="7676" width="15.85546875" customWidth="1"/>
    <col min="7677" max="7678" width="9" customWidth="1"/>
    <col min="7679" max="7679" width="4" customWidth="1"/>
    <col min="7680" max="7681" width="9" customWidth="1"/>
    <col min="7682" max="7682" width="4" customWidth="1"/>
    <col min="7683" max="7685" width="9" customWidth="1"/>
    <col min="7686" max="7689" width="6.85546875" customWidth="1"/>
    <col min="7690" max="7690" width="9" customWidth="1"/>
    <col min="7691" max="7691" width="29.85546875" customWidth="1"/>
    <col min="7932" max="7932" width="15.85546875" customWidth="1"/>
    <col min="7933" max="7934" width="9" customWidth="1"/>
    <col min="7935" max="7935" width="4" customWidth="1"/>
    <col min="7936" max="7937" width="9" customWidth="1"/>
    <col min="7938" max="7938" width="4" customWidth="1"/>
    <col min="7939" max="7941" width="9" customWidth="1"/>
    <col min="7942" max="7945" width="6.85546875" customWidth="1"/>
    <col min="7946" max="7946" width="9" customWidth="1"/>
    <col min="7947" max="7947" width="29.85546875" customWidth="1"/>
    <col min="8188" max="8188" width="15.85546875" customWidth="1"/>
    <col min="8189" max="8190" width="9" customWidth="1"/>
    <col min="8191" max="8191" width="4" customWidth="1"/>
    <col min="8192" max="8193" width="9" customWidth="1"/>
    <col min="8194" max="8194" width="4" customWidth="1"/>
    <col min="8195" max="8197" width="9" customWidth="1"/>
    <col min="8198" max="8201" width="6.85546875" customWidth="1"/>
    <col min="8202" max="8202" width="9" customWidth="1"/>
    <col min="8203" max="8203" width="29.85546875" customWidth="1"/>
    <col min="8444" max="8444" width="15.85546875" customWidth="1"/>
    <col min="8445" max="8446" width="9" customWidth="1"/>
    <col min="8447" max="8447" width="4" customWidth="1"/>
    <col min="8448" max="8449" width="9" customWidth="1"/>
    <col min="8450" max="8450" width="4" customWidth="1"/>
    <col min="8451" max="8453" width="9" customWidth="1"/>
    <col min="8454" max="8457" width="6.85546875" customWidth="1"/>
    <col min="8458" max="8458" width="9" customWidth="1"/>
    <col min="8459" max="8459" width="29.85546875" customWidth="1"/>
    <col min="8700" max="8700" width="15.85546875" customWidth="1"/>
    <col min="8701" max="8702" width="9" customWidth="1"/>
    <col min="8703" max="8703" width="4" customWidth="1"/>
    <col min="8704" max="8705" width="9" customWidth="1"/>
    <col min="8706" max="8706" width="4" customWidth="1"/>
    <col min="8707" max="8709" width="9" customWidth="1"/>
    <col min="8710" max="8713" width="6.85546875" customWidth="1"/>
    <col min="8714" max="8714" width="9" customWidth="1"/>
    <col min="8715" max="8715" width="29.85546875" customWidth="1"/>
    <col min="8956" max="8956" width="15.85546875" customWidth="1"/>
    <col min="8957" max="8958" width="9" customWidth="1"/>
    <col min="8959" max="8959" width="4" customWidth="1"/>
    <col min="8960" max="8961" width="9" customWidth="1"/>
    <col min="8962" max="8962" width="4" customWidth="1"/>
    <col min="8963" max="8965" width="9" customWidth="1"/>
    <col min="8966" max="8969" width="6.85546875" customWidth="1"/>
    <col min="8970" max="8970" width="9" customWidth="1"/>
    <col min="8971" max="8971" width="29.85546875" customWidth="1"/>
    <col min="9212" max="9212" width="15.85546875" customWidth="1"/>
    <col min="9213" max="9214" width="9" customWidth="1"/>
    <col min="9215" max="9215" width="4" customWidth="1"/>
    <col min="9216" max="9217" width="9" customWidth="1"/>
    <col min="9218" max="9218" width="4" customWidth="1"/>
    <col min="9219" max="9221" width="9" customWidth="1"/>
    <col min="9222" max="9225" width="6.85546875" customWidth="1"/>
    <col min="9226" max="9226" width="9" customWidth="1"/>
    <col min="9227" max="9227" width="29.85546875" customWidth="1"/>
    <col min="9468" max="9468" width="15.85546875" customWidth="1"/>
    <col min="9469" max="9470" width="9" customWidth="1"/>
    <col min="9471" max="9471" width="4" customWidth="1"/>
    <col min="9472" max="9473" width="9" customWidth="1"/>
    <col min="9474" max="9474" width="4" customWidth="1"/>
    <col min="9475" max="9477" width="9" customWidth="1"/>
    <col min="9478" max="9481" width="6.85546875" customWidth="1"/>
    <col min="9482" max="9482" width="9" customWidth="1"/>
    <col min="9483" max="9483" width="29.85546875" customWidth="1"/>
    <col min="9724" max="9724" width="15.85546875" customWidth="1"/>
    <col min="9725" max="9726" width="9" customWidth="1"/>
    <col min="9727" max="9727" width="4" customWidth="1"/>
    <col min="9728" max="9729" width="9" customWidth="1"/>
    <col min="9730" max="9730" width="4" customWidth="1"/>
    <col min="9731" max="9733" width="9" customWidth="1"/>
    <col min="9734" max="9737" width="6.85546875" customWidth="1"/>
    <col min="9738" max="9738" width="9" customWidth="1"/>
    <col min="9739" max="9739" width="29.85546875" customWidth="1"/>
    <col min="9980" max="9980" width="15.85546875" customWidth="1"/>
    <col min="9981" max="9982" width="9" customWidth="1"/>
    <col min="9983" max="9983" width="4" customWidth="1"/>
    <col min="9984" max="9985" width="9" customWidth="1"/>
    <col min="9986" max="9986" width="4" customWidth="1"/>
    <col min="9987" max="9989" width="9" customWidth="1"/>
    <col min="9990" max="9993" width="6.85546875" customWidth="1"/>
    <col min="9994" max="9994" width="9" customWidth="1"/>
    <col min="9995" max="9995" width="29.85546875" customWidth="1"/>
    <col min="10236" max="10236" width="15.85546875" customWidth="1"/>
    <col min="10237" max="10238" width="9" customWidth="1"/>
    <col min="10239" max="10239" width="4" customWidth="1"/>
    <col min="10240" max="10241" width="9" customWidth="1"/>
    <col min="10242" max="10242" width="4" customWidth="1"/>
    <col min="10243" max="10245" width="9" customWidth="1"/>
    <col min="10246" max="10249" width="6.85546875" customWidth="1"/>
    <col min="10250" max="10250" width="9" customWidth="1"/>
    <col min="10251" max="10251" width="29.85546875" customWidth="1"/>
    <col min="10492" max="10492" width="15.85546875" customWidth="1"/>
    <col min="10493" max="10494" width="9" customWidth="1"/>
    <col min="10495" max="10495" width="4" customWidth="1"/>
    <col min="10496" max="10497" width="9" customWidth="1"/>
    <col min="10498" max="10498" width="4" customWidth="1"/>
    <col min="10499" max="10501" width="9" customWidth="1"/>
    <col min="10502" max="10505" width="6.85546875" customWidth="1"/>
    <col min="10506" max="10506" width="9" customWidth="1"/>
    <col min="10507" max="10507" width="29.85546875" customWidth="1"/>
    <col min="10748" max="10748" width="15.85546875" customWidth="1"/>
    <col min="10749" max="10750" width="9" customWidth="1"/>
    <col min="10751" max="10751" width="4" customWidth="1"/>
    <col min="10752" max="10753" width="9" customWidth="1"/>
    <col min="10754" max="10754" width="4" customWidth="1"/>
    <col min="10755" max="10757" width="9" customWidth="1"/>
    <col min="10758" max="10761" width="6.85546875" customWidth="1"/>
    <col min="10762" max="10762" width="9" customWidth="1"/>
    <col min="10763" max="10763" width="29.85546875" customWidth="1"/>
    <col min="11004" max="11004" width="15.85546875" customWidth="1"/>
    <col min="11005" max="11006" width="9" customWidth="1"/>
    <col min="11007" max="11007" width="4" customWidth="1"/>
    <col min="11008" max="11009" width="9" customWidth="1"/>
    <col min="11010" max="11010" width="4" customWidth="1"/>
    <col min="11011" max="11013" width="9" customWidth="1"/>
    <col min="11014" max="11017" width="6.85546875" customWidth="1"/>
    <col min="11018" max="11018" width="9" customWidth="1"/>
    <col min="11019" max="11019" width="29.85546875" customWidth="1"/>
    <col min="11260" max="11260" width="15.85546875" customWidth="1"/>
    <col min="11261" max="11262" width="9" customWidth="1"/>
    <col min="11263" max="11263" width="4" customWidth="1"/>
    <col min="11264" max="11265" width="9" customWidth="1"/>
    <col min="11266" max="11266" width="4" customWidth="1"/>
    <col min="11267" max="11269" width="9" customWidth="1"/>
    <col min="11270" max="11273" width="6.85546875" customWidth="1"/>
    <col min="11274" max="11274" width="9" customWidth="1"/>
    <col min="11275" max="11275" width="29.85546875" customWidth="1"/>
    <col min="11516" max="11516" width="15.85546875" customWidth="1"/>
    <col min="11517" max="11518" width="9" customWidth="1"/>
    <col min="11519" max="11519" width="4" customWidth="1"/>
    <col min="11520" max="11521" width="9" customWidth="1"/>
    <col min="11522" max="11522" width="4" customWidth="1"/>
    <col min="11523" max="11525" width="9" customWidth="1"/>
    <col min="11526" max="11529" width="6.85546875" customWidth="1"/>
    <col min="11530" max="11530" width="9" customWidth="1"/>
    <col min="11531" max="11531" width="29.85546875" customWidth="1"/>
    <col min="11772" max="11772" width="15.85546875" customWidth="1"/>
    <col min="11773" max="11774" width="9" customWidth="1"/>
    <col min="11775" max="11775" width="4" customWidth="1"/>
    <col min="11776" max="11777" width="9" customWidth="1"/>
    <col min="11778" max="11778" width="4" customWidth="1"/>
    <col min="11779" max="11781" width="9" customWidth="1"/>
    <col min="11782" max="11785" width="6.85546875" customWidth="1"/>
    <col min="11786" max="11786" width="9" customWidth="1"/>
    <col min="11787" max="11787" width="29.85546875" customWidth="1"/>
    <col min="12028" max="12028" width="15.85546875" customWidth="1"/>
    <col min="12029" max="12030" width="9" customWidth="1"/>
    <col min="12031" max="12031" width="4" customWidth="1"/>
    <col min="12032" max="12033" width="9" customWidth="1"/>
    <col min="12034" max="12034" width="4" customWidth="1"/>
    <col min="12035" max="12037" width="9" customWidth="1"/>
    <col min="12038" max="12041" width="6.85546875" customWidth="1"/>
    <col min="12042" max="12042" width="9" customWidth="1"/>
    <col min="12043" max="12043" width="29.85546875" customWidth="1"/>
    <col min="12284" max="12284" width="15.85546875" customWidth="1"/>
    <col min="12285" max="12286" width="9" customWidth="1"/>
    <col min="12287" max="12287" width="4" customWidth="1"/>
    <col min="12288" max="12289" width="9" customWidth="1"/>
    <col min="12290" max="12290" width="4" customWidth="1"/>
    <col min="12291" max="12293" width="9" customWidth="1"/>
    <col min="12294" max="12297" width="6.85546875" customWidth="1"/>
    <col min="12298" max="12298" width="9" customWidth="1"/>
    <col min="12299" max="12299" width="29.85546875" customWidth="1"/>
    <col min="12540" max="12540" width="15.85546875" customWidth="1"/>
    <col min="12541" max="12542" width="9" customWidth="1"/>
    <col min="12543" max="12543" width="4" customWidth="1"/>
    <col min="12544" max="12545" width="9" customWidth="1"/>
    <col min="12546" max="12546" width="4" customWidth="1"/>
    <col min="12547" max="12549" width="9" customWidth="1"/>
    <col min="12550" max="12553" width="6.85546875" customWidth="1"/>
    <col min="12554" max="12554" width="9" customWidth="1"/>
    <col min="12555" max="12555" width="29.85546875" customWidth="1"/>
    <col min="12796" max="12796" width="15.85546875" customWidth="1"/>
    <col min="12797" max="12798" width="9" customWidth="1"/>
    <col min="12799" max="12799" width="4" customWidth="1"/>
    <col min="12800" max="12801" width="9" customWidth="1"/>
    <col min="12802" max="12802" width="4" customWidth="1"/>
    <col min="12803" max="12805" width="9" customWidth="1"/>
    <col min="12806" max="12809" width="6.85546875" customWidth="1"/>
    <col min="12810" max="12810" width="9" customWidth="1"/>
    <col min="12811" max="12811" width="29.85546875" customWidth="1"/>
    <col min="13052" max="13052" width="15.85546875" customWidth="1"/>
    <col min="13053" max="13054" width="9" customWidth="1"/>
    <col min="13055" max="13055" width="4" customWidth="1"/>
    <col min="13056" max="13057" width="9" customWidth="1"/>
    <col min="13058" max="13058" width="4" customWidth="1"/>
    <col min="13059" max="13061" width="9" customWidth="1"/>
    <col min="13062" max="13065" width="6.85546875" customWidth="1"/>
    <col min="13066" max="13066" width="9" customWidth="1"/>
    <col min="13067" max="13067" width="29.85546875" customWidth="1"/>
    <col min="13308" max="13308" width="15.85546875" customWidth="1"/>
    <col min="13309" max="13310" width="9" customWidth="1"/>
    <col min="13311" max="13311" width="4" customWidth="1"/>
    <col min="13312" max="13313" width="9" customWidth="1"/>
    <col min="13314" max="13314" width="4" customWidth="1"/>
    <col min="13315" max="13317" width="9" customWidth="1"/>
    <col min="13318" max="13321" width="6.85546875" customWidth="1"/>
    <col min="13322" max="13322" width="9" customWidth="1"/>
    <col min="13323" max="13323" width="29.85546875" customWidth="1"/>
    <col min="13564" max="13564" width="15.85546875" customWidth="1"/>
    <col min="13565" max="13566" width="9" customWidth="1"/>
    <col min="13567" max="13567" width="4" customWidth="1"/>
    <col min="13568" max="13569" width="9" customWidth="1"/>
    <col min="13570" max="13570" width="4" customWidth="1"/>
    <col min="13571" max="13573" width="9" customWidth="1"/>
    <col min="13574" max="13577" width="6.85546875" customWidth="1"/>
    <col min="13578" max="13578" width="9" customWidth="1"/>
    <col min="13579" max="13579" width="29.85546875" customWidth="1"/>
    <col min="13820" max="13820" width="15.85546875" customWidth="1"/>
    <col min="13821" max="13822" width="9" customWidth="1"/>
    <col min="13823" max="13823" width="4" customWidth="1"/>
    <col min="13824" max="13825" width="9" customWidth="1"/>
    <col min="13826" max="13826" width="4" customWidth="1"/>
    <col min="13827" max="13829" width="9" customWidth="1"/>
    <col min="13830" max="13833" width="6.85546875" customWidth="1"/>
    <col min="13834" max="13834" width="9" customWidth="1"/>
    <col min="13835" max="13835" width="29.85546875" customWidth="1"/>
    <col min="14076" max="14076" width="15.85546875" customWidth="1"/>
    <col min="14077" max="14078" width="9" customWidth="1"/>
    <col min="14079" max="14079" width="4" customWidth="1"/>
    <col min="14080" max="14081" width="9" customWidth="1"/>
    <col min="14082" max="14082" width="4" customWidth="1"/>
    <col min="14083" max="14085" width="9" customWidth="1"/>
    <col min="14086" max="14089" width="6.85546875" customWidth="1"/>
    <col min="14090" max="14090" width="9" customWidth="1"/>
    <col min="14091" max="14091" width="29.85546875" customWidth="1"/>
    <col min="14332" max="14332" width="15.85546875" customWidth="1"/>
    <col min="14333" max="14334" width="9" customWidth="1"/>
    <col min="14335" max="14335" width="4" customWidth="1"/>
    <col min="14336" max="14337" width="9" customWidth="1"/>
    <col min="14338" max="14338" width="4" customWidth="1"/>
    <col min="14339" max="14341" width="9" customWidth="1"/>
    <col min="14342" max="14345" width="6.85546875" customWidth="1"/>
    <col min="14346" max="14346" width="9" customWidth="1"/>
    <col min="14347" max="14347" width="29.85546875" customWidth="1"/>
    <col min="14588" max="14588" width="15.85546875" customWidth="1"/>
    <col min="14589" max="14590" width="9" customWidth="1"/>
    <col min="14591" max="14591" width="4" customWidth="1"/>
    <col min="14592" max="14593" width="9" customWidth="1"/>
    <col min="14594" max="14594" width="4" customWidth="1"/>
    <col min="14595" max="14597" width="9" customWidth="1"/>
    <col min="14598" max="14601" width="6.85546875" customWidth="1"/>
    <col min="14602" max="14602" width="9" customWidth="1"/>
    <col min="14603" max="14603" width="29.85546875" customWidth="1"/>
    <col min="14844" max="14844" width="15.85546875" customWidth="1"/>
    <col min="14845" max="14846" width="9" customWidth="1"/>
    <col min="14847" max="14847" width="4" customWidth="1"/>
    <col min="14848" max="14849" width="9" customWidth="1"/>
    <col min="14850" max="14850" width="4" customWidth="1"/>
    <col min="14851" max="14853" width="9" customWidth="1"/>
    <col min="14854" max="14857" width="6.85546875" customWidth="1"/>
    <col min="14858" max="14858" width="9" customWidth="1"/>
    <col min="14859" max="14859" width="29.85546875" customWidth="1"/>
    <col min="15100" max="15100" width="15.85546875" customWidth="1"/>
    <col min="15101" max="15102" width="9" customWidth="1"/>
    <col min="15103" max="15103" width="4" customWidth="1"/>
    <col min="15104" max="15105" width="9" customWidth="1"/>
    <col min="15106" max="15106" width="4" customWidth="1"/>
    <col min="15107" max="15109" width="9" customWidth="1"/>
    <col min="15110" max="15113" width="6.85546875" customWidth="1"/>
    <col min="15114" max="15114" width="9" customWidth="1"/>
    <col min="15115" max="15115" width="29.85546875" customWidth="1"/>
    <col min="15356" max="15356" width="15.85546875" customWidth="1"/>
    <col min="15357" max="15358" width="9" customWidth="1"/>
    <col min="15359" max="15359" width="4" customWidth="1"/>
    <col min="15360" max="15361" width="9" customWidth="1"/>
    <col min="15362" max="15362" width="4" customWidth="1"/>
    <col min="15363" max="15365" width="9" customWidth="1"/>
    <col min="15366" max="15369" width="6.85546875" customWidth="1"/>
    <col min="15370" max="15370" width="9" customWidth="1"/>
    <col min="15371" max="15371" width="29.85546875" customWidth="1"/>
    <col min="15612" max="15612" width="15.85546875" customWidth="1"/>
    <col min="15613" max="15614" width="9" customWidth="1"/>
    <col min="15615" max="15615" width="4" customWidth="1"/>
    <col min="15616" max="15617" width="9" customWidth="1"/>
    <col min="15618" max="15618" width="4" customWidth="1"/>
    <col min="15619" max="15621" width="9" customWidth="1"/>
    <col min="15622" max="15625" width="6.85546875" customWidth="1"/>
    <col min="15626" max="15626" width="9" customWidth="1"/>
    <col min="15627" max="15627" width="29.85546875" customWidth="1"/>
    <col min="15868" max="15868" width="15.85546875" customWidth="1"/>
    <col min="15869" max="15870" width="9" customWidth="1"/>
    <col min="15871" max="15871" width="4" customWidth="1"/>
    <col min="15872" max="15873" width="9" customWidth="1"/>
    <col min="15874" max="15874" width="4" customWidth="1"/>
    <col min="15875" max="15877" width="9" customWidth="1"/>
    <col min="15878" max="15881" width="6.85546875" customWidth="1"/>
    <col min="15882" max="15882" width="9" customWidth="1"/>
    <col min="15883" max="15883" width="29.85546875" customWidth="1"/>
    <col min="16124" max="16124" width="15.85546875" customWidth="1"/>
    <col min="16125" max="16126" width="9" customWidth="1"/>
    <col min="16127" max="16127" width="4" customWidth="1"/>
    <col min="16128" max="16129" width="9" customWidth="1"/>
    <col min="16130" max="16130" width="4" customWidth="1"/>
    <col min="16131" max="16133" width="9" customWidth="1"/>
    <col min="16134" max="16137" width="6.85546875" customWidth="1"/>
    <col min="16138" max="16138" width="9" customWidth="1"/>
    <col min="16139" max="16139" width="29.85546875" customWidth="1"/>
  </cols>
  <sheetData>
    <row r="1" spans="1:11" s="4" customFormat="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hidden="1" x14ac:dyDescent="0.25">
      <c r="A2" s="98">
        <v>46290.11341435185</v>
      </c>
      <c r="B2" s="99" t="s">
        <v>15</v>
      </c>
      <c r="C2" s="99" t="s">
        <v>131</v>
      </c>
      <c r="D2" s="99" t="s">
        <v>141</v>
      </c>
      <c r="E2" s="99" t="s">
        <v>142</v>
      </c>
      <c r="F2" s="178">
        <v>5</v>
      </c>
      <c r="G2" s="99" t="s">
        <v>12</v>
      </c>
      <c r="H2" s="99" t="s">
        <v>17</v>
      </c>
      <c r="I2" s="99" t="s">
        <v>14</v>
      </c>
      <c r="J2" s="99" t="s">
        <v>136</v>
      </c>
      <c r="K2" s="100">
        <v>39.799999999999997</v>
      </c>
    </row>
    <row r="3" spans="1:11" hidden="1" x14ac:dyDescent="0.25">
      <c r="A3" s="98">
        <v>46290.113541666666</v>
      </c>
      <c r="B3" s="99" t="s">
        <v>15</v>
      </c>
      <c r="C3" s="99" t="s">
        <v>131</v>
      </c>
      <c r="D3" s="99" t="s">
        <v>141</v>
      </c>
      <c r="E3" s="99" t="s">
        <v>142</v>
      </c>
      <c r="F3" s="178">
        <v>5</v>
      </c>
      <c r="G3" s="99" t="s">
        <v>12</v>
      </c>
      <c r="H3" s="99" t="s">
        <v>13</v>
      </c>
      <c r="I3" s="99" t="s">
        <v>14</v>
      </c>
      <c r="J3" s="99" t="s">
        <v>136</v>
      </c>
      <c r="K3" s="100">
        <v>39.799999999999997</v>
      </c>
    </row>
    <row r="4" spans="1:11" hidden="1" x14ac:dyDescent="0.25">
      <c r="A4" s="98">
        <v>46290.589270833334</v>
      </c>
      <c r="B4" s="99" t="s">
        <v>19</v>
      </c>
      <c r="C4" s="99" t="s">
        <v>135</v>
      </c>
      <c r="D4" s="99" t="s">
        <v>175</v>
      </c>
      <c r="E4" s="99" t="s">
        <v>176</v>
      </c>
      <c r="F4" s="178">
        <v>5</v>
      </c>
      <c r="G4" s="99" t="s">
        <v>12</v>
      </c>
      <c r="H4" s="99" t="s">
        <v>20</v>
      </c>
      <c r="I4" s="99" t="s">
        <v>14</v>
      </c>
      <c r="J4" s="99" t="s">
        <v>136</v>
      </c>
      <c r="K4" s="100">
        <v>47.8</v>
      </c>
    </row>
    <row r="5" spans="1:11" hidden="1" x14ac:dyDescent="0.25">
      <c r="A5" s="98">
        <v>46290.589490740742</v>
      </c>
      <c r="B5" s="99" t="s">
        <v>19</v>
      </c>
      <c r="C5" s="99" t="s">
        <v>135</v>
      </c>
      <c r="D5" s="99" t="s">
        <v>175</v>
      </c>
      <c r="E5" s="99" t="s">
        <v>176</v>
      </c>
      <c r="F5" s="178">
        <v>5</v>
      </c>
      <c r="G5" s="99" t="s">
        <v>16</v>
      </c>
      <c r="H5" s="99" t="s">
        <v>20</v>
      </c>
      <c r="I5" s="99" t="s">
        <v>14</v>
      </c>
      <c r="J5" s="99" t="s">
        <v>136</v>
      </c>
      <c r="K5" s="100">
        <v>47.8</v>
      </c>
    </row>
    <row r="6" spans="1:11" hidden="1" x14ac:dyDescent="0.25">
      <c r="A6" s="98">
        <v>46290.897280092591</v>
      </c>
      <c r="B6" s="99" t="s">
        <v>19</v>
      </c>
      <c r="C6" s="99" t="s">
        <v>135</v>
      </c>
      <c r="D6" s="99" t="s">
        <v>141</v>
      </c>
      <c r="E6" s="99" t="s">
        <v>142</v>
      </c>
      <c r="F6" s="178">
        <v>5</v>
      </c>
      <c r="G6" s="99" t="s">
        <v>12</v>
      </c>
      <c r="H6" s="99" t="s">
        <v>20</v>
      </c>
      <c r="I6" s="99" t="s">
        <v>14</v>
      </c>
      <c r="J6" s="99" t="s">
        <v>136</v>
      </c>
      <c r="K6" s="100">
        <v>47.8</v>
      </c>
    </row>
    <row r="7" spans="1:11" hidden="1" x14ac:dyDescent="0.25">
      <c r="A7" s="98">
        <v>46290.897465277776</v>
      </c>
      <c r="B7" s="99" t="s">
        <v>21</v>
      </c>
      <c r="C7" s="99" t="s">
        <v>138</v>
      </c>
      <c r="D7" s="99" t="s">
        <v>141</v>
      </c>
      <c r="E7" s="99" t="s">
        <v>142</v>
      </c>
      <c r="F7" s="178">
        <v>5</v>
      </c>
      <c r="G7" s="99" t="s">
        <v>12</v>
      </c>
      <c r="H7" s="99" t="s">
        <v>20</v>
      </c>
      <c r="I7" s="99" t="s">
        <v>14</v>
      </c>
      <c r="J7" s="99" t="s">
        <v>136</v>
      </c>
      <c r="K7" s="100">
        <v>48.7</v>
      </c>
    </row>
    <row r="8" spans="1:11" hidden="1" x14ac:dyDescent="0.25">
      <c r="A8" s="98">
        <v>46290.897731481484</v>
      </c>
      <c r="B8" s="99" t="s">
        <v>18</v>
      </c>
      <c r="C8" s="99" t="s">
        <v>133</v>
      </c>
      <c r="D8" s="99" t="s">
        <v>141</v>
      </c>
      <c r="E8" s="99" t="s">
        <v>142</v>
      </c>
      <c r="F8" s="178">
        <v>5</v>
      </c>
      <c r="G8" s="99" t="s">
        <v>16</v>
      </c>
      <c r="H8" s="99" t="s">
        <v>20</v>
      </c>
      <c r="I8" s="99" t="s">
        <v>14</v>
      </c>
      <c r="J8" s="99" t="s">
        <v>132</v>
      </c>
      <c r="K8" s="100">
        <v>39.799999999999997</v>
      </c>
    </row>
    <row r="9" spans="1:11" hidden="1" x14ac:dyDescent="0.25">
      <c r="A9" s="98">
        <v>46290.950659722221</v>
      </c>
      <c r="B9" s="99" t="s">
        <v>18</v>
      </c>
      <c r="C9" s="99" t="s">
        <v>133</v>
      </c>
      <c r="D9" s="99" t="s">
        <v>152</v>
      </c>
      <c r="E9" s="99" t="s">
        <v>153</v>
      </c>
      <c r="F9" s="178">
        <v>5</v>
      </c>
      <c r="G9" s="99" t="s">
        <v>16</v>
      </c>
      <c r="H9" s="99" t="s">
        <v>17</v>
      </c>
      <c r="I9" s="99" t="s">
        <v>14</v>
      </c>
      <c r="J9" s="99" t="s">
        <v>132</v>
      </c>
      <c r="K9" s="100">
        <v>39.799999999999997</v>
      </c>
    </row>
    <row r="10" spans="1:11" hidden="1" x14ac:dyDescent="0.25">
      <c r="A10" s="98">
        <v>46291.074479166666</v>
      </c>
      <c r="B10" s="99" t="s">
        <v>11</v>
      </c>
      <c r="C10" s="99" t="s">
        <v>134</v>
      </c>
      <c r="D10" s="99" t="s">
        <v>141</v>
      </c>
      <c r="E10" s="99" t="s">
        <v>142</v>
      </c>
      <c r="F10" s="178">
        <v>10</v>
      </c>
      <c r="G10" s="99" t="s">
        <v>16</v>
      </c>
      <c r="H10" s="99" t="s">
        <v>13</v>
      </c>
      <c r="I10" s="99" t="s">
        <v>14</v>
      </c>
      <c r="J10" s="99" t="s">
        <v>132</v>
      </c>
      <c r="K10" s="100">
        <v>100</v>
      </c>
    </row>
    <row r="11" spans="1:11" hidden="1" x14ac:dyDescent="0.25">
      <c r="A11" s="98">
        <v>46291.185972222222</v>
      </c>
      <c r="B11" s="99" t="s">
        <v>15</v>
      </c>
      <c r="C11" s="99" t="s">
        <v>131</v>
      </c>
      <c r="D11" s="99" t="s">
        <v>141</v>
      </c>
      <c r="E11" s="99" t="s">
        <v>142</v>
      </c>
      <c r="F11" s="178">
        <v>5</v>
      </c>
      <c r="G11" s="99" t="s">
        <v>12</v>
      </c>
      <c r="H11" s="99" t="s">
        <v>13</v>
      </c>
      <c r="I11" s="99" t="s">
        <v>14</v>
      </c>
      <c r="J11" s="99" t="s">
        <v>136</v>
      </c>
      <c r="K11" s="100">
        <v>39.799999999999997</v>
      </c>
    </row>
    <row r="12" spans="1:11" hidden="1" x14ac:dyDescent="0.25">
      <c r="A12" s="98">
        <v>46291.186168981483</v>
      </c>
      <c r="B12" s="99" t="s">
        <v>15</v>
      </c>
      <c r="C12" s="99" t="s">
        <v>131</v>
      </c>
      <c r="D12" s="99" t="s">
        <v>141</v>
      </c>
      <c r="E12" s="99" t="s">
        <v>142</v>
      </c>
      <c r="F12" s="178">
        <v>5</v>
      </c>
      <c r="G12" s="99" t="s">
        <v>16</v>
      </c>
      <c r="H12" s="99" t="s">
        <v>17</v>
      </c>
      <c r="I12" s="99" t="s">
        <v>14</v>
      </c>
      <c r="J12" s="99" t="s">
        <v>132</v>
      </c>
      <c r="K12" s="100">
        <v>39.799999999999997</v>
      </c>
    </row>
    <row r="13" spans="1:11" hidden="1" x14ac:dyDescent="0.25">
      <c r="A13" s="98">
        <v>46291.247754629629</v>
      </c>
      <c r="B13" s="99" t="s">
        <v>15</v>
      </c>
      <c r="C13" s="99" t="s">
        <v>131</v>
      </c>
      <c r="D13" s="99" t="s">
        <v>127</v>
      </c>
      <c r="E13" s="99" t="s">
        <v>128</v>
      </c>
      <c r="F13" s="178">
        <v>5</v>
      </c>
      <c r="G13" s="99" t="s">
        <v>12</v>
      </c>
      <c r="H13" s="99" t="s">
        <v>17</v>
      </c>
      <c r="I13" s="99" t="s">
        <v>14</v>
      </c>
      <c r="J13" s="99" t="s">
        <v>136</v>
      </c>
      <c r="K13" s="100">
        <v>39.799999999999997</v>
      </c>
    </row>
    <row r="14" spans="1:11" hidden="1" x14ac:dyDescent="0.25">
      <c r="A14" s="98">
        <v>46291.247893518521</v>
      </c>
      <c r="B14" s="99" t="s">
        <v>18</v>
      </c>
      <c r="C14" s="99" t="s">
        <v>133</v>
      </c>
      <c r="D14" s="99" t="s">
        <v>127</v>
      </c>
      <c r="E14" s="99" t="s">
        <v>128</v>
      </c>
      <c r="F14" s="178">
        <v>5</v>
      </c>
      <c r="G14" s="99" t="s">
        <v>12</v>
      </c>
      <c r="H14" s="99" t="s">
        <v>17</v>
      </c>
      <c r="I14" s="99" t="s">
        <v>14</v>
      </c>
      <c r="J14" s="99" t="s">
        <v>136</v>
      </c>
      <c r="K14" s="100">
        <v>39.799999999999997</v>
      </c>
    </row>
    <row r="15" spans="1:11" hidden="1" x14ac:dyDescent="0.25">
      <c r="A15" s="98">
        <v>46291.248078703706</v>
      </c>
      <c r="B15" s="99" t="s">
        <v>15</v>
      </c>
      <c r="C15" s="99" t="s">
        <v>131</v>
      </c>
      <c r="D15" s="99" t="s">
        <v>127</v>
      </c>
      <c r="E15" s="99" t="s">
        <v>128</v>
      </c>
      <c r="F15" s="178">
        <v>5</v>
      </c>
      <c r="G15" s="99" t="s">
        <v>12</v>
      </c>
      <c r="H15" s="99" t="s">
        <v>13</v>
      </c>
      <c r="I15" s="99" t="s">
        <v>14</v>
      </c>
      <c r="J15" s="99" t="s">
        <v>136</v>
      </c>
      <c r="K15" s="100">
        <v>39.799999999999997</v>
      </c>
    </row>
    <row r="16" spans="1:11" x14ac:dyDescent="0.25">
      <c r="A16" s="98">
        <v>46291.248229166667</v>
      </c>
      <c r="B16" s="99" t="s">
        <v>18</v>
      </c>
      <c r="C16" s="99" t="s">
        <v>133</v>
      </c>
      <c r="D16" s="99" t="s">
        <v>127</v>
      </c>
      <c r="E16" s="99" t="s">
        <v>128</v>
      </c>
      <c r="F16" s="178">
        <v>5</v>
      </c>
      <c r="G16" s="99" t="s">
        <v>12</v>
      </c>
      <c r="H16" s="99" t="s">
        <v>13</v>
      </c>
      <c r="I16" s="99" t="s">
        <v>14</v>
      </c>
      <c r="J16" s="99" t="s">
        <v>136</v>
      </c>
      <c r="K16" s="100">
        <v>39.799999999999997</v>
      </c>
    </row>
    <row r="17" spans="1:11" hidden="1" x14ac:dyDescent="0.25">
      <c r="A17" s="98">
        <v>46291.248449074075</v>
      </c>
      <c r="B17" s="99" t="s">
        <v>21</v>
      </c>
      <c r="C17" s="99" t="s">
        <v>138</v>
      </c>
      <c r="D17" s="99" t="s">
        <v>127</v>
      </c>
      <c r="E17" s="99" t="s">
        <v>128</v>
      </c>
      <c r="F17" s="178">
        <v>5</v>
      </c>
      <c r="G17" s="99" t="s">
        <v>12</v>
      </c>
      <c r="H17" s="99" t="s">
        <v>20</v>
      </c>
      <c r="I17" s="99" t="s">
        <v>14</v>
      </c>
      <c r="J17" s="99" t="s">
        <v>136</v>
      </c>
      <c r="K17" s="100">
        <v>48.7</v>
      </c>
    </row>
    <row r="18" spans="1:11" hidden="1" x14ac:dyDescent="0.25">
      <c r="A18" s="98">
        <v>46291.248657407406</v>
      </c>
      <c r="B18" s="99" t="s">
        <v>19</v>
      </c>
      <c r="C18" s="99" t="s">
        <v>135</v>
      </c>
      <c r="D18" s="99" t="s">
        <v>127</v>
      </c>
      <c r="E18" s="99" t="s">
        <v>128</v>
      </c>
      <c r="F18" s="178">
        <v>5</v>
      </c>
      <c r="G18" s="99" t="s">
        <v>12</v>
      </c>
      <c r="H18" s="99" t="s">
        <v>20</v>
      </c>
      <c r="I18" s="99" t="s">
        <v>14</v>
      </c>
      <c r="J18" s="99" t="s">
        <v>136</v>
      </c>
      <c r="K18" s="100">
        <v>47.8</v>
      </c>
    </row>
    <row r="19" spans="1:11" hidden="1" x14ac:dyDescent="0.25">
      <c r="A19" s="98">
        <v>46291.248796296299</v>
      </c>
      <c r="B19" s="99" t="s">
        <v>19</v>
      </c>
      <c r="C19" s="99" t="s">
        <v>135</v>
      </c>
      <c r="D19" s="99" t="s">
        <v>127</v>
      </c>
      <c r="E19" s="99" t="s">
        <v>128</v>
      </c>
      <c r="F19" s="178">
        <v>5</v>
      </c>
      <c r="G19" s="99" t="s">
        <v>12</v>
      </c>
      <c r="H19" s="99" t="s">
        <v>20</v>
      </c>
      <c r="I19" s="99" t="s">
        <v>14</v>
      </c>
      <c r="J19" s="99" t="s">
        <v>136</v>
      </c>
      <c r="K19" s="100">
        <v>47.8</v>
      </c>
    </row>
    <row r="20" spans="1:11" hidden="1" x14ac:dyDescent="0.25">
      <c r="A20" s="98">
        <v>46291.249027777776</v>
      </c>
      <c r="B20" s="99" t="s">
        <v>15</v>
      </c>
      <c r="C20" s="99" t="s">
        <v>131</v>
      </c>
      <c r="D20" s="99" t="s">
        <v>127</v>
      </c>
      <c r="E20" s="99" t="s">
        <v>128</v>
      </c>
      <c r="F20" s="178">
        <v>5</v>
      </c>
      <c r="G20" s="99" t="s">
        <v>16</v>
      </c>
      <c r="H20" s="99" t="s">
        <v>17</v>
      </c>
      <c r="I20" s="99" t="s">
        <v>14</v>
      </c>
      <c r="J20" s="99" t="s">
        <v>132</v>
      </c>
      <c r="K20" s="100">
        <v>39.799999999999997</v>
      </c>
    </row>
    <row r="21" spans="1:11" hidden="1" x14ac:dyDescent="0.25">
      <c r="A21" s="98">
        <v>46291.249340277776</v>
      </c>
      <c r="B21" s="99" t="s">
        <v>18</v>
      </c>
      <c r="C21" s="99" t="s">
        <v>133</v>
      </c>
      <c r="D21" s="99" t="s">
        <v>127</v>
      </c>
      <c r="E21" s="99" t="s">
        <v>128</v>
      </c>
      <c r="F21" s="178">
        <v>5</v>
      </c>
      <c r="G21" s="99" t="s">
        <v>16</v>
      </c>
      <c r="H21" s="99" t="s">
        <v>17</v>
      </c>
      <c r="I21" s="99" t="s">
        <v>14</v>
      </c>
      <c r="J21" s="99" t="s">
        <v>132</v>
      </c>
      <c r="K21" s="100">
        <v>39.799999999999997</v>
      </c>
    </row>
    <row r="22" spans="1:11" hidden="1" x14ac:dyDescent="0.25">
      <c r="A22" s="98">
        <v>46291.249537037038</v>
      </c>
      <c r="B22" s="99" t="s">
        <v>11</v>
      </c>
      <c r="C22" s="99" t="s">
        <v>134</v>
      </c>
      <c r="D22" s="99" t="s">
        <v>127</v>
      </c>
      <c r="E22" s="99" t="s">
        <v>128</v>
      </c>
      <c r="F22" s="178">
        <v>10</v>
      </c>
      <c r="G22" s="99" t="s">
        <v>16</v>
      </c>
      <c r="H22" s="99" t="s">
        <v>13</v>
      </c>
      <c r="I22" s="99" t="s">
        <v>14</v>
      </c>
      <c r="J22" s="99" t="s">
        <v>132</v>
      </c>
      <c r="K22" s="100">
        <v>100</v>
      </c>
    </row>
    <row r="23" spans="1:11" hidden="1" x14ac:dyDescent="0.25">
      <c r="A23" s="98">
        <v>46291.249699074076</v>
      </c>
      <c r="B23" s="99" t="s">
        <v>15</v>
      </c>
      <c r="C23" s="99" t="s">
        <v>131</v>
      </c>
      <c r="D23" s="99" t="s">
        <v>127</v>
      </c>
      <c r="E23" s="99" t="s">
        <v>128</v>
      </c>
      <c r="F23" s="178">
        <v>5</v>
      </c>
      <c r="G23" s="99" t="s">
        <v>16</v>
      </c>
      <c r="H23" s="99" t="s">
        <v>13</v>
      </c>
      <c r="I23" s="99" t="s">
        <v>14</v>
      </c>
      <c r="J23" s="99" t="s">
        <v>132</v>
      </c>
      <c r="K23" s="100">
        <v>39.799999999999997</v>
      </c>
    </row>
    <row r="24" spans="1:11" x14ac:dyDescent="0.25">
      <c r="A24" s="98">
        <v>46291.249849537038</v>
      </c>
      <c r="B24" s="99" t="s">
        <v>18</v>
      </c>
      <c r="C24" s="99" t="s">
        <v>133</v>
      </c>
      <c r="D24" s="99" t="s">
        <v>127</v>
      </c>
      <c r="E24" s="99" t="s">
        <v>128</v>
      </c>
      <c r="F24" s="178">
        <v>5</v>
      </c>
      <c r="G24" s="99" t="s">
        <v>16</v>
      </c>
      <c r="H24" s="99" t="s">
        <v>13</v>
      </c>
      <c r="I24" s="99" t="s">
        <v>14</v>
      </c>
      <c r="J24" s="99" t="s">
        <v>132</v>
      </c>
      <c r="K24" s="100">
        <v>39.799999999999997</v>
      </c>
    </row>
    <row r="25" spans="1:11" hidden="1" x14ac:dyDescent="0.25">
      <c r="A25" s="98">
        <v>46291.250057870369</v>
      </c>
      <c r="B25" s="99" t="s">
        <v>19</v>
      </c>
      <c r="C25" s="99" t="s">
        <v>135</v>
      </c>
      <c r="D25" s="99" t="s">
        <v>127</v>
      </c>
      <c r="E25" s="99" t="s">
        <v>128</v>
      </c>
      <c r="F25" s="178">
        <v>5</v>
      </c>
      <c r="G25" s="99" t="s">
        <v>16</v>
      </c>
      <c r="H25" s="99" t="s">
        <v>20</v>
      </c>
      <c r="I25" s="99" t="s">
        <v>14</v>
      </c>
      <c r="J25" s="99" t="s">
        <v>132</v>
      </c>
      <c r="K25" s="100">
        <v>47.8</v>
      </c>
    </row>
    <row r="26" spans="1:11" hidden="1" x14ac:dyDescent="0.25">
      <c r="A26" s="98">
        <v>46291.250208333331</v>
      </c>
      <c r="B26" s="99" t="s">
        <v>19</v>
      </c>
      <c r="C26" s="99" t="s">
        <v>135</v>
      </c>
      <c r="D26" s="99" t="s">
        <v>127</v>
      </c>
      <c r="E26" s="99" t="s">
        <v>128</v>
      </c>
      <c r="F26" s="178">
        <v>5</v>
      </c>
      <c r="G26" s="99" t="s">
        <v>16</v>
      </c>
      <c r="H26" s="99" t="s">
        <v>20</v>
      </c>
      <c r="I26" s="99" t="s">
        <v>14</v>
      </c>
      <c r="J26" s="99" t="s">
        <v>132</v>
      </c>
      <c r="K26" s="100">
        <v>47.8</v>
      </c>
    </row>
    <row r="27" spans="1:11" hidden="1" x14ac:dyDescent="0.25">
      <c r="A27" s="98">
        <v>46292.738425925927</v>
      </c>
      <c r="B27" s="99" t="s">
        <v>15</v>
      </c>
      <c r="C27" s="99" t="s">
        <v>131</v>
      </c>
      <c r="D27" s="99" t="s">
        <v>127</v>
      </c>
      <c r="E27" s="99" t="s">
        <v>128</v>
      </c>
      <c r="F27" s="178">
        <v>5</v>
      </c>
      <c r="G27" s="99" t="s">
        <v>12</v>
      </c>
      <c r="H27" s="99" t="s">
        <v>17</v>
      </c>
      <c r="I27" s="99" t="s">
        <v>14</v>
      </c>
      <c r="J27" s="99" t="s">
        <v>136</v>
      </c>
      <c r="K27" s="100">
        <v>39.799999999999997</v>
      </c>
    </row>
    <row r="28" spans="1:11" hidden="1" x14ac:dyDescent="0.25">
      <c r="A28" s="98">
        <v>46292.738530092596</v>
      </c>
      <c r="B28" s="99" t="s">
        <v>18</v>
      </c>
      <c r="C28" s="99" t="s">
        <v>133</v>
      </c>
      <c r="D28" s="99" t="s">
        <v>127</v>
      </c>
      <c r="E28" s="99" t="s">
        <v>128</v>
      </c>
      <c r="F28" s="178">
        <v>5</v>
      </c>
      <c r="G28" s="99" t="s">
        <v>12</v>
      </c>
      <c r="H28" s="99" t="s">
        <v>17</v>
      </c>
      <c r="I28" s="99" t="s">
        <v>14</v>
      </c>
      <c r="J28" s="99" t="s">
        <v>136</v>
      </c>
      <c r="K28" s="100">
        <v>39.799999999999997</v>
      </c>
    </row>
    <row r="29" spans="1:11" hidden="1" x14ac:dyDescent="0.25">
      <c r="A29" s="98">
        <v>46292.738668981481</v>
      </c>
      <c r="B29" s="99" t="s">
        <v>15</v>
      </c>
      <c r="C29" s="99" t="s">
        <v>131</v>
      </c>
      <c r="D29" s="99" t="s">
        <v>127</v>
      </c>
      <c r="E29" s="99" t="s">
        <v>128</v>
      </c>
      <c r="F29" s="178">
        <v>5</v>
      </c>
      <c r="G29" s="99" t="s">
        <v>12</v>
      </c>
      <c r="H29" s="99" t="s">
        <v>13</v>
      </c>
      <c r="I29" s="99" t="s">
        <v>14</v>
      </c>
      <c r="J29" s="99" t="s">
        <v>136</v>
      </c>
      <c r="K29" s="100">
        <v>39.799999999999997</v>
      </c>
    </row>
    <row r="30" spans="1:11" x14ac:dyDescent="0.25">
      <c r="A30" s="98">
        <v>46292.73878472222</v>
      </c>
      <c r="B30" s="99" t="s">
        <v>18</v>
      </c>
      <c r="C30" s="99" t="s">
        <v>133</v>
      </c>
      <c r="D30" s="99" t="s">
        <v>127</v>
      </c>
      <c r="E30" s="99" t="s">
        <v>128</v>
      </c>
      <c r="F30" s="178">
        <v>5</v>
      </c>
      <c r="G30" s="99" t="s">
        <v>12</v>
      </c>
      <c r="H30" s="99" t="s">
        <v>13</v>
      </c>
      <c r="I30" s="99" t="s">
        <v>14</v>
      </c>
      <c r="J30" s="99" t="s">
        <v>136</v>
      </c>
      <c r="K30" s="100">
        <v>39.799999999999997</v>
      </c>
    </row>
    <row r="31" spans="1:11" hidden="1" x14ac:dyDescent="0.25">
      <c r="A31" s="98">
        <v>46292.738946759258</v>
      </c>
      <c r="B31" s="99" t="s">
        <v>25</v>
      </c>
      <c r="C31" s="99" t="s">
        <v>137</v>
      </c>
      <c r="D31" s="99" t="s">
        <v>127</v>
      </c>
      <c r="E31" s="99" t="s">
        <v>128</v>
      </c>
      <c r="F31" s="178">
        <v>5</v>
      </c>
      <c r="G31" s="99" t="s">
        <v>12</v>
      </c>
      <c r="H31" s="99" t="s">
        <v>20</v>
      </c>
      <c r="I31" s="99" t="s">
        <v>14</v>
      </c>
      <c r="J31" s="99" t="s">
        <v>136</v>
      </c>
      <c r="K31" s="100">
        <v>42.5</v>
      </c>
    </row>
    <row r="32" spans="1:11" hidden="1" x14ac:dyDescent="0.25">
      <c r="A32" s="98">
        <v>46292.739085648151</v>
      </c>
      <c r="B32" s="99" t="s">
        <v>21</v>
      </c>
      <c r="C32" s="99" t="s">
        <v>138</v>
      </c>
      <c r="D32" s="99" t="s">
        <v>127</v>
      </c>
      <c r="E32" s="99" t="s">
        <v>128</v>
      </c>
      <c r="F32" s="178">
        <v>5</v>
      </c>
      <c r="G32" s="99" t="s">
        <v>12</v>
      </c>
      <c r="H32" s="99" t="s">
        <v>20</v>
      </c>
      <c r="I32" s="99" t="s">
        <v>14</v>
      </c>
      <c r="J32" s="99" t="s">
        <v>136</v>
      </c>
      <c r="K32" s="100">
        <v>48.7</v>
      </c>
    </row>
    <row r="33" spans="1:11" hidden="1" x14ac:dyDescent="0.25">
      <c r="A33" s="98">
        <v>46292.739224537036</v>
      </c>
      <c r="B33" s="99" t="s">
        <v>19</v>
      </c>
      <c r="C33" s="99" t="s">
        <v>135</v>
      </c>
      <c r="D33" s="99" t="s">
        <v>127</v>
      </c>
      <c r="E33" s="99" t="s">
        <v>128</v>
      </c>
      <c r="F33" s="178">
        <v>5</v>
      </c>
      <c r="G33" s="99" t="s">
        <v>12</v>
      </c>
      <c r="H33" s="99" t="s">
        <v>20</v>
      </c>
      <c r="I33" s="99" t="s">
        <v>14</v>
      </c>
      <c r="J33" s="99" t="s">
        <v>136</v>
      </c>
      <c r="K33" s="100">
        <v>47.8</v>
      </c>
    </row>
    <row r="34" spans="1:11" hidden="1" x14ac:dyDescent="0.25">
      <c r="A34" s="98">
        <v>46292.739374999997</v>
      </c>
      <c r="B34" s="99" t="s">
        <v>19</v>
      </c>
      <c r="C34" s="99" t="s">
        <v>135</v>
      </c>
      <c r="D34" s="99" t="s">
        <v>127</v>
      </c>
      <c r="E34" s="99" t="s">
        <v>128</v>
      </c>
      <c r="F34" s="178">
        <v>5</v>
      </c>
      <c r="G34" s="99" t="s">
        <v>12</v>
      </c>
      <c r="H34" s="99" t="s">
        <v>20</v>
      </c>
      <c r="I34" s="99" t="s">
        <v>14</v>
      </c>
      <c r="J34" s="99" t="s">
        <v>136</v>
      </c>
      <c r="K34" s="100">
        <v>47.8</v>
      </c>
    </row>
    <row r="35" spans="1:11" hidden="1" x14ac:dyDescent="0.25">
      <c r="A35" s="98">
        <v>46292.73951388889</v>
      </c>
      <c r="B35" s="99" t="s">
        <v>15</v>
      </c>
      <c r="C35" s="99" t="s">
        <v>131</v>
      </c>
      <c r="D35" s="99" t="s">
        <v>127</v>
      </c>
      <c r="E35" s="99" t="s">
        <v>128</v>
      </c>
      <c r="F35" s="178">
        <v>5</v>
      </c>
      <c r="G35" s="99" t="s">
        <v>16</v>
      </c>
      <c r="H35" s="99" t="s">
        <v>17</v>
      </c>
      <c r="I35" s="99" t="s">
        <v>14</v>
      </c>
      <c r="J35" s="99" t="s">
        <v>132</v>
      </c>
      <c r="K35" s="100">
        <v>39.799999999999997</v>
      </c>
    </row>
    <row r="36" spans="1:11" hidden="1" x14ac:dyDescent="0.25">
      <c r="A36" s="98">
        <v>46292.739641203705</v>
      </c>
      <c r="B36" s="99" t="s">
        <v>18</v>
      </c>
      <c r="C36" s="99" t="s">
        <v>133</v>
      </c>
      <c r="D36" s="99" t="s">
        <v>127</v>
      </c>
      <c r="E36" s="99" t="s">
        <v>128</v>
      </c>
      <c r="F36" s="178">
        <v>5</v>
      </c>
      <c r="G36" s="99" t="s">
        <v>16</v>
      </c>
      <c r="H36" s="99" t="s">
        <v>17</v>
      </c>
      <c r="I36" s="99" t="s">
        <v>14</v>
      </c>
      <c r="J36" s="99" t="s">
        <v>132</v>
      </c>
      <c r="K36" s="100">
        <v>39.799999999999997</v>
      </c>
    </row>
    <row r="37" spans="1:11" hidden="1" x14ac:dyDescent="0.25">
      <c r="A37" s="98">
        <v>46292.739814814813</v>
      </c>
      <c r="B37" s="99" t="s">
        <v>11</v>
      </c>
      <c r="C37" s="99" t="s">
        <v>134</v>
      </c>
      <c r="D37" s="99" t="s">
        <v>127</v>
      </c>
      <c r="E37" s="99" t="s">
        <v>128</v>
      </c>
      <c r="F37" s="178">
        <v>10</v>
      </c>
      <c r="G37" s="99" t="s">
        <v>16</v>
      </c>
      <c r="H37" s="99" t="s">
        <v>13</v>
      </c>
      <c r="I37" s="99" t="s">
        <v>14</v>
      </c>
      <c r="J37" s="99" t="s">
        <v>132</v>
      </c>
      <c r="K37" s="100">
        <v>100</v>
      </c>
    </row>
    <row r="38" spans="1:11" hidden="1" x14ac:dyDescent="0.25">
      <c r="A38" s="98">
        <v>46292.739965277775</v>
      </c>
      <c r="B38" s="99" t="s">
        <v>15</v>
      </c>
      <c r="C38" s="99" t="s">
        <v>131</v>
      </c>
      <c r="D38" s="99" t="s">
        <v>127</v>
      </c>
      <c r="E38" s="99" t="s">
        <v>128</v>
      </c>
      <c r="F38" s="178">
        <v>5</v>
      </c>
      <c r="G38" s="99" t="s">
        <v>16</v>
      </c>
      <c r="H38" s="99" t="s">
        <v>13</v>
      </c>
      <c r="I38" s="99" t="s">
        <v>14</v>
      </c>
      <c r="J38" s="99" t="s">
        <v>132</v>
      </c>
      <c r="K38" s="100">
        <v>39.799999999999997</v>
      </c>
    </row>
    <row r="39" spans="1:11" x14ac:dyDescent="0.25">
      <c r="A39" s="98">
        <v>46292.740104166667</v>
      </c>
      <c r="B39" s="99" t="s">
        <v>18</v>
      </c>
      <c r="C39" s="99" t="s">
        <v>133</v>
      </c>
      <c r="D39" s="99" t="s">
        <v>127</v>
      </c>
      <c r="E39" s="99" t="s">
        <v>128</v>
      </c>
      <c r="F39" s="178">
        <v>5</v>
      </c>
      <c r="G39" s="99" t="s">
        <v>16</v>
      </c>
      <c r="H39" s="99" t="s">
        <v>13</v>
      </c>
      <c r="I39" s="99" t="s">
        <v>14</v>
      </c>
      <c r="J39" s="99" t="s">
        <v>132</v>
      </c>
      <c r="K39" s="100">
        <v>39.799999999999997</v>
      </c>
    </row>
    <row r="40" spans="1:11" hidden="1" x14ac:dyDescent="0.25">
      <c r="A40" s="98">
        <v>46292.740277777775</v>
      </c>
      <c r="B40" s="99" t="s">
        <v>18</v>
      </c>
      <c r="C40" s="99" t="s">
        <v>133</v>
      </c>
      <c r="D40" s="99" t="s">
        <v>127</v>
      </c>
      <c r="E40" s="99" t="s">
        <v>128</v>
      </c>
      <c r="F40" s="178">
        <v>5</v>
      </c>
      <c r="G40" s="99" t="s">
        <v>16</v>
      </c>
      <c r="H40" s="99" t="s">
        <v>20</v>
      </c>
      <c r="I40" s="99" t="s">
        <v>14</v>
      </c>
      <c r="J40" s="99" t="s">
        <v>132</v>
      </c>
      <c r="K40" s="100">
        <v>39.799999999999997</v>
      </c>
    </row>
    <row r="41" spans="1:11" hidden="1" x14ac:dyDescent="0.25">
      <c r="A41" s="98">
        <v>46292.740416666667</v>
      </c>
      <c r="B41" s="99" t="s">
        <v>19</v>
      </c>
      <c r="C41" s="99" t="s">
        <v>135</v>
      </c>
      <c r="D41" s="99" t="s">
        <v>127</v>
      </c>
      <c r="E41" s="99" t="s">
        <v>128</v>
      </c>
      <c r="F41" s="178">
        <v>5</v>
      </c>
      <c r="G41" s="99" t="s">
        <v>16</v>
      </c>
      <c r="H41" s="99" t="s">
        <v>20</v>
      </c>
      <c r="I41" s="99" t="s">
        <v>14</v>
      </c>
      <c r="J41" s="99" t="s">
        <v>132</v>
      </c>
      <c r="K41" s="100">
        <v>47.8</v>
      </c>
    </row>
    <row r="42" spans="1:11" hidden="1" x14ac:dyDescent="0.25">
      <c r="A42" s="98">
        <v>46293.396851851852</v>
      </c>
      <c r="B42" s="99" t="s">
        <v>11</v>
      </c>
      <c r="C42" s="99" t="s">
        <v>134</v>
      </c>
      <c r="D42" s="99" t="s">
        <v>139</v>
      </c>
      <c r="E42" s="99" t="s">
        <v>140</v>
      </c>
      <c r="F42" s="178">
        <v>10</v>
      </c>
      <c r="G42" s="99" t="s">
        <v>12</v>
      </c>
      <c r="H42" s="99" t="s">
        <v>13</v>
      </c>
      <c r="I42" s="99" t="s">
        <v>14</v>
      </c>
      <c r="J42" s="99" t="s">
        <v>184</v>
      </c>
      <c r="K42" s="100">
        <v>100</v>
      </c>
    </row>
    <row r="43" spans="1:11" hidden="1" x14ac:dyDescent="0.25">
      <c r="A43" s="98">
        <v>46293.896192129629</v>
      </c>
      <c r="B43" s="99" t="s">
        <v>25</v>
      </c>
      <c r="C43" s="99" t="s">
        <v>137</v>
      </c>
      <c r="D43" s="99" t="s">
        <v>141</v>
      </c>
      <c r="E43" s="99" t="s">
        <v>142</v>
      </c>
      <c r="F43" s="178">
        <v>5</v>
      </c>
      <c r="G43" s="99" t="s">
        <v>16</v>
      </c>
      <c r="H43" s="99" t="s">
        <v>20</v>
      </c>
      <c r="I43" s="99" t="s">
        <v>14</v>
      </c>
      <c r="J43" s="99" t="s">
        <v>136</v>
      </c>
      <c r="K43" s="100">
        <v>42.5</v>
      </c>
    </row>
    <row r="44" spans="1:11" hidden="1" x14ac:dyDescent="0.25">
      <c r="A44" s="98">
        <v>46293.896435185183</v>
      </c>
      <c r="B44" s="99" t="s">
        <v>19</v>
      </c>
      <c r="C44" s="99" t="s">
        <v>135</v>
      </c>
      <c r="D44" s="99" t="s">
        <v>141</v>
      </c>
      <c r="E44" s="99" t="s">
        <v>142</v>
      </c>
      <c r="F44" s="178">
        <v>5</v>
      </c>
      <c r="G44" s="99" t="s">
        <v>12</v>
      </c>
      <c r="H44" s="99" t="s">
        <v>20</v>
      </c>
      <c r="I44" s="99" t="s">
        <v>14</v>
      </c>
      <c r="J44" s="99" t="s">
        <v>136</v>
      </c>
      <c r="K44" s="100">
        <v>47.8</v>
      </c>
    </row>
    <row r="45" spans="1:11" hidden="1" x14ac:dyDescent="0.25">
      <c r="A45" s="98">
        <v>46294.545451388891</v>
      </c>
      <c r="B45" s="99" t="s">
        <v>26</v>
      </c>
      <c r="C45" s="99" t="s">
        <v>185</v>
      </c>
      <c r="D45" s="99" t="s">
        <v>139</v>
      </c>
      <c r="E45" s="99" t="s">
        <v>140</v>
      </c>
      <c r="F45" s="178">
        <v>10</v>
      </c>
      <c r="G45" s="99" t="s">
        <v>12</v>
      </c>
      <c r="H45" s="99" t="s">
        <v>23</v>
      </c>
      <c r="I45" s="99" t="s">
        <v>14</v>
      </c>
      <c r="J45" s="99" t="s">
        <v>143</v>
      </c>
      <c r="K45" s="100">
        <v>81.5</v>
      </c>
    </row>
    <row r="46" spans="1:11" hidden="1" x14ac:dyDescent="0.25">
      <c r="A46" s="98">
        <v>46294.563148148147</v>
      </c>
      <c r="B46" s="99" t="s">
        <v>19</v>
      </c>
      <c r="C46" s="99" t="s">
        <v>135</v>
      </c>
      <c r="D46" s="99" t="s">
        <v>177</v>
      </c>
      <c r="E46" s="99" t="s">
        <v>178</v>
      </c>
      <c r="F46" s="178">
        <v>5</v>
      </c>
      <c r="G46" s="99" t="s">
        <v>12</v>
      </c>
      <c r="H46" s="99" t="s">
        <v>20</v>
      </c>
      <c r="I46" s="99" t="s">
        <v>14</v>
      </c>
      <c r="J46" s="99" t="s">
        <v>136</v>
      </c>
      <c r="K46" s="100">
        <v>47.8</v>
      </c>
    </row>
    <row r="47" spans="1:11" hidden="1" x14ac:dyDescent="0.25">
      <c r="A47" s="98">
        <v>46294.563275462962</v>
      </c>
      <c r="B47" s="99" t="s">
        <v>19</v>
      </c>
      <c r="C47" s="99" t="s">
        <v>135</v>
      </c>
      <c r="D47" s="99" t="s">
        <v>177</v>
      </c>
      <c r="E47" s="99" t="s">
        <v>178</v>
      </c>
      <c r="F47" s="178">
        <v>5</v>
      </c>
      <c r="G47" s="99" t="s">
        <v>12</v>
      </c>
      <c r="H47" s="99" t="s">
        <v>20</v>
      </c>
      <c r="I47" s="99" t="s">
        <v>14</v>
      </c>
      <c r="J47" s="99" t="s">
        <v>136</v>
      </c>
      <c r="K47" s="100">
        <v>47.8</v>
      </c>
    </row>
    <row r="48" spans="1:11" hidden="1" x14ac:dyDescent="0.25">
      <c r="A48" s="98">
        <v>46294.563425925924</v>
      </c>
      <c r="B48" s="99" t="s">
        <v>21</v>
      </c>
      <c r="C48" s="99" t="s">
        <v>138</v>
      </c>
      <c r="D48" s="99" t="s">
        <v>177</v>
      </c>
      <c r="E48" s="99" t="s">
        <v>178</v>
      </c>
      <c r="F48" s="178">
        <v>5</v>
      </c>
      <c r="G48" s="99" t="s">
        <v>12</v>
      </c>
      <c r="H48" s="99" t="s">
        <v>20</v>
      </c>
      <c r="I48" s="99" t="s">
        <v>14</v>
      </c>
      <c r="J48" s="99" t="s">
        <v>136</v>
      </c>
      <c r="K48" s="100">
        <v>48.7</v>
      </c>
    </row>
    <row r="49" spans="1:11" hidden="1" x14ac:dyDescent="0.25">
      <c r="A49" s="98">
        <v>46294.896319444444</v>
      </c>
      <c r="B49" s="99" t="s">
        <v>19</v>
      </c>
      <c r="C49" s="99" t="s">
        <v>135</v>
      </c>
      <c r="D49" s="99" t="s">
        <v>141</v>
      </c>
      <c r="E49" s="99" t="s">
        <v>142</v>
      </c>
      <c r="F49" s="178">
        <v>5</v>
      </c>
      <c r="G49" s="99" t="s">
        <v>12</v>
      </c>
      <c r="H49" s="99" t="s">
        <v>20</v>
      </c>
      <c r="I49" s="99" t="s">
        <v>14</v>
      </c>
      <c r="J49" s="99" t="s">
        <v>136</v>
      </c>
      <c r="K49" s="100">
        <v>47.8</v>
      </c>
    </row>
    <row r="50" spans="1:11" hidden="1" x14ac:dyDescent="0.25">
      <c r="A50" s="98">
        <v>46294.896458333336</v>
      </c>
      <c r="B50" s="99" t="s">
        <v>21</v>
      </c>
      <c r="C50" s="99" t="s">
        <v>138</v>
      </c>
      <c r="D50" s="99" t="s">
        <v>141</v>
      </c>
      <c r="E50" s="99" t="s">
        <v>142</v>
      </c>
      <c r="F50" s="178">
        <v>5</v>
      </c>
      <c r="G50" s="99" t="s">
        <v>16</v>
      </c>
      <c r="H50" s="99" t="s">
        <v>20</v>
      </c>
      <c r="I50" s="99" t="s">
        <v>14</v>
      </c>
      <c r="J50" s="99" t="s">
        <v>136</v>
      </c>
      <c r="K50" s="100">
        <v>48.7</v>
      </c>
    </row>
    <row r="51" spans="1:11" hidden="1" x14ac:dyDescent="0.25">
      <c r="A51" s="98">
        <v>46294.896620370368</v>
      </c>
      <c r="B51" s="99" t="s">
        <v>19</v>
      </c>
      <c r="C51" s="99" t="s">
        <v>135</v>
      </c>
      <c r="D51" s="99" t="s">
        <v>141</v>
      </c>
      <c r="E51" s="99" t="s">
        <v>142</v>
      </c>
      <c r="F51" s="178">
        <v>5</v>
      </c>
      <c r="G51" s="99" t="s">
        <v>16</v>
      </c>
      <c r="H51" s="99" t="s">
        <v>20</v>
      </c>
      <c r="I51" s="99" t="s">
        <v>14</v>
      </c>
      <c r="J51" s="99" t="s">
        <v>136</v>
      </c>
      <c r="K51" s="100">
        <v>47.8</v>
      </c>
    </row>
    <row r="52" spans="1:11" hidden="1" x14ac:dyDescent="0.25">
      <c r="A52" s="98">
        <v>46295.100069444445</v>
      </c>
      <c r="B52" s="99" t="s">
        <v>21</v>
      </c>
      <c r="C52" s="99" t="s">
        <v>138</v>
      </c>
      <c r="D52" s="99" t="s">
        <v>141</v>
      </c>
      <c r="E52" s="99" t="s">
        <v>142</v>
      </c>
      <c r="F52" s="178">
        <v>5</v>
      </c>
      <c r="G52" s="99" t="s">
        <v>12</v>
      </c>
      <c r="H52" s="99" t="s">
        <v>20</v>
      </c>
      <c r="I52" s="99" t="s">
        <v>14</v>
      </c>
      <c r="J52" s="99" t="s">
        <v>136</v>
      </c>
      <c r="K52" s="100">
        <v>48.7</v>
      </c>
    </row>
    <row r="53" spans="1:11" hidden="1" x14ac:dyDescent="0.25">
      <c r="A53" s="98">
        <v>46295.100185185183</v>
      </c>
      <c r="B53" s="99" t="s">
        <v>19</v>
      </c>
      <c r="C53" s="99" t="s">
        <v>135</v>
      </c>
      <c r="D53" s="99" t="s">
        <v>141</v>
      </c>
      <c r="E53" s="99" t="s">
        <v>142</v>
      </c>
      <c r="F53" s="178">
        <v>5</v>
      </c>
      <c r="G53" s="99" t="s">
        <v>16</v>
      </c>
      <c r="H53" s="99" t="s">
        <v>20</v>
      </c>
      <c r="I53" s="99" t="s">
        <v>14</v>
      </c>
      <c r="J53" s="99" t="s">
        <v>136</v>
      </c>
      <c r="K53" s="100">
        <v>47.8</v>
      </c>
    </row>
    <row r="54" spans="1:11" hidden="1" x14ac:dyDescent="0.25">
      <c r="A54" s="98">
        <v>46295.624479166669</v>
      </c>
      <c r="B54" s="99" t="s">
        <v>15</v>
      </c>
      <c r="C54" s="99" t="s">
        <v>131</v>
      </c>
      <c r="D54" s="99" t="s">
        <v>177</v>
      </c>
      <c r="E54" s="99" t="s">
        <v>178</v>
      </c>
      <c r="F54" s="178">
        <v>5</v>
      </c>
      <c r="G54" s="99" t="s">
        <v>12</v>
      </c>
      <c r="H54" s="99" t="s">
        <v>17</v>
      </c>
      <c r="I54" s="99" t="s">
        <v>14</v>
      </c>
      <c r="J54" s="99" t="s">
        <v>150</v>
      </c>
      <c r="K54" s="100">
        <v>39.799999999999997</v>
      </c>
    </row>
    <row r="55" spans="1:11" hidden="1" x14ac:dyDescent="0.25">
      <c r="A55" s="98">
        <v>46295.6246875</v>
      </c>
      <c r="B55" s="99" t="s">
        <v>18</v>
      </c>
      <c r="C55" s="99" t="s">
        <v>133</v>
      </c>
      <c r="D55" s="99" t="s">
        <v>177</v>
      </c>
      <c r="E55" s="99" t="s">
        <v>178</v>
      </c>
      <c r="F55" s="178">
        <v>5</v>
      </c>
      <c r="G55" s="99" t="s">
        <v>12</v>
      </c>
      <c r="H55" s="99" t="s">
        <v>17</v>
      </c>
      <c r="I55" s="99" t="s">
        <v>14</v>
      </c>
      <c r="J55" s="99" t="s">
        <v>150</v>
      </c>
      <c r="K55" s="100">
        <v>39.799999999999997</v>
      </c>
    </row>
    <row r="56" spans="1:11" hidden="1" x14ac:dyDescent="0.25">
      <c r="A56" s="98">
        <v>46295.624814814815</v>
      </c>
      <c r="B56" s="99" t="s">
        <v>11</v>
      </c>
      <c r="C56" s="99" t="s">
        <v>134</v>
      </c>
      <c r="D56" s="99" t="s">
        <v>177</v>
      </c>
      <c r="E56" s="99" t="s">
        <v>178</v>
      </c>
      <c r="F56" s="178">
        <v>10</v>
      </c>
      <c r="G56" s="99" t="s">
        <v>12</v>
      </c>
      <c r="H56" s="99" t="s">
        <v>13</v>
      </c>
      <c r="I56" s="99" t="s">
        <v>14</v>
      </c>
      <c r="J56" s="99" t="s">
        <v>150</v>
      </c>
      <c r="K56" s="100">
        <v>100</v>
      </c>
    </row>
    <row r="57" spans="1:11" hidden="1" x14ac:dyDescent="0.25">
      <c r="A57" s="98">
        <v>46295.624976851854</v>
      </c>
      <c r="B57" s="99" t="s">
        <v>15</v>
      </c>
      <c r="C57" s="99" t="s">
        <v>131</v>
      </c>
      <c r="D57" s="99" t="s">
        <v>177</v>
      </c>
      <c r="E57" s="99" t="s">
        <v>178</v>
      </c>
      <c r="F57" s="178">
        <v>5</v>
      </c>
      <c r="G57" s="99" t="s">
        <v>12</v>
      </c>
      <c r="H57" s="99" t="s">
        <v>13</v>
      </c>
      <c r="I57" s="99" t="s">
        <v>14</v>
      </c>
      <c r="J57" s="99" t="s">
        <v>150</v>
      </c>
      <c r="K57" s="100">
        <v>39.799999999999997</v>
      </c>
    </row>
    <row r="58" spans="1:11" x14ac:dyDescent="0.25">
      <c r="A58" s="98">
        <v>46295.625138888892</v>
      </c>
      <c r="B58" s="99" t="s">
        <v>18</v>
      </c>
      <c r="C58" s="99" t="s">
        <v>133</v>
      </c>
      <c r="D58" s="99" t="s">
        <v>177</v>
      </c>
      <c r="E58" s="99" t="s">
        <v>178</v>
      </c>
      <c r="F58" s="178">
        <v>5</v>
      </c>
      <c r="G58" s="99" t="s">
        <v>12</v>
      </c>
      <c r="H58" s="99" t="s">
        <v>13</v>
      </c>
      <c r="I58" s="99" t="s">
        <v>14</v>
      </c>
      <c r="J58" s="99" t="s">
        <v>150</v>
      </c>
      <c r="K58" s="100">
        <v>39.799999999999997</v>
      </c>
    </row>
    <row r="59" spans="1:11" hidden="1" x14ac:dyDescent="0.25">
      <c r="A59" s="98">
        <v>46295.625277777777</v>
      </c>
      <c r="B59" s="99" t="s">
        <v>18</v>
      </c>
      <c r="C59" s="99" t="s">
        <v>133</v>
      </c>
      <c r="D59" s="99" t="s">
        <v>177</v>
      </c>
      <c r="E59" s="99" t="s">
        <v>178</v>
      </c>
      <c r="F59" s="178">
        <v>5</v>
      </c>
      <c r="G59" s="99" t="s">
        <v>12</v>
      </c>
      <c r="H59" s="99" t="s">
        <v>20</v>
      </c>
      <c r="I59" s="99" t="s">
        <v>14</v>
      </c>
      <c r="J59" s="99" t="s">
        <v>150</v>
      </c>
      <c r="K59" s="100">
        <v>39.799999999999997</v>
      </c>
    </row>
    <row r="60" spans="1:11" hidden="1" x14ac:dyDescent="0.25">
      <c r="A60" s="98">
        <v>46295.625428240739</v>
      </c>
      <c r="B60" s="99" t="s">
        <v>19</v>
      </c>
      <c r="C60" s="99" t="s">
        <v>135</v>
      </c>
      <c r="D60" s="99" t="s">
        <v>177</v>
      </c>
      <c r="E60" s="99" t="s">
        <v>178</v>
      </c>
      <c r="F60" s="178">
        <v>5</v>
      </c>
      <c r="G60" s="99" t="s">
        <v>12</v>
      </c>
      <c r="H60" s="99" t="s">
        <v>20</v>
      </c>
      <c r="I60" s="99" t="s">
        <v>14</v>
      </c>
      <c r="J60" s="99" t="s">
        <v>150</v>
      </c>
      <c r="K60" s="100">
        <v>47.8</v>
      </c>
    </row>
    <row r="61" spans="1:11" x14ac:dyDescent="0.25">
      <c r="A61" s="98">
        <v>46295.877071759256</v>
      </c>
      <c r="B61" s="99" t="s">
        <v>18</v>
      </c>
      <c r="C61" s="99" t="s">
        <v>133</v>
      </c>
      <c r="D61" s="99" t="s">
        <v>152</v>
      </c>
      <c r="E61" s="99" t="s">
        <v>153</v>
      </c>
      <c r="F61" s="178">
        <v>5</v>
      </c>
      <c r="G61" s="99" t="s">
        <v>16</v>
      </c>
      <c r="H61" s="99" t="s">
        <v>13</v>
      </c>
      <c r="I61" s="99" t="s">
        <v>14</v>
      </c>
      <c r="J61" s="99" t="s">
        <v>132</v>
      </c>
      <c r="K61" s="100">
        <v>39.799999999999997</v>
      </c>
    </row>
    <row r="62" spans="1:11" x14ac:dyDescent="0.25">
      <c r="A62" s="98">
        <v>46295.9219212963</v>
      </c>
      <c r="B62" s="99" t="s">
        <v>18</v>
      </c>
      <c r="C62" s="99" t="s">
        <v>133</v>
      </c>
      <c r="D62" s="99" t="s">
        <v>152</v>
      </c>
      <c r="E62" s="99" t="s">
        <v>153</v>
      </c>
      <c r="F62" s="178">
        <v>5</v>
      </c>
      <c r="G62" s="99" t="s">
        <v>12</v>
      </c>
      <c r="H62" s="99" t="s">
        <v>13</v>
      </c>
      <c r="I62" s="99" t="s">
        <v>14</v>
      </c>
      <c r="J62" s="99" t="s">
        <v>150</v>
      </c>
      <c r="K62" s="100">
        <v>39.799999999999997</v>
      </c>
    </row>
    <row r="63" spans="1:11" hidden="1" x14ac:dyDescent="0.25">
      <c r="A63" s="98">
        <v>46295.980138888888</v>
      </c>
      <c r="B63" s="99" t="s">
        <v>19</v>
      </c>
      <c r="C63" s="99" t="s">
        <v>135</v>
      </c>
      <c r="D63" s="99" t="s">
        <v>141</v>
      </c>
      <c r="E63" s="99" t="s">
        <v>142</v>
      </c>
      <c r="F63" s="178">
        <v>5</v>
      </c>
      <c r="G63" s="99" t="s">
        <v>12</v>
      </c>
      <c r="H63" s="99" t="s">
        <v>20</v>
      </c>
      <c r="I63" s="99" t="s">
        <v>14</v>
      </c>
      <c r="J63" s="99" t="s">
        <v>150</v>
      </c>
      <c r="K63" s="100">
        <v>47.8</v>
      </c>
    </row>
    <row r="64" spans="1:11" hidden="1" x14ac:dyDescent="0.25">
      <c r="A64" s="98">
        <v>46295.980254629627</v>
      </c>
      <c r="B64" s="99" t="s">
        <v>19</v>
      </c>
      <c r="C64" s="99" t="s">
        <v>135</v>
      </c>
      <c r="D64" s="99" t="s">
        <v>141</v>
      </c>
      <c r="E64" s="99" t="s">
        <v>142</v>
      </c>
      <c r="F64" s="178">
        <v>5</v>
      </c>
      <c r="G64" s="99" t="s">
        <v>16</v>
      </c>
      <c r="H64" s="99" t="s">
        <v>20</v>
      </c>
      <c r="I64" s="99" t="s">
        <v>14</v>
      </c>
      <c r="J64" s="99" t="s">
        <v>136</v>
      </c>
      <c r="K64" s="100">
        <v>47.8</v>
      </c>
    </row>
    <row r="65" spans="1:11" hidden="1" x14ac:dyDescent="0.25">
      <c r="A65" s="98">
        <v>46296.168726851851</v>
      </c>
      <c r="B65" s="99" t="s">
        <v>15</v>
      </c>
      <c r="C65" s="99" t="s">
        <v>131</v>
      </c>
      <c r="D65" s="99" t="s">
        <v>141</v>
      </c>
      <c r="E65" s="99" t="s">
        <v>142</v>
      </c>
      <c r="F65" s="178">
        <v>5</v>
      </c>
      <c r="G65" s="99" t="s">
        <v>16</v>
      </c>
      <c r="H65" s="99" t="s">
        <v>13</v>
      </c>
      <c r="I65" s="99" t="s">
        <v>14</v>
      </c>
      <c r="J65" s="99" t="s">
        <v>136</v>
      </c>
      <c r="K65" s="100">
        <v>39.799999999999997</v>
      </c>
    </row>
    <row r="66" spans="1:11" hidden="1" x14ac:dyDescent="0.25">
      <c r="A66" s="98">
        <v>46296.250567129631</v>
      </c>
      <c r="B66" s="99" t="s">
        <v>15</v>
      </c>
      <c r="C66" s="99" t="s">
        <v>131</v>
      </c>
      <c r="D66" s="99" t="s">
        <v>129</v>
      </c>
      <c r="E66" s="99" t="s">
        <v>130</v>
      </c>
      <c r="F66" s="178">
        <v>5</v>
      </c>
      <c r="G66" s="99" t="s">
        <v>16</v>
      </c>
      <c r="H66" s="99" t="s">
        <v>17</v>
      </c>
      <c r="I66" s="99" t="s">
        <v>14</v>
      </c>
      <c r="J66" s="99" t="s">
        <v>136</v>
      </c>
      <c r="K66" s="100">
        <v>39.799999999999997</v>
      </c>
    </row>
    <row r="67" spans="1:11" hidden="1" x14ac:dyDescent="0.25">
      <c r="A67" s="98">
        <v>46296.250706018516</v>
      </c>
      <c r="B67" s="99" t="s">
        <v>18</v>
      </c>
      <c r="C67" s="99" t="s">
        <v>133</v>
      </c>
      <c r="D67" s="99" t="s">
        <v>129</v>
      </c>
      <c r="E67" s="99" t="s">
        <v>130</v>
      </c>
      <c r="F67" s="178">
        <v>5</v>
      </c>
      <c r="G67" s="99" t="s">
        <v>16</v>
      </c>
      <c r="H67" s="99" t="s">
        <v>17</v>
      </c>
      <c r="I67" s="99" t="s">
        <v>14</v>
      </c>
      <c r="J67" s="99" t="s">
        <v>136</v>
      </c>
      <c r="K67" s="100">
        <v>39.799999999999997</v>
      </c>
    </row>
    <row r="68" spans="1:11" hidden="1" x14ac:dyDescent="0.25">
      <c r="A68" s="98">
        <v>46296.250856481478</v>
      </c>
      <c r="B68" s="99" t="s">
        <v>15</v>
      </c>
      <c r="C68" s="99" t="s">
        <v>131</v>
      </c>
      <c r="D68" s="99" t="s">
        <v>129</v>
      </c>
      <c r="E68" s="99" t="s">
        <v>130</v>
      </c>
      <c r="F68" s="178">
        <v>5</v>
      </c>
      <c r="G68" s="99" t="s">
        <v>16</v>
      </c>
      <c r="H68" s="99" t="s">
        <v>13</v>
      </c>
      <c r="I68" s="99" t="s">
        <v>14</v>
      </c>
      <c r="J68" s="99" t="s">
        <v>136</v>
      </c>
      <c r="K68" s="100">
        <v>39.799999999999997</v>
      </c>
    </row>
    <row r="69" spans="1:11" x14ac:dyDescent="0.25">
      <c r="A69" s="98">
        <v>46296.251006944447</v>
      </c>
      <c r="B69" s="99" t="s">
        <v>18</v>
      </c>
      <c r="C69" s="99" t="s">
        <v>133</v>
      </c>
      <c r="D69" s="99" t="s">
        <v>129</v>
      </c>
      <c r="E69" s="99" t="s">
        <v>130</v>
      </c>
      <c r="F69" s="178">
        <v>5</v>
      </c>
      <c r="G69" s="99" t="s">
        <v>16</v>
      </c>
      <c r="H69" s="99" t="s">
        <v>13</v>
      </c>
      <c r="I69" s="99" t="s">
        <v>14</v>
      </c>
      <c r="J69" s="99" t="s">
        <v>136</v>
      </c>
      <c r="K69" s="100">
        <v>39.799999999999997</v>
      </c>
    </row>
    <row r="70" spans="1:11" hidden="1" x14ac:dyDescent="0.25">
      <c r="A70" s="98">
        <v>46296.251157407409</v>
      </c>
      <c r="B70" s="99" t="s">
        <v>19</v>
      </c>
      <c r="C70" s="99" t="s">
        <v>135</v>
      </c>
      <c r="D70" s="99" t="s">
        <v>129</v>
      </c>
      <c r="E70" s="99" t="s">
        <v>130</v>
      </c>
      <c r="F70" s="178">
        <v>5</v>
      </c>
      <c r="G70" s="99" t="s">
        <v>16</v>
      </c>
      <c r="H70" s="99" t="s">
        <v>20</v>
      </c>
      <c r="I70" s="99" t="s">
        <v>14</v>
      </c>
      <c r="J70" s="99" t="s">
        <v>136</v>
      </c>
      <c r="K70" s="100">
        <v>47.8</v>
      </c>
    </row>
    <row r="71" spans="1:11" hidden="1" x14ac:dyDescent="0.25">
      <c r="A71" s="98">
        <v>46296.251319444447</v>
      </c>
      <c r="B71" s="99" t="s">
        <v>19</v>
      </c>
      <c r="C71" s="99" t="s">
        <v>135</v>
      </c>
      <c r="D71" s="99" t="s">
        <v>129</v>
      </c>
      <c r="E71" s="99" t="s">
        <v>130</v>
      </c>
      <c r="F71" s="178">
        <v>5</v>
      </c>
      <c r="G71" s="99" t="s">
        <v>16</v>
      </c>
      <c r="H71" s="99" t="s">
        <v>20</v>
      </c>
      <c r="I71" s="99" t="s">
        <v>14</v>
      </c>
      <c r="J71" s="99" t="s">
        <v>136</v>
      </c>
      <c r="K71" s="100">
        <v>47.8</v>
      </c>
    </row>
    <row r="72" spans="1:11" x14ac:dyDescent="0.25">
      <c r="A72" s="98">
        <v>46296.876793981479</v>
      </c>
      <c r="B72" s="99" t="s">
        <v>18</v>
      </c>
      <c r="C72" s="99" t="s">
        <v>133</v>
      </c>
      <c r="D72" s="99" t="s">
        <v>152</v>
      </c>
      <c r="E72" s="99" t="s">
        <v>153</v>
      </c>
      <c r="F72" s="178">
        <v>5</v>
      </c>
      <c r="G72" s="99" t="s">
        <v>12</v>
      </c>
      <c r="H72" s="99" t="s">
        <v>13</v>
      </c>
      <c r="I72" s="99" t="s">
        <v>14</v>
      </c>
      <c r="J72" s="99" t="s">
        <v>150</v>
      </c>
      <c r="K72" s="100">
        <v>39.799999999999997</v>
      </c>
    </row>
    <row r="73" spans="1:11" hidden="1" x14ac:dyDescent="0.25">
      <c r="A73" s="98">
        <v>46296.883657407408</v>
      </c>
      <c r="B73" s="99" t="s">
        <v>19</v>
      </c>
      <c r="C73" s="99" t="s">
        <v>135</v>
      </c>
      <c r="D73" s="99" t="s">
        <v>141</v>
      </c>
      <c r="E73" s="99" t="s">
        <v>142</v>
      </c>
      <c r="F73" s="178">
        <v>5</v>
      </c>
      <c r="G73" s="99" t="s">
        <v>12</v>
      </c>
      <c r="H73" s="99" t="s">
        <v>20</v>
      </c>
      <c r="I73" s="99" t="s">
        <v>14</v>
      </c>
      <c r="J73" s="99" t="s">
        <v>150</v>
      </c>
      <c r="K73" s="100">
        <v>47.8</v>
      </c>
    </row>
    <row r="74" spans="1:11" hidden="1" x14ac:dyDescent="0.25">
      <c r="A74" s="98">
        <v>46296.883958333332</v>
      </c>
      <c r="B74" s="99" t="s">
        <v>19</v>
      </c>
      <c r="C74" s="99" t="s">
        <v>135</v>
      </c>
      <c r="D74" s="99" t="s">
        <v>141</v>
      </c>
      <c r="E74" s="99" t="s">
        <v>142</v>
      </c>
      <c r="F74" s="178">
        <v>5</v>
      </c>
      <c r="G74" s="99" t="s">
        <v>16</v>
      </c>
      <c r="H74" s="99" t="s">
        <v>20</v>
      </c>
      <c r="I74" s="99" t="s">
        <v>14</v>
      </c>
      <c r="J74" s="99" t="s">
        <v>136</v>
      </c>
      <c r="K74" s="100">
        <v>47.8</v>
      </c>
    </row>
    <row r="75" spans="1:11" hidden="1" x14ac:dyDescent="0.25">
      <c r="A75" s="98"/>
      <c r="B75" s="99"/>
      <c r="C75" s="99"/>
      <c r="D75" s="99"/>
      <c r="E75" s="99"/>
      <c r="F75" s="101"/>
      <c r="G75" s="99"/>
      <c r="H75" s="99"/>
      <c r="I75" s="99"/>
      <c r="J75" s="99"/>
      <c r="K75" s="100"/>
    </row>
    <row r="76" spans="1:11" hidden="1" x14ac:dyDescent="0.25">
      <c r="A76" s="98"/>
      <c r="B76" s="99"/>
      <c r="C76" s="99"/>
      <c r="D76" s="99"/>
      <c r="E76" s="99"/>
      <c r="F76" s="101"/>
      <c r="G76" s="99"/>
      <c r="H76" s="99"/>
      <c r="I76" s="99"/>
      <c r="J76" s="99"/>
      <c r="K76" s="100"/>
    </row>
    <row r="77" spans="1:11" hidden="1" x14ac:dyDescent="0.25">
      <c r="A77" s="98"/>
      <c r="B77" s="99"/>
      <c r="C77" s="99"/>
      <c r="D77" s="99"/>
      <c r="E77" s="99"/>
      <c r="F77" s="101"/>
      <c r="G77" s="99"/>
      <c r="H77" s="99"/>
      <c r="I77" s="99"/>
      <c r="J77" s="99"/>
      <c r="K77" s="100"/>
    </row>
    <row r="78" spans="1:11" hidden="1" x14ac:dyDescent="0.25">
      <c r="A78" s="98"/>
      <c r="B78" s="99"/>
      <c r="C78" s="99"/>
      <c r="D78" s="99"/>
      <c r="E78" s="99"/>
      <c r="F78" s="101"/>
      <c r="G78" s="99"/>
      <c r="H78" s="99"/>
      <c r="I78" s="99"/>
      <c r="J78" s="99"/>
      <c r="K78" s="100"/>
    </row>
    <row r="79" spans="1:11" hidden="1" x14ac:dyDescent="0.25">
      <c r="A79" s="98"/>
      <c r="B79" s="99"/>
      <c r="C79" s="99"/>
      <c r="D79" s="99"/>
      <c r="E79" s="99"/>
      <c r="F79" s="101"/>
      <c r="G79" s="99"/>
      <c r="H79" s="99"/>
      <c r="I79" s="99"/>
      <c r="J79" s="99"/>
      <c r="K79" s="100"/>
    </row>
    <row r="80" spans="1:11" hidden="1" x14ac:dyDescent="0.25">
      <c r="A80" s="98"/>
      <c r="B80" s="99"/>
      <c r="C80" s="99"/>
      <c r="D80" s="99"/>
      <c r="E80" s="99"/>
      <c r="F80" s="101"/>
      <c r="G80" s="99"/>
      <c r="H80" s="99"/>
      <c r="I80" s="99"/>
      <c r="J80" s="99"/>
      <c r="K80" s="100"/>
    </row>
    <row r="81" spans="1:11" hidden="1" x14ac:dyDescent="0.25">
      <c r="A81" s="98"/>
      <c r="B81" s="99"/>
      <c r="C81" s="99"/>
      <c r="D81" s="99"/>
      <c r="E81" s="99"/>
      <c r="F81" s="101"/>
      <c r="G81" s="99"/>
      <c r="H81" s="99"/>
      <c r="I81" s="99"/>
      <c r="J81" s="99"/>
      <c r="K81" s="100"/>
    </row>
    <row r="82" spans="1:11" hidden="1" x14ac:dyDescent="0.25">
      <c r="A82" s="98"/>
      <c r="B82" s="99"/>
      <c r="C82" s="99"/>
      <c r="D82" s="99"/>
      <c r="E82" s="99"/>
      <c r="F82" s="101"/>
      <c r="G82" s="99"/>
      <c r="H82" s="99"/>
      <c r="I82" s="99"/>
      <c r="J82" s="99"/>
      <c r="K82" s="100"/>
    </row>
    <row r="83" spans="1:11" hidden="1" x14ac:dyDescent="0.25">
      <c r="A83" s="98"/>
      <c r="B83" s="99"/>
      <c r="C83" s="99"/>
      <c r="D83" s="99"/>
      <c r="E83" s="99"/>
      <c r="F83" s="101"/>
      <c r="G83" s="99"/>
      <c r="H83" s="99"/>
      <c r="I83" s="99"/>
      <c r="J83" s="99"/>
      <c r="K83" s="100"/>
    </row>
    <row r="84" spans="1:11" hidden="1" x14ac:dyDescent="0.25">
      <c r="A84" s="98"/>
      <c r="B84" s="99"/>
      <c r="C84" s="99"/>
      <c r="D84" s="99"/>
      <c r="E84" s="99"/>
      <c r="F84" s="101"/>
      <c r="G84" s="99"/>
      <c r="H84" s="99"/>
      <c r="I84" s="99"/>
      <c r="J84" s="99"/>
      <c r="K84" s="100"/>
    </row>
    <row r="85" spans="1:11" hidden="1" x14ac:dyDescent="0.25">
      <c r="A85" s="98"/>
      <c r="B85" s="99"/>
      <c r="C85" s="99"/>
      <c r="D85" s="99"/>
      <c r="E85" s="99"/>
      <c r="F85" s="101"/>
      <c r="G85" s="99"/>
      <c r="H85" s="99"/>
      <c r="I85" s="99"/>
      <c r="J85" s="99"/>
      <c r="K85" s="100"/>
    </row>
  </sheetData>
  <sortState xmlns:xlrd2="http://schemas.microsoft.com/office/spreadsheetml/2017/richdata2" ref="A1:K1">
    <sortCondition ref="K1"/>
  </sortState>
  <phoneticPr fontId="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O796"/>
  <sheetViews>
    <sheetView topLeftCell="A80" zoomScale="119" workbookViewId="0">
      <selection activeCell="E4" sqref="E4:E106"/>
    </sheetView>
  </sheetViews>
  <sheetFormatPr baseColWidth="10" defaultColWidth="11.42578125" defaultRowHeight="15" x14ac:dyDescent="0.25"/>
  <cols>
    <col min="1" max="1" width="70.140625" bestFit="1" customWidth="1"/>
    <col min="2" max="2" width="25.5703125" bestFit="1" customWidth="1"/>
    <col min="3" max="3" width="12.28515625" customWidth="1"/>
    <col min="4" max="4" width="14.42578125" bestFit="1" customWidth="1"/>
    <col min="5" max="5" width="5.5703125" customWidth="1"/>
    <col min="6" max="6" width="12.7109375" bestFit="1" customWidth="1"/>
    <col min="7" max="7" width="12.28515625" customWidth="1"/>
    <col min="8" max="8" width="14.140625" bestFit="1" customWidth="1"/>
    <col min="9" max="9" width="16.140625" customWidth="1"/>
    <col min="10" max="10" width="14.28515625" bestFit="1" customWidth="1"/>
    <col min="12" max="12" width="13.140625" customWidth="1"/>
    <col min="13" max="13" width="14.140625" bestFit="1" customWidth="1"/>
    <col min="14" max="14" width="17.140625" customWidth="1"/>
    <col min="15" max="15" width="14.7109375" customWidth="1"/>
  </cols>
  <sheetData>
    <row r="1" spans="1:15" ht="22.5" x14ac:dyDescent="0.25">
      <c r="A1" s="1" t="s">
        <v>32</v>
      </c>
      <c r="B1" s="2"/>
      <c r="C1" s="2"/>
      <c r="D1" s="2"/>
      <c r="E1" s="2"/>
      <c r="F1" s="2"/>
    </row>
    <row r="2" spans="1:15" ht="22.5" x14ac:dyDescent="0.25">
      <c r="A2" s="2"/>
      <c r="B2" s="2"/>
      <c r="C2" s="2"/>
      <c r="D2" s="2"/>
      <c r="E2" s="2"/>
      <c r="F2" s="2"/>
      <c r="G2" s="108" t="s">
        <v>12</v>
      </c>
      <c r="H2" s="108"/>
      <c r="I2" s="108"/>
      <c r="J2" s="108"/>
      <c r="L2" s="108" t="s">
        <v>16</v>
      </c>
      <c r="M2" s="108"/>
      <c r="N2" s="108"/>
      <c r="O2" s="108"/>
    </row>
    <row r="3" spans="1:15" x14ac:dyDescent="0.25">
      <c r="A3" s="80" t="s">
        <v>0</v>
      </c>
      <c r="B3" s="75" t="s">
        <v>33</v>
      </c>
      <c r="C3" s="80" t="s">
        <v>34</v>
      </c>
      <c r="D3" s="80" t="s">
        <v>35</v>
      </c>
      <c r="E3" s="81" t="s">
        <v>5</v>
      </c>
      <c r="F3" s="75" t="s">
        <v>36</v>
      </c>
      <c r="G3" s="75" t="s">
        <v>37</v>
      </c>
      <c r="H3" s="75" t="s">
        <v>28</v>
      </c>
      <c r="I3" s="75" t="s">
        <v>38</v>
      </c>
      <c r="J3" s="75" t="s">
        <v>31</v>
      </c>
      <c r="K3" t="s">
        <v>145</v>
      </c>
      <c r="L3" s="75" t="s">
        <v>146</v>
      </c>
      <c r="M3" s="75" t="s">
        <v>147</v>
      </c>
      <c r="N3" s="75" t="s">
        <v>148</v>
      </c>
      <c r="O3" s="75" t="s">
        <v>149</v>
      </c>
    </row>
    <row r="4" spans="1:15" x14ac:dyDescent="0.25">
      <c r="A4" s="98">
        <v>46290.361504629633</v>
      </c>
      <c r="B4" s="99" t="s">
        <v>186</v>
      </c>
      <c r="C4" s="99" t="s">
        <v>139</v>
      </c>
      <c r="D4" s="99" t="s">
        <v>156</v>
      </c>
      <c r="E4" s="178">
        <v>1</v>
      </c>
      <c r="F4" s="99" t="s">
        <v>167</v>
      </c>
      <c r="G4" s="62">
        <f t="shared" ref="G4:G69" si="0">IF(AND(ISNUMBER(SEARCH("8,6", $B4)),ISNUMBER(SEARCH("PCI 4", $F4))), 2*$E4, 0)</f>
        <v>0</v>
      </c>
      <c r="H4" s="62">
        <f t="shared" ref="H4:H67" si="1">IF(AND(ISNUMBER(SEARCH("8,6", $B4)),ISNUMBER(SEARCH("PCI 4", $F4))), $E4, 0)</f>
        <v>0</v>
      </c>
      <c r="I4" s="62">
        <f t="shared" ref="I4:I67" si="2">IF(AND(ISNUMBER(SEARCH("13,36", $B4)),ISNUMBER(SEARCH("PCI 4", $F4))), 2*$E4, 0)</f>
        <v>0</v>
      </c>
      <c r="J4" s="62">
        <f t="shared" ref="J4:J67" si="3">IF(AND(ISNUMBER(SEARCH("13,36", $B4)),ISNUMBER(SEARCH("PCI 4", $F4))), $E4, 0)</f>
        <v>0</v>
      </c>
      <c r="L4" s="62">
        <f t="shared" ref="L4:L67" si="4">IF(AND(ISNUMBER(SEARCH("8,6", $B4)),ISNUMBER(SEARCH("PCI 5", $F4))), 2*$E4, 0)</f>
        <v>0</v>
      </c>
      <c r="M4" s="62">
        <f t="shared" ref="M4:M67" si="5">IF(AND(ISNUMBER(SEARCH("8,6", $B4)),ISNUMBER(SEARCH("PCI 5", $F4))), $E4, 0)</f>
        <v>0</v>
      </c>
      <c r="N4" s="62">
        <f t="shared" ref="N4:N67" si="6">IF(AND(ISNUMBER(SEARCH("13,36", $B4)),ISNUMBER(SEARCH("PCI 5", $F4))), 2*$E4, 0)</f>
        <v>0</v>
      </c>
      <c r="O4" s="62">
        <f t="shared" ref="O4:O67" si="7">IF(AND(ISNUMBER(SEARCH("13,36", $B4)),ISNUMBER(SEARCH("PCI 5", $F4))), $E4, 0)</f>
        <v>0</v>
      </c>
    </row>
    <row r="5" spans="1:15" x14ac:dyDescent="0.25">
      <c r="A5" s="98">
        <v>46290.498171296298</v>
      </c>
      <c r="B5" s="99" t="s">
        <v>160</v>
      </c>
      <c r="C5" s="99" t="s">
        <v>139</v>
      </c>
      <c r="D5" s="99" t="s">
        <v>156</v>
      </c>
      <c r="E5" s="178">
        <v>1</v>
      </c>
      <c r="F5" s="99" t="s">
        <v>157</v>
      </c>
      <c r="G5" s="62">
        <f t="shared" si="0"/>
        <v>0</v>
      </c>
      <c r="H5" s="62">
        <f t="shared" si="1"/>
        <v>0</v>
      </c>
      <c r="I5" s="62">
        <f t="shared" si="2"/>
        <v>0</v>
      </c>
      <c r="J5" s="62">
        <f t="shared" si="3"/>
        <v>0</v>
      </c>
      <c r="L5" s="62">
        <f t="shared" si="4"/>
        <v>0</v>
      </c>
      <c r="M5" s="62">
        <f t="shared" si="5"/>
        <v>0</v>
      </c>
      <c r="N5" s="62">
        <f t="shared" si="6"/>
        <v>0</v>
      </c>
      <c r="O5" s="62">
        <f t="shared" si="7"/>
        <v>0</v>
      </c>
    </row>
    <row r="6" spans="1:15" x14ac:dyDescent="0.25">
      <c r="A6" s="98">
        <v>46290.498541666668</v>
      </c>
      <c r="B6" s="99" t="s">
        <v>161</v>
      </c>
      <c r="C6" s="99" t="s">
        <v>139</v>
      </c>
      <c r="D6" s="99" t="s">
        <v>156</v>
      </c>
      <c r="E6" s="178">
        <v>1</v>
      </c>
      <c r="F6" s="99" t="s">
        <v>157</v>
      </c>
      <c r="G6" s="62">
        <f t="shared" si="0"/>
        <v>0</v>
      </c>
      <c r="H6" s="62">
        <f t="shared" si="1"/>
        <v>0</v>
      </c>
      <c r="I6" s="62">
        <f t="shared" si="2"/>
        <v>0</v>
      </c>
      <c r="J6" s="62">
        <f t="shared" si="3"/>
        <v>0</v>
      </c>
      <c r="L6" s="62">
        <f t="shared" si="4"/>
        <v>0</v>
      </c>
      <c r="M6" s="62">
        <f t="shared" si="5"/>
        <v>0</v>
      </c>
      <c r="N6" s="62">
        <f t="shared" si="6"/>
        <v>0</v>
      </c>
      <c r="O6" s="62">
        <f t="shared" si="7"/>
        <v>0</v>
      </c>
    </row>
    <row r="7" spans="1:15" x14ac:dyDescent="0.25">
      <c r="A7" s="98">
        <v>46290.498912037037</v>
      </c>
      <c r="B7" s="99" t="s">
        <v>187</v>
      </c>
      <c r="C7" s="99" t="s">
        <v>139</v>
      </c>
      <c r="D7" s="99" t="s">
        <v>156</v>
      </c>
      <c r="E7" s="178">
        <v>1</v>
      </c>
      <c r="F7" s="99" t="s">
        <v>157</v>
      </c>
      <c r="G7" s="62">
        <f t="shared" si="0"/>
        <v>0</v>
      </c>
      <c r="H7" s="62">
        <f t="shared" si="1"/>
        <v>0</v>
      </c>
      <c r="I7" s="62">
        <f t="shared" si="2"/>
        <v>0</v>
      </c>
      <c r="J7" s="62">
        <f t="shared" si="3"/>
        <v>0</v>
      </c>
      <c r="L7" s="62">
        <f t="shared" si="4"/>
        <v>0</v>
      </c>
      <c r="M7" s="62">
        <f t="shared" si="5"/>
        <v>0</v>
      </c>
      <c r="N7" s="62">
        <f t="shared" si="6"/>
        <v>0</v>
      </c>
      <c r="O7" s="62">
        <f t="shared" si="7"/>
        <v>0</v>
      </c>
    </row>
    <row r="8" spans="1:15" x14ac:dyDescent="0.25">
      <c r="A8" s="98">
        <v>46290.561400462961</v>
      </c>
      <c r="B8" s="99" t="s">
        <v>188</v>
      </c>
      <c r="C8" s="99" t="s">
        <v>139</v>
      </c>
      <c r="D8" s="99" t="s">
        <v>156</v>
      </c>
      <c r="E8" s="178">
        <v>2</v>
      </c>
      <c r="F8" s="99" t="s">
        <v>163</v>
      </c>
      <c r="G8" s="62">
        <f t="shared" si="0"/>
        <v>0</v>
      </c>
      <c r="H8" s="62">
        <f t="shared" si="1"/>
        <v>0</v>
      </c>
      <c r="I8" s="62">
        <f t="shared" si="2"/>
        <v>0</v>
      </c>
      <c r="J8" s="62">
        <f t="shared" si="3"/>
        <v>0</v>
      </c>
      <c r="L8" s="62">
        <f t="shared" si="4"/>
        <v>0</v>
      </c>
      <c r="M8" s="62">
        <f t="shared" si="5"/>
        <v>0</v>
      </c>
      <c r="N8" s="62">
        <f t="shared" si="6"/>
        <v>0</v>
      </c>
      <c r="O8" s="62">
        <f t="shared" si="7"/>
        <v>0</v>
      </c>
    </row>
    <row r="9" spans="1:15" x14ac:dyDescent="0.25">
      <c r="A9" s="98">
        <v>46290.590995370374</v>
      </c>
      <c r="B9" s="99" t="s">
        <v>164</v>
      </c>
      <c r="C9" s="99" t="s">
        <v>175</v>
      </c>
      <c r="D9" s="99" t="s">
        <v>176</v>
      </c>
      <c r="E9" s="178">
        <v>1</v>
      </c>
      <c r="F9" s="99" t="s">
        <v>12</v>
      </c>
      <c r="G9" s="62">
        <f t="shared" si="0"/>
        <v>0</v>
      </c>
      <c r="H9" s="62">
        <f t="shared" si="1"/>
        <v>0</v>
      </c>
      <c r="I9" s="62">
        <f t="shared" si="2"/>
        <v>2</v>
      </c>
      <c r="J9" s="62">
        <f t="shared" si="3"/>
        <v>1</v>
      </c>
      <c r="L9" s="62">
        <f t="shared" si="4"/>
        <v>0</v>
      </c>
      <c r="M9" s="62">
        <f t="shared" si="5"/>
        <v>0</v>
      </c>
      <c r="N9" s="62">
        <f t="shared" si="6"/>
        <v>0</v>
      </c>
      <c r="O9" s="62">
        <f t="shared" si="7"/>
        <v>0</v>
      </c>
    </row>
    <row r="10" spans="1:15" x14ac:dyDescent="0.25">
      <c r="A10" s="98">
        <v>46290.591192129628</v>
      </c>
      <c r="B10" s="99" t="s">
        <v>165</v>
      </c>
      <c r="C10" s="99" t="s">
        <v>175</v>
      </c>
      <c r="D10" s="99" t="s">
        <v>176</v>
      </c>
      <c r="E10" s="178">
        <v>1</v>
      </c>
      <c r="F10" s="99" t="s">
        <v>12</v>
      </c>
      <c r="G10" s="62">
        <f t="shared" si="0"/>
        <v>2</v>
      </c>
      <c r="H10" s="62">
        <f t="shared" si="1"/>
        <v>1</v>
      </c>
      <c r="I10" s="62">
        <f t="shared" si="2"/>
        <v>0</v>
      </c>
      <c r="J10" s="62">
        <f t="shared" si="3"/>
        <v>0</v>
      </c>
      <c r="L10" s="62">
        <f t="shared" si="4"/>
        <v>0</v>
      </c>
      <c r="M10" s="62">
        <f t="shared" si="5"/>
        <v>0</v>
      </c>
      <c r="N10" s="62">
        <f t="shared" si="6"/>
        <v>0</v>
      </c>
      <c r="O10" s="62">
        <f t="shared" si="7"/>
        <v>0</v>
      </c>
    </row>
    <row r="11" spans="1:15" x14ac:dyDescent="0.25">
      <c r="A11" s="98">
        <v>46290.594918981478</v>
      </c>
      <c r="B11" s="99" t="s">
        <v>168</v>
      </c>
      <c r="C11" s="99" t="s">
        <v>139</v>
      </c>
      <c r="D11" s="99" t="s">
        <v>156</v>
      </c>
      <c r="E11" s="178">
        <v>5</v>
      </c>
      <c r="F11" s="99" t="s">
        <v>157</v>
      </c>
      <c r="G11" s="62">
        <f t="shared" si="0"/>
        <v>0</v>
      </c>
      <c r="H11" s="62">
        <f t="shared" si="1"/>
        <v>0</v>
      </c>
      <c r="I11" s="62">
        <f t="shared" si="2"/>
        <v>0</v>
      </c>
      <c r="J11" s="62">
        <f t="shared" si="3"/>
        <v>0</v>
      </c>
      <c r="L11" s="62">
        <f t="shared" si="4"/>
        <v>0</v>
      </c>
      <c r="M11" s="62">
        <f t="shared" si="5"/>
        <v>0</v>
      </c>
      <c r="N11" s="62">
        <f t="shared" si="6"/>
        <v>0</v>
      </c>
      <c r="O11" s="62">
        <f t="shared" si="7"/>
        <v>0</v>
      </c>
    </row>
    <row r="12" spans="1:15" x14ac:dyDescent="0.25">
      <c r="A12" s="98">
        <v>46290.643726851849</v>
      </c>
      <c r="B12" s="99" t="s">
        <v>162</v>
      </c>
      <c r="C12" s="99" t="s">
        <v>139</v>
      </c>
      <c r="D12" s="99" t="s">
        <v>156</v>
      </c>
      <c r="E12" s="178">
        <v>1</v>
      </c>
      <c r="F12" s="99" t="s">
        <v>163</v>
      </c>
      <c r="G12" s="62">
        <f t="shared" si="0"/>
        <v>0</v>
      </c>
      <c r="H12" s="62">
        <f t="shared" si="1"/>
        <v>0</v>
      </c>
      <c r="I12" s="62">
        <f t="shared" si="2"/>
        <v>0</v>
      </c>
      <c r="J12" s="62">
        <f t="shared" si="3"/>
        <v>0</v>
      </c>
      <c r="L12" s="62">
        <f t="shared" si="4"/>
        <v>0</v>
      </c>
      <c r="M12" s="62">
        <f t="shared" si="5"/>
        <v>0</v>
      </c>
      <c r="N12" s="62">
        <f t="shared" si="6"/>
        <v>0</v>
      </c>
      <c r="O12" s="62">
        <f t="shared" si="7"/>
        <v>0</v>
      </c>
    </row>
    <row r="13" spans="1:15" x14ac:dyDescent="0.25">
      <c r="A13" s="98">
        <v>46290.664456018516</v>
      </c>
      <c r="B13" s="99" t="s">
        <v>151</v>
      </c>
      <c r="C13" s="99" t="s">
        <v>169</v>
      </c>
      <c r="D13" s="99" t="s">
        <v>170</v>
      </c>
      <c r="E13" s="178">
        <v>1</v>
      </c>
      <c r="F13" s="99" t="s">
        <v>167</v>
      </c>
      <c r="G13" s="62">
        <f t="shared" si="0"/>
        <v>0</v>
      </c>
      <c r="H13" s="62">
        <f t="shared" si="1"/>
        <v>0</v>
      </c>
      <c r="I13" s="62">
        <f t="shared" si="2"/>
        <v>0</v>
      </c>
      <c r="J13" s="62">
        <f t="shared" si="3"/>
        <v>0</v>
      </c>
      <c r="L13" s="62">
        <f t="shared" si="4"/>
        <v>0</v>
      </c>
      <c r="M13" s="62">
        <f t="shared" si="5"/>
        <v>0</v>
      </c>
      <c r="N13" s="62">
        <f t="shared" si="6"/>
        <v>0</v>
      </c>
      <c r="O13" s="62">
        <f t="shared" si="7"/>
        <v>0</v>
      </c>
    </row>
    <row r="14" spans="1:15" x14ac:dyDescent="0.25">
      <c r="A14" s="98">
        <v>46290.692604166667</v>
      </c>
      <c r="B14" s="99" t="s">
        <v>165</v>
      </c>
      <c r="C14" s="99" t="s">
        <v>169</v>
      </c>
      <c r="D14" s="99" t="s">
        <v>170</v>
      </c>
      <c r="E14" s="178">
        <v>1</v>
      </c>
      <c r="F14" s="99" t="s">
        <v>154</v>
      </c>
      <c r="G14" s="62">
        <f t="shared" si="0"/>
        <v>0</v>
      </c>
      <c r="H14" s="62">
        <f t="shared" si="1"/>
        <v>0</v>
      </c>
      <c r="I14" s="62">
        <f t="shared" si="2"/>
        <v>0</v>
      </c>
      <c r="J14" s="62">
        <f t="shared" si="3"/>
        <v>0</v>
      </c>
      <c r="L14" s="62">
        <f t="shared" si="4"/>
        <v>0</v>
      </c>
      <c r="M14" s="62">
        <f t="shared" si="5"/>
        <v>0</v>
      </c>
      <c r="N14" s="62">
        <f t="shared" si="6"/>
        <v>0</v>
      </c>
      <c r="O14" s="62">
        <f t="shared" si="7"/>
        <v>0</v>
      </c>
    </row>
    <row r="15" spans="1:15" x14ac:dyDescent="0.25">
      <c r="A15" s="98">
        <v>46290.91547453704</v>
      </c>
      <c r="B15" s="99" t="s">
        <v>165</v>
      </c>
      <c r="C15" s="99" t="s">
        <v>141</v>
      </c>
      <c r="D15" s="99" t="s">
        <v>142</v>
      </c>
      <c r="E15" s="178">
        <v>1</v>
      </c>
      <c r="F15" s="99" t="s">
        <v>12</v>
      </c>
      <c r="G15" s="62">
        <f t="shared" si="0"/>
        <v>2</v>
      </c>
      <c r="H15" s="62">
        <f t="shared" si="1"/>
        <v>1</v>
      </c>
      <c r="I15" s="62">
        <f t="shared" si="2"/>
        <v>0</v>
      </c>
      <c r="J15" s="62">
        <f t="shared" si="3"/>
        <v>0</v>
      </c>
      <c r="L15" s="62">
        <f t="shared" si="4"/>
        <v>0</v>
      </c>
      <c r="M15" s="62">
        <f t="shared" si="5"/>
        <v>0</v>
      </c>
      <c r="N15" s="62">
        <f t="shared" si="6"/>
        <v>0</v>
      </c>
      <c r="O15" s="62">
        <f t="shared" si="7"/>
        <v>0</v>
      </c>
    </row>
    <row r="16" spans="1:15" x14ac:dyDescent="0.25">
      <c r="A16" s="98">
        <v>46291.038310185184</v>
      </c>
      <c r="B16" s="99" t="s">
        <v>164</v>
      </c>
      <c r="C16" s="99" t="s">
        <v>141</v>
      </c>
      <c r="D16" s="99" t="s">
        <v>142</v>
      </c>
      <c r="E16" s="178">
        <v>1</v>
      </c>
      <c r="F16" s="99" t="s">
        <v>12</v>
      </c>
      <c r="G16" s="62">
        <f t="shared" si="0"/>
        <v>0</v>
      </c>
      <c r="H16" s="62">
        <f t="shared" si="1"/>
        <v>0</v>
      </c>
      <c r="I16" s="62">
        <f t="shared" si="2"/>
        <v>2</v>
      </c>
      <c r="J16" s="62">
        <f t="shared" si="3"/>
        <v>1</v>
      </c>
      <c r="L16" s="62">
        <f t="shared" si="4"/>
        <v>0</v>
      </c>
      <c r="M16" s="62">
        <f t="shared" si="5"/>
        <v>0</v>
      </c>
      <c r="N16" s="62">
        <f t="shared" si="6"/>
        <v>0</v>
      </c>
      <c r="O16" s="62">
        <f t="shared" si="7"/>
        <v>0</v>
      </c>
    </row>
    <row r="17" spans="1:15" x14ac:dyDescent="0.25">
      <c r="A17" s="98">
        <v>46291.038449074076</v>
      </c>
      <c r="B17" s="99" t="s">
        <v>165</v>
      </c>
      <c r="C17" s="99" t="s">
        <v>141</v>
      </c>
      <c r="D17" s="99" t="s">
        <v>142</v>
      </c>
      <c r="E17" s="178">
        <v>1</v>
      </c>
      <c r="F17" s="99" t="s">
        <v>12</v>
      </c>
      <c r="G17" s="62">
        <f t="shared" si="0"/>
        <v>2</v>
      </c>
      <c r="H17" s="62">
        <f t="shared" si="1"/>
        <v>1</v>
      </c>
      <c r="I17" s="62">
        <f t="shared" si="2"/>
        <v>0</v>
      </c>
      <c r="J17" s="62">
        <f t="shared" si="3"/>
        <v>0</v>
      </c>
      <c r="L17" s="62">
        <f t="shared" si="4"/>
        <v>0</v>
      </c>
      <c r="M17" s="62">
        <f t="shared" si="5"/>
        <v>0</v>
      </c>
      <c r="N17" s="62">
        <f t="shared" si="6"/>
        <v>0</v>
      </c>
      <c r="O17" s="62">
        <f t="shared" si="7"/>
        <v>0</v>
      </c>
    </row>
    <row r="18" spans="1:15" x14ac:dyDescent="0.25">
      <c r="A18" s="98">
        <v>46291.062083333331</v>
      </c>
      <c r="B18" s="99" t="s">
        <v>186</v>
      </c>
      <c r="C18" s="99" t="s">
        <v>152</v>
      </c>
      <c r="D18" s="99" t="s">
        <v>153</v>
      </c>
      <c r="E18" s="178">
        <v>1</v>
      </c>
      <c r="F18" s="99" t="s">
        <v>12</v>
      </c>
      <c r="G18" s="62">
        <f t="shared" si="0"/>
        <v>0</v>
      </c>
      <c r="H18" s="62">
        <f t="shared" si="1"/>
        <v>0</v>
      </c>
      <c r="I18" s="62">
        <f t="shared" si="2"/>
        <v>0</v>
      </c>
      <c r="J18" s="62">
        <f t="shared" si="3"/>
        <v>0</v>
      </c>
      <c r="L18" s="62">
        <f t="shared" si="4"/>
        <v>0</v>
      </c>
      <c r="M18" s="62">
        <f t="shared" si="5"/>
        <v>0</v>
      </c>
      <c r="N18" s="62">
        <f t="shared" si="6"/>
        <v>0</v>
      </c>
      <c r="O18" s="62">
        <f t="shared" si="7"/>
        <v>0</v>
      </c>
    </row>
    <row r="19" spans="1:15" x14ac:dyDescent="0.25">
      <c r="A19" s="98">
        <v>46291.146331018521</v>
      </c>
      <c r="B19" s="99" t="s">
        <v>151</v>
      </c>
      <c r="C19" s="99" t="s">
        <v>152</v>
      </c>
      <c r="D19" s="99" t="s">
        <v>153</v>
      </c>
      <c r="E19" s="178">
        <v>1</v>
      </c>
      <c r="F19" s="99" t="s">
        <v>154</v>
      </c>
      <c r="G19" s="62">
        <f t="shared" si="0"/>
        <v>0</v>
      </c>
      <c r="H19" s="62">
        <f t="shared" si="1"/>
        <v>0</v>
      </c>
      <c r="I19" s="62">
        <f t="shared" si="2"/>
        <v>0</v>
      </c>
      <c r="J19" s="62">
        <f t="shared" si="3"/>
        <v>0</v>
      </c>
      <c r="L19" s="62">
        <f t="shared" si="4"/>
        <v>0</v>
      </c>
      <c r="M19" s="62">
        <f t="shared" si="5"/>
        <v>0</v>
      </c>
      <c r="N19" s="62">
        <f t="shared" si="6"/>
        <v>0</v>
      </c>
      <c r="O19" s="62">
        <f t="shared" si="7"/>
        <v>0</v>
      </c>
    </row>
    <row r="20" spans="1:15" x14ac:dyDescent="0.25">
      <c r="A20" s="98">
        <v>46291.472210648149</v>
      </c>
      <c r="B20" s="99" t="s">
        <v>164</v>
      </c>
      <c r="C20" s="99" t="s">
        <v>127</v>
      </c>
      <c r="D20" s="99" t="s">
        <v>128</v>
      </c>
      <c r="E20" s="178">
        <v>1</v>
      </c>
      <c r="F20" s="99" t="s">
        <v>16</v>
      </c>
      <c r="G20" s="62">
        <f t="shared" si="0"/>
        <v>0</v>
      </c>
      <c r="H20" s="62">
        <f t="shared" si="1"/>
        <v>0</v>
      </c>
      <c r="I20" s="62">
        <f t="shared" si="2"/>
        <v>0</v>
      </c>
      <c r="J20" s="62">
        <f t="shared" si="3"/>
        <v>0</v>
      </c>
      <c r="L20" s="62">
        <f t="shared" si="4"/>
        <v>0</v>
      </c>
      <c r="M20" s="62">
        <f t="shared" si="5"/>
        <v>0</v>
      </c>
      <c r="N20" s="62">
        <f t="shared" si="6"/>
        <v>2</v>
      </c>
      <c r="O20" s="62">
        <f t="shared" si="7"/>
        <v>1</v>
      </c>
    </row>
    <row r="21" spans="1:15" x14ac:dyDescent="0.25">
      <c r="A21" s="98">
        <v>46291.472534722219</v>
      </c>
      <c r="B21" s="99" t="s">
        <v>164</v>
      </c>
      <c r="C21" s="99" t="s">
        <v>127</v>
      </c>
      <c r="D21" s="99" t="s">
        <v>128</v>
      </c>
      <c r="E21" s="178">
        <v>1</v>
      </c>
      <c r="F21" s="99" t="s">
        <v>16</v>
      </c>
      <c r="G21" s="62">
        <f t="shared" si="0"/>
        <v>0</v>
      </c>
      <c r="H21" s="62">
        <f t="shared" si="1"/>
        <v>0</v>
      </c>
      <c r="I21" s="62">
        <f t="shared" si="2"/>
        <v>0</v>
      </c>
      <c r="J21" s="62">
        <f t="shared" si="3"/>
        <v>0</v>
      </c>
      <c r="L21" s="62">
        <f t="shared" si="4"/>
        <v>0</v>
      </c>
      <c r="M21" s="62">
        <f t="shared" si="5"/>
        <v>0</v>
      </c>
      <c r="N21" s="62">
        <f t="shared" si="6"/>
        <v>2</v>
      </c>
      <c r="O21" s="62">
        <f t="shared" si="7"/>
        <v>1</v>
      </c>
    </row>
    <row r="22" spans="1:15" x14ac:dyDescent="0.25">
      <c r="A22" s="98">
        <v>46292.07849537037</v>
      </c>
      <c r="B22" s="99" t="s">
        <v>151</v>
      </c>
      <c r="C22" s="99" t="s">
        <v>169</v>
      </c>
      <c r="D22" s="99" t="s">
        <v>170</v>
      </c>
      <c r="E22" s="178">
        <v>1</v>
      </c>
      <c r="F22" s="99" t="s">
        <v>167</v>
      </c>
      <c r="G22" s="62">
        <f t="shared" si="0"/>
        <v>0</v>
      </c>
      <c r="H22" s="62">
        <f t="shared" si="1"/>
        <v>0</v>
      </c>
      <c r="I22" s="62">
        <f t="shared" si="2"/>
        <v>0</v>
      </c>
      <c r="J22" s="62">
        <f t="shared" si="3"/>
        <v>0</v>
      </c>
      <c r="L22" s="62">
        <f t="shared" si="4"/>
        <v>0</v>
      </c>
      <c r="M22" s="62">
        <f t="shared" si="5"/>
        <v>0</v>
      </c>
      <c r="N22" s="62">
        <f t="shared" si="6"/>
        <v>0</v>
      </c>
      <c r="O22" s="62">
        <f t="shared" si="7"/>
        <v>0</v>
      </c>
    </row>
    <row r="23" spans="1:15" x14ac:dyDescent="0.25">
      <c r="A23" s="98">
        <v>46292.078692129631</v>
      </c>
      <c r="B23" s="99" t="s">
        <v>165</v>
      </c>
      <c r="C23" s="99" t="s">
        <v>169</v>
      </c>
      <c r="D23" s="99" t="s">
        <v>170</v>
      </c>
      <c r="E23" s="178">
        <v>1</v>
      </c>
      <c r="F23" s="99" t="s">
        <v>167</v>
      </c>
      <c r="G23" s="62">
        <f t="shared" si="0"/>
        <v>0</v>
      </c>
      <c r="H23" s="62">
        <f t="shared" si="1"/>
        <v>0</v>
      </c>
      <c r="I23" s="62">
        <f t="shared" si="2"/>
        <v>0</v>
      </c>
      <c r="J23" s="62">
        <f t="shared" si="3"/>
        <v>0</v>
      </c>
      <c r="L23" s="62">
        <f t="shared" si="4"/>
        <v>0</v>
      </c>
      <c r="M23" s="62">
        <f t="shared" si="5"/>
        <v>0</v>
      </c>
      <c r="N23" s="62">
        <f t="shared" si="6"/>
        <v>0</v>
      </c>
      <c r="O23" s="62">
        <f t="shared" si="7"/>
        <v>0</v>
      </c>
    </row>
    <row r="24" spans="1:15" x14ac:dyDescent="0.25">
      <c r="A24" s="98">
        <v>46293.150347222225</v>
      </c>
      <c r="B24" s="99" t="s">
        <v>186</v>
      </c>
      <c r="C24" s="99" t="s">
        <v>189</v>
      </c>
      <c r="D24" s="99" t="s">
        <v>190</v>
      </c>
      <c r="E24" s="178">
        <v>1</v>
      </c>
      <c r="F24" s="99" t="s">
        <v>12</v>
      </c>
      <c r="G24" s="62">
        <f t="shared" si="0"/>
        <v>0</v>
      </c>
      <c r="H24" s="62">
        <f t="shared" si="1"/>
        <v>0</v>
      </c>
      <c r="I24" s="62">
        <f t="shared" si="2"/>
        <v>0</v>
      </c>
      <c r="J24" s="62">
        <f t="shared" si="3"/>
        <v>0</v>
      </c>
      <c r="L24" s="62">
        <f t="shared" si="4"/>
        <v>0</v>
      </c>
      <c r="M24" s="62">
        <f t="shared" si="5"/>
        <v>0</v>
      </c>
      <c r="N24" s="62">
        <f t="shared" si="6"/>
        <v>0</v>
      </c>
      <c r="O24" s="62">
        <f t="shared" si="7"/>
        <v>0</v>
      </c>
    </row>
    <row r="25" spans="1:15" x14ac:dyDescent="0.25">
      <c r="A25" s="98">
        <v>46293.30673611111</v>
      </c>
      <c r="B25" s="99" t="s">
        <v>151</v>
      </c>
      <c r="C25" s="99" t="s">
        <v>169</v>
      </c>
      <c r="D25" s="99" t="s">
        <v>170</v>
      </c>
      <c r="E25" s="178">
        <v>1</v>
      </c>
      <c r="F25" s="99" t="s">
        <v>154</v>
      </c>
      <c r="G25" s="62">
        <f t="shared" si="0"/>
        <v>0</v>
      </c>
      <c r="H25" s="62">
        <f t="shared" si="1"/>
        <v>0</v>
      </c>
      <c r="I25" s="62">
        <f t="shared" si="2"/>
        <v>0</v>
      </c>
      <c r="J25" s="62">
        <f t="shared" si="3"/>
        <v>0</v>
      </c>
      <c r="L25" s="62">
        <f t="shared" si="4"/>
        <v>0</v>
      </c>
      <c r="M25" s="62">
        <f t="shared" si="5"/>
        <v>0</v>
      </c>
      <c r="N25" s="62">
        <f t="shared" si="6"/>
        <v>0</v>
      </c>
      <c r="O25" s="62">
        <f t="shared" si="7"/>
        <v>0</v>
      </c>
    </row>
    <row r="26" spans="1:15" x14ac:dyDescent="0.25">
      <c r="A26" s="98">
        <v>46293.306956018518</v>
      </c>
      <c r="B26" s="99" t="s">
        <v>165</v>
      </c>
      <c r="C26" s="99" t="s">
        <v>169</v>
      </c>
      <c r="D26" s="99" t="s">
        <v>170</v>
      </c>
      <c r="E26" s="178">
        <v>1</v>
      </c>
      <c r="F26" s="99" t="s">
        <v>154</v>
      </c>
      <c r="G26" s="62">
        <f t="shared" si="0"/>
        <v>0</v>
      </c>
      <c r="H26" s="62">
        <f t="shared" si="1"/>
        <v>0</v>
      </c>
      <c r="I26" s="62">
        <f t="shared" si="2"/>
        <v>0</v>
      </c>
      <c r="J26" s="62">
        <f t="shared" si="3"/>
        <v>0</v>
      </c>
      <c r="L26" s="62">
        <f t="shared" si="4"/>
        <v>0</v>
      </c>
      <c r="M26" s="62">
        <f t="shared" si="5"/>
        <v>0</v>
      </c>
      <c r="N26" s="62">
        <f t="shared" si="6"/>
        <v>0</v>
      </c>
      <c r="O26" s="62">
        <f t="shared" si="7"/>
        <v>0</v>
      </c>
    </row>
    <row r="27" spans="1:15" x14ac:dyDescent="0.25">
      <c r="A27" s="98">
        <v>46293.345127314817</v>
      </c>
      <c r="B27" s="99" t="s">
        <v>158</v>
      </c>
      <c r="C27" s="99" t="s">
        <v>139</v>
      </c>
      <c r="D27" s="99" t="s">
        <v>156</v>
      </c>
      <c r="E27" s="178">
        <v>1</v>
      </c>
      <c r="F27" s="99" t="s">
        <v>159</v>
      </c>
      <c r="G27" s="62">
        <f t="shared" si="0"/>
        <v>0</v>
      </c>
      <c r="H27" s="62">
        <f t="shared" si="1"/>
        <v>0</v>
      </c>
      <c r="I27" s="62">
        <f t="shared" si="2"/>
        <v>0</v>
      </c>
      <c r="J27" s="62">
        <f t="shared" si="3"/>
        <v>0</v>
      </c>
      <c r="L27" s="62">
        <f t="shared" si="4"/>
        <v>0</v>
      </c>
      <c r="M27" s="62">
        <f t="shared" si="5"/>
        <v>0</v>
      </c>
      <c r="N27" s="62">
        <f t="shared" si="6"/>
        <v>0</v>
      </c>
      <c r="O27" s="62">
        <f t="shared" si="7"/>
        <v>0</v>
      </c>
    </row>
    <row r="28" spans="1:15" x14ac:dyDescent="0.25">
      <c r="A28" s="98">
        <v>46293.390266203707</v>
      </c>
      <c r="B28" s="99" t="s">
        <v>191</v>
      </c>
      <c r="C28" s="99" t="s">
        <v>139</v>
      </c>
      <c r="D28" s="99" t="s">
        <v>156</v>
      </c>
      <c r="E28" s="178">
        <v>1</v>
      </c>
      <c r="F28" s="99" t="s">
        <v>192</v>
      </c>
      <c r="G28" s="62">
        <f t="shared" si="0"/>
        <v>0</v>
      </c>
      <c r="H28" s="62">
        <f t="shared" si="1"/>
        <v>0</v>
      </c>
      <c r="I28" s="62">
        <f t="shared" si="2"/>
        <v>0</v>
      </c>
      <c r="J28" s="62">
        <f t="shared" si="3"/>
        <v>0</v>
      </c>
      <c r="L28" s="62">
        <f t="shared" si="4"/>
        <v>0</v>
      </c>
      <c r="M28" s="62">
        <f t="shared" si="5"/>
        <v>0</v>
      </c>
      <c r="N28" s="62">
        <f t="shared" si="6"/>
        <v>0</v>
      </c>
      <c r="O28" s="62">
        <f t="shared" si="7"/>
        <v>0</v>
      </c>
    </row>
    <row r="29" spans="1:15" x14ac:dyDescent="0.25">
      <c r="A29" s="98">
        <v>46293.392199074071</v>
      </c>
      <c r="B29" s="99" t="s">
        <v>191</v>
      </c>
      <c r="C29" s="99" t="s">
        <v>139</v>
      </c>
      <c r="D29" s="99" t="s">
        <v>156</v>
      </c>
      <c r="E29" s="178">
        <v>-1</v>
      </c>
      <c r="F29" s="99" t="s">
        <v>192</v>
      </c>
      <c r="G29" s="62">
        <f t="shared" si="0"/>
        <v>0</v>
      </c>
      <c r="H29" s="62">
        <f t="shared" si="1"/>
        <v>0</v>
      </c>
      <c r="I29" s="62">
        <f t="shared" si="2"/>
        <v>0</v>
      </c>
      <c r="J29" s="62">
        <f t="shared" si="3"/>
        <v>0</v>
      </c>
      <c r="L29" s="62">
        <f t="shared" si="4"/>
        <v>0</v>
      </c>
      <c r="M29" s="62">
        <f t="shared" si="5"/>
        <v>0</v>
      </c>
      <c r="N29" s="62">
        <f t="shared" si="6"/>
        <v>0</v>
      </c>
      <c r="O29" s="62">
        <f t="shared" si="7"/>
        <v>0</v>
      </c>
    </row>
    <row r="30" spans="1:15" x14ac:dyDescent="0.25">
      <c r="A30" s="98">
        <v>46293.392604166664</v>
      </c>
      <c r="B30" s="99" t="s">
        <v>193</v>
      </c>
      <c r="C30" s="99" t="s">
        <v>139</v>
      </c>
      <c r="D30" s="99" t="s">
        <v>156</v>
      </c>
      <c r="E30" s="178">
        <v>1</v>
      </c>
      <c r="F30" s="99" t="s">
        <v>192</v>
      </c>
      <c r="G30" s="62">
        <f t="shared" si="0"/>
        <v>0</v>
      </c>
      <c r="H30" s="62">
        <f t="shared" si="1"/>
        <v>0</v>
      </c>
      <c r="I30" s="62">
        <f t="shared" si="2"/>
        <v>0</v>
      </c>
      <c r="J30" s="62">
        <f t="shared" si="3"/>
        <v>0</v>
      </c>
      <c r="L30" s="62">
        <f t="shared" si="4"/>
        <v>0</v>
      </c>
      <c r="M30" s="62">
        <f t="shared" si="5"/>
        <v>0</v>
      </c>
      <c r="N30" s="62">
        <f t="shared" si="6"/>
        <v>0</v>
      </c>
      <c r="O30" s="62">
        <f t="shared" si="7"/>
        <v>0</v>
      </c>
    </row>
    <row r="31" spans="1:15" x14ac:dyDescent="0.25">
      <c r="A31" s="98">
        <v>46293.397604166668</v>
      </c>
      <c r="B31" s="99" t="s">
        <v>162</v>
      </c>
      <c r="C31" s="99" t="s">
        <v>139</v>
      </c>
      <c r="D31" s="99" t="s">
        <v>156</v>
      </c>
      <c r="E31" s="178">
        <v>2</v>
      </c>
      <c r="F31" s="99" t="s">
        <v>163</v>
      </c>
      <c r="G31" s="62">
        <f t="shared" si="0"/>
        <v>0</v>
      </c>
      <c r="H31" s="62">
        <f t="shared" si="1"/>
        <v>0</v>
      </c>
      <c r="I31" s="62">
        <f t="shared" si="2"/>
        <v>0</v>
      </c>
      <c r="J31" s="62">
        <f t="shared" si="3"/>
        <v>0</v>
      </c>
      <c r="L31" s="62">
        <f t="shared" si="4"/>
        <v>0</v>
      </c>
      <c r="M31" s="62">
        <f t="shared" si="5"/>
        <v>0</v>
      </c>
      <c r="N31" s="62">
        <f t="shared" si="6"/>
        <v>0</v>
      </c>
      <c r="O31" s="62">
        <f t="shared" si="7"/>
        <v>0</v>
      </c>
    </row>
    <row r="32" spans="1:15" x14ac:dyDescent="0.25">
      <c r="A32" s="98">
        <v>46293.59883101852</v>
      </c>
      <c r="B32" s="99" t="s">
        <v>180</v>
      </c>
      <c r="C32" s="99" t="s">
        <v>139</v>
      </c>
      <c r="D32" s="99" t="s">
        <v>156</v>
      </c>
      <c r="E32" s="178">
        <v>45</v>
      </c>
      <c r="F32" s="99" t="s">
        <v>12</v>
      </c>
      <c r="G32" s="62">
        <f t="shared" si="0"/>
        <v>0</v>
      </c>
      <c r="H32" s="62">
        <f t="shared" si="1"/>
        <v>0</v>
      </c>
      <c r="I32" s="62">
        <f t="shared" si="2"/>
        <v>0</v>
      </c>
      <c r="J32" s="62">
        <f t="shared" si="3"/>
        <v>0</v>
      </c>
      <c r="L32" s="62">
        <f t="shared" si="4"/>
        <v>0</v>
      </c>
      <c r="M32" s="62">
        <f t="shared" si="5"/>
        <v>0</v>
      </c>
      <c r="N32" s="62">
        <f t="shared" si="6"/>
        <v>0</v>
      </c>
      <c r="O32" s="62">
        <f t="shared" si="7"/>
        <v>0</v>
      </c>
    </row>
    <row r="33" spans="1:15" x14ac:dyDescent="0.25">
      <c r="A33" s="98">
        <v>46293.599664351852</v>
      </c>
      <c r="B33" s="99" t="s">
        <v>180</v>
      </c>
      <c r="C33" s="99" t="s">
        <v>139</v>
      </c>
      <c r="D33" s="99" t="s">
        <v>156</v>
      </c>
      <c r="E33" s="178">
        <v>45</v>
      </c>
      <c r="F33" s="99" t="s">
        <v>12</v>
      </c>
      <c r="G33" s="62">
        <f t="shared" si="0"/>
        <v>0</v>
      </c>
      <c r="H33" s="62">
        <f t="shared" si="1"/>
        <v>0</v>
      </c>
      <c r="I33" s="62">
        <f t="shared" si="2"/>
        <v>0</v>
      </c>
      <c r="J33" s="62">
        <f t="shared" si="3"/>
        <v>0</v>
      </c>
      <c r="L33" s="62">
        <f t="shared" si="4"/>
        <v>0</v>
      </c>
      <c r="M33" s="62">
        <f t="shared" si="5"/>
        <v>0</v>
      </c>
      <c r="N33" s="62">
        <f t="shared" si="6"/>
        <v>0</v>
      </c>
      <c r="O33" s="62">
        <f t="shared" si="7"/>
        <v>0</v>
      </c>
    </row>
    <row r="34" spans="1:15" x14ac:dyDescent="0.25">
      <c r="A34" s="98">
        <v>46293.60015046296</v>
      </c>
      <c r="B34" s="99" t="s">
        <v>183</v>
      </c>
      <c r="C34" s="99" t="s">
        <v>139</v>
      </c>
      <c r="D34" s="99" t="s">
        <v>156</v>
      </c>
      <c r="E34" s="178">
        <v>45</v>
      </c>
      <c r="F34" s="99" t="s">
        <v>12</v>
      </c>
      <c r="G34" s="62">
        <f t="shared" si="0"/>
        <v>0</v>
      </c>
      <c r="H34" s="62">
        <f t="shared" si="1"/>
        <v>0</v>
      </c>
      <c r="I34" s="62">
        <f t="shared" si="2"/>
        <v>0</v>
      </c>
      <c r="J34" s="62">
        <f t="shared" si="3"/>
        <v>0</v>
      </c>
      <c r="L34" s="62">
        <f t="shared" si="4"/>
        <v>0</v>
      </c>
      <c r="M34" s="62">
        <f t="shared" si="5"/>
        <v>0</v>
      </c>
      <c r="N34" s="62">
        <f t="shared" si="6"/>
        <v>0</v>
      </c>
      <c r="O34" s="62">
        <f t="shared" si="7"/>
        <v>0</v>
      </c>
    </row>
    <row r="35" spans="1:15" x14ac:dyDescent="0.25">
      <c r="A35" s="98">
        <v>46293.604189814818</v>
      </c>
      <c r="B35" s="99" t="s">
        <v>183</v>
      </c>
      <c r="C35" s="99" t="s">
        <v>139</v>
      </c>
      <c r="D35" s="99" t="s">
        <v>156</v>
      </c>
      <c r="E35" s="178">
        <v>10</v>
      </c>
      <c r="F35" s="99" t="s">
        <v>12</v>
      </c>
      <c r="G35" s="62">
        <f t="shared" si="0"/>
        <v>0</v>
      </c>
      <c r="H35" s="62">
        <f t="shared" si="1"/>
        <v>0</v>
      </c>
      <c r="I35" s="62">
        <f t="shared" si="2"/>
        <v>0</v>
      </c>
      <c r="J35" s="62">
        <f t="shared" si="3"/>
        <v>0</v>
      </c>
      <c r="L35" s="62">
        <f t="shared" si="4"/>
        <v>0</v>
      </c>
      <c r="M35" s="62">
        <f t="shared" si="5"/>
        <v>0</v>
      </c>
      <c r="N35" s="62">
        <f t="shared" si="6"/>
        <v>0</v>
      </c>
      <c r="O35" s="62">
        <f t="shared" si="7"/>
        <v>0</v>
      </c>
    </row>
    <row r="36" spans="1:15" x14ac:dyDescent="0.25">
      <c r="A36" s="98">
        <v>46293.627881944441</v>
      </c>
      <c r="B36" s="99" t="s">
        <v>161</v>
      </c>
      <c r="C36" s="99" t="s">
        <v>139</v>
      </c>
      <c r="D36" s="99" t="s">
        <v>156</v>
      </c>
      <c r="E36" s="178">
        <v>2</v>
      </c>
      <c r="F36" s="99" t="s">
        <v>157</v>
      </c>
      <c r="G36" s="62">
        <f t="shared" si="0"/>
        <v>0</v>
      </c>
      <c r="H36" s="62">
        <f t="shared" si="1"/>
        <v>0</v>
      </c>
      <c r="I36" s="62">
        <f t="shared" si="2"/>
        <v>0</v>
      </c>
      <c r="J36" s="62">
        <f t="shared" si="3"/>
        <v>0</v>
      </c>
      <c r="L36" s="62">
        <f t="shared" si="4"/>
        <v>0</v>
      </c>
      <c r="M36" s="62">
        <f t="shared" si="5"/>
        <v>0</v>
      </c>
      <c r="N36" s="62">
        <f t="shared" si="6"/>
        <v>0</v>
      </c>
      <c r="O36" s="62">
        <f t="shared" si="7"/>
        <v>0</v>
      </c>
    </row>
    <row r="37" spans="1:15" x14ac:dyDescent="0.25">
      <c r="A37" s="98">
        <v>46293.628449074073</v>
      </c>
      <c r="B37" s="99" t="s">
        <v>160</v>
      </c>
      <c r="C37" s="99" t="s">
        <v>139</v>
      </c>
      <c r="D37" s="99" t="s">
        <v>156</v>
      </c>
      <c r="E37" s="178">
        <v>3</v>
      </c>
      <c r="F37" s="99" t="s">
        <v>157</v>
      </c>
      <c r="G37" s="62">
        <f t="shared" si="0"/>
        <v>0</v>
      </c>
      <c r="H37" s="62">
        <f t="shared" si="1"/>
        <v>0</v>
      </c>
      <c r="I37" s="62">
        <f t="shared" si="2"/>
        <v>0</v>
      </c>
      <c r="J37" s="62">
        <f t="shared" si="3"/>
        <v>0</v>
      </c>
      <c r="L37" s="62">
        <f t="shared" si="4"/>
        <v>0</v>
      </c>
      <c r="M37" s="62">
        <f t="shared" si="5"/>
        <v>0</v>
      </c>
      <c r="N37" s="62">
        <f t="shared" si="6"/>
        <v>0</v>
      </c>
      <c r="O37" s="62">
        <f t="shared" si="7"/>
        <v>0</v>
      </c>
    </row>
    <row r="38" spans="1:15" x14ac:dyDescent="0.25">
      <c r="A38" s="98">
        <v>46293.635798611111</v>
      </c>
      <c r="B38" s="99" t="s">
        <v>193</v>
      </c>
      <c r="C38" s="99" t="s">
        <v>139</v>
      </c>
      <c r="D38" s="99" t="s">
        <v>156</v>
      </c>
      <c r="E38" s="178">
        <v>2</v>
      </c>
      <c r="F38" s="99" t="s">
        <v>192</v>
      </c>
      <c r="G38" s="62">
        <f t="shared" si="0"/>
        <v>0</v>
      </c>
      <c r="H38" s="62">
        <f t="shared" si="1"/>
        <v>0</v>
      </c>
      <c r="I38" s="62">
        <f t="shared" si="2"/>
        <v>0</v>
      </c>
      <c r="J38" s="62">
        <f t="shared" si="3"/>
        <v>0</v>
      </c>
      <c r="L38" s="62">
        <f t="shared" si="4"/>
        <v>0</v>
      </c>
      <c r="M38" s="62">
        <f t="shared" si="5"/>
        <v>0</v>
      </c>
      <c r="N38" s="62">
        <f t="shared" si="6"/>
        <v>0</v>
      </c>
      <c r="O38" s="62">
        <f t="shared" si="7"/>
        <v>0</v>
      </c>
    </row>
    <row r="39" spans="1:15" x14ac:dyDescent="0.25">
      <c r="A39" s="98">
        <v>46293.912453703706</v>
      </c>
      <c r="B39" s="99" t="s">
        <v>164</v>
      </c>
      <c r="C39" s="99" t="s">
        <v>141</v>
      </c>
      <c r="D39" s="99" t="s">
        <v>142</v>
      </c>
      <c r="E39" s="178">
        <v>1</v>
      </c>
      <c r="F39" s="99" t="s">
        <v>12</v>
      </c>
      <c r="G39" s="62">
        <f t="shared" si="0"/>
        <v>0</v>
      </c>
      <c r="H39" s="62">
        <f t="shared" si="1"/>
        <v>0</v>
      </c>
      <c r="I39" s="62">
        <f t="shared" si="2"/>
        <v>2</v>
      </c>
      <c r="J39" s="62">
        <f t="shared" si="3"/>
        <v>1</v>
      </c>
      <c r="L39" s="62">
        <f t="shared" si="4"/>
        <v>0</v>
      </c>
      <c r="M39" s="62">
        <f t="shared" si="5"/>
        <v>0</v>
      </c>
      <c r="N39" s="62">
        <f t="shared" si="6"/>
        <v>0</v>
      </c>
      <c r="O39" s="62">
        <f t="shared" si="7"/>
        <v>0</v>
      </c>
    </row>
    <row r="40" spans="1:15" x14ac:dyDescent="0.25">
      <c r="A40" s="98">
        <v>46293.912592592591</v>
      </c>
      <c r="B40" s="99" t="s">
        <v>165</v>
      </c>
      <c r="C40" s="99" t="s">
        <v>141</v>
      </c>
      <c r="D40" s="99" t="s">
        <v>142</v>
      </c>
      <c r="E40" s="178">
        <v>1</v>
      </c>
      <c r="F40" s="99" t="s">
        <v>12</v>
      </c>
      <c r="G40" s="62">
        <f t="shared" si="0"/>
        <v>2</v>
      </c>
      <c r="H40" s="62">
        <f t="shared" si="1"/>
        <v>1</v>
      </c>
      <c r="I40" s="62">
        <f t="shared" si="2"/>
        <v>0</v>
      </c>
      <c r="J40" s="62">
        <f t="shared" si="3"/>
        <v>0</v>
      </c>
      <c r="L40" s="62">
        <f t="shared" si="4"/>
        <v>0</v>
      </c>
      <c r="M40" s="62">
        <f t="shared" si="5"/>
        <v>0</v>
      </c>
      <c r="N40" s="62">
        <f t="shared" si="6"/>
        <v>0</v>
      </c>
      <c r="O40" s="62">
        <f t="shared" si="7"/>
        <v>0</v>
      </c>
    </row>
    <row r="41" spans="1:15" x14ac:dyDescent="0.25">
      <c r="A41" s="98">
        <v>46293.912731481483</v>
      </c>
      <c r="B41" s="99" t="s">
        <v>165</v>
      </c>
      <c r="C41" s="99" t="s">
        <v>141</v>
      </c>
      <c r="D41" s="99" t="s">
        <v>142</v>
      </c>
      <c r="E41" s="178">
        <v>1</v>
      </c>
      <c r="F41" s="99" t="s">
        <v>12</v>
      </c>
      <c r="G41" s="62">
        <f t="shared" si="0"/>
        <v>2</v>
      </c>
      <c r="H41" s="62">
        <f t="shared" si="1"/>
        <v>1</v>
      </c>
      <c r="I41" s="62">
        <f t="shared" si="2"/>
        <v>0</v>
      </c>
      <c r="J41" s="62">
        <f t="shared" si="3"/>
        <v>0</v>
      </c>
      <c r="L41" s="62">
        <f t="shared" si="4"/>
        <v>0</v>
      </c>
      <c r="M41" s="62">
        <f t="shared" si="5"/>
        <v>0</v>
      </c>
      <c r="N41" s="62">
        <f t="shared" si="6"/>
        <v>0</v>
      </c>
      <c r="O41" s="62">
        <f t="shared" si="7"/>
        <v>0</v>
      </c>
    </row>
    <row r="42" spans="1:15" x14ac:dyDescent="0.25">
      <c r="A42" s="98">
        <v>46293.970555555556</v>
      </c>
      <c r="B42" s="99" t="s">
        <v>164</v>
      </c>
      <c r="C42" s="99" t="s">
        <v>141</v>
      </c>
      <c r="D42" s="99" t="s">
        <v>142</v>
      </c>
      <c r="E42" s="178">
        <v>1</v>
      </c>
      <c r="F42" s="99" t="s">
        <v>12</v>
      </c>
      <c r="G42" s="62">
        <f t="shared" si="0"/>
        <v>0</v>
      </c>
      <c r="H42" s="62">
        <f t="shared" si="1"/>
        <v>0</v>
      </c>
      <c r="I42" s="62">
        <f t="shared" si="2"/>
        <v>2</v>
      </c>
      <c r="J42" s="62">
        <f t="shared" si="3"/>
        <v>1</v>
      </c>
      <c r="L42" s="62">
        <f t="shared" si="4"/>
        <v>0</v>
      </c>
      <c r="M42" s="62">
        <f t="shared" si="5"/>
        <v>0</v>
      </c>
      <c r="N42" s="62">
        <f t="shared" si="6"/>
        <v>0</v>
      </c>
      <c r="O42" s="62">
        <f t="shared" si="7"/>
        <v>0</v>
      </c>
    </row>
    <row r="43" spans="1:15" x14ac:dyDescent="0.25">
      <c r="A43" s="98">
        <v>46293.984409722223</v>
      </c>
      <c r="B43" s="99" t="s">
        <v>151</v>
      </c>
      <c r="C43" s="99" t="s">
        <v>152</v>
      </c>
      <c r="D43" s="99" t="s">
        <v>153</v>
      </c>
      <c r="E43" s="178">
        <v>1</v>
      </c>
      <c r="F43" s="99" t="s">
        <v>167</v>
      </c>
      <c r="G43" s="62">
        <f t="shared" si="0"/>
        <v>0</v>
      </c>
      <c r="H43" s="62">
        <f t="shared" si="1"/>
        <v>0</v>
      </c>
      <c r="I43" s="62">
        <f t="shared" si="2"/>
        <v>0</v>
      </c>
      <c r="J43" s="62">
        <f t="shared" si="3"/>
        <v>0</v>
      </c>
      <c r="L43" s="62">
        <f t="shared" si="4"/>
        <v>0</v>
      </c>
      <c r="M43" s="62">
        <f t="shared" si="5"/>
        <v>0</v>
      </c>
      <c r="N43" s="62">
        <f t="shared" si="6"/>
        <v>0</v>
      </c>
      <c r="O43" s="62">
        <f t="shared" si="7"/>
        <v>0</v>
      </c>
    </row>
    <row r="44" spans="1:15" x14ac:dyDescent="0.25">
      <c r="A44" s="98">
        <v>46294.260335648149</v>
      </c>
      <c r="B44" s="99" t="s">
        <v>164</v>
      </c>
      <c r="C44" s="99" t="s">
        <v>129</v>
      </c>
      <c r="D44" s="99" t="s">
        <v>130</v>
      </c>
      <c r="E44" s="178">
        <v>1</v>
      </c>
      <c r="F44" s="99" t="s">
        <v>16</v>
      </c>
      <c r="G44" s="62">
        <f t="shared" si="0"/>
        <v>0</v>
      </c>
      <c r="H44" s="62">
        <f t="shared" si="1"/>
        <v>0</v>
      </c>
      <c r="I44" s="62">
        <f t="shared" si="2"/>
        <v>0</v>
      </c>
      <c r="J44" s="62">
        <f t="shared" si="3"/>
        <v>0</v>
      </c>
      <c r="L44" s="62">
        <f t="shared" si="4"/>
        <v>0</v>
      </c>
      <c r="M44" s="62">
        <f t="shared" si="5"/>
        <v>0</v>
      </c>
      <c r="N44" s="62">
        <f t="shared" si="6"/>
        <v>2</v>
      </c>
      <c r="O44" s="62">
        <f t="shared" si="7"/>
        <v>1</v>
      </c>
    </row>
    <row r="45" spans="1:15" x14ac:dyDescent="0.25">
      <c r="A45" s="98">
        <v>46294.26053240741</v>
      </c>
      <c r="B45" s="99" t="s">
        <v>164</v>
      </c>
      <c r="C45" s="99" t="s">
        <v>129</v>
      </c>
      <c r="D45" s="99" t="s">
        <v>130</v>
      </c>
      <c r="E45" s="178">
        <v>1</v>
      </c>
      <c r="F45" s="99" t="s">
        <v>16</v>
      </c>
      <c r="G45" s="62">
        <f t="shared" si="0"/>
        <v>0</v>
      </c>
      <c r="H45" s="62">
        <f t="shared" si="1"/>
        <v>0</v>
      </c>
      <c r="I45" s="62">
        <f t="shared" si="2"/>
        <v>0</v>
      </c>
      <c r="J45" s="62">
        <f t="shared" si="3"/>
        <v>0</v>
      </c>
      <c r="L45" s="62">
        <f t="shared" si="4"/>
        <v>0</v>
      </c>
      <c r="M45" s="62">
        <f t="shared" si="5"/>
        <v>0</v>
      </c>
      <c r="N45" s="62">
        <f t="shared" si="6"/>
        <v>2</v>
      </c>
      <c r="O45" s="62">
        <f t="shared" si="7"/>
        <v>1</v>
      </c>
    </row>
    <row r="46" spans="1:15" x14ac:dyDescent="0.25">
      <c r="A46" s="98">
        <v>46294.260682870372</v>
      </c>
      <c r="B46" s="99" t="s">
        <v>165</v>
      </c>
      <c r="C46" s="99" t="s">
        <v>129</v>
      </c>
      <c r="D46" s="99" t="s">
        <v>130</v>
      </c>
      <c r="E46" s="178">
        <v>1</v>
      </c>
      <c r="F46" s="99" t="s">
        <v>16</v>
      </c>
      <c r="G46" s="62">
        <f t="shared" si="0"/>
        <v>0</v>
      </c>
      <c r="H46" s="62">
        <f t="shared" si="1"/>
        <v>0</v>
      </c>
      <c r="I46" s="62">
        <f t="shared" si="2"/>
        <v>0</v>
      </c>
      <c r="J46" s="62">
        <f t="shared" si="3"/>
        <v>0</v>
      </c>
      <c r="L46" s="62">
        <f t="shared" si="4"/>
        <v>2</v>
      </c>
      <c r="M46" s="62">
        <f t="shared" si="5"/>
        <v>1</v>
      </c>
      <c r="N46" s="62">
        <f t="shared" si="6"/>
        <v>0</v>
      </c>
      <c r="O46" s="62">
        <f t="shared" si="7"/>
        <v>0</v>
      </c>
    </row>
    <row r="47" spans="1:15" x14ac:dyDescent="0.25">
      <c r="A47" s="98">
        <v>46294.260844907411</v>
      </c>
      <c r="B47" s="99" t="s">
        <v>165</v>
      </c>
      <c r="C47" s="99" t="s">
        <v>129</v>
      </c>
      <c r="D47" s="99" t="s">
        <v>130</v>
      </c>
      <c r="E47" s="178">
        <v>1</v>
      </c>
      <c r="F47" s="99" t="s">
        <v>16</v>
      </c>
      <c r="G47" s="62">
        <f t="shared" si="0"/>
        <v>0</v>
      </c>
      <c r="H47" s="62">
        <f t="shared" si="1"/>
        <v>0</v>
      </c>
      <c r="I47" s="62">
        <f t="shared" si="2"/>
        <v>0</v>
      </c>
      <c r="J47" s="62">
        <f t="shared" si="3"/>
        <v>0</v>
      </c>
      <c r="L47" s="62">
        <f t="shared" si="4"/>
        <v>2</v>
      </c>
      <c r="M47" s="62">
        <f t="shared" si="5"/>
        <v>1</v>
      </c>
      <c r="N47" s="62">
        <f t="shared" si="6"/>
        <v>0</v>
      </c>
      <c r="O47" s="62">
        <f t="shared" si="7"/>
        <v>0</v>
      </c>
    </row>
    <row r="48" spans="1:15" x14ac:dyDescent="0.25">
      <c r="A48" s="98">
        <v>46294.334131944444</v>
      </c>
      <c r="B48" s="99" t="s">
        <v>191</v>
      </c>
      <c r="C48" s="99" t="s">
        <v>139</v>
      </c>
      <c r="D48" s="99" t="s">
        <v>156</v>
      </c>
      <c r="E48" s="178">
        <v>4</v>
      </c>
      <c r="F48" s="99" t="s">
        <v>192</v>
      </c>
      <c r="G48" s="62">
        <f t="shared" si="0"/>
        <v>0</v>
      </c>
      <c r="H48" s="62">
        <f t="shared" si="1"/>
        <v>0</v>
      </c>
      <c r="I48" s="62">
        <f t="shared" si="2"/>
        <v>0</v>
      </c>
      <c r="J48" s="62">
        <f t="shared" si="3"/>
        <v>0</v>
      </c>
      <c r="L48" s="62">
        <f t="shared" si="4"/>
        <v>0</v>
      </c>
      <c r="M48" s="62">
        <f t="shared" si="5"/>
        <v>0</v>
      </c>
      <c r="N48" s="62">
        <f t="shared" si="6"/>
        <v>0</v>
      </c>
      <c r="O48" s="62">
        <f t="shared" si="7"/>
        <v>0</v>
      </c>
    </row>
    <row r="49" spans="1:15" x14ac:dyDescent="0.25">
      <c r="A49" s="98">
        <v>46294.334432870368</v>
      </c>
      <c r="B49" s="99" t="s">
        <v>193</v>
      </c>
      <c r="C49" s="99" t="s">
        <v>139</v>
      </c>
      <c r="D49" s="99" t="s">
        <v>156</v>
      </c>
      <c r="E49" s="178">
        <v>2</v>
      </c>
      <c r="F49" s="99" t="s">
        <v>192</v>
      </c>
      <c r="G49" s="62">
        <f t="shared" si="0"/>
        <v>0</v>
      </c>
      <c r="H49" s="62">
        <f t="shared" si="1"/>
        <v>0</v>
      </c>
      <c r="I49" s="62">
        <f t="shared" si="2"/>
        <v>0</v>
      </c>
      <c r="J49" s="62">
        <f t="shared" si="3"/>
        <v>0</v>
      </c>
      <c r="L49" s="62">
        <f t="shared" si="4"/>
        <v>0</v>
      </c>
      <c r="M49" s="62">
        <f t="shared" si="5"/>
        <v>0</v>
      </c>
      <c r="N49" s="62">
        <f t="shared" si="6"/>
        <v>0</v>
      </c>
      <c r="O49" s="62">
        <f t="shared" si="7"/>
        <v>0</v>
      </c>
    </row>
    <row r="50" spans="1:15" x14ac:dyDescent="0.25">
      <c r="A50" s="98">
        <v>46294.354398148149</v>
      </c>
      <c r="B50" s="99" t="s">
        <v>164</v>
      </c>
      <c r="C50" s="99" t="s">
        <v>175</v>
      </c>
      <c r="D50" s="99" t="s">
        <v>176</v>
      </c>
      <c r="E50" s="178">
        <v>1</v>
      </c>
      <c r="F50" s="99" t="s">
        <v>12</v>
      </c>
      <c r="G50" s="62">
        <f t="shared" si="0"/>
        <v>0</v>
      </c>
      <c r="H50" s="62">
        <f t="shared" si="1"/>
        <v>0</v>
      </c>
      <c r="I50" s="62">
        <f t="shared" si="2"/>
        <v>2</v>
      </c>
      <c r="J50" s="62">
        <f t="shared" si="3"/>
        <v>1</v>
      </c>
      <c r="L50" s="62">
        <f t="shared" si="4"/>
        <v>0</v>
      </c>
      <c r="M50" s="62">
        <f t="shared" si="5"/>
        <v>0</v>
      </c>
      <c r="N50" s="62">
        <f t="shared" si="6"/>
        <v>0</v>
      </c>
      <c r="O50" s="62">
        <f t="shared" si="7"/>
        <v>0</v>
      </c>
    </row>
    <row r="51" spans="1:15" x14ac:dyDescent="0.25">
      <c r="A51" s="98">
        <v>46294.354594907411</v>
      </c>
      <c r="B51" s="99" t="s">
        <v>165</v>
      </c>
      <c r="C51" s="99" t="s">
        <v>175</v>
      </c>
      <c r="D51" s="99" t="s">
        <v>176</v>
      </c>
      <c r="E51" s="178">
        <v>1</v>
      </c>
      <c r="F51" s="99" t="s">
        <v>12</v>
      </c>
      <c r="G51" s="62">
        <f t="shared" si="0"/>
        <v>2</v>
      </c>
      <c r="H51" s="62">
        <f t="shared" si="1"/>
        <v>1</v>
      </c>
      <c r="I51" s="62">
        <f t="shared" si="2"/>
        <v>0</v>
      </c>
      <c r="J51" s="62">
        <f t="shared" si="3"/>
        <v>0</v>
      </c>
      <c r="L51" s="62">
        <f t="shared" si="4"/>
        <v>0</v>
      </c>
      <c r="M51" s="62">
        <f t="shared" si="5"/>
        <v>0</v>
      </c>
      <c r="N51" s="62">
        <f t="shared" si="6"/>
        <v>0</v>
      </c>
      <c r="O51" s="62">
        <f t="shared" si="7"/>
        <v>0</v>
      </c>
    </row>
    <row r="52" spans="1:15" x14ac:dyDescent="0.25">
      <c r="A52" s="98">
        <v>46294.364328703705</v>
      </c>
      <c r="B52" s="99" t="s">
        <v>165</v>
      </c>
      <c r="C52" s="99" t="s">
        <v>175</v>
      </c>
      <c r="D52" s="99" t="s">
        <v>176</v>
      </c>
      <c r="E52" s="178">
        <v>1</v>
      </c>
      <c r="F52" s="99" t="s">
        <v>12</v>
      </c>
      <c r="G52" s="62">
        <f t="shared" si="0"/>
        <v>2</v>
      </c>
      <c r="H52" s="62">
        <f t="shared" si="1"/>
        <v>1</v>
      </c>
      <c r="I52" s="62">
        <f t="shared" si="2"/>
        <v>0</v>
      </c>
      <c r="J52" s="62">
        <f t="shared" si="3"/>
        <v>0</v>
      </c>
      <c r="L52" s="62">
        <f t="shared" si="4"/>
        <v>0</v>
      </c>
      <c r="M52" s="62">
        <f t="shared" si="5"/>
        <v>0</v>
      </c>
      <c r="N52" s="62">
        <f t="shared" si="6"/>
        <v>0</v>
      </c>
      <c r="O52" s="62">
        <f t="shared" si="7"/>
        <v>0</v>
      </c>
    </row>
    <row r="53" spans="1:15" x14ac:dyDescent="0.25">
      <c r="A53" s="98">
        <v>46294.383634259262</v>
      </c>
      <c r="B53" s="99" t="s">
        <v>194</v>
      </c>
      <c r="C53" s="99" t="s">
        <v>171</v>
      </c>
      <c r="D53" s="99" t="s">
        <v>172</v>
      </c>
      <c r="E53" s="178">
        <v>1</v>
      </c>
      <c r="F53" s="99" t="s">
        <v>157</v>
      </c>
      <c r="G53" s="62">
        <f t="shared" si="0"/>
        <v>0</v>
      </c>
      <c r="H53" s="62">
        <f t="shared" si="1"/>
        <v>0</v>
      </c>
      <c r="I53" s="62">
        <f t="shared" si="2"/>
        <v>0</v>
      </c>
      <c r="J53" s="62">
        <f t="shared" si="3"/>
        <v>0</v>
      </c>
      <c r="L53" s="62">
        <f t="shared" si="4"/>
        <v>0</v>
      </c>
      <c r="M53" s="62">
        <f t="shared" si="5"/>
        <v>0</v>
      </c>
      <c r="N53" s="62">
        <f t="shared" si="6"/>
        <v>0</v>
      </c>
      <c r="O53" s="62">
        <f t="shared" si="7"/>
        <v>0</v>
      </c>
    </row>
    <row r="54" spans="1:15" x14ac:dyDescent="0.25">
      <c r="A54" s="98">
        <v>46294.383831018517</v>
      </c>
      <c r="B54" s="99" t="s">
        <v>194</v>
      </c>
      <c r="C54" s="99" t="s">
        <v>171</v>
      </c>
      <c r="D54" s="99" t="s">
        <v>172</v>
      </c>
      <c r="E54" s="178">
        <v>-1</v>
      </c>
      <c r="F54" s="99" t="s">
        <v>157</v>
      </c>
      <c r="G54" s="62">
        <f t="shared" si="0"/>
        <v>0</v>
      </c>
      <c r="H54" s="62">
        <f t="shared" si="1"/>
        <v>0</v>
      </c>
      <c r="I54" s="62">
        <f t="shared" si="2"/>
        <v>0</v>
      </c>
      <c r="J54" s="62">
        <f t="shared" si="3"/>
        <v>0</v>
      </c>
      <c r="L54" s="62">
        <f t="shared" si="4"/>
        <v>0</v>
      </c>
      <c r="M54" s="62">
        <f t="shared" si="5"/>
        <v>0</v>
      </c>
      <c r="N54" s="62">
        <f t="shared" si="6"/>
        <v>0</v>
      </c>
      <c r="O54" s="62">
        <f t="shared" si="7"/>
        <v>0</v>
      </c>
    </row>
    <row r="55" spans="1:15" x14ac:dyDescent="0.25">
      <c r="A55" s="98">
        <v>46294.38417824074</v>
      </c>
      <c r="B55" s="99" t="s">
        <v>195</v>
      </c>
      <c r="C55" s="99" t="s">
        <v>171</v>
      </c>
      <c r="D55" s="99" t="s">
        <v>172</v>
      </c>
      <c r="E55" s="178">
        <v>1</v>
      </c>
      <c r="F55" s="99" t="s">
        <v>157</v>
      </c>
      <c r="G55" s="62">
        <f t="shared" si="0"/>
        <v>0</v>
      </c>
      <c r="H55" s="62">
        <f t="shared" si="1"/>
        <v>0</v>
      </c>
      <c r="I55" s="62">
        <f t="shared" si="2"/>
        <v>0</v>
      </c>
      <c r="J55" s="62">
        <f t="shared" si="3"/>
        <v>0</v>
      </c>
      <c r="L55" s="62">
        <f t="shared" si="4"/>
        <v>0</v>
      </c>
      <c r="M55" s="62">
        <f t="shared" si="5"/>
        <v>0</v>
      </c>
      <c r="N55" s="62">
        <f t="shared" si="6"/>
        <v>0</v>
      </c>
      <c r="O55" s="62">
        <f t="shared" si="7"/>
        <v>0</v>
      </c>
    </row>
    <row r="56" spans="1:15" x14ac:dyDescent="0.25">
      <c r="A56" s="98">
        <v>46294.397280092591</v>
      </c>
      <c r="B56" s="99" t="s">
        <v>168</v>
      </c>
      <c r="C56" s="99" t="s">
        <v>139</v>
      </c>
      <c r="D56" s="99" t="s">
        <v>156</v>
      </c>
      <c r="E56" s="178">
        <v>10</v>
      </c>
      <c r="F56" s="99" t="s">
        <v>157</v>
      </c>
      <c r="G56" s="62">
        <f t="shared" si="0"/>
        <v>0</v>
      </c>
      <c r="H56" s="62">
        <f t="shared" si="1"/>
        <v>0</v>
      </c>
      <c r="I56" s="62">
        <f t="shared" si="2"/>
        <v>0</v>
      </c>
      <c r="J56" s="62">
        <f t="shared" si="3"/>
        <v>0</v>
      </c>
      <c r="L56" s="62">
        <f t="shared" si="4"/>
        <v>0</v>
      </c>
      <c r="M56" s="62">
        <f t="shared" si="5"/>
        <v>0</v>
      </c>
      <c r="N56" s="62">
        <f t="shared" si="6"/>
        <v>0</v>
      </c>
      <c r="O56" s="62">
        <f t="shared" si="7"/>
        <v>0</v>
      </c>
    </row>
    <row r="57" spans="1:15" x14ac:dyDescent="0.25">
      <c r="A57" s="98">
        <v>46294.421226851853</v>
      </c>
      <c r="B57" s="99" t="s">
        <v>186</v>
      </c>
      <c r="C57" s="99" t="s">
        <v>139</v>
      </c>
      <c r="D57" s="99" t="s">
        <v>156</v>
      </c>
      <c r="E57" s="178">
        <v>1</v>
      </c>
      <c r="F57" s="99" t="s">
        <v>154</v>
      </c>
      <c r="G57" s="62">
        <f t="shared" si="0"/>
        <v>0</v>
      </c>
      <c r="H57" s="62">
        <f t="shared" si="1"/>
        <v>0</v>
      </c>
      <c r="I57" s="62">
        <f t="shared" si="2"/>
        <v>0</v>
      </c>
      <c r="J57" s="62">
        <f t="shared" si="3"/>
        <v>0</v>
      </c>
      <c r="L57" s="62">
        <f t="shared" si="4"/>
        <v>0</v>
      </c>
      <c r="M57" s="62">
        <f t="shared" si="5"/>
        <v>0</v>
      </c>
      <c r="N57" s="62">
        <f t="shared" si="6"/>
        <v>0</v>
      </c>
      <c r="O57" s="62">
        <f t="shared" si="7"/>
        <v>0</v>
      </c>
    </row>
    <row r="58" spans="1:15" x14ac:dyDescent="0.25">
      <c r="A58" s="98">
        <v>46294.625300925924</v>
      </c>
      <c r="B58" s="99" t="s">
        <v>162</v>
      </c>
      <c r="C58" s="99" t="s">
        <v>171</v>
      </c>
      <c r="D58" s="99" t="s">
        <v>172</v>
      </c>
      <c r="E58" s="178">
        <v>3</v>
      </c>
      <c r="F58" s="99" t="s">
        <v>163</v>
      </c>
      <c r="G58" s="62">
        <f t="shared" si="0"/>
        <v>0</v>
      </c>
      <c r="H58" s="62">
        <f t="shared" si="1"/>
        <v>0</v>
      </c>
      <c r="I58" s="62">
        <f t="shared" si="2"/>
        <v>0</v>
      </c>
      <c r="J58" s="62">
        <f t="shared" si="3"/>
        <v>0</v>
      </c>
      <c r="L58" s="62">
        <f t="shared" si="4"/>
        <v>0</v>
      </c>
      <c r="M58" s="62">
        <f t="shared" si="5"/>
        <v>0</v>
      </c>
      <c r="N58" s="62">
        <f t="shared" si="6"/>
        <v>0</v>
      </c>
      <c r="O58" s="62">
        <f t="shared" si="7"/>
        <v>0</v>
      </c>
    </row>
    <row r="59" spans="1:15" x14ac:dyDescent="0.25">
      <c r="A59" s="98">
        <v>46294.625671296293</v>
      </c>
      <c r="B59" s="99" t="s">
        <v>188</v>
      </c>
      <c r="C59" s="99" t="s">
        <v>171</v>
      </c>
      <c r="D59" s="99" t="s">
        <v>172</v>
      </c>
      <c r="E59" s="178">
        <v>7</v>
      </c>
      <c r="F59" s="99" t="s">
        <v>163</v>
      </c>
      <c r="G59" s="62">
        <f t="shared" si="0"/>
        <v>0</v>
      </c>
      <c r="H59" s="62">
        <f t="shared" si="1"/>
        <v>0</v>
      </c>
      <c r="I59" s="62">
        <f t="shared" si="2"/>
        <v>0</v>
      </c>
      <c r="J59" s="62">
        <f t="shared" si="3"/>
        <v>0</v>
      </c>
      <c r="K59" s="63"/>
      <c r="L59" s="62">
        <f t="shared" si="4"/>
        <v>0</v>
      </c>
      <c r="M59" s="62">
        <f t="shared" si="5"/>
        <v>0</v>
      </c>
      <c r="N59" s="62">
        <f t="shared" si="6"/>
        <v>0</v>
      </c>
      <c r="O59" s="62">
        <f t="shared" si="7"/>
        <v>0</v>
      </c>
    </row>
    <row r="60" spans="1:15" x14ac:dyDescent="0.25">
      <c r="A60" s="98">
        <v>46294.65934027778</v>
      </c>
      <c r="B60" s="99" t="s">
        <v>194</v>
      </c>
      <c r="C60" s="99" t="s">
        <v>196</v>
      </c>
      <c r="D60" s="99" t="s">
        <v>197</v>
      </c>
      <c r="E60" s="178">
        <v>1</v>
      </c>
      <c r="F60" s="99" t="s">
        <v>157</v>
      </c>
      <c r="G60" s="62">
        <f t="shared" si="0"/>
        <v>0</v>
      </c>
      <c r="H60" s="62">
        <f t="shared" si="1"/>
        <v>0</v>
      </c>
      <c r="I60" s="62">
        <f t="shared" si="2"/>
        <v>0</v>
      </c>
      <c r="J60" s="62">
        <f t="shared" si="3"/>
        <v>0</v>
      </c>
      <c r="L60" s="62">
        <f t="shared" si="4"/>
        <v>0</v>
      </c>
      <c r="M60" s="62">
        <f t="shared" si="5"/>
        <v>0</v>
      </c>
      <c r="N60" s="62">
        <f t="shared" si="6"/>
        <v>0</v>
      </c>
      <c r="O60" s="62">
        <f t="shared" si="7"/>
        <v>0</v>
      </c>
    </row>
    <row r="61" spans="1:15" x14ac:dyDescent="0.25">
      <c r="A61" s="98">
        <v>46294.659687500003</v>
      </c>
      <c r="B61" s="99" t="s">
        <v>194</v>
      </c>
      <c r="C61" s="99" t="s">
        <v>196</v>
      </c>
      <c r="D61" s="99" t="s">
        <v>197</v>
      </c>
      <c r="E61" s="178">
        <v>1</v>
      </c>
      <c r="F61" s="99" t="s">
        <v>157</v>
      </c>
      <c r="G61" s="62">
        <f t="shared" si="0"/>
        <v>0</v>
      </c>
      <c r="H61" s="62">
        <f t="shared" si="1"/>
        <v>0</v>
      </c>
      <c r="I61" s="62">
        <f t="shared" si="2"/>
        <v>0</v>
      </c>
      <c r="J61" s="62">
        <f t="shared" si="3"/>
        <v>0</v>
      </c>
      <c r="L61" s="62">
        <f t="shared" si="4"/>
        <v>0</v>
      </c>
      <c r="M61" s="62">
        <f t="shared" si="5"/>
        <v>0</v>
      </c>
      <c r="N61" s="62">
        <f t="shared" si="6"/>
        <v>0</v>
      </c>
      <c r="O61" s="62">
        <f t="shared" si="7"/>
        <v>0</v>
      </c>
    </row>
    <row r="62" spans="1:15" x14ac:dyDescent="0.25">
      <c r="A62" s="98">
        <v>46294.660127314812</v>
      </c>
      <c r="B62" s="99" t="s">
        <v>198</v>
      </c>
      <c r="C62" s="99" t="s">
        <v>196</v>
      </c>
      <c r="D62" s="99" t="s">
        <v>197</v>
      </c>
      <c r="E62" s="178">
        <v>1</v>
      </c>
      <c r="F62" s="99" t="s">
        <v>157</v>
      </c>
      <c r="G62" s="62">
        <f t="shared" si="0"/>
        <v>0</v>
      </c>
      <c r="H62" s="62">
        <f t="shared" si="1"/>
        <v>0</v>
      </c>
      <c r="I62" s="62">
        <f t="shared" si="2"/>
        <v>0</v>
      </c>
      <c r="J62" s="62">
        <f t="shared" si="3"/>
        <v>0</v>
      </c>
      <c r="L62" s="62">
        <f t="shared" si="4"/>
        <v>0</v>
      </c>
      <c r="M62" s="62">
        <f t="shared" si="5"/>
        <v>0</v>
      </c>
      <c r="N62" s="62">
        <f t="shared" si="6"/>
        <v>0</v>
      </c>
      <c r="O62" s="62">
        <f t="shared" si="7"/>
        <v>0</v>
      </c>
    </row>
    <row r="63" spans="1:15" x14ac:dyDescent="0.25">
      <c r="A63" s="98">
        <v>46294.660393518519</v>
      </c>
      <c r="B63" s="99" t="s">
        <v>198</v>
      </c>
      <c r="C63" s="99" t="s">
        <v>196</v>
      </c>
      <c r="D63" s="99" t="s">
        <v>197</v>
      </c>
      <c r="E63" s="178">
        <v>-1</v>
      </c>
      <c r="F63" s="99" t="s">
        <v>157</v>
      </c>
      <c r="G63" s="62">
        <f t="shared" si="0"/>
        <v>0</v>
      </c>
      <c r="H63" s="62">
        <f t="shared" si="1"/>
        <v>0</v>
      </c>
      <c r="I63" s="62">
        <f t="shared" si="2"/>
        <v>0</v>
      </c>
      <c r="J63" s="62">
        <f t="shared" si="3"/>
        <v>0</v>
      </c>
      <c r="L63" s="62">
        <f t="shared" si="4"/>
        <v>0</v>
      </c>
      <c r="M63" s="62">
        <f t="shared" si="5"/>
        <v>0</v>
      </c>
      <c r="N63" s="62">
        <f t="shared" si="6"/>
        <v>0</v>
      </c>
      <c r="O63" s="62">
        <f t="shared" si="7"/>
        <v>0</v>
      </c>
    </row>
    <row r="64" spans="1:15" x14ac:dyDescent="0.25">
      <c r="A64" s="98">
        <v>46294.660856481481</v>
      </c>
      <c r="B64" s="99" t="s">
        <v>195</v>
      </c>
      <c r="C64" s="99" t="s">
        <v>139</v>
      </c>
      <c r="D64" s="99" t="s">
        <v>156</v>
      </c>
      <c r="E64" s="178">
        <v>1</v>
      </c>
      <c r="F64" s="99" t="s">
        <v>157</v>
      </c>
      <c r="G64" s="62">
        <f t="shared" si="0"/>
        <v>0</v>
      </c>
      <c r="H64" s="62">
        <f t="shared" si="1"/>
        <v>0</v>
      </c>
      <c r="I64" s="62">
        <f t="shared" si="2"/>
        <v>0</v>
      </c>
      <c r="J64" s="62">
        <f t="shared" si="3"/>
        <v>0</v>
      </c>
      <c r="L64" s="62">
        <f t="shared" si="4"/>
        <v>0</v>
      </c>
      <c r="M64" s="62">
        <f t="shared" si="5"/>
        <v>0</v>
      </c>
      <c r="N64" s="62">
        <f t="shared" si="6"/>
        <v>0</v>
      </c>
      <c r="O64" s="62">
        <f t="shared" si="7"/>
        <v>0</v>
      </c>
    </row>
    <row r="65" spans="1:15" x14ac:dyDescent="0.25">
      <c r="A65" s="98">
        <v>46294.661215277774</v>
      </c>
      <c r="B65" s="99" t="s">
        <v>195</v>
      </c>
      <c r="C65" s="99" t="s">
        <v>139</v>
      </c>
      <c r="D65" s="99" t="s">
        <v>156</v>
      </c>
      <c r="E65" s="178">
        <v>-1</v>
      </c>
      <c r="F65" s="99" t="s">
        <v>157</v>
      </c>
      <c r="G65" s="62">
        <f t="shared" si="0"/>
        <v>0</v>
      </c>
      <c r="H65" s="62">
        <f t="shared" si="1"/>
        <v>0</v>
      </c>
      <c r="I65" s="62">
        <f t="shared" si="2"/>
        <v>0</v>
      </c>
      <c r="J65" s="62">
        <f t="shared" si="3"/>
        <v>0</v>
      </c>
      <c r="L65" s="62">
        <f t="shared" si="4"/>
        <v>0</v>
      </c>
      <c r="M65" s="62">
        <f t="shared" si="5"/>
        <v>0</v>
      </c>
      <c r="N65" s="62">
        <f t="shared" si="6"/>
        <v>0</v>
      </c>
      <c r="O65" s="62">
        <f t="shared" si="7"/>
        <v>0</v>
      </c>
    </row>
    <row r="66" spans="1:15" x14ac:dyDescent="0.25">
      <c r="A66" s="98">
        <v>46294.68787037037</v>
      </c>
      <c r="B66" s="99" t="s">
        <v>158</v>
      </c>
      <c r="C66" s="99" t="s">
        <v>139</v>
      </c>
      <c r="D66" s="99" t="s">
        <v>156</v>
      </c>
      <c r="E66" s="178">
        <v>1</v>
      </c>
      <c r="F66" s="99" t="s">
        <v>159</v>
      </c>
      <c r="G66" s="62">
        <f t="shared" si="0"/>
        <v>0</v>
      </c>
      <c r="H66" s="62">
        <f t="shared" si="1"/>
        <v>0</v>
      </c>
      <c r="I66" s="62">
        <f t="shared" si="2"/>
        <v>0</v>
      </c>
      <c r="J66" s="62">
        <f t="shared" si="3"/>
        <v>0</v>
      </c>
      <c r="L66" s="62">
        <f t="shared" si="4"/>
        <v>0</v>
      </c>
      <c r="M66" s="62">
        <f t="shared" si="5"/>
        <v>0</v>
      </c>
      <c r="N66" s="62">
        <f t="shared" si="6"/>
        <v>0</v>
      </c>
      <c r="O66" s="62">
        <f t="shared" si="7"/>
        <v>0</v>
      </c>
    </row>
    <row r="67" spans="1:15" x14ac:dyDescent="0.25">
      <c r="A67" s="98">
        <v>46294.775648148148</v>
      </c>
      <c r="B67" s="99" t="s">
        <v>151</v>
      </c>
      <c r="C67" s="99" t="s">
        <v>181</v>
      </c>
      <c r="D67" s="99" t="s">
        <v>182</v>
      </c>
      <c r="E67" s="178">
        <v>1</v>
      </c>
      <c r="F67" s="99" t="s">
        <v>154</v>
      </c>
      <c r="G67" s="62">
        <f t="shared" si="0"/>
        <v>0</v>
      </c>
      <c r="H67" s="62">
        <f t="shared" si="1"/>
        <v>0</v>
      </c>
      <c r="I67" s="62">
        <f t="shared" si="2"/>
        <v>0</v>
      </c>
      <c r="J67" s="62">
        <f t="shared" si="3"/>
        <v>0</v>
      </c>
      <c r="L67" s="62">
        <f t="shared" si="4"/>
        <v>0</v>
      </c>
      <c r="M67" s="62">
        <f t="shared" si="5"/>
        <v>0</v>
      </c>
      <c r="N67" s="62">
        <f t="shared" si="6"/>
        <v>0</v>
      </c>
      <c r="O67" s="62">
        <f t="shared" si="7"/>
        <v>0</v>
      </c>
    </row>
    <row r="68" spans="1:15" x14ac:dyDescent="0.25">
      <c r="A68" s="98">
        <v>46294.913888888892</v>
      </c>
      <c r="B68" s="99" t="s">
        <v>165</v>
      </c>
      <c r="C68" s="99" t="s">
        <v>141</v>
      </c>
      <c r="D68" s="99" t="s">
        <v>142</v>
      </c>
      <c r="E68" s="178">
        <v>1</v>
      </c>
      <c r="F68" s="99" t="s">
        <v>12</v>
      </c>
      <c r="G68" s="62">
        <f t="shared" ref="G68" si="8">IF(AND(ISNUMBER(SEARCH("8,6", $B68)),ISNUMBER(SEARCH("PCI 4", $F68))), 2*$E68, 0)</f>
        <v>2</v>
      </c>
      <c r="H68" s="62">
        <f t="shared" ref="H68:H93" si="9">IF(AND(ISNUMBER(SEARCH("8,6", $B68)),ISNUMBER(SEARCH("PCI 4", $F68))), $E68, 0)</f>
        <v>1</v>
      </c>
      <c r="I68" s="62">
        <f t="shared" ref="I68:I93" si="10">IF(AND(ISNUMBER(SEARCH("13,36", $B68)),ISNUMBER(SEARCH("PCI 4", $F68))), 2*$E68, 0)</f>
        <v>0</v>
      </c>
      <c r="J68" s="62">
        <f t="shared" ref="J68:J93" si="11">IF(AND(ISNUMBER(SEARCH("13,36", $B68)),ISNUMBER(SEARCH("PCI 4", $F68))), $E68, 0)</f>
        <v>0</v>
      </c>
      <c r="L68" s="62">
        <f t="shared" ref="L68:L93" si="12">IF(AND(ISNUMBER(SEARCH("8,6", $B68)),ISNUMBER(SEARCH("PCI 5", $F68))), 2*$E68, 0)</f>
        <v>0</v>
      </c>
      <c r="M68" s="62">
        <f t="shared" ref="M68:M93" si="13">IF(AND(ISNUMBER(SEARCH("8,6", $B68)),ISNUMBER(SEARCH("PCI 5", $F68))), $E68, 0)</f>
        <v>0</v>
      </c>
      <c r="N68" s="62">
        <f t="shared" ref="N68:N93" si="14">IF(AND(ISNUMBER(SEARCH("13,36", $B68)),ISNUMBER(SEARCH("PCI 5", $F68))), 2*$E68, 0)</f>
        <v>0</v>
      </c>
      <c r="O68" s="62">
        <f t="shared" ref="O68:O93" si="15">IF(AND(ISNUMBER(SEARCH("13,36", $B68)),ISNUMBER(SEARCH("PCI 5", $F68))), $E68, 0)</f>
        <v>0</v>
      </c>
    </row>
    <row r="69" spans="1:15" x14ac:dyDescent="0.25">
      <c r="A69" s="98">
        <v>46294.9140162037</v>
      </c>
      <c r="B69" s="99" t="s">
        <v>165</v>
      </c>
      <c r="C69" s="99" t="s">
        <v>141</v>
      </c>
      <c r="D69" s="99" t="s">
        <v>142</v>
      </c>
      <c r="E69" s="178">
        <v>1</v>
      </c>
      <c r="F69" s="99" t="s">
        <v>12</v>
      </c>
      <c r="G69" s="62">
        <f t="shared" si="0"/>
        <v>2</v>
      </c>
      <c r="H69" s="62">
        <f t="shared" si="9"/>
        <v>1</v>
      </c>
      <c r="I69" s="62">
        <f t="shared" si="10"/>
        <v>0</v>
      </c>
      <c r="J69" s="62">
        <f t="shared" si="11"/>
        <v>0</v>
      </c>
      <c r="L69" s="62">
        <f t="shared" si="12"/>
        <v>0</v>
      </c>
      <c r="M69" s="62">
        <f t="shared" si="13"/>
        <v>0</v>
      </c>
      <c r="N69" s="62">
        <f t="shared" si="14"/>
        <v>0</v>
      </c>
      <c r="O69" s="62">
        <f t="shared" si="15"/>
        <v>0</v>
      </c>
    </row>
    <row r="70" spans="1:15" x14ac:dyDescent="0.25">
      <c r="A70" s="98">
        <v>46294.953541666669</v>
      </c>
      <c r="B70" s="99" t="s">
        <v>151</v>
      </c>
      <c r="C70" s="99" t="s">
        <v>152</v>
      </c>
      <c r="D70" s="99" t="s">
        <v>153</v>
      </c>
      <c r="E70" s="178">
        <v>1</v>
      </c>
      <c r="F70" s="99" t="s">
        <v>154</v>
      </c>
      <c r="G70" s="62">
        <f t="shared" ref="G70:G93" si="16">IF(AND(ISNUMBER(SEARCH("8,6", $B70)),ISNUMBER(SEARCH("PCI 4", $F70))), 2*$E70, 0)</f>
        <v>0</v>
      </c>
      <c r="H70" s="62">
        <f t="shared" si="9"/>
        <v>0</v>
      </c>
      <c r="I70" s="62">
        <f t="shared" si="10"/>
        <v>0</v>
      </c>
      <c r="J70" s="62">
        <f t="shared" si="11"/>
        <v>0</v>
      </c>
      <c r="L70" s="62">
        <f t="shared" si="12"/>
        <v>0</v>
      </c>
      <c r="M70" s="62">
        <f t="shared" si="13"/>
        <v>0</v>
      </c>
      <c r="N70" s="62">
        <f t="shared" si="14"/>
        <v>0</v>
      </c>
      <c r="O70" s="62">
        <f t="shared" si="15"/>
        <v>0</v>
      </c>
    </row>
    <row r="71" spans="1:15" x14ac:dyDescent="0.25">
      <c r="A71" s="98">
        <v>46294.953993055555</v>
      </c>
      <c r="B71" s="99" t="s">
        <v>165</v>
      </c>
      <c r="C71" s="99" t="s">
        <v>152</v>
      </c>
      <c r="D71" s="99" t="s">
        <v>153</v>
      </c>
      <c r="E71" s="178">
        <v>1</v>
      </c>
      <c r="F71" s="99" t="s">
        <v>154</v>
      </c>
      <c r="G71" s="62">
        <f t="shared" si="16"/>
        <v>0</v>
      </c>
      <c r="H71" s="62">
        <f t="shared" si="9"/>
        <v>0</v>
      </c>
      <c r="I71" s="62">
        <f t="shared" si="10"/>
        <v>0</v>
      </c>
      <c r="J71" s="62">
        <f t="shared" si="11"/>
        <v>0</v>
      </c>
      <c r="L71" s="62">
        <f t="shared" si="12"/>
        <v>0</v>
      </c>
      <c r="M71" s="62">
        <f t="shared" si="13"/>
        <v>0</v>
      </c>
      <c r="N71" s="62">
        <f t="shared" si="14"/>
        <v>0</v>
      </c>
      <c r="O71" s="62">
        <f t="shared" si="15"/>
        <v>0</v>
      </c>
    </row>
    <row r="72" spans="1:15" x14ac:dyDescent="0.25">
      <c r="A72" s="98">
        <v>46294.994386574072</v>
      </c>
      <c r="B72" s="99" t="s">
        <v>151</v>
      </c>
      <c r="C72" s="99" t="s">
        <v>152</v>
      </c>
      <c r="D72" s="99" t="s">
        <v>153</v>
      </c>
      <c r="E72" s="178">
        <v>1</v>
      </c>
      <c r="F72" s="99" t="s">
        <v>167</v>
      </c>
      <c r="G72" s="62">
        <f t="shared" si="16"/>
        <v>0</v>
      </c>
      <c r="H72" s="62">
        <f t="shared" si="9"/>
        <v>0</v>
      </c>
      <c r="I72" s="62">
        <f t="shared" si="10"/>
        <v>0</v>
      </c>
      <c r="J72" s="62">
        <f t="shared" si="11"/>
        <v>0</v>
      </c>
      <c r="L72" s="62">
        <f t="shared" si="12"/>
        <v>0</v>
      </c>
      <c r="M72" s="62">
        <f t="shared" si="13"/>
        <v>0</v>
      </c>
      <c r="N72" s="62">
        <f t="shared" si="14"/>
        <v>0</v>
      </c>
      <c r="O72" s="62">
        <f t="shared" si="15"/>
        <v>0</v>
      </c>
    </row>
    <row r="73" spans="1:15" x14ac:dyDescent="0.25">
      <c r="A73" s="98">
        <v>46294.994768518518</v>
      </c>
      <c r="B73" s="99" t="s">
        <v>165</v>
      </c>
      <c r="C73" s="99" t="s">
        <v>152</v>
      </c>
      <c r="D73" s="99" t="s">
        <v>153</v>
      </c>
      <c r="E73" s="178">
        <v>1</v>
      </c>
      <c r="F73" s="99" t="s">
        <v>167</v>
      </c>
      <c r="G73" s="62">
        <f t="shared" si="16"/>
        <v>0</v>
      </c>
      <c r="H73" s="62">
        <f t="shared" si="9"/>
        <v>0</v>
      </c>
      <c r="I73" s="62">
        <f t="shared" si="10"/>
        <v>0</v>
      </c>
      <c r="J73" s="62">
        <f t="shared" si="11"/>
        <v>0</v>
      </c>
      <c r="L73" s="62">
        <f t="shared" si="12"/>
        <v>0</v>
      </c>
      <c r="M73" s="62">
        <f t="shared" si="13"/>
        <v>0</v>
      </c>
      <c r="N73" s="62">
        <f t="shared" si="14"/>
        <v>0</v>
      </c>
      <c r="O73" s="62">
        <f t="shared" si="15"/>
        <v>0</v>
      </c>
    </row>
    <row r="74" spans="1:15" x14ac:dyDescent="0.25">
      <c r="A74" s="98">
        <v>46295.032037037039</v>
      </c>
      <c r="B74" s="99" t="s">
        <v>166</v>
      </c>
      <c r="C74" s="99" t="s">
        <v>152</v>
      </c>
      <c r="D74" s="99" t="s">
        <v>153</v>
      </c>
      <c r="E74" s="178">
        <v>1</v>
      </c>
      <c r="F74" s="99" t="s">
        <v>154</v>
      </c>
      <c r="G74" s="62">
        <f t="shared" si="16"/>
        <v>0</v>
      </c>
      <c r="H74" s="62">
        <f t="shared" si="9"/>
        <v>0</v>
      </c>
      <c r="I74" s="62">
        <f t="shared" si="10"/>
        <v>0</v>
      </c>
      <c r="J74" s="62">
        <f t="shared" si="11"/>
        <v>0</v>
      </c>
      <c r="L74" s="62">
        <f t="shared" si="12"/>
        <v>0</v>
      </c>
      <c r="M74" s="62">
        <f t="shared" si="13"/>
        <v>0</v>
      </c>
      <c r="N74" s="62">
        <f t="shared" si="14"/>
        <v>0</v>
      </c>
      <c r="O74" s="62">
        <f t="shared" si="15"/>
        <v>0</v>
      </c>
    </row>
    <row r="75" spans="1:15" x14ac:dyDescent="0.25">
      <c r="A75" s="98">
        <v>46295.08766203704</v>
      </c>
      <c r="B75" s="99" t="s">
        <v>165</v>
      </c>
      <c r="C75" s="99" t="s">
        <v>152</v>
      </c>
      <c r="D75" s="99" t="s">
        <v>153</v>
      </c>
      <c r="E75" s="178">
        <v>1</v>
      </c>
      <c r="F75" s="99" t="s">
        <v>167</v>
      </c>
      <c r="G75" s="62">
        <f t="shared" si="16"/>
        <v>0</v>
      </c>
      <c r="H75" s="62">
        <f t="shared" si="9"/>
        <v>0</v>
      </c>
      <c r="I75" s="62">
        <f t="shared" si="10"/>
        <v>0</v>
      </c>
      <c r="J75" s="62">
        <f t="shared" si="11"/>
        <v>0</v>
      </c>
      <c r="L75" s="62">
        <f t="shared" si="12"/>
        <v>0</v>
      </c>
      <c r="M75" s="62">
        <f t="shared" si="13"/>
        <v>0</v>
      </c>
      <c r="N75" s="62">
        <f t="shared" si="14"/>
        <v>0</v>
      </c>
      <c r="O75" s="62">
        <f t="shared" si="15"/>
        <v>0</v>
      </c>
    </row>
    <row r="76" spans="1:15" x14ac:dyDescent="0.25">
      <c r="A76" s="98">
        <v>46295.424340277779</v>
      </c>
      <c r="B76" s="99" t="s">
        <v>186</v>
      </c>
      <c r="C76" s="99" t="s">
        <v>139</v>
      </c>
      <c r="D76" s="99" t="s">
        <v>156</v>
      </c>
      <c r="E76" s="178">
        <v>1</v>
      </c>
      <c r="F76" s="99" t="s">
        <v>167</v>
      </c>
      <c r="G76" s="62">
        <f t="shared" si="16"/>
        <v>0</v>
      </c>
      <c r="H76" s="62">
        <f t="shared" si="9"/>
        <v>0</v>
      </c>
      <c r="I76" s="62">
        <f t="shared" si="10"/>
        <v>0</v>
      </c>
      <c r="J76" s="62">
        <f t="shared" si="11"/>
        <v>0</v>
      </c>
      <c r="L76" s="62">
        <f t="shared" si="12"/>
        <v>0</v>
      </c>
      <c r="M76" s="62">
        <f t="shared" si="13"/>
        <v>0</v>
      </c>
      <c r="N76" s="62">
        <f t="shared" si="14"/>
        <v>0</v>
      </c>
      <c r="O76" s="62">
        <f t="shared" si="15"/>
        <v>0</v>
      </c>
    </row>
    <row r="77" spans="1:15" x14ac:dyDescent="0.25">
      <c r="A77" s="98">
        <v>46295.488993055558</v>
      </c>
      <c r="B77" s="99" t="s">
        <v>160</v>
      </c>
      <c r="C77" s="99" t="s">
        <v>139</v>
      </c>
      <c r="D77" s="99" t="s">
        <v>156</v>
      </c>
      <c r="E77" s="178">
        <v>5</v>
      </c>
      <c r="F77" s="99" t="s">
        <v>157</v>
      </c>
      <c r="G77" s="62">
        <f t="shared" si="16"/>
        <v>0</v>
      </c>
      <c r="H77" s="62">
        <f t="shared" si="9"/>
        <v>0</v>
      </c>
      <c r="I77" s="62">
        <f t="shared" si="10"/>
        <v>0</v>
      </c>
      <c r="J77" s="62">
        <f t="shared" si="11"/>
        <v>0</v>
      </c>
      <c r="L77" s="62">
        <f t="shared" si="12"/>
        <v>0</v>
      </c>
      <c r="M77" s="62">
        <f t="shared" si="13"/>
        <v>0</v>
      </c>
      <c r="N77" s="62">
        <f t="shared" si="14"/>
        <v>0</v>
      </c>
      <c r="O77" s="62">
        <f t="shared" si="15"/>
        <v>0</v>
      </c>
    </row>
    <row r="78" spans="1:15" x14ac:dyDescent="0.25">
      <c r="A78" s="98">
        <v>46295.489606481482</v>
      </c>
      <c r="B78" s="99" t="s">
        <v>161</v>
      </c>
      <c r="C78" s="99" t="s">
        <v>139</v>
      </c>
      <c r="D78" s="99" t="s">
        <v>156</v>
      </c>
      <c r="E78" s="178">
        <v>4</v>
      </c>
      <c r="F78" s="99" t="s">
        <v>157</v>
      </c>
      <c r="G78" s="62">
        <f t="shared" si="16"/>
        <v>0</v>
      </c>
      <c r="H78" s="62">
        <f t="shared" si="9"/>
        <v>0</v>
      </c>
      <c r="I78" s="62">
        <f t="shared" si="10"/>
        <v>0</v>
      </c>
      <c r="J78" s="62">
        <f t="shared" si="11"/>
        <v>0</v>
      </c>
      <c r="L78" s="62">
        <f t="shared" si="12"/>
        <v>0</v>
      </c>
      <c r="M78" s="62">
        <f t="shared" si="13"/>
        <v>0</v>
      </c>
      <c r="N78" s="62">
        <f t="shared" si="14"/>
        <v>0</v>
      </c>
      <c r="O78" s="62">
        <f t="shared" si="15"/>
        <v>0</v>
      </c>
    </row>
    <row r="79" spans="1:15" x14ac:dyDescent="0.25">
      <c r="A79" s="98">
        <v>46295.49019675926</v>
      </c>
      <c r="B79" s="99" t="s">
        <v>155</v>
      </c>
      <c r="C79" s="99" t="s">
        <v>139</v>
      </c>
      <c r="D79" s="99" t="s">
        <v>156</v>
      </c>
      <c r="E79" s="178">
        <v>2</v>
      </c>
      <c r="F79" s="99" t="s">
        <v>157</v>
      </c>
      <c r="G79" s="62">
        <f t="shared" si="16"/>
        <v>0</v>
      </c>
      <c r="H79" s="62">
        <f t="shared" si="9"/>
        <v>0</v>
      </c>
      <c r="I79" s="62">
        <f t="shared" si="10"/>
        <v>0</v>
      </c>
      <c r="J79" s="62">
        <f t="shared" si="11"/>
        <v>0</v>
      </c>
      <c r="L79" s="62">
        <f t="shared" si="12"/>
        <v>0</v>
      </c>
      <c r="M79" s="62">
        <f t="shared" si="13"/>
        <v>0</v>
      </c>
      <c r="N79" s="62">
        <f t="shared" si="14"/>
        <v>0</v>
      </c>
      <c r="O79" s="62">
        <f t="shared" si="15"/>
        <v>0</v>
      </c>
    </row>
    <row r="80" spans="1:15" x14ac:dyDescent="0.25">
      <c r="A80" s="98">
        <v>46295.565266203703</v>
      </c>
      <c r="B80" s="99" t="s">
        <v>151</v>
      </c>
      <c r="C80" s="99" t="s">
        <v>181</v>
      </c>
      <c r="D80" s="99" t="s">
        <v>182</v>
      </c>
      <c r="E80" s="178">
        <v>1</v>
      </c>
      <c r="F80" s="99" t="s">
        <v>167</v>
      </c>
      <c r="G80" s="62">
        <f t="shared" si="16"/>
        <v>0</v>
      </c>
      <c r="H80" s="62">
        <f t="shared" si="9"/>
        <v>0</v>
      </c>
      <c r="I80" s="62">
        <f t="shared" si="10"/>
        <v>0</v>
      </c>
      <c r="J80" s="62">
        <f t="shared" si="11"/>
        <v>0</v>
      </c>
      <c r="L80" s="62">
        <f t="shared" si="12"/>
        <v>0</v>
      </c>
      <c r="M80" s="62">
        <f t="shared" si="13"/>
        <v>0</v>
      </c>
      <c r="N80" s="62">
        <f t="shared" si="14"/>
        <v>0</v>
      </c>
      <c r="O80" s="62">
        <f t="shared" si="15"/>
        <v>0</v>
      </c>
    </row>
    <row r="81" spans="1:15" x14ac:dyDescent="0.25">
      <c r="A81" s="98">
        <v>46295.575069444443</v>
      </c>
      <c r="B81" s="99" t="s">
        <v>199</v>
      </c>
      <c r="C81" s="99" t="s">
        <v>139</v>
      </c>
      <c r="D81" s="99" t="s">
        <v>156</v>
      </c>
      <c r="E81" s="178">
        <v>1</v>
      </c>
      <c r="F81" s="99" t="s">
        <v>167</v>
      </c>
      <c r="G81" s="62">
        <f t="shared" si="16"/>
        <v>0</v>
      </c>
      <c r="H81" s="62">
        <f t="shared" si="9"/>
        <v>0</v>
      </c>
      <c r="I81" s="62">
        <f t="shared" si="10"/>
        <v>0</v>
      </c>
      <c r="J81" s="62">
        <f t="shared" si="11"/>
        <v>0</v>
      </c>
      <c r="L81" s="62">
        <f t="shared" si="12"/>
        <v>0</v>
      </c>
      <c r="M81" s="62">
        <f t="shared" si="13"/>
        <v>0</v>
      </c>
      <c r="N81" s="62">
        <f t="shared" si="14"/>
        <v>0</v>
      </c>
      <c r="O81" s="62">
        <f t="shared" si="15"/>
        <v>0</v>
      </c>
    </row>
    <row r="82" spans="1:15" x14ac:dyDescent="0.25">
      <c r="A82" s="98">
        <v>46295.585555555554</v>
      </c>
      <c r="B82" s="99" t="s">
        <v>161</v>
      </c>
      <c r="C82" s="99" t="s">
        <v>139</v>
      </c>
      <c r="D82" s="99" t="s">
        <v>156</v>
      </c>
      <c r="E82" s="178">
        <v>1</v>
      </c>
      <c r="F82" s="99" t="s">
        <v>157</v>
      </c>
      <c r="G82" s="62">
        <f t="shared" si="16"/>
        <v>0</v>
      </c>
      <c r="H82" s="62">
        <f t="shared" si="9"/>
        <v>0</v>
      </c>
      <c r="I82" s="62">
        <f t="shared" si="10"/>
        <v>0</v>
      </c>
      <c r="J82" s="62">
        <f t="shared" si="11"/>
        <v>0</v>
      </c>
      <c r="L82" s="62">
        <f t="shared" si="12"/>
        <v>0</v>
      </c>
      <c r="M82" s="62">
        <f t="shared" si="13"/>
        <v>0</v>
      </c>
      <c r="N82" s="62">
        <f t="shared" si="14"/>
        <v>0</v>
      </c>
      <c r="O82" s="62">
        <f t="shared" si="15"/>
        <v>0</v>
      </c>
    </row>
    <row r="83" spans="1:15" x14ac:dyDescent="0.25">
      <c r="A83" s="98">
        <v>46295.634652777779</v>
      </c>
      <c r="B83" s="99" t="s">
        <v>158</v>
      </c>
      <c r="C83" s="99" t="s">
        <v>139</v>
      </c>
      <c r="D83" s="99" t="s">
        <v>156</v>
      </c>
      <c r="E83" s="178">
        <v>1</v>
      </c>
      <c r="F83" s="99" t="s">
        <v>159</v>
      </c>
      <c r="G83" s="62">
        <f t="shared" si="16"/>
        <v>0</v>
      </c>
      <c r="H83" s="62">
        <f t="shared" si="9"/>
        <v>0</v>
      </c>
      <c r="I83" s="62">
        <f t="shared" si="10"/>
        <v>0</v>
      </c>
      <c r="J83" s="62">
        <f t="shared" si="11"/>
        <v>0</v>
      </c>
      <c r="L83" s="62">
        <f t="shared" si="12"/>
        <v>0</v>
      </c>
      <c r="M83" s="62">
        <f t="shared" si="13"/>
        <v>0</v>
      </c>
      <c r="N83" s="62">
        <f t="shared" si="14"/>
        <v>0</v>
      </c>
      <c r="O83" s="62">
        <f t="shared" si="15"/>
        <v>0</v>
      </c>
    </row>
    <row r="84" spans="1:15" x14ac:dyDescent="0.25">
      <c r="A84" s="98">
        <v>46295.643067129633</v>
      </c>
      <c r="B84" s="99" t="s">
        <v>164</v>
      </c>
      <c r="C84" s="99" t="s">
        <v>177</v>
      </c>
      <c r="D84" s="99" t="s">
        <v>178</v>
      </c>
      <c r="E84" s="178">
        <v>1</v>
      </c>
      <c r="F84" s="99" t="s">
        <v>12</v>
      </c>
      <c r="G84" s="62">
        <f t="shared" si="16"/>
        <v>0</v>
      </c>
      <c r="H84" s="62">
        <f t="shared" si="9"/>
        <v>0</v>
      </c>
      <c r="I84" s="62">
        <f t="shared" si="10"/>
        <v>2</v>
      </c>
      <c r="J84" s="62">
        <f t="shared" si="11"/>
        <v>1</v>
      </c>
      <c r="L84" s="62">
        <f t="shared" si="12"/>
        <v>0</v>
      </c>
      <c r="M84" s="62">
        <f t="shared" si="13"/>
        <v>0</v>
      </c>
      <c r="N84" s="62">
        <f t="shared" si="14"/>
        <v>0</v>
      </c>
      <c r="O84" s="62">
        <f t="shared" si="15"/>
        <v>0</v>
      </c>
    </row>
    <row r="85" spans="1:15" x14ac:dyDescent="0.25">
      <c r="A85" s="98">
        <v>46295.643391203703</v>
      </c>
      <c r="B85" s="99" t="s">
        <v>164</v>
      </c>
      <c r="C85" s="99" t="s">
        <v>177</v>
      </c>
      <c r="D85" s="99" t="s">
        <v>178</v>
      </c>
      <c r="E85" s="178">
        <v>1</v>
      </c>
      <c r="F85" s="99" t="s">
        <v>12</v>
      </c>
      <c r="G85" s="62">
        <f t="shared" si="16"/>
        <v>0</v>
      </c>
      <c r="H85" s="62">
        <f t="shared" si="9"/>
        <v>0</v>
      </c>
      <c r="I85" s="62">
        <f t="shared" si="10"/>
        <v>2</v>
      </c>
      <c r="J85" s="62">
        <f t="shared" si="11"/>
        <v>1</v>
      </c>
      <c r="L85" s="62">
        <f t="shared" si="12"/>
        <v>0</v>
      </c>
      <c r="M85" s="62">
        <f t="shared" si="13"/>
        <v>0</v>
      </c>
      <c r="N85" s="62">
        <f t="shared" si="14"/>
        <v>0</v>
      </c>
      <c r="O85" s="62">
        <f t="shared" si="15"/>
        <v>0</v>
      </c>
    </row>
    <row r="86" spans="1:15" x14ac:dyDescent="0.25">
      <c r="A86" s="98">
        <v>46295.718877314815</v>
      </c>
      <c r="B86" s="99" t="s">
        <v>165</v>
      </c>
      <c r="C86" s="99" t="s">
        <v>181</v>
      </c>
      <c r="D86" s="99" t="s">
        <v>182</v>
      </c>
      <c r="E86" s="178">
        <v>1</v>
      </c>
      <c r="F86" s="99" t="s">
        <v>154</v>
      </c>
      <c r="G86" s="62">
        <f t="shared" si="16"/>
        <v>0</v>
      </c>
      <c r="H86" s="62">
        <f t="shared" si="9"/>
        <v>0</v>
      </c>
      <c r="I86" s="62">
        <f t="shared" si="10"/>
        <v>0</v>
      </c>
      <c r="J86" s="62">
        <f t="shared" si="11"/>
        <v>0</v>
      </c>
      <c r="L86" s="62">
        <f t="shared" si="12"/>
        <v>0</v>
      </c>
      <c r="M86" s="62">
        <f t="shared" si="13"/>
        <v>0</v>
      </c>
      <c r="N86" s="62">
        <f t="shared" si="14"/>
        <v>0</v>
      </c>
      <c r="O86" s="62">
        <f t="shared" si="15"/>
        <v>0</v>
      </c>
    </row>
    <row r="87" spans="1:15" x14ac:dyDescent="0.25">
      <c r="A87" s="98">
        <v>46295.751736111109</v>
      </c>
      <c r="B87" s="99" t="s">
        <v>165</v>
      </c>
      <c r="C87" s="99" t="s">
        <v>177</v>
      </c>
      <c r="D87" s="99" t="s">
        <v>178</v>
      </c>
      <c r="E87" s="178">
        <v>1</v>
      </c>
      <c r="F87" s="99" t="s">
        <v>12</v>
      </c>
      <c r="G87" s="62">
        <f t="shared" si="16"/>
        <v>2</v>
      </c>
      <c r="H87" s="62">
        <f t="shared" si="9"/>
        <v>1</v>
      </c>
      <c r="I87" s="62">
        <f t="shared" si="10"/>
        <v>0</v>
      </c>
      <c r="J87" s="62">
        <f t="shared" si="11"/>
        <v>0</v>
      </c>
      <c r="L87" s="62">
        <f t="shared" si="12"/>
        <v>0</v>
      </c>
      <c r="M87" s="62">
        <f t="shared" si="13"/>
        <v>0</v>
      </c>
      <c r="N87" s="62">
        <f t="shared" si="14"/>
        <v>0</v>
      </c>
      <c r="O87" s="62">
        <f t="shared" si="15"/>
        <v>0</v>
      </c>
    </row>
    <row r="88" spans="1:15" x14ac:dyDescent="0.25">
      <c r="A88" s="98">
        <v>46295.751875000002</v>
      </c>
      <c r="B88" s="99" t="s">
        <v>165</v>
      </c>
      <c r="C88" s="99" t="s">
        <v>177</v>
      </c>
      <c r="D88" s="99" t="s">
        <v>178</v>
      </c>
      <c r="E88" s="178">
        <v>1</v>
      </c>
      <c r="F88" s="99" t="s">
        <v>12</v>
      </c>
      <c r="G88" s="62">
        <f t="shared" si="16"/>
        <v>2</v>
      </c>
      <c r="H88" s="62">
        <f t="shared" si="9"/>
        <v>1</v>
      </c>
      <c r="I88" s="62">
        <f t="shared" si="10"/>
        <v>0</v>
      </c>
      <c r="J88" s="62">
        <f t="shared" si="11"/>
        <v>0</v>
      </c>
      <c r="L88" s="62">
        <f t="shared" si="12"/>
        <v>0</v>
      </c>
      <c r="M88" s="62">
        <f t="shared" si="13"/>
        <v>0</v>
      </c>
      <c r="N88" s="62">
        <f t="shared" si="14"/>
        <v>0</v>
      </c>
      <c r="O88" s="62">
        <f t="shared" si="15"/>
        <v>0</v>
      </c>
    </row>
    <row r="89" spans="1:15" x14ac:dyDescent="0.25">
      <c r="A89" s="98">
        <v>46296.26840277778</v>
      </c>
      <c r="B89" s="99" t="s">
        <v>164</v>
      </c>
      <c r="C89" s="99" t="s">
        <v>129</v>
      </c>
      <c r="D89" s="99" t="s">
        <v>130</v>
      </c>
      <c r="E89" s="178">
        <v>1</v>
      </c>
      <c r="F89" s="99" t="s">
        <v>16</v>
      </c>
      <c r="G89" s="62">
        <f t="shared" si="16"/>
        <v>0</v>
      </c>
      <c r="H89" s="62">
        <f t="shared" si="9"/>
        <v>0</v>
      </c>
      <c r="I89" s="62">
        <f t="shared" si="10"/>
        <v>0</v>
      </c>
      <c r="J89" s="62">
        <f t="shared" si="11"/>
        <v>0</v>
      </c>
      <c r="L89" s="62">
        <f t="shared" si="12"/>
        <v>0</v>
      </c>
      <c r="M89" s="62">
        <f t="shared" si="13"/>
        <v>0</v>
      </c>
      <c r="N89" s="62">
        <f t="shared" si="14"/>
        <v>2</v>
      </c>
      <c r="O89" s="62">
        <f t="shared" si="15"/>
        <v>1</v>
      </c>
    </row>
    <row r="90" spans="1:15" x14ac:dyDescent="0.25">
      <c r="A90" s="98">
        <v>46296.268518518518</v>
      </c>
      <c r="B90" s="99" t="s">
        <v>164</v>
      </c>
      <c r="C90" s="99" t="s">
        <v>129</v>
      </c>
      <c r="D90" s="99" t="s">
        <v>130</v>
      </c>
      <c r="E90" s="178">
        <v>1</v>
      </c>
      <c r="F90" s="99" t="s">
        <v>16</v>
      </c>
      <c r="G90" s="62">
        <f t="shared" si="16"/>
        <v>0</v>
      </c>
      <c r="H90" s="62">
        <f t="shared" si="9"/>
        <v>0</v>
      </c>
      <c r="I90" s="62">
        <f t="shared" si="10"/>
        <v>0</v>
      </c>
      <c r="J90" s="62">
        <f t="shared" si="11"/>
        <v>0</v>
      </c>
      <c r="L90" s="62">
        <f t="shared" si="12"/>
        <v>0</v>
      </c>
      <c r="M90" s="62">
        <f t="shared" si="13"/>
        <v>0</v>
      </c>
      <c r="N90" s="62">
        <f t="shared" si="14"/>
        <v>2</v>
      </c>
      <c r="O90" s="62">
        <f t="shared" si="15"/>
        <v>1</v>
      </c>
    </row>
    <row r="91" spans="1:15" x14ac:dyDescent="0.25">
      <c r="A91" s="98">
        <v>46296.268634259257</v>
      </c>
      <c r="B91" s="99" t="s">
        <v>165</v>
      </c>
      <c r="C91" s="99" t="s">
        <v>129</v>
      </c>
      <c r="D91" s="99" t="s">
        <v>130</v>
      </c>
      <c r="E91" s="178">
        <v>1</v>
      </c>
      <c r="F91" s="99" t="s">
        <v>16</v>
      </c>
      <c r="G91" s="62">
        <f t="shared" si="16"/>
        <v>0</v>
      </c>
      <c r="H91" s="62">
        <f t="shared" si="9"/>
        <v>0</v>
      </c>
      <c r="I91" s="62">
        <f t="shared" si="10"/>
        <v>0</v>
      </c>
      <c r="J91" s="62">
        <f t="shared" si="11"/>
        <v>0</v>
      </c>
      <c r="L91" s="62">
        <f t="shared" si="12"/>
        <v>2</v>
      </c>
      <c r="M91" s="62">
        <f t="shared" si="13"/>
        <v>1</v>
      </c>
      <c r="N91" s="62">
        <f t="shared" si="14"/>
        <v>0</v>
      </c>
      <c r="O91" s="62">
        <f t="shared" si="15"/>
        <v>0</v>
      </c>
    </row>
    <row r="92" spans="1:15" x14ac:dyDescent="0.25">
      <c r="A92" s="98">
        <v>46296.268761574072</v>
      </c>
      <c r="B92" s="99" t="s">
        <v>165</v>
      </c>
      <c r="C92" s="99" t="s">
        <v>129</v>
      </c>
      <c r="D92" s="99" t="s">
        <v>130</v>
      </c>
      <c r="E92" s="178">
        <v>1</v>
      </c>
      <c r="F92" s="99" t="s">
        <v>16</v>
      </c>
      <c r="G92" s="62">
        <f t="shared" si="16"/>
        <v>0</v>
      </c>
      <c r="H92" s="62">
        <f t="shared" si="9"/>
        <v>0</v>
      </c>
      <c r="I92" s="62">
        <f t="shared" si="10"/>
        <v>0</v>
      </c>
      <c r="J92" s="62">
        <f t="shared" si="11"/>
        <v>0</v>
      </c>
      <c r="L92" s="62">
        <f t="shared" si="12"/>
        <v>2</v>
      </c>
      <c r="M92" s="62">
        <f t="shared" si="13"/>
        <v>1</v>
      </c>
      <c r="N92" s="62">
        <f t="shared" si="14"/>
        <v>0</v>
      </c>
      <c r="O92" s="62">
        <f t="shared" si="15"/>
        <v>0</v>
      </c>
    </row>
    <row r="93" spans="1:15" x14ac:dyDescent="0.25">
      <c r="A93" s="98">
        <v>46296.319560185184</v>
      </c>
      <c r="B93" s="99" t="s">
        <v>198</v>
      </c>
      <c r="C93" s="99" t="s">
        <v>173</v>
      </c>
      <c r="D93" s="99" t="s">
        <v>174</v>
      </c>
      <c r="E93" s="178">
        <v>1</v>
      </c>
      <c r="F93" s="99" t="s">
        <v>157</v>
      </c>
      <c r="G93" s="62">
        <f t="shared" si="16"/>
        <v>0</v>
      </c>
      <c r="H93" s="62">
        <f t="shared" si="9"/>
        <v>0</v>
      </c>
      <c r="I93" s="62">
        <f t="shared" si="10"/>
        <v>0</v>
      </c>
      <c r="J93" s="62">
        <f t="shared" si="11"/>
        <v>0</v>
      </c>
      <c r="L93" s="62">
        <f t="shared" si="12"/>
        <v>0</v>
      </c>
      <c r="M93" s="62">
        <f t="shared" si="13"/>
        <v>0</v>
      </c>
      <c r="N93" s="62">
        <f t="shared" si="14"/>
        <v>0</v>
      </c>
      <c r="O93" s="62">
        <f t="shared" si="15"/>
        <v>0</v>
      </c>
    </row>
    <row r="94" spans="1:15" x14ac:dyDescent="0.25">
      <c r="A94" s="98">
        <v>46296.319780092592</v>
      </c>
      <c r="B94" s="99" t="s">
        <v>198</v>
      </c>
      <c r="C94" s="99" t="s">
        <v>173</v>
      </c>
      <c r="D94" s="99" t="s">
        <v>174</v>
      </c>
      <c r="E94" s="178">
        <v>1</v>
      </c>
      <c r="F94" s="99" t="s">
        <v>157</v>
      </c>
      <c r="G94" s="62">
        <f t="shared" ref="G94:G106" si="17">IF(AND(ISNUMBER(SEARCH("8,6", $B94)),ISNUMBER(SEARCH("PCI 4", $F94))), 2*$E94, 0)</f>
        <v>0</v>
      </c>
      <c r="H94" s="62">
        <f t="shared" ref="H94:H106" si="18">IF(AND(ISNUMBER(SEARCH("8,6", $B94)),ISNUMBER(SEARCH("PCI 4", $F94))), $E94, 0)</f>
        <v>0</v>
      </c>
      <c r="I94" s="62">
        <f t="shared" ref="I94:I106" si="19">IF(AND(ISNUMBER(SEARCH("13,36", $B94)),ISNUMBER(SEARCH("PCI 4", $F94))), 2*$E94, 0)</f>
        <v>0</v>
      </c>
      <c r="J94" s="62">
        <f t="shared" ref="J94:J106" si="20">IF(AND(ISNUMBER(SEARCH("13,36", $B94)),ISNUMBER(SEARCH("PCI 4", $F94))), $E94, 0)</f>
        <v>0</v>
      </c>
      <c r="L94" s="62">
        <f t="shared" ref="L94:L106" si="21">IF(AND(ISNUMBER(SEARCH("8,6", $B94)),ISNUMBER(SEARCH("PCI 5", $F94))), 2*$E94, 0)</f>
        <v>0</v>
      </c>
      <c r="M94" s="62">
        <f t="shared" ref="M94:M106" si="22">IF(AND(ISNUMBER(SEARCH("8,6", $B94)),ISNUMBER(SEARCH("PCI 5", $F94))), $E94, 0)</f>
        <v>0</v>
      </c>
      <c r="N94" s="62">
        <f t="shared" ref="N94:N106" si="23">IF(AND(ISNUMBER(SEARCH("13,36", $B94)),ISNUMBER(SEARCH("PCI 5", $F94))), 2*$E94, 0)</f>
        <v>0</v>
      </c>
      <c r="O94" s="62">
        <f t="shared" ref="O94:O106" si="24">IF(AND(ISNUMBER(SEARCH("13,36", $B94)),ISNUMBER(SEARCH("PCI 5", $F94))), $E94, 0)</f>
        <v>0</v>
      </c>
    </row>
    <row r="95" spans="1:15" x14ac:dyDescent="0.25">
      <c r="A95" s="98">
        <v>46296.320532407408</v>
      </c>
      <c r="B95" s="99" t="s">
        <v>195</v>
      </c>
      <c r="C95" s="99" t="s">
        <v>173</v>
      </c>
      <c r="D95" s="99" t="s">
        <v>174</v>
      </c>
      <c r="E95" s="178">
        <v>1</v>
      </c>
      <c r="F95" s="99" t="s">
        <v>157</v>
      </c>
      <c r="G95" s="62">
        <f t="shared" si="17"/>
        <v>0</v>
      </c>
      <c r="H95" s="62">
        <f t="shared" si="18"/>
        <v>0</v>
      </c>
      <c r="I95" s="62">
        <f t="shared" si="19"/>
        <v>0</v>
      </c>
      <c r="J95" s="62">
        <f t="shared" si="20"/>
        <v>0</v>
      </c>
      <c r="L95" s="62">
        <f t="shared" si="21"/>
        <v>0</v>
      </c>
      <c r="M95" s="62">
        <f t="shared" si="22"/>
        <v>0</v>
      </c>
      <c r="N95" s="62">
        <f t="shared" si="23"/>
        <v>0</v>
      </c>
      <c r="O95" s="62">
        <f t="shared" si="24"/>
        <v>0</v>
      </c>
    </row>
    <row r="96" spans="1:15" x14ac:dyDescent="0.25">
      <c r="A96" s="98">
        <v>46296.320740740739</v>
      </c>
      <c r="B96" s="99" t="s">
        <v>195</v>
      </c>
      <c r="C96" s="99" t="s">
        <v>173</v>
      </c>
      <c r="D96" s="99" t="s">
        <v>174</v>
      </c>
      <c r="E96" s="178">
        <v>1</v>
      </c>
      <c r="F96" s="99" t="s">
        <v>157</v>
      </c>
      <c r="G96" s="62">
        <f t="shared" si="17"/>
        <v>0</v>
      </c>
      <c r="H96" s="62">
        <f t="shared" si="18"/>
        <v>0</v>
      </c>
      <c r="I96" s="62">
        <f t="shared" si="19"/>
        <v>0</v>
      </c>
      <c r="J96" s="62">
        <f t="shared" si="20"/>
        <v>0</v>
      </c>
      <c r="L96" s="62">
        <f t="shared" si="21"/>
        <v>0</v>
      </c>
      <c r="M96" s="62">
        <f t="shared" si="22"/>
        <v>0</v>
      </c>
      <c r="N96" s="62">
        <f t="shared" si="23"/>
        <v>0</v>
      </c>
      <c r="O96" s="62">
        <f t="shared" si="24"/>
        <v>0</v>
      </c>
    </row>
    <row r="97" spans="1:15" x14ac:dyDescent="0.25">
      <c r="A97" s="98">
        <v>46296.323645833334</v>
      </c>
      <c r="B97" s="99" t="s">
        <v>194</v>
      </c>
      <c r="C97" s="99" t="s">
        <v>173</v>
      </c>
      <c r="D97" s="99" t="s">
        <v>174</v>
      </c>
      <c r="E97" s="178">
        <v>1</v>
      </c>
      <c r="F97" s="99" t="s">
        <v>157</v>
      </c>
      <c r="G97" s="62">
        <f t="shared" si="17"/>
        <v>0</v>
      </c>
      <c r="H97" s="62">
        <f t="shared" si="18"/>
        <v>0</v>
      </c>
      <c r="I97" s="62">
        <f t="shared" si="19"/>
        <v>0</v>
      </c>
      <c r="J97" s="62">
        <f t="shared" si="20"/>
        <v>0</v>
      </c>
      <c r="L97" s="62">
        <f t="shared" si="21"/>
        <v>0</v>
      </c>
      <c r="M97" s="62">
        <f t="shared" si="22"/>
        <v>0</v>
      </c>
      <c r="N97" s="62">
        <f t="shared" si="23"/>
        <v>0</v>
      </c>
      <c r="O97" s="62">
        <f t="shared" si="24"/>
        <v>0</v>
      </c>
    </row>
    <row r="98" spans="1:15" x14ac:dyDescent="0.25">
      <c r="A98" s="98">
        <v>46296.323819444442</v>
      </c>
      <c r="B98" s="99" t="s">
        <v>194</v>
      </c>
      <c r="C98" s="99" t="s">
        <v>173</v>
      </c>
      <c r="D98" s="99" t="s">
        <v>174</v>
      </c>
      <c r="E98" s="178">
        <v>1</v>
      </c>
      <c r="F98" s="99" t="s">
        <v>157</v>
      </c>
      <c r="G98" s="62">
        <f t="shared" si="17"/>
        <v>0</v>
      </c>
      <c r="H98" s="62">
        <f t="shared" si="18"/>
        <v>0</v>
      </c>
      <c r="I98" s="62">
        <f t="shared" si="19"/>
        <v>0</v>
      </c>
      <c r="J98" s="62">
        <f t="shared" si="20"/>
        <v>0</v>
      </c>
      <c r="L98" s="62">
        <f t="shared" si="21"/>
        <v>0</v>
      </c>
      <c r="M98" s="62">
        <f t="shared" si="22"/>
        <v>0</v>
      </c>
      <c r="N98" s="62">
        <f t="shared" si="23"/>
        <v>0</v>
      </c>
      <c r="O98" s="62">
        <f t="shared" si="24"/>
        <v>0</v>
      </c>
    </row>
    <row r="99" spans="1:15" x14ac:dyDescent="0.25">
      <c r="A99" s="98">
        <v>46296.365856481483</v>
      </c>
      <c r="B99" s="99" t="s">
        <v>168</v>
      </c>
      <c r="C99" s="99" t="s">
        <v>139</v>
      </c>
      <c r="D99" s="99" t="s">
        <v>156</v>
      </c>
      <c r="E99" s="178">
        <v>10</v>
      </c>
      <c r="F99" s="99" t="s">
        <v>157</v>
      </c>
      <c r="G99" s="62">
        <f t="shared" si="17"/>
        <v>0</v>
      </c>
      <c r="H99" s="62">
        <f t="shared" si="18"/>
        <v>0</v>
      </c>
      <c r="I99" s="62">
        <f t="shared" si="19"/>
        <v>0</v>
      </c>
      <c r="J99" s="62">
        <f t="shared" si="20"/>
        <v>0</v>
      </c>
      <c r="L99" s="62">
        <f t="shared" si="21"/>
        <v>0</v>
      </c>
      <c r="M99" s="62">
        <f t="shared" si="22"/>
        <v>0</v>
      </c>
      <c r="N99" s="62">
        <f t="shared" si="23"/>
        <v>0</v>
      </c>
      <c r="O99" s="62">
        <f t="shared" si="24"/>
        <v>0</v>
      </c>
    </row>
    <row r="100" spans="1:15" x14ac:dyDescent="0.25">
      <c r="A100" s="98">
        <v>46296.488136574073</v>
      </c>
      <c r="B100" s="99" t="s">
        <v>162</v>
      </c>
      <c r="C100" s="99" t="s">
        <v>139</v>
      </c>
      <c r="D100" s="99" t="s">
        <v>156</v>
      </c>
      <c r="E100" s="178">
        <v>2</v>
      </c>
      <c r="F100" s="99" t="s">
        <v>163</v>
      </c>
      <c r="G100" s="62">
        <f t="shared" si="17"/>
        <v>0</v>
      </c>
      <c r="H100" s="62">
        <f t="shared" si="18"/>
        <v>0</v>
      </c>
      <c r="I100" s="62">
        <f t="shared" si="19"/>
        <v>0</v>
      </c>
      <c r="J100" s="62">
        <f t="shared" si="20"/>
        <v>0</v>
      </c>
      <c r="L100" s="62">
        <f t="shared" si="21"/>
        <v>0</v>
      </c>
      <c r="M100" s="62">
        <f t="shared" si="22"/>
        <v>0</v>
      </c>
      <c r="N100" s="62">
        <f t="shared" si="23"/>
        <v>0</v>
      </c>
      <c r="O100" s="62">
        <f t="shared" si="24"/>
        <v>0</v>
      </c>
    </row>
    <row r="101" spans="1:15" x14ac:dyDescent="0.25">
      <c r="A101" s="98">
        <v>46296.498912037037</v>
      </c>
      <c r="B101" s="99" t="s">
        <v>160</v>
      </c>
      <c r="C101" s="99" t="s">
        <v>139</v>
      </c>
      <c r="D101" s="99" t="s">
        <v>156</v>
      </c>
      <c r="E101" s="178">
        <v>1</v>
      </c>
      <c r="F101" s="99" t="s">
        <v>157</v>
      </c>
      <c r="G101" s="62">
        <f t="shared" si="17"/>
        <v>0</v>
      </c>
      <c r="H101" s="62">
        <f t="shared" si="18"/>
        <v>0</v>
      </c>
      <c r="I101" s="62">
        <f t="shared" si="19"/>
        <v>0</v>
      </c>
      <c r="J101" s="62">
        <f t="shared" si="20"/>
        <v>0</v>
      </c>
      <c r="L101" s="62">
        <f t="shared" si="21"/>
        <v>0</v>
      </c>
      <c r="M101" s="62">
        <f t="shared" si="22"/>
        <v>0</v>
      </c>
      <c r="N101" s="62">
        <f t="shared" si="23"/>
        <v>0</v>
      </c>
      <c r="O101" s="62">
        <f t="shared" si="24"/>
        <v>0</v>
      </c>
    </row>
    <row r="102" spans="1:15" x14ac:dyDescent="0.25">
      <c r="A102" s="98">
        <v>46296.598356481481</v>
      </c>
      <c r="B102" s="99" t="s">
        <v>180</v>
      </c>
      <c r="C102" s="99" t="s">
        <v>139</v>
      </c>
      <c r="D102" s="99" t="s">
        <v>156</v>
      </c>
      <c r="E102" s="178">
        <v>45</v>
      </c>
      <c r="F102" s="99" t="s">
        <v>12</v>
      </c>
      <c r="G102" s="62">
        <f t="shared" si="17"/>
        <v>0</v>
      </c>
      <c r="H102" s="62">
        <f t="shared" si="18"/>
        <v>0</v>
      </c>
      <c r="I102" s="62">
        <f t="shared" si="19"/>
        <v>0</v>
      </c>
      <c r="J102" s="62">
        <f t="shared" si="20"/>
        <v>0</v>
      </c>
      <c r="L102" s="62">
        <f t="shared" si="21"/>
        <v>0</v>
      </c>
      <c r="M102" s="62">
        <f t="shared" si="22"/>
        <v>0</v>
      </c>
      <c r="N102" s="62">
        <f t="shared" si="23"/>
        <v>0</v>
      </c>
      <c r="O102" s="62">
        <f t="shared" si="24"/>
        <v>0</v>
      </c>
    </row>
    <row r="103" spans="1:15" x14ac:dyDescent="0.25">
      <c r="A103" s="98">
        <v>46296.598946759259</v>
      </c>
      <c r="B103" s="99" t="s">
        <v>183</v>
      </c>
      <c r="C103" s="99" t="s">
        <v>139</v>
      </c>
      <c r="D103" s="99" t="s">
        <v>156</v>
      </c>
      <c r="E103" s="178">
        <v>40</v>
      </c>
      <c r="F103" s="99" t="s">
        <v>12</v>
      </c>
      <c r="G103" s="62">
        <f t="shared" si="17"/>
        <v>0</v>
      </c>
      <c r="H103" s="62">
        <f t="shared" si="18"/>
        <v>0</v>
      </c>
      <c r="I103" s="62">
        <f t="shared" si="19"/>
        <v>0</v>
      </c>
      <c r="J103" s="62">
        <f t="shared" si="20"/>
        <v>0</v>
      </c>
      <c r="L103" s="62">
        <f t="shared" si="21"/>
        <v>0</v>
      </c>
      <c r="M103" s="62">
        <f t="shared" si="22"/>
        <v>0</v>
      </c>
      <c r="N103" s="62">
        <f t="shared" si="23"/>
        <v>0</v>
      </c>
      <c r="O103" s="62">
        <f t="shared" si="24"/>
        <v>0</v>
      </c>
    </row>
    <row r="104" spans="1:15" x14ac:dyDescent="0.25">
      <c r="A104" s="98">
        <v>46296.637199074074</v>
      </c>
      <c r="B104" s="99" t="s">
        <v>151</v>
      </c>
      <c r="C104" s="99" t="s">
        <v>181</v>
      </c>
      <c r="D104" s="99" t="s">
        <v>182</v>
      </c>
      <c r="E104" s="178">
        <v>1</v>
      </c>
      <c r="F104" s="99" t="s">
        <v>167</v>
      </c>
      <c r="G104" s="62">
        <f t="shared" si="17"/>
        <v>0</v>
      </c>
      <c r="H104" s="62">
        <f t="shared" si="18"/>
        <v>0</v>
      </c>
      <c r="I104" s="62">
        <f t="shared" si="19"/>
        <v>0</v>
      </c>
      <c r="J104" s="62">
        <f t="shared" si="20"/>
        <v>0</v>
      </c>
      <c r="L104" s="62">
        <f t="shared" si="21"/>
        <v>0</v>
      </c>
      <c r="M104" s="62">
        <f t="shared" si="22"/>
        <v>0</v>
      </c>
      <c r="N104" s="62">
        <f t="shared" si="23"/>
        <v>0</v>
      </c>
      <c r="O104" s="62">
        <f t="shared" si="24"/>
        <v>0</v>
      </c>
    </row>
    <row r="105" spans="1:15" x14ac:dyDescent="0.25">
      <c r="A105" s="98">
        <v>46296.637499999997</v>
      </c>
      <c r="B105" s="99" t="s">
        <v>165</v>
      </c>
      <c r="C105" s="99" t="s">
        <v>181</v>
      </c>
      <c r="D105" s="99" t="s">
        <v>182</v>
      </c>
      <c r="E105" s="178">
        <v>1</v>
      </c>
      <c r="F105" s="99" t="s">
        <v>154</v>
      </c>
      <c r="G105" s="62">
        <f t="shared" si="17"/>
        <v>0</v>
      </c>
      <c r="H105" s="62">
        <f t="shared" si="18"/>
        <v>0</v>
      </c>
      <c r="I105" s="62">
        <f t="shared" si="19"/>
        <v>0</v>
      </c>
      <c r="J105" s="62">
        <f t="shared" si="20"/>
        <v>0</v>
      </c>
      <c r="L105" s="62">
        <f t="shared" si="21"/>
        <v>0</v>
      </c>
      <c r="M105" s="62">
        <f t="shared" si="22"/>
        <v>0</v>
      </c>
      <c r="N105" s="62">
        <f t="shared" si="23"/>
        <v>0</v>
      </c>
      <c r="O105" s="62">
        <f t="shared" si="24"/>
        <v>0</v>
      </c>
    </row>
    <row r="106" spans="1:15" x14ac:dyDescent="0.25">
      <c r="A106" s="98">
        <v>46296.697175925925</v>
      </c>
      <c r="B106" s="99" t="s">
        <v>179</v>
      </c>
      <c r="C106" s="99" t="s">
        <v>171</v>
      </c>
      <c r="D106" s="99" t="s">
        <v>172</v>
      </c>
      <c r="E106" s="178">
        <v>1</v>
      </c>
      <c r="F106" s="99" t="s">
        <v>159</v>
      </c>
      <c r="G106" s="62">
        <f t="shared" si="17"/>
        <v>0</v>
      </c>
      <c r="H106" s="62">
        <f t="shared" si="18"/>
        <v>0</v>
      </c>
      <c r="I106" s="62">
        <f t="shared" si="19"/>
        <v>0</v>
      </c>
      <c r="J106" s="62">
        <f t="shared" si="20"/>
        <v>0</v>
      </c>
      <c r="L106" s="62">
        <f t="shared" si="21"/>
        <v>0</v>
      </c>
      <c r="M106" s="62">
        <f t="shared" si="22"/>
        <v>0</v>
      </c>
      <c r="N106" s="62">
        <f t="shared" si="23"/>
        <v>0</v>
      </c>
      <c r="O106" s="62">
        <f t="shared" si="24"/>
        <v>0</v>
      </c>
    </row>
    <row r="107" spans="1:15" x14ac:dyDescent="0.25">
      <c r="A107" s="90"/>
      <c r="B107" s="91"/>
      <c r="C107" s="91"/>
      <c r="D107" s="91"/>
      <c r="E107" s="92"/>
      <c r="F107" s="91"/>
    </row>
    <row r="108" spans="1:15" x14ac:dyDescent="0.25">
      <c r="A108" s="90"/>
      <c r="B108" s="91"/>
      <c r="C108" s="91"/>
      <c r="D108" s="91"/>
      <c r="E108" s="92"/>
      <c r="F108" s="91"/>
    </row>
    <row r="109" spans="1:15" x14ac:dyDescent="0.25">
      <c r="A109" s="90"/>
      <c r="B109" s="91"/>
      <c r="C109" s="91"/>
      <c r="D109" s="91"/>
      <c r="E109" s="92"/>
      <c r="F109" s="91"/>
    </row>
    <row r="110" spans="1:15" x14ac:dyDescent="0.25">
      <c r="A110" s="90"/>
      <c r="B110" s="91"/>
      <c r="C110" s="91"/>
      <c r="D110" s="91"/>
      <c r="E110" s="92"/>
      <c r="F110" s="91"/>
    </row>
    <row r="111" spans="1:15" x14ac:dyDescent="0.25">
      <c r="A111" s="90"/>
      <c r="B111" s="91"/>
      <c r="C111" s="91"/>
      <c r="D111" s="91"/>
      <c r="E111" s="92"/>
      <c r="F111" s="91"/>
    </row>
    <row r="112" spans="1:15" x14ac:dyDescent="0.25">
      <c r="A112" s="90"/>
      <c r="B112" s="91"/>
      <c r="C112" s="91"/>
      <c r="D112" s="91"/>
      <c r="E112" s="92"/>
      <c r="F112" s="91"/>
    </row>
    <row r="113" spans="1:6" x14ac:dyDescent="0.25">
      <c r="A113" s="90"/>
      <c r="B113" s="91"/>
      <c r="C113" s="91"/>
      <c r="D113" s="91"/>
      <c r="E113" s="92"/>
      <c r="F113" s="91"/>
    </row>
    <row r="114" spans="1:6" x14ac:dyDescent="0.25">
      <c r="A114" s="90"/>
      <c r="B114" s="91"/>
      <c r="C114" s="91"/>
      <c r="D114" s="91"/>
      <c r="E114" s="92"/>
      <c r="F114" s="91"/>
    </row>
    <row r="115" spans="1:6" x14ac:dyDescent="0.25">
      <c r="A115" s="90"/>
      <c r="B115" s="91"/>
      <c r="C115" s="91"/>
      <c r="D115" s="91"/>
      <c r="E115" s="92"/>
      <c r="F115" s="91"/>
    </row>
    <row r="116" spans="1:6" x14ac:dyDescent="0.25">
      <c r="A116" s="90"/>
      <c r="B116" s="91"/>
      <c r="C116" s="91"/>
      <c r="D116" s="91"/>
      <c r="E116" s="92"/>
      <c r="F116" s="91"/>
    </row>
    <row r="117" spans="1:6" x14ac:dyDescent="0.25">
      <c r="A117" s="90"/>
      <c r="B117" s="91"/>
      <c r="C117" s="91"/>
      <c r="D117" s="91"/>
      <c r="E117" s="92"/>
      <c r="F117" s="91"/>
    </row>
    <row r="118" spans="1:6" x14ac:dyDescent="0.25">
      <c r="A118" s="90"/>
      <c r="B118" s="91"/>
      <c r="C118" s="91"/>
      <c r="D118" s="91"/>
      <c r="E118" s="92"/>
      <c r="F118" s="91"/>
    </row>
    <row r="119" spans="1:6" x14ac:dyDescent="0.25">
      <c r="A119" s="90"/>
      <c r="B119" s="91"/>
      <c r="C119" s="91"/>
      <c r="D119" s="91"/>
      <c r="E119" s="92"/>
      <c r="F119" s="91"/>
    </row>
    <row r="120" spans="1:6" x14ac:dyDescent="0.25">
      <c r="A120" s="90"/>
      <c r="B120" s="91"/>
      <c r="C120" s="91"/>
      <c r="D120" s="91"/>
      <c r="E120" s="92"/>
      <c r="F120" s="91"/>
    </row>
    <row r="121" spans="1:6" x14ac:dyDescent="0.25">
      <c r="A121" s="90"/>
      <c r="B121" s="91"/>
      <c r="C121" s="91"/>
      <c r="D121" s="91"/>
      <c r="E121" s="92"/>
      <c r="F121" s="91"/>
    </row>
    <row r="122" spans="1:6" x14ac:dyDescent="0.25">
      <c r="A122" s="90"/>
      <c r="B122" s="91"/>
      <c r="C122" s="91"/>
      <c r="D122" s="91"/>
      <c r="E122" s="92"/>
      <c r="F122" s="91"/>
    </row>
    <row r="123" spans="1:6" x14ac:dyDescent="0.25">
      <c r="A123" s="90"/>
      <c r="B123" s="91"/>
      <c r="C123" s="91"/>
      <c r="D123" s="91"/>
      <c r="E123" s="92"/>
      <c r="F123" s="91"/>
    </row>
    <row r="124" spans="1:6" x14ac:dyDescent="0.25">
      <c r="A124" s="90"/>
      <c r="B124" s="91"/>
      <c r="C124" s="91"/>
      <c r="D124" s="91"/>
      <c r="E124" s="92"/>
      <c r="F124" s="91"/>
    </row>
    <row r="125" spans="1:6" x14ac:dyDescent="0.25">
      <c r="A125" s="90"/>
      <c r="B125" s="91"/>
      <c r="C125" s="91"/>
      <c r="D125" s="91"/>
      <c r="E125" s="92"/>
      <c r="F125" s="91"/>
    </row>
    <row r="126" spans="1:6" x14ac:dyDescent="0.25">
      <c r="A126" s="90"/>
      <c r="B126" s="91"/>
      <c r="C126" s="91"/>
      <c r="D126" s="91"/>
      <c r="E126" s="92"/>
      <c r="F126" s="91"/>
    </row>
    <row r="127" spans="1:6" x14ac:dyDescent="0.25">
      <c r="A127" s="90"/>
      <c r="B127" s="91"/>
      <c r="C127" s="91"/>
      <c r="D127" s="91"/>
      <c r="E127" s="92"/>
      <c r="F127" s="91"/>
    </row>
    <row r="128" spans="1:6" x14ac:dyDescent="0.25">
      <c r="A128" s="90"/>
      <c r="B128" s="91"/>
      <c r="C128" s="91"/>
      <c r="D128" s="91"/>
      <c r="E128" s="92"/>
      <c r="F128" s="91"/>
    </row>
    <row r="129" spans="1:6" x14ac:dyDescent="0.25">
      <c r="A129" s="90"/>
      <c r="B129" s="91"/>
      <c r="C129" s="91"/>
      <c r="D129" s="91"/>
      <c r="E129" s="92"/>
      <c r="F129" s="91"/>
    </row>
    <row r="130" spans="1:6" x14ac:dyDescent="0.25">
      <c r="A130" s="90"/>
      <c r="B130" s="91"/>
      <c r="C130" s="91"/>
      <c r="D130" s="91"/>
      <c r="E130" s="92"/>
      <c r="F130" s="91"/>
    </row>
    <row r="131" spans="1:6" x14ac:dyDescent="0.25">
      <c r="A131" s="90"/>
      <c r="B131" s="91"/>
      <c r="C131" s="91"/>
      <c r="D131" s="91"/>
      <c r="E131" s="92"/>
      <c r="F131" s="91"/>
    </row>
    <row r="132" spans="1:6" x14ac:dyDescent="0.25">
      <c r="A132" s="90"/>
      <c r="B132" s="91"/>
      <c r="C132" s="91"/>
      <c r="D132" s="91"/>
      <c r="E132" s="92"/>
      <c r="F132" s="91"/>
    </row>
    <row r="133" spans="1:6" x14ac:dyDescent="0.25">
      <c r="A133" s="90"/>
      <c r="B133" s="91"/>
      <c r="C133" s="91"/>
      <c r="D133" s="91"/>
      <c r="E133" s="92"/>
      <c r="F133" s="91"/>
    </row>
    <row r="134" spans="1:6" x14ac:dyDescent="0.25">
      <c r="A134" s="90"/>
      <c r="B134" s="91"/>
      <c r="C134" s="91"/>
      <c r="D134" s="91"/>
      <c r="E134" s="92"/>
      <c r="F134" s="91"/>
    </row>
    <row r="135" spans="1:6" x14ac:dyDescent="0.25">
      <c r="A135" s="90"/>
      <c r="B135" s="91"/>
      <c r="C135" s="91"/>
      <c r="D135" s="91"/>
      <c r="E135" s="92"/>
      <c r="F135" s="91"/>
    </row>
    <row r="136" spans="1:6" x14ac:dyDescent="0.25">
      <c r="A136" s="90"/>
      <c r="B136" s="91"/>
      <c r="C136" s="91"/>
      <c r="D136" s="91"/>
      <c r="E136" s="92"/>
      <c r="F136" s="91"/>
    </row>
    <row r="137" spans="1:6" x14ac:dyDescent="0.25">
      <c r="A137" s="90"/>
      <c r="B137" s="91"/>
      <c r="C137" s="91"/>
      <c r="D137" s="91"/>
      <c r="E137" s="92"/>
      <c r="F137" s="91"/>
    </row>
    <row r="138" spans="1:6" x14ac:dyDescent="0.25">
      <c r="A138" s="90"/>
      <c r="B138" s="91"/>
      <c r="C138" s="91"/>
      <c r="D138" s="91"/>
      <c r="E138" s="92"/>
      <c r="F138" s="91"/>
    </row>
    <row r="139" spans="1:6" x14ac:dyDescent="0.25">
      <c r="A139" s="90"/>
      <c r="B139" s="91"/>
      <c r="C139" s="91"/>
      <c r="D139" s="91"/>
      <c r="E139" s="92"/>
      <c r="F139" s="91"/>
    </row>
    <row r="140" spans="1:6" x14ac:dyDescent="0.25">
      <c r="A140" s="90"/>
      <c r="B140" s="91"/>
      <c r="C140" s="91"/>
      <c r="D140" s="91"/>
      <c r="E140" s="92"/>
      <c r="F140" s="91"/>
    </row>
    <row r="141" spans="1:6" x14ac:dyDescent="0.25">
      <c r="A141" s="90"/>
      <c r="B141" s="91"/>
      <c r="C141" s="91"/>
      <c r="D141" s="91"/>
      <c r="E141" s="92"/>
      <c r="F141" s="91"/>
    </row>
    <row r="142" spans="1:6" x14ac:dyDescent="0.25">
      <c r="A142" s="90"/>
      <c r="B142" s="91"/>
      <c r="C142" s="91"/>
      <c r="D142" s="91"/>
      <c r="E142" s="92"/>
      <c r="F142" s="91"/>
    </row>
    <row r="143" spans="1:6" x14ac:dyDescent="0.25">
      <c r="A143" s="90"/>
      <c r="B143" s="91"/>
      <c r="C143" s="91"/>
      <c r="D143" s="91"/>
      <c r="E143" s="92"/>
      <c r="F143" s="91"/>
    </row>
    <row r="144" spans="1:6" x14ac:dyDescent="0.25">
      <c r="A144" s="90"/>
      <c r="B144" s="91"/>
      <c r="C144" s="91"/>
      <c r="D144" s="91"/>
      <c r="E144" s="92"/>
      <c r="F144" s="91"/>
    </row>
    <row r="145" spans="1:6" x14ac:dyDescent="0.25">
      <c r="A145" s="90"/>
      <c r="B145" s="91"/>
      <c r="C145" s="91"/>
      <c r="D145" s="91"/>
      <c r="E145" s="92"/>
      <c r="F145" s="91"/>
    </row>
    <row r="146" spans="1:6" x14ac:dyDescent="0.25">
      <c r="A146" s="90"/>
      <c r="B146" s="91"/>
      <c r="C146" s="91"/>
      <c r="D146" s="91"/>
      <c r="E146" s="92"/>
      <c r="F146" s="91"/>
    </row>
    <row r="147" spans="1:6" x14ac:dyDescent="0.25">
      <c r="A147" s="90"/>
      <c r="B147" s="91"/>
      <c r="C147" s="91"/>
      <c r="D147" s="91"/>
      <c r="E147" s="92"/>
      <c r="F147" s="91"/>
    </row>
    <row r="148" spans="1:6" x14ac:dyDescent="0.25">
      <c r="A148" s="90"/>
      <c r="B148" s="91"/>
      <c r="C148" s="91"/>
      <c r="D148" s="91"/>
      <c r="E148" s="92"/>
      <c r="F148" s="91"/>
    </row>
    <row r="149" spans="1:6" x14ac:dyDescent="0.25">
      <c r="A149" s="90"/>
      <c r="B149" s="91"/>
      <c r="C149" s="91"/>
      <c r="D149" s="91"/>
      <c r="E149" s="92"/>
      <c r="F149" s="91"/>
    </row>
    <row r="150" spans="1:6" x14ac:dyDescent="0.25">
      <c r="A150" s="90"/>
      <c r="B150" s="91"/>
      <c r="C150" s="91"/>
      <c r="D150" s="91"/>
      <c r="E150" s="92"/>
      <c r="F150" s="91"/>
    </row>
    <row r="151" spans="1:6" x14ac:dyDescent="0.25">
      <c r="A151" s="90"/>
      <c r="B151" s="91"/>
      <c r="C151" s="91"/>
      <c r="D151" s="91"/>
      <c r="E151" s="92"/>
      <c r="F151" s="91"/>
    </row>
    <row r="152" spans="1:6" x14ac:dyDescent="0.25">
      <c r="A152" s="90"/>
      <c r="B152" s="91"/>
      <c r="C152" s="91"/>
      <c r="D152" s="91"/>
      <c r="E152" s="92"/>
      <c r="F152" s="91"/>
    </row>
    <row r="153" spans="1:6" x14ac:dyDescent="0.25">
      <c r="A153" s="90"/>
      <c r="B153" s="91"/>
      <c r="C153" s="91"/>
      <c r="D153" s="91"/>
      <c r="E153" s="92"/>
      <c r="F153" s="91"/>
    </row>
    <row r="154" spans="1:6" x14ac:dyDescent="0.25">
      <c r="A154" s="90"/>
      <c r="B154" s="91"/>
      <c r="C154" s="91"/>
      <c r="D154" s="91"/>
      <c r="E154" s="92"/>
      <c r="F154" s="91"/>
    </row>
    <row r="155" spans="1:6" x14ac:dyDescent="0.25">
      <c r="A155" s="90"/>
      <c r="B155" s="91"/>
      <c r="C155" s="91"/>
      <c r="D155" s="91"/>
      <c r="E155" s="92"/>
      <c r="F155" s="91"/>
    </row>
    <row r="156" spans="1:6" x14ac:dyDescent="0.25">
      <c r="A156" s="90"/>
      <c r="B156" s="91"/>
      <c r="C156" s="91"/>
      <c r="D156" s="91"/>
      <c r="E156" s="92"/>
      <c r="F156" s="91"/>
    </row>
    <row r="157" spans="1:6" x14ac:dyDescent="0.25">
      <c r="A157" s="90"/>
      <c r="B157" s="91"/>
      <c r="C157" s="91"/>
      <c r="D157" s="91"/>
      <c r="E157" s="92"/>
      <c r="F157" s="91"/>
    </row>
    <row r="158" spans="1:6" x14ac:dyDescent="0.25">
      <c r="A158" s="90"/>
      <c r="B158" s="91"/>
      <c r="C158" s="91"/>
      <c r="D158" s="91"/>
      <c r="E158" s="92"/>
      <c r="F158" s="91"/>
    </row>
    <row r="159" spans="1:6" x14ac:dyDescent="0.25">
      <c r="A159" s="90"/>
      <c r="B159" s="91"/>
      <c r="C159" s="91"/>
      <c r="D159" s="91"/>
      <c r="E159" s="92"/>
      <c r="F159" s="91"/>
    </row>
    <row r="160" spans="1:6" x14ac:dyDescent="0.25">
      <c r="A160" s="90"/>
      <c r="B160" s="91"/>
      <c r="C160" s="91"/>
      <c r="D160" s="91"/>
      <c r="E160" s="92"/>
      <c r="F160" s="91"/>
    </row>
    <row r="161" spans="1:6" x14ac:dyDescent="0.25">
      <c r="A161" s="90"/>
      <c r="B161" s="91"/>
      <c r="C161" s="91"/>
      <c r="D161" s="91"/>
      <c r="E161" s="92"/>
      <c r="F161" s="91"/>
    </row>
    <row r="162" spans="1:6" x14ac:dyDescent="0.25">
      <c r="A162" s="90"/>
      <c r="B162" s="91"/>
      <c r="C162" s="91"/>
      <c r="D162" s="91"/>
      <c r="E162" s="92"/>
      <c r="F162" s="91"/>
    </row>
    <row r="163" spans="1:6" x14ac:dyDescent="0.25">
      <c r="A163" s="90"/>
      <c r="B163" s="91"/>
      <c r="C163" s="91"/>
      <c r="D163" s="91"/>
      <c r="E163" s="92"/>
      <c r="F163" s="91"/>
    </row>
    <row r="164" spans="1:6" x14ac:dyDescent="0.25">
      <c r="A164" s="90"/>
      <c r="B164" s="91"/>
      <c r="C164" s="91"/>
      <c r="D164" s="91"/>
      <c r="E164" s="92"/>
      <c r="F164" s="91"/>
    </row>
    <row r="165" spans="1:6" x14ac:dyDescent="0.25">
      <c r="A165" s="90"/>
      <c r="B165" s="91"/>
      <c r="C165" s="91"/>
      <c r="D165" s="91"/>
      <c r="E165" s="92"/>
      <c r="F165" s="91"/>
    </row>
    <row r="166" spans="1:6" x14ac:dyDescent="0.25">
      <c r="A166" s="90"/>
      <c r="B166" s="91"/>
      <c r="C166" s="91"/>
      <c r="D166" s="91"/>
      <c r="E166" s="92"/>
      <c r="F166" s="91"/>
    </row>
    <row r="167" spans="1:6" x14ac:dyDescent="0.25">
      <c r="A167" s="90"/>
      <c r="B167" s="91"/>
      <c r="C167" s="91"/>
      <c r="D167" s="91"/>
      <c r="E167" s="92"/>
      <c r="F167" s="91"/>
    </row>
    <row r="168" spans="1:6" x14ac:dyDescent="0.25">
      <c r="A168" s="90"/>
      <c r="B168" s="91"/>
      <c r="C168" s="91"/>
      <c r="D168" s="91"/>
      <c r="E168" s="92"/>
      <c r="F168" s="91"/>
    </row>
    <row r="169" spans="1:6" x14ac:dyDescent="0.25">
      <c r="A169" s="90"/>
      <c r="B169" s="91"/>
      <c r="C169" s="91"/>
      <c r="D169" s="91"/>
      <c r="E169" s="92"/>
      <c r="F169" s="91"/>
    </row>
    <row r="170" spans="1:6" x14ac:dyDescent="0.25">
      <c r="A170" s="90"/>
      <c r="B170" s="91"/>
      <c r="C170" s="91"/>
      <c r="D170" s="91"/>
      <c r="E170" s="92"/>
      <c r="F170" s="91"/>
    </row>
    <row r="171" spans="1:6" x14ac:dyDescent="0.25">
      <c r="A171" s="90"/>
      <c r="B171" s="91"/>
      <c r="C171" s="91"/>
      <c r="D171" s="91"/>
      <c r="E171" s="92"/>
      <c r="F171" s="91"/>
    </row>
    <row r="172" spans="1:6" x14ac:dyDescent="0.25">
      <c r="A172" s="90"/>
      <c r="B172" s="91"/>
      <c r="C172" s="91"/>
      <c r="D172" s="91"/>
      <c r="E172" s="92"/>
      <c r="F172" s="91"/>
    </row>
    <row r="173" spans="1:6" x14ac:dyDescent="0.25">
      <c r="A173" s="90"/>
      <c r="B173" s="91"/>
      <c r="C173" s="91"/>
      <c r="D173" s="91"/>
      <c r="E173" s="92"/>
      <c r="F173" s="91"/>
    </row>
    <row r="174" spans="1:6" x14ac:dyDescent="0.25">
      <c r="A174" s="90"/>
      <c r="B174" s="91"/>
      <c r="C174" s="91"/>
      <c r="D174" s="91"/>
      <c r="E174" s="92"/>
      <c r="F174" s="91"/>
    </row>
    <row r="175" spans="1:6" x14ac:dyDescent="0.25">
      <c r="A175" s="90"/>
      <c r="B175" s="91"/>
      <c r="C175" s="91"/>
      <c r="D175" s="91"/>
      <c r="E175" s="92"/>
      <c r="F175" s="91"/>
    </row>
    <row r="176" spans="1:6" x14ac:dyDescent="0.25">
      <c r="A176" s="90"/>
      <c r="B176" s="91"/>
      <c r="C176" s="91"/>
      <c r="D176" s="91"/>
      <c r="E176" s="92"/>
      <c r="F176" s="91"/>
    </row>
    <row r="177" spans="1:6" x14ac:dyDescent="0.25">
      <c r="A177" s="90"/>
      <c r="B177" s="91"/>
      <c r="C177" s="91"/>
      <c r="D177" s="91"/>
      <c r="E177" s="92"/>
      <c r="F177" s="91"/>
    </row>
    <row r="178" spans="1:6" x14ac:dyDescent="0.25">
      <c r="A178" s="90"/>
      <c r="B178" s="91"/>
      <c r="C178" s="91"/>
      <c r="D178" s="91"/>
      <c r="E178" s="92"/>
      <c r="F178" s="91"/>
    </row>
    <row r="179" spans="1:6" x14ac:dyDescent="0.25">
      <c r="A179" s="90"/>
      <c r="B179" s="91"/>
      <c r="C179" s="91"/>
      <c r="D179" s="91"/>
      <c r="E179" s="92"/>
      <c r="F179" s="91"/>
    </row>
    <row r="180" spans="1:6" x14ac:dyDescent="0.25">
      <c r="A180" s="90"/>
      <c r="B180" s="91"/>
      <c r="C180" s="91"/>
      <c r="D180" s="91"/>
      <c r="E180" s="92"/>
      <c r="F180" s="91"/>
    </row>
    <row r="181" spans="1:6" x14ac:dyDescent="0.25">
      <c r="A181" s="90"/>
      <c r="B181" s="91"/>
      <c r="C181" s="91"/>
      <c r="D181" s="91"/>
      <c r="E181" s="92"/>
      <c r="F181" s="91"/>
    </row>
    <row r="182" spans="1:6" x14ac:dyDescent="0.25">
      <c r="A182" s="90"/>
      <c r="B182" s="91"/>
      <c r="C182" s="91"/>
      <c r="D182" s="91"/>
      <c r="E182" s="92"/>
      <c r="F182" s="91"/>
    </row>
    <row r="183" spans="1:6" x14ac:dyDescent="0.25">
      <c r="A183" s="90"/>
      <c r="B183" s="91"/>
      <c r="C183" s="91"/>
      <c r="D183" s="91"/>
      <c r="E183" s="92"/>
      <c r="F183" s="91"/>
    </row>
    <row r="184" spans="1:6" x14ac:dyDescent="0.25">
      <c r="A184" s="90"/>
      <c r="B184" s="91"/>
      <c r="C184" s="91"/>
      <c r="D184" s="91"/>
      <c r="E184" s="92"/>
      <c r="F184" s="91"/>
    </row>
    <row r="185" spans="1:6" x14ac:dyDescent="0.25">
      <c r="A185" s="90"/>
      <c r="B185" s="91"/>
      <c r="C185" s="91"/>
      <c r="D185" s="91"/>
      <c r="E185" s="92"/>
      <c r="F185" s="91"/>
    </row>
    <row r="186" spans="1:6" x14ac:dyDescent="0.25">
      <c r="A186" s="90"/>
      <c r="B186" s="91"/>
      <c r="C186" s="91"/>
      <c r="D186" s="91"/>
      <c r="E186" s="92"/>
      <c r="F186" s="91"/>
    </row>
    <row r="187" spans="1:6" x14ac:dyDescent="0.25">
      <c r="A187" s="90"/>
      <c r="B187" s="91"/>
      <c r="C187" s="91"/>
      <c r="D187" s="91"/>
      <c r="E187" s="92"/>
      <c r="F187" s="91"/>
    </row>
    <row r="188" spans="1:6" x14ac:dyDescent="0.25">
      <c r="A188" s="90"/>
      <c r="B188" s="91"/>
      <c r="C188" s="91"/>
      <c r="D188" s="91"/>
      <c r="E188" s="92"/>
      <c r="F188" s="91"/>
    </row>
    <row r="189" spans="1:6" x14ac:dyDescent="0.25">
      <c r="A189" s="90"/>
      <c r="B189" s="91"/>
      <c r="C189" s="91"/>
      <c r="D189" s="91"/>
      <c r="E189" s="92"/>
      <c r="F189" s="91"/>
    </row>
    <row r="190" spans="1:6" x14ac:dyDescent="0.25">
      <c r="A190" s="90"/>
      <c r="B190" s="91"/>
      <c r="C190" s="91"/>
      <c r="D190" s="91"/>
      <c r="E190" s="92"/>
      <c r="F190" s="91"/>
    </row>
    <row r="191" spans="1:6" x14ac:dyDescent="0.25">
      <c r="A191" s="90"/>
      <c r="B191" s="91"/>
      <c r="C191" s="91"/>
      <c r="D191" s="91"/>
      <c r="E191" s="92"/>
      <c r="F191" s="91"/>
    </row>
    <row r="192" spans="1:6" x14ac:dyDescent="0.25">
      <c r="A192" s="90"/>
      <c r="B192" s="91"/>
      <c r="C192" s="91"/>
      <c r="D192" s="91"/>
      <c r="E192" s="92"/>
      <c r="F192" s="91"/>
    </row>
    <row r="193" spans="1:6" x14ac:dyDescent="0.25">
      <c r="A193" s="90"/>
      <c r="B193" s="91"/>
      <c r="C193" s="91"/>
      <c r="D193" s="91"/>
      <c r="E193" s="92"/>
      <c r="F193" s="91"/>
    </row>
    <row r="194" spans="1:6" x14ac:dyDescent="0.25">
      <c r="A194" s="90"/>
      <c r="B194" s="91"/>
      <c r="C194" s="91"/>
      <c r="D194" s="91"/>
      <c r="E194" s="92"/>
      <c r="F194" s="91"/>
    </row>
    <row r="195" spans="1:6" x14ac:dyDescent="0.25">
      <c r="A195" s="90"/>
      <c r="B195" s="91"/>
      <c r="C195" s="91"/>
      <c r="D195" s="91"/>
      <c r="E195" s="92"/>
      <c r="F195" s="91"/>
    </row>
    <row r="196" spans="1:6" x14ac:dyDescent="0.25">
      <c r="A196" s="90"/>
      <c r="B196" s="91"/>
      <c r="C196" s="91"/>
      <c r="D196" s="91"/>
      <c r="E196" s="92"/>
      <c r="F196" s="91"/>
    </row>
    <row r="197" spans="1:6" x14ac:dyDescent="0.25">
      <c r="A197" s="90"/>
      <c r="B197" s="91"/>
      <c r="C197" s="91"/>
      <c r="D197" s="91"/>
      <c r="E197" s="92"/>
      <c r="F197" s="91"/>
    </row>
    <row r="198" spans="1:6" x14ac:dyDescent="0.25">
      <c r="A198" s="90"/>
      <c r="B198" s="91"/>
      <c r="C198" s="91"/>
      <c r="D198" s="91"/>
      <c r="E198" s="92"/>
      <c r="F198" s="91"/>
    </row>
    <row r="199" spans="1:6" x14ac:dyDescent="0.25">
      <c r="A199" s="90"/>
      <c r="B199" s="91"/>
      <c r="C199" s="91"/>
      <c r="D199" s="91"/>
      <c r="E199" s="92"/>
      <c r="F199" s="91"/>
    </row>
    <row r="200" spans="1:6" x14ac:dyDescent="0.25">
      <c r="A200" s="90"/>
      <c r="B200" s="91"/>
      <c r="C200" s="91"/>
      <c r="D200" s="91"/>
      <c r="E200" s="92"/>
      <c r="F200" s="91"/>
    </row>
    <row r="201" spans="1:6" x14ac:dyDescent="0.25">
      <c r="A201" s="90"/>
      <c r="B201" s="91"/>
      <c r="C201" s="91"/>
      <c r="D201" s="91"/>
      <c r="E201" s="92"/>
      <c r="F201" s="91"/>
    </row>
    <row r="202" spans="1:6" x14ac:dyDescent="0.25">
      <c r="A202" s="90"/>
      <c r="B202" s="91"/>
      <c r="C202" s="91"/>
      <c r="D202" s="91"/>
      <c r="E202" s="92"/>
      <c r="F202" s="91"/>
    </row>
    <row r="203" spans="1:6" x14ac:dyDescent="0.25">
      <c r="A203" s="90"/>
      <c r="B203" s="91"/>
      <c r="C203" s="91"/>
      <c r="D203" s="91"/>
      <c r="E203" s="92"/>
      <c r="F203" s="91"/>
    </row>
    <row r="204" spans="1:6" x14ac:dyDescent="0.25">
      <c r="A204" s="73"/>
      <c r="B204" s="74"/>
      <c r="C204" s="74"/>
      <c r="D204" s="74"/>
      <c r="E204" s="83"/>
      <c r="F204" s="74"/>
    </row>
    <row r="205" spans="1:6" x14ac:dyDescent="0.25">
      <c r="A205" s="73"/>
      <c r="B205" s="74"/>
      <c r="C205" s="74"/>
      <c r="D205" s="74"/>
      <c r="E205" s="83"/>
      <c r="F205" s="74"/>
    </row>
    <row r="206" spans="1:6" x14ac:dyDescent="0.25">
      <c r="A206" s="73"/>
      <c r="B206" s="74"/>
      <c r="C206" s="74"/>
      <c r="D206" s="74"/>
      <c r="E206" s="83"/>
      <c r="F206" s="74"/>
    </row>
    <row r="207" spans="1:6" x14ac:dyDescent="0.25">
      <c r="A207" s="73"/>
      <c r="B207" s="74"/>
      <c r="C207" s="74"/>
      <c r="D207" s="74"/>
      <c r="E207" s="83"/>
      <c r="F207" s="74"/>
    </row>
    <row r="208" spans="1:6" x14ac:dyDescent="0.25">
      <c r="A208" s="73"/>
      <c r="B208" s="74"/>
      <c r="C208" s="74"/>
      <c r="D208" s="74"/>
      <c r="E208" s="83"/>
      <c r="F208" s="74"/>
    </row>
    <row r="209" spans="1:6" x14ac:dyDescent="0.25">
      <c r="A209" s="73"/>
      <c r="B209" s="74"/>
      <c r="C209" s="74"/>
      <c r="D209" s="74"/>
      <c r="E209" s="83"/>
      <c r="F209" s="74"/>
    </row>
    <row r="210" spans="1:6" x14ac:dyDescent="0.25">
      <c r="A210" s="73"/>
      <c r="B210" s="74"/>
      <c r="C210" s="74"/>
      <c r="D210" s="74"/>
      <c r="E210" s="83"/>
      <c r="F210" s="74"/>
    </row>
    <row r="211" spans="1:6" x14ac:dyDescent="0.25">
      <c r="A211" s="73"/>
      <c r="B211" s="74"/>
      <c r="C211" s="74"/>
      <c r="D211" s="74"/>
      <c r="E211" s="83"/>
      <c r="F211" s="74"/>
    </row>
    <row r="212" spans="1:6" x14ac:dyDescent="0.25">
      <c r="A212" s="73"/>
      <c r="B212" s="74"/>
      <c r="C212" s="74"/>
      <c r="D212" s="74"/>
      <c r="E212" s="83"/>
      <c r="F212" s="74"/>
    </row>
    <row r="213" spans="1:6" x14ac:dyDescent="0.25">
      <c r="A213" s="73"/>
      <c r="B213" s="74"/>
      <c r="C213" s="74"/>
      <c r="D213" s="74"/>
      <c r="E213" s="83"/>
      <c r="F213" s="74"/>
    </row>
    <row r="214" spans="1:6" x14ac:dyDescent="0.25">
      <c r="A214" s="73"/>
      <c r="B214" s="74"/>
      <c r="C214" s="74"/>
      <c r="D214" s="74"/>
      <c r="E214" s="83"/>
      <c r="F214" s="74"/>
    </row>
    <row r="215" spans="1:6" x14ac:dyDescent="0.25">
      <c r="A215" s="73"/>
      <c r="B215" s="74"/>
      <c r="C215" s="74"/>
      <c r="D215" s="74"/>
      <c r="E215" s="83"/>
      <c r="F215" s="74"/>
    </row>
    <row r="216" spans="1:6" x14ac:dyDescent="0.25">
      <c r="A216" s="73"/>
      <c r="B216" s="74"/>
      <c r="C216" s="74"/>
      <c r="D216" s="74"/>
      <c r="E216" s="83"/>
      <c r="F216" s="74"/>
    </row>
    <row r="217" spans="1:6" x14ac:dyDescent="0.25">
      <c r="A217" s="73"/>
      <c r="B217" s="74"/>
      <c r="C217" s="74"/>
      <c r="D217" s="74"/>
      <c r="E217" s="83"/>
      <c r="F217" s="74"/>
    </row>
    <row r="218" spans="1:6" x14ac:dyDescent="0.25">
      <c r="A218" s="73"/>
      <c r="B218" s="74"/>
      <c r="C218" s="74"/>
      <c r="D218" s="74"/>
      <c r="E218" s="83"/>
      <c r="F218" s="74"/>
    </row>
    <row r="219" spans="1:6" x14ac:dyDescent="0.25">
      <c r="A219" s="73"/>
      <c r="B219" s="74"/>
      <c r="C219" s="74"/>
      <c r="D219" s="74"/>
      <c r="E219" s="83"/>
      <c r="F219" s="74"/>
    </row>
    <row r="220" spans="1:6" x14ac:dyDescent="0.25">
      <c r="A220" s="73"/>
      <c r="B220" s="74"/>
      <c r="C220" s="74"/>
      <c r="D220" s="74"/>
      <c r="E220" s="83"/>
      <c r="F220" s="74"/>
    </row>
    <row r="221" spans="1:6" x14ac:dyDescent="0.25">
      <c r="A221" s="73"/>
      <c r="B221" s="74"/>
      <c r="C221" s="74"/>
      <c r="D221" s="74"/>
      <c r="E221" s="83"/>
      <c r="F221" s="74"/>
    </row>
    <row r="222" spans="1:6" x14ac:dyDescent="0.25">
      <c r="A222" s="73"/>
      <c r="B222" s="74"/>
      <c r="C222" s="74"/>
      <c r="D222" s="74"/>
      <c r="E222" s="83"/>
      <c r="F222" s="74"/>
    </row>
    <row r="223" spans="1:6" x14ac:dyDescent="0.25">
      <c r="A223" s="73"/>
      <c r="B223" s="74"/>
      <c r="C223" s="74"/>
      <c r="D223" s="74"/>
      <c r="E223" s="83"/>
      <c r="F223" s="74"/>
    </row>
    <row r="224" spans="1:6" x14ac:dyDescent="0.25">
      <c r="A224" s="73"/>
      <c r="B224" s="74"/>
      <c r="C224" s="74"/>
      <c r="D224" s="74"/>
      <c r="E224" s="83"/>
      <c r="F224" s="74"/>
    </row>
    <row r="225" spans="1:6" x14ac:dyDescent="0.25">
      <c r="A225" s="73"/>
      <c r="B225" s="74"/>
      <c r="C225" s="74"/>
      <c r="D225" s="74"/>
      <c r="E225" s="83"/>
      <c r="F225" s="74"/>
    </row>
    <row r="226" spans="1:6" x14ac:dyDescent="0.25">
      <c r="A226" s="73"/>
      <c r="B226" s="74"/>
      <c r="C226" s="74"/>
      <c r="D226" s="74"/>
      <c r="E226" s="83"/>
      <c r="F226" s="74"/>
    </row>
    <row r="227" spans="1:6" x14ac:dyDescent="0.25">
      <c r="A227" s="73"/>
      <c r="B227" s="74"/>
      <c r="C227" s="74"/>
      <c r="D227" s="74"/>
      <c r="E227" s="83"/>
      <c r="F227" s="74"/>
    </row>
    <row r="228" spans="1:6" x14ac:dyDescent="0.25">
      <c r="A228" s="73"/>
      <c r="B228" s="74"/>
      <c r="C228" s="74"/>
      <c r="D228" s="74"/>
      <c r="E228" s="83"/>
      <c r="F228" s="74"/>
    </row>
    <row r="229" spans="1:6" x14ac:dyDescent="0.25">
      <c r="A229" s="73"/>
      <c r="B229" s="74"/>
      <c r="C229" s="74"/>
      <c r="D229" s="74"/>
      <c r="E229" s="83"/>
      <c r="F229" s="74"/>
    </row>
    <row r="230" spans="1:6" x14ac:dyDescent="0.25">
      <c r="A230" s="73"/>
      <c r="B230" s="74"/>
      <c r="C230" s="74"/>
      <c r="D230" s="74"/>
      <c r="E230" s="83"/>
      <c r="F230" s="74"/>
    </row>
    <row r="231" spans="1:6" x14ac:dyDescent="0.25">
      <c r="A231" s="73"/>
      <c r="B231" s="74"/>
      <c r="C231" s="74"/>
      <c r="D231" s="74"/>
      <c r="E231" s="83"/>
      <c r="F231" s="74"/>
    </row>
    <row r="232" spans="1:6" x14ac:dyDescent="0.25">
      <c r="A232" s="73"/>
      <c r="B232" s="74"/>
      <c r="C232" s="74"/>
      <c r="D232" s="74"/>
      <c r="E232" s="83"/>
      <c r="F232" s="74"/>
    </row>
    <row r="233" spans="1:6" x14ac:dyDescent="0.25">
      <c r="A233" s="73"/>
      <c r="B233" s="74"/>
      <c r="C233" s="74"/>
      <c r="D233" s="74"/>
      <c r="E233" s="83"/>
      <c r="F233" s="74"/>
    </row>
    <row r="234" spans="1:6" x14ac:dyDescent="0.25">
      <c r="A234" s="73"/>
      <c r="B234" s="74"/>
      <c r="C234" s="74"/>
      <c r="D234" s="74"/>
      <c r="E234" s="83"/>
      <c r="F234" s="74"/>
    </row>
    <row r="235" spans="1:6" x14ac:dyDescent="0.25">
      <c r="A235" s="73"/>
      <c r="B235" s="74"/>
      <c r="C235" s="74"/>
      <c r="D235" s="74"/>
      <c r="E235" s="83"/>
      <c r="F235" s="74"/>
    </row>
    <row r="236" spans="1:6" x14ac:dyDescent="0.25">
      <c r="A236" s="73"/>
      <c r="B236" s="74"/>
      <c r="C236" s="74"/>
      <c r="D236" s="74"/>
      <c r="E236" s="83"/>
      <c r="F236" s="74"/>
    </row>
    <row r="237" spans="1:6" x14ac:dyDescent="0.25">
      <c r="A237" s="73"/>
      <c r="B237" s="74"/>
      <c r="C237" s="74"/>
      <c r="D237" s="74"/>
      <c r="E237" s="83"/>
      <c r="F237" s="74"/>
    </row>
    <row r="238" spans="1:6" x14ac:dyDescent="0.25">
      <c r="A238" s="73"/>
      <c r="B238" s="74"/>
      <c r="C238" s="74"/>
      <c r="D238" s="74"/>
      <c r="E238" s="83"/>
      <c r="F238" s="74"/>
    </row>
    <row r="239" spans="1:6" x14ac:dyDescent="0.25">
      <c r="A239" s="73"/>
      <c r="B239" s="74"/>
      <c r="C239" s="74"/>
      <c r="D239" s="74"/>
      <c r="E239" s="83"/>
      <c r="F239" s="74"/>
    </row>
    <row r="240" spans="1:6" x14ac:dyDescent="0.25">
      <c r="A240" s="73"/>
      <c r="B240" s="74"/>
      <c r="C240" s="74"/>
      <c r="D240" s="74"/>
      <c r="E240" s="83"/>
      <c r="F240" s="74"/>
    </row>
    <row r="241" spans="1:6" x14ac:dyDescent="0.25">
      <c r="A241" s="73"/>
      <c r="B241" s="74"/>
      <c r="C241" s="74"/>
      <c r="D241" s="74"/>
      <c r="E241" s="83"/>
      <c r="F241" s="74"/>
    </row>
    <row r="242" spans="1:6" x14ac:dyDescent="0.25">
      <c r="A242" s="73"/>
      <c r="B242" s="74"/>
      <c r="C242" s="74"/>
      <c r="D242" s="74"/>
      <c r="E242" s="83"/>
      <c r="F242" s="74"/>
    </row>
    <row r="243" spans="1:6" x14ac:dyDescent="0.25">
      <c r="A243" s="73"/>
      <c r="B243" s="74"/>
      <c r="C243" s="74"/>
      <c r="D243" s="74"/>
      <c r="E243" s="83"/>
      <c r="F243" s="74"/>
    </row>
    <row r="244" spans="1:6" x14ac:dyDescent="0.25">
      <c r="A244" s="73"/>
      <c r="B244" s="74"/>
      <c r="C244" s="74"/>
      <c r="D244" s="74"/>
      <c r="E244" s="83"/>
      <c r="F244" s="74"/>
    </row>
    <row r="245" spans="1:6" x14ac:dyDescent="0.25">
      <c r="A245" s="73"/>
      <c r="B245" s="74"/>
      <c r="C245" s="74"/>
      <c r="D245" s="74"/>
      <c r="E245" s="83"/>
      <c r="F245" s="74"/>
    </row>
    <row r="246" spans="1:6" x14ac:dyDescent="0.25">
      <c r="A246" s="73"/>
      <c r="B246" s="74"/>
      <c r="C246" s="74"/>
      <c r="D246" s="74"/>
      <c r="E246" s="83"/>
      <c r="F246" s="74"/>
    </row>
    <row r="247" spans="1:6" x14ac:dyDescent="0.25">
      <c r="A247" s="73"/>
      <c r="B247" s="74"/>
      <c r="C247" s="74"/>
      <c r="D247" s="74"/>
      <c r="E247" s="83"/>
      <c r="F247" s="74"/>
    </row>
    <row r="248" spans="1:6" x14ac:dyDescent="0.25">
      <c r="A248" s="73"/>
      <c r="B248" s="74"/>
      <c r="C248" s="74"/>
      <c r="D248" s="74"/>
      <c r="E248" s="83"/>
      <c r="F248" s="74"/>
    </row>
    <row r="249" spans="1:6" x14ac:dyDescent="0.25">
      <c r="A249" s="73"/>
      <c r="B249" s="74"/>
      <c r="C249" s="74"/>
      <c r="D249" s="74"/>
      <c r="E249" s="83"/>
      <c r="F249" s="74"/>
    </row>
    <row r="250" spans="1:6" x14ac:dyDescent="0.25">
      <c r="A250" s="73"/>
      <c r="B250" s="74"/>
      <c r="C250" s="74"/>
      <c r="D250" s="74"/>
      <c r="E250" s="83"/>
      <c r="F250" s="74"/>
    </row>
    <row r="251" spans="1:6" x14ac:dyDescent="0.25">
      <c r="A251" s="73"/>
      <c r="B251" s="74"/>
      <c r="C251" s="74"/>
      <c r="D251" s="74"/>
      <c r="E251" s="83"/>
      <c r="F251" s="74"/>
    </row>
    <row r="252" spans="1:6" x14ac:dyDescent="0.25">
      <c r="A252" s="73"/>
      <c r="B252" s="74"/>
      <c r="C252" s="74"/>
      <c r="D252" s="74"/>
      <c r="E252" s="83"/>
      <c r="F252" s="74"/>
    </row>
    <row r="253" spans="1:6" x14ac:dyDescent="0.25">
      <c r="A253" s="73"/>
      <c r="B253" s="74"/>
      <c r="C253" s="74"/>
      <c r="D253" s="74"/>
      <c r="E253" s="83"/>
      <c r="F253" s="74"/>
    </row>
    <row r="254" spans="1:6" x14ac:dyDescent="0.25">
      <c r="A254" s="73"/>
      <c r="B254" s="74"/>
      <c r="C254" s="74"/>
      <c r="D254" s="74"/>
      <c r="E254" s="83"/>
      <c r="F254" s="74"/>
    </row>
    <row r="255" spans="1:6" x14ac:dyDescent="0.25">
      <c r="A255" s="73"/>
      <c r="B255" s="74"/>
      <c r="C255" s="74"/>
      <c r="D255" s="74"/>
      <c r="E255" s="83"/>
      <c r="F255" s="74"/>
    </row>
    <row r="256" spans="1:6" x14ac:dyDescent="0.25">
      <c r="A256" s="73"/>
      <c r="B256" s="74"/>
      <c r="C256" s="74"/>
      <c r="D256" s="74"/>
      <c r="E256" s="83"/>
      <c r="F256" s="74"/>
    </row>
    <row r="257" spans="1:6" x14ac:dyDescent="0.25">
      <c r="A257" s="73"/>
      <c r="B257" s="74"/>
      <c r="C257" s="74"/>
      <c r="D257" s="74"/>
      <c r="E257" s="83"/>
      <c r="F257" s="74"/>
    </row>
    <row r="258" spans="1:6" x14ac:dyDescent="0.25">
      <c r="A258" s="73"/>
      <c r="B258" s="74"/>
      <c r="C258" s="74"/>
      <c r="D258" s="74"/>
      <c r="E258" s="83"/>
      <c r="F258" s="74"/>
    </row>
    <row r="259" spans="1:6" x14ac:dyDescent="0.25">
      <c r="A259" s="73"/>
      <c r="B259" s="74"/>
      <c r="C259" s="74"/>
      <c r="D259" s="74"/>
      <c r="E259" s="83"/>
      <c r="F259" s="74"/>
    </row>
    <row r="260" spans="1:6" x14ac:dyDescent="0.25">
      <c r="A260" s="73"/>
      <c r="B260" s="74"/>
      <c r="C260" s="74"/>
      <c r="D260" s="74"/>
      <c r="E260" s="83"/>
      <c r="F260" s="74"/>
    </row>
    <row r="261" spans="1:6" x14ac:dyDescent="0.25">
      <c r="A261" s="73"/>
      <c r="B261" s="74"/>
      <c r="C261" s="74"/>
      <c r="D261" s="74"/>
      <c r="E261" s="83"/>
      <c r="F261" s="74"/>
    </row>
    <row r="262" spans="1:6" x14ac:dyDescent="0.25">
      <c r="A262" s="73"/>
      <c r="B262" s="74"/>
      <c r="C262" s="74"/>
      <c r="D262" s="74"/>
      <c r="E262" s="83"/>
      <c r="F262" s="74"/>
    </row>
    <row r="263" spans="1:6" x14ac:dyDescent="0.25">
      <c r="A263" s="73"/>
      <c r="B263" s="74"/>
      <c r="C263" s="74"/>
      <c r="D263" s="74"/>
      <c r="E263" s="83"/>
      <c r="F263" s="74"/>
    </row>
    <row r="264" spans="1:6" x14ac:dyDescent="0.25">
      <c r="A264" s="73"/>
      <c r="B264" s="74"/>
      <c r="C264" s="74"/>
      <c r="D264" s="74"/>
      <c r="E264" s="83"/>
      <c r="F264" s="74"/>
    </row>
    <row r="265" spans="1:6" x14ac:dyDescent="0.25">
      <c r="A265" s="73"/>
      <c r="B265" s="74"/>
      <c r="C265" s="74"/>
      <c r="D265" s="74"/>
      <c r="E265" s="83"/>
      <c r="F265" s="74"/>
    </row>
    <row r="266" spans="1:6" x14ac:dyDescent="0.25">
      <c r="A266" s="73"/>
      <c r="B266" s="74"/>
      <c r="C266" s="74"/>
      <c r="D266" s="74"/>
      <c r="E266" s="83"/>
      <c r="F266" s="74"/>
    </row>
    <row r="267" spans="1:6" x14ac:dyDescent="0.25">
      <c r="A267" s="73"/>
      <c r="B267" s="74"/>
      <c r="C267" s="74"/>
      <c r="D267" s="74"/>
      <c r="E267" s="83"/>
      <c r="F267" s="74"/>
    </row>
    <row r="268" spans="1:6" x14ac:dyDescent="0.25">
      <c r="A268" s="73"/>
      <c r="B268" s="74"/>
      <c r="C268" s="74"/>
      <c r="D268" s="74"/>
      <c r="E268" s="83"/>
      <c r="F268" s="74"/>
    </row>
    <row r="269" spans="1:6" x14ac:dyDescent="0.25">
      <c r="A269" s="73"/>
      <c r="B269" s="74"/>
      <c r="C269" s="74"/>
      <c r="D269" s="74"/>
      <c r="E269" s="83"/>
      <c r="F269" s="74"/>
    </row>
    <row r="270" spans="1:6" x14ac:dyDescent="0.25">
      <c r="A270" s="73"/>
      <c r="B270" s="74"/>
      <c r="C270" s="74"/>
      <c r="D270" s="74"/>
      <c r="E270" s="83"/>
      <c r="F270" s="74"/>
    </row>
    <row r="271" spans="1:6" x14ac:dyDescent="0.25">
      <c r="A271" s="73"/>
      <c r="B271" s="74"/>
      <c r="C271" s="74"/>
      <c r="D271" s="74"/>
      <c r="E271" s="83"/>
      <c r="F271" s="74"/>
    </row>
    <row r="272" spans="1:6" x14ac:dyDescent="0.25">
      <c r="A272" s="73"/>
      <c r="B272" s="74"/>
      <c r="C272" s="74"/>
      <c r="D272" s="74"/>
      <c r="E272" s="83"/>
      <c r="F272" s="74"/>
    </row>
    <row r="273" spans="1:6" x14ac:dyDescent="0.25">
      <c r="A273" s="73"/>
      <c r="B273" s="74"/>
      <c r="C273" s="74"/>
      <c r="D273" s="74"/>
      <c r="E273" s="83"/>
      <c r="F273" s="74"/>
    </row>
    <row r="274" spans="1:6" x14ac:dyDescent="0.25">
      <c r="A274" s="73"/>
      <c r="B274" s="74"/>
      <c r="C274" s="74"/>
      <c r="D274" s="74"/>
      <c r="E274" s="83"/>
      <c r="F274" s="74"/>
    </row>
    <row r="275" spans="1:6" x14ac:dyDescent="0.25">
      <c r="A275" s="73"/>
      <c r="B275" s="74"/>
      <c r="C275" s="74"/>
      <c r="D275" s="74"/>
      <c r="E275" s="83"/>
      <c r="F275" s="74"/>
    </row>
    <row r="276" spans="1:6" x14ac:dyDescent="0.25">
      <c r="A276" s="73"/>
      <c r="B276" s="74"/>
      <c r="C276" s="74"/>
      <c r="D276" s="74"/>
      <c r="E276" s="83"/>
      <c r="F276" s="74"/>
    </row>
    <row r="277" spans="1:6" x14ac:dyDescent="0.25">
      <c r="A277" s="73"/>
      <c r="B277" s="74"/>
      <c r="C277" s="74"/>
      <c r="D277" s="74"/>
      <c r="E277" s="83"/>
      <c r="F277" s="74"/>
    </row>
    <row r="278" spans="1:6" x14ac:dyDescent="0.25">
      <c r="A278" s="73"/>
      <c r="B278" s="74"/>
      <c r="C278" s="74"/>
      <c r="D278" s="74"/>
      <c r="E278" s="83"/>
      <c r="F278" s="74"/>
    </row>
    <row r="279" spans="1:6" x14ac:dyDescent="0.25">
      <c r="A279" s="73"/>
      <c r="B279" s="74"/>
      <c r="C279" s="74"/>
      <c r="D279" s="74"/>
      <c r="E279" s="83"/>
      <c r="F279" s="74"/>
    </row>
    <row r="280" spans="1:6" x14ac:dyDescent="0.25">
      <c r="A280" s="73"/>
      <c r="B280" s="74"/>
      <c r="C280" s="74"/>
      <c r="D280" s="74"/>
      <c r="E280" s="83"/>
      <c r="F280" s="74"/>
    </row>
    <row r="281" spans="1:6" x14ac:dyDescent="0.25">
      <c r="A281" s="73"/>
      <c r="B281" s="74"/>
      <c r="C281" s="74"/>
      <c r="D281" s="74"/>
      <c r="E281" s="83"/>
      <c r="F281" s="74"/>
    </row>
    <row r="282" spans="1:6" x14ac:dyDescent="0.25">
      <c r="A282" s="73"/>
      <c r="B282" s="74"/>
      <c r="C282" s="74"/>
      <c r="D282" s="74"/>
      <c r="E282" s="83"/>
      <c r="F282" s="74"/>
    </row>
    <row r="283" spans="1:6" x14ac:dyDescent="0.25">
      <c r="A283" s="73"/>
      <c r="B283" s="74"/>
      <c r="C283" s="74"/>
      <c r="D283" s="74"/>
      <c r="E283" s="83"/>
      <c r="F283" s="74"/>
    </row>
    <row r="284" spans="1:6" x14ac:dyDescent="0.25">
      <c r="A284" s="73"/>
      <c r="B284" s="74"/>
      <c r="C284" s="74"/>
      <c r="D284" s="74"/>
      <c r="E284" s="83"/>
      <c r="F284" s="74"/>
    </row>
    <row r="285" spans="1:6" x14ac:dyDescent="0.25">
      <c r="A285" s="73"/>
      <c r="B285" s="74"/>
      <c r="C285" s="74"/>
      <c r="D285" s="74"/>
      <c r="E285" s="83"/>
      <c r="F285" s="74"/>
    </row>
    <row r="286" spans="1:6" x14ac:dyDescent="0.25">
      <c r="A286" s="73"/>
      <c r="B286" s="74"/>
      <c r="C286" s="74"/>
      <c r="D286" s="74"/>
      <c r="E286" s="83"/>
      <c r="F286" s="74"/>
    </row>
    <row r="287" spans="1:6" x14ac:dyDescent="0.25">
      <c r="A287" s="73"/>
      <c r="B287" s="74"/>
      <c r="C287" s="74"/>
      <c r="D287" s="74"/>
      <c r="E287" s="83"/>
      <c r="F287" s="74"/>
    </row>
    <row r="288" spans="1:6" x14ac:dyDescent="0.25">
      <c r="A288" s="73"/>
      <c r="B288" s="74"/>
      <c r="C288" s="74"/>
      <c r="D288" s="74"/>
      <c r="E288" s="83"/>
      <c r="F288" s="74"/>
    </row>
    <row r="289" spans="1:6" x14ac:dyDescent="0.25">
      <c r="A289" s="73"/>
      <c r="B289" s="74"/>
      <c r="C289" s="74"/>
      <c r="D289" s="74"/>
      <c r="E289" s="83"/>
      <c r="F289" s="74"/>
    </row>
    <row r="290" spans="1:6" x14ac:dyDescent="0.25">
      <c r="A290" s="73"/>
      <c r="B290" s="74"/>
      <c r="C290" s="74"/>
      <c r="D290" s="74"/>
      <c r="E290" s="83"/>
      <c r="F290" s="74"/>
    </row>
    <row r="291" spans="1:6" x14ac:dyDescent="0.25">
      <c r="A291" s="73"/>
      <c r="B291" s="74"/>
      <c r="C291" s="74"/>
      <c r="D291" s="74"/>
      <c r="E291" s="83"/>
      <c r="F291" s="74"/>
    </row>
    <row r="292" spans="1:6" x14ac:dyDescent="0.25">
      <c r="A292" s="73"/>
      <c r="B292" s="74"/>
      <c r="C292" s="74"/>
      <c r="D292" s="74"/>
      <c r="E292" s="83"/>
      <c r="F292" s="74"/>
    </row>
    <row r="293" spans="1:6" x14ac:dyDescent="0.25">
      <c r="A293" s="73"/>
      <c r="B293" s="74"/>
      <c r="C293" s="74"/>
      <c r="D293" s="74"/>
      <c r="E293" s="83"/>
      <c r="F293" s="74"/>
    </row>
    <row r="294" spans="1:6" x14ac:dyDescent="0.25">
      <c r="A294" s="73"/>
      <c r="B294" s="74"/>
      <c r="C294" s="74"/>
      <c r="D294" s="74"/>
      <c r="E294" s="83"/>
      <c r="F294" s="74"/>
    </row>
    <row r="295" spans="1:6" x14ac:dyDescent="0.25">
      <c r="A295" s="73"/>
      <c r="B295" s="74"/>
      <c r="C295" s="74"/>
      <c r="D295" s="74"/>
      <c r="E295" s="83"/>
      <c r="F295" s="74"/>
    </row>
    <row r="296" spans="1:6" x14ac:dyDescent="0.25">
      <c r="A296" s="73"/>
      <c r="B296" s="74"/>
      <c r="C296" s="74"/>
      <c r="D296" s="74"/>
      <c r="E296" s="83"/>
      <c r="F296" s="74"/>
    </row>
    <row r="297" spans="1:6" x14ac:dyDescent="0.25">
      <c r="A297" s="73"/>
      <c r="B297" s="74"/>
      <c r="C297" s="74"/>
      <c r="D297" s="74"/>
      <c r="E297" s="83"/>
      <c r="F297" s="74"/>
    </row>
    <row r="298" spans="1:6" x14ac:dyDescent="0.25">
      <c r="A298" s="73"/>
      <c r="B298" s="74"/>
      <c r="C298" s="74"/>
      <c r="D298" s="74"/>
      <c r="E298" s="83"/>
      <c r="F298" s="74"/>
    </row>
    <row r="299" spans="1:6" x14ac:dyDescent="0.25">
      <c r="A299" s="73"/>
      <c r="B299" s="74"/>
      <c r="C299" s="74"/>
      <c r="D299" s="74"/>
      <c r="E299" s="83"/>
      <c r="F299" s="74"/>
    </row>
    <row r="300" spans="1:6" x14ac:dyDescent="0.25">
      <c r="A300" s="73"/>
      <c r="B300" s="74"/>
      <c r="C300" s="74"/>
      <c r="D300" s="74"/>
      <c r="E300" s="83"/>
      <c r="F300" s="74"/>
    </row>
    <row r="301" spans="1:6" x14ac:dyDescent="0.25">
      <c r="A301" s="73"/>
      <c r="B301" s="74"/>
      <c r="C301" s="74"/>
      <c r="D301" s="74"/>
      <c r="E301" s="83"/>
      <c r="F301" s="74"/>
    </row>
    <row r="302" spans="1:6" x14ac:dyDescent="0.25">
      <c r="A302" s="73"/>
      <c r="B302" s="74"/>
      <c r="C302" s="74"/>
      <c r="D302" s="74"/>
      <c r="E302" s="83"/>
      <c r="F302" s="74"/>
    </row>
    <row r="303" spans="1:6" x14ac:dyDescent="0.25">
      <c r="A303" s="73"/>
      <c r="B303" s="74"/>
      <c r="C303" s="74"/>
      <c r="D303" s="74"/>
      <c r="E303" s="83"/>
      <c r="F303" s="74"/>
    </row>
    <row r="304" spans="1:6" x14ac:dyDescent="0.25">
      <c r="A304" s="73"/>
      <c r="B304" s="74"/>
      <c r="C304" s="74"/>
      <c r="D304" s="74"/>
      <c r="E304" s="83"/>
      <c r="F304" s="74"/>
    </row>
    <row r="305" spans="1:6" x14ac:dyDescent="0.25">
      <c r="A305" s="73"/>
      <c r="B305" s="74"/>
      <c r="C305" s="74"/>
      <c r="D305" s="74"/>
      <c r="E305" s="83"/>
      <c r="F305" s="74"/>
    </row>
    <row r="306" spans="1:6" x14ac:dyDescent="0.25">
      <c r="A306" s="73"/>
      <c r="B306" s="74"/>
      <c r="C306" s="74"/>
      <c r="D306" s="74"/>
      <c r="E306" s="83"/>
      <c r="F306" s="74"/>
    </row>
    <row r="307" spans="1:6" x14ac:dyDescent="0.25">
      <c r="A307" s="73"/>
      <c r="B307" s="74"/>
      <c r="C307" s="74"/>
      <c r="D307" s="74"/>
      <c r="E307" s="83"/>
      <c r="F307" s="74"/>
    </row>
    <row r="308" spans="1:6" x14ac:dyDescent="0.25">
      <c r="A308" s="73"/>
      <c r="B308" s="74"/>
      <c r="C308" s="74"/>
      <c r="D308" s="74"/>
      <c r="E308" s="83"/>
      <c r="F308" s="74"/>
    </row>
    <row r="309" spans="1:6" x14ac:dyDescent="0.25">
      <c r="A309" s="73"/>
      <c r="B309" s="74"/>
      <c r="C309" s="74"/>
      <c r="D309" s="74"/>
      <c r="E309" s="83"/>
      <c r="F309" s="74"/>
    </row>
    <row r="310" spans="1:6" x14ac:dyDescent="0.25">
      <c r="A310" s="73"/>
      <c r="B310" s="74"/>
      <c r="C310" s="74"/>
      <c r="D310" s="74"/>
      <c r="E310" s="83"/>
      <c r="F310" s="74"/>
    </row>
    <row r="311" spans="1:6" x14ac:dyDescent="0.25">
      <c r="A311" s="73"/>
      <c r="B311" s="74"/>
      <c r="C311" s="74"/>
      <c r="D311" s="74"/>
      <c r="E311" s="83"/>
      <c r="F311" s="74"/>
    </row>
    <row r="312" spans="1:6" x14ac:dyDescent="0.25">
      <c r="A312" s="73"/>
      <c r="B312" s="74"/>
      <c r="C312" s="74"/>
      <c r="D312" s="74"/>
      <c r="E312" s="83"/>
      <c r="F312" s="74"/>
    </row>
    <row r="313" spans="1:6" x14ac:dyDescent="0.25">
      <c r="A313" s="73"/>
      <c r="B313" s="74"/>
      <c r="C313" s="74"/>
      <c r="D313" s="74"/>
      <c r="E313" s="83"/>
      <c r="F313" s="74"/>
    </row>
    <row r="314" spans="1:6" x14ac:dyDescent="0.25">
      <c r="A314" s="73"/>
      <c r="B314" s="74"/>
      <c r="C314" s="74"/>
      <c r="D314" s="74"/>
      <c r="E314" s="83"/>
      <c r="F314" s="74"/>
    </row>
    <row r="315" spans="1:6" x14ac:dyDescent="0.25">
      <c r="A315" s="73"/>
      <c r="B315" s="74"/>
      <c r="C315" s="74"/>
      <c r="D315" s="74"/>
      <c r="E315" s="83"/>
      <c r="F315" s="74"/>
    </row>
    <row r="316" spans="1:6" x14ac:dyDescent="0.25">
      <c r="A316" s="73"/>
      <c r="B316" s="74"/>
      <c r="C316" s="74"/>
      <c r="D316" s="74"/>
      <c r="E316" s="83"/>
      <c r="F316" s="74"/>
    </row>
    <row r="317" spans="1:6" x14ac:dyDescent="0.25">
      <c r="A317" s="73"/>
      <c r="B317" s="74"/>
      <c r="C317" s="74"/>
      <c r="D317" s="74"/>
      <c r="E317" s="83"/>
      <c r="F317" s="74"/>
    </row>
    <row r="318" spans="1:6" x14ac:dyDescent="0.25">
      <c r="A318" s="73"/>
      <c r="B318" s="74"/>
      <c r="C318" s="74"/>
      <c r="D318" s="74"/>
      <c r="E318" s="83"/>
      <c r="F318" s="74"/>
    </row>
    <row r="319" spans="1:6" x14ac:dyDescent="0.25">
      <c r="A319" s="73"/>
      <c r="B319" s="74"/>
      <c r="C319" s="74"/>
      <c r="D319" s="74"/>
      <c r="E319" s="83"/>
      <c r="F319" s="74"/>
    </row>
    <row r="320" spans="1:6" x14ac:dyDescent="0.25">
      <c r="A320" s="73"/>
      <c r="B320" s="74"/>
      <c r="C320" s="74"/>
      <c r="D320" s="74"/>
      <c r="E320" s="83"/>
      <c r="F320" s="74"/>
    </row>
    <row r="321" spans="1:6" x14ac:dyDescent="0.25">
      <c r="A321" s="73"/>
      <c r="B321" s="74"/>
      <c r="C321" s="74"/>
      <c r="D321" s="74"/>
      <c r="E321" s="83"/>
      <c r="F321" s="74"/>
    </row>
    <row r="322" spans="1:6" x14ac:dyDescent="0.25">
      <c r="A322" s="73"/>
      <c r="B322" s="74"/>
      <c r="C322" s="74"/>
      <c r="D322" s="74"/>
      <c r="E322" s="83"/>
      <c r="F322" s="74"/>
    </row>
    <row r="323" spans="1:6" x14ac:dyDescent="0.25">
      <c r="A323" s="73"/>
      <c r="B323" s="74"/>
      <c r="C323" s="74"/>
      <c r="D323" s="74"/>
      <c r="E323" s="83"/>
      <c r="F323" s="74"/>
    </row>
    <row r="324" spans="1:6" x14ac:dyDescent="0.25">
      <c r="A324" s="73"/>
      <c r="B324" s="74"/>
      <c r="C324" s="74"/>
      <c r="D324" s="74"/>
      <c r="E324" s="83"/>
      <c r="F324" s="74"/>
    </row>
    <row r="325" spans="1:6" x14ac:dyDescent="0.25">
      <c r="A325" s="73"/>
      <c r="B325" s="74"/>
      <c r="C325" s="74"/>
      <c r="D325" s="74"/>
      <c r="E325" s="83"/>
      <c r="F325" s="74"/>
    </row>
    <row r="326" spans="1:6" x14ac:dyDescent="0.25">
      <c r="A326" s="73"/>
      <c r="B326" s="74"/>
      <c r="C326" s="74"/>
      <c r="D326" s="74"/>
      <c r="E326" s="83"/>
      <c r="F326" s="74"/>
    </row>
    <row r="327" spans="1:6" x14ac:dyDescent="0.25">
      <c r="A327" s="73"/>
      <c r="B327" s="74"/>
      <c r="C327" s="74"/>
      <c r="D327" s="74"/>
      <c r="E327" s="83"/>
      <c r="F327" s="74"/>
    </row>
    <row r="328" spans="1:6" x14ac:dyDescent="0.25">
      <c r="A328" s="73"/>
      <c r="B328" s="74"/>
      <c r="C328" s="74"/>
      <c r="D328" s="74"/>
      <c r="E328" s="83"/>
      <c r="F328" s="74"/>
    </row>
    <row r="329" spans="1:6" x14ac:dyDescent="0.25">
      <c r="A329" s="73"/>
      <c r="B329" s="74"/>
      <c r="C329" s="74"/>
      <c r="D329" s="74"/>
      <c r="E329" s="83"/>
      <c r="F329" s="74"/>
    </row>
    <row r="330" spans="1:6" x14ac:dyDescent="0.25">
      <c r="A330" s="73"/>
      <c r="B330" s="74"/>
      <c r="C330" s="74"/>
      <c r="D330" s="74"/>
      <c r="E330" s="83"/>
      <c r="F330" s="74"/>
    </row>
    <row r="331" spans="1:6" x14ac:dyDescent="0.25">
      <c r="A331" s="73"/>
      <c r="B331" s="74"/>
      <c r="C331" s="74"/>
      <c r="D331" s="74"/>
      <c r="E331" s="83"/>
      <c r="F331" s="74"/>
    </row>
    <row r="332" spans="1:6" x14ac:dyDescent="0.25">
      <c r="A332" s="73"/>
      <c r="B332" s="74"/>
      <c r="C332" s="74"/>
      <c r="D332" s="74"/>
      <c r="E332" s="83"/>
      <c r="F332" s="74"/>
    </row>
    <row r="333" spans="1:6" x14ac:dyDescent="0.25">
      <c r="A333" s="73"/>
      <c r="B333" s="74"/>
      <c r="C333" s="74"/>
      <c r="D333" s="74"/>
      <c r="E333" s="83"/>
      <c r="F333" s="74"/>
    </row>
    <row r="334" spans="1:6" x14ac:dyDescent="0.25">
      <c r="A334" s="73"/>
      <c r="B334" s="74"/>
      <c r="C334" s="74"/>
      <c r="D334" s="74"/>
      <c r="E334" s="83"/>
      <c r="F334" s="74"/>
    </row>
    <row r="335" spans="1:6" x14ac:dyDescent="0.25">
      <c r="A335" s="73"/>
      <c r="B335" s="74"/>
      <c r="C335" s="74"/>
      <c r="D335" s="74"/>
      <c r="E335" s="83"/>
      <c r="F335" s="74"/>
    </row>
    <row r="336" spans="1:6" x14ac:dyDescent="0.25">
      <c r="A336" s="73"/>
      <c r="B336" s="74"/>
      <c r="C336" s="74"/>
      <c r="D336" s="74"/>
      <c r="E336" s="83"/>
      <c r="F336" s="74"/>
    </row>
    <row r="337" spans="1:6" x14ac:dyDescent="0.25">
      <c r="A337" s="73"/>
      <c r="B337" s="74"/>
      <c r="C337" s="74"/>
      <c r="D337" s="74"/>
      <c r="E337" s="83"/>
      <c r="F337" s="74"/>
    </row>
    <row r="338" spans="1:6" x14ac:dyDescent="0.25">
      <c r="A338" s="73"/>
      <c r="B338" s="74"/>
      <c r="C338" s="74"/>
      <c r="D338" s="74"/>
      <c r="E338" s="83"/>
      <c r="F338" s="74"/>
    </row>
    <row r="339" spans="1:6" x14ac:dyDescent="0.25">
      <c r="A339" s="73"/>
      <c r="B339" s="74"/>
      <c r="C339" s="74"/>
      <c r="D339" s="74"/>
      <c r="E339" s="83"/>
      <c r="F339" s="74"/>
    </row>
    <row r="340" spans="1:6" x14ac:dyDescent="0.25">
      <c r="A340" s="73"/>
      <c r="B340" s="74"/>
      <c r="C340" s="74"/>
      <c r="D340" s="74"/>
      <c r="E340" s="83"/>
      <c r="F340" s="74"/>
    </row>
    <row r="341" spans="1:6" x14ac:dyDescent="0.25">
      <c r="A341" s="73"/>
      <c r="B341" s="74"/>
      <c r="C341" s="74"/>
      <c r="D341" s="74"/>
      <c r="E341" s="83"/>
      <c r="F341" s="74"/>
    </row>
    <row r="342" spans="1:6" x14ac:dyDescent="0.25">
      <c r="A342" s="73"/>
      <c r="B342" s="74"/>
      <c r="C342" s="74"/>
      <c r="D342" s="74"/>
      <c r="E342" s="83"/>
      <c r="F342" s="74"/>
    </row>
    <row r="343" spans="1:6" x14ac:dyDescent="0.25">
      <c r="A343" s="73"/>
      <c r="B343" s="74"/>
      <c r="C343" s="74"/>
      <c r="D343" s="74"/>
      <c r="E343" s="83"/>
      <c r="F343" s="74"/>
    </row>
    <row r="344" spans="1:6" x14ac:dyDescent="0.25">
      <c r="A344" s="73"/>
      <c r="B344" s="74"/>
      <c r="C344" s="74"/>
      <c r="D344" s="74"/>
      <c r="E344" s="83"/>
      <c r="F344" s="74"/>
    </row>
    <row r="345" spans="1:6" x14ac:dyDescent="0.25">
      <c r="A345" s="73"/>
      <c r="B345" s="74"/>
      <c r="C345" s="74"/>
      <c r="D345" s="74"/>
      <c r="E345" s="83"/>
      <c r="F345" s="74"/>
    </row>
    <row r="346" spans="1:6" x14ac:dyDescent="0.25">
      <c r="A346" s="73"/>
      <c r="B346" s="74"/>
      <c r="C346" s="74"/>
      <c r="D346" s="74"/>
      <c r="E346" s="83"/>
      <c r="F346" s="74"/>
    </row>
    <row r="347" spans="1:6" x14ac:dyDescent="0.25">
      <c r="A347" s="73"/>
      <c r="B347" s="74"/>
      <c r="C347" s="74"/>
      <c r="D347" s="74"/>
      <c r="E347" s="83"/>
      <c r="F347" s="74"/>
    </row>
    <row r="348" spans="1:6" x14ac:dyDescent="0.25">
      <c r="A348" s="73"/>
      <c r="B348" s="74"/>
      <c r="C348" s="74"/>
      <c r="D348" s="74"/>
      <c r="E348" s="83"/>
      <c r="F348" s="74"/>
    </row>
    <row r="349" spans="1:6" x14ac:dyDescent="0.25">
      <c r="A349" s="73"/>
      <c r="B349" s="74"/>
      <c r="C349" s="74"/>
      <c r="D349" s="74"/>
      <c r="E349" s="83"/>
      <c r="F349" s="74"/>
    </row>
    <row r="350" spans="1:6" x14ac:dyDescent="0.25">
      <c r="A350" s="73"/>
      <c r="B350" s="74"/>
      <c r="C350" s="74"/>
      <c r="D350" s="74"/>
      <c r="E350" s="83"/>
      <c r="F350" s="74"/>
    </row>
    <row r="351" spans="1:6" x14ac:dyDescent="0.25">
      <c r="A351" s="73"/>
      <c r="B351" s="74"/>
      <c r="C351" s="74"/>
      <c r="D351" s="74"/>
      <c r="E351" s="83"/>
      <c r="F351" s="74"/>
    </row>
    <row r="352" spans="1:6" x14ac:dyDescent="0.25">
      <c r="A352" s="73"/>
      <c r="B352" s="74"/>
      <c r="C352" s="74"/>
      <c r="D352" s="74"/>
      <c r="E352" s="83"/>
      <c r="F352" s="74"/>
    </row>
    <row r="353" spans="1:6" x14ac:dyDescent="0.25">
      <c r="A353" s="73"/>
      <c r="B353" s="74"/>
      <c r="C353" s="74"/>
      <c r="D353" s="74"/>
      <c r="E353" s="83"/>
      <c r="F353" s="74"/>
    </row>
    <row r="354" spans="1:6" x14ac:dyDescent="0.25">
      <c r="A354" s="73"/>
      <c r="B354" s="74"/>
      <c r="C354" s="74"/>
      <c r="D354" s="74"/>
      <c r="E354" s="83"/>
      <c r="F354" s="74"/>
    </row>
    <row r="355" spans="1:6" x14ac:dyDescent="0.25">
      <c r="A355" s="73"/>
      <c r="B355" s="74"/>
      <c r="C355" s="74"/>
      <c r="D355" s="74"/>
      <c r="E355" s="83"/>
      <c r="F355" s="74"/>
    </row>
    <row r="356" spans="1:6" x14ac:dyDescent="0.25">
      <c r="A356" s="73"/>
      <c r="B356" s="74"/>
      <c r="C356" s="74"/>
      <c r="D356" s="74"/>
      <c r="E356" s="83"/>
      <c r="F356" s="74"/>
    </row>
    <row r="357" spans="1:6" x14ac:dyDescent="0.25">
      <c r="A357" s="73"/>
      <c r="B357" s="74"/>
      <c r="C357" s="74"/>
      <c r="D357" s="74"/>
      <c r="E357" s="83"/>
      <c r="F357" s="74"/>
    </row>
    <row r="358" spans="1:6" x14ac:dyDescent="0.25">
      <c r="A358" s="73"/>
      <c r="B358" s="74"/>
      <c r="C358" s="74"/>
      <c r="D358" s="74"/>
      <c r="E358" s="83"/>
      <c r="F358" s="74"/>
    </row>
    <row r="359" spans="1:6" x14ac:dyDescent="0.25">
      <c r="A359" s="73"/>
      <c r="B359" s="74"/>
      <c r="C359" s="74"/>
      <c r="D359" s="74"/>
      <c r="E359" s="83"/>
      <c r="F359" s="74"/>
    </row>
    <row r="360" spans="1:6" x14ac:dyDescent="0.25">
      <c r="A360" s="73"/>
      <c r="B360" s="74"/>
      <c r="C360" s="74"/>
      <c r="D360" s="74"/>
      <c r="E360" s="83"/>
      <c r="F360" s="74"/>
    </row>
    <row r="361" spans="1:6" x14ac:dyDescent="0.25">
      <c r="A361" s="73"/>
      <c r="B361" s="74"/>
      <c r="C361" s="74"/>
      <c r="D361" s="74"/>
      <c r="E361" s="83"/>
      <c r="F361" s="74"/>
    </row>
    <row r="362" spans="1:6" x14ac:dyDescent="0.25">
      <c r="A362" s="73"/>
      <c r="B362" s="74"/>
      <c r="C362" s="74"/>
      <c r="D362" s="74"/>
      <c r="E362" s="83"/>
      <c r="F362" s="74"/>
    </row>
    <row r="363" spans="1:6" x14ac:dyDescent="0.25">
      <c r="A363" s="73"/>
      <c r="B363" s="74"/>
      <c r="C363" s="74"/>
      <c r="D363" s="74"/>
      <c r="E363" s="83"/>
      <c r="F363" s="74"/>
    </row>
    <row r="364" spans="1:6" x14ac:dyDescent="0.25">
      <c r="A364" s="73"/>
      <c r="B364" s="74"/>
      <c r="C364" s="74"/>
      <c r="D364" s="74"/>
      <c r="E364" s="83"/>
      <c r="F364" s="74"/>
    </row>
    <row r="365" spans="1:6" x14ac:dyDescent="0.25">
      <c r="A365" s="73"/>
      <c r="B365" s="74"/>
      <c r="C365" s="74"/>
      <c r="D365" s="74"/>
      <c r="E365" s="83"/>
      <c r="F365" s="74"/>
    </row>
    <row r="366" spans="1:6" x14ac:dyDescent="0.25">
      <c r="A366" s="73"/>
      <c r="B366" s="74"/>
      <c r="C366" s="74"/>
      <c r="D366" s="74"/>
      <c r="E366" s="83"/>
      <c r="F366" s="74"/>
    </row>
    <row r="367" spans="1:6" x14ac:dyDescent="0.25">
      <c r="A367" s="73"/>
      <c r="B367" s="74"/>
      <c r="C367" s="74"/>
      <c r="D367" s="74"/>
      <c r="E367" s="83"/>
      <c r="F367" s="74"/>
    </row>
    <row r="368" spans="1:6" x14ac:dyDescent="0.25">
      <c r="A368" s="73"/>
      <c r="B368" s="74"/>
      <c r="C368" s="74"/>
      <c r="D368" s="74"/>
      <c r="E368" s="83"/>
      <c r="F368" s="74"/>
    </row>
    <row r="369" spans="1:6" x14ac:dyDescent="0.25">
      <c r="A369" s="73"/>
      <c r="B369" s="74"/>
      <c r="C369" s="74"/>
      <c r="D369" s="74"/>
      <c r="E369" s="83"/>
      <c r="F369" s="74"/>
    </row>
    <row r="370" spans="1:6" x14ac:dyDescent="0.25">
      <c r="A370" s="73"/>
      <c r="B370" s="74"/>
      <c r="C370" s="74"/>
      <c r="D370" s="74"/>
      <c r="E370" s="83"/>
      <c r="F370" s="74"/>
    </row>
    <row r="371" spans="1:6" x14ac:dyDescent="0.25">
      <c r="A371" s="73"/>
      <c r="B371" s="74"/>
      <c r="C371" s="74"/>
      <c r="D371" s="74"/>
      <c r="E371" s="83"/>
      <c r="F371" s="74"/>
    </row>
    <row r="372" spans="1:6" x14ac:dyDescent="0.25">
      <c r="A372" s="73"/>
      <c r="B372" s="74"/>
      <c r="C372" s="74"/>
      <c r="D372" s="74"/>
      <c r="E372" s="83"/>
      <c r="F372" s="74"/>
    </row>
    <row r="373" spans="1:6" x14ac:dyDescent="0.25">
      <c r="A373" s="73"/>
      <c r="B373" s="74"/>
      <c r="C373" s="74"/>
      <c r="D373" s="74"/>
      <c r="E373" s="83"/>
      <c r="F373" s="74"/>
    </row>
    <row r="374" spans="1:6" x14ac:dyDescent="0.25">
      <c r="A374" s="73"/>
      <c r="B374" s="74"/>
      <c r="C374" s="74"/>
      <c r="D374" s="74"/>
      <c r="E374" s="83"/>
      <c r="F374" s="74"/>
    </row>
    <row r="375" spans="1:6" x14ac:dyDescent="0.25">
      <c r="A375" s="73"/>
      <c r="B375" s="74"/>
      <c r="C375" s="74"/>
      <c r="D375" s="74"/>
      <c r="E375" s="83"/>
      <c r="F375" s="74"/>
    </row>
    <row r="376" spans="1:6" x14ac:dyDescent="0.25">
      <c r="A376" s="73"/>
      <c r="B376" s="74"/>
      <c r="C376" s="74"/>
      <c r="D376" s="74"/>
      <c r="E376" s="83"/>
      <c r="F376" s="74"/>
    </row>
    <row r="377" spans="1:6" x14ac:dyDescent="0.25">
      <c r="A377" s="73"/>
      <c r="B377" s="74"/>
      <c r="C377" s="74"/>
      <c r="D377" s="74"/>
      <c r="E377" s="83"/>
      <c r="F377" s="74"/>
    </row>
    <row r="378" spans="1:6" x14ac:dyDescent="0.25">
      <c r="A378" s="73"/>
      <c r="B378" s="74"/>
      <c r="C378" s="74"/>
      <c r="D378" s="74"/>
      <c r="E378" s="83"/>
      <c r="F378" s="74"/>
    </row>
    <row r="379" spans="1:6" x14ac:dyDescent="0.25">
      <c r="A379" s="73"/>
      <c r="B379" s="74"/>
      <c r="C379" s="74"/>
      <c r="D379" s="74"/>
      <c r="E379" s="83"/>
      <c r="F379" s="74"/>
    </row>
    <row r="380" spans="1:6" x14ac:dyDescent="0.25">
      <c r="A380" s="73"/>
      <c r="B380" s="74"/>
      <c r="C380" s="74"/>
      <c r="D380" s="74"/>
      <c r="E380" s="83"/>
      <c r="F380" s="74"/>
    </row>
    <row r="381" spans="1:6" x14ac:dyDescent="0.25">
      <c r="A381" s="73"/>
      <c r="B381" s="74"/>
      <c r="C381" s="74"/>
      <c r="D381" s="74"/>
      <c r="E381" s="83"/>
      <c r="F381" s="74"/>
    </row>
    <row r="382" spans="1:6" x14ac:dyDescent="0.25">
      <c r="A382" s="73"/>
      <c r="B382" s="74"/>
      <c r="C382" s="74"/>
      <c r="D382" s="74"/>
      <c r="E382" s="83"/>
      <c r="F382" s="74"/>
    </row>
    <row r="383" spans="1:6" x14ac:dyDescent="0.25">
      <c r="A383" s="73"/>
      <c r="B383" s="74"/>
      <c r="C383" s="74"/>
      <c r="D383" s="74"/>
      <c r="E383" s="83"/>
      <c r="F383" s="74"/>
    </row>
    <row r="384" spans="1:6" x14ac:dyDescent="0.25">
      <c r="A384" s="73"/>
      <c r="B384" s="74"/>
      <c r="C384" s="74"/>
      <c r="D384" s="74"/>
      <c r="E384" s="83"/>
      <c r="F384" s="74"/>
    </row>
    <row r="385" spans="1:6" x14ac:dyDescent="0.25">
      <c r="A385" s="73"/>
      <c r="B385" s="74"/>
      <c r="C385" s="74"/>
      <c r="D385" s="74"/>
      <c r="E385" s="83"/>
      <c r="F385" s="74"/>
    </row>
    <row r="386" spans="1:6" x14ac:dyDescent="0.25">
      <c r="A386" s="73"/>
      <c r="B386" s="74"/>
      <c r="C386" s="74"/>
      <c r="D386" s="74"/>
      <c r="E386" s="83"/>
      <c r="F386" s="74"/>
    </row>
    <row r="387" spans="1:6" x14ac:dyDescent="0.25">
      <c r="A387" s="73"/>
      <c r="B387" s="74"/>
      <c r="C387" s="74"/>
      <c r="D387" s="74"/>
      <c r="E387" s="83"/>
      <c r="F387" s="74"/>
    </row>
    <row r="388" spans="1:6" x14ac:dyDescent="0.25">
      <c r="A388" s="73"/>
      <c r="B388" s="74"/>
      <c r="C388" s="74"/>
      <c r="D388" s="74"/>
      <c r="E388" s="83"/>
      <c r="F388" s="74"/>
    </row>
    <row r="389" spans="1:6" x14ac:dyDescent="0.25">
      <c r="A389" s="73"/>
      <c r="B389" s="74"/>
      <c r="C389" s="74"/>
      <c r="D389" s="74"/>
      <c r="E389" s="83"/>
      <c r="F389" s="74"/>
    </row>
    <row r="390" spans="1:6" x14ac:dyDescent="0.25">
      <c r="A390" s="73"/>
      <c r="B390" s="74"/>
      <c r="C390" s="74"/>
      <c r="D390" s="74"/>
      <c r="E390" s="83"/>
      <c r="F390" s="74"/>
    </row>
    <row r="391" spans="1:6" x14ac:dyDescent="0.25">
      <c r="A391" s="73"/>
      <c r="B391" s="74"/>
      <c r="C391" s="74"/>
      <c r="D391" s="74"/>
      <c r="E391" s="83"/>
      <c r="F391" s="74"/>
    </row>
    <row r="392" spans="1:6" x14ac:dyDescent="0.25">
      <c r="A392" s="73"/>
      <c r="B392" s="74"/>
      <c r="C392" s="74"/>
      <c r="D392" s="74"/>
      <c r="E392" s="83"/>
      <c r="F392" s="74"/>
    </row>
    <row r="393" spans="1:6" x14ac:dyDescent="0.25">
      <c r="A393" s="73"/>
      <c r="B393" s="74"/>
      <c r="C393" s="74"/>
      <c r="D393" s="74"/>
      <c r="E393" s="83"/>
      <c r="F393" s="74"/>
    </row>
    <row r="394" spans="1:6" x14ac:dyDescent="0.25">
      <c r="A394" s="73"/>
      <c r="B394" s="74"/>
      <c r="C394" s="74"/>
      <c r="D394" s="74"/>
      <c r="E394" s="83"/>
      <c r="F394" s="74"/>
    </row>
    <row r="395" spans="1:6" x14ac:dyDescent="0.25">
      <c r="A395" s="73"/>
      <c r="B395" s="74"/>
      <c r="C395" s="74"/>
      <c r="D395" s="74"/>
      <c r="E395" s="83"/>
      <c r="F395" s="74"/>
    </row>
    <row r="396" spans="1:6" x14ac:dyDescent="0.25">
      <c r="A396" s="73"/>
      <c r="B396" s="74"/>
      <c r="C396" s="74"/>
      <c r="D396" s="74"/>
      <c r="E396" s="83"/>
      <c r="F396" s="74"/>
    </row>
    <row r="397" spans="1:6" x14ac:dyDescent="0.25">
      <c r="A397" s="73"/>
      <c r="B397" s="74"/>
      <c r="C397" s="74"/>
      <c r="D397" s="74"/>
      <c r="E397" s="83"/>
      <c r="F397" s="74"/>
    </row>
    <row r="398" spans="1:6" x14ac:dyDescent="0.25">
      <c r="A398" s="73"/>
      <c r="B398" s="74"/>
      <c r="C398" s="74"/>
      <c r="D398" s="74"/>
      <c r="E398" s="83"/>
      <c r="F398" s="74"/>
    </row>
    <row r="399" spans="1:6" x14ac:dyDescent="0.25">
      <c r="A399" s="73"/>
      <c r="B399" s="74"/>
      <c r="C399" s="74"/>
      <c r="D399" s="74"/>
      <c r="E399" s="83"/>
      <c r="F399" s="74"/>
    </row>
    <row r="400" spans="1:6" x14ac:dyDescent="0.25">
      <c r="A400" s="73"/>
      <c r="B400" s="74"/>
      <c r="C400" s="74"/>
      <c r="D400" s="74"/>
      <c r="E400" s="83"/>
      <c r="F400" s="74"/>
    </row>
    <row r="401" spans="1:6" x14ac:dyDescent="0.25">
      <c r="A401" s="73"/>
      <c r="B401" s="74"/>
      <c r="C401" s="74"/>
      <c r="D401" s="74"/>
      <c r="E401" s="83"/>
      <c r="F401" s="74"/>
    </row>
    <row r="402" spans="1:6" x14ac:dyDescent="0.25">
      <c r="A402" s="73"/>
      <c r="B402" s="74"/>
      <c r="C402" s="74"/>
      <c r="D402" s="74"/>
      <c r="E402" s="83"/>
      <c r="F402" s="74"/>
    </row>
    <row r="403" spans="1:6" x14ac:dyDescent="0.25">
      <c r="A403" s="73"/>
      <c r="B403" s="74"/>
      <c r="C403" s="74"/>
      <c r="D403" s="74"/>
      <c r="E403" s="83"/>
      <c r="F403" s="74"/>
    </row>
    <row r="404" spans="1:6" x14ac:dyDescent="0.25">
      <c r="A404" s="73"/>
      <c r="B404" s="74"/>
      <c r="C404" s="74"/>
      <c r="D404" s="74"/>
      <c r="E404" s="83"/>
      <c r="F404" s="74"/>
    </row>
    <row r="405" spans="1:6" x14ac:dyDescent="0.25">
      <c r="A405" s="73"/>
      <c r="B405" s="74"/>
      <c r="C405" s="74"/>
      <c r="D405" s="74"/>
      <c r="E405" s="83"/>
      <c r="F405" s="74"/>
    </row>
    <row r="406" spans="1:6" x14ac:dyDescent="0.25">
      <c r="A406" s="73"/>
      <c r="B406" s="74"/>
      <c r="C406" s="74"/>
      <c r="D406" s="74"/>
      <c r="E406" s="83"/>
      <c r="F406" s="74"/>
    </row>
    <row r="407" spans="1:6" x14ac:dyDescent="0.25">
      <c r="A407" s="73"/>
      <c r="B407" s="74"/>
      <c r="C407" s="74"/>
      <c r="D407" s="74"/>
      <c r="E407" s="83"/>
      <c r="F407" s="74"/>
    </row>
    <row r="408" spans="1:6" x14ac:dyDescent="0.25">
      <c r="A408" s="73"/>
      <c r="B408" s="74"/>
      <c r="C408" s="74"/>
      <c r="D408" s="74"/>
      <c r="E408" s="83"/>
      <c r="F408" s="74"/>
    </row>
    <row r="409" spans="1:6" x14ac:dyDescent="0.25">
      <c r="A409" s="73"/>
      <c r="B409" s="74"/>
      <c r="C409" s="74"/>
      <c r="D409" s="74"/>
      <c r="E409" s="83"/>
      <c r="F409" s="74"/>
    </row>
    <row r="410" spans="1:6" x14ac:dyDescent="0.25">
      <c r="A410" s="73"/>
      <c r="B410" s="74"/>
      <c r="C410" s="74"/>
      <c r="D410" s="74"/>
      <c r="E410" s="83"/>
      <c r="F410" s="74"/>
    </row>
    <row r="411" spans="1:6" x14ac:dyDescent="0.25">
      <c r="A411" s="73"/>
      <c r="B411" s="74"/>
      <c r="C411" s="74"/>
      <c r="D411" s="74"/>
      <c r="E411" s="83"/>
      <c r="F411" s="74"/>
    </row>
    <row r="412" spans="1:6" x14ac:dyDescent="0.25">
      <c r="A412" s="73"/>
      <c r="B412" s="74"/>
      <c r="C412" s="74"/>
      <c r="D412" s="74"/>
      <c r="E412" s="83"/>
      <c r="F412" s="74"/>
    </row>
    <row r="413" spans="1:6" x14ac:dyDescent="0.25">
      <c r="A413" s="73"/>
      <c r="B413" s="74"/>
      <c r="C413" s="74"/>
      <c r="D413" s="74"/>
      <c r="E413" s="83"/>
      <c r="F413" s="74"/>
    </row>
    <row r="414" spans="1:6" x14ac:dyDescent="0.25">
      <c r="A414" s="73"/>
      <c r="B414" s="74"/>
      <c r="C414" s="74"/>
      <c r="D414" s="74"/>
      <c r="E414" s="83"/>
      <c r="F414" s="74"/>
    </row>
    <row r="415" spans="1:6" x14ac:dyDescent="0.25">
      <c r="A415" s="73"/>
      <c r="B415" s="74"/>
      <c r="C415" s="74"/>
      <c r="D415" s="74"/>
      <c r="E415" s="83"/>
      <c r="F415" s="74"/>
    </row>
    <row r="416" spans="1:6" x14ac:dyDescent="0.25">
      <c r="A416" s="73"/>
      <c r="B416" s="74"/>
      <c r="C416" s="74"/>
      <c r="D416" s="74"/>
      <c r="E416" s="83"/>
      <c r="F416" s="74"/>
    </row>
    <row r="417" spans="1:6" x14ac:dyDescent="0.25">
      <c r="A417" s="73"/>
      <c r="B417" s="74"/>
      <c r="C417" s="74"/>
      <c r="D417" s="74"/>
      <c r="E417" s="83"/>
      <c r="F417" s="74"/>
    </row>
    <row r="418" spans="1:6" x14ac:dyDescent="0.25">
      <c r="A418" s="73"/>
      <c r="B418" s="74"/>
      <c r="C418" s="74"/>
      <c r="D418" s="74"/>
      <c r="E418" s="83"/>
      <c r="F418" s="74"/>
    </row>
    <row r="419" spans="1:6" x14ac:dyDescent="0.25">
      <c r="A419" s="73"/>
      <c r="B419" s="74"/>
      <c r="C419" s="74"/>
      <c r="D419" s="74"/>
      <c r="E419" s="83"/>
      <c r="F419" s="74"/>
    </row>
    <row r="420" spans="1:6" x14ac:dyDescent="0.25">
      <c r="A420" s="73"/>
      <c r="B420" s="74"/>
      <c r="C420" s="74"/>
      <c r="D420" s="74"/>
      <c r="E420" s="83"/>
      <c r="F420" s="74"/>
    </row>
    <row r="421" spans="1:6" x14ac:dyDescent="0.25">
      <c r="A421" s="73"/>
      <c r="B421" s="74"/>
      <c r="C421" s="74"/>
      <c r="D421" s="74"/>
      <c r="E421" s="83"/>
      <c r="F421" s="74"/>
    </row>
    <row r="422" spans="1:6" x14ac:dyDescent="0.25">
      <c r="A422" s="73"/>
      <c r="B422" s="74"/>
      <c r="C422" s="74"/>
      <c r="D422" s="74"/>
      <c r="E422" s="83"/>
      <c r="F422" s="74"/>
    </row>
    <row r="423" spans="1:6" x14ac:dyDescent="0.25">
      <c r="A423" s="73"/>
      <c r="B423" s="74"/>
      <c r="C423" s="74"/>
      <c r="D423" s="74"/>
      <c r="E423" s="83"/>
      <c r="F423" s="74"/>
    </row>
    <row r="424" spans="1:6" x14ac:dyDescent="0.25">
      <c r="A424" s="73"/>
      <c r="B424" s="74"/>
      <c r="C424" s="74"/>
      <c r="D424" s="74"/>
      <c r="E424" s="83"/>
      <c r="F424" s="74"/>
    </row>
    <row r="425" spans="1:6" x14ac:dyDescent="0.25">
      <c r="A425" s="73"/>
      <c r="B425" s="74"/>
      <c r="C425" s="74"/>
      <c r="D425" s="74"/>
      <c r="E425" s="83"/>
      <c r="F425" s="74"/>
    </row>
    <row r="426" spans="1:6" x14ac:dyDescent="0.25">
      <c r="A426" s="73"/>
      <c r="B426" s="74"/>
      <c r="C426" s="74"/>
      <c r="D426" s="74"/>
      <c r="E426" s="83"/>
      <c r="F426" s="74"/>
    </row>
    <row r="427" spans="1:6" x14ac:dyDescent="0.25">
      <c r="A427" s="73"/>
      <c r="B427" s="74"/>
      <c r="C427" s="74"/>
      <c r="D427" s="74"/>
      <c r="E427" s="83"/>
      <c r="F427" s="74"/>
    </row>
    <row r="428" spans="1:6" x14ac:dyDescent="0.25">
      <c r="A428" s="73"/>
      <c r="B428" s="74"/>
      <c r="C428" s="74"/>
      <c r="D428" s="74"/>
      <c r="E428" s="83"/>
      <c r="F428" s="74"/>
    </row>
    <row r="429" spans="1:6" x14ac:dyDescent="0.25">
      <c r="A429" s="73"/>
      <c r="B429" s="74"/>
      <c r="C429" s="74"/>
      <c r="D429" s="74"/>
      <c r="E429" s="83"/>
      <c r="F429" s="74"/>
    </row>
    <row r="430" spans="1:6" x14ac:dyDescent="0.25">
      <c r="A430" s="73"/>
      <c r="B430" s="74"/>
      <c r="C430" s="74"/>
      <c r="D430" s="74"/>
      <c r="E430" s="83"/>
      <c r="F430" s="74"/>
    </row>
    <row r="431" spans="1:6" x14ac:dyDescent="0.25">
      <c r="A431" s="73"/>
      <c r="B431" s="74"/>
      <c r="C431" s="74"/>
      <c r="D431" s="74"/>
      <c r="E431" s="83"/>
      <c r="F431" s="74"/>
    </row>
    <row r="432" spans="1:6" x14ac:dyDescent="0.25">
      <c r="A432" s="73"/>
      <c r="B432" s="74"/>
      <c r="C432" s="74"/>
      <c r="D432" s="74"/>
      <c r="E432" s="83"/>
      <c r="F432" s="74"/>
    </row>
    <row r="433" spans="1:6" x14ac:dyDescent="0.25">
      <c r="A433" s="73"/>
      <c r="B433" s="74"/>
      <c r="C433" s="74"/>
      <c r="D433" s="74"/>
      <c r="E433" s="83"/>
      <c r="F433" s="74"/>
    </row>
    <row r="434" spans="1:6" x14ac:dyDescent="0.25">
      <c r="A434" s="73"/>
      <c r="B434" s="74"/>
      <c r="C434" s="74"/>
      <c r="D434" s="74"/>
      <c r="E434" s="83"/>
      <c r="F434" s="74"/>
    </row>
    <row r="435" spans="1:6" x14ac:dyDescent="0.25">
      <c r="A435" s="73"/>
      <c r="B435" s="74"/>
      <c r="C435" s="74"/>
      <c r="D435" s="74"/>
      <c r="E435" s="83"/>
      <c r="F435" s="74"/>
    </row>
    <row r="436" spans="1:6" x14ac:dyDescent="0.25">
      <c r="A436" s="73"/>
      <c r="B436" s="74"/>
      <c r="C436" s="74"/>
      <c r="D436" s="74"/>
      <c r="E436" s="83"/>
      <c r="F436" s="74"/>
    </row>
    <row r="437" spans="1:6" x14ac:dyDescent="0.25">
      <c r="A437" s="73"/>
      <c r="B437" s="74"/>
      <c r="C437" s="74"/>
      <c r="D437" s="74"/>
      <c r="E437" s="83"/>
      <c r="F437" s="74"/>
    </row>
    <row r="438" spans="1:6" x14ac:dyDescent="0.25">
      <c r="A438" s="73"/>
      <c r="B438" s="74"/>
      <c r="C438" s="74"/>
      <c r="D438" s="74"/>
      <c r="E438" s="83"/>
      <c r="F438" s="74"/>
    </row>
    <row r="439" spans="1:6" x14ac:dyDescent="0.25">
      <c r="A439" s="73"/>
      <c r="B439" s="74"/>
      <c r="C439" s="74"/>
      <c r="D439" s="74"/>
      <c r="E439" s="83"/>
      <c r="F439" s="74"/>
    </row>
    <row r="440" spans="1:6" x14ac:dyDescent="0.25">
      <c r="A440" s="73"/>
      <c r="B440" s="74"/>
      <c r="C440" s="74"/>
      <c r="D440" s="74"/>
      <c r="E440" s="83"/>
      <c r="F440" s="74"/>
    </row>
    <row r="441" spans="1:6" x14ac:dyDescent="0.25">
      <c r="A441" s="73"/>
      <c r="B441" s="74"/>
      <c r="C441" s="74"/>
      <c r="D441" s="74"/>
      <c r="E441" s="83"/>
      <c r="F441" s="74"/>
    </row>
    <row r="442" spans="1:6" x14ac:dyDescent="0.25">
      <c r="A442" s="73"/>
      <c r="B442" s="74"/>
      <c r="C442" s="74"/>
      <c r="D442" s="74"/>
      <c r="E442" s="83"/>
      <c r="F442" s="74"/>
    </row>
    <row r="443" spans="1:6" x14ac:dyDescent="0.25">
      <c r="A443" s="73"/>
      <c r="B443" s="74"/>
      <c r="C443" s="74"/>
      <c r="D443" s="74"/>
      <c r="E443" s="83"/>
      <c r="F443" s="74"/>
    </row>
    <row r="444" spans="1:6" x14ac:dyDescent="0.25">
      <c r="A444" s="73"/>
      <c r="B444" s="74"/>
      <c r="C444" s="74"/>
      <c r="D444" s="74"/>
      <c r="E444" s="83"/>
      <c r="F444" s="74"/>
    </row>
    <row r="445" spans="1:6" x14ac:dyDescent="0.25">
      <c r="A445" s="73"/>
      <c r="B445" s="74"/>
      <c r="C445" s="74"/>
      <c r="D445" s="74"/>
      <c r="E445" s="83"/>
      <c r="F445" s="74"/>
    </row>
    <row r="446" spans="1:6" x14ac:dyDescent="0.25">
      <c r="A446" s="73"/>
      <c r="B446" s="74"/>
      <c r="C446" s="74"/>
      <c r="D446" s="74"/>
      <c r="E446" s="83"/>
      <c r="F446" s="74"/>
    </row>
    <row r="447" spans="1:6" x14ac:dyDescent="0.25">
      <c r="A447" s="73"/>
      <c r="B447" s="74"/>
      <c r="C447" s="74"/>
      <c r="D447" s="74"/>
      <c r="E447" s="83"/>
      <c r="F447" s="74"/>
    </row>
    <row r="448" spans="1:6" x14ac:dyDescent="0.25">
      <c r="A448" s="73"/>
      <c r="B448" s="74"/>
      <c r="C448" s="74"/>
      <c r="D448" s="74"/>
      <c r="E448" s="83"/>
      <c r="F448" s="74"/>
    </row>
    <row r="449" spans="1:6" x14ac:dyDescent="0.25">
      <c r="A449" s="73"/>
      <c r="B449" s="74"/>
      <c r="C449" s="74"/>
      <c r="D449" s="74"/>
      <c r="E449" s="83"/>
      <c r="F449" s="74"/>
    </row>
    <row r="450" spans="1:6" x14ac:dyDescent="0.25">
      <c r="A450" s="73"/>
      <c r="B450" s="74"/>
      <c r="C450" s="74"/>
      <c r="D450" s="74"/>
      <c r="E450" s="83"/>
      <c r="F450" s="74"/>
    </row>
    <row r="451" spans="1:6" x14ac:dyDescent="0.25">
      <c r="A451" s="73"/>
      <c r="B451" s="74"/>
      <c r="C451" s="74"/>
      <c r="D451" s="74"/>
      <c r="E451" s="83"/>
      <c r="F451" s="74"/>
    </row>
    <row r="452" spans="1:6" x14ac:dyDescent="0.25">
      <c r="A452" s="73"/>
      <c r="B452" s="74"/>
      <c r="C452" s="74"/>
      <c r="D452" s="74"/>
      <c r="E452" s="83"/>
      <c r="F452" s="74"/>
    </row>
    <row r="453" spans="1:6" x14ac:dyDescent="0.25">
      <c r="A453" s="73"/>
      <c r="B453" s="74"/>
      <c r="C453" s="74"/>
      <c r="D453" s="74"/>
      <c r="E453" s="83"/>
      <c r="F453" s="74"/>
    </row>
    <row r="454" spans="1:6" x14ac:dyDescent="0.25">
      <c r="A454" s="73"/>
      <c r="B454" s="74"/>
      <c r="C454" s="74"/>
      <c r="D454" s="74"/>
      <c r="E454" s="83"/>
      <c r="F454" s="74"/>
    </row>
    <row r="455" spans="1:6" x14ac:dyDescent="0.25">
      <c r="A455" s="73"/>
      <c r="B455" s="74"/>
      <c r="C455" s="74"/>
      <c r="D455" s="74"/>
      <c r="E455" s="83"/>
      <c r="F455" s="74"/>
    </row>
    <row r="456" spans="1:6" x14ac:dyDescent="0.25">
      <c r="A456" s="73"/>
      <c r="B456" s="74"/>
      <c r="C456" s="74"/>
      <c r="D456" s="74"/>
      <c r="E456" s="83"/>
      <c r="F456" s="74"/>
    </row>
    <row r="457" spans="1:6" x14ac:dyDescent="0.25">
      <c r="A457" s="73"/>
      <c r="B457" s="74"/>
      <c r="C457" s="74"/>
      <c r="D457" s="74"/>
      <c r="E457" s="83"/>
      <c r="F457" s="74"/>
    </row>
    <row r="458" spans="1:6" x14ac:dyDescent="0.25">
      <c r="A458" s="73"/>
      <c r="B458" s="74"/>
      <c r="C458" s="74"/>
      <c r="D458" s="74"/>
      <c r="E458" s="83"/>
      <c r="F458" s="74"/>
    </row>
    <row r="459" spans="1:6" x14ac:dyDescent="0.25">
      <c r="A459" s="73"/>
      <c r="B459" s="74"/>
      <c r="C459" s="74"/>
      <c r="D459" s="74"/>
      <c r="E459" s="83"/>
      <c r="F459" s="74"/>
    </row>
    <row r="460" spans="1:6" x14ac:dyDescent="0.25">
      <c r="A460" s="73"/>
      <c r="B460" s="74"/>
      <c r="C460" s="74"/>
      <c r="D460" s="74"/>
      <c r="E460" s="83"/>
      <c r="F460" s="74"/>
    </row>
    <row r="461" spans="1:6" x14ac:dyDescent="0.25">
      <c r="A461" s="73"/>
      <c r="B461" s="74"/>
      <c r="C461" s="74"/>
      <c r="D461" s="74"/>
      <c r="E461" s="83"/>
      <c r="F461" s="74"/>
    </row>
    <row r="462" spans="1:6" x14ac:dyDescent="0.25">
      <c r="A462" s="73"/>
      <c r="B462" s="74"/>
      <c r="C462" s="74"/>
      <c r="D462" s="74"/>
      <c r="E462" s="83"/>
      <c r="F462" s="74"/>
    </row>
    <row r="463" spans="1:6" x14ac:dyDescent="0.25">
      <c r="A463" s="73"/>
      <c r="B463" s="74"/>
      <c r="C463" s="74"/>
      <c r="D463" s="74"/>
      <c r="E463" s="83"/>
      <c r="F463" s="74"/>
    </row>
    <row r="464" spans="1:6" x14ac:dyDescent="0.25">
      <c r="A464" s="73"/>
      <c r="B464" s="74"/>
      <c r="C464" s="74"/>
      <c r="D464" s="74"/>
      <c r="E464" s="83"/>
      <c r="F464" s="74"/>
    </row>
    <row r="465" spans="1:6" x14ac:dyDescent="0.25">
      <c r="A465" s="73"/>
      <c r="B465" s="74"/>
      <c r="C465" s="74"/>
      <c r="D465" s="74"/>
      <c r="E465" s="83"/>
      <c r="F465" s="74"/>
    </row>
    <row r="466" spans="1:6" x14ac:dyDescent="0.25">
      <c r="A466" s="73"/>
      <c r="B466" s="74"/>
      <c r="C466" s="74"/>
      <c r="D466" s="74"/>
      <c r="E466" s="83"/>
      <c r="F466" s="74"/>
    </row>
    <row r="467" spans="1:6" x14ac:dyDescent="0.25">
      <c r="A467" s="73"/>
      <c r="B467" s="74"/>
      <c r="C467" s="74"/>
      <c r="D467" s="74"/>
      <c r="E467" s="83"/>
      <c r="F467" s="74"/>
    </row>
    <row r="468" spans="1:6" x14ac:dyDescent="0.25">
      <c r="A468" s="73"/>
      <c r="B468" s="74"/>
      <c r="C468" s="74"/>
      <c r="D468" s="74"/>
      <c r="E468" s="83"/>
      <c r="F468" s="74"/>
    </row>
    <row r="469" spans="1:6" x14ac:dyDescent="0.25">
      <c r="A469" s="73"/>
      <c r="B469" s="74"/>
      <c r="C469" s="74"/>
      <c r="D469" s="74"/>
      <c r="E469" s="83"/>
      <c r="F469" s="74"/>
    </row>
    <row r="470" spans="1:6" x14ac:dyDescent="0.25">
      <c r="A470" s="73"/>
      <c r="B470" s="74"/>
      <c r="C470" s="74"/>
      <c r="D470" s="74"/>
      <c r="E470" s="83"/>
      <c r="F470" s="74"/>
    </row>
    <row r="471" spans="1:6" x14ac:dyDescent="0.25">
      <c r="A471" s="73"/>
      <c r="B471" s="74"/>
      <c r="C471" s="74"/>
      <c r="D471" s="74"/>
      <c r="E471" s="83"/>
      <c r="F471" s="74"/>
    </row>
    <row r="472" spans="1:6" x14ac:dyDescent="0.25">
      <c r="A472" s="73"/>
      <c r="B472" s="74"/>
      <c r="C472" s="74"/>
      <c r="D472" s="74"/>
      <c r="E472" s="83"/>
      <c r="F472" s="74"/>
    </row>
    <row r="473" spans="1:6" x14ac:dyDescent="0.25">
      <c r="A473" s="73"/>
      <c r="B473" s="74"/>
      <c r="C473" s="74"/>
      <c r="D473" s="74"/>
      <c r="E473" s="83"/>
      <c r="F473" s="74"/>
    </row>
    <row r="474" spans="1:6" x14ac:dyDescent="0.25">
      <c r="A474" s="73"/>
      <c r="B474" s="74"/>
      <c r="C474" s="74"/>
      <c r="D474" s="74"/>
      <c r="E474" s="83"/>
      <c r="F474" s="74"/>
    </row>
    <row r="475" spans="1:6" x14ac:dyDescent="0.25">
      <c r="A475" s="73"/>
      <c r="B475" s="74"/>
      <c r="C475" s="74"/>
      <c r="D475" s="74"/>
      <c r="E475" s="83"/>
      <c r="F475" s="74"/>
    </row>
    <row r="476" spans="1:6" x14ac:dyDescent="0.25">
      <c r="A476" s="73"/>
      <c r="B476" s="74"/>
      <c r="C476" s="74"/>
      <c r="D476" s="74"/>
      <c r="E476" s="83"/>
      <c r="F476" s="74"/>
    </row>
    <row r="477" spans="1:6" x14ac:dyDescent="0.25">
      <c r="A477" s="73"/>
      <c r="B477" s="74"/>
      <c r="C477" s="74"/>
      <c r="D477" s="74"/>
      <c r="E477" s="83"/>
      <c r="F477" s="74"/>
    </row>
    <row r="478" spans="1:6" x14ac:dyDescent="0.25">
      <c r="A478" s="73"/>
      <c r="B478" s="74"/>
      <c r="C478" s="74"/>
      <c r="D478" s="74"/>
      <c r="E478" s="83"/>
      <c r="F478" s="74"/>
    </row>
    <row r="479" spans="1:6" x14ac:dyDescent="0.25">
      <c r="A479" s="73"/>
      <c r="B479" s="74"/>
      <c r="C479" s="74"/>
      <c r="D479" s="74"/>
      <c r="E479" s="83"/>
      <c r="F479" s="74"/>
    </row>
    <row r="480" spans="1:6" x14ac:dyDescent="0.25">
      <c r="A480" s="73"/>
      <c r="B480" s="74"/>
      <c r="C480" s="74"/>
      <c r="D480" s="74"/>
      <c r="E480" s="83"/>
      <c r="F480" s="74"/>
    </row>
    <row r="481" spans="1:6" x14ac:dyDescent="0.25">
      <c r="A481" s="73"/>
      <c r="B481" s="74"/>
      <c r="C481" s="74"/>
      <c r="D481" s="74"/>
      <c r="E481" s="83"/>
      <c r="F481" s="74"/>
    </row>
    <row r="482" spans="1:6" x14ac:dyDescent="0.25">
      <c r="A482" s="73"/>
      <c r="B482" s="74"/>
      <c r="C482" s="74"/>
      <c r="D482" s="74"/>
      <c r="E482" s="83"/>
      <c r="F482" s="74"/>
    </row>
    <row r="483" spans="1:6" x14ac:dyDescent="0.25">
      <c r="A483" s="73"/>
      <c r="B483" s="74"/>
      <c r="C483" s="74"/>
      <c r="D483" s="74"/>
      <c r="E483" s="83"/>
      <c r="F483" s="74"/>
    </row>
    <row r="484" spans="1:6" x14ac:dyDescent="0.25">
      <c r="A484" s="73"/>
      <c r="B484" s="74"/>
      <c r="C484" s="74"/>
      <c r="D484" s="74"/>
      <c r="E484" s="83"/>
      <c r="F484" s="74"/>
    </row>
    <row r="485" spans="1:6" x14ac:dyDescent="0.25">
      <c r="A485" s="73"/>
      <c r="B485" s="74"/>
      <c r="C485" s="74"/>
      <c r="D485" s="74"/>
      <c r="E485" s="83"/>
      <c r="F485" s="74"/>
    </row>
    <row r="486" spans="1:6" x14ac:dyDescent="0.25">
      <c r="A486" s="73"/>
      <c r="B486" s="74"/>
      <c r="C486" s="74"/>
      <c r="D486" s="74"/>
      <c r="E486" s="83"/>
      <c r="F486" s="74"/>
    </row>
    <row r="487" spans="1:6" x14ac:dyDescent="0.25">
      <c r="A487" s="73"/>
      <c r="B487" s="74"/>
      <c r="C487" s="74"/>
      <c r="D487" s="74"/>
      <c r="E487" s="83"/>
      <c r="F487" s="74"/>
    </row>
    <row r="488" spans="1:6" x14ac:dyDescent="0.25">
      <c r="A488" s="73"/>
      <c r="B488" s="74"/>
      <c r="C488" s="74"/>
      <c r="D488" s="74"/>
      <c r="E488" s="83"/>
      <c r="F488" s="74"/>
    </row>
    <row r="489" spans="1:6" x14ac:dyDescent="0.25">
      <c r="A489" s="73"/>
      <c r="B489" s="74"/>
      <c r="C489" s="74"/>
      <c r="D489" s="74"/>
      <c r="E489" s="83"/>
      <c r="F489" s="74"/>
    </row>
    <row r="490" spans="1:6" x14ac:dyDescent="0.25">
      <c r="A490" s="73"/>
      <c r="B490" s="74"/>
      <c r="C490" s="74"/>
      <c r="D490" s="74"/>
      <c r="E490" s="83"/>
      <c r="F490" s="74"/>
    </row>
    <row r="491" spans="1:6" x14ac:dyDescent="0.25">
      <c r="A491" s="73"/>
      <c r="B491" s="74"/>
      <c r="C491" s="74"/>
      <c r="D491" s="74"/>
      <c r="E491" s="83"/>
      <c r="F491" s="74"/>
    </row>
    <row r="492" spans="1:6" x14ac:dyDescent="0.25">
      <c r="A492" s="73"/>
      <c r="B492" s="74"/>
      <c r="C492" s="74"/>
      <c r="D492" s="74"/>
      <c r="E492" s="83"/>
      <c r="F492" s="74"/>
    </row>
    <row r="493" spans="1:6" x14ac:dyDescent="0.25">
      <c r="A493" s="73"/>
      <c r="B493" s="74"/>
      <c r="C493" s="74"/>
      <c r="D493" s="74"/>
      <c r="E493" s="83"/>
      <c r="F493" s="74"/>
    </row>
    <row r="494" spans="1:6" x14ac:dyDescent="0.25">
      <c r="A494" s="73"/>
      <c r="B494" s="74"/>
      <c r="C494" s="74"/>
      <c r="D494" s="74"/>
      <c r="E494" s="83"/>
      <c r="F494" s="74"/>
    </row>
    <row r="495" spans="1:6" x14ac:dyDescent="0.25">
      <c r="A495" s="73"/>
      <c r="B495" s="74"/>
      <c r="C495" s="74"/>
      <c r="D495" s="74"/>
      <c r="E495" s="83"/>
      <c r="F495" s="74"/>
    </row>
    <row r="496" spans="1:6" x14ac:dyDescent="0.25">
      <c r="A496" s="73"/>
      <c r="B496" s="74"/>
      <c r="C496" s="74"/>
      <c r="D496" s="74"/>
      <c r="E496" s="83"/>
      <c r="F496" s="74"/>
    </row>
    <row r="497" spans="1:6" x14ac:dyDescent="0.25">
      <c r="A497" s="73"/>
      <c r="B497" s="74"/>
      <c r="C497" s="74"/>
      <c r="D497" s="74"/>
      <c r="E497" s="83"/>
      <c r="F497" s="74"/>
    </row>
    <row r="498" spans="1:6" x14ac:dyDescent="0.25">
      <c r="A498" s="73"/>
      <c r="B498" s="74"/>
      <c r="C498" s="74"/>
      <c r="D498" s="74"/>
      <c r="E498" s="83"/>
      <c r="F498" s="74"/>
    </row>
    <row r="499" spans="1:6" x14ac:dyDescent="0.25">
      <c r="A499" s="73"/>
      <c r="B499" s="74"/>
      <c r="C499" s="74"/>
      <c r="D499" s="74"/>
      <c r="E499" s="83"/>
      <c r="F499" s="74"/>
    </row>
    <row r="500" spans="1:6" x14ac:dyDescent="0.25">
      <c r="A500" s="73"/>
      <c r="B500" s="74"/>
      <c r="C500" s="74"/>
      <c r="D500" s="74"/>
      <c r="E500" s="83"/>
      <c r="F500" s="74"/>
    </row>
    <row r="501" spans="1:6" x14ac:dyDescent="0.25">
      <c r="A501" s="73"/>
      <c r="B501" s="74"/>
      <c r="C501" s="74"/>
      <c r="D501" s="74"/>
      <c r="E501" s="83"/>
      <c r="F501" s="74"/>
    </row>
    <row r="502" spans="1:6" x14ac:dyDescent="0.25">
      <c r="A502" s="73"/>
      <c r="B502" s="74"/>
      <c r="C502" s="74"/>
      <c r="D502" s="74"/>
      <c r="E502" s="83"/>
      <c r="F502" s="74"/>
    </row>
    <row r="503" spans="1:6" x14ac:dyDescent="0.25">
      <c r="A503" s="73"/>
      <c r="B503" s="74"/>
      <c r="C503" s="74"/>
      <c r="D503" s="74"/>
      <c r="E503" s="83"/>
      <c r="F503" s="74"/>
    </row>
    <row r="504" spans="1:6" x14ac:dyDescent="0.25">
      <c r="A504" s="73"/>
      <c r="B504" s="74"/>
      <c r="C504" s="74"/>
      <c r="D504" s="74"/>
      <c r="E504" s="83"/>
      <c r="F504" s="74"/>
    </row>
    <row r="505" spans="1:6" x14ac:dyDescent="0.25">
      <c r="A505" s="73"/>
      <c r="B505" s="74"/>
      <c r="C505" s="74"/>
      <c r="D505" s="74"/>
      <c r="E505" s="83"/>
      <c r="F505" s="74"/>
    </row>
    <row r="506" spans="1:6" x14ac:dyDescent="0.25">
      <c r="A506" s="73"/>
      <c r="B506" s="74"/>
      <c r="C506" s="74"/>
      <c r="D506" s="74"/>
      <c r="E506" s="83"/>
      <c r="F506" s="74"/>
    </row>
    <row r="507" spans="1:6" x14ac:dyDescent="0.25">
      <c r="A507" s="73"/>
      <c r="B507" s="74"/>
      <c r="C507" s="74"/>
      <c r="D507" s="74"/>
      <c r="E507" s="83"/>
      <c r="F507" s="74"/>
    </row>
    <row r="508" spans="1:6" x14ac:dyDescent="0.25">
      <c r="A508" s="73"/>
      <c r="B508" s="74"/>
      <c r="C508" s="74"/>
      <c r="D508" s="74"/>
      <c r="E508" s="83"/>
      <c r="F508" s="74"/>
    </row>
    <row r="509" spans="1:6" x14ac:dyDescent="0.25">
      <c r="A509" s="73"/>
      <c r="B509" s="74"/>
      <c r="C509" s="74"/>
      <c r="D509" s="74"/>
      <c r="E509" s="83"/>
      <c r="F509" s="74"/>
    </row>
    <row r="510" spans="1:6" x14ac:dyDescent="0.25">
      <c r="A510" s="73"/>
      <c r="B510" s="74"/>
      <c r="C510" s="74"/>
      <c r="D510" s="74"/>
      <c r="E510" s="83"/>
      <c r="F510" s="74"/>
    </row>
    <row r="511" spans="1:6" x14ac:dyDescent="0.25">
      <c r="A511" s="73"/>
      <c r="B511" s="74"/>
      <c r="C511" s="74"/>
      <c r="D511" s="74"/>
      <c r="E511" s="83"/>
      <c r="F511" s="74"/>
    </row>
    <row r="512" spans="1:6" x14ac:dyDescent="0.25">
      <c r="A512" s="73"/>
      <c r="B512" s="74"/>
      <c r="C512" s="74"/>
      <c r="D512" s="74"/>
      <c r="E512" s="83"/>
      <c r="F512" s="74"/>
    </row>
    <row r="513" spans="1:6" x14ac:dyDescent="0.25">
      <c r="A513" s="73"/>
      <c r="B513" s="74"/>
      <c r="C513" s="74"/>
      <c r="D513" s="74"/>
      <c r="E513" s="83"/>
      <c r="F513" s="74"/>
    </row>
    <row r="514" spans="1:6" x14ac:dyDescent="0.25">
      <c r="A514" s="73"/>
      <c r="B514" s="74"/>
      <c r="C514" s="74"/>
      <c r="D514" s="74"/>
      <c r="E514" s="83"/>
      <c r="F514" s="74"/>
    </row>
    <row r="515" spans="1:6" x14ac:dyDescent="0.25">
      <c r="A515" s="73"/>
      <c r="B515" s="74"/>
      <c r="C515" s="74"/>
      <c r="D515" s="74"/>
      <c r="E515" s="83"/>
      <c r="F515" s="74"/>
    </row>
    <row r="516" spans="1:6" x14ac:dyDescent="0.25">
      <c r="A516" s="73"/>
      <c r="B516" s="74"/>
      <c r="C516" s="74"/>
      <c r="D516" s="74"/>
      <c r="E516" s="83"/>
      <c r="F516" s="74"/>
    </row>
    <row r="517" spans="1:6" x14ac:dyDescent="0.25">
      <c r="A517" s="73"/>
      <c r="B517" s="74"/>
      <c r="C517" s="74"/>
      <c r="D517" s="74"/>
      <c r="E517" s="83"/>
      <c r="F517" s="74"/>
    </row>
    <row r="518" spans="1:6" x14ac:dyDescent="0.25">
      <c r="A518" s="73"/>
      <c r="B518" s="74"/>
      <c r="C518" s="74"/>
      <c r="D518" s="74"/>
      <c r="E518" s="83"/>
      <c r="F518" s="74"/>
    </row>
    <row r="519" spans="1:6" x14ac:dyDescent="0.25">
      <c r="A519" s="73"/>
      <c r="B519" s="74"/>
      <c r="C519" s="74"/>
      <c r="D519" s="74"/>
      <c r="E519" s="83"/>
      <c r="F519" s="74"/>
    </row>
    <row r="520" spans="1:6" x14ac:dyDescent="0.25">
      <c r="A520" s="73"/>
      <c r="B520" s="74"/>
      <c r="C520" s="74"/>
      <c r="D520" s="74"/>
      <c r="E520" s="83"/>
      <c r="F520" s="74"/>
    </row>
    <row r="521" spans="1:6" x14ac:dyDescent="0.25">
      <c r="A521" s="73"/>
      <c r="B521" s="74"/>
      <c r="C521" s="74"/>
      <c r="D521" s="74"/>
      <c r="E521" s="83"/>
      <c r="F521" s="74"/>
    </row>
    <row r="522" spans="1:6" x14ac:dyDescent="0.25">
      <c r="A522" s="73"/>
      <c r="B522" s="74"/>
      <c r="C522" s="74"/>
      <c r="D522" s="74"/>
      <c r="E522" s="83"/>
      <c r="F522" s="74"/>
    </row>
    <row r="523" spans="1:6" x14ac:dyDescent="0.25">
      <c r="A523" s="73"/>
      <c r="B523" s="74"/>
      <c r="C523" s="74"/>
      <c r="D523" s="74"/>
      <c r="E523" s="83"/>
      <c r="F523" s="74"/>
    </row>
    <row r="524" spans="1:6" x14ac:dyDescent="0.25">
      <c r="A524" s="73"/>
      <c r="B524" s="74"/>
      <c r="C524" s="74"/>
      <c r="D524" s="74"/>
      <c r="E524" s="83"/>
      <c r="F524" s="74"/>
    </row>
    <row r="525" spans="1:6" x14ac:dyDescent="0.25">
      <c r="A525" s="73"/>
      <c r="B525" s="74"/>
      <c r="C525" s="74"/>
      <c r="D525" s="74"/>
      <c r="E525" s="83"/>
      <c r="F525" s="74"/>
    </row>
    <row r="526" spans="1:6" x14ac:dyDescent="0.25">
      <c r="A526" s="73"/>
      <c r="B526" s="74"/>
      <c r="C526" s="74"/>
      <c r="D526" s="74"/>
      <c r="E526" s="83"/>
      <c r="F526" s="74"/>
    </row>
    <row r="527" spans="1:6" x14ac:dyDescent="0.25">
      <c r="A527" s="73"/>
      <c r="B527" s="74"/>
      <c r="C527" s="74"/>
      <c r="D527" s="74"/>
      <c r="E527" s="83"/>
      <c r="F527" s="74"/>
    </row>
    <row r="528" spans="1:6" x14ac:dyDescent="0.25">
      <c r="A528" s="73"/>
      <c r="B528" s="74"/>
      <c r="C528" s="74"/>
      <c r="D528" s="74"/>
      <c r="E528" s="83"/>
      <c r="F528" s="74"/>
    </row>
    <row r="529" spans="1:6" x14ac:dyDescent="0.25">
      <c r="A529" s="73"/>
      <c r="B529" s="74"/>
      <c r="C529" s="74"/>
      <c r="D529" s="74"/>
      <c r="E529" s="83"/>
      <c r="F529" s="74"/>
    </row>
    <row r="530" spans="1:6" x14ac:dyDescent="0.25">
      <c r="A530" s="73"/>
      <c r="B530" s="74"/>
      <c r="C530" s="74"/>
      <c r="D530" s="74"/>
      <c r="E530" s="83"/>
      <c r="F530" s="74"/>
    </row>
    <row r="531" spans="1:6" x14ac:dyDescent="0.25">
      <c r="A531" s="73"/>
      <c r="B531" s="74"/>
      <c r="C531" s="74"/>
      <c r="D531" s="74"/>
      <c r="E531" s="83"/>
      <c r="F531" s="74"/>
    </row>
    <row r="532" spans="1:6" x14ac:dyDescent="0.25">
      <c r="A532" s="73"/>
      <c r="B532" s="74"/>
      <c r="C532" s="74"/>
      <c r="D532" s="74"/>
      <c r="E532" s="83"/>
      <c r="F532" s="74"/>
    </row>
    <row r="533" spans="1:6" x14ac:dyDescent="0.25">
      <c r="A533" s="73"/>
      <c r="B533" s="74"/>
      <c r="C533" s="74"/>
      <c r="D533" s="74"/>
      <c r="E533" s="83"/>
      <c r="F533" s="74"/>
    </row>
    <row r="534" spans="1:6" x14ac:dyDescent="0.25">
      <c r="A534" s="73"/>
      <c r="B534" s="74"/>
      <c r="C534" s="74"/>
      <c r="D534" s="74"/>
      <c r="E534" s="83"/>
      <c r="F534" s="74"/>
    </row>
    <row r="535" spans="1:6" x14ac:dyDescent="0.25">
      <c r="A535" s="73"/>
      <c r="B535" s="74"/>
      <c r="C535" s="74"/>
      <c r="D535" s="74"/>
      <c r="E535" s="83"/>
      <c r="F535" s="74"/>
    </row>
    <row r="536" spans="1:6" x14ac:dyDescent="0.25">
      <c r="A536" s="73"/>
      <c r="B536" s="74"/>
      <c r="C536" s="74"/>
      <c r="D536" s="74"/>
      <c r="E536" s="83"/>
      <c r="F536" s="74"/>
    </row>
    <row r="537" spans="1:6" x14ac:dyDescent="0.25">
      <c r="A537" s="73"/>
      <c r="B537" s="74"/>
      <c r="C537" s="74"/>
      <c r="D537" s="74"/>
      <c r="E537" s="83"/>
      <c r="F537" s="74"/>
    </row>
    <row r="538" spans="1:6" x14ac:dyDescent="0.25">
      <c r="A538" s="73"/>
      <c r="B538" s="74"/>
      <c r="C538" s="74"/>
      <c r="D538" s="74"/>
      <c r="E538" s="83"/>
      <c r="F538" s="74"/>
    </row>
    <row r="539" spans="1:6" x14ac:dyDescent="0.25">
      <c r="A539" s="73"/>
      <c r="B539" s="74"/>
      <c r="C539" s="74"/>
      <c r="D539" s="74"/>
      <c r="E539" s="83"/>
      <c r="F539" s="74"/>
    </row>
    <row r="540" spans="1:6" x14ac:dyDescent="0.25">
      <c r="A540" s="73"/>
      <c r="B540" s="74"/>
      <c r="C540" s="74"/>
      <c r="D540" s="74"/>
      <c r="E540" s="83"/>
      <c r="F540" s="74"/>
    </row>
    <row r="541" spans="1:6" x14ac:dyDescent="0.25">
      <c r="A541" s="73"/>
      <c r="B541" s="74"/>
      <c r="C541" s="74"/>
      <c r="D541" s="74"/>
      <c r="E541" s="83"/>
      <c r="F541" s="74"/>
    </row>
    <row r="542" spans="1:6" x14ac:dyDescent="0.25">
      <c r="A542" s="73"/>
      <c r="B542" s="74"/>
      <c r="C542" s="74"/>
      <c r="D542" s="74"/>
      <c r="E542" s="83"/>
      <c r="F542" s="74"/>
    </row>
    <row r="543" spans="1:6" x14ac:dyDescent="0.25">
      <c r="A543" s="73"/>
      <c r="B543" s="74"/>
      <c r="C543" s="74"/>
      <c r="D543" s="74"/>
      <c r="E543" s="83"/>
      <c r="F543" s="74"/>
    </row>
    <row r="544" spans="1:6" x14ac:dyDescent="0.25">
      <c r="A544" s="73"/>
      <c r="B544" s="74"/>
      <c r="C544" s="74"/>
      <c r="D544" s="74"/>
      <c r="E544" s="83"/>
      <c r="F544" s="74"/>
    </row>
    <row r="545" spans="1:6" x14ac:dyDescent="0.25">
      <c r="A545" s="73"/>
      <c r="B545" s="74"/>
      <c r="C545" s="74"/>
      <c r="D545" s="74"/>
      <c r="E545" s="83"/>
      <c r="F545" s="74"/>
    </row>
    <row r="546" spans="1:6" x14ac:dyDescent="0.25">
      <c r="A546" s="73"/>
      <c r="B546" s="74"/>
      <c r="C546" s="74"/>
      <c r="D546" s="74"/>
      <c r="E546" s="83"/>
      <c r="F546" s="74"/>
    </row>
    <row r="547" spans="1:6" x14ac:dyDescent="0.25">
      <c r="A547" s="73"/>
      <c r="B547" s="74"/>
      <c r="C547" s="74"/>
      <c r="D547" s="74"/>
      <c r="E547" s="83"/>
      <c r="F547" s="74"/>
    </row>
    <row r="548" spans="1:6" x14ac:dyDescent="0.25">
      <c r="A548" s="73"/>
      <c r="B548" s="74"/>
      <c r="C548" s="74"/>
      <c r="D548" s="74"/>
      <c r="E548" s="83"/>
      <c r="F548" s="74"/>
    </row>
    <row r="549" spans="1:6" x14ac:dyDescent="0.25">
      <c r="A549" s="73"/>
      <c r="B549" s="74"/>
      <c r="C549" s="74"/>
      <c r="D549" s="74"/>
      <c r="E549" s="83"/>
      <c r="F549" s="74"/>
    </row>
    <row r="550" spans="1:6" x14ac:dyDescent="0.25">
      <c r="A550" s="73"/>
      <c r="B550" s="74"/>
      <c r="C550" s="74"/>
      <c r="D550" s="74"/>
      <c r="E550" s="83"/>
      <c r="F550" s="74"/>
    </row>
    <row r="551" spans="1:6" x14ac:dyDescent="0.25">
      <c r="A551" s="73"/>
      <c r="B551" s="74"/>
      <c r="C551" s="74"/>
      <c r="D551" s="74"/>
      <c r="E551" s="83"/>
      <c r="F551" s="74"/>
    </row>
    <row r="552" spans="1:6" x14ac:dyDescent="0.25">
      <c r="A552" s="73"/>
      <c r="B552" s="74"/>
      <c r="C552" s="74"/>
      <c r="D552" s="74"/>
      <c r="E552" s="83"/>
      <c r="F552" s="74"/>
    </row>
    <row r="553" spans="1:6" x14ac:dyDescent="0.25">
      <c r="A553" s="73"/>
      <c r="B553" s="74"/>
      <c r="C553" s="74"/>
      <c r="D553" s="74"/>
      <c r="E553" s="83"/>
      <c r="F553" s="74"/>
    </row>
    <row r="554" spans="1:6" x14ac:dyDescent="0.25">
      <c r="A554" s="73"/>
      <c r="B554" s="74"/>
      <c r="C554" s="74"/>
      <c r="D554" s="74"/>
      <c r="E554" s="83"/>
      <c r="F554" s="74"/>
    </row>
    <row r="555" spans="1:6" x14ac:dyDescent="0.25">
      <c r="A555" s="73"/>
      <c r="B555" s="74"/>
      <c r="C555" s="74"/>
      <c r="D555" s="74"/>
      <c r="E555" s="83"/>
      <c r="F555" s="74"/>
    </row>
    <row r="556" spans="1:6" x14ac:dyDescent="0.25">
      <c r="A556" s="73"/>
      <c r="B556" s="74"/>
      <c r="C556" s="74"/>
      <c r="D556" s="74"/>
      <c r="E556" s="83"/>
      <c r="F556" s="74"/>
    </row>
    <row r="557" spans="1:6" x14ac:dyDescent="0.25">
      <c r="A557" s="73"/>
      <c r="B557" s="74"/>
      <c r="C557" s="74"/>
      <c r="D557" s="74"/>
      <c r="E557" s="83"/>
      <c r="F557" s="74"/>
    </row>
    <row r="558" spans="1:6" x14ac:dyDescent="0.25">
      <c r="A558" s="73"/>
      <c r="B558" s="74"/>
      <c r="C558" s="74"/>
      <c r="D558" s="74"/>
      <c r="E558" s="83"/>
      <c r="F558" s="74"/>
    </row>
    <row r="559" spans="1:6" x14ac:dyDescent="0.25">
      <c r="A559" s="73"/>
      <c r="B559" s="74"/>
      <c r="C559" s="74"/>
      <c r="D559" s="74"/>
      <c r="E559" s="83"/>
      <c r="F559" s="74"/>
    </row>
    <row r="560" spans="1:6" x14ac:dyDescent="0.25">
      <c r="A560" s="73"/>
      <c r="B560" s="74"/>
      <c r="C560" s="74"/>
      <c r="D560" s="74"/>
      <c r="E560" s="83"/>
      <c r="F560" s="74"/>
    </row>
    <row r="561" spans="1:6" x14ac:dyDescent="0.25">
      <c r="A561" s="73"/>
      <c r="B561" s="74"/>
      <c r="C561" s="74"/>
      <c r="D561" s="74"/>
      <c r="E561" s="83"/>
      <c r="F561" s="74"/>
    </row>
    <row r="562" spans="1:6" x14ac:dyDescent="0.25">
      <c r="A562" s="73"/>
      <c r="B562" s="74"/>
      <c r="C562" s="74"/>
      <c r="D562" s="74"/>
      <c r="E562" s="83"/>
      <c r="F562" s="74"/>
    </row>
    <row r="563" spans="1:6" x14ac:dyDescent="0.25">
      <c r="A563" s="73"/>
      <c r="B563" s="74"/>
      <c r="C563" s="74"/>
      <c r="D563" s="74"/>
      <c r="E563" s="83"/>
      <c r="F563" s="74"/>
    </row>
    <row r="564" spans="1:6" x14ac:dyDescent="0.25">
      <c r="A564" s="73"/>
      <c r="B564" s="74"/>
      <c r="C564" s="74"/>
      <c r="D564" s="74"/>
      <c r="E564" s="83"/>
      <c r="F564" s="74"/>
    </row>
    <row r="565" spans="1:6" x14ac:dyDescent="0.25">
      <c r="A565" s="73"/>
      <c r="B565" s="74"/>
      <c r="C565" s="74"/>
      <c r="D565" s="74"/>
      <c r="E565" s="83"/>
      <c r="F565" s="74"/>
    </row>
    <row r="566" spans="1:6" x14ac:dyDescent="0.25">
      <c r="A566" s="73"/>
      <c r="B566" s="74"/>
      <c r="C566" s="74"/>
      <c r="D566" s="74"/>
      <c r="E566" s="83"/>
      <c r="F566" s="74"/>
    </row>
    <row r="567" spans="1:6" x14ac:dyDescent="0.25">
      <c r="A567" s="73"/>
      <c r="B567" s="74"/>
      <c r="C567" s="74"/>
      <c r="D567" s="74"/>
      <c r="E567" s="83"/>
      <c r="F567" s="74"/>
    </row>
    <row r="568" spans="1:6" x14ac:dyDescent="0.25">
      <c r="A568" s="73"/>
      <c r="B568" s="74"/>
      <c r="C568" s="74"/>
      <c r="D568" s="74"/>
      <c r="E568" s="83"/>
      <c r="F568" s="74"/>
    </row>
    <row r="569" spans="1:6" x14ac:dyDescent="0.25">
      <c r="A569" s="73"/>
      <c r="B569" s="74"/>
      <c r="C569" s="74"/>
      <c r="D569" s="74"/>
      <c r="E569" s="83"/>
      <c r="F569" s="74"/>
    </row>
    <row r="570" spans="1:6" x14ac:dyDescent="0.25">
      <c r="A570" s="73"/>
      <c r="B570" s="74"/>
      <c r="C570" s="74"/>
      <c r="D570" s="74"/>
      <c r="E570" s="83"/>
      <c r="F570" s="74"/>
    </row>
    <row r="571" spans="1:6" x14ac:dyDescent="0.25">
      <c r="A571" s="73"/>
      <c r="B571" s="74"/>
      <c r="C571" s="74"/>
      <c r="D571" s="74"/>
      <c r="E571" s="83"/>
      <c r="F571" s="74"/>
    </row>
    <row r="572" spans="1:6" x14ac:dyDescent="0.25">
      <c r="A572" s="73"/>
      <c r="B572" s="74"/>
      <c r="C572" s="74"/>
      <c r="D572" s="74"/>
      <c r="E572" s="83"/>
      <c r="F572" s="74"/>
    </row>
    <row r="573" spans="1:6" x14ac:dyDescent="0.25">
      <c r="A573" s="73"/>
      <c r="B573" s="74"/>
      <c r="C573" s="74"/>
      <c r="D573" s="74"/>
      <c r="E573" s="83"/>
      <c r="F573" s="74"/>
    </row>
    <row r="574" spans="1:6" x14ac:dyDescent="0.25">
      <c r="A574" s="73"/>
      <c r="B574" s="74"/>
      <c r="C574" s="74"/>
      <c r="D574" s="74"/>
      <c r="E574" s="83"/>
      <c r="F574" s="74"/>
    </row>
    <row r="575" spans="1:6" x14ac:dyDescent="0.25">
      <c r="A575" s="73"/>
      <c r="B575" s="74"/>
      <c r="C575" s="74"/>
      <c r="D575" s="74"/>
      <c r="E575" s="83"/>
      <c r="F575" s="74"/>
    </row>
    <row r="576" spans="1:6" x14ac:dyDescent="0.25">
      <c r="A576" s="73"/>
      <c r="B576" s="74"/>
      <c r="C576" s="74"/>
      <c r="D576" s="74"/>
      <c r="E576" s="83"/>
      <c r="F576" s="74"/>
    </row>
    <row r="577" spans="1:6" x14ac:dyDescent="0.25">
      <c r="A577" s="73"/>
      <c r="B577" s="74"/>
      <c r="C577" s="74"/>
      <c r="D577" s="74"/>
      <c r="E577" s="83"/>
      <c r="F577" s="74"/>
    </row>
    <row r="578" spans="1:6" x14ac:dyDescent="0.25">
      <c r="A578" s="73"/>
      <c r="B578" s="74"/>
      <c r="C578" s="74"/>
      <c r="D578" s="74"/>
      <c r="E578" s="83"/>
      <c r="F578" s="74"/>
    </row>
    <row r="579" spans="1:6" x14ac:dyDescent="0.25">
      <c r="A579" s="73"/>
      <c r="B579" s="74"/>
      <c r="C579" s="74"/>
      <c r="D579" s="74"/>
      <c r="E579" s="83"/>
      <c r="F579" s="74"/>
    </row>
    <row r="580" spans="1:6" x14ac:dyDescent="0.25">
      <c r="A580" s="73"/>
      <c r="B580" s="74"/>
      <c r="C580" s="74"/>
      <c r="D580" s="74"/>
      <c r="E580" s="83"/>
      <c r="F580" s="74"/>
    </row>
    <row r="581" spans="1:6" x14ac:dyDescent="0.25">
      <c r="A581" s="73"/>
      <c r="B581" s="74"/>
      <c r="C581" s="74"/>
      <c r="D581" s="74"/>
      <c r="E581" s="83"/>
      <c r="F581" s="74"/>
    </row>
    <row r="582" spans="1:6" x14ac:dyDescent="0.25">
      <c r="A582" s="73"/>
      <c r="B582" s="74"/>
      <c r="C582" s="74"/>
      <c r="D582" s="74"/>
      <c r="E582" s="83"/>
      <c r="F582" s="74"/>
    </row>
    <row r="583" spans="1:6" x14ac:dyDescent="0.25">
      <c r="A583" s="73"/>
      <c r="B583" s="74"/>
      <c r="C583" s="74"/>
      <c r="D583" s="74"/>
      <c r="E583" s="83"/>
      <c r="F583" s="74"/>
    </row>
    <row r="584" spans="1:6" x14ac:dyDescent="0.25">
      <c r="A584" s="73"/>
      <c r="B584" s="74"/>
      <c r="C584" s="74"/>
      <c r="D584" s="74"/>
      <c r="E584" s="83"/>
      <c r="F584" s="74"/>
    </row>
    <row r="585" spans="1:6" x14ac:dyDescent="0.25">
      <c r="A585" s="73"/>
      <c r="B585" s="74"/>
      <c r="C585" s="74"/>
      <c r="D585" s="74"/>
      <c r="E585" s="83"/>
      <c r="F585" s="74"/>
    </row>
    <row r="586" spans="1:6" x14ac:dyDescent="0.25">
      <c r="A586" s="73"/>
      <c r="B586" s="74"/>
      <c r="C586" s="74"/>
      <c r="D586" s="74"/>
      <c r="E586" s="83"/>
      <c r="F586" s="74"/>
    </row>
    <row r="587" spans="1:6" x14ac:dyDescent="0.25">
      <c r="A587" s="73"/>
      <c r="B587" s="74"/>
      <c r="C587" s="74"/>
      <c r="D587" s="74"/>
      <c r="E587" s="83"/>
      <c r="F587" s="74"/>
    </row>
    <row r="588" spans="1:6" x14ac:dyDescent="0.25">
      <c r="A588" s="73"/>
      <c r="B588" s="74"/>
      <c r="C588" s="74"/>
      <c r="D588" s="74"/>
      <c r="E588" s="83"/>
      <c r="F588" s="74"/>
    </row>
    <row r="589" spans="1:6" x14ac:dyDescent="0.25">
      <c r="A589" s="73"/>
      <c r="B589" s="74"/>
      <c r="C589" s="74"/>
      <c r="D589" s="74"/>
      <c r="E589" s="83"/>
      <c r="F589" s="74"/>
    </row>
    <row r="590" spans="1:6" x14ac:dyDescent="0.25">
      <c r="A590" s="73"/>
      <c r="B590" s="74"/>
      <c r="C590" s="74"/>
      <c r="D590" s="74"/>
      <c r="E590" s="83"/>
      <c r="F590" s="74"/>
    </row>
    <row r="591" spans="1:6" x14ac:dyDescent="0.25">
      <c r="A591" s="73"/>
      <c r="B591" s="74"/>
      <c r="C591" s="74"/>
      <c r="D591" s="74"/>
      <c r="E591" s="83"/>
      <c r="F591" s="74"/>
    </row>
    <row r="592" spans="1:6" x14ac:dyDescent="0.25">
      <c r="A592" s="73"/>
      <c r="B592" s="74"/>
      <c r="C592" s="74"/>
      <c r="D592" s="74"/>
      <c r="E592" s="83"/>
      <c r="F592" s="74"/>
    </row>
    <row r="593" spans="1:6" x14ac:dyDescent="0.25">
      <c r="A593" s="73"/>
      <c r="B593" s="74"/>
      <c r="C593" s="74"/>
      <c r="D593" s="74"/>
      <c r="E593" s="83"/>
      <c r="F593" s="74"/>
    </row>
    <row r="594" spans="1:6" x14ac:dyDescent="0.25">
      <c r="A594" s="73"/>
      <c r="B594" s="74"/>
      <c r="C594" s="74"/>
      <c r="D594" s="74"/>
      <c r="E594" s="83"/>
      <c r="F594" s="74"/>
    </row>
    <row r="595" spans="1:6" x14ac:dyDescent="0.25">
      <c r="A595" s="73"/>
      <c r="B595" s="74"/>
      <c r="C595" s="74"/>
      <c r="D595" s="74"/>
      <c r="E595" s="83"/>
      <c r="F595" s="74"/>
    </row>
    <row r="596" spans="1:6" x14ac:dyDescent="0.25">
      <c r="A596" s="73"/>
      <c r="B596" s="74"/>
      <c r="C596" s="74"/>
      <c r="D596" s="74"/>
      <c r="E596" s="83"/>
      <c r="F596" s="74"/>
    </row>
    <row r="597" spans="1:6" x14ac:dyDescent="0.25">
      <c r="A597" s="73"/>
      <c r="B597" s="74"/>
      <c r="C597" s="74"/>
      <c r="D597" s="74"/>
      <c r="E597" s="83"/>
      <c r="F597" s="74"/>
    </row>
    <row r="598" spans="1:6" x14ac:dyDescent="0.25">
      <c r="A598" s="73"/>
      <c r="B598" s="74"/>
      <c r="C598" s="74"/>
      <c r="D598" s="74"/>
      <c r="E598" s="83"/>
      <c r="F598" s="74"/>
    </row>
    <row r="599" spans="1:6" x14ac:dyDescent="0.25">
      <c r="A599" s="73"/>
      <c r="B599" s="74"/>
      <c r="C599" s="74"/>
      <c r="D599" s="74"/>
      <c r="E599" s="83"/>
      <c r="F599" s="74"/>
    </row>
    <row r="600" spans="1:6" x14ac:dyDescent="0.25">
      <c r="A600" s="73"/>
      <c r="B600" s="74"/>
      <c r="C600" s="74"/>
      <c r="D600" s="74"/>
      <c r="E600" s="83"/>
      <c r="F600" s="74"/>
    </row>
    <row r="601" spans="1:6" x14ac:dyDescent="0.25">
      <c r="A601" s="73"/>
      <c r="B601" s="74"/>
      <c r="C601" s="74"/>
      <c r="D601" s="74"/>
      <c r="E601" s="83"/>
      <c r="F601" s="74"/>
    </row>
    <row r="602" spans="1:6" x14ac:dyDescent="0.25">
      <c r="A602" s="73"/>
      <c r="B602" s="74"/>
      <c r="C602" s="74"/>
      <c r="D602" s="74"/>
      <c r="E602" s="83"/>
      <c r="F602" s="74"/>
    </row>
    <row r="603" spans="1:6" x14ac:dyDescent="0.25">
      <c r="A603" s="73"/>
      <c r="B603" s="74"/>
      <c r="C603" s="74"/>
      <c r="D603" s="74"/>
      <c r="E603" s="83"/>
      <c r="F603" s="74"/>
    </row>
    <row r="604" spans="1:6" x14ac:dyDescent="0.25">
      <c r="A604" s="73"/>
      <c r="B604" s="74"/>
      <c r="C604" s="74"/>
      <c r="D604" s="74"/>
      <c r="E604" s="83"/>
      <c r="F604" s="74"/>
    </row>
    <row r="605" spans="1:6" x14ac:dyDescent="0.25">
      <c r="A605" s="73"/>
      <c r="B605" s="74"/>
      <c r="C605" s="74"/>
      <c r="D605" s="74"/>
      <c r="E605" s="83"/>
      <c r="F605" s="74"/>
    </row>
    <row r="606" spans="1:6" x14ac:dyDescent="0.25">
      <c r="A606" s="73"/>
      <c r="B606" s="74"/>
      <c r="C606" s="74"/>
      <c r="D606" s="74"/>
      <c r="E606" s="83"/>
      <c r="F606" s="74"/>
    </row>
    <row r="607" spans="1:6" x14ac:dyDescent="0.25">
      <c r="A607" s="73"/>
      <c r="B607" s="74"/>
      <c r="C607" s="74"/>
      <c r="D607" s="74"/>
      <c r="E607" s="83"/>
      <c r="F607" s="74"/>
    </row>
    <row r="608" spans="1:6" x14ac:dyDescent="0.25">
      <c r="A608" s="73"/>
      <c r="B608" s="74"/>
      <c r="C608" s="74"/>
      <c r="D608" s="74"/>
      <c r="E608" s="83"/>
      <c r="F608" s="74"/>
    </row>
    <row r="609" spans="1:6" x14ac:dyDescent="0.25">
      <c r="A609" s="73"/>
      <c r="B609" s="74"/>
      <c r="C609" s="74"/>
      <c r="D609" s="74"/>
      <c r="E609" s="83"/>
      <c r="F609" s="74"/>
    </row>
    <row r="610" spans="1:6" x14ac:dyDescent="0.25">
      <c r="A610" s="73"/>
      <c r="B610" s="74"/>
      <c r="C610" s="74"/>
      <c r="D610" s="74"/>
      <c r="E610" s="83"/>
      <c r="F610" s="74"/>
    </row>
    <row r="611" spans="1:6" x14ac:dyDescent="0.25">
      <c r="A611" s="73"/>
      <c r="B611" s="74"/>
      <c r="C611" s="74"/>
      <c r="D611" s="74"/>
      <c r="E611" s="83"/>
      <c r="F611" s="74"/>
    </row>
    <row r="612" spans="1:6" x14ac:dyDescent="0.25">
      <c r="A612" s="73"/>
      <c r="B612" s="74"/>
      <c r="C612" s="74"/>
      <c r="D612" s="74"/>
      <c r="E612" s="83"/>
      <c r="F612" s="74"/>
    </row>
    <row r="613" spans="1:6" x14ac:dyDescent="0.25">
      <c r="A613" s="73"/>
      <c r="B613" s="74"/>
      <c r="C613" s="74"/>
      <c r="D613" s="74"/>
      <c r="E613" s="83"/>
      <c r="F613" s="74"/>
    </row>
    <row r="614" spans="1:6" x14ac:dyDescent="0.25">
      <c r="A614" s="73"/>
      <c r="B614" s="74"/>
      <c r="C614" s="74"/>
      <c r="D614" s="74"/>
      <c r="E614" s="83"/>
      <c r="F614" s="74"/>
    </row>
    <row r="615" spans="1:6" x14ac:dyDescent="0.25">
      <c r="A615" s="73"/>
      <c r="B615" s="74"/>
      <c r="C615" s="74"/>
      <c r="D615" s="74"/>
      <c r="E615" s="83"/>
      <c r="F615" s="74"/>
    </row>
    <row r="616" spans="1:6" x14ac:dyDescent="0.25">
      <c r="A616" s="73"/>
      <c r="B616" s="74"/>
      <c r="C616" s="74"/>
      <c r="D616" s="74"/>
      <c r="E616" s="83"/>
      <c r="F616" s="74"/>
    </row>
    <row r="617" spans="1:6" x14ac:dyDescent="0.25">
      <c r="A617" s="73"/>
      <c r="B617" s="74"/>
      <c r="C617" s="74"/>
      <c r="D617" s="74"/>
      <c r="E617" s="83"/>
      <c r="F617" s="74"/>
    </row>
    <row r="618" spans="1:6" x14ac:dyDescent="0.25">
      <c r="A618" s="73"/>
      <c r="B618" s="74"/>
      <c r="C618" s="74"/>
      <c r="D618" s="74"/>
      <c r="E618" s="83"/>
      <c r="F618" s="74"/>
    </row>
    <row r="619" spans="1:6" x14ac:dyDescent="0.25">
      <c r="A619" s="73"/>
      <c r="B619" s="74"/>
      <c r="C619" s="74"/>
      <c r="D619" s="74"/>
      <c r="E619" s="83"/>
      <c r="F619" s="74"/>
    </row>
    <row r="620" spans="1:6" x14ac:dyDescent="0.25">
      <c r="A620" s="73"/>
      <c r="B620" s="74"/>
      <c r="C620" s="74"/>
      <c r="D620" s="74"/>
      <c r="E620" s="83"/>
      <c r="F620" s="74"/>
    </row>
    <row r="621" spans="1:6" x14ac:dyDescent="0.25">
      <c r="A621" s="73"/>
      <c r="B621" s="74"/>
      <c r="C621" s="74"/>
      <c r="D621" s="74"/>
      <c r="E621" s="83"/>
      <c r="F621" s="74"/>
    </row>
    <row r="622" spans="1:6" x14ac:dyDescent="0.25">
      <c r="A622" s="73"/>
      <c r="B622" s="74"/>
      <c r="C622" s="74"/>
      <c r="D622" s="74"/>
      <c r="E622" s="83"/>
      <c r="F622" s="74"/>
    </row>
    <row r="623" spans="1:6" x14ac:dyDescent="0.25">
      <c r="A623" s="73"/>
      <c r="B623" s="74"/>
      <c r="C623" s="74"/>
      <c r="D623" s="74"/>
      <c r="E623" s="83"/>
      <c r="F623" s="74"/>
    </row>
    <row r="624" spans="1:6" x14ac:dyDescent="0.25">
      <c r="A624" s="73"/>
      <c r="B624" s="74"/>
      <c r="C624" s="74"/>
      <c r="D624" s="74"/>
      <c r="E624" s="83"/>
      <c r="F624" s="74"/>
    </row>
    <row r="625" spans="1:6" x14ac:dyDescent="0.25">
      <c r="A625" s="73"/>
      <c r="B625" s="74"/>
      <c r="C625" s="74"/>
      <c r="D625" s="74"/>
      <c r="E625" s="83"/>
      <c r="F625" s="74"/>
    </row>
    <row r="626" spans="1:6" x14ac:dyDescent="0.25">
      <c r="A626" s="73"/>
      <c r="B626" s="74"/>
      <c r="C626" s="74"/>
      <c r="D626" s="74"/>
      <c r="E626" s="83"/>
      <c r="F626" s="74"/>
    </row>
    <row r="627" spans="1:6" x14ac:dyDescent="0.25">
      <c r="A627" s="73"/>
      <c r="B627" s="74"/>
      <c r="C627" s="74"/>
      <c r="D627" s="74"/>
      <c r="E627" s="83"/>
      <c r="F627" s="74"/>
    </row>
    <row r="628" spans="1:6" x14ac:dyDescent="0.25">
      <c r="A628" s="73"/>
      <c r="B628" s="74"/>
      <c r="C628" s="74"/>
      <c r="D628" s="74"/>
      <c r="E628" s="83"/>
      <c r="F628" s="74"/>
    </row>
    <row r="629" spans="1:6" x14ac:dyDescent="0.25">
      <c r="A629" s="73"/>
      <c r="B629" s="74"/>
      <c r="C629" s="74"/>
      <c r="D629" s="74"/>
      <c r="E629" s="83"/>
      <c r="F629" s="74"/>
    </row>
    <row r="630" spans="1:6" x14ac:dyDescent="0.25">
      <c r="A630" s="73"/>
      <c r="B630" s="74"/>
      <c r="C630" s="74"/>
      <c r="D630" s="74"/>
      <c r="E630" s="83"/>
      <c r="F630" s="74"/>
    </row>
    <row r="631" spans="1:6" x14ac:dyDescent="0.25">
      <c r="A631" s="73"/>
      <c r="B631" s="74"/>
      <c r="C631" s="74"/>
      <c r="D631" s="74"/>
      <c r="E631" s="83"/>
      <c r="F631" s="74"/>
    </row>
    <row r="632" spans="1:6" x14ac:dyDescent="0.25">
      <c r="A632" s="73"/>
      <c r="B632" s="74"/>
      <c r="C632" s="74"/>
      <c r="D632" s="74"/>
      <c r="E632" s="83"/>
      <c r="F632" s="74"/>
    </row>
    <row r="633" spans="1:6" x14ac:dyDescent="0.25">
      <c r="A633" s="73"/>
      <c r="B633" s="74"/>
      <c r="C633" s="74"/>
      <c r="D633" s="74"/>
      <c r="E633" s="83"/>
      <c r="F633" s="74"/>
    </row>
    <row r="634" spans="1:6" x14ac:dyDescent="0.25">
      <c r="A634" s="73"/>
      <c r="B634" s="74"/>
      <c r="C634" s="74"/>
      <c r="D634" s="74"/>
      <c r="E634" s="83"/>
      <c r="F634" s="74"/>
    </row>
    <row r="635" spans="1:6" x14ac:dyDescent="0.25">
      <c r="A635" s="73"/>
      <c r="B635" s="74"/>
      <c r="C635" s="74"/>
      <c r="D635" s="74"/>
      <c r="E635" s="83"/>
      <c r="F635" s="74"/>
    </row>
    <row r="636" spans="1:6" x14ac:dyDescent="0.25">
      <c r="A636" s="73"/>
      <c r="B636" s="74"/>
      <c r="C636" s="74"/>
      <c r="D636" s="74"/>
      <c r="E636" s="83"/>
      <c r="F636" s="74"/>
    </row>
    <row r="637" spans="1:6" x14ac:dyDescent="0.25">
      <c r="A637" s="73"/>
      <c r="B637" s="74"/>
      <c r="C637" s="74"/>
      <c r="D637" s="74"/>
      <c r="E637" s="83"/>
      <c r="F637" s="74"/>
    </row>
    <row r="638" spans="1:6" x14ac:dyDescent="0.25">
      <c r="A638" s="73"/>
      <c r="B638" s="74"/>
      <c r="C638" s="74"/>
      <c r="D638" s="74"/>
      <c r="E638" s="83"/>
      <c r="F638" s="74"/>
    </row>
    <row r="639" spans="1:6" x14ac:dyDescent="0.25">
      <c r="A639" s="73"/>
      <c r="B639" s="74"/>
      <c r="C639" s="74"/>
      <c r="D639" s="74"/>
      <c r="E639" s="83"/>
      <c r="F639" s="74"/>
    </row>
    <row r="640" spans="1:6" x14ac:dyDescent="0.25">
      <c r="A640" s="73"/>
      <c r="B640" s="74"/>
      <c r="C640" s="74"/>
      <c r="D640" s="74"/>
      <c r="E640" s="83"/>
      <c r="F640" s="74"/>
    </row>
    <row r="641" spans="1:6" x14ac:dyDescent="0.25">
      <c r="A641" s="73"/>
      <c r="B641" s="74"/>
      <c r="C641" s="74"/>
      <c r="D641" s="74"/>
      <c r="E641" s="83"/>
      <c r="F641" s="74"/>
    </row>
    <row r="642" spans="1:6" x14ac:dyDescent="0.25">
      <c r="A642" s="73"/>
      <c r="B642" s="74"/>
      <c r="C642" s="74"/>
      <c r="D642" s="74"/>
      <c r="E642" s="83"/>
      <c r="F642" s="74"/>
    </row>
    <row r="643" spans="1:6" x14ac:dyDescent="0.25">
      <c r="A643" s="73"/>
      <c r="B643" s="74"/>
      <c r="C643" s="74"/>
      <c r="D643" s="74"/>
      <c r="E643" s="83"/>
      <c r="F643" s="74"/>
    </row>
    <row r="644" spans="1:6" x14ac:dyDescent="0.25">
      <c r="A644" s="73"/>
      <c r="B644" s="74"/>
      <c r="C644" s="74"/>
      <c r="D644" s="74"/>
      <c r="E644" s="83"/>
      <c r="F644" s="74"/>
    </row>
    <row r="645" spans="1:6" x14ac:dyDescent="0.25">
      <c r="A645" s="73"/>
      <c r="B645" s="74"/>
      <c r="C645" s="74"/>
      <c r="D645" s="74"/>
      <c r="E645" s="83"/>
      <c r="F645" s="74"/>
    </row>
    <row r="646" spans="1:6" x14ac:dyDescent="0.25">
      <c r="A646" s="73"/>
      <c r="B646" s="74"/>
      <c r="C646" s="74"/>
      <c r="D646" s="74"/>
      <c r="E646" s="83"/>
      <c r="F646" s="74"/>
    </row>
    <row r="647" spans="1:6" x14ac:dyDescent="0.25">
      <c r="A647" s="73"/>
      <c r="B647" s="74"/>
      <c r="C647" s="74"/>
      <c r="D647" s="74"/>
      <c r="E647" s="83"/>
      <c r="F647" s="74"/>
    </row>
    <row r="648" spans="1:6" x14ac:dyDescent="0.25">
      <c r="A648" s="73"/>
      <c r="B648" s="74"/>
      <c r="C648" s="74"/>
      <c r="D648" s="74"/>
      <c r="E648" s="83"/>
      <c r="F648" s="74"/>
    </row>
    <row r="649" spans="1:6" x14ac:dyDescent="0.25">
      <c r="A649" s="73"/>
      <c r="B649" s="74"/>
      <c r="C649" s="74"/>
      <c r="D649" s="74"/>
      <c r="E649" s="83"/>
      <c r="F649" s="74"/>
    </row>
    <row r="650" spans="1:6" x14ac:dyDescent="0.25">
      <c r="A650" s="73"/>
      <c r="B650" s="74"/>
      <c r="C650" s="74"/>
      <c r="D650" s="74"/>
      <c r="E650" s="83"/>
      <c r="F650" s="74"/>
    </row>
    <row r="651" spans="1:6" x14ac:dyDescent="0.25">
      <c r="A651" s="73"/>
      <c r="B651" s="74"/>
      <c r="C651" s="74"/>
      <c r="D651" s="74"/>
      <c r="E651" s="83"/>
      <c r="F651" s="74"/>
    </row>
    <row r="652" spans="1:6" x14ac:dyDescent="0.25">
      <c r="A652" s="73"/>
      <c r="B652" s="74"/>
      <c r="C652" s="74"/>
      <c r="D652" s="74"/>
      <c r="E652" s="83"/>
      <c r="F652" s="74"/>
    </row>
    <row r="653" spans="1:6" x14ac:dyDescent="0.25">
      <c r="A653" s="73"/>
      <c r="B653" s="74"/>
      <c r="C653" s="74"/>
      <c r="D653" s="74"/>
      <c r="E653" s="83"/>
      <c r="F653" s="74"/>
    </row>
    <row r="654" spans="1:6" x14ac:dyDescent="0.25">
      <c r="A654" s="73"/>
      <c r="B654" s="74"/>
      <c r="C654" s="74"/>
      <c r="D654" s="74"/>
      <c r="E654" s="83"/>
      <c r="F654" s="74"/>
    </row>
    <row r="655" spans="1:6" x14ac:dyDescent="0.25">
      <c r="A655" s="73"/>
      <c r="B655" s="74"/>
      <c r="C655" s="74"/>
      <c r="D655" s="74"/>
      <c r="E655" s="83"/>
      <c r="F655" s="74"/>
    </row>
    <row r="656" spans="1:6" x14ac:dyDescent="0.25">
      <c r="A656" s="73"/>
      <c r="B656" s="74"/>
      <c r="C656" s="74"/>
      <c r="D656" s="74"/>
      <c r="E656" s="83"/>
      <c r="F656" s="74"/>
    </row>
    <row r="657" spans="1:6" x14ac:dyDescent="0.25">
      <c r="A657" s="73"/>
      <c r="B657" s="74"/>
      <c r="C657" s="74"/>
      <c r="D657" s="74"/>
      <c r="E657" s="83"/>
      <c r="F657" s="74"/>
    </row>
    <row r="658" spans="1:6" x14ac:dyDescent="0.25">
      <c r="A658" s="73"/>
      <c r="B658" s="74"/>
      <c r="C658" s="74"/>
      <c r="D658" s="74"/>
      <c r="E658" s="83"/>
      <c r="F658" s="74"/>
    </row>
    <row r="659" spans="1:6" x14ac:dyDescent="0.25">
      <c r="A659" s="73"/>
      <c r="B659" s="74"/>
      <c r="C659" s="74"/>
      <c r="D659" s="74"/>
      <c r="E659" s="83"/>
      <c r="F659" s="74"/>
    </row>
    <row r="660" spans="1:6" x14ac:dyDescent="0.25">
      <c r="A660" s="73"/>
      <c r="B660" s="74"/>
      <c r="C660" s="74"/>
      <c r="D660" s="74"/>
      <c r="E660" s="83"/>
      <c r="F660" s="74"/>
    </row>
    <row r="661" spans="1:6" x14ac:dyDescent="0.25">
      <c r="A661" s="73"/>
      <c r="B661" s="74"/>
      <c r="C661" s="74"/>
      <c r="D661" s="74"/>
      <c r="E661" s="83"/>
      <c r="F661" s="74"/>
    </row>
    <row r="662" spans="1:6" x14ac:dyDescent="0.25">
      <c r="A662" s="73"/>
      <c r="B662" s="74"/>
      <c r="C662" s="74"/>
      <c r="D662" s="74"/>
      <c r="E662" s="83"/>
      <c r="F662" s="74"/>
    </row>
    <row r="663" spans="1:6" x14ac:dyDescent="0.25">
      <c r="A663" s="73"/>
      <c r="B663" s="74"/>
      <c r="C663" s="74"/>
      <c r="D663" s="74"/>
      <c r="E663" s="83"/>
      <c r="F663" s="74"/>
    </row>
    <row r="664" spans="1:6" x14ac:dyDescent="0.25">
      <c r="A664" s="73"/>
      <c r="B664" s="74"/>
      <c r="C664" s="74"/>
      <c r="D664" s="74"/>
      <c r="E664" s="83"/>
      <c r="F664" s="74"/>
    </row>
    <row r="665" spans="1:6" x14ac:dyDescent="0.25">
      <c r="A665" s="73"/>
      <c r="B665" s="74"/>
      <c r="C665" s="74"/>
      <c r="D665" s="74"/>
      <c r="E665" s="83"/>
      <c r="F665" s="74"/>
    </row>
    <row r="666" spans="1:6" x14ac:dyDescent="0.25">
      <c r="A666" s="73"/>
      <c r="B666" s="74"/>
      <c r="C666" s="74"/>
      <c r="D666" s="74"/>
      <c r="E666" s="83"/>
      <c r="F666" s="74"/>
    </row>
    <row r="667" spans="1:6" x14ac:dyDescent="0.25">
      <c r="A667" s="73"/>
      <c r="B667" s="74"/>
      <c r="C667" s="74"/>
      <c r="D667" s="74"/>
      <c r="E667" s="83"/>
      <c r="F667" s="74"/>
    </row>
    <row r="668" spans="1:6" x14ac:dyDescent="0.25">
      <c r="A668" s="73"/>
      <c r="B668" s="74"/>
      <c r="C668" s="74"/>
      <c r="D668" s="74"/>
      <c r="E668" s="83"/>
      <c r="F668" s="74"/>
    </row>
    <row r="669" spans="1:6" x14ac:dyDescent="0.25">
      <c r="A669" s="73"/>
      <c r="B669" s="74"/>
      <c r="C669" s="74"/>
      <c r="D669" s="74"/>
      <c r="E669" s="83"/>
      <c r="F669" s="74"/>
    </row>
    <row r="670" spans="1:6" x14ac:dyDescent="0.25">
      <c r="A670" s="73"/>
      <c r="B670" s="74"/>
      <c r="C670" s="74"/>
      <c r="D670" s="74"/>
      <c r="E670" s="83"/>
      <c r="F670" s="74"/>
    </row>
    <row r="671" spans="1:6" x14ac:dyDescent="0.25">
      <c r="A671" s="73"/>
      <c r="B671" s="74"/>
      <c r="C671" s="74"/>
      <c r="D671" s="74"/>
      <c r="E671" s="83"/>
      <c r="F671" s="74"/>
    </row>
    <row r="672" spans="1:6" x14ac:dyDescent="0.25">
      <c r="A672" s="73"/>
      <c r="B672" s="74"/>
      <c r="C672" s="74"/>
      <c r="D672" s="74"/>
      <c r="E672" s="83"/>
      <c r="F672" s="74"/>
    </row>
    <row r="673" spans="1:6" x14ac:dyDescent="0.25">
      <c r="A673" s="73"/>
      <c r="B673" s="74"/>
      <c r="C673" s="74"/>
      <c r="D673" s="74"/>
      <c r="E673" s="83"/>
      <c r="F673" s="74"/>
    </row>
    <row r="674" spans="1:6" x14ac:dyDescent="0.25">
      <c r="A674" s="73"/>
      <c r="B674" s="74"/>
      <c r="C674" s="74"/>
      <c r="D674" s="74"/>
      <c r="E674" s="83"/>
      <c r="F674" s="74"/>
    </row>
    <row r="675" spans="1:6" x14ac:dyDescent="0.25">
      <c r="A675" s="73"/>
      <c r="B675" s="74"/>
      <c r="C675" s="74"/>
      <c r="D675" s="74"/>
      <c r="E675" s="83"/>
      <c r="F675" s="74"/>
    </row>
    <row r="676" spans="1:6" x14ac:dyDescent="0.25">
      <c r="A676" s="73"/>
      <c r="B676" s="74"/>
      <c r="C676" s="74"/>
      <c r="D676" s="74"/>
      <c r="E676" s="83"/>
      <c r="F676" s="74"/>
    </row>
    <row r="677" spans="1:6" x14ac:dyDescent="0.25">
      <c r="A677" s="73"/>
      <c r="B677" s="74"/>
      <c r="C677" s="74"/>
      <c r="D677" s="74"/>
      <c r="E677" s="83"/>
      <c r="F677" s="74"/>
    </row>
    <row r="678" spans="1:6" x14ac:dyDescent="0.25">
      <c r="A678" s="73"/>
      <c r="B678" s="74"/>
      <c r="C678" s="74"/>
      <c r="D678" s="74"/>
      <c r="E678" s="83"/>
      <c r="F678" s="74"/>
    </row>
    <row r="679" spans="1:6" x14ac:dyDescent="0.25">
      <c r="A679" s="73"/>
      <c r="B679" s="74"/>
      <c r="C679" s="74"/>
      <c r="D679" s="74"/>
      <c r="E679" s="83"/>
      <c r="F679" s="74"/>
    </row>
    <row r="680" spans="1:6" x14ac:dyDescent="0.25">
      <c r="A680" s="73"/>
      <c r="B680" s="74"/>
      <c r="C680" s="74"/>
      <c r="D680" s="74"/>
      <c r="E680" s="83"/>
      <c r="F680" s="74"/>
    </row>
    <row r="681" spans="1:6" x14ac:dyDescent="0.25">
      <c r="A681" s="73"/>
      <c r="B681" s="74"/>
      <c r="C681" s="74"/>
      <c r="D681" s="74"/>
      <c r="E681" s="83"/>
      <c r="F681" s="74"/>
    </row>
    <row r="682" spans="1:6" x14ac:dyDescent="0.25">
      <c r="A682" s="73"/>
      <c r="B682" s="74"/>
      <c r="C682" s="74"/>
      <c r="D682" s="74"/>
      <c r="E682" s="83"/>
      <c r="F682" s="74"/>
    </row>
    <row r="683" spans="1:6" x14ac:dyDescent="0.25">
      <c r="A683" s="73"/>
      <c r="B683" s="74"/>
      <c r="C683" s="74"/>
      <c r="D683" s="74"/>
      <c r="E683" s="83"/>
      <c r="F683" s="74"/>
    </row>
    <row r="684" spans="1:6" x14ac:dyDescent="0.25">
      <c r="A684" s="73"/>
      <c r="B684" s="74"/>
      <c r="C684" s="74"/>
      <c r="D684" s="74"/>
      <c r="E684" s="83"/>
      <c r="F684" s="74"/>
    </row>
    <row r="685" spans="1:6" x14ac:dyDescent="0.25">
      <c r="A685" s="73"/>
      <c r="B685" s="74"/>
      <c r="C685" s="74"/>
      <c r="D685" s="74"/>
      <c r="E685" s="83"/>
      <c r="F685" s="74"/>
    </row>
    <row r="686" spans="1:6" x14ac:dyDescent="0.25">
      <c r="A686" s="73"/>
      <c r="B686" s="74"/>
      <c r="C686" s="74"/>
      <c r="D686" s="74"/>
      <c r="E686" s="83"/>
      <c r="F686" s="74"/>
    </row>
    <row r="687" spans="1:6" x14ac:dyDescent="0.25">
      <c r="A687" s="73"/>
      <c r="B687" s="74"/>
      <c r="C687" s="74"/>
      <c r="D687" s="74"/>
      <c r="E687" s="83"/>
      <c r="F687" s="74"/>
    </row>
    <row r="688" spans="1:6" x14ac:dyDescent="0.25">
      <c r="A688" s="73"/>
      <c r="B688" s="74"/>
      <c r="C688" s="74"/>
      <c r="D688" s="74"/>
      <c r="E688" s="83"/>
      <c r="F688" s="74"/>
    </row>
    <row r="689" spans="1:6" x14ac:dyDescent="0.25">
      <c r="A689" s="73"/>
      <c r="B689" s="74"/>
      <c r="C689" s="74"/>
      <c r="D689" s="74"/>
      <c r="E689" s="83"/>
      <c r="F689" s="74"/>
    </row>
    <row r="690" spans="1:6" x14ac:dyDescent="0.25">
      <c r="A690" s="73"/>
      <c r="B690" s="74"/>
      <c r="C690" s="74"/>
      <c r="D690" s="74"/>
      <c r="E690" s="83"/>
      <c r="F690" s="74"/>
    </row>
    <row r="691" spans="1:6" x14ac:dyDescent="0.25">
      <c r="A691" s="73"/>
      <c r="B691" s="74"/>
      <c r="C691" s="74"/>
      <c r="D691" s="74"/>
      <c r="E691" s="83"/>
      <c r="F691" s="74"/>
    </row>
    <row r="692" spans="1:6" x14ac:dyDescent="0.25">
      <c r="A692" s="73"/>
      <c r="B692" s="74"/>
      <c r="C692" s="74"/>
      <c r="D692" s="74"/>
      <c r="E692" s="83"/>
      <c r="F692" s="74"/>
    </row>
    <row r="693" spans="1:6" x14ac:dyDescent="0.25">
      <c r="A693" s="73"/>
      <c r="B693" s="74"/>
      <c r="C693" s="74"/>
      <c r="D693" s="74"/>
      <c r="E693" s="83"/>
      <c r="F693" s="74"/>
    </row>
    <row r="694" spans="1:6" x14ac:dyDescent="0.25">
      <c r="A694" s="73"/>
      <c r="B694" s="74"/>
      <c r="C694" s="74"/>
      <c r="D694" s="74"/>
      <c r="E694" s="83"/>
      <c r="F694" s="74"/>
    </row>
    <row r="695" spans="1:6" x14ac:dyDescent="0.25">
      <c r="A695" s="73"/>
      <c r="B695" s="74"/>
      <c r="C695" s="74"/>
      <c r="D695" s="74"/>
      <c r="E695" s="83"/>
      <c r="F695" s="74"/>
    </row>
    <row r="696" spans="1:6" x14ac:dyDescent="0.25">
      <c r="A696" s="73"/>
      <c r="B696" s="74"/>
      <c r="C696" s="74"/>
      <c r="D696" s="74"/>
      <c r="E696" s="83"/>
      <c r="F696" s="74"/>
    </row>
    <row r="697" spans="1:6" x14ac:dyDescent="0.25">
      <c r="A697" s="73"/>
      <c r="B697" s="74"/>
      <c r="C697" s="74"/>
      <c r="D697" s="74"/>
      <c r="E697" s="83"/>
      <c r="F697" s="74"/>
    </row>
    <row r="698" spans="1:6" x14ac:dyDescent="0.25">
      <c r="A698" s="73"/>
      <c r="B698" s="74"/>
      <c r="C698" s="74"/>
      <c r="D698" s="74"/>
      <c r="E698" s="83"/>
      <c r="F698" s="74"/>
    </row>
    <row r="699" spans="1:6" x14ac:dyDescent="0.25">
      <c r="A699" s="73"/>
      <c r="B699" s="74"/>
      <c r="C699" s="74"/>
      <c r="D699" s="74"/>
      <c r="E699" s="83"/>
      <c r="F699" s="74"/>
    </row>
    <row r="700" spans="1:6" x14ac:dyDescent="0.25">
      <c r="A700" s="73"/>
      <c r="B700" s="74"/>
      <c r="C700" s="74"/>
      <c r="D700" s="74"/>
      <c r="E700" s="83"/>
      <c r="F700" s="74"/>
    </row>
    <row r="701" spans="1:6" x14ac:dyDescent="0.25">
      <c r="A701" s="73"/>
      <c r="B701" s="74"/>
      <c r="C701" s="74"/>
      <c r="D701" s="74"/>
      <c r="E701" s="83"/>
      <c r="F701" s="74"/>
    </row>
    <row r="702" spans="1:6" x14ac:dyDescent="0.25">
      <c r="A702" s="73"/>
      <c r="B702" s="74"/>
      <c r="C702" s="74"/>
      <c r="D702" s="74"/>
      <c r="E702" s="83"/>
      <c r="F702" s="74"/>
    </row>
    <row r="703" spans="1:6" x14ac:dyDescent="0.25">
      <c r="A703" s="73"/>
      <c r="B703" s="74"/>
      <c r="C703" s="74"/>
      <c r="D703" s="74"/>
      <c r="E703" s="83"/>
      <c r="F703" s="74"/>
    </row>
    <row r="704" spans="1:6" x14ac:dyDescent="0.25">
      <c r="A704" s="73"/>
      <c r="B704" s="74"/>
      <c r="C704" s="74"/>
      <c r="D704" s="74"/>
      <c r="E704" s="83"/>
      <c r="F704" s="74"/>
    </row>
    <row r="705" spans="1:6" x14ac:dyDescent="0.25">
      <c r="A705" s="73"/>
      <c r="B705" s="74"/>
      <c r="C705" s="74"/>
      <c r="D705" s="74"/>
      <c r="E705" s="83"/>
      <c r="F705" s="74"/>
    </row>
    <row r="706" spans="1:6" x14ac:dyDescent="0.25">
      <c r="A706" s="73"/>
      <c r="B706" s="74"/>
      <c r="C706" s="74"/>
      <c r="D706" s="74"/>
      <c r="E706" s="83"/>
      <c r="F706" s="74"/>
    </row>
    <row r="707" spans="1:6" x14ac:dyDescent="0.25">
      <c r="A707" s="73"/>
      <c r="B707" s="74"/>
      <c r="C707" s="74"/>
      <c r="D707" s="74"/>
      <c r="E707" s="83"/>
      <c r="F707" s="74"/>
    </row>
    <row r="708" spans="1:6" x14ac:dyDescent="0.25">
      <c r="A708" s="73"/>
      <c r="B708" s="74"/>
      <c r="C708" s="74"/>
      <c r="D708" s="74"/>
      <c r="E708" s="83"/>
      <c r="F708" s="74"/>
    </row>
    <row r="709" spans="1:6" x14ac:dyDescent="0.25">
      <c r="A709" s="73"/>
      <c r="B709" s="74"/>
      <c r="C709" s="74"/>
      <c r="D709" s="74"/>
      <c r="E709" s="83"/>
      <c r="F709" s="74"/>
    </row>
    <row r="710" spans="1:6" x14ac:dyDescent="0.25">
      <c r="A710" s="73"/>
      <c r="B710" s="74"/>
      <c r="C710" s="74"/>
      <c r="D710" s="74"/>
      <c r="E710" s="83"/>
      <c r="F710" s="74"/>
    </row>
    <row r="711" spans="1:6" x14ac:dyDescent="0.25">
      <c r="A711" s="73"/>
      <c r="B711" s="74"/>
      <c r="C711" s="74"/>
      <c r="D711" s="74"/>
      <c r="E711" s="83"/>
      <c r="F711" s="74"/>
    </row>
    <row r="712" spans="1:6" x14ac:dyDescent="0.25">
      <c r="A712" s="73"/>
      <c r="B712" s="74"/>
      <c r="C712" s="74"/>
      <c r="D712" s="74"/>
      <c r="E712" s="83"/>
      <c r="F712" s="74"/>
    </row>
    <row r="713" spans="1:6" x14ac:dyDescent="0.25">
      <c r="A713" s="73"/>
      <c r="B713" s="74"/>
      <c r="C713" s="74"/>
      <c r="D713" s="74"/>
      <c r="E713" s="83"/>
      <c r="F713" s="74"/>
    </row>
    <row r="714" spans="1:6" x14ac:dyDescent="0.25">
      <c r="A714" s="73"/>
      <c r="B714" s="74"/>
      <c r="C714" s="74"/>
      <c r="D714" s="74"/>
      <c r="E714" s="83"/>
      <c r="F714" s="74"/>
    </row>
    <row r="715" spans="1:6" x14ac:dyDescent="0.25">
      <c r="A715" s="73"/>
      <c r="B715" s="74"/>
      <c r="C715" s="74"/>
      <c r="D715" s="74"/>
      <c r="E715" s="83"/>
      <c r="F715" s="74"/>
    </row>
    <row r="716" spans="1:6" x14ac:dyDescent="0.25">
      <c r="A716" s="73"/>
      <c r="B716" s="74"/>
      <c r="C716" s="74"/>
      <c r="D716" s="74"/>
      <c r="E716" s="83"/>
      <c r="F716" s="74"/>
    </row>
    <row r="717" spans="1:6" x14ac:dyDescent="0.25">
      <c r="A717" s="73"/>
      <c r="B717" s="74"/>
      <c r="C717" s="74"/>
      <c r="D717" s="74"/>
      <c r="E717" s="83"/>
      <c r="F717" s="74"/>
    </row>
    <row r="718" spans="1:6" x14ac:dyDescent="0.25">
      <c r="A718" s="73"/>
      <c r="B718" s="74"/>
      <c r="C718" s="74"/>
      <c r="D718" s="74"/>
      <c r="E718" s="83"/>
      <c r="F718" s="74"/>
    </row>
    <row r="719" spans="1:6" x14ac:dyDescent="0.25">
      <c r="A719" s="73"/>
      <c r="B719" s="74"/>
      <c r="C719" s="74"/>
      <c r="D719" s="74"/>
      <c r="E719" s="83"/>
      <c r="F719" s="74"/>
    </row>
    <row r="720" spans="1:6" x14ac:dyDescent="0.25">
      <c r="A720" s="73"/>
      <c r="B720" s="74"/>
      <c r="C720" s="74"/>
      <c r="D720" s="74"/>
      <c r="E720" s="83"/>
      <c r="F720" s="74"/>
    </row>
    <row r="721" spans="1:6" x14ac:dyDescent="0.25">
      <c r="A721" s="73"/>
      <c r="B721" s="74"/>
      <c r="C721" s="74"/>
      <c r="D721" s="74"/>
      <c r="E721" s="83"/>
      <c r="F721" s="74"/>
    </row>
    <row r="722" spans="1:6" x14ac:dyDescent="0.25">
      <c r="A722" s="73"/>
      <c r="B722" s="74"/>
      <c r="C722" s="74"/>
      <c r="D722" s="74"/>
      <c r="E722" s="83"/>
      <c r="F722" s="74"/>
    </row>
    <row r="723" spans="1:6" x14ac:dyDescent="0.25">
      <c r="A723" s="73"/>
      <c r="B723" s="74"/>
      <c r="C723" s="74"/>
      <c r="D723" s="74"/>
      <c r="E723" s="83"/>
      <c r="F723" s="74"/>
    </row>
    <row r="724" spans="1:6" x14ac:dyDescent="0.25">
      <c r="A724" s="73"/>
      <c r="B724" s="74"/>
      <c r="C724" s="74"/>
      <c r="D724" s="74"/>
      <c r="E724" s="83"/>
      <c r="F724" s="74"/>
    </row>
    <row r="725" spans="1:6" x14ac:dyDescent="0.25">
      <c r="A725" s="73"/>
      <c r="B725" s="74"/>
      <c r="C725" s="74"/>
      <c r="D725" s="74"/>
      <c r="E725" s="83"/>
      <c r="F725" s="74"/>
    </row>
    <row r="726" spans="1:6" x14ac:dyDescent="0.25">
      <c r="A726" s="73"/>
      <c r="B726" s="74"/>
      <c r="C726" s="74"/>
      <c r="D726" s="74"/>
      <c r="E726" s="83"/>
      <c r="F726" s="74"/>
    </row>
    <row r="727" spans="1:6" x14ac:dyDescent="0.25">
      <c r="A727" s="73"/>
      <c r="B727" s="74"/>
      <c r="C727" s="74"/>
      <c r="D727" s="74"/>
      <c r="E727" s="83"/>
      <c r="F727" s="74"/>
    </row>
    <row r="728" spans="1:6" x14ac:dyDescent="0.25">
      <c r="A728" s="73"/>
      <c r="B728" s="74"/>
      <c r="C728" s="74"/>
      <c r="D728" s="74"/>
      <c r="E728" s="83"/>
      <c r="F728" s="74"/>
    </row>
    <row r="729" spans="1:6" x14ac:dyDescent="0.25">
      <c r="A729" s="73"/>
      <c r="B729" s="74"/>
      <c r="C729" s="74"/>
      <c r="D729" s="74"/>
      <c r="E729" s="83"/>
      <c r="F729" s="74"/>
    </row>
    <row r="730" spans="1:6" x14ac:dyDescent="0.25">
      <c r="A730" s="73"/>
      <c r="B730" s="74"/>
      <c r="C730" s="74"/>
      <c r="D730" s="74"/>
      <c r="E730" s="83"/>
      <c r="F730" s="74"/>
    </row>
    <row r="731" spans="1:6" x14ac:dyDescent="0.25">
      <c r="A731" s="73"/>
      <c r="B731" s="74"/>
      <c r="C731" s="74"/>
      <c r="D731" s="74"/>
      <c r="E731" s="83"/>
      <c r="F731" s="74"/>
    </row>
    <row r="732" spans="1:6" x14ac:dyDescent="0.25">
      <c r="A732" s="73"/>
      <c r="B732" s="74"/>
      <c r="C732" s="74"/>
      <c r="D732" s="74"/>
      <c r="E732" s="83"/>
      <c r="F732" s="74"/>
    </row>
    <row r="733" spans="1:6" x14ac:dyDescent="0.25">
      <c r="A733" s="73"/>
      <c r="B733" s="74"/>
      <c r="C733" s="74"/>
      <c r="D733" s="74"/>
      <c r="E733" s="83"/>
      <c r="F733" s="74"/>
    </row>
    <row r="734" spans="1:6" x14ac:dyDescent="0.25">
      <c r="A734" s="73"/>
      <c r="B734" s="74"/>
      <c r="C734" s="74"/>
      <c r="D734" s="74"/>
      <c r="E734" s="83"/>
      <c r="F734" s="74"/>
    </row>
    <row r="735" spans="1:6" x14ac:dyDescent="0.25">
      <c r="A735" s="73"/>
      <c r="B735" s="74"/>
      <c r="C735" s="74"/>
      <c r="D735" s="74"/>
      <c r="E735" s="83"/>
      <c r="F735" s="74"/>
    </row>
    <row r="736" spans="1:6" x14ac:dyDescent="0.25">
      <c r="A736" s="73"/>
      <c r="B736" s="74"/>
      <c r="C736" s="74"/>
      <c r="D736" s="74"/>
      <c r="E736" s="83"/>
      <c r="F736" s="74"/>
    </row>
    <row r="737" spans="1:6" x14ac:dyDescent="0.25">
      <c r="A737" s="73"/>
      <c r="B737" s="74"/>
      <c r="C737" s="74"/>
      <c r="D737" s="74"/>
      <c r="E737" s="83"/>
      <c r="F737" s="74"/>
    </row>
    <row r="738" spans="1:6" x14ac:dyDescent="0.25">
      <c r="A738" s="73"/>
      <c r="B738" s="74"/>
      <c r="C738" s="74"/>
      <c r="D738" s="74"/>
      <c r="E738" s="83"/>
      <c r="F738" s="74"/>
    </row>
    <row r="739" spans="1:6" x14ac:dyDescent="0.25">
      <c r="A739" s="73"/>
      <c r="B739" s="74"/>
      <c r="C739" s="74"/>
      <c r="D739" s="74"/>
      <c r="E739" s="83"/>
      <c r="F739" s="74"/>
    </row>
    <row r="740" spans="1:6" x14ac:dyDescent="0.25">
      <c r="A740" s="73"/>
      <c r="B740" s="74"/>
      <c r="C740" s="74"/>
      <c r="D740" s="74"/>
      <c r="E740" s="83"/>
      <c r="F740" s="74"/>
    </row>
    <row r="741" spans="1:6" x14ac:dyDescent="0.25">
      <c r="A741" s="73"/>
      <c r="B741" s="74"/>
      <c r="C741" s="74"/>
      <c r="D741" s="74"/>
      <c r="E741" s="83"/>
      <c r="F741" s="74"/>
    </row>
    <row r="742" spans="1:6" x14ac:dyDescent="0.25">
      <c r="A742" s="73"/>
      <c r="B742" s="74"/>
      <c r="C742" s="74"/>
      <c r="D742" s="74"/>
      <c r="E742" s="83"/>
      <c r="F742" s="74"/>
    </row>
    <row r="743" spans="1:6" x14ac:dyDescent="0.25">
      <c r="A743" s="73"/>
      <c r="B743" s="74"/>
      <c r="C743" s="74"/>
      <c r="D743" s="74"/>
      <c r="E743" s="83"/>
      <c r="F743" s="74"/>
    </row>
    <row r="744" spans="1:6" x14ac:dyDescent="0.25">
      <c r="A744" s="73"/>
      <c r="B744" s="74"/>
      <c r="C744" s="74"/>
      <c r="D744" s="74"/>
      <c r="E744" s="83"/>
      <c r="F744" s="74"/>
    </row>
    <row r="745" spans="1:6" x14ac:dyDescent="0.25">
      <c r="A745" s="73"/>
      <c r="B745" s="74"/>
      <c r="C745" s="74"/>
      <c r="D745" s="74"/>
      <c r="E745" s="83"/>
      <c r="F745" s="74"/>
    </row>
    <row r="746" spans="1:6" x14ac:dyDescent="0.25">
      <c r="A746" s="73"/>
      <c r="B746" s="74"/>
      <c r="C746" s="74"/>
      <c r="D746" s="74"/>
      <c r="E746" s="83"/>
      <c r="F746" s="74"/>
    </row>
    <row r="747" spans="1:6" x14ac:dyDescent="0.25">
      <c r="A747" s="73"/>
      <c r="B747" s="74"/>
      <c r="C747" s="74"/>
      <c r="D747" s="74"/>
      <c r="E747" s="83"/>
      <c r="F747" s="74"/>
    </row>
    <row r="748" spans="1:6" x14ac:dyDescent="0.25">
      <c r="A748" s="73"/>
      <c r="B748" s="74"/>
      <c r="C748" s="74"/>
      <c r="D748" s="74"/>
      <c r="E748" s="83"/>
      <c r="F748" s="74"/>
    </row>
    <row r="749" spans="1:6" x14ac:dyDescent="0.25">
      <c r="A749" s="73"/>
      <c r="B749" s="74"/>
      <c r="C749" s="74"/>
      <c r="D749" s="74"/>
      <c r="E749" s="83"/>
      <c r="F749" s="74"/>
    </row>
    <row r="750" spans="1:6" x14ac:dyDescent="0.25">
      <c r="A750" s="73"/>
      <c r="B750" s="74"/>
      <c r="C750" s="74"/>
      <c r="D750" s="74"/>
      <c r="E750" s="83"/>
      <c r="F750" s="74"/>
    </row>
    <row r="751" spans="1:6" x14ac:dyDescent="0.25">
      <c r="A751" s="73"/>
      <c r="B751" s="74"/>
      <c r="C751" s="74"/>
      <c r="D751" s="74"/>
      <c r="E751" s="83"/>
      <c r="F751" s="74"/>
    </row>
    <row r="752" spans="1:6" x14ac:dyDescent="0.25">
      <c r="A752" s="73"/>
      <c r="B752" s="74"/>
      <c r="C752" s="74"/>
      <c r="D752" s="74"/>
      <c r="E752" s="83"/>
      <c r="F752" s="74"/>
    </row>
    <row r="753" spans="1:6" x14ac:dyDescent="0.25">
      <c r="A753" s="73"/>
      <c r="B753" s="74"/>
      <c r="C753" s="74"/>
      <c r="D753" s="74"/>
      <c r="E753" s="83"/>
      <c r="F753" s="74"/>
    </row>
    <row r="754" spans="1:6" x14ac:dyDescent="0.25">
      <c r="A754" s="73"/>
      <c r="B754" s="74"/>
      <c r="C754" s="74"/>
      <c r="D754" s="74"/>
      <c r="E754" s="83"/>
      <c r="F754" s="74"/>
    </row>
    <row r="755" spans="1:6" x14ac:dyDescent="0.25">
      <c r="A755" s="73"/>
      <c r="B755" s="74"/>
      <c r="C755" s="74"/>
      <c r="D755" s="74"/>
      <c r="E755" s="83"/>
      <c r="F755" s="74"/>
    </row>
    <row r="756" spans="1:6" x14ac:dyDescent="0.25">
      <c r="A756" s="73"/>
      <c r="B756" s="74"/>
      <c r="C756" s="74"/>
      <c r="D756" s="74"/>
      <c r="E756" s="83"/>
      <c r="F756" s="74"/>
    </row>
    <row r="757" spans="1:6" x14ac:dyDescent="0.25">
      <c r="A757" s="73"/>
      <c r="B757" s="74"/>
      <c r="C757" s="74"/>
      <c r="D757" s="74"/>
      <c r="E757" s="83"/>
      <c r="F757" s="74"/>
    </row>
    <row r="758" spans="1:6" x14ac:dyDescent="0.25">
      <c r="A758" s="73"/>
      <c r="B758" s="74"/>
      <c r="C758" s="74"/>
      <c r="D758" s="74"/>
      <c r="E758" s="83"/>
      <c r="F758" s="74"/>
    </row>
    <row r="759" spans="1:6" x14ac:dyDescent="0.25">
      <c r="A759" s="73"/>
      <c r="B759" s="74"/>
      <c r="C759" s="74"/>
      <c r="D759" s="74"/>
      <c r="E759" s="83"/>
      <c r="F759" s="74"/>
    </row>
    <row r="760" spans="1:6" x14ac:dyDescent="0.25">
      <c r="A760" s="73"/>
      <c r="B760" s="74"/>
      <c r="C760" s="74"/>
      <c r="D760" s="74"/>
      <c r="E760" s="83"/>
      <c r="F760" s="74"/>
    </row>
    <row r="761" spans="1:6" x14ac:dyDescent="0.25">
      <c r="A761" s="73"/>
      <c r="B761" s="74"/>
      <c r="C761" s="74"/>
      <c r="D761" s="74"/>
      <c r="E761" s="83"/>
      <c r="F761" s="74"/>
    </row>
    <row r="762" spans="1:6" x14ac:dyDescent="0.25">
      <c r="A762" s="73"/>
      <c r="B762" s="74"/>
      <c r="C762" s="74"/>
      <c r="D762" s="74"/>
      <c r="E762" s="83"/>
      <c r="F762" s="74"/>
    </row>
    <row r="763" spans="1:6" x14ac:dyDescent="0.25">
      <c r="A763" s="73"/>
      <c r="B763" s="74"/>
      <c r="C763" s="74"/>
      <c r="D763" s="74"/>
      <c r="E763" s="83"/>
      <c r="F763" s="74"/>
    </row>
    <row r="764" spans="1:6" x14ac:dyDescent="0.25">
      <c r="A764" s="73"/>
      <c r="B764" s="74"/>
      <c r="C764" s="74"/>
      <c r="D764" s="74"/>
      <c r="E764" s="83"/>
      <c r="F764" s="74"/>
    </row>
    <row r="765" spans="1:6" x14ac:dyDescent="0.25">
      <c r="A765" s="73"/>
      <c r="B765" s="74"/>
      <c r="C765" s="74"/>
      <c r="D765" s="74"/>
      <c r="E765" s="83"/>
      <c r="F765" s="74"/>
    </row>
    <row r="766" spans="1:6" x14ac:dyDescent="0.25">
      <c r="A766" s="73"/>
      <c r="B766" s="74"/>
      <c r="C766" s="74"/>
      <c r="D766" s="74"/>
      <c r="E766" s="83"/>
      <c r="F766" s="74"/>
    </row>
    <row r="767" spans="1:6" x14ac:dyDescent="0.25">
      <c r="A767" s="73"/>
      <c r="B767" s="74"/>
      <c r="C767" s="74"/>
      <c r="D767" s="74"/>
      <c r="E767" s="83"/>
      <c r="F767" s="74"/>
    </row>
    <row r="768" spans="1:6" x14ac:dyDescent="0.25">
      <c r="A768" s="73"/>
      <c r="B768" s="74"/>
      <c r="C768" s="74"/>
      <c r="D768" s="74"/>
      <c r="E768" s="83"/>
      <c r="F768" s="74"/>
    </row>
    <row r="769" spans="1:6" x14ac:dyDescent="0.25">
      <c r="A769" s="73"/>
      <c r="B769" s="74"/>
      <c r="C769" s="74"/>
      <c r="D769" s="74"/>
      <c r="E769" s="83"/>
      <c r="F769" s="74"/>
    </row>
    <row r="770" spans="1:6" x14ac:dyDescent="0.25">
      <c r="A770" s="73"/>
      <c r="B770" s="74"/>
      <c r="C770" s="74"/>
      <c r="D770" s="74"/>
      <c r="E770" s="83"/>
      <c r="F770" s="74"/>
    </row>
    <row r="771" spans="1:6" x14ac:dyDescent="0.25">
      <c r="A771" s="73"/>
      <c r="B771" s="74"/>
      <c r="C771" s="74"/>
      <c r="D771" s="74"/>
      <c r="E771" s="83"/>
      <c r="F771" s="74"/>
    </row>
    <row r="772" spans="1:6" x14ac:dyDescent="0.25">
      <c r="A772" s="73"/>
      <c r="B772" s="74"/>
      <c r="C772" s="74"/>
      <c r="D772" s="74"/>
      <c r="E772" s="83"/>
      <c r="F772" s="74"/>
    </row>
    <row r="773" spans="1:6" x14ac:dyDescent="0.25">
      <c r="A773" s="73"/>
      <c r="B773" s="74"/>
      <c r="C773" s="74"/>
      <c r="D773" s="74"/>
      <c r="E773" s="83"/>
      <c r="F773" s="74"/>
    </row>
    <row r="774" spans="1:6" x14ac:dyDescent="0.25">
      <c r="A774" s="73"/>
      <c r="B774" s="74"/>
      <c r="C774" s="74"/>
      <c r="D774" s="74"/>
      <c r="E774" s="83"/>
      <c r="F774" s="74"/>
    </row>
    <row r="775" spans="1:6" x14ac:dyDescent="0.25">
      <c r="A775" s="73"/>
      <c r="B775" s="74"/>
      <c r="C775" s="74"/>
      <c r="D775" s="74"/>
      <c r="E775" s="83"/>
      <c r="F775" s="74"/>
    </row>
    <row r="776" spans="1:6" x14ac:dyDescent="0.25">
      <c r="A776" s="73"/>
      <c r="B776" s="74"/>
      <c r="C776" s="74"/>
      <c r="D776" s="74"/>
      <c r="E776" s="83"/>
      <c r="F776" s="74"/>
    </row>
    <row r="777" spans="1:6" x14ac:dyDescent="0.25">
      <c r="A777" s="73"/>
      <c r="B777" s="74"/>
      <c r="C777" s="74"/>
      <c r="D777" s="74"/>
      <c r="E777" s="83"/>
      <c r="F777" s="74"/>
    </row>
    <row r="778" spans="1:6" x14ac:dyDescent="0.25">
      <c r="A778" s="73"/>
      <c r="B778" s="74"/>
      <c r="C778" s="74"/>
      <c r="D778" s="74"/>
      <c r="E778" s="83"/>
      <c r="F778" s="74"/>
    </row>
    <row r="779" spans="1:6" x14ac:dyDescent="0.25">
      <c r="A779" s="73"/>
      <c r="B779" s="74"/>
      <c r="C779" s="74"/>
      <c r="D779" s="74"/>
      <c r="E779" s="83"/>
      <c r="F779" s="74"/>
    </row>
    <row r="780" spans="1:6" x14ac:dyDescent="0.25">
      <c r="A780" s="73"/>
      <c r="B780" s="74"/>
      <c r="C780" s="74"/>
      <c r="D780" s="74"/>
      <c r="E780" s="83"/>
      <c r="F780" s="74"/>
    </row>
    <row r="781" spans="1:6" x14ac:dyDescent="0.25">
      <c r="A781" s="73"/>
      <c r="B781" s="74"/>
      <c r="C781" s="74"/>
      <c r="D781" s="74"/>
      <c r="E781" s="83"/>
      <c r="F781" s="74"/>
    </row>
    <row r="782" spans="1:6" x14ac:dyDescent="0.25">
      <c r="A782" s="73"/>
      <c r="B782" s="74"/>
      <c r="C782" s="74"/>
      <c r="D782" s="74"/>
      <c r="E782" s="83"/>
      <c r="F782" s="74"/>
    </row>
    <row r="783" spans="1:6" x14ac:dyDescent="0.25">
      <c r="A783" s="73"/>
      <c r="B783" s="74"/>
      <c r="C783" s="74"/>
      <c r="D783" s="74"/>
      <c r="E783" s="83"/>
      <c r="F783" s="74"/>
    </row>
    <row r="784" spans="1:6" x14ac:dyDescent="0.25">
      <c r="A784" s="73"/>
      <c r="B784" s="74"/>
      <c r="C784" s="74"/>
      <c r="D784" s="74"/>
      <c r="E784" s="83"/>
      <c r="F784" s="74"/>
    </row>
    <row r="785" spans="1:6" x14ac:dyDescent="0.25">
      <c r="A785" s="73"/>
      <c r="B785" s="74"/>
      <c r="C785" s="74"/>
      <c r="D785" s="74"/>
      <c r="E785" s="83"/>
      <c r="F785" s="74"/>
    </row>
    <row r="786" spans="1:6" x14ac:dyDescent="0.25">
      <c r="A786" s="73"/>
      <c r="B786" s="74"/>
      <c r="C786" s="74"/>
      <c r="D786" s="74"/>
      <c r="E786" s="83"/>
      <c r="F786" s="74"/>
    </row>
    <row r="787" spans="1:6" x14ac:dyDescent="0.25">
      <c r="A787" s="73"/>
      <c r="B787" s="74"/>
      <c r="C787" s="74"/>
      <c r="D787" s="74"/>
      <c r="E787" s="83"/>
      <c r="F787" s="74"/>
    </row>
    <row r="788" spans="1:6" x14ac:dyDescent="0.25">
      <c r="A788" s="73"/>
      <c r="B788" s="74"/>
      <c r="C788" s="74"/>
      <c r="D788" s="74"/>
      <c r="E788" s="83"/>
      <c r="F788" s="74"/>
    </row>
    <row r="789" spans="1:6" x14ac:dyDescent="0.25">
      <c r="A789" s="73"/>
      <c r="B789" s="74"/>
      <c r="C789" s="74"/>
      <c r="D789" s="74"/>
      <c r="E789" s="83"/>
      <c r="F789" s="74"/>
    </row>
    <row r="790" spans="1:6" x14ac:dyDescent="0.25">
      <c r="A790" s="73"/>
      <c r="B790" s="74"/>
      <c r="C790" s="74"/>
      <c r="D790" s="74"/>
      <c r="E790" s="83"/>
      <c r="F790" s="74"/>
    </row>
    <row r="791" spans="1:6" x14ac:dyDescent="0.25">
      <c r="A791" s="73"/>
      <c r="B791" s="74"/>
      <c r="C791" s="74"/>
      <c r="D791" s="74"/>
      <c r="E791" s="83"/>
      <c r="F791" s="74"/>
    </row>
    <row r="792" spans="1:6" x14ac:dyDescent="0.25">
      <c r="A792" s="73"/>
      <c r="B792" s="74"/>
      <c r="C792" s="74"/>
      <c r="D792" s="74"/>
      <c r="E792" s="83"/>
      <c r="F792" s="74"/>
    </row>
    <row r="793" spans="1:6" x14ac:dyDescent="0.25">
      <c r="A793" s="73"/>
      <c r="B793" s="74"/>
      <c r="C793" s="74"/>
      <c r="D793" s="74"/>
      <c r="E793" s="83"/>
      <c r="F793" s="74"/>
    </row>
    <row r="794" spans="1:6" x14ac:dyDescent="0.25">
      <c r="A794" s="73"/>
      <c r="B794" s="74"/>
      <c r="C794" s="74"/>
      <c r="D794" s="74"/>
      <c r="E794" s="83"/>
      <c r="F794" s="74"/>
    </row>
    <row r="795" spans="1:6" x14ac:dyDescent="0.25">
      <c r="A795" s="73"/>
      <c r="B795" s="74"/>
      <c r="C795" s="74"/>
      <c r="D795" s="74"/>
      <c r="E795" s="83"/>
      <c r="F795" s="74"/>
    </row>
    <row r="796" spans="1:6" x14ac:dyDescent="0.25">
      <c r="A796" s="73"/>
      <c r="B796" s="74"/>
      <c r="C796" s="74"/>
      <c r="D796" s="74"/>
      <c r="E796" s="83"/>
      <c r="F796" s="74"/>
    </row>
  </sheetData>
  <mergeCells count="2">
    <mergeCell ref="G2:J2"/>
    <mergeCell ref="L2:O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6327A-12AE-4169-A219-772AB4C98CBE}">
  <sheetPr codeName="Feuil3"/>
  <dimension ref="A1:K10"/>
  <sheetViews>
    <sheetView zoomScale="81" workbookViewId="0">
      <selection activeCell="H22" sqref="H22"/>
    </sheetView>
  </sheetViews>
  <sheetFormatPr baseColWidth="10" defaultRowHeight="15" x14ac:dyDescent="0.25"/>
  <cols>
    <col min="1" max="1" width="21.42578125" customWidth="1"/>
    <col min="2" max="3" width="19.140625" bestFit="1" customWidth="1"/>
    <col min="4" max="4" width="12" customWidth="1"/>
    <col min="5" max="5" width="13.42578125" customWidth="1"/>
    <col min="6" max="6" width="9.85546875" bestFit="1" customWidth="1"/>
    <col min="7" max="7" width="8.42578125" customWidth="1"/>
    <col min="8" max="8" width="5.5703125" bestFit="1" customWidth="1"/>
    <col min="9" max="9" width="10.140625" bestFit="1" customWidth="1"/>
    <col min="10" max="10" width="7.5703125" customWidth="1"/>
    <col min="11" max="11" width="13.5703125" customWidth="1"/>
  </cols>
  <sheetData>
    <row r="1" spans="1:11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x14ac:dyDescent="0.25">
      <c r="A2" s="98"/>
      <c r="B2" s="99" t="s">
        <v>27</v>
      </c>
      <c r="C2" s="99" t="s">
        <v>27</v>
      </c>
      <c r="D2" s="99"/>
      <c r="E2" s="99"/>
      <c r="F2" s="101">
        <f>ROUND(SUM('Tableau roto'!G:G)/2,0)</f>
        <v>11</v>
      </c>
      <c r="G2" s="99" t="s">
        <v>12</v>
      </c>
      <c r="H2" s="99" t="s">
        <v>23</v>
      </c>
      <c r="I2" s="99" t="s">
        <v>14</v>
      </c>
      <c r="J2" s="99"/>
      <c r="K2" s="107">
        <f>12.18*F2</f>
        <v>133.97999999999999</v>
      </c>
    </row>
    <row r="3" spans="1:11" x14ac:dyDescent="0.25">
      <c r="A3" s="98"/>
      <c r="B3" s="99" t="s">
        <v>28</v>
      </c>
      <c r="C3" s="99"/>
      <c r="D3" s="99"/>
      <c r="E3" s="99"/>
      <c r="F3" s="101">
        <f>SUM('Tableau roto'!H:H)</f>
        <v>11</v>
      </c>
      <c r="G3" s="99" t="s">
        <v>12</v>
      </c>
      <c r="H3" s="99" t="s">
        <v>23</v>
      </c>
      <c r="I3" s="99" t="s">
        <v>29</v>
      </c>
      <c r="J3" s="99"/>
      <c r="K3" s="103">
        <f>48.5*F3</f>
        <v>533.5</v>
      </c>
    </row>
    <row r="4" spans="1:11" x14ac:dyDescent="0.25">
      <c r="A4" s="98"/>
      <c r="B4" s="99" t="s">
        <v>30</v>
      </c>
      <c r="C4" s="99" t="s">
        <v>30</v>
      </c>
      <c r="D4" s="99"/>
      <c r="E4" s="99"/>
      <c r="F4" s="101">
        <f>ROUND(SUM('Tableau roto'!I:I)/3,0)</f>
        <v>5</v>
      </c>
      <c r="G4" s="99" t="s">
        <v>12</v>
      </c>
      <c r="H4" s="99" t="s">
        <v>23</v>
      </c>
      <c r="I4" s="99" t="s">
        <v>14</v>
      </c>
      <c r="J4" s="99"/>
      <c r="K4" s="103">
        <f>8.15*F4</f>
        <v>40.75</v>
      </c>
    </row>
    <row r="5" spans="1:11" x14ac:dyDescent="0.25">
      <c r="A5" s="98"/>
      <c r="B5" s="99" t="s">
        <v>31</v>
      </c>
      <c r="C5" s="99"/>
      <c r="D5" s="99"/>
      <c r="E5" s="99"/>
      <c r="F5" s="101">
        <f>SUM('Tableau roto'!J:J)</f>
        <v>7</v>
      </c>
      <c r="G5" s="99" t="s">
        <v>12</v>
      </c>
      <c r="H5" s="99" t="s">
        <v>23</v>
      </c>
      <c r="I5" s="99" t="s">
        <v>29</v>
      </c>
      <c r="J5" s="99"/>
      <c r="K5" s="103">
        <f>46.95*F5</f>
        <v>328.65000000000003</v>
      </c>
    </row>
    <row r="6" spans="1:11" x14ac:dyDescent="0.25">
      <c r="A6" s="98"/>
      <c r="B6" s="99" t="s">
        <v>27</v>
      </c>
      <c r="C6" s="99" t="s">
        <v>27</v>
      </c>
      <c r="D6" s="99"/>
      <c r="E6" s="99"/>
      <c r="F6" s="101">
        <f>ROUND(SUM('Tableau roto'!L:L)/2,0)</f>
        <v>4</v>
      </c>
      <c r="G6" s="99" t="s">
        <v>16</v>
      </c>
      <c r="H6" s="99" t="s">
        <v>23</v>
      </c>
      <c r="I6" s="99" t="s">
        <v>14</v>
      </c>
      <c r="J6" s="99"/>
      <c r="K6" s="103">
        <f>12.18*F6</f>
        <v>48.72</v>
      </c>
    </row>
    <row r="7" spans="1:11" x14ac:dyDescent="0.25">
      <c r="A7" s="98"/>
      <c r="B7" s="99" t="s">
        <v>28</v>
      </c>
      <c r="C7" s="99"/>
      <c r="D7" s="99"/>
      <c r="E7" s="99"/>
      <c r="F7" s="101">
        <f>SUM('Tableau roto'!M:M)</f>
        <v>4</v>
      </c>
      <c r="G7" s="99" t="s">
        <v>16</v>
      </c>
      <c r="H7" s="99" t="s">
        <v>23</v>
      </c>
      <c r="I7" s="99" t="s">
        <v>29</v>
      </c>
      <c r="J7" s="99"/>
      <c r="K7" s="103">
        <f>48.5*F7</f>
        <v>194</v>
      </c>
    </row>
    <row r="8" spans="1:11" x14ac:dyDescent="0.25">
      <c r="A8" s="98"/>
      <c r="B8" s="99" t="s">
        <v>30</v>
      </c>
      <c r="C8" s="99" t="s">
        <v>30</v>
      </c>
      <c r="D8" s="99"/>
      <c r="E8" s="99"/>
      <c r="F8" s="101">
        <f>ROUND(SUM('Tableau roto'!N:N)/3,0)</f>
        <v>4</v>
      </c>
      <c r="G8" s="99" t="s">
        <v>16</v>
      </c>
      <c r="H8" s="99" t="s">
        <v>23</v>
      </c>
      <c r="I8" s="99" t="s">
        <v>14</v>
      </c>
      <c r="J8" s="99"/>
      <c r="K8" s="103">
        <f>8.15*F8</f>
        <v>32.6</v>
      </c>
    </row>
    <row r="9" spans="1:11" x14ac:dyDescent="0.25">
      <c r="A9" s="98"/>
      <c r="B9" s="99" t="s">
        <v>31</v>
      </c>
      <c r="C9" s="99"/>
      <c r="D9" s="99"/>
      <c r="E9" s="99"/>
      <c r="F9" s="101">
        <f>SUM('Tableau roto'!O:O)</f>
        <v>6</v>
      </c>
      <c r="G9" s="99" t="s">
        <v>16</v>
      </c>
      <c r="H9" s="99" t="s">
        <v>23</v>
      </c>
      <c r="I9" s="99" t="s">
        <v>29</v>
      </c>
      <c r="J9" s="99"/>
      <c r="K9" s="103">
        <f>46.95*F9</f>
        <v>281.70000000000005</v>
      </c>
    </row>
    <row r="10" spans="1:11" x14ac:dyDescent="0.25">
      <c r="A10" s="76"/>
      <c r="B10" s="77"/>
      <c r="C10" s="77"/>
      <c r="D10" s="77"/>
      <c r="E10" s="77"/>
      <c r="F10" s="78">
        <f>SUM('Tableau colonne'!F:F)+SUM('Tableau plaquettes roto'!F2:F9)</f>
        <v>447</v>
      </c>
      <c r="G10" s="77"/>
      <c r="H10" s="77"/>
      <c r="I10" s="77"/>
      <c r="J10" s="77"/>
      <c r="K10" s="79">
        <f>SUM('Tableau colonne'!K:K)+SUM('Tableau plaquettes roto'!K2:K9)</f>
        <v>5084.8000000000029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AA351-1339-4765-906C-0C4E43BD4DA0}">
  <sheetPr codeName="Feuil4"/>
  <dimension ref="A1:K82"/>
  <sheetViews>
    <sheetView topLeftCell="C55" zoomScale="97" workbookViewId="0">
      <selection activeCell="E61" sqref="E61"/>
    </sheetView>
  </sheetViews>
  <sheetFormatPr baseColWidth="10" defaultRowHeight="15" x14ac:dyDescent="0.25"/>
  <cols>
    <col min="1" max="1" width="26.85546875" bestFit="1" customWidth="1"/>
    <col min="2" max="2" width="22.7109375" bestFit="1" customWidth="1"/>
    <col min="3" max="3" width="32.7109375" bestFit="1" customWidth="1"/>
    <col min="4" max="4" width="15.85546875" bestFit="1" customWidth="1"/>
    <col min="5" max="5" width="25.85546875" bestFit="1" customWidth="1"/>
    <col min="6" max="6" width="6.5703125" bestFit="1" customWidth="1"/>
    <col min="7" max="7" width="10.5703125" bestFit="1" customWidth="1"/>
    <col min="8" max="8" width="6.28515625" bestFit="1" customWidth="1"/>
    <col min="9" max="9" width="12" bestFit="1" customWidth="1"/>
    <col min="10" max="10" width="13.7109375" bestFit="1" customWidth="1"/>
    <col min="11" max="11" width="9.42578125" style="106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06" t="s">
        <v>10</v>
      </c>
    </row>
    <row r="2" spans="1:11" x14ac:dyDescent="0.25">
      <c r="A2" s="105">
        <v>46290.11341435185</v>
      </c>
      <c r="B2" t="s">
        <v>15</v>
      </c>
      <c r="C2" t="s">
        <v>131</v>
      </c>
      <c r="D2" t="s">
        <v>141</v>
      </c>
      <c r="E2" t="s">
        <v>142</v>
      </c>
      <c r="F2">
        <v>5</v>
      </c>
      <c r="G2" t="s">
        <v>12</v>
      </c>
      <c r="H2" t="s">
        <v>17</v>
      </c>
      <c r="I2" t="s">
        <v>14</v>
      </c>
      <c r="J2" t="s">
        <v>136</v>
      </c>
      <c r="K2" s="106">
        <v>39.799999999999997</v>
      </c>
    </row>
    <row r="3" spans="1:11" x14ac:dyDescent="0.25">
      <c r="A3" s="105">
        <v>46290.113541666666</v>
      </c>
      <c r="B3" t="s">
        <v>15</v>
      </c>
      <c r="C3" t="s">
        <v>131</v>
      </c>
      <c r="D3" t="s">
        <v>141</v>
      </c>
      <c r="E3" t="s">
        <v>142</v>
      </c>
      <c r="F3">
        <v>5</v>
      </c>
      <c r="G3" t="s">
        <v>12</v>
      </c>
      <c r="H3" t="s">
        <v>13</v>
      </c>
      <c r="I3" t="s">
        <v>14</v>
      </c>
      <c r="J3" t="s">
        <v>136</v>
      </c>
      <c r="K3" s="106">
        <v>39.799999999999997</v>
      </c>
    </row>
    <row r="4" spans="1:11" x14ac:dyDescent="0.25">
      <c r="A4" s="105">
        <v>46290.589270833334</v>
      </c>
      <c r="B4" t="s">
        <v>19</v>
      </c>
      <c r="C4" t="s">
        <v>135</v>
      </c>
      <c r="D4" t="s">
        <v>175</v>
      </c>
      <c r="E4" t="s">
        <v>176</v>
      </c>
      <c r="F4">
        <v>5</v>
      </c>
      <c r="G4" t="s">
        <v>12</v>
      </c>
      <c r="H4" t="s">
        <v>20</v>
      </c>
      <c r="I4" t="s">
        <v>14</v>
      </c>
      <c r="J4" t="s">
        <v>136</v>
      </c>
      <c r="K4" s="106">
        <v>47.8</v>
      </c>
    </row>
    <row r="5" spans="1:11" x14ac:dyDescent="0.25">
      <c r="A5" s="105">
        <v>46290.589490740742</v>
      </c>
      <c r="B5" t="s">
        <v>19</v>
      </c>
      <c r="C5" t="s">
        <v>135</v>
      </c>
      <c r="D5" t="s">
        <v>175</v>
      </c>
      <c r="E5" t="s">
        <v>176</v>
      </c>
      <c r="F5">
        <v>5</v>
      </c>
      <c r="G5" t="s">
        <v>16</v>
      </c>
      <c r="H5" t="s">
        <v>20</v>
      </c>
      <c r="I5" t="s">
        <v>14</v>
      </c>
      <c r="J5" t="s">
        <v>136</v>
      </c>
      <c r="K5" s="106">
        <v>47.8</v>
      </c>
    </row>
    <row r="6" spans="1:11" x14ac:dyDescent="0.25">
      <c r="A6" s="105">
        <v>46290.897280092591</v>
      </c>
      <c r="B6" t="s">
        <v>19</v>
      </c>
      <c r="C6" t="s">
        <v>135</v>
      </c>
      <c r="D6" t="s">
        <v>141</v>
      </c>
      <c r="E6" t="s">
        <v>142</v>
      </c>
      <c r="F6">
        <v>5</v>
      </c>
      <c r="G6" t="s">
        <v>12</v>
      </c>
      <c r="H6" t="s">
        <v>20</v>
      </c>
      <c r="I6" t="s">
        <v>14</v>
      </c>
      <c r="J6" t="s">
        <v>136</v>
      </c>
      <c r="K6" s="106">
        <v>47.8</v>
      </c>
    </row>
    <row r="7" spans="1:11" x14ac:dyDescent="0.25">
      <c r="A7" s="105">
        <v>46290.897465277776</v>
      </c>
      <c r="B7" t="s">
        <v>21</v>
      </c>
      <c r="C7" t="s">
        <v>138</v>
      </c>
      <c r="D7" t="s">
        <v>141</v>
      </c>
      <c r="E7" t="s">
        <v>142</v>
      </c>
      <c r="F7">
        <v>5</v>
      </c>
      <c r="G7" t="s">
        <v>12</v>
      </c>
      <c r="H7" t="s">
        <v>20</v>
      </c>
      <c r="I7" t="s">
        <v>14</v>
      </c>
      <c r="J7" t="s">
        <v>136</v>
      </c>
      <c r="K7" s="106">
        <v>48.7</v>
      </c>
    </row>
    <row r="8" spans="1:11" x14ac:dyDescent="0.25">
      <c r="A8" s="105">
        <v>46290.897731481484</v>
      </c>
      <c r="B8" t="s">
        <v>18</v>
      </c>
      <c r="C8" t="s">
        <v>133</v>
      </c>
      <c r="D8" t="s">
        <v>141</v>
      </c>
      <c r="E8" t="s">
        <v>142</v>
      </c>
      <c r="F8">
        <v>5</v>
      </c>
      <c r="G8" t="s">
        <v>16</v>
      </c>
      <c r="H8" t="s">
        <v>20</v>
      </c>
      <c r="I8" t="s">
        <v>14</v>
      </c>
      <c r="J8" t="s">
        <v>132</v>
      </c>
      <c r="K8" s="106">
        <v>39.799999999999997</v>
      </c>
    </row>
    <row r="9" spans="1:11" x14ac:dyDescent="0.25">
      <c r="A9" s="105">
        <v>46290.950659722221</v>
      </c>
      <c r="B9" t="s">
        <v>18</v>
      </c>
      <c r="C9" t="s">
        <v>133</v>
      </c>
      <c r="D9" t="s">
        <v>152</v>
      </c>
      <c r="E9" t="s">
        <v>153</v>
      </c>
      <c r="F9">
        <v>5</v>
      </c>
      <c r="G9" t="s">
        <v>16</v>
      </c>
      <c r="H9" t="s">
        <v>17</v>
      </c>
      <c r="I9" t="s">
        <v>14</v>
      </c>
      <c r="J9" t="s">
        <v>132</v>
      </c>
      <c r="K9" s="106">
        <v>39.799999999999997</v>
      </c>
    </row>
    <row r="10" spans="1:11" x14ac:dyDescent="0.25">
      <c r="A10" s="105">
        <v>46291.074479166666</v>
      </c>
      <c r="B10" t="s">
        <v>11</v>
      </c>
      <c r="C10" t="s">
        <v>134</v>
      </c>
      <c r="D10" t="s">
        <v>141</v>
      </c>
      <c r="E10" t="s">
        <v>142</v>
      </c>
      <c r="F10">
        <v>10</v>
      </c>
      <c r="G10" t="s">
        <v>16</v>
      </c>
      <c r="H10" t="s">
        <v>13</v>
      </c>
      <c r="I10" t="s">
        <v>14</v>
      </c>
      <c r="J10" t="s">
        <v>132</v>
      </c>
      <c r="K10" s="106">
        <v>100</v>
      </c>
    </row>
    <row r="11" spans="1:11" x14ac:dyDescent="0.25">
      <c r="A11" s="105">
        <v>46291.185972222222</v>
      </c>
      <c r="B11" t="s">
        <v>15</v>
      </c>
      <c r="C11" t="s">
        <v>131</v>
      </c>
      <c r="D11" t="s">
        <v>141</v>
      </c>
      <c r="E11" t="s">
        <v>142</v>
      </c>
      <c r="F11">
        <v>5</v>
      </c>
      <c r="G11" t="s">
        <v>12</v>
      </c>
      <c r="H11" t="s">
        <v>13</v>
      </c>
      <c r="I11" t="s">
        <v>14</v>
      </c>
      <c r="J11" t="s">
        <v>136</v>
      </c>
      <c r="K11" s="106">
        <v>39.799999999999997</v>
      </c>
    </row>
    <row r="12" spans="1:11" x14ac:dyDescent="0.25">
      <c r="A12" s="105">
        <v>46291.186168981483</v>
      </c>
      <c r="B12" t="s">
        <v>15</v>
      </c>
      <c r="C12" t="s">
        <v>131</v>
      </c>
      <c r="D12" t="s">
        <v>141</v>
      </c>
      <c r="E12" t="s">
        <v>142</v>
      </c>
      <c r="F12">
        <v>5</v>
      </c>
      <c r="G12" t="s">
        <v>16</v>
      </c>
      <c r="H12" t="s">
        <v>17</v>
      </c>
      <c r="I12" t="s">
        <v>14</v>
      </c>
      <c r="J12" t="s">
        <v>132</v>
      </c>
      <c r="K12" s="106">
        <v>39.799999999999997</v>
      </c>
    </row>
    <row r="13" spans="1:11" x14ac:dyDescent="0.25">
      <c r="A13" s="105">
        <v>46291.247754629629</v>
      </c>
      <c r="B13" t="s">
        <v>15</v>
      </c>
      <c r="C13" t="s">
        <v>131</v>
      </c>
      <c r="D13" t="s">
        <v>127</v>
      </c>
      <c r="E13" t="s">
        <v>128</v>
      </c>
      <c r="F13">
        <v>5</v>
      </c>
      <c r="G13" t="s">
        <v>12</v>
      </c>
      <c r="H13" t="s">
        <v>17</v>
      </c>
      <c r="I13" t="s">
        <v>14</v>
      </c>
      <c r="J13" t="s">
        <v>136</v>
      </c>
      <c r="K13" s="106">
        <v>39.799999999999997</v>
      </c>
    </row>
    <row r="14" spans="1:11" x14ac:dyDescent="0.25">
      <c r="A14" s="105">
        <v>46291.247893518521</v>
      </c>
      <c r="B14" t="s">
        <v>18</v>
      </c>
      <c r="C14" t="s">
        <v>133</v>
      </c>
      <c r="D14" t="s">
        <v>127</v>
      </c>
      <c r="E14" t="s">
        <v>128</v>
      </c>
      <c r="F14">
        <v>5</v>
      </c>
      <c r="G14" t="s">
        <v>12</v>
      </c>
      <c r="H14" t="s">
        <v>17</v>
      </c>
      <c r="I14" t="s">
        <v>14</v>
      </c>
      <c r="J14" t="s">
        <v>136</v>
      </c>
      <c r="K14" s="106">
        <v>39.799999999999997</v>
      </c>
    </row>
    <row r="15" spans="1:11" x14ac:dyDescent="0.25">
      <c r="A15" s="105">
        <v>46291.248078703706</v>
      </c>
      <c r="B15" t="s">
        <v>15</v>
      </c>
      <c r="C15" t="s">
        <v>131</v>
      </c>
      <c r="D15" t="s">
        <v>127</v>
      </c>
      <c r="E15" t="s">
        <v>128</v>
      </c>
      <c r="F15">
        <v>5</v>
      </c>
      <c r="G15" t="s">
        <v>12</v>
      </c>
      <c r="H15" t="s">
        <v>13</v>
      </c>
      <c r="I15" t="s">
        <v>14</v>
      </c>
      <c r="J15" t="s">
        <v>136</v>
      </c>
      <c r="K15" s="106">
        <v>39.799999999999997</v>
      </c>
    </row>
    <row r="16" spans="1:11" x14ac:dyDescent="0.25">
      <c r="A16" s="105">
        <v>46291.248229166667</v>
      </c>
      <c r="B16" t="s">
        <v>18</v>
      </c>
      <c r="C16" t="s">
        <v>133</v>
      </c>
      <c r="D16" t="s">
        <v>127</v>
      </c>
      <c r="E16" t="s">
        <v>128</v>
      </c>
      <c r="F16">
        <v>5</v>
      </c>
      <c r="G16" t="s">
        <v>12</v>
      </c>
      <c r="H16" t="s">
        <v>13</v>
      </c>
      <c r="I16" t="s">
        <v>14</v>
      </c>
      <c r="J16" t="s">
        <v>136</v>
      </c>
      <c r="K16" s="106">
        <v>39.799999999999997</v>
      </c>
    </row>
    <row r="17" spans="1:11" x14ac:dyDescent="0.25">
      <c r="A17" s="105">
        <v>46291.248449074075</v>
      </c>
      <c r="B17" t="s">
        <v>21</v>
      </c>
      <c r="C17" t="s">
        <v>138</v>
      </c>
      <c r="D17" t="s">
        <v>127</v>
      </c>
      <c r="E17" t="s">
        <v>128</v>
      </c>
      <c r="F17">
        <v>5</v>
      </c>
      <c r="G17" t="s">
        <v>12</v>
      </c>
      <c r="H17" t="s">
        <v>20</v>
      </c>
      <c r="I17" t="s">
        <v>14</v>
      </c>
      <c r="J17" t="s">
        <v>136</v>
      </c>
      <c r="K17" s="106">
        <v>48.7</v>
      </c>
    </row>
    <row r="18" spans="1:11" x14ac:dyDescent="0.25">
      <c r="A18" s="105">
        <v>46291.248657407406</v>
      </c>
      <c r="B18" t="s">
        <v>19</v>
      </c>
      <c r="C18" t="s">
        <v>135</v>
      </c>
      <c r="D18" t="s">
        <v>127</v>
      </c>
      <c r="E18" t="s">
        <v>128</v>
      </c>
      <c r="F18">
        <v>5</v>
      </c>
      <c r="G18" t="s">
        <v>12</v>
      </c>
      <c r="H18" t="s">
        <v>20</v>
      </c>
      <c r="I18" t="s">
        <v>14</v>
      </c>
      <c r="J18" t="s">
        <v>136</v>
      </c>
      <c r="K18" s="106">
        <v>47.8</v>
      </c>
    </row>
    <row r="19" spans="1:11" x14ac:dyDescent="0.25">
      <c r="A19" s="105">
        <v>46291.248796296299</v>
      </c>
      <c r="B19" t="s">
        <v>19</v>
      </c>
      <c r="C19" t="s">
        <v>135</v>
      </c>
      <c r="D19" t="s">
        <v>127</v>
      </c>
      <c r="E19" t="s">
        <v>128</v>
      </c>
      <c r="F19">
        <v>5</v>
      </c>
      <c r="G19" t="s">
        <v>12</v>
      </c>
      <c r="H19" t="s">
        <v>20</v>
      </c>
      <c r="I19" t="s">
        <v>14</v>
      </c>
      <c r="J19" t="s">
        <v>136</v>
      </c>
      <c r="K19" s="106">
        <v>47.8</v>
      </c>
    </row>
    <row r="20" spans="1:11" x14ac:dyDescent="0.25">
      <c r="A20" s="105">
        <v>46291.249027777776</v>
      </c>
      <c r="B20" t="s">
        <v>15</v>
      </c>
      <c r="C20" t="s">
        <v>131</v>
      </c>
      <c r="D20" t="s">
        <v>127</v>
      </c>
      <c r="E20" t="s">
        <v>128</v>
      </c>
      <c r="F20">
        <v>5</v>
      </c>
      <c r="G20" t="s">
        <v>16</v>
      </c>
      <c r="H20" t="s">
        <v>17</v>
      </c>
      <c r="I20" t="s">
        <v>14</v>
      </c>
      <c r="J20" t="s">
        <v>132</v>
      </c>
      <c r="K20" s="106">
        <v>39.799999999999997</v>
      </c>
    </row>
    <row r="21" spans="1:11" x14ac:dyDescent="0.25">
      <c r="A21" s="105">
        <v>46291.249340277776</v>
      </c>
      <c r="B21" t="s">
        <v>18</v>
      </c>
      <c r="C21" t="s">
        <v>133</v>
      </c>
      <c r="D21" t="s">
        <v>127</v>
      </c>
      <c r="E21" t="s">
        <v>128</v>
      </c>
      <c r="F21">
        <v>5</v>
      </c>
      <c r="G21" t="s">
        <v>16</v>
      </c>
      <c r="H21" t="s">
        <v>17</v>
      </c>
      <c r="I21" t="s">
        <v>14</v>
      </c>
      <c r="J21" t="s">
        <v>132</v>
      </c>
      <c r="K21" s="106">
        <v>39.799999999999997</v>
      </c>
    </row>
    <row r="22" spans="1:11" x14ac:dyDescent="0.25">
      <c r="A22" s="105">
        <v>46291.249537037038</v>
      </c>
      <c r="B22" t="s">
        <v>11</v>
      </c>
      <c r="C22" t="s">
        <v>134</v>
      </c>
      <c r="D22" t="s">
        <v>127</v>
      </c>
      <c r="E22" t="s">
        <v>128</v>
      </c>
      <c r="F22">
        <v>10</v>
      </c>
      <c r="G22" t="s">
        <v>16</v>
      </c>
      <c r="H22" t="s">
        <v>13</v>
      </c>
      <c r="I22" t="s">
        <v>14</v>
      </c>
      <c r="J22" t="s">
        <v>132</v>
      </c>
      <c r="K22" s="106">
        <v>100</v>
      </c>
    </row>
    <row r="23" spans="1:11" x14ac:dyDescent="0.25">
      <c r="A23" s="105">
        <v>46291.249699074076</v>
      </c>
      <c r="B23" t="s">
        <v>15</v>
      </c>
      <c r="C23" t="s">
        <v>131</v>
      </c>
      <c r="D23" t="s">
        <v>127</v>
      </c>
      <c r="E23" t="s">
        <v>128</v>
      </c>
      <c r="F23">
        <v>5</v>
      </c>
      <c r="G23" t="s">
        <v>16</v>
      </c>
      <c r="H23" t="s">
        <v>13</v>
      </c>
      <c r="I23" t="s">
        <v>14</v>
      </c>
      <c r="J23" t="s">
        <v>132</v>
      </c>
      <c r="K23" s="106">
        <v>39.799999999999997</v>
      </c>
    </row>
    <row r="24" spans="1:11" x14ac:dyDescent="0.25">
      <c r="A24" s="105">
        <v>46291.249849537038</v>
      </c>
      <c r="B24" t="s">
        <v>18</v>
      </c>
      <c r="C24" t="s">
        <v>133</v>
      </c>
      <c r="D24" t="s">
        <v>127</v>
      </c>
      <c r="E24" t="s">
        <v>128</v>
      </c>
      <c r="F24">
        <v>5</v>
      </c>
      <c r="G24" t="s">
        <v>16</v>
      </c>
      <c r="H24" t="s">
        <v>13</v>
      </c>
      <c r="I24" t="s">
        <v>14</v>
      </c>
      <c r="J24" t="s">
        <v>132</v>
      </c>
      <c r="K24" s="106">
        <v>39.799999999999997</v>
      </c>
    </row>
    <row r="25" spans="1:11" x14ac:dyDescent="0.25">
      <c r="A25" s="105">
        <v>46291.250057870369</v>
      </c>
      <c r="B25" t="s">
        <v>19</v>
      </c>
      <c r="C25" t="s">
        <v>135</v>
      </c>
      <c r="D25" t="s">
        <v>127</v>
      </c>
      <c r="E25" t="s">
        <v>128</v>
      </c>
      <c r="F25">
        <v>5</v>
      </c>
      <c r="G25" t="s">
        <v>16</v>
      </c>
      <c r="H25" t="s">
        <v>20</v>
      </c>
      <c r="I25" t="s">
        <v>14</v>
      </c>
      <c r="J25" t="s">
        <v>132</v>
      </c>
      <c r="K25" s="106">
        <v>47.8</v>
      </c>
    </row>
    <row r="26" spans="1:11" x14ac:dyDescent="0.25">
      <c r="A26" s="105">
        <v>46291.250208333331</v>
      </c>
      <c r="B26" t="s">
        <v>19</v>
      </c>
      <c r="C26" t="s">
        <v>135</v>
      </c>
      <c r="D26" t="s">
        <v>127</v>
      </c>
      <c r="E26" t="s">
        <v>128</v>
      </c>
      <c r="F26">
        <v>5</v>
      </c>
      <c r="G26" t="s">
        <v>16</v>
      </c>
      <c r="H26" t="s">
        <v>20</v>
      </c>
      <c r="I26" t="s">
        <v>14</v>
      </c>
      <c r="J26" t="s">
        <v>132</v>
      </c>
      <c r="K26" s="106">
        <v>47.8</v>
      </c>
    </row>
    <row r="27" spans="1:11" x14ac:dyDescent="0.25">
      <c r="A27" s="105">
        <v>46292.738425925927</v>
      </c>
      <c r="B27" t="s">
        <v>15</v>
      </c>
      <c r="C27" t="s">
        <v>131</v>
      </c>
      <c r="D27" t="s">
        <v>127</v>
      </c>
      <c r="E27" t="s">
        <v>128</v>
      </c>
      <c r="F27">
        <v>5</v>
      </c>
      <c r="G27" t="s">
        <v>12</v>
      </c>
      <c r="H27" t="s">
        <v>17</v>
      </c>
      <c r="I27" t="s">
        <v>14</v>
      </c>
      <c r="J27" t="s">
        <v>136</v>
      </c>
      <c r="K27" s="106">
        <v>39.799999999999997</v>
      </c>
    </row>
    <row r="28" spans="1:11" x14ac:dyDescent="0.25">
      <c r="A28" s="105">
        <v>46292.738530092596</v>
      </c>
      <c r="B28" t="s">
        <v>18</v>
      </c>
      <c r="C28" t="s">
        <v>133</v>
      </c>
      <c r="D28" t="s">
        <v>127</v>
      </c>
      <c r="E28" t="s">
        <v>128</v>
      </c>
      <c r="F28">
        <v>5</v>
      </c>
      <c r="G28" t="s">
        <v>12</v>
      </c>
      <c r="H28" t="s">
        <v>17</v>
      </c>
      <c r="I28" t="s">
        <v>14</v>
      </c>
      <c r="J28" t="s">
        <v>136</v>
      </c>
      <c r="K28" s="106">
        <v>39.799999999999997</v>
      </c>
    </row>
    <row r="29" spans="1:11" x14ac:dyDescent="0.25">
      <c r="A29" s="105">
        <v>46292.738668981481</v>
      </c>
      <c r="B29" t="s">
        <v>15</v>
      </c>
      <c r="C29" t="s">
        <v>131</v>
      </c>
      <c r="D29" t="s">
        <v>127</v>
      </c>
      <c r="E29" t="s">
        <v>128</v>
      </c>
      <c r="F29">
        <v>5</v>
      </c>
      <c r="G29" t="s">
        <v>12</v>
      </c>
      <c r="H29" t="s">
        <v>13</v>
      </c>
      <c r="I29" t="s">
        <v>14</v>
      </c>
      <c r="J29" t="s">
        <v>136</v>
      </c>
      <c r="K29" s="106">
        <v>39.799999999999997</v>
      </c>
    </row>
    <row r="30" spans="1:11" x14ac:dyDescent="0.25">
      <c r="A30" s="105">
        <v>46292.73878472222</v>
      </c>
      <c r="B30" t="s">
        <v>18</v>
      </c>
      <c r="C30" t="s">
        <v>133</v>
      </c>
      <c r="D30" t="s">
        <v>127</v>
      </c>
      <c r="E30" t="s">
        <v>128</v>
      </c>
      <c r="F30">
        <v>5</v>
      </c>
      <c r="G30" t="s">
        <v>12</v>
      </c>
      <c r="H30" t="s">
        <v>13</v>
      </c>
      <c r="I30" t="s">
        <v>14</v>
      </c>
      <c r="J30" t="s">
        <v>136</v>
      </c>
      <c r="K30" s="106">
        <v>39.799999999999997</v>
      </c>
    </row>
    <row r="31" spans="1:11" x14ac:dyDescent="0.25">
      <c r="A31" s="105">
        <v>46292.738946759258</v>
      </c>
      <c r="B31" t="s">
        <v>25</v>
      </c>
      <c r="C31" t="s">
        <v>137</v>
      </c>
      <c r="D31" t="s">
        <v>127</v>
      </c>
      <c r="E31" t="s">
        <v>128</v>
      </c>
      <c r="F31">
        <v>5</v>
      </c>
      <c r="G31" t="s">
        <v>12</v>
      </c>
      <c r="H31" t="s">
        <v>20</v>
      </c>
      <c r="I31" t="s">
        <v>14</v>
      </c>
      <c r="J31" t="s">
        <v>136</v>
      </c>
      <c r="K31" s="106">
        <v>42.5</v>
      </c>
    </row>
    <row r="32" spans="1:11" x14ac:dyDescent="0.25">
      <c r="A32" s="105">
        <v>46292.739085648151</v>
      </c>
      <c r="B32" t="s">
        <v>21</v>
      </c>
      <c r="C32" t="s">
        <v>138</v>
      </c>
      <c r="D32" t="s">
        <v>127</v>
      </c>
      <c r="E32" t="s">
        <v>128</v>
      </c>
      <c r="F32">
        <v>5</v>
      </c>
      <c r="G32" t="s">
        <v>12</v>
      </c>
      <c r="H32" t="s">
        <v>20</v>
      </c>
      <c r="I32" t="s">
        <v>14</v>
      </c>
      <c r="J32" t="s">
        <v>136</v>
      </c>
      <c r="K32" s="106">
        <v>48.7</v>
      </c>
    </row>
    <row r="33" spans="1:11" x14ac:dyDescent="0.25">
      <c r="A33" s="105">
        <v>46292.739224537036</v>
      </c>
      <c r="B33" t="s">
        <v>19</v>
      </c>
      <c r="C33" t="s">
        <v>135</v>
      </c>
      <c r="D33" t="s">
        <v>127</v>
      </c>
      <c r="E33" t="s">
        <v>128</v>
      </c>
      <c r="F33">
        <v>5</v>
      </c>
      <c r="G33" t="s">
        <v>12</v>
      </c>
      <c r="H33" t="s">
        <v>20</v>
      </c>
      <c r="I33" t="s">
        <v>14</v>
      </c>
      <c r="J33" t="s">
        <v>136</v>
      </c>
      <c r="K33" s="106">
        <v>47.8</v>
      </c>
    </row>
    <row r="34" spans="1:11" x14ac:dyDescent="0.25">
      <c r="A34" s="105">
        <v>46292.739374999997</v>
      </c>
      <c r="B34" t="s">
        <v>19</v>
      </c>
      <c r="C34" t="s">
        <v>135</v>
      </c>
      <c r="D34" t="s">
        <v>127</v>
      </c>
      <c r="E34" t="s">
        <v>128</v>
      </c>
      <c r="F34">
        <v>5</v>
      </c>
      <c r="G34" t="s">
        <v>12</v>
      </c>
      <c r="H34" t="s">
        <v>20</v>
      </c>
      <c r="I34" t="s">
        <v>14</v>
      </c>
      <c r="J34" t="s">
        <v>136</v>
      </c>
      <c r="K34" s="106">
        <v>47.8</v>
      </c>
    </row>
    <row r="35" spans="1:11" x14ac:dyDescent="0.25">
      <c r="A35" s="105">
        <v>46292.73951388889</v>
      </c>
      <c r="B35" t="s">
        <v>15</v>
      </c>
      <c r="C35" t="s">
        <v>131</v>
      </c>
      <c r="D35" t="s">
        <v>127</v>
      </c>
      <c r="E35" t="s">
        <v>128</v>
      </c>
      <c r="F35">
        <v>5</v>
      </c>
      <c r="G35" t="s">
        <v>16</v>
      </c>
      <c r="H35" t="s">
        <v>17</v>
      </c>
      <c r="I35" t="s">
        <v>14</v>
      </c>
      <c r="J35" t="s">
        <v>132</v>
      </c>
      <c r="K35" s="106">
        <v>39.799999999999997</v>
      </c>
    </row>
    <row r="36" spans="1:11" x14ac:dyDescent="0.25">
      <c r="A36" s="105">
        <v>46292.739641203705</v>
      </c>
      <c r="B36" t="s">
        <v>18</v>
      </c>
      <c r="C36" t="s">
        <v>133</v>
      </c>
      <c r="D36" t="s">
        <v>127</v>
      </c>
      <c r="E36" t="s">
        <v>128</v>
      </c>
      <c r="F36">
        <v>5</v>
      </c>
      <c r="G36" t="s">
        <v>16</v>
      </c>
      <c r="H36" t="s">
        <v>17</v>
      </c>
      <c r="I36" t="s">
        <v>14</v>
      </c>
      <c r="J36" t="s">
        <v>132</v>
      </c>
      <c r="K36" s="106">
        <v>39.799999999999997</v>
      </c>
    </row>
    <row r="37" spans="1:11" x14ac:dyDescent="0.25">
      <c r="A37" s="105">
        <v>46292.739814814813</v>
      </c>
      <c r="B37" t="s">
        <v>11</v>
      </c>
      <c r="C37" t="s">
        <v>134</v>
      </c>
      <c r="D37" t="s">
        <v>127</v>
      </c>
      <c r="E37" t="s">
        <v>128</v>
      </c>
      <c r="F37">
        <v>10</v>
      </c>
      <c r="G37" t="s">
        <v>16</v>
      </c>
      <c r="H37" t="s">
        <v>13</v>
      </c>
      <c r="I37" t="s">
        <v>14</v>
      </c>
      <c r="J37" t="s">
        <v>132</v>
      </c>
      <c r="K37" s="106">
        <v>100</v>
      </c>
    </row>
    <row r="38" spans="1:11" x14ac:dyDescent="0.25">
      <c r="A38" s="105">
        <v>46292.739965277775</v>
      </c>
      <c r="B38" t="s">
        <v>15</v>
      </c>
      <c r="C38" t="s">
        <v>131</v>
      </c>
      <c r="D38" t="s">
        <v>127</v>
      </c>
      <c r="E38" t="s">
        <v>128</v>
      </c>
      <c r="F38">
        <v>5</v>
      </c>
      <c r="G38" t="s">
        <v>16</v>
      </c>
      <c r="H38" t="s">
        <v>13</v>
      </c>
      <c r="I38" t="s">
        <v>14</v>
      </c>
      <c r="J38" t="s">
        <v>132</v>
      </c>
      <c r="K38" s="106">
        <v>39.799999999999997</v>
      </c>
    </row>
    <row r="39" spans="1:11" x14ac:dyDescent="0.25">
      <c r="A39" s="105">
        <v>46292.740104166667</v>
      </c>
      <c r="B39" t="s">
        <v>18</v>
      </c>
      <c r="C39" t="s">
        <v>133</v>
      </c>
      <c r="D39" t="s">
        <v>127</v>
      </c>
      <c r="E39" t="s">
        <v>128</v>
      </c>
      <c r="F39">
        <v>5</v>
      </c>
      <c r="G39" t="s">
        <v>16</v>
      </c>
      <c r="H39" t="s">
        <v>13</v>
      </c>
      <c r="I39" t="s">
        <v>14</v>
      </c>
      <c r="J39" t="s">
        <v>132</v>
      </c>
      <c r="K39" s="106">
        <v>39.799999999999997</v>
      </c>
    </row>
    <row r="40" spans="1:11" x14ac:dyDescent="0.25">
      <c r="A40" s="105">
        <v>46292.740277777775</v>
      </c>
      <c r="B40" t="s">
        <v>18</v>
      </c>
      <c r="C40" t="s">
        <v>133</v>
      </c>
      <c r="D40" t="s">
        <v>127</v>
      </c>
      <c r="E40" t="s">
        <v>128</v>
      </c>
      <c r="F40">
        <v>5</v>
      </c>
      <c r="G40" t="s">
        <v>16</v>
      </c>
      <c r="H40" t="s">
        <v>20</v>
      </c>
      <c r="I40" t="s">
        <v>14</v>
      </c>
      <c r="J40" t="s">
        <v>132</v>
      </c>
      <c r="K40" s="106">
        <v>39.799999999999997</v>
      </c>
    </row>
    <row r="41" spans="1:11" x14ac:dyDescent="0.25">
      <c r="A41" s="105">
        <v>46292.740416666667</v>
      </c>
      <c r="B41" t="s">
        <v>19</v>
      </c>
      <c r="C41" t="s">
        <v>135</v>
      </c>
      <c r="D41" t="s">
        <v>127</v>
      </c>
      <c r="E41" t="s">
        <v>128</v>
      </c>
      <c r="F41">
        <v>5</v>
      </c>
      <c r="G41" t="s">
        <v>16</v>
      </c>
      <c r="H41" t="s">
        <v>20</v>
      </c>
      <c r="I41" t="s">
        <v>14</v>
      </c>
      <c r="J41" t="s">
        <v>132</v>
      </c>
      <c r="K41" s="106">
        <v>47.8</v>
      </c>
    </row>
    <row r="42" spans="1:11" x14ac:dyDescent="0.25">
      <c r="A42" s="105">
        <v>46293.396851851852</v>
      </c>
      <c r="B42" t="s">
        <v>11</v>
      </c>
      <c r="C42" t="s">
        <v>134</v>
      </c>
      <c r="D42" t="s">
        <v>139</v>
      </c>
      <c r="E42" t="s">
        <v>140</v>
      </c>
      <c r="F42">
        <v>10</v>
      </c>
      <c r="G42" t="s">
        <v>12</v>
      </c>
      <c r="H42" t="s">
        <v>13</v>
      </c>
      <c r="I42" t="s">
        <v>14</v>
      </c>
      <c r="J42" t="s">
        <v>184</v>
      </c>
      <c r="K42" s="106">
        <v>100</v>
      </c>
    </row>
    <row r="43" spans="1:11" x14ac:dyDescent="0.25">
      <c r="A43" s="105">
        <v>46293.896192129629</v>
      </c>
      <c r="B43" t="s">
        <v>25</v>
      </c>
      <c r="C43" t="s">
        <v>137</v>
      </c>
      <c r="D43" t="s">
        <v>141</v>
      </c>
      <c r="E43" t="s">
        <v>142</v>
      </c>
      <c r="F43">
        <v>5</v>
      </c>
      <c r="G43" t="s">
        <v>16</v>
      </c>
      <c r="H43" t="s">
        <v>20</v>
      </c>
      <c r="I43" t="s">
        <v>14</v>
      </c>
      <c r="J43" t="s">
        <v>136</v>
      </c>
      <c r="K43" s="106">
        <v>42.5</v>
      </c>
    </row>
    <row r="44" spans="1:11" x14ac:dyDescent="0.25">
      <c r="A44" s="105">
        <v>46293.896435185183</v>
      </c>
      <c r="B44" t="s">
        <v>19</v>
      </c>
      <c r="C44" t="s">
        <v>135</v>
      </c>
      <c r="D44" t="s">
        <v>141</v>
      </c>
      <c r="E44" t="s">
        <v>142</v>
      </c>
      <c r="F44">
        <v>5</v>
      </c>
      <c r="G44" t="s">
        <v>12</v>
      </c>
      <c r="H44" t="s">
        <v>20</v>
      </c>
      <c r="I44" t="s">
        <v>14</v>
      </c>
      <c r="J44" t="s">
        <v>136</v>
      </c>
      <c r="K44" s="106">
        <v>47.8</v>
      </c>
    </row>
    <row r="45" spans="1:11" x14ac:dyDescent="0.25">
      <c r="A45" s="105">
        <v>46294.545451388891</v>
      </c>
      <c r="B45" t="s">
        <v>26</v>
      </c>
      <c r="C45" t="s">
        <v>185</v>
      </c>
      <c r="D45" t="s">
        <v>139</v>
      </c>
      <c r="E45" t="s">
        <v>140</v>
      </c>
      <c r="F45">
        <v>10</v>
      </c>
      <c r="G45" t="s">
        <v>12</v>
      </c>
      <c r="H45" t="s">
        <v>23</v>
      </c>
      <c r="I45" t="s">
        <v>14</v>
      </c>
      <c r="J45" t="s">
        <v>143</v>
      </c>
      <c r="K45" s="106">
        <v>81.5</v>
      </c>
    </row>
    <row r="46" spans="1:11" x14ac:dyDescent="0.25">
      <c r="A46" s="105">
        <v>46294.563148148147</v>
      </c>
      <c r="B46" t="s">
        <v>19</v>
      </c>
      <c r="C46" t="s">
        <v>135</v>
      </c>
      <c r="D46" t="s">
        <v>177</v>
      </c>
      <c r="E46" t="s">
        <v>178</v>
      </c>
      <c r="F46">
        <v>5</v>
      </c>
      <c r="G46" t="s">
        <v>12</v>
      </c>
      <c r="H46" t="s">
        <v>20</v>
      </c>
      <c r="I46" t="s">
        <v>14</v>
      </c>
      <c r="J46" t="s">
        <v>136</v>
      </c>
      <c r="K46" s="106">
        <v>47.8</v>
      </c>
    </row>
    <row r="47" spans="1:11" x14ac:dyDescent="0.25">
      <c r="A47" s="105">
        <v>46294.563275462962</v>
      </c>
      <c r="B47" t="s">
        <v>19</v>
      </c>
      <c r="C47" t="s">
        <v>135</v>
      </c>
      <c r="D47" t="s">
        <v>177</v>
      </c>
      <c r="E47" t="s">
        <v>178</v>
      </c>
      <c r="F47">
        <v>5</v>
      </c>
      <c r="G47" t="s">
        <v>12</v>
      </c>
      <c r="H47" t="s">
        <v>20</v>
      </c>
      <c r="I47" t="s">
        <v>14</v>
      </c>
      <c r="J47" t="s">
        <v>136</v>
      </c>
      <c r="K47" s="106">
        <v>47.8</v>
      </c>
    </row>
    <row r="48" spans="1:11" x14ac:dyDescent="0.25">
      <c r="A48" s="105">
        <v>46294.563425925924</v>
      </c>
      <c r="B48" t="s">
        <v>21</v>
      </c>
      <c r="C48" t="s">
        <v>138</v>
      </c>
      <c r="D48" t="s">
        <v>177</v>
      </c>
      <c r="E48" t="s">
        <v>178</v>
      </c>
      <c r="F48">
        <v>5</v>
      </c>
      <c r="G48" t="s">
        <v>12</v>
      </c>
      <c r="H48" t="s">
        <v>20</v>
      </c>
      <c r="I48" t="s">
        <v>14</v>
      </c>
      <c r="J48" t="s">
        <v>136</v>
      </c>
      <c r="K48" s="106">
        <v>48.7</v>
      </c>
    </row>
    <row r="49" spans="1:11" x14ac:dyDescent="0.25">
      <c r="A49" s="105">
        <v>46294.896319444444</v>
      </c>
      <c r="B49" t="s">
        <v>19</v>
      </c>
      <c r="C49" t="s">
        <v>135</v>
      </c>
      <c r="D49" t="s">
        <v>141</v>
      </c>
      <c r="E49" t="s">
        <v>142</v>
      </c>
      <c r="F49">
        <v>5</v>
      </c>
      <c r="G49" t="s">
        <v>12</v>
      </c>
      <c r="H49" t="s">
        <v>20</v>
      </c>
      <c r="I49" t="s">
        <v>14</v>
      </c>
      <c r="J49" t="s">
        <v>136</v>
      </c>
      <c r="K49" s="106">
        <v>47.8</v>
      </c>
    </row>
    <row r="50" spans="1:11" x14ac:dyDescent="0.25">
      <c r="A50" s="105">
        <v>46294.896458333336</v>
      </c>
      <c r="B50" t="s">
        <v>21</v>
      </c>
      <c r="C50" t="s">
        <v>138</v>
      </c>
      <c r="D50" t="s">
        <v>141</v>
      </c>
      <c r="E50" t="s">
        <v>142</v>
      </c>
      <c r="F50">
        <v>5</v>
      </c>
      <c r="G50" t="s">
        <v>16</v>
      </c>
      <c r="H50" t="s">
        <v>20</v>
      </c>
      <c r="I50" t="s">
        <v>14</v>
      </c>
      <c r="J50" t="s">
        <v>136</v>
      </c>
      <c r="K50" s="106">
        <v>48.7</v>
      </c>
    </row>
    <row r="51" spans="1:11" x14ac:dyDescent="0.25">
      <c r="A51" s="105">
        <v>46294.896620370368</v>
      </c>
      <c r="B51" t="s">
        <v>19</v>
      </c>
      <c r="C51" t="s">
        <v>135</v>
      </c>
      <c r="D51" t="s">
        <v>141</v>
      </c>
      <c r="E51" t="s">
        <v>142</v>
      </c>
      <c r="F51">
        <v>5</v>
      </c>
      <c r="G51" t="s">
        <v>16</v>
      </c>
      <c r="H51" t="s">
        <v>20</v>
      </c>
      <c r="I51" t="s">
        <v>14</v>
      </c>
      <c r="J51" t="s">
        <v>136</v>
      </c>
      <c r="K51" s="106">
        <v>47.8</v>
      </c>
    </row>
    <row r="52" spans="1:11" x14ac:dyDescent="0.25">
      <c r="A52" s="105">
        <v>46295.100069444445</v>
      </c>
      <c r="B52" t="s">
        <v>21</v>
      </c>
      <c r="C52" t="s">
        <v>138</v>
      </c>
      <c r="D52" t="s">
        <v>141</v>
      </c>
      <c r="E52" t="s">
        <v>142</v>
      </c>
      <c r="F52">
        <v>5</v>
      </c>
      <c r="G52" t="s">
        <v>12</v>
      </c>
      <c r="H52" t="s">
        <v>20</v>
      </c>
      <c r="I52" t="s">
        <v>14</v>
      </c>
      <c r="J52" t="s">
        <v>136</v>
      </c>
      <c r="K52" s="106">
        <v>48.7</v>
      </c>
    </row>
    <row r="53" spans="1:11" x14ac:dyDescent="0.25">
      <c r="A53" s="105">
        <v>46295.100185185183</v>
      </c>
      <c r="B53" t="s">
        <v>19</v>
      </c>
      <c r="C53" t="s">
        <v>135</v>
      </c>
      <c r="D53" t="s">
        <v>141</v>
      </c>
      <c r="E53" t="s">
        <v>142</v>
      </c>
      <c r="F53">
        <v>5</v>
      </c>
      <c r="G53" t="s">
        <v>16</v>
      </c>
      <c r="H53" t="s">
        <v>20</v>
      </c>
      <c r="I53" t="s">
        <v>14</v>
      </c>
      <c r="J53" t="s">
        <v>136</v>
      </c>
      <c r="K53" s="106">
        <v>47.8</v>
      </c>
    </row>
    <row r="54" spans="1:11" x14ac:dyDescent="0.25">
      <c r="A54" s="105">
        <v>46295.624479166669</v>
      </c>
      <c r="B54" t="s">
        <v>15</v>
      </c>
      <c r="C54" t="s">
        <v>131</v>
      </c>
      <c r="D54" t="s">
        <v>177</v>
      </c>
      <c r="E54" t="s">
        <v>178</v>
      </c>
      <c r="F54">
        <v>5</v>
      </c>
      <c r="G54" t="s">
        <v>12</v>
      </c>
      <c r="H54" t="s">
        <v>17</v>
      </c>
      <c r="I54" t="s">
        <v>14</v>
      </c>
      <c r="J54" t="s">
        <v>150</v>
      </c>
      <c r="K54" s="106">
        <v>39.799999999999997</v>
      </c>
    </row>
    <row r="55" spans="1:11" x14ac:dyDescent="0.25">
      <c r="A55" s="105">
        <v>46295.6246875</v>
      </c>
      <c r="B55" t="s">
        <v>18</v>
      </c>
      <c r="C55" t="s">
        <v>133</v>
      </c>
      <c r="D55" t="s">
        <v>177</v>
      </c>
      <c r="E55" t="s">
        <v>178</v>
      </c>
      <c r="F55">
        <v>5</v>
      </c>
      <c r="G55" t="s">
        <v>12</v>
      </c>
      <c r="H55" t="s">
        <v>17</v>
      </c>
      <c r="I55" t="s">
        <v>14</v>
      </c>
      <c r="J55" t="s">
        <v>150</v>
      </c>
      <c r="K55" s="106">
        <v>39.799999999999997</v>
      </c>
    </row>
    <row r="56" spans="1:11" x14ac:dyDescent="0.25">
      <c r="A56" s="105">
        <v>46295.624814814815</v>
      </c>
      <c r="B56" t="s">
        <v>11</v>
      </c>
      <c r="C56" t="s">
        <v>134</v>
      </c>
      <c r="D56" t="s">
        <v>177</v>
      </c>
      <c r="E56" t="s">
        <v>178</v>
      </c>
      <c r="F56">
        <v>10</v>
      </c>
      <c r="G56" t="s">
        <v>12</v>
      </c>
      <c r="H56" t="s">
        <v>13</v>
      </c>
      <c r="I56" t="s">
        <v>14</v>
      </c>
      <c r="J56" t="s">
        <v>150</v>
      </c>
      <c r="K56" s="106">
        <v>100</v>
      </c>
    </row>
    <row r="57" spans="1:11" x14ac:dyDescent="0.25">
      <c r="A57" s="105">
        <v>46295.624976851854</v>
      </c>
      <c r="B57" t="s">
        <v>15</v>
      </c>
      <c r="C57" t="s">
        <v>131</v>
      </c>
      <c r="D57" t="s">
        <v>177</v>
      </c>
      <c r="E57" t="s">
        <v>178</v>
      </c>
      <c r="F57">
        <v>5</v>
      </c>
      <c r="G57" t="s">
        <v>12</v>
      </c>
      <c r="H57" t="s">
        <v>13</v>
      </c>
      <c r="I57" t="s">
        <v>14</v>
      </c>
      <c r="J57" t="s">
        <v>150</v>
      </c>
      <c r="K57" s="106">
        <v>39.799999999999997</v>
      </c>
    </row>
    <row r="58" spans="1:11" x14ac:dyDescent="0.25">
      <c r="A58" s="105">
        <v>46295.625138888892</v>
      </c>
      <c r="B58" t="s">
        <v>18</v>
      </c>
      <c r="C58" t="s">
        <v>133</v>
      </c>
      <c r="D58" t="s">
        <v>177</v>
      </c>
      <c r="E58" t="s">
        <v>178</v>
      </c>
      <c r="F58">
        <v>5</v>
      </c>
      <c r="G58" t="s">
        <v>12</v>
      </c>
      <c r="H58" t="s">
        <v>13</v>
      </c>
      <c r="I58" t="s">
        <v>14</v>
      </c>
      <c r="J58" t="s">
        <v>150</v>
      </c>
      <c r="K58" s="106">
        <v>39.799999999999997</v>
      </c>
    </row>
    <row r="59" spans="1:11" x14ac:dyDescent="0.25">
      <c r="A59" s="105">
        <v>46295.625277777777</v>
      </c>
      <c r="B59" t="s">
        <v>18</v>
      </c>
      <c r="C59" t="s">
        <v>133</v>
      </c>
      <c r="D59" t="s">
        <v>177</v>
      </c>
      <c r="E59" t="s">
        <v>178</v>
      </c>
      <c r="F59">
        <v>5</v>
      </c>
      <c r="G59" t="s">
        <v>12</v>
      </c>
      <c r="H59" t="s">
        <v>20</v>
      </c>
      <c r="I59" t="s">
        <v>14</v>
      </c>
      <c r="J59" t="s">
        <v>150</v>
      </c>
      <c r="K59" s="106">
        <v>39.799999999999997</v>
      </c>
    </row>
    <row r="60" spans="1:11" x14ac:dyDescent="0.25">
      <c r="A60" s="105">
        <v>46295.625428240739</v>
      </c>
      <c r="B60" t="s">
        <v>19</v>
      </c>
      <c r="C60" t="s">
        <v>135</v>
      </c>
      <c r="D60" t="s">
        <v>177</v>
      </c>
      <c r="E60" t="s">
        <v>178</v>
      </c>
      <c r="F60">
        <v>5</v>
      </c>
      <c r="G60" t="s">
        <v>12</v>
      </c>
      <c r="H60" t="s">
        <v>20</v>
      </c>
      <c r="I60" t="s">
        <v>14</v>
      </c>
      <c r="J60" t="s">
        <v>150</v>
      </c>
      <c r="K60" s="106">
        <v>47.8</v>
      </c>
    </row>
    <row r="61" spans="1:11" x14ac:dyDescent="0.25">
      <c r="A61" s="105">
        <v>46295.877071759256</v>
      </c>
      <c r="B61" t="s">
        <v>18</v>
      </c>
      <c r="C61" t="s">
        <v>133</v>
      </c>
      <c r="D61" t="s">
        <v>152</v>
      </c>
      <c r="E61" t="s">
        <v>153</v>
      </c>
      <c r="F61">
        <v>5</v>
      </c>
      <c r="G61" t="s">
        <v>16</v>
      </c>
      <c r="H61" t="s">
        <v>13</v>
      </c>
      <c r="I61" t="s">
        <v>14</v>
      </c>
      <c r="J61" t="s">
        <v>132</v>
      </c>
      <c r="K61" s="106">
        <v>39.799999999999997</v>
      </c>
    </row>
    <row r="62" spans="1:11" x14ac:dyDescent="0.25">
      <c r="A62" s="105">
        <v>46295.9219212963</v>
      </c>
      <c r="B62" t="s">
        <v>18</v>
      </c>
      <c r="C62" t="s">
        <v>133</v>
      </c>
      <c r="D62" t="s">
        <v>152</v>
      </c>
      <c r="E62" t="s">
        <v>153</v>
      </c>
      <c r="F62">
        <v>5</v>
      </c>
      <c r="G62" t="s">
        <v>12</v>
      </c>
      <c r="H62" t="s">
        <v>13</v>
      </c>
      <c r="I62" t="s">
        <v>14</v>
      </c>
      <c r="J62" t="s">
        <v>150</v>
      </c>
      <c r="K62" s="106">
        <v>39.799999999999997</v>
      </c>
    </row>
    <row r="63" spans="1:11" x14ac:dyDescent="0.25">
      <c r="A63" s="105">
        <v>46295.980138888888</v>
      </c>
      <c r="B63" t="s">
        <v>19</v>
      </c>
      <c r="C63" t="s">
        <v>135</v>
      </c>
      <c r="D63" t="s">
        <v>141</v>
      </c>
      <c r="E63" t="s">
        <v>142</v>
      </c>
      <c r="F63">
        <v>5</v>
      </c>
      <c r="G63" t="s">
        <v>12</v>
      </c>
      <c r="H63" t="s">
        <v>20</v>
      </c>
      <c r="I63" t="s">
        <v>14</v>
      </c>
      <c r="J63" t="s">
        <v>150</v>
      </c>
      <c r="K63" s="106">
        <v>47.8</v>
      </c>
    </row>
    <row r="64" spans="1:11" x14ac:dyDescent="0.25">
      <c r="A64" s="105">
        <v>46295.980254629627</v>
      </c>
      <c r="B64" t="s">
        <v>19</v>
      </c>
      <c r="C64" t="s">
        <v>135</v>
      </c>
      <c r="D64" t="s">
        <v>141</v>
      </c>
      <c r="E64" t="s">
        <v>142</v>
      </c>
      <c r="F64">
        <v>5</v>
      </c>
      <c r="G64" t="s">
        <v>16</v>
      </c>
      <c r="H64" t="s">
        <v>20</v>
      </c>
      <c r="I64" t="s">
        <v>14</v>
      </c>
      <c r="J64" t="s">
        <v>136</v>
      </c>
      <c r="K64" s="106">
        <v>47.8</v>
      </c>
    </row>
    <row r="65" spans="1:11" x14ac:dyDescent="0.25">
      <c r="A65" s="105">
        <v>46296.168726851851</v>
      </c>
      <c r="B65" t="s">
        <v>15</v>
      </c>
      <c r="C65" t="s">
        <v>131</v>
      </c>
      <c r="D65" t="s">
        <v>141</v>
      </c>
      <c r="E65" t="s">
        <v>142</v>
      </c>
      <c r="F65">
        <v>5</v>
      </c>
      <c r="G65" t="s">
        <v>16</v>
      </c>
      <c r="H65" t="s">
        <v>13</v>
      </c>
      <c r="I65" t="s">
        <v>14</v>
      </c>
      <c r="J65" t="s">
        <v>136</v>
      </c>
      <c r="K65" s="106">
        <v>39.799999999999997</v>
      </c>
    </row>
    <row r="66" spans="1:11" x14ac:dyDescent="0.25">
      <c r="A66" s="105">
        <v>46296.250567129631</v>
      </c>
      <c r="B66" t="s">
        <v>15</v>
      </c>
      <c r="C66" t="s">
        <v>131</v>
      </c>
      <c r="D66" t="s">
        <v>129</v>
      </c>
      <c r="E66" t="s">
        <v>130</v>
      </c>
      <c r="F66">
        <v>5</v>
      </c>
      <c r="G66" t="s">
        <v>16</v>
      </c>
      <c r="H66" t="s">
        <v>17</v>
      </c>
      <c r="I66" t="s">
        <v>14</v>
      </c>
      <c r="J66" t="s">
        <v>136</v>
      </c>
      <c r="K66" s="106">
        <v>39.799999999999997</v>
      </c>
    </row>
    <row r="67" spans="1:11" x14ac:dyDescent="0.25">
      <c r="A67" s="105">
        <v>46296.250706018516</v>
      </c>
      <c r="B67" t="s">
        <v>18</v>
      </c>
      <c r="C67" t="s">
        <v>133</v>
      </c>
      <c r="D67" t="s">
        <v>129</v>
      </c>
      <c r="E67" t="s">
        <v>130</v>
      </c>
      <c r="F67">
        <v>5</v>
      </c>
      <c r="G67" t="s">
        <v>16</v>
      </c>
      <c r="H67" t="s">
        <v>17</v>
      </c>
      <c r="I67" t="s">
        <v>14</v>
      </c>
      <c r="J67" t="s">
        <v>136</v>
      </c>
      <c r="K67" s="106">
        <v>39.799999999999997</v>
      </c>
    </row>
    <row r="68" spans="1:11" x14ac:dyDescent="0.25">
      <c r="A68" s="105">
        <v>46296.250856481478</v>
      </c>
      <c r="B68" t="s">
        <v>15</v>
      </c>
      <c r="C68" t="s">
        <v>131</v>
      </c>
      <c r="D68" t="s">
        <v>129</v>
      </c>
      <c r="E68" t="s">
        <v>130</v>
      </c>
      <c r="F68">
        <v>5</v>
      </c>
      <c r="G68" t="s">
        <v>16</v>
      </c>
      <c r="H68" t="s">
        <v>13</v>
      </c>
      <c r="I68" t="s">
        <v>14</v>
      </c>
      <c r="J68" t="s">
        <v>136</v>
      </c>
      <c r="K68" s="106">
        <v>39.799999999999997</v>
      </c>
    </row>
    <row r="69" spans="1:11" x14ac:dyDescent="0.25">
      <c r="A69" s="105">
        <v>46296.251006944447</v>
      </c>
      <c r="B69" t="s">
        <v>18</v>
      </c>
      <c r="C69" t="s">
        <v>133</v>
      </c>
      <c r="D69" t="s">
        <v>129</v>
      </c>
      <c r="E69" t="s">
        <v>130</v>
      </c>
      <c r="F69">
        <v>5</v>
      </c>
      <c r="G69" t="s">
        <v>16</v>
      </c>
      <c r="H69" t="s">
        <v>13</v>
      </c>
      <c r="I69" t="s">
        <v>14</v>
      </c>
      <c r="J69" t="s">
        <v>136</v>
      </c>
      <c r="K69" s="106">
        <v>39.799999999999997</v>
      </c>
    </row>
    <row r="70" spans="1:11" x14ac:dyDescent="0.25">
      <c r="A70" s="105">
        <v>46296.251157407409</v>
      </c>
      <c r="B70" t="s">
        <v>19</v>
      </c>
      <c r="C70" t="s">
        <v>135</v>
      </c>
      <c r="D70" t="s">
        <v>129</v>
      </c>
      <c r="E70" t="s">
        <v>130</v>
      </c>
      <c r="F70">
        <v>5</v>
      </c>
      <c r="G70" t="s">
        <v>16</v>
      </c>
      <c r="H70" t="s">
        <v>20</v>
      </c>
      <c r="I70" t="s">
        <v>14</v>
      </c>
      <c r="J70" t="s">
        <v>136</v>
      </c>
      <c r="K70" s="106">
        <v>47.8</v>
      </c>
    </row>
    <row r="71" spans="1:11" x14ac:dyDescent="0.25">
      <c r="A71" s="105">
        <v>46296.251319444447</v>
      </c>
      <c r="B71" t="s">
        <v>19</v>
      </c>
      <c r="C71" t="s">
        <v>135</v>
      </c>
      <c r="D71" t="s">
        <v>129</v>
      </c>
      <c r="E71" t="s">
        <v>130</v>
      </c>
      <c r="F71">
        <v>5</v>
      </c>
      <c r="G71" t="s">
        <v>16</v>
      </c>
      <c r="H71" t="s">
        <v>20</v>
      </c>
      <c r="I71" t="s">
        <v>14</v>
      </c>
      <c r="J71" t="s">
        <v>136</v>
      </c>
      <c r="K71" s="106">
        <v>47.8</v>
      </c>
    </row>
    <row r="72" spans="1:11" x14ac:dyDescent="0.25">
      <c r="A72" s="105">
        <v>46296.876793981479</v>
      </c>
      <c r="B72" t="s">
        <v>18</v>
      </c>
      <c r="C72" t="s">
        <v>133</v>
      </c>
      <c r="D72" t="s">
        <v>152</v>
      </c>
      <c r="E72" t="s">
        <v>153</v>
      </c>
      <c r="F72">
        <v>5</v>
      </c>
      <c r="G72" t="s">
        <v>12</v>
      </c>
      <c r="H72" t="s">
        <v>13</v>
      </c>
      <c r="I72" t="s">
        <v>14</v>
      </c>
      <c r="J72" t="s">
        <v>150</v>
      </c>
      <c r="K72" s="106">
        <v>39.799999999999997</v>
      </c>
    </row>
    <row r="73" spans="1:11" x14ac:dyDescent="0.25">
      <c r="A73" s="105">
        <v>46296.883657407408</v>
      </c>
      <c r="B73" t="s">
        <v>19</v>
      </c>
      <c r="C73" t="s">
        <v>135</v>
      </c>
      <c r="D73" t="s">
        <v>141</v>
      </c>
      <c r="E73" t="s">
        <v>142</v>
      </c>
      <c r="F73">
        <v>5</v>
      </c>
      <c r="G73" t="s">
        <v>12</v>
      </c>
      <c r="H73" t="s">
        <v>20</v>
      </c>
      <c r="I73" t="s">
        <v>14</v>
      </c>
      <c r="J73" t="s">
        <v>150</v>
      </c>
      <c r="K73" s="106">
        <v>47.8</v>
      </c>
    </row>
    <row r="74" spans="1:11" x14ac:dyDescent="0.25">
      <c r="A74" s="105">
        <v>46296.883958333332</v>
      </c>
      <c r="B74" t="s">
        <v>19</v>
      </c>
      <c r="C74" t="s">
        <v>135</v>
      </c>
      <c r="D74" t="s">
        <v>141</v>
      </c>
      <c r="E74" t="s">
        <v>142</v>
      </c>
      <c r="F74">
        <v>5</v>
      </c>
      <c r="G74" t="s">
        <v>16</v>
      </c>
      <c r="H74" t="s">
        <v>20</v>
      </c>
      <c r="I74" t="s">
        <v>14</v>
      </c>
      <c r="J74" t="s">
        <v>136</v>
      </c>
      <c r="K74" s="106">
        <v>47.8</v>
      </c>
    </row>
    <row r="75" spans="1:11" x14ac:dyDescent="0.25">
      <c r="A75" s="105"/>
      <c r="B75" t="s">
        <v>27</v>
      </c>
      <c r="C75" t="s">
        <v>27</v>
      </c>
      <c r="F75">
        <v>11</v>
      </c>
      <c r="G75" t="s">
        <v>12</v>
      </c>
      <c r="H75" t="s">
        <v>23</v>
      </c>
      <c r="I75" t="s">
        <v>14</v>
      </c>
      <c r="K75" s="106">
        <v>133.97999999999999</v>
      </c>
    </row>
    <row r="76" spans="1:11" x14ac:dyDescent="0.25">
      <c r="A76" s="105"/>
      <c r="B76" t="s">
        <v>28</v>
      </c>
      <c r="F76">
        <v>11</v>
      </c>
      <c r="G76" t="s">
        <v>12</v>
      </c>
      <c r="H76" t="s">
        <v>23</v>
      </c>
      <c r="I76" t="s">
        <v>29</v>
      </c>
      <c r="K76" s="106">
        <v>533.5</v>
      </c>
    </row>
    <row r="77" spans="1:11" x14ac:dyDescent="0.25">
      <c r="A77" s="105"/>
      <c r="B77" t="s">
        <v>30</v>
      </c>
      <c r="C77" t="s">
        <v>30</v>
      </c>
      <c r="F77">
        <v>5</v>
      </c>
      <c r="G77" t="s">
        <v>12</v>
      </c>
      <c r="H77" t="s">
        <v>23</v>
      </c>
      <c r="I77" t="s">
        <v>14</v>
      </c>
      <c r="K77" s="106">
        <v>40.75</v>
      </c>
    </row>
    <row r="78" spans="1:11" x14ac:dyDescent="0.25">
      <c r="A78" s="105"/>
      <c r="B78" t="s">
        <v>31</v>
      </c>
      <c r="F78">
        <v>7</v>
      </c>
      <c r="G78" t="s">
        <v>12</v>
      </c>
      <c r="H78" t="s">
        <v>23</v>
      </c>
      <c r="I78" t="s">
        <v>29</v>
      </c>
      <c r="K78" s="106">
        <v>328.65000000000003</v>
      </c>
    </row>
    <row r="79" spans="1:11" x14ac:dyDescent="0.25">
      <c r="A79" s="105"/>
      <c r="B79" t="s">
        <v>27</v>
      </c>
      <c r="C79" t="s">
        <v>27</v>
      </c>
      <c r="F79">
        <v>4</v>
      </c>
      <c r="G79" t="s">
        <v>16</v>
      </c>
      <c r="H79" t="s">
        <v>23</v>
      </c>
      <c r="I79" t="s">
        <v>14</v>
      </c>
      <c r="K79" s="106">
        <v>48.72</v>
      </c>
    </row>
    <row r="80" spans="1:11" x14ac:dyDescent="0.25">
      <c r="A80" s="105"/>
      <c r="B80" t="s">
        <v>28</v>
      </c>
      <c r="F80">
        <v>4</v>
      </c>
      <c r="G80" t="s">
        <v>16</v>
      </c>
      <c r="H80" t="s">
        <v>23</v>
      </c>
      <c r="I80" t="s">
        <v>29</v>
      </c>
      <c r="K80" s="106">
        <v>194</v>
      </c>
    </row>
    <row r="81" spans="1:11" x14ac:dyDescent="0.25">
      <c r="A81" s="105"/>
      <c r="B81" t="s">
        <v>30</v>
      </c>
      <c r="C81" t="s">
        <v>30</v>
      </c>
      <c r="F81">
        <v>4</v>
      </c>
      <c r="G81" t="s">
        <v>16</v>
      </c>
      <c r="H81" t="s">
        <v>23</v>
      </c>
      <c r="I81" t="s">
        <v>14</v>
      </c>
      <c r="K81" s="106">
        <v>32.6</v>
      </c>
    </row>
    <row r="82" spans="1:11" x14ac:dyDescent="0.25">
      <c r="A82" s="105"/>
      <c r="B82" t="s">
        <v>31</v>
      </c>
      <c r="F82">
        <v>6</v>
      </c>
      <c r="G82" t="s">
        <v>16</v>
      </c>
      <c r="H82" t="s">
        <v>23</v>
      </c>
      <c r="I82" t="s">
        <v>29</v>
      </c>
      <c r="K82" s="106">
        <v>281.70000000000005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/>
  <dimension ref="A3:B25"/>
  <sheetViews>
    <sheetView workbookViewId="0">
      <selection activeCell="B24" sqref="B24"/>
    </sheetView>
  </sheetViews>
  <sheetFormatPr baseColWidth="10" defaultColWidth="11.42578125" defaultRowHeight="15" x14ac:dyDescent="0.25"/>
  <cols>
    <col min="1" max="1" width="26.42578125" bestFit="1" customWidth="1"/>
    <col min="2" max="2" width="15.42578125" bestFit="1" customWidth="1"/>
  </cols>
  <sheetData>
    <row r="3" spans="1:2" x14ac:dyDescent="0.25">
      <c r="A3" s="5" t="s">
        <v>9</v>
      </c>
      <c r="B3" t="s">
        <v>41</v>
      </c>
    </row>
    <row r="4" spans="1:2" x14ac:dyDescent="0.25">
      <c r="A4" s="5" t="s">
        <v>6</v>
      </c>
      <c r="B4" t="s">
        <v>41</v>
      </c>
    </row>
    <row r="6" spans="1:2" x14ac:dyDescent="0.25">
      <c r="A6" s="5" t="s">
        <v>42</v>
      </c>
      <c r="B6" t="s">
        <v>43</v>
      </c>
    </row>
    <row r="7" spans="1:2" x14ac:dyDescent="0.25">
      <c r="A7" s="6" t="s">
        <v>17</v>
      </c>
      <c r="B7" s="179">
        <v>597</v>
      </c>
    </row>
    <row r="8" spans="1:2" x14ac:dyDescent="0.25">
      <c r="A8" s="7" t="s">
        <v>15</v>
      </c>
      <c r="B8" s="179">
        <v>318.40000000000003</v>
      </c>
    </row>
    <row r="9" spans="1:2" x14ac:dyDescent="0.25">
      <c r="A9" s="7" t="s">
        <v>18</v>
      </c>
      <c r="B9" s="179">
        <v>278.60000000000002</v>
      </c>
    </row>
    <row r="10" spans="1:2" x14ac:dyDescent="0.25">
      <c r="A10" s="6" t="s">
        <v>13</v>
      </c>
      <c r="B10" s="179">
        <v>1216.4000000000001</v>
      </c>
    </row>
    <row r="11" spans="1:2" x14ac:dyDescent="0.25">
      <c r="A11" s="7" t="s">
        <v>11</v>
      </c>
      <c r="B11" s="179">
        <v>500</v>
      </c>
    </row>
    <row r="12" spans="1:2" x14ac:dyDescent="0.25">
      <c r="A12" s="7" t="s">
        <v>15</v>
      </c>
      <c r="B12" s="179">
        <v>358.20000000000005</v>
      </c>
    </row>
    <row r="13" spans="1:2" x14ac:dyDescent="0.25">
      <c r="A13" s="7" t="s">
        <v>18</v>
      </c>
      <c r="B13" s="179">
        <v>358.20000000000005</v>
      </c>
    </row>
    <row r="14" spans="1:2" x14ac:dyDescent="0.25">
      <c r="A14" s="6" t="s">
        <v>23</v>
      </c>
      <c r="B14" s="179">
        <v>1675.4</v>
      </c>
    </row>
    <row r="15" spans="1:2" x14ac:dyDescent="0.25">
      <c r="A15" s="7" t="s">
        <v>28</v>
      </c>
      <c r="B15" s="179">
        <v>727.5</v>
      </c>
    </row>
    <row r="16" spans="1:2" x14ac:dyDescent="0.25">
      <c r="A16" s="7" t="s">
        <v>31</v>
      </c>
      <c r="B16" s="179">
        <v>610.35000000000014</v>
      </c>
    </row>
    <row r="17" spans="1:2" x14ac:dyDescent="0.25">
      <c r="A17" s="7" t="s">
        <v>27</v>
      </c>
      <c r="B17" s="179">
        <v>182.7</v>
      </c>
    </row>
    <row r="18" spans="1:2" x14ac:dyDescent="0.25">
      <c r="A18" s="7" t="s">
        <v>30</v>
      </c>
      <c r="B18" s="179">
        <v>73.349999999999994</v>
      </c>
    </row>
    <row r="19" spans="1:2" x14ac:dyDescent="0.25">
      <c r="A19" s="7" t="s">
        <v>26</v>
      </c>
      <c r="B19" s="179">
        <v>81.5</v>
      </c>
    </row>
    <row r="20" spans="1:2" x14ac:dyDescent="0.25">
      <c r="A20" s="6" t="s">
        <v>20</v>
      </c>
      <c r="B20" s="179">
        <v>1595.9999999999998</v>
      </c>
    </row>
    <row r="21" spans="1:2" x14ac:dyDescent="0.25">
      <c r="A21" s="7" t="s">
        <v>18</v>
      </c>
      <c r="B21" s="179">
        <v>119.39999999999999</v>
      </c>
    </row>
    <row r="22" spans="1:2" x14ac:dyDescent="0.25">
      <c r="A22" s="7" t="s">
        <v>25</v>
      </c>
      <c r="B22" s="179">
        <v>85</v>
      </c>
    </row>
    <row r="23" spans="1:2" x14ac:dyDescent="0.25">
      <c r="A23" s="7" t="s">
        <v>19</v>
      </c>
      <c r="B23" s="179">
        <v>1099.3999999999996</v>
      </c>
    </row>
    <row r="24" spans="1:2" x14ac:dyDescent="0.25">
      <c r="A24" s="7" t="s">
        <v>21</v>
      </c>
      <c r="B24" s="179">
        <v>292.2</v>
      </c>
    </row>
    <row r="25" spans="1:2" x14ac:dyDescent="0.25">
      <c r="A25" s="6" t="s">
        <v>44</v>
      </c>
      <c r="B25" s="179">
        <v>5084.7999999999993</v>
      </c>
    </row>
  </sheetData>
  <pageMargins left="0.7" right="0.7" top="0.75" bottom="0.75" header="0.3" footer="0.3"/>
  <pageSetup paperSize="9"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6"/>
  <dimension ref="A1:B22"/>
  <sheetViews>
    <sheetView zoomScale="65" workbookViewId="0">
      <selection activeCell="F38" sqref="F38"/>
    </sheetView>
  </sheetViews>
  <sheetFormatPr baseColWidth="10" defaultColWidth="11.42578125" defaultRowHeight="15" x14ac:dyDescent="0.25"/>
  <cols>
    <col min="1" max="1" width="32.5703125" bestFit="1" customWidth="1"/>
    <col min="2" max="2" width="21.7109375" bestFit="1" customWidth="1"/>
  </cols>
  <sheetData>
    <row r="1" spans="1:2" x14ac:dyDescent="0.25">
      <c r="A1" s="5" t="s">
        <v>6</v>
      </c>
      <c r="B1" t="s">
        <v>41</v>
      </c>
    </row>
    <row r="2" spans="1:2" x14ac:dyDescent="0.25">
      <c r="A2" s="5" t="s">
        <v>9</v>
      </c>
      <c r="B2" t="s">
        <v>41</v>
      </c>
    </row>
    <row r="4" spans="1:2" x14ac:dyDescent="0.25">
      <c r="A4" s="5" t="s">
        <v>42</v>
      </c>
      <c r="B4" t="s">
        <v>43</v>
      </c>
    </row>
    <row r="5" spans="1:2" x14ac:dyDescent="0.25">
      <c r="A5" s="6" t="s">
        <v>17</v>
      </c>
      <c r="B5" s="179">
        <v>597</v>
      </c>
    </row>
    <row r="6" spans="1:2" x14ac:dyDescent="0.25">
      <c r="A6" s="7" t="s">
        <v>15</v>
      </c>
      <c r="B6" s="179">
        <v>318.40000000000003</v>
      </c>
    </row>
    <row r="7" spans="1:2" x14ac:dyDescent="0.25">
      <c r="A7" s="7" t="s">
        <v>18</v>
      </c>
      <c r="B7" s="179">
        <v>278.60000000000002</v>
      </c>
    </row>
    <row r="8" spans="1:2" x14ac:dyDescent="0.25">
      <c r="A8" s="6" t="s">
        <v>13</v>
      </c>
      <c r="B8" s="179">
        <v>1216.4000000000001</v>
      </c>
    </row>
    <row r="9" spans="1:2" x14ac:dyDescent="0.25">
      <c r="A9" s="7" t="s">
        <v>11</v>
      </c>
      <c r="B9" s="179">
        <v>500</v>
      </c>
    </row>
    <row r="10" spans="1:2" x14ac:dyDescent="0.25">
      <c r="A10" s="7" t="s">
        <v>15</v>
      </c>
      <c r="B10" s="179">
        <v>358.20000000000005</v>
      </c>
    </row>
    <row r="11" spans="1:2" x14ac:dyDescent="0.25">
      <c r="A11" s="7" t="s">
        <v>18</v>
      </c>
      <c r="B11" s="179">
        <v>358.20000000000005</v>
      </c>
    </row>
    <row r="12" spans="1:2" x14ac:dyDescent="0.25">
      <c r="A12" s="6" t="s">
        <v>23</v>
      </c>
      <c r="B12" s="179">
        <v>1675.4</v>
      </c>
    </row>
    <row r="13" spans="1:2" x14ac:dyDescent="0.25">
      <c r="A13" s="7" t="s">
        <v>26</v>
      </c>
      <c r="B13" s="179">
        <v>81.5</v>
      </c>
    </row>
    <row r="14" spans="1:2" x14ac:dyDescent="0.25">
      <c r="A14" s="7" t="s">
        <v>27</v>
      </c>
      <c r="B14" s="179">
        <v>182.7</v>
      </c>
    </row>
    <row r="15" spans="1:2" x14ac:dyDescent="0.25">
      <c r="A15" s="7" t="s">
        <v>28</v>
      </c>
      <c r="B15" s="179">
        <v>727.5</v>
      </c>
    </row>
    <row r="16" spans="1:2" x14ac:dyDescent="0.25">
      <c r="A16" s="7" t="s">
        <v>30</v>
      </c>
      <c r="B16" s="179">
        <v>73.349999999999994</v>
      </c>
    </row>
    <row r="17" spans="1:2" x14ac:dyDescent="0.25">
      <c r="A17" s="7" t="s">
        <v>31</v>
      </c>
      <c r="B17" s="179">
        <v>610.35000000000014</v>
      </c>
    </row>
    <row r="18" spans="1:2" x14ac:dyDescent="0.25">
      <c r="A18" s="6" t="s">
        <v>20</v>
      </c>
      <c r="B18" s="179">
        <v>1595.9999999999998</v>
      </c>
    </row>
    <row r="19" spans="1:2" x14ac:dyDescent="0.25">
      <c r="A19" s="7" t="s">
        <v>18</v>
      </c>
      <c r="B19" s="179">
        <v>119.39999999999999</v>
      </c>
    </row>
    <row r="20" spans="1:2" x14ac:dyDescent="0.25">
      <c r="A20" s="7" t="s">
        <v>25</v>
      </c>
      <c r="B20" s="179">
        <v>85</v>
      </c>
    </row>
    <row r="21" spans="1:2" x14ac:dyDescent="0.25">
      <c r="A21" s="7" t="s">
        <v>19</v>
      </c>
      <c r="B21" s="179">
        <v>1099.3999999999996</v>
      </c>
    </row>
    <row r="22" spans="1:2" x14ac:dyDescent="0.25">
      <c r="A22" s="7" t="s">
        <v>21</v>
      </c>
      <c r="B22" s="179">
        <v>292.2</v>
      </c>
    </row>
  </sheetData>
  <pageMargins left="0.7" right="0.7" top="0.75" bottom="0.75" header="0.3" footer="0.3"/>
  <pageSetup paperSize="9" orientation="portrait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7"/>
  <dimension ref="A3:B25"/>
  <sheetViews>
    <sheetView zoomScale="91" workbookViewId="0">
      <selection activeCell="T22" sqref="T22"/>
    </sheetView>
  </sheetViews>
  <sheetFormatPr baseColWidth="10" defaultColWidth="11.42578125" defaultRowHeight="15" x14ac:dyDescent="0.25"/>
  <cols>
    <col min="1" max="1" width="26.42578125" bestFit="1" customWidth="1"/>
    <col min="2" max="2" width="14.140625" bestFit="1" customWidth="1"/>
  </cols>
  <sheetData>
    <row r="3" spans="1:2" x14ac:dyDescent="0.25">
      <c r="A3" s="5" t="s">
        <v>9</v>
      </c>
      <c r="B3" t="s">
        <v>41</v>
      </c>
    </row>
    <row r="4" spans="1:2" x14ac:dyDescent="0.25">
      <c r="A4" s="5" t="s">
        <v>6</v>
      </c>
      <c r="B4" t="s">
        <v>41</v>
      </c>
    </row>
    <row r="6" spans="1:2" x14ac:dyDescent="0.25">
      <c r="A6" s="5" t="s">
        <v>42</v>
      </c>
      <c r="B6" t="s">
        <v>45</v>
      </c>
    </row>
    <row r="7" spans="1:2" x14ac:dyDescent="0.25">
      <c r="A7" s="6" t="s">
        <v>17</v>
      </c>
      <c r="B7" s="179">
        <v>75</v>
      </c>
    </row>
    <row r="8" spans="1:2" x14ac:dyDescent="0.25">
      <c r="A8" s="7" t="s">
        <v>15</v>
      </c>
      <c r="B8" s="179">
        <v>40</v>
      </c>
    </row>
    <row r="9" spans="1:2" x14ac:dyDescent="0.25">
      <c r="A9" s="7" t="s">
        <v>18</v>
      </c>
      <c r="B9" s="179">
        <v>35</v>
      </c>
    </row>
    <row r="10" spans="1:2" x14ac:dyDescent="0.25">
      <c r="A10" s="6" t="s">
        <v>13</v>
      </c>
      <c r="B10" s="179">
        <v>140</v>
      </c>
    </row>
    <row r="11" spans="1:2" x14ac:dyDescent="0.25">
      <c r="A11" s="7" t="s">
        <v>11</v>
      </c>
      <c r="B11" s="179">
        <v>50</v>
      </c>
    </row>
    <row r="12" spans="1:2" x14ac:dyDescent="0.25">
      <c r="A12" s="7" t="s">
        <v>15</v>
      </c>
      <c r="B12" s="179">
        <v>45</v>
      </c>
    </row>
    <row r="13" spans="1:2" x14ac:dyDescent="0.25">
      <c r="A13" s="7" t="s">
        <v>18</v>
      </c>
      <c r="B13" s="179">
        <v>45</v>
      </c>
    </row>
    <row r="14" spans="1:2" x14ac:dyDescent="0.25">
      <c r="A14" s="6" t="s">
        <v>23</v>
      </c>
      <c r="B14" s="179">
        <v>62</v>
      </c>
    </row>
    <row r="15" spans="1:2" x14ac:dyDescent="0.25">
      <c r="A15" s="7" t="s">
        <v>27</v>
      </c>
      <c r="B15" s="179">
        <v>15</v>
      </c>
    </row>
    <row r="16" spans="1:2" x14ac:dyDescent="0.25">
      <c r="A16" s="7" t="s">
        <v>28</v>
      </c>
      <c r="B16" s="179">
        <v>15</v>
      </c>
    </row>
    <row r="17" spans="1:2" x14ac:dyDescent="0.25">
      <c r="A17" s="7" t="s">
        <v>30</v>
      </c>
      <c r="B17" s="179">
        <v>9</v>
      </c>
    </row>
    <row r="18" spans="1:2" x14ac:dyDescent="0.25">
      <c r="A18" s="7" t="s">
        <v>31</v>
      </c>
      <c r="B18" s="179">
        <v>13</v>
      </c>
    </row>
    <row r="19" spans="1:2" x14ac:dyDescent="0.25">
      <c r="A19" s="7" t="s">
        <v>26</v>
      </c>
      <c r="B19" s="179">
        <v>10</v>
      </c>
    </row>
    <row r="20" spans="1:2" x14ac:dyDescent="0.25">
      <c r="A20" s="6" t="s">
        <v>20</v>
      </c>
      <c r="B20" s="179">
        <v>170</v>
      </c>
    </row>
    <row r="21" spans="1:2" x14ac:dyDescent="0.25">
      <c r="A21" s="7" t="s">
        <v>18</v>
      </c>
      <c r="B21" s="179">
        <v>15</v>
      </c>
    </row>
    <row r="22" spans="1:2" x14ac:dyDescent="0.25">
      <c r="A22" s="7" t="s">
        <v>25</v>
      </c>
      <c r="B22" s="179">
        <v>10</v>
      </c>
    </row>
    <row r="23" spans="1:2" x14ac:dyDescent="0.25">
      <c r="A23" s="7" t="s">
        <v>19</v>
      </c>
      <c r="B23" s="179">
        <v>115</v>
      </c>
    </row>
    <row r="24" spans="1:2" x14ac:dyDescent="0.25">
      <c r="A24" s="7" t="s">
        <v>21</v>
      </c>
      <c r="B24" s="179">
        <v>30</v>
      </c>
    </row>
    <row r="25" spans="1:2" x14ac:dyDescent="0.25">
      <c r="A25" s="6" t="s">
        <v>44</v>
      </c>
      <c r="B25" s="179">
        <v>447</v>
      </c>
    </row>
  </sheetData>
  <pageMargins left="0.7" right="0.7" top="0.75" bottom="0.75" header="0.3" footer="0.3"/>
  <pageSetup paperSize="9"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"/>
  <dimension ref="A1:B22"/>
  <sheetViews>
    <sheetView topLeftCell="A5" workbookViewId="0">
      <selection activeCell="A4" sqref="A4"/>
    </sheetView>
  </sheetViews>
  <sheetFormatPr baseColWidth="10" defaultColWidth="11.42578125" defaultRowHeight="15" x14ac:dyDescent="0.25"/>
  <cols>
    <col min="1" max="1" width="26.42578125" bestFit="1" customWidth="1"/>
    <col min="2" max="2" width="14.140625" bestFit="1" customWidth="1"/>
  </cols>
  <sheetData>
    <row r="1" spans="1:2" x14ac:dyDescent="0.25">
      <c r="A1" s="5" t="s">
        <v>9</v>
      </c>
      <c r="B1" t="s">
        <v>41</v>
      </c>
    </row>
    <row r="2" spans="1:2" x14ac:dyDescent="0.25">
      <c r="A2" s="5" t="s">
        <v>6</v>
      </c>
      <c r="B2" t="s">
        <v>41</v>
      </c>
    </row>
    <row r="4" spans="1:2" x14ac:dyDescent="0.25">
      <c r="A4" s="5" t="s">
        <v>42</v>
      </c>
      <c r="B4" t="s">
        <v>45</v>
      </c>
    </row>
    <row r="5" spans="1:2" x14ac:dyDescent="0.25">
      <c r="A5" s="6" t="s">
        <v>17</v>
      </c>
      <c r="B5" s="179">
        <v>75</v>
      </c>
    </row>
    <row r="6" spans="1:2" x14ac:dyDescent="0.25">
      <c r="A6" s="7" t="s">
        <v>15</v>
      </c>
      <c r="B6" s="179">
        <v>40</v>
      </c>
    </row>
    <row r="7" spans="1:2" x14ac:dyDescent="0.25">
      <c r="A7" s="7" t="s">
        <v>18</v>
      </c>
      <c r="B7" s="179">
        <v>35</v>
      </c>
    </row>
    <row r="8" spans="1:2" x14ac:dyDescent="0.25">
      <c r="A8" s="6" t="s">
        <v>13</v>
      </c>
      <c r="B8" s="179">
        <v>140</v>
      </c>
    </row>
    <row r="9" spans="1:2" x14ac:dyDescent="0.25">
      <c r="A9" s="7" t="s">
        <v>11</v>
      </c>
      <c r="B9" s="179">
        <v>50</v>
      </c>
    </row>
    <row r="10" spans="1:2" x14ac:dyDescent="0.25">
      <c r="A10" s="7" t="s">
        <v>15</v>
      </c>
      <c r="B10" s="179">
        <v>45</v>
      </c>
    </row>
    <row r="11" spans="1:2" x14ac:dyDescent="0.25">
      <c r="A11" s="7" t="s">
        <v>18</v>
      </c>
      <c r="B11" s="179">
        <v>45</v>
      </c>
    </row>
    <row r="12" spans="1:2" x14ac:dyDescent="0.25">
      <c r="A12" s="6" t="s">
        <v>23</v>
      </c>
      <c r="B12" s="179">
        <v>62</v>
      </c>
    </row>
    <row r="13" spans="1:2" x14ac:dyDescent="0.25">
      <c r="A13" s="7" t="s">
        <v>26</v>
      </c>
      <c r="B13" s="179">
        <v>10</v>
      </c>
    </row>
    <row r="14" spans="1:2" x14ac:dyDescent="0.25">
      <c r="A14" s="7" t="s">
        <v>27</v>
      </c>
      <c r="B14" s="179">
        <v>15</v>
      </c>
    </row>
    <row r="15" spans="1:2" x14ac:dyDescent="0.25">
      <c r="A15" s="7" t="s">
        <v>28</v>
      </c>
      <c r="B15" s="179">
        <v>15</v>
      </c>
    </row>
    <row r="16" spans="1:2" x14ac:dyDescent="0.25">
      <c r="A16" s="7" t="s">
        <v>30</v>
      </c>
      <c r="B16" s="179">
        <v>9</v>
      </c>
    </row>
    <row r="17" spans="1:2" x14ac:dyDescent="0.25">
      <c r="A17" s="7" t="s">
        <v>31</v>
      </c>
      <c r="B17" s="179">
        <v>13</v>
      </c>
    </row>
    <row r="18" spans="1:2" x14ac:dyDescent="0.25">
      <c r="A18" s="6" t="s">
        <v>20</v>
      </c>
      <c r="B18" s="179">
        <v>170</v>
      </c>
    </row>
    <row r="19" spans="1:2" x14ac:dyDescent="0.25">
      <c r="A19" s="7" t="s">
        <v>18</v>
      </c>
      <c r="B19" s="179">
        <v>15</v>
      </c>
    </row>
    <row r="20" spans="1:2" x14ac:dyDescent="0.25">
      <c r="A20" s="7" t="s">
        <v>25</v>
      </c>
      <c r="B20" s="179">
        <v>10</v>
      </c>
    </row>
    <row r="21" spans="1:2" x14ac:dyDescent="0.25">
      <c r="A21" s="7" t="s">
        <v>19</v>
      </c>
      <c r="B21" s="179">
        <v>115</v>
      </c>
    </row>
    <row r="22" spans="1:2" x14ac:dyDescent="0.25">
      <c r="A22" s="7" t="s">
        <v>21</v>
      </c>
      <c r="B22" s="179">
        <v>30</v>
      </c>
    </row>
  </sheetData>
  <pageMargins left="0.7" right="0.7" top="0.75" bottom="0.75" header="0.3" footer="0.3"/>
  <pageSetup paperSize="9"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9"/>
  <dimension ref="A3:B27"/>
  <sheetViews>
    <sheetView workbookViewId="0">
      <selection activeCell="S8" sqref="S8"/>
    </sheetView>
  </sheetViews>
  <sheetFormatPr baseColWidth="10" defaultColWidth="11.42578125" defaultRowHeight="15" x14ac:dyDescent="0.25"/>
  <cols>
    <col min="1" max="1" width="26.42578125" bestFit="1" customWidth="1"/>
    <col min="2" max="2" width="14.140625" bestFit="1" customWidth="1"/>
  </cols>
  <sheetData>
    <row r="3" spans="1:2" x14ac:dyDescent="0.25">
      <c r="A3" s="5" t="s">
        <v>42</v>
      </c>
      <c r="B3" t="s">
        <v>45</v>
      </c>
    </row>
    <row r="4" spans="1:2" x14ac:dyDescent="0.25">
      <c r="A4" s="6" t="s">
        <v>12</v>
      </c>
      <c r="B4" s="179">
        <v>249</v>
      </c>
    </row>
    <row r="5" spans="1:2" x14ac:dyDescent="0.25">
      <c r="A5" s="7" t="s">
        <v>19</v>
      </c>
      <c r="B5" s="179">
        <v>65</v>
      </c>
    </row>
    <row r="6" spans="1:2" x14ac:dyDescent="0.25">
      <c r="A6" s="7" t="s">
        <v>15</v>
      </c>
      <c r="B6" s="179">
        <v>45</v>
      </c>
    </row>
    <row r="7" spans="1:2" x14ac:dyDescent="0.25">
      <c r="A7" s="7" t="s">
        <v>18</v>
      </c>
      <c r="B7" s="179">
        <v>45</v>
      </c>
    </row>
    <row r="8" spans="1:2" x14ac:dyDescent="0.25">
      <c r="A8" s="7" t="s">
        <v>21</v>
      </c>
      <c r="B8" s="179">
        <v>25</v>
      </c>
    </row>
    <row r="9" spans="1:2" x14ac:dyDescent="0.25">
      <c r="A9" s="7" t="s">
        <v>11</v>
      </c>
      <c r="B9" s="179">
        <v>20</v>
      </c>
    </row>
    <row r="10" spans="1:2" x14ac:dyDescent="0.25">
      <c r="A10" s="7" t="s">
        <v>27</v>
      </c>
      <c r="B10" s="179">
        <v>11</v>
      </c>
    </row>
    <row r="11" spans="1:2" x14ac:dyDescent="0.25">
      <c r="A11" s="7" t="s">
        <v>28</v>
      </c>
      <c r="B11" s="179">
        <v>11</v>
      </c>
    </row>
    <row r="12" spans="1:2" x14ac:dyDescent="0.25">
      <c r="A12" s="7" t="s">
        <v>26</v>
      </c>
      <c r="B12" s="179">
        <v>10</v>
      </c>
    </row>
    <row r="13" spans="1:2" x14ac:dyDescent="0.25">
      <c r="A13" s="7" t="s">
        <v>31</v>
      </c>
      <c r="B13" s="179">
        <v>7</v>
      </c>
    </row>
    <row r="14" spans="1:2" x14ac:dyDescent="0.25">
      <c r="A14" s="7" t="s">
        <v>30</v>
      </c>
      <c r="B14" s="179">
        <v>5</v>
      </c>
    </row>
    <row r="15" spans="1:2" x14ac:dyDescent="0.25">
      <c r="A15" s="7" t="s">
        <v>25</v>
      </c>
      <c r="B15" s="179">
        <v>5</v>
      </c>
    </row>
    <row r="16" spans="1:2" x14ac:dyDescent="0.25">
      <c r="A16" s="6" t="s">
        <v>16</v>
      </c>
      <c r="B16" s="179">
        <v>198</v>
      </c>
    </row>
    <row r="17" spans="1:2" x14ac:dyDescent="0.25">
      <c r="A17" s="7" t="s">
        <v>19</v>
      </c>
      <c r="B17" s="179">
        <v>50</v>
      </c>
    </row>
    <row r="18" spans="1:2" x14ac:dyDescent="0.25">
      <c r="A18" s="7" t="s">
        <v>18</v>
      </c>
      <c r="B18" s="179">
        <v>50</v>
      </c>
    </row>
    <row r="19" spans="1:2" x14ac:dyDescent="0.25">
      <c r="A19" s="7" t="s">
        <v>15</v>
      </c>
      <c r="B19" s="179">
        <v>40</v>
      </c>
    </row>
    <row r="20" spans="1:2" x14ac:dyDescent="0.25">
      <c r="A20" s="7" t="s">
        <v>11</v>
      </c>
      <c r="B20" s="179">
        <v>30</v>
      </c>
    </row>
    <row r="21" spans="1:2" x14ac:dyDescent="0.25">
      <c r="A21" s="7" t="s">
        <v>31</v>
      </c>
      <c r="B21" s="179">
        <v>6</v>
      </c>
    </row>
    <row r="22" spans="1:2" x14ac:dyDescent="0.25">
      <c r="A22" s="7" t="s">
        <v>21</v>
      </c>
      <c r="B22" s="179">
        <v>5</v>
      </c>
    </row>
    <row r="23" spans="1:2" x14ac:dyDescent="0.25">
      <c r="A23" s="7" t="s">
        <v>25</v>
      </c>
      <c r="B23" s="179">
        <v>5</v>
      </c>
    </row>
    <row r="24" spans="1:2" x14ac:dyDescent="0.25">
      <c r="A24" s="7" t="s">
        <v>30</v>
      </c>
      <c r="B24" s="179">
        <v>4</v>
      </c>
    </row>
    <row r="25" spans="1:2" x14ac:dyDescent="0.25">
      <c r="A25" s="7" t="s">
        <v>28</v>
      </c>
      <c r="B25" s="179">
        <v>4</v>
      </c>
    </row>
    <row r="26" spans="1:2" x14ac:dyDescent="0.25">
      <c r="A26" s="7" t="s">
        <v>27</v>
      </c>
      <c r="B26" s="179">
        <v>4</v>
      </c>
    </row>
    <row r="27" spans="1:2" x14ac:dyDescent="0.25">
      <c r="A27" s="6" t="s">
        <v>44</v>
      </c>
      <c r="B27" s="179">
        <v>447</v>
      </c>
    </row>
  </sheetData>
  <pageMargins left="0.7" right="0.7" top="0.75" bottom="0.75" header="0.3" footer="0.3"/>
  <pageSetup paperSize="9" orientation="portrait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10"/>
  <dimension ref="A3:B27"/>
  <sheetViews>
    <sheetView topLeftCell="A5" zoomScale="137" workbookViewId="0">
      <selection activeCell="B26" sqref="B26"/>
    </sheetView>
  </sheetViews>
  <sheetFormatPr baseColWidth="10" defaultColWidth="11.42578125" defaultRowHeight="15" x14ac:dyDescent="0.25"/>
  <cols>
    <col min="1" max="1" width="27.28515625" bestFit="1" customWidth="1"/>
    <col min="2" max="2" width="15.42578125" bestFit="1" customWidth="1"/>
    <col min="3" max="3" width="16.140625" bestFit="1" customWidth="1"/>
  </cols>
  <sheetData>
    <row r="3" spans="1:2" x14ac:dyDescent="0.25">
      <c r="A3" s="5" t="s">
        <v>42</v>
      </c>
      <c r="B3" t="s">
        <v>43</v>
      </c>
    </row>
    <row r="4" spans="1:2" x14ac:dyDescent="0.25">
      <c r="A4" s="6" t="s">
        <v>12</v>
      </c>
      <c r="B4" s="88">
        <v>2942.1800000000003</v>
      </c>
    </row>
    <row r="5" spans="1:2" x14ac:dyDescent="0.25">
      <c r="A5" s="7" t="s">
        <v>19</v>
      </c>
      <c r="B5" s="88">
        <v>621.4</v>
      </c>
    </row>
    <row r="6" spans="1:2" x14ac:dyDescent="0.25">
      <c r="A6" s="7" t="s">
        <v>28</v>
      </c>
      <c r="B6" s="88">
        <v>533.5</v>
      </c>
    </row>
    <row r="7" spans="1:2" x14ac:dyDescent="0.25">
      <c r="A7" s="7" t="s">
        <v>15</v>
      </c>
      <c r="B7" s="88">
        <v>358.20000000000005</v>
      </c>
    </row>
    <row r="8" spans="1:2" x14ac:dyDescent="0.25">
      <c r="A8" s="7" t="s">
        <v>18</v>
      </c>
      <c r="B8" s="88">
        <v>358.20000000000005</v>
      </c>
    </row>
    <row r="9" spans="1:2" x14ac:dyDescent="0.25">
      <c r="A9" s="7" t="s">
        <v>31</v>
      </c>
      <c r="B9" s="88">
        <v>328.65000000000003</v>
      </c>
    </row>
    <row r="10" spans="1:2" x14ac:dyDescent="0.25">
      <c r="A10" s="7" t="s">
        <v>21</v>
      </c>
      <c r="B10" s="88">
        <v>243.5</v>
      </c>
    </row>
    <row r="11" spans="1:2" x14ac:dyDescent="0.25">
      <c r="A11" s="7" t="s">
        <v>11</v>
      </c>
      <c r="B11" s="88">
        <v>200</v>
      </c>
    </row>
    <row r="12" spans="1:2" x14ac:dyDescent="0.25">
      <c r="A12" s="7" t="s">
        <v>27</v>
      </c>
      <c r="B12" s="88">
        <v>133.97999999999999</v>
      </c>
    </row>
    <row r="13" spans="1:2" x14ac:dyDescent="0.25">
      <c r="A13" s="7" t="s">
        <v>26</v>
      </c>
      <c r="B13" s="88">
        <v>81.5</v>
      </c>
    </row>
    <row r="14" spans="1:2" x14ac:dyDescent="0.25">
      <c r="A14" s="7" t="s">
        <v>25</v>
      </c>
      <c r="B14" s="88">
        <v>42.5</v>
      </c>
    </row>
    <row r="15" spans="1:2" x14ac:dyDescent="0.25">
      <c r="A15" s="7" t="s">
        <v>30</v>
      </c>
      <c r="B15" s="88">
        <v>40.75</v>
      </c>
    </row>
    <row r="16" spans="1:2" x14ac:dyDescent="0.25">
      <c r="A16" s="6" t="s">
        <v>16</v>
      </c>
      <c r="B16" s="88">
        <v>2142.6200000000003</v>
      </c>
    </row>
    <row r="17" spans="1:2" x14ac:dyDescent="0.25">
      <c r="A17" s="7" t="s">
        <v>19</v>
      </c>
      <c r="B17" s="88">
        <v>478.00000000000006</v>
      </c>
    </row>
    <row r="18" spans="1:2" x14ac:dyDescent="0.25">
      <c r="A18" s="7" t="s">
        <v>18</v>
      </c>
      <c r="B18" s="88">
        <v>398.00000000000006</v>
      </c>
    </row>
    <row r="19" spans="1:2" x14ac:dyDescent="0.25">
      <c r="A19" s="7" t="s">
        <v>15</v>
      </c>
      <c r="B19" s="88">
        <v>318.40000000000003</v>
      </c>
    </row>
    <row r="20" spans="1:2" x14ac:dyDescent="0.25">
      <c r="A20" s="7" t="s">
        <v>11</v>
      </c>
      <c r="B20" s="88">
        <v>300</v>
      </c>
    </row>
    <row r="21" spans="1:2" x14ac:dyDescent="0.25">
      <c r="A21" s="7" t="s">
        <v>31</v>
      </c>
      <c r="B21" s="88">
        <v>281.70000000000005</v>
      </c>
    </row>
    <row r="22" spans="1:2" x14ac:dyDescent="0.25">
      <c r="A22" s="7" t="s">
        <v>28</v>
      </c>
      <c r="B22" s="88">
        <v>194</v>
      </c>
    </row>
    <row r="23" spans="1:2" x14ac:dyDescent="0.25">
      <c r="A23" s="7" t="s">
        <v>27</v>
      </c>
      <c r="B23" s="88">
        <v>48.72</v>
      </c>
    </row>
    <row r="24" spans="1:2" x14ac:dyDescent="0.25">
      <c r="A24" s="7" t="s">
        <v>21</v>
      </c>
      <c r="B24" s="88">
        <v>48.7</v>
      </c>
    </row>
    <row r="25" spans="1:2" x14ac:dyDescent="0.25">
      <c r="A25" s="7" t="s">
        <v>25</v>
      </c>
      <c r="B25" s="88">
        <v>42.5</v>
      </c>
    </row>
    <row r="26" spans="1:2" x14ac:dyDescent="0.25">
      <c r="A26" s="7" t="s">
        <v>30</v>
      </c>
      <c r="B26" s="88">
        <v>32.6</v>
      </c>
    </row>
    <row r="27" spans="1:2" x14ac:dyDescent="0.25">
      <c r="A27" s="6" t="s">
        <v>44</v>
      </c>
      <c r="B27" s="88">
        <v>5084.8000000000011</v>
      </c>
    </row>
  </sheetData>
  <pageMargins left="0.7" right="0.7" top="0.75" bottom="0.75" header="0.3" footer="0.3"/>
  <pageSetup paperSize="9" orientation="portrait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07329-5126-4EC4-A48D-D061A912937B}">
  <sheetPr codeName="Feuil11"/>
  <dimension ref="A1:N25"/>
  <sheetViews>
    <sheetView topLeftCell="A17" zoomScale="108" workbookViewId="0">
      <selection activeCell="F10" sqref="F10"/>
    </sheetView>
  </sheetViews>
  <sheetFormatPr baseColWidth="10" defaultRowHeight="15" x14ac:dyDescent="0.25"/>
  <cols>
    <col min="1" max="1" width="22.7109375" style="93" bestFit="1" customWidth="1"/>
    <col min="2" max="2" width="11.5703125" bestFit="1" customWidth="1"/>
    <col min="3" max="3" width="16.140625" bestFit="1" customWidth="1"/>
    <col min="9" max="9" width="14.42578125" bestFit="1" customWidth="1"/>
    <col min="10" max="10" width="14.7109375" bestFit="1" customWidth="1"/>
    <col min="13" max="13" width="26.85546875" bestFit="1" customWidth="1"/>
    <col min="14" max="14" width="14.28515625" bestFit="1" customWidth="1"/>
  </cols>
  <sheetData>
    <row r="1" spans="1:14" x14ac:dyDescent="0.25">
      <c r="A1" s="93" t="s">
        <v>89</v>
      </c>
      <c r="B1" t="s">
        <v>124</v>
      </c>
      <c r="C1" t="s">
        <v>125</v>
      </c>
      <c r="I1" t="s">
        <v>89</v>
      </c>
      <c r="J1" t="s">
        <v>126</v>
      </c>
      <c r="M1" s="5" t="s">
        <v>42</v>
      </c>
      <c r="N1" t="s">
        <v>45</v>
      </c>
    </row>
    <row r="2" spans="1:14" x14ac:dyDescent="0.25">
      <c r="A2" s="94" t="s">
        <v>15</v>
      </c>
      <c r="B2" s="72">
        <f t="shared" ref="B2:B15" si="0">SUMIF($M$2:$M$55,TRIM(A2),$N$2:$N$55)</f>
        <v>85</v>
      </c>
      <c r="C2" s="72">
        <f>SUMIF($I$2:$I$15,TRIM(A2),$J$2:$J$15)</f>
        <v>135</v>
      </c>
      <c r="I2" t="s">
        <v>18</v>
      </c>
      <c r="J2">
        <v>136</v>
      </c>
      <c r="M2" s="6" t="s">
        <v>12</v>
      </c>
      <c r="N2" s="179">
        <v>249</v>
      </c>
    </row>
    <row r="3" spans="1:14" x14ac:dyDescent="0.25">
      <c r="A3" s="95" t="s">
        <v>18</v>
      </c>
      <c r="B3" s="72">
        <f t="shared" si="0"/>
        <v>95</v>
      </c>
      <c r="C3" s="72">
        <f>SUMIF($I$2:$I$15,TRIM(A3),$J$2:$J$15)</f>
        <v>136</v>
      </c>
      <c r="I3" t="s">
        <v>15</v>
      </c>
      <c r="J3">
        <v>135</v>
      </c>
      <c r="M3" s="7" t="s">
        <v>19</v>
      </c>
      <c r="N3" s="179">
        <v>65</v>
      </c>
    </row>
    <row r="4" spans="1:14" x14ac:dyDescent="0.25">
      <c r="A4" s="95" t="s">
        <v>19</v>
      </c>
      <c r="B4" s="72">
        <f t="shared" si="0"/>
        <v>115</v>
      </c>
      <c r="C4" s="72">
        <f>SUMIF($I$2:$I$15,TRIM(A4),$J$2:$J$15)</f>
        <v>76</v>
      </c>
      <c r="I4" t="s">
        <v>11</v>
      </c>
      <c r="J4">
        <v>30</v>
      </c>
      <c r="M4" s="7" t="s">
        <v>15</v>
      </c>
      <c r="N4" s="179">
        <v>45</v>
      </c>
    </row>
    <row r="5" spans="1:14" x14ac:dyDescent="0.25">
      <c r="A5" s="95" t="s">
        <v>11</v>
      </c>
      <c r="B5" s="72">
        <f t="shared" si="0"/>
        <v>50</v>
      </c>
      <c r="C5" s="72">
        <f>SUMIF($I$2:$I$15,TRIM(A5),$J$2:$J$15)</f>
        <v>30</v>
      </c>
      <c r="I5" t="s">
        <v>28</v>
      </c>
      <c r="J5">
        <v>16</v>
      </c>
      <c r="M5" s="7" t="s">
        <v>18</v>
      </c>
      <c r="N5" s="179">
        <v>45</v>
      </c>
    </row>
    <row r="6" spans="1:14" x14ac:dyDescent="0.25">
      <c r="A6" s="95" t="s">
        <v>21</v>
      </c>
      <c r="B6" s="72">
        <f t="shared" si="0"/>
        <v>30</v>
      </c>
      <c r="C6" s="72">
        <f>SUMIF($I$2:$I$15,TRIM(A6),$J$2:$J$15)</f>
        <v>18</v>
      </c>
      <c r="I6" t="s">
        <v>31</v>
      </c>
      <c r="J6">
        <v>16</v>
      </c>
      <c r="M6" s="7" t="s">
        <v>21</v>
      </c>
      <c r="N6" s="179">
        <v>25</v>
      </c>
    </row>
    <row r="7" spans="1:14" x14ac:dyDescent="0.25">
      <c r="A7" s="94" t="s">
        <v>25</v>
      </c>
      <c r="B7" s="72">
        <f t="shared" si="0"/>
        <v>10</v>
      </c>
      <c r="C7" s="72">
        <f>SUMIF($I$2:$I$15,TRIM(A7),$J$2:$J$15)</f>
        <v>14</v>
      </c>
      <c r="I7" t="s">
        <v>26</v>
      </c>
      <c r="J7">
        <v>10</v>
      </c>
      <c r="M7" s="7" t="s">
        <v>11</v>
      </c>
      <c r="N7" s="179">
        <v>20</v>
      </c>
    </row>
    <row r="8" spans="1:14" x14ac:dyDescent="0.25">
      <c r="A8" s="94" t="s">
        <v>26</v>
      </c>
      <c r="B8" s="72">
        <f t="shared" si="0"/>
        <v>10</v>
      </c>
      <c r="C8" s="72">
        <f>SUMIF($I$2:$I$15,TRIM(A8),$J$2:$J$15)</f>
        <v>10</v>
      </c>
      <c r="I8" t="s">
        <v>79</v>
      </c>
      <c r="J8">
        <v>10</v>
      </c>
      <c r="M8" s="7" t="s">
        <v>27</v>
      </c>
      <c r="N8" s="179">
        <v>11</v>
      </c>
    </row>
    <row r="9" spans="1:14" x14ac:dyDescent="0.25">
      <c r="A9" s="94" t="s">
        <v>79</v>
      </c>
      <c r="B9" s="72">
        <f t="shared" si="0"/>
        <v>0</v>
      </c>
      <c r="C9" s="72">
        <f>SUMIF($I$2:$I$15,TRIM(A9),$J$2:$J$15)</f>
        <v>10</v>
      </c>
      <c r="I9" t="s">
        <v>19</v>
      </c>
      <c r="J9">
        <v>76</v>
      </c>
      <c r="M9" s="7" t="s">
        <v>28</v>
      </c>
      <c r="N9" s="179">
        <v>11</v>
      </c>
    </row>
    <row r="10" spans="1:14" x14ac:dyDescent="0.25">
      <c r="A10" s="94" t="s">
        <v>22</v>
      </c>
      <c r="B10" s="72">
        <f t="shared" si="0"/>
        <v>0</v>
      </c>
      <c r="C10" s="72">
        <f>SUMIF($I$2:$I$15,TRIM(A10),$J$2:$J$15)</f>
        <v>0</v>
      </c>
      <c r="J10">
        <v>0</v>
      </c>
      <c r="M10" s="7" t="s">
        <v>26</v>
      </c>
      <c r="N10" s="179">
        <v>10</v>
      </c>
    </row>
    <row r="11" spans="1:14" x14ac:dyDescent="0.25">
      <c r="A11" s="95" t="s">
        <v>24</v>
      </c>
      <c r="B11" s="72">
        <f t="shared" si="0"/>
        <v>0</v>
      </c>
      <c r="C11" s="72">
        <f>SUMIF($I$2:$I$15,TRIM(A11),$J$2:$J$15)</f>
        <v>0</v>
      </c>
      <c r="I11" t="s">
        <v>25</v>
      </c>
      <c r="J11">
        <v>14</v>
      </c>
      <c r="M11" s="7" t="s">
        <v>31</v>
      </c>
      <c r="N11" s="179">
        <v>7</v>
      </c>
    </row>
    <row r="12" spans="1:14" x14ac:dyDescent="0.25">
      <c r="A12" s="94" t="s">
        <v>122</v>
      </c>
      <c r="B12" s="72">
        <f t="shared" si="0"/>
        <v>0</v>
      </c>
      <c r="C12" s="72">
        <f>SUMIF($I$2:$I$15,TRIM(A12),$J$2:$J$15)</f>
        <v>0</v>
      </c>
      <c r="I12" t="s">
        <v>21</v>
      </c>
      <c r="J12">
        <v>18</v>
      </c>
      <c r="M12" s="7" t="s">
        <v>30</v>
      </c>
      <c r="N12" s="179">
        <v>5</v>
      </c>
    </row>
    <row r="13" spans="1:14" x14ac:dyDescent="0.25">
      <c r="A13" s="95" t="s">
        <v>28</v>
      </c>
      <c r="B13" s="72">
        <f>SUMIF($M$2:$M$55,TRIM(A13),$N$2:$N$55)</f>
        <v>15</v>
      </c>
      <c r="C13" s="72">
        <f>SUMIF($I$2:$I$15,TRIM(A13),$J$2:$J$15)</f>
        <v>16</v>
      </c>
      <c r="I13" t="s">
        <v>144</v>
      </c>
      <c r="J13">
        <f>SUBTOTAL(109,Ajouter4[Té théorique])</f>
        <v>461</v>
      </c>
      <c r="M13" s="7" t="s">
        <v>25</v>
      </c>
      <c r="N13" s="179">
        <v>5</v>
      </c>
    </row>
    <row r="14" spans="1:14" x14ac:dyDescent="0.25">
      <c r="A14" s="95" t="s">
        <v>31</v>
      </c>
      <c r="B14" s="72">
        <f>SUMIF($M$2:$M$55,TRIM(A14),$N$2:$N$55)</f>
        <v>13</v>
      </c>
      <c r="C14" s="72">
        <f>SUMIF($I$2:$I$15,TRIM(A14),$J$2:$J$15)</f>
        <v>16</v>
      </c>
      <c r="M14" s="6" t="s">
        <v>16</v>
      </c>
      <c r="N14" s="179">
        <v>198</v>
      </c>
    </row>
    <row r="15" spans="1:14" x14ac:dyDescent="0.25">
      <c r="A15" s="95" t="s">
        <v>123</v>
      </c>
      <c r="B15" s="72">
        <f t="shared" si="0"/>
        <v>0</v>
      </c>
      <c r="C15" s="72">
        <f>SUMIF($I$2:$I$15,TRIM(A15),$J$2:$J$15)</f>
        <v>0</v>
      </c>
      <c r="M15" s="7" t="s">
        <v>19</v>
      </c>
      <c r="N15" s="179">
        <v>50</v>
      </c>
    </row>
    <row r="16" spans="1:14" x14ac:dyDescent="0.25">
      <c r="A16" s="95" t="s">
        <v>27</v>
      </c>
      <c r="B16" s="72">
        <f>SUMIF($M$2:$M$55,TRIM(A16),$N$2:$N$55)</f>
        <v>15</v>
      </c>
      <c r="C16" s="72">
        <f>SUMIF($I$2:$I$15,TRIM(A16),$J$2:$J$15)</f>
        <v>0</v>
      </c>
      <c r="M16" s="7" t="s">
        <v>18</v>
      </c>
      <c r="N16" s="179">
        <v>50</v>
      </c>
    </row>
    <row r="17" spans="1:14" x14ac:dyDescent="0.25">
      <c r="A17" s="95" t="s">
        <v>30</v>
      </c>
      <c r="B17" s="72">
        <f>SUMIF($M$2:$M$55,TRIM(A17),$N$2:$N$55)</f>
        <v>9</v>
      </c>
      <c r="C17" s="72">
        <f>SUMIF($I$2:$I$15,TRIM(A17),$J$2:$J$15)</f>
        <v>0</v>
      </c>
      <c r="M17" s="7" t="s">
        <v>15</v>
      </c>
      <c r="N17" s="179">
        <v>40</v>
      </c>
    </row>
    <row r="18" spans="1:14" x14ac:dyDescent="0.25">
      <c r="A18" s="102" t="s">
        <v>144</v>
      </c>
      <c r="B18" s="72">
        <f>SUBTOTAL(109,Tableau9[Qté réelle])</f>
        <v>447</v>
      </c>
      <c r="C18" s="72">
        <f>SUBTOTAL(109,Tableau9[[Qté théorique ]])</f>
        <v>461</v>
      </c>
      <c r="M18" s="7" t="s">
        <v>11</v>
      </c>
      <c r="N18" s="179">
        <v>30</v>
      </c>
    </row>
    <row r="19" spans="1:14" x14ac:dyDescent="0.25">
      <c r="A19" s="96"/>
      <c r="B19" s="72"/>
      <c r="C19" s="72"/>
      <c r="M19" s="7" t="s">
        <v>31</v>
      </c>
      <c r="N19" s="179">
        <v>6</v>
      </c>
    </row>
    <row r="20" spans="1:14" x14ac:dyDescent="0.25">
      <c r="A20" s="97"/>
      <c r="B20" s="72"/>
      <c r="C20" s="72"/>
      <c r="M20" s="7" t="s">
        <v>21</v>
      </c>
      <c r="N20" s="179">
        <v>5</v>
      </c>
    </row>
    <row r="21" spans="1:14" x14ac:dyDescent="0.25">
      <c r="M21" s="7" t="s">
        <v>25</v>
      </c>
      <c r="N21" s="179">
        <v>5</v>
      </c>
    </row>
    <row r="22" spans="1:14" x14ac:dyDescent="0.25">
      <c r="M22" s="7" t="s">
        <v>30</v>
      </c>
      <c r="N22" s="179">
        <v>4</v>
      </c>
    </row>
    <row r="23" spans="1:14" x14ac:dyDescent="0.25">
      <c r="M23" s="7" t="s">
        <v>28</v>
      </c>
      <c r="N23" s="179">
        <v>4</v>
      </c>
    </row>
    <row r="24" spans="1:14" x14ac:dyDescent="0.25">
      <c r="M24" s="7" t="s">
        <v>27</v>
      </c>
      <c r="N24" s="179">
        <v>4</v>
      </c>
    </row>
    <row r="25" spans="1:14" x14ac:dyDescent="0.25">
      <c r="M25" s="6" t="s">
        <v>44</v>
      </c>
      <c r="N25" s="179">
        <v>447</v>
      </c>
    </row>
  </sheetData>
  <pageMargins left="0.7" right="0.7" top="0.75" bottom="0.75" header="0.3" footer="0.3"/>
  <drawing r:id="rId2"/>
  <tableParts count="2">
    <tablePart r:id="rId3"/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2"/>
  <dimension ref="A1:O37"/>
  <sheetViews>
    <sheetView workbookViewId="0">
      <selection activeCell="L31" sqref="L31"/>
    </sheetView>
  </sheetViews>
  <sheetFormatPr baseColWidth="10" defaultColWidth="11.42578125" defaultRowHeight="15" x14ac:dyDescent="0.25"/>
  <cols>
    <col min="3" max="3" width="28.28515625" bestFit="1" customWidth="1"/>
    <col min="4" max="4" width="25.28515625" bestFit="1" customWidth="1"/>
    <col min="8" max="8" width="12.5703125" bestFit="1" customWidth="1"/>
    <col min="9" max="9" width="10.42578125" bestFit="1" customWidth="1"/>
  </cols>
  <sheetData>
    <row r="1" spans="1:15" x14ac:dyDescent="0.25">
      <c r="A1" s="8" t="s">
        <v>46</v>
      </c>
      <c r="B1" s="9">
        <v>0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10"/>
    </row>
    <row r="2" spans="1:15" x14ac:dyDescent="0.25">
      <c r="A2" s="4"/>
      <c r="B2" s="4"/>
      <c r="C2" s="4" t="s">
        <v>47</v>
      </c>
      <c r="D2" s="4"/>
      <c r="E2" s="4"/>
      <c r="F2" s="4"/>
      <c r="G2" s="11"/>
      <c r="H2" s="4"/>
      <c r="I2" s="4"/>
      <c r="J2" s="4"/>
      <c r="K2" s="4"/>
      <c r="L2" s="4"/>
      <c r="M2" s="4"/>
      <c r="N2" s="4"/>
      <c r="O2" s="4"/>
    </row>
    <row r="3" spans="1:15" ht="75" x14ac:dyDescent="0.25">
      <c r="A3" s="12" t="s">
        <v>48</v>
      </c>
      <c r="B3" s="12" t="s">
        <v>49</v>
      </c>
      <c r="C3" s="12" t="s">
        <v>50</v>
      </c>
      <c r="D3" s="12" t="s">
        <v>51</v>
      </c>
      <c r="E3" s="12" t="s">
        <v>52</v>
      </c>
      <c r="F3" s="12" t="s">
        <v>53</v>
      </c>
      <c r="G3" s="12" t="s">
        <v>54</v>
      </c>
      <c r="H3" s="13" t="s">
        <v>55</v>
      </c>
      <c r="I3" s="13" t="s">
        <v>56</v>
      </c>
      <c r="J3" s="13" t="s">
        <v>57</v>
      </c>
      <c r="K3" s="13" t="s">
        <v>58</v>
      </c>
      <c r="L3" s="12" t="s">
        <v>59</v>
      </c>
      <c r="M3" s="12" t="s">
        <v>60</v>
      </c>
      <c r="N3" s="12" t="s">
        <v>61</v>
      </c>
      <c r="O3" s="12" t="s">
        <v>62</v>
      </c>
    </row>
    <row r="4" spans="1:15" x14ac:dyDescent="0.25">
      <c r="A4" s="14" t="s">
        <v>63</v>
      </c>
      <c r="B4" s="14" t="s">
        <v>17</v>
      </c>
      <c r="C4" s="129" t="s">
        <v>64</v>
      </c>
      <c r="D4" s="14" t="s">
        <v>18</v>
      </c>
      <c r="E4" s="14">
        <v>1</v>
      </c>
      <c r="F4" s="14">
        <v>4</v>
      </c>
      <c r="G4" s="15">
        <v>7.96</v>
      </c>
      <c r="H4" s="16">
        <v>150</v>
      </c>
      <c r="I4" s="17">
        <f t="shared" ref="I4:I21" si="0">(E4*G4)/(F4*H4)</f>
        <v>1.3266666666666666E-2</v>
      </c>
      <c r="J4" s="16">
        <f t="shared" ref="J4:J21" si="1">(ROUNDUP($E4*$B$1/($F4*H4),0))</f>
        <v>0</v>
      </c>
      <c r="K4" s="118">
        <f>+SUM(J4:J5)</f>
        <v>0</v>
      </c>
      <c r="L4" s="129">
        <f>N4*G4</f>
        <v>0</v>
      </c>
      <c r="M4" s="131" t="e">
        <f>L4/$B1/2</f>
        <v>#DIV/0!</v>
      </c>
      <c r="N4" s="129">
        <f>SUMIFS('Tableau plaquettes complet'!F:F,'Tableau plaquettes complet'!G:G,"PCI 4",'Tableau plaquettes complet'!H:H,"OP 10",'Tableau plaquettes complet'!J:J,"302x26 RPI",'Tableau plaquettes complet'!B:B,"IM02 137 022")</f>
        <v>0</v>
      </c>
      <c r="O4" s="126">
        <f>-(K4-N4)</f>
        <v>0</v>
      </c>
    </row>
    <row r="5" spans="1:15" x14ac:dyDescent="0.25">
      <c r="A5" s="14" t="s">
        <v>65</v>
      </c>
      <c r="B5" s="14" t="s">
        <v>17</v>
      </c>
      <c r="C5" s="130"/>
      <c r="D5" s="14" t="s">
        <v>18</v>
      </c>
      <c r="E5" s="14">
        <v>1</v>
      </c>
      <c r="F5" s="14">
        <v>4</v>
      </c>
      <c r="G5" s="15">
        <v>0</v>
      </c>
      <c r="H5" s="16">
        <v>150</v>
      </c>
      <c r="I5" s="17">
        <f t="shared" si="0"/>
        <v>0</v>
      </c>
      <c r="J5" s="16">
        <f t="shared" si="1"/>
        <v>0</v>
      </c>
      <c r="K5" s="119"/>
      <c r="L5" s="130"/>
      <c r="M5" s="132"/>
      <c r="N5" s="130"/>
      <c r="O5" s="130"/>
    </row>
    <row r="6" spans="1:15" x14ac:dyDescent="0.25">
      <c r="A6" s="14" t="s">
        <v>66</v>
      </c>
      <c r="B6" s="14" t="s">
        <v>17</v>
      </c>
      <c r="C6" s="129" t="s">
        <v>67</v>
      </c>
      <c r="D6" s="14" t="s">
        <v>15</v>
      </c>
      <c r="E6" s="14">
        <v>1</v>
      </c>
      <c r="F6" s="14">
        <v>8</v>
      </c>
      <c r="G6" s="15">
        <v>7.96</v>
      </c>
      <c r="H6" s="16">
        <v>150</v>
      </c>
      <c r="I6" s="17">
        <f t="shared" si="0"/>
        <v>6.6333333333333331E-3</v>
      </c>
      <c r="J6" s="16">
        <f t="shared" si="1"/>
        <v>0</v>
      </c>
      <c r="K6" s="118">
        <f>SUM(J6:J9)</f>
        <v>0</v>
      </c>
      <c r="L6" s="129">
        <f>N6*G6</f>
        <v>0</v>
      </c>
      <c r="M6" s="131" t="e">
        <f>L6/$B1</f>
        <v>#DIV/0!</v>
      </c>
      <c r="N6" s="129">
        <f>SUMIFS('Tableau plaquettes complet'!F:F,'Tableau plaquettes complet'!G:G,"PCI 4",'Tableau plaquettes complet'!H:H,"OP 10",'Tableau plaquettes complet'!J:J,"302x26 RPI",'Tableau plaquettes complet'!B:B,"IM02 137 021")</f>
        <v>0</v>
      </c>
      <c r="O6" s="126">
        <f>-(K6-N6)</f>
        <v>0</v>
      </c>
    </row>
    <row r="7" spans="1:15" x14ac:dyDescent="0.25">
      <c r="A7" s="14" t="s">
        <v>68</v>
      </c>
      <c r="B7" s="14" t="s">
        <v>17</v>
      </c>
      <c r="C7" s="133"/>
      <c r="D7" s="14" t="s">
        <v>15</v>
      </c>
      <c r="E7" s="14">
        <v>1</v>
      </c>
      <c r="F7" s="14">
        <v>8</v>
      </c>
      <c r="G7" s="15">
        <v>7.96</v>
      </c>
      <c r="H7" s="16">
        <v>150</v>
      </c>
      <c r="I7" s="17">
        <f t="shared" si="0"/>
        <v>6.6333333333333331E-3</v>
      </c>
      <c r="J7" s="16">
        <f t="shared" si="1"/>
        <v>0</v>
      </c>
      <c r="K7" s="134"/>
      <c r="L7" s="133"/>
      <c r="M7" s="136"/>
      <c r="N7" s="133"/>
      <c r="O7" s="127"/>
    </row>
    <row r="8" spans="1:15" x14ac:dyDescent="0.25">
      <c r="A8" s="14" t="s">
        <v>69</v>
      </c>
      <c r="B8" s="14" t="s">
        <v>17</v>
      </c>
      <c r="C8" s="133"/>
      <c r="D8" s="14" t="s">
        <v>15</v>
      </c>
      <c r="E8" s="14">
        <v>1</v>
      </c>
      <c r="F8" s="14">
        <v>8</v>
      </c>
      <c r="G8" s="15">
        <v>7.96</v>
      </c>
      <c r="H8" s="16">
        <v>1500</v>
      </c>
      <c r="I8" s="17">
        <f t="shared" si="0"/>
        <v>6.6333333333333337E-4</v>
      </c>
      <c r="J8" s="16">
        <f t="shared" si="1"/>
        <v>0</v>
      </c>
      <c r="K8" s="134"/>
      <c r="L8" s="133"/>
      <c r="M8" s="136"/>
      <c r="N8" s="133"/>
      <c r="O8" s="127"/>
    </row>
    <row r="9" spans="1:15" x14ac:dyDescent="0.25">
      <c r="A9" s="15" t="s">
        <v>70</v>
      </c>
      <c r="B9" s="15" t="s">
        <v>17</v>
      </c>
      <c r="C9" s="130"/>
      <c r="D9" s="15" t="s">
        <v>15</v>
      </c>
      <c r="E9" s="15">
        <v>1</v>
      </c>
      <c r="F9" s="15">
        <v>8</v>
      </c>
      <c r="G9" s="15">
        <v>7.96</v>
      </c>
      <c r="H9" s="16">
        <v>300</v>
      </c>
      <c r="I9" s="17">
        <f t="shared" si="0"/>
        <v>3.3166666666666665E-3</v>
      </c>
      <c r="J9" s="16">
        <f t="shared" si="1"/>
        <v>0</v>
      </c>
      <c r="K9" s="135"/>
      <c r="L9" s="130"/>
      <c r="M9" s="132"/>
      <c r="N9" s="130"/>
      <c r="O9" s="128"/>
    </row>
    <row r="10" spans="1:15" x14ac:dyDescent="0.25">
      <c r="A10" s="18" t="s">
        <v>71</v>
      </c>
      <c r="B10" s="18" t="s">
        <v>13</v>
      </c>
      <c r="C10" s="18" t="s">
        <v>72</v>
      </c>
      <c r="D10" s="18" t="s">
        <v>11</v>
      </c>
      <c r="E10" s="18">
        <v>1</v>
      </c>
      <c r="F10" s="18">
        <v>2</v>
      </c>
      <c r="G10" s="19">
        <v>18.8</v>
      </c>
      <c r="H10" s="16">
        <v>75</v>
      </c>
      <c r="I10" s="17">
        <f t="shared" si="0"/>
        <v>0.12533333333333332</v>
      </c>
      <c r="J10" s="16">
        <f t="shared" si="1"/>
        <v>0</v>
      </c>
      <c r="K10" s="16">
        <f>J10</f>
        <v>0</v>
      </c>
      <c r="L10" s="47">
        <f>N10*G10</f>
        <v>188</v>
      </c>
      <c r="M10" s="50" t="e">
        <f>L10/$B1</f>
        <v>#DIV/0!</v>
      </c>
      <c r="N10" s="47">
        <f>SUMIFS('Tableau plaquettes complet'!F:F,'Tableau plaquettes complet'!G:G,"PCI 4",'Tableau plaquettes complet'!H:H,"OP 20",'Tableau plaquettes complet'!J:J,"302x26 RPI",'Tableau plaquettes complet'!B:B,"IM02 137 020")</f>
        <v>10</v>
      </c>
      <c r="O10" s="49">
        <f>-(K10-N10)</f>
        <v>10</v>
      </c>
    </row>
    <row r="11" spans="1:15" x14ac:dyDescent="0.25">
      <c r="A11" s="18" t="s">
        <v>73</v>
      </c>
      <c r="B11" s="18" t="s">
        <v>13</v>
      </c>
      <c r="C11" s="18" t="s">
        <v>64</v>
      </c>
      <c r="D11" s="18" t="s">
        <v>18</v>
      </c>
      <c r="E11" s="18">
        <v>1</v>
      </c>
      <c r="F11" s="18">
        <v>4</v>
      </c>
      <c r="G11" s="19">
        <v>7.96</v>
      </c>
      <c r="H11" s="16">
        <v>150</v>
      </c>
      <c r="I11" s="17">
        <f t="shared" si="0"/>
        <v>1.3266666666666666E-2</v>
      </c>
      <c r="J11" s="16">
        <f t="shared" si="1"/>
        <v>0</v>
      </c>
      <c r="K11" s="16">
        <f>J11</f>
        <v>0</v>
      </c>
      <c r="L11" s="47">
        <f>N11*G11</f>
        <v>0</v>
      </c>
      <c r="M11" s="50" t="e">
        <f>L11/$B$1</f>
        <v>#DIV/0!</v>
      </c>
      <c r="N11" s="47">
        <f>SUMIFS('Tableau plaquettes complet'!F:F,'Tableau plaquettes complet'!G:G,"PCI 4",'Tableau plaquettes complet'!H:H,"OP 20",'Tableau plaquettes complet'!J:J,"302x26 RPI",'Tableau plaquettes complet'!B:B,"IM02 137 022")</f>
        <v>0</v>
      </c>
      <c r="O11" s="49">
        <f>-(K11-N11)</f>
        <v>0</v>
      </c>
    </row>
    <row r="12" spans="1:15" x14ac:dyDescent="0.25">
      <c r="A12" s="18" t="s">
        <v>74</v>
      </c>
      <c r="B12" s="18" t="s">
        <v>13</v>
      </c>
      <c r="C12" s="116" t="s">
        <v>67</v>
      </c>
      <c r="D12" s="18" t="s">
        <v>15</v>
      </c>
      <c r="E12" s="18">
        <v>1</v>
      </c>
      <c r="F12" s="18">
        <v>8</v>
      </c>
      <c r="G12" s="19">
        <v>7.96</v>
      </c>
      <c r="H12" s="16">
        <v>1500</v>
      </c>
      <c r="I12" s="17">
        <f t="shared" si="0"/>
        <v>6.6333333333333337E-4</v>
      </c>
      <c r="J12" s="16">
        <f t="shared" si="1"/>
        <v>0</v>
      </c>
      <c r="K12" s="122">
        <f>+SUM(J12:J13)</f>
        <v>0</v>
      </c>
      <c r="L12" s="120">
        <f>N12*G12</f>
        <v>0</v>
      </c>
      <c r="M12" s="109" t="e">
        <f>L12/$B$1</f>
        <v>#DIV/0!</v>
      </c>
      <c r="N12" s="120">
        <f>SUMIFS('Tableau plaquettes complet'!F:F,'Tableau plaquettes complet'!G:G,"PCI 4",'Tableau plaquettes complet'!H:H,"OP 20",'Tableau plaquettes complet'!J:J,"302x26 RPI",'Tableau plaquettes complet'!B:B,"IM02 137 021")</f>
        <v>0</v>
      </c>
      <c r="O12" s="112">
        <f>-(K12-N12)</f>
        <v>0</v>
      </c>
    </row>
    <row r="13" spans="1:15" x14ac:dyDescent="0.25">
      <c r="A13" s="18" t="s">
        <v>75</v>
      </c>
      <c r="B13" s="18" t="s">
        <v>13</v>
      </c>
      <c r="C13" s="121"/>
      <c r="D13" s="18" t="s">
        <v>15</v>
      </c>
      <c r="E13" s="18">
        <v>1</v>
      </c>
      <c r="F13" s="18">
        <v>8</v>
      </c>
      <c r="G13" s="19">
        <v>7.96</v>
      </c>
      <c r="H13" s="16">
        <v>75</v>
      </c>
      <c r="I13" s="17">
        <f t="shared" si="0"/>
        <v>1.3266666666666666E-2</v>
      </c>
      <c r="J13" s="16">
        <f t="shared" si="1"/>
        <v>0</v>
      </c>
      <c r="K13" s="123"/>
      <c r="L13" s="125"/>
      <c r="M13" s="110"/>
      <c r="N13" s="125"/>
      <c r="O13" s="113"/>
    </row>
    <row r="14" spans="1:15" x14ac:dyDescent="0.25">
      <c r="A14" s="18" t="s">
        <v>76</v>
      </c>
      <c r="B14" s="18" t="s">
        <v>13</v>
      </c>
      <c r="C14" s="117"/>
      <c r="D14" s="18" t="s">
        <v>15</v>
      </c>
      <c r="E14" s="18">
        <v>1</v>
      </c>
      <c r="F14" s="18">
        <v>8</v>
      </c>
      <c r="G14" s="19">
        <v>7.96</v>
      </c>
      <c r="H14" s="16">
        <v>75</v>
      </c>
      <c r="I14" s="17">
        <f t="shared" si="0"/>
        <v>1.3266666666666666E-2</v>
      </c>
      <c r="J14" s="16">
        <f t="shared" si="1"/>
        <v>0</v>
      </c>
      <c r="K14" s="124"/>
      <c r="L14" s="115"/>
      <c r="M14" s="111"/>
      <c r="N14" s="115"/>
      <c r="O14" s="114"/>
    </row>
    <row r="15" spans="1:15" x14ac:dyDescent="0.25">
      <c r="A15" s="14" t="s">
        <v>39</v>
      </c>
      <c r="B15" s="14" t="s">
        <v>23</v>
      </c>
      <c r="C15" s="14" t="s">
        <v>28</v>
      </c>
      <c r="D15" s="18" t="s">
        <v>28</v>
      </c>
      <c r="E15" s="14">
        <v>1</v>
      </c>
      <c r="F15" s="14">
        <v>1</v>
      </c>
      <c r="G15" s="15">
        <v>48.5</v>
      </c>
      <c r="H15" s="16">
        <v>1500</v>
      </c>
      <c r="I15" s="17">
        <f t="shared" si="0"/>
        <v>3.2333333333333332E-2</v>
      </c>
      <c r="J15" s="16">
        <f t="shared" si="1"/>
        <v>0</v>
      </c>
      <c r="K15" s="16">
        <f>J15</f>
        <v>0</v>
      </c>
      <c r="L15" s="14">
        <f>N15*G15</f>
        <v>0</v>
      </c>
      <c r="M15" s="20" t="e">
        <f>L15/$B$1</f>
        <v>#DIV/0!</v>
      </c>
      <c r="N15" s="14">
        <f>ROUND('Tableau plaquettes roto'!F3*('Coût pièce PCI 4 302 '!B1/('Coût pièce PCI 4 302 '!B1+'Cout pièce PCI 4 283'!B1)),0)</f>
        <v>0</v>
      </c>
      <c r="O15" s="21">
        <f>-(K15-N15)</f>
        <v>0</v>
      </c>
    </row>
    <row r="16" spans="1:15" x14ac:dyDescent="0.25">
      <c r="A16" s="14" t="s">
        <v>40</v>
      </c>
      <c r="B16" s="14" t="s">
        <v>23</v>
      </c>
      <c r="C16" s="14" t="s">
        <v>31</v>
      </c>
      <c r="D16" s="18" t="s">
        <v>31</v>
      </c>
      <c r="E16" s="14">
        <v>1</v>
      </c>
      <c r="F16" s="14">
        <v>1</v>
      </c>
      <c r="G16" s="15">
        <v>46.96</v>
      </c>
      <c r="H16" s="16">
        <v>1500</v>
      </c>
      <c r="I16" s="17">
        <f t="shared" si="0"/>
        <v>3.130666666666667E-2</v>
      </c>
      <c r="J16" s="16">
        <f t="shared" si="1"/>
        <v>0</v>
      </c>
      <c r="K16" s="16">
        <f t="shared" ref="K16:K19" si="2">J16</f>
        <v>0</v>
      </c>
      <c r="L16" s="14">
        <f t="shared" ref="L16:L18" si="3">N16*G16</f>
        <v>0</v>
      </c>
      <c r="M16" s="20" t="e">
        <f t="shared" ref="M16:M19" si="4">L16/$B$1</f>
        <v>#DIV/0!</v>
      </c>
      <c r="N16" s="14">
        <f>ROUND('Tableau plaquettes roto'!F5*('Coût pièce PCI 4 302 '!B1/('Coût pièce PCI 4 302 '!B1+'Cout pièce PCI 4 283'!B1+'Cout pièce PCI 4 268'!B1)),0)</f>
        <v>0</v>
      </c>
      <c r="O16" s="21">
        <f t="shared" ref="O16:O18" si="5">-(K16-N16)</f>
        <v>0</v>
      </c>
    </row>
    <row r="17" spans="1:15" x14ac:dyDescent="0.25">
      <c r="A17" s="14" t="s">
        <v>40</v>
      </c>
      <c r="B17" s="14" t="s">
        <v>23</v>
      </c>
      <c r="C17" s="14" t="s">
        <v>77</v>
      </c>
      <c r="D17" s="14" t="s">
        <v>26</v>
      </c>
      <c r="E17" s="14">
        <v>2</v>
      </c>
      <c r="F17" s="14">
        <v>3</v>
      </c>
      <c r="G17" s="15">
        <v>8.15</v>
      </c>
      <c r="H17" s="16">
        <v>1500</v>
      </c>
      <c r="I17" s="17">
        <f t="shared" si="0"/>
        <v>3.6222222222222224E-3</v>
      </c>
      <c r="J17" s="16">
        <f>ROUND(J16*2/3,0)</f>
        <v>0</v>
      </c>
      <c r="K17" s="16">
        <f t="shared" si="2"/>
        <v>0</v>
      </c>
      <c r="L17" s="14">
        <f t="shared" si="3"/>
        <v>0</v>
      </c>
      <c r="M17" s="20" t="e">
        <f t="shared" si="4"/>
        <v>#DIV/0!</v>
      </c>
      <c r="N17" s="14">
        <f>ROUND('Tableau plaquettes roto'!F4*('Coût pièce PCI 4 302 '!B1/('Coût pièce PCI 4 302 '!B1+'Cout pièce PCI 4 283'!B1+'Cout pièce PCI 4 268'!B1)),0)</f>
        <v>0</v>
      </c>
      <c r="O17" s="21">
        <f t="shared" si="5"/>
        <v>0</v>
      </c>
    </row>
    <row r="18" spans="1:15" x14ac:dyDescent="0.25">
      <c r="A18" s="14" t="s">
        <v>39</v>
      </c>
      <c r="B18" s="14" t="s">
        <v>23</v>
      </c>
      <c r="C18" s="14" t="s">
        <v>78</v>
      </c>
      <c r="D18" s="14" t="s">
        <v>79</v>
      </c>
      <c r="E18" s="14">
        <v>2</v>
      </c>
      <c r="F18" s="14">
        <v>2</v>
      </c>
      <c r="G18" s="15">
        <v>12.18</v>
      </c>
      <c r="H18" s="16">
        <v>1500</v>
      </c>
      <c r="I18" s="17">
        <f t="shared" si="0"/>
        <v>8.1200000000000005E-3</v>
      </c>
      <c r="J18" s="16">
        <f>ROUND(J15*2/3,0)</f>
        <v>0</v>
      </c>
      <c r="K18" s="16">
        <f t="shared" si="2"/>
        <v>0</v>
      </c>
      <c r="L18" s="14">
        <f t="shared" si="3"/>
        <v>0</v>
      </c>
      <c r="M18" s="20" t="e">
        <f t="shared" si="4"/>
        <v>#DIV/0!</v>
      </c>
      <c r="N18" s="14">
        <f>ROUND('Tableau plaquettes roto'!F2*('Coût pièce PCI 4 302 '!B1/('Coût pièce PCI 4 302 '!B1+'Cout pièce PCI 4 283'!B1+'Cout pièce PCI 4 268'!B1+'Cout pièce PCI 4 268'!B1)),0)</f>
        <v>0</v>
      </c>
      <c r="O18" s="21">
        <f t="shared" si="5"/>
        <v>0</v>
      </c>
    </row>
    <row r="19" spans="1:15" x14ac:dyDescent="0.25">
      <c r="A19" s="18" t="s">
        <v>80</v>
      </c>
      <c r="B19" s="18" t="s">
        <v>20</v>
      </c>
      <c r="C19" s="18" t="s">
        <v>64</v>
      </c>
      <c r="D19" s="18" t="s">
        <v>18</v>
      </c>
      <c r="E19" s="18">
        <v>1</v>
      </c>
      <c r="F19" s="18">
        <v>4</v>
      </c>
      <c r="G19" s="19">
        <v>0</v>
      </c>
      <c r="H19" s="16">
        <v>150</v>
      </c>
      <c r="I19" s="17">
        <f t="shared" si="0"/>
        <v>0</v>
      </c>
      <c r="J19" s="16">
        <f>J16</f>
        <v>0</v>
      </c>
      <c r="K19" s="16">
        <f t="shared" si="2"/>
        <v>0</v>
      </c>
      <c r="L19" s="47">
        <f>N19*G19</f>
        <v>0</v>
      </c>
      <c r="M19" s="50" t="e">
        <f t="shared" si="4"/>
        <v>#DIV/0!</v>
      </c>
      <c r="N19" s="47">
        <f>SUMIFS('Tableau plaquettes complet'!F:F,'Tableau plaquettes complet'!G:G,"PCI 4",'Tableau plaquettes complet'!H:H,"OP 40",'Tableau plaquettes complet'!J:J,"302x26 RPI",'Tableau plaquettes complet'!B:B,"IM02 137 022")</f>
        <v>0</v>
      </c>
      <c r="O19" s="49">
        <f>-(K19-N19)</f>
        <v>0</v>
      </c>
    </row>
    <row r="20" spans="1:15" x14ac:dyDescent="0.25">
      <c r="A20" s="18" t="s">
        <v>81</v>
      </c>
      <c r="B20" s="18" t="s">
        <v>20</v>
      </c>
      <c r="C20" s="116" t="s">
        <v>82</v>
      </c>
      <c r="D20" s="18" t="s">
        <v>83</v>
      </c>
      <c r="E20" s="18">
        <v>1</v>
      </c>
      <c r="F20" s="18">
        <v>8</v>
      </c>
      <c r="G20" s="19">
        <v>9.56</v>
      </c>
      <c r="H20" s="16">
        <v>50</v>
      </c>
      <c r="I20" s="17">
        <f t="shared" si="0"/>
        <v>2.3900000000000001E-2</v>
      </c>
      <c r="J20" s="16">
        <f t="shared" si="1"/>
        <v>0</v>
      </c>
      <c r="K20" s="118">
        <f>+SUM(J20:J21)</f>
        <v>0</v>
      </c>
      <c r="L20" s="120">
        <f>N20*G20</f>
        <v>0</v>
      </c>
      <c r="M20" s="109" t="e">
        <f>L20/$B$1</f>
        <v>#DIV/0!</v>
      </c>
      <c r="N20" s="120">
        <f>SUMIFS('Tableau plaquettes complet'!F:F,'Tableau plaquettes complet'!G:G,"PCI 4",'Tableau plaquettes complet'!H:H,"OP 40",'Tableau plaquettes complet'!J:J,"302x26 RPI",'Tableau plaquettes complet'!B:B,"Z000 513 527")</f>
        <v>0</v>
      </c>
      <c r="O20" s="112">
        <f>-(K20-N20)</f>
        <v>0</v>
      </c>
    </row>
    <row r="21" spans="1:15" ht="15.75" thickBot="1" x14ac:dyDescent="0.3">
      <c r="A21" s="18" t="s">
        <v>84</v>
      </c>
      <c r="B21" s="18" t="s">
        <v>20</v>
      </c>
      <c r="C21" s="117"/>
      <c r="D21" s="18" t="s">
        <v>83</v>
      </c>
      <c r="E21" s="18">
        <v>1</v>
      </c>
      <c r="F21" s="18">
        <v>8</v>
      </c>
      <c r="G21" s="19">
        <v>9.56</v>
      </c>
      <c r="H21" s="16">
        <v>50</v>
      </c>
      <c r="I21" s="17">
        <f t="shared" si="0"/>
        <v>2.3900000000000001E-2</v>
      </c>
      <c r="J21" s="16">
        <f t="shared" si="1"/>
        <v>0</v>
      </c>
      <c r="K21" s="119"/>
      <c r="L21" s="115"/>
      <c r="M21" s="111"/>
      <c r="N21" s="115"/>
      <c r="O21" s="115"/>
    </row>
    <row r="22" spans="1:15" ht="15.75" thickBot="1" x14ac:dyDescent="0.3">
      <c r="A22" s="4"/>
      <c r="B22" s="4"/>
      <c r="C22" s="4"/>
      <c r="D22" s="4"/>
      <c r="E22" s="4"/>
      <c r="F22" s="4"/>
      <c r="G22" s="4"/>
      <c r="H22" s="4"/>
      <c r="I22" s="22">
        <f>SUM(I4:I21)</f>
        <v>0.31949222222222223</v>
      </c>
      <c r="J22" s="23">
        <f>SUM(J4:J21)</f>
        <v>0</v>
      </c>
      <c r="L22" s="24"/>
      <c r="M22" s="25" t="e">
        <f>SUM(M4:M21)</f>
        <v>#DIV/0!</v>
      </c>
      <c r="N22" s="26">
        <f>SUM(N4:N21)</f>
        <v>10</v>
      </c>
      <c r="O22" s="4"/>
    </row>
    <row r="23" spans="1:15" x14ac:dyDescent="0.25">
      <c r="A23" s="4"/>
      <c r="B23" s="4"/>
      <c r="C23" s="4"/>
      <c r="D23" s="4"/>
      <c r="E23" s="4"/>
      <c r="F23" s="4"/>
      <c r="G23" s="4"/>
      <c r="H23" s="4"/>
      <c r="I23" s="27">
        <f>B1*I22</f>
        <v>0</v>
      </c>
      <c r="J23" s="4"/>
      <c r="K23" s="4"/>
      <c r="L23" s="4"/>
      <c r="M23" s="27" t="e">
        <f>B1*M22</f>
        <v>#DIV/0!</v>
      </c>
      <c r="N23" s="4"/>
      <c r="O23" s="4"/>
    </row>
    <row r="27" spans="1:15" x14ac:dyDescent="0.25">
      <c r="H27" t="s">
        <v>89</v>
      </c>
      <c r="I27" t="s">
        <v>57</v>
      </c>
    </row>
    <row r="28" spans="1:15" x14ac:dyDescent="0.25">
      <c r="H28" t="s">
        <v>18</v>
      </c>
      <c r="I28">
        <f>SUMIF($D$4:$D$21,TRIM(H28),$J$4:$J$21)</f>
        <v>0</v>
      </c>
    </row>
    <row r="29" spans="1:15" x14ac:dyDescent="0.25">
      <c r="H29" t="s">
        <v>15</v>
      </c>
      <c r="I29">
        <f t="shared" ref="I29:I35" si="6">SUMIF($D$4:$D$21,TRIM(H29),$J$4:$J$21)</f>
        <v>0</v>
      </c>
    </row>
    <row r="30" spans="1:15" x14ac:dyDescent="0.25">
      <c r="H30" t="s">
        <v>11</v>
      </c>
      <c r="I30">
        <f t="shared" si="6"/>
        <v>0</v>
      </c>
    </row>
    <row r="31" spans="1:15" x14ac:dyDescent="0.25">
      <c r="H31" s="18" t="s">
        <v>28</v>
      </c>
      <c r="I31">
        <f t="shared" si="6"/>
        <v>0</v>
      </c>
    </row>
    <row r="32" spans="1:15" x14ac:dyDescent="0.25">
      <c r="H32" s="18" t="s">
        <v>31</v>
      </c>
      <c r="I32">
        <f t="shared" si="6"/>
        <v>0</v>
      </c>
    </row>
    <row r="33" spans="8:9" x14ac:dyDescent="0.25">
      <c r="H33" t="s">
        <v>26</v>
      </c>
      <c r="I33">
        <f t="shared" si="6"/>
        <v>0</v>
      </c>
    </row>
    <row r="34" spans="8:9" x14ac:dyDescent="0.25">
      <c r="H34" t="s">
        <v>79</v>
      </c>
      <c r="I34">
        <f t="shared" si="6"/>
        <v>0</v>
      </c>
    </row>
    <row r="35" spans="8:9" x14ac:dyDescent="0.25">
      <c r="H35" t="s">
        <v>19</v>
      </c>
      <c r="I35">
        <f t="shared" si="6"/>
        <v>0</v>
      </c>
    </row>
    <row r="37" spans="8:9" x14ac:dyDescent="0.25">
      <c r="I37">
        <f>SUM(PCI_4_302[Qté théorique])</f>
        <v>0</v>
      </c>
    </row>
  </sheetData>
  <mergeCells count="24">
    <mergeCell ref="O6:O9"/>
    <mergeCell ref="C4:C5"/>
    <mergeCell ref="K4:K5"/>
    <mergeCell ref="L4:L5"/>
    <mergeCell ref="M4:M5"/>
    <mergeCell ref="N4:N5"/>
    <mergeCell ref="O4:O5"/>
    <mergeCell ref="C6:C9"/>
    <mergeCell ref="K6:K9"/>
    <mergeCell ref="L6:L9"/>
    <mergeCell ref="M6:M9"/>
    <mergeCell ref="N6:N9"/>
    <mergeCell ref="M12:M14"/>
    <mergeCell ref="O12:O14"/>
    <mergeCell ref="O20:O21"/>
    <mergeCell ref="C20:C21"/>
    <mergeCell ref="K20:K21"/>
    <mergeCell ref="L20:L21"/>
    <mergeCell ref="M20:M21"/>
    <mergeCell ref="N20:N21"/>
    <mergeCell ref="C12:C14"/>
    <mergeCell ref="K12:K14"/>
    <mergeCell ref="N12:N14"/>
    <mergeCell ref="L12:L14"/>
  </mergeCells>
  <phoneticPr fontId="7" type="noConversion"/>
  <conditionalFormatting sqref="M22">
    <cfRule type="cellIs" dxfId="24" priority="1" operator="greaterThan">
      <formula>$I$22</formula>
    </cfRule>
    <cfRule type="cellIs" dxfId="23" priority="2" operator="lessThanOrEqual">
      <formula>$I$22</formula>
    </cfRule>
  </conditionalFormatting>
  <conditionalFormatting sqref="N22">
    <cfRule type="cellIs" dxfId="22" priority="3" operator="lessThanOrEqual">
      <formula>$J$22</formula>
    </cfRule>
    <cfRule type="cellIs" dxfId="21" priority="4" operator="greaterThan">
      <formula>$J$22</formula>
    </cfRule>
  </conditionalFormatting>
  <dataValidations count="2">
    <dataValidation allowBlank="1" showInputMessage="1" showErrorMessage="1" prompt="IM02 140 678" sqref="D16 H32" xr:uid="{D519F962-FEFF-473C-8AEA-2F7F91627777}"/>
    <dataValidation allowBlank="1" showInputMessage="1" showErrorMessage="1" prompt="IM02 145 346" sqref="D15 H31" xr:uid="{1FC88A83-3D72-46C6-BDFC-6BEB2417943B}"/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3"/>
  <dimension ref="A1:O35"/>
  <sheetViews>
    <sheetView topLeftCell="D1" zoomScale="88" workbookViewId="0">
      <selection activeCell="P8" sqref="P8"/>
    </sheetView>
  </sheetViews>
  <sheetFormatPr baseColWidth="10" defaultColWidth="11.42578125" defaultRowHeight="15" x14ac:dyDescent="0.25"/>
  <cols>
    <col min="3" max="3" width="25.28515625" bestFit="1" customWidth="1"/>
    <col min="4" max="4" width="13.85546875" customWidth="1"/>
    <col min="8" max="8" width="13.5703125" bestFit="1" customWidth="1"/>
    <col min="14" max="14" width="13.85546875" customWidth="1"/>
  </cols>
  <sheetData>
    <row r="1" spans="1:15" x14ac:dyDescent="0.25">
      <c r="A1" s="28" t="s">
        <v>46</v>
      </c>
      <c r="B1" s="29">
        <f>1707+319</f>
        <v>2026</v>
      </c>
      <c r="N1" s="4"/>
    </row>
    <row r="2" spans="1:15" x14ac:dyDescent="0.25">
      <c r="C2" s="31" t="s">
        <v>85</v>
      </c>
      <c r="E2" s="31"/>
      <c r="G2" s="32"/>
      <c r="N2" s="4"/>
    </row>
    <row r="3" spans="1:15" ht="75" x14ac:dyDescent="0.25">
      <c r="A3" s="12" t="s">
        <v>48</v>
      </c>
      <c r="B3" s="12" t="s">
        <v>49</v>
      </c>
      <c r="C3" s="12" t="s">
        <v>50</v>
      </c>
      <c r="D3" s="12" t="s">
        <v>86</v>
      </c>
      <c r="E3" s="12" t="s">
        <v>52</v>
      </c>
      <c r="F3" s="12" t="s">
        <v>53</v>
      </c>
      <c r="G3" s="12" t="s">
        <v>54</v>
      </c>
      <c r="H3" s="13" t="s">
        <v>55</v>
      </c>
      <c r="I3" s="13" t="s">
        <v>56</v>
      </c>
      <c r="J3" s="13" t="s">
        <v>57</v>
      </c>
      <c r="K3" s="13" t="s">
        <v>58</v>
      </c>
      <c r="L3" s="12" t="s">
        <v>87</v>
      </c>
      <c r="M3" s="12" t="s">
        <v>60</v>
      </c>
      <c r="N3" s="12" t="s">
        <v>61</v>
      </c>
      <c r="O3" s="12" t="s">
        <v>62</v>
      </c>
    </row>
    <row r="4" spans="1:15" x14ac:dyDescent="0.25">
      <c r="A4" s="18" t="s">
        <v>63</v>
      </c>
      <c r="B4" s="18" t="s">
        <v>17</v>
      </c>
      <c r="C4" s="138" t="s">
        <v>64</v>
      </c>
      <c r="D4" s="18" t="s">
        <v>18</v>
      </c>
      <c r="E4" s="18">
        <v>1</v>
      </c>
      <c r="F4" s="18">
        <v>4</v>
      </c>
      <c r="G4" s="19">
        <v>7.96</v>
      </c>
      <c r="H4" s="47">
        <v>150</v>
      </c>
      <c r="I4" s="17">
        <f>(E4*G4)/(F4*H4)</f>
        <v>1.3266666666666666E-2</v>
      </c>
      <c r="J4" s="16">
        <f t="shared" ref="J4:J20" si="0">(ROUNDUP($E4*$B$1/($F4*H4),0))</f>
        <v>4</v>
      </c>
      <c r="K4" s="139">
        <f>SUM(J4:J5)</f>
        <v>8</v>
      </c>
      <c r="L4" s="140">
        <f>N4*G4</f>
        <v>39.799999999999997</v>
      </c>
      <c r="M4" s="141">
        <f>L4/$B$1/2</f>
        <v>9.8223099703849941E-3</v>
      </c>
      <c r="N4" s="140">
        <f>SUMIFS('Tableau plaquettes complet'!F:F,'Tableau plaquettes complet'!G:G,"PCI 4",'Tableau plaquettes complet'!H:H,"OP 10",'Tableau plaquettes complet'!J:J,"283x26 RPI",'Tableau plaquettes complet'!B:B,"IM02 137 022")</f>
        <v>5</v>
      </c>
      <c r="O4" s="137">
        <f>-(K4-N4)</f>
        <v>-3</v>
      </c>
    </row>
    <row r="5" spans="1:15" x14ac:dyDescent="0.25">
      <c r="A5" s="18" t="s">
        <v>65</v>
      </c>
      <c r="B5" s="18" t="s">
        <v>17</v>
      </c>
      <c r="C5" s="138"/>
      <c r="D5" s="18" t="s">
        <v>18</v>
      </c>
      <c r="E5" s="18">
        <v>1</v>
      </c>
      <c r="F5" s="18">
        <v>4</v>
      </c>
      <c r="G5" s="19">
        <v>7.96</v>
      </c>
      <c r="H5" s="47">
        <v>150</v>
      </c>
      <c r="I5" s="17">
        <f t="shared" ref="I5:I20" si="1">(E5*G5)/(F5*H5)</f>
        <v>1.3266666666666666E-2</v>
      </c>
      <c r="J5" s="16">
        <f t="shared" si="0"/>
        <v>4</v>
      </c>
      <c r="K5" s="139"/>
      <c r="L5" s="140"/>
      <c r="M5" s="141"/>
      <c r="N5" s="140"/>
      <c r="O5" s="137"/>
    </row>
    <row r="6" spans="1:15" x14ac:dyDescent="0.25">
      <c r="A6" s="18" t="s">
        <v>66</v>
      </c>
      <c r="B6" s="18" t="s">
        <v>17</v>
      </c>
      <c r="C6" s="138" t="s">
        <v>67</v>
      </c>
      <c r="D6" s="18" t="s">
        <v>15</v>
      </c>
      <c r="E6" s="18">
        <v>1</v>
      </c>
      <c r="F6" s="18">
        <v>8</v>
      </c>
      <c r="G6" s="19">
        <v>7.96</v>
      </c>
      <c r="H6" s="47">
        <v>150</v>
      </c>
      <c r="I6" s="17">
        <f t="shared" si="1"/>
        <v>6.6333333333333331E-3</v>
      </c>
      <c r="J6" s="16">
        <f t="shared" si="0"/>
        <v>2</v>
      </c>
      <c r="K6" s="139">
        <f>SUM(J6:J9)</f>
        <v>8</v>
      </c>
      <c r="L6" s="140">
        <f>N6*G6</f>
        <v>39.799999999999997</v>
      </c>
      <c r="M6" s="141">
        <f>L6/$B$1</f>
        <v>1.9644619940769988E-2</v>
      </c>
      <c r="N6" s="140">
        <f>SUMIFS('Tableau plaquettes complet'!F:F,'Tableau plaquettes complet'!G:G,"PCI 4",'Tableau plaquettes complet'!H:H,"OP 10",'Tableau plaquettes complet'!J:J,"283x26 RPI",'Tableau plaquettes complet'!B:B,"IM02 137 021")</f>
        <v>5</v>
      </c>
      <c r="O6" s="137">
        <f>-(K6-N6)</f>
        <v>-3</v>
      </c>
    </row>
    <row r="7" spans="1:15" x14ac:dyDescent="0.25">
      <c r="A7" s="18" t="s">
        <v>68</v>
      </c>
      <c r="B7" s="18" t="s">
        <v>17</v>
      </c>
      <c r="C7" s="138"/>
      <c r="D7" s="18" t="s">
        <v>15</v>
      </c>
      <c r="E7" s="18">
        <v>1</v>
      </c>
      <c r="F7" s="18">
        <v>8</v>
      </c>
      <c r="G7" s="19">
        <v>7.96</v>
      </c>
      <c r="H7" s="47">
        <v>150</v>
      </c>
      <c r="I7" s="17">
        <f t="shared" si="1"/>
        <v>6.6333333333333331E-3</v>
      </c>
      <c r="J7" s="16">
        <f t="shared" si="0"/>
        <v>2</v>
      </c>
      <c r="K7" s="139"/>
      <c r="L7" s="140"/>
      <c r="M7" s="141"/>
      <c r="N7" s="140"/>
      <c r="O7" s="137"/>
    </row>
    <row r="8" spans="1:15" x14ac:dyDescent="0.25">
      <c r="A8" s="18" t="s">
        <v>69</v>
      </c>
      <c r="B8" s="18" t="s">
        <v>17</v>
      </c>
      <c r="C8" s="138"/>
      <c r="D8" s="18" t="s">
        <v>15</v>
      </c>
      <c r="E8" s="18">
        <v>1</v>
      </c>
      <c r="F8" s="18">
        <v>8</v>
      </c>
      <c r="G8" s="19">
        <v>7.96</v>
      </c>
      <c r="H8" s="47">
        <v>150</v>
      </c>
      <c r="I8" s="17">
        <f t="shared" si="1"/>
        <v>6.6333333333333331E-3</v>
      </c>
      <c r="J8" s="16">
        <f t="shared" si="0"/>
        <v>2</v>
      </c>
      <c r="K8" s="139"/>
      <c r="L8" s="140"/>
      <c r="M8" s="141"/>
      <c r="N8" s="140"/>
      <c r="O8" s="137"/>
    </row>
    <row r="9" spans="1:15" x14ac:dyDescent="0.25">
      <c r="A9" s="18" t="s">
        <v>70</v>
      </c>
      <c r="B9" s="18" t="s">
        <v>17</v>
      </c>
      <c r="C9" s="138"/>
      <c r="D9" s="18" t="s">
        <v>15</v>
      </c>
      <c r="E9" s="18">
        <v>1</v>
      </c>
      <c r="F9" s="18">
        <v>8</v>
      </c>
      <c r="G9" s="19">
        <v>7.96</v>
      </c>
      <c r="H9" s="47">
        <v>150</v>
      </c>
      <c r="I9" s="17">
        <f t="shared" si="1"/>
        <v>6.6333333333333331E-3</v>
      </c>
      <c r="J9" s="16">
        <f t="shared" si="0"/>
        <v>2</v>
      </c>
      <c r="K9" s="139"/>
      <c r="L9" s="140"/>
      <c r="M9" s="141"/>
      <c r="N9" s="140"/>
      <c r="O9" s="137"/>
    </row>
    <row r="10" spans="1:15" x14ac:dyDescent="0.25">
      <c r="A10" s="39" t="s">
        <v>71</v>
      </c>
      <c r="B10" s="39" t="s">
        <v>13</v>
      </c>
      <c r="C10" s="39" t="s">
        <v>72</v>
      </c>
      <c r="D10" s="39" t="s">
        <v>11</v>
      </c>
      <c r="E10" s="39">
        <v>1</v>
      </c>
      <c r="F10" s="39">
        <v>2</v>
      </c>
      <c r="G10" s="48">
        <v>18.8</v>
      </c>
      <c r="H10" s="39">
        <v>75</v>
      </c>
      <c r="I10" s="17">
        <f t="shared" si="1"/>
        <v>0.12533333333333332</v>
      </c>
      <c r="J10" s="16">
        <f t="shared" si="0"/>
        <v>14</v>
      </c>
      <c r="K10" s="16">
        <f>J10</f>
        <v>14</v>
      </c>
      <c r="L10" s="54">
        <f>N10*G10</f>
        <v>188</v>
      </c>
      <c r="M10" s="53">
        <f>L10/$B$1</f>
        <v>9.2793682132280356E-2</v>
      </c>
      <c r="N10" s="54">
        <f>SUMIFS('Tableau plaquettes complet'!F:F,'Tableau plaquettes complet'!G:G,"PCI 4",'Tableau plaquettes complet'!H:H,"OP 20",'Tableau plaquettes complet'!J:J,"283x26 RPI",'Tableau plaquettes complet'!B:B,"IM02 137 020")</f>
        <v>10</v>
      </c>
      <c r="O10" s="55">
        <f>-(K10-N10)</f>
        <v>-4</v>
      </c>
    </row>
    <row r="11" spans="1:15" x14ac:dyDescent="0.25">
      <c r="A11" s="39" t="s">
        <v>73</v>
      </c>
      <c r="B11" s="39" t="s">
        <v>13</v>
      </c>
      <c r="C11" s="39" t="s">
        <v>64</v>
      </c>
      <c r="D11" s="39" t="s">
        <v>18</v>
      </c>
      <c r="E11" s="39">
        <v>1</v>
      </c>
      <c r="F11" s="39">
        <v>4</v>
      </c>
      <c r="G11" s="48">
        <v>7.96</v>
      </c>
      <c r="H11" s="39">
        <v>150</v>
      </c>
      <c r="I11" s="17">
        <f t="shared" si="1"/>
        <v>1.3266666666666666E-2</v>
      </c>
      <c r="J11" s="16">
        <f t="shared" si="0"/>
        <v>4</v>
      </c>
      <c r="K11" s="16">
        <f>J11</f>
        <v>4</v>
      </c>
      <c r="L11" s="54">
        <f>N11*G11</f>
        <v>119.4</v>
      </c>
      <c r="M11" s="53">
        <f>L11/$B$1</f>
        <v>5.8933859822309975E-2</v>
      </c>
      <c r="N11" s="54">
        <f>SUMIFS('Tableau plaquettes complet'!F:F,'Tableau plaquettes complet'!G:G,"PCI 4",'Tableau plaquettes complet'!H:H,"OP 20",'Tableau plaquettes complet'!J:J,"283x26 RPI",'Tableau plaquettes complet'!B:B,"IM02 137 022")</f>
        <v>15</v>
      </c>
      <c r="O11" s="55">
        <f>-(K11-N11)</f>
        <v>11</v>
      </c>
    </row>
    <row r="12" spans="1:15" x14ac:dyDescent="0.25">
      <c r="A12" s="39" t="s">
        <v>76</v>
      </c>
      <c r="B12" s="39" t="s">
        <v>13</v>
      </c>
      <c r="C12" s="143" t="s">
        <v>67</v>
      </c>
      <c r="D12" s="39" t="s">
        <v>15</v>
      </c>
      <c r="E12" s="39">
        <v>1</v>
      </c>
      <c r="F12" s="39">
        <v>8</v>
      </c>
      <c r="G12" s="39">
        <v>7.96</v>
      </c>
      <c r="H12" s="39">
        <v>75</v>
      </c>
      <c r="I12" s="17">
        <f t="shared" si="1"/>
        <v>1.3266666666666666E-2</v>
      </c>
      <c r="J12" s="16">
        <f t="shared" si="0"/>
        <v>4</v>
      </c>
      <c r="K12" s="139">
        <f>SUM(J12:J14)</f>
        <v>9</v>
      </c>
      <c r="L12" s="144">
        <f>N12*G12</f>
        <v>39.799999999999997</v>
      </c>
      <c r="M12" s="145">
        <f>L12/$B$1</f>
        <v>1.9644619940769988E-2</v>
      </c>
      <c r="N12" s="144">
        <f>SUMIFS('Tableau plaquettes complet'!F:F,'Tableau plaquettes complet'!G:G,"PCI 4",'Tableau plaquettes complet'!H:H,"OP 20",'Tableau plaquettes complet'!J:J,"283x26 RPI",'Tableau plaquettes complet'!B:B,"IM02 137 021")</f>
        <v>5</v>
      </c>
      <c r="O12" s="142">
        <f>-(K12-N12)</f>
        <v>-4</v>
      </c>
    </row>
    <row r="13" spans="1:15" x14ac:dyDescent="0.25">
      <c r="A13" s="39" t="s">
        <v>74</v>
      </c>
      <c r="B13" s="39" t="s">
        <v>13</v>
      </c>
      <c r="C13" s="143"/>
      <c r="D13" s="39" t="s">
        <v>15</v>
      </c>
      <c r="E13" s="39">
        <v>1</v>
      </c>
      <c r="F13" s="39">
        <v>8</v>
      </c>
      <c r="G13" s="48">
        <v>7.96</v>
      </c>
      <c r="H13" s="39">
        <v>1500</v>
      </c>
      <c r="I13" s="17">
        <f t="shared" si="1"/>
        <v>6.6333333333333337E-4</v>
      </c>
      <c r="J13" s="16">
        <f t="shared" si="0"/>
        <v>1</v>
      </c>
      <c r="K13" s="139"/>
      <c r="L13" s="144"/>
      <c r="M13" s="145"/>
      <c r="N13" s="144"/>
      <c r="O13" s="142"/>
    </row>
    <row r="14" spans="1:15" x14ac:dyDescent="0.25">
      <c r="A14" s="39" t="s">
        <v>75</v>
      </c>
      <c r="B14" s="39" t="s">
        <v>13</v>
      </c>
      <c r="C14" s="143"/>
      <c r="D14" s="39" t="s">
        <v>15</v>
      </c>
      <c r="E14" s="39">
        <v>1</v>
      </c>
      <c r="F14" s="39">
        <v>8</v>
      </c>
      <c r="G14" s="48">
        <v>7.96</v>
      </c>
      <c r="H14" s="39">
        <v>75</v>
      </c>
      <c r="I14" s="17">
        <f t="shared" si="1"/>
        <v>1.3266666666666666E-2</v>
      </c>
      <c r="J14" s="16">
        <f t="shared" si="0"/>
        <v>4</v>
      </c>
      <c r="K14" s="139"/>
      <c r="L14" s="144"/>
      <c r="M14" s="145"/>
      <c r="N14" s="144"/>
      <c r="O14" s="142"/>
    </row>
    <row r="15" spans="1:15" x14ac:dyDescent="0.25">
      <c r="A15" s="18" t="s">
        <v>39</v>
      </c>
      <c r="B15" s="18" t="s">
        <v>23</v>
      </c>
      <c r="C15" s="18" t="s">
        <v>28</v>
      </c>
      <c r="D15" s="18" t="s">
        <v>28</v>
      </c>
      <c r="E15" s="18">
        <v>1</v>
      </c>
      <c r="F15" s="18">
        <v>1</v>
      </c>
      <c r="G15" s="19">
        <v>48.5</v>
      </c>
      <c r="H15" s="47">
        <v>1500</v>
      </c>
      <c r="I15" s="17">
        <f t="shared" si="1"/>
        <v>3.2333333333333332E-2</v>
      </c>
      <c r="J15" s="16">
        <f t="shared" si="0"/>
        <v>2</v>
      </c>
      <c r="K15" s="16">
        <f>J15</f>
        <v>2</v>
      </c>
      <c r="L15" s="47">
        <f>N15*G15</f>
        <v>533.5</v>
      </c>
      <c r="M15" s="50">
        <f>L15/$B$1</f>
        <v>0.26332675222112539</v>
      </c>
      <c r="N15" s="47">
        <f>ROUND('Tableau plaquettes roto'!F3*(B1/('Coût pièce PCI 4 302 '!B1+'Cout pièce PCI 4 283'!B1)),0)</f>
        <v>11</v>
      </c>
      <c r="O15" s="49">
        <f>-(K15-N15)</f>
        <v>9</v>
      </c>
    </row>
    <row r="16" spans="1:15" x14ac:dyDescent="0.25">
      <c r="A16" s="18" t="s">
        <v>40</v>
      </c>
      <c r="B16" s="18" t="s">
        <v>23</v>
      </c>
      <c r="C16" s="18" t="s">
        <v>31</v>
      </c>
      <c r="D16" s="18" t="s">
        <v>31</v>
      </c>
      <c r="E16" s="18">
        <v>1</v>
      </c>
      <c r="F16" s="18">
        <v>1</v>
      </c>
      <c r="G16" s="19">
        <v>46.96</v>
      </c>
      <c r="H16" s="47">
        <v>1500</v>
      </c>
      <c r="I16" s="17">
        <f t="shared" si="1"/>
        <v>3.130666666666667E-2</v>
      </c>
      <c r="J16" s="16">
        <f t="shared" si="0"/>
        <v>2</v>
      </c>
      <c r="K16" s="16">
        <f>J16</f>
        <v>2</v>
      </c>
      <c r="L16" s="47">
        <f t="shared" ref="L16:L18" si="2">N16*G16</f>
        <v>46.96</v>
      </c>
      <c r="M16" s="50">
        <f>L16/$B$1</f>
        <v>2.3178677196446201E-2</v>
      </c>
      <c r="N16" s="47">
        <f>ROUND('Tableau plaquettes roto'!F5*(B1/('Coût pièce PCI 4 302 '!B1+'Cout pièce PCI 4 283'!B1+'Cout pièce PCI 4 268'!B1)),0)</f>
        <v>1</v>
      </c>
      <c r="O16" s="49">
        <f>-(K16-N16)</f>
        <v>-1</v>
      </c>
    </row>
    <row r="17" spans="1:15" x14ac:dyDescent="0.25">
      <c r="A17" s="18" t="s">
        <v>40</v>
      </c>
      <c r="B17" s="18" t="s">
        <v>23</v>
      </c>
      <c r="C17" s="18" t="s">
        <v>77</v>
      </c>
      <c r="D17" s="18" t="s">
        <v>26</v>
      </c>
      <c r="E17" s="18">
        <v>2</v>
      </c>
      <c r="F17" s="18">
        <v>3</v>
      </c>
      <c r="G17" s="19">
        <v>8.15</v>
      </c>
      <c r="H17" s="47">
        <v>1500</v>
      </c>
      <c r="I17" s="17">
        <f t="shared" si="1"/>
        <v>3.6222222222222224E-3</v>
      </c>
      <c r="J17" s="16">
        <f>ROUND(J16*2/3,0)</f>
        <v>1</v>
      </c>
      <c r="K17" s="16">
        <f>J17</f>
        <v>1</v>
      </c>
      <c r="L17" s="47">
        <f t="shared" si="2"/>
        <v>8.15</v>
      </c>
      <c r="M17" s="50">
        <f>L17/$B$1</f>
        <v>4.0227048371174728E-3</v>
      </c>
      <c r="N17" s="47">
        <f>ROUND('Tableau plaquettes roto'!F4*(B1/('Coût pièce PCI 4 302 '!B1+'Cout pièce PCI 4 283'!B1+'Cout pièce PCI 4 268'!B1)),0)</f>
        <v>1</v>
      </c>
      <c r="O17" s="49">
        <f>-(K17-N17)</f>
        <v>0</v>
      </c>
    </row>
    <row r="18" spans="1:15" x14ac:dyDescent="0.25">
      <c r="A18" s="18" t="s">
        <v>39</v>
      </c>
      <c r="B18" s="18" t="s">
        <v>23</v>
      </c>
      <c r="C18" s="18" t="s">
        <v>78</v>
      </c>
      <c r="D18" s="18" t="s">
        <v>79</v>
      </c>
      <c r="E18" s="18">
        <v>2</v>
      </c>
      <c r="F18" s="18">
        <v>2</v>
      </c>
      <c r="G18" s="19">
        <v>12.18</v>
      </c>
      <c r="H18" s="47">
        <v>1500</v>
      </c>
      <c r="I18" s="17">
        <f t="shared" si="1"/>
        <v>8.1200000000000005E-3</v>
      </c>
      <c r="J18" s="16">
        <f>ROUND(J15*2/3,0)</f>
        <v>1</v>
      </c>
      <c r="K18" s="16">
        <f>J18</f>
        <v>1</v>
      </c>
      <c r="L18" s="47">
        <f t="shared" si="2"/>
        <v>24.36</v>
      </c>
      <c r="M18" s="50">
        <f>L18/$B$1</f>
        <v>1.2023692003948667E-2</v>
      </c>
      <c r="N18" s="47">
        <f>ROUND('Tableau plaquettes roto'!F2*(B1/('Coût pièce PCI 4 302 '!B1+'Cout pièce PCI 4 283'!B1+'Cout pièce PCI 4 268'!B1)),0)</f>
        <v>2</v>
      </c>
      <c r="O18" s="49">
        <f>-(K18-N18)</f>
        <v>1</v>
      </c>
    </row>
    <row r="19" spans="1:15" x14ac:dyDescent="0.25">
      <c r="A19" s="39" t="s">
        <v>81</v>
      </c>
      <c r="B19" s="39" t="s">
        <v>20</v>
      </c>
      <c r="C19" s="143" t="s">
        <v>82</v>
      </c>
      <c r="D19" s="39" t="s">
        <v>19</v>
      </c>
      <c r="E19" s="39">
        <v>1</v>
      </c>
      <c r="F19" s="39">
        <v>8</v>
      </c>
      <c r="G19" s="48">
        <v>9.56</v>
      </c>
      <c r="H19" s="39">
        <v>50</v>
      </c>
      <c r="I19" s="17">
        <f t="shared" si="1"/>
        <v>2.3900000000000001E-2</v>
      </c>
      <c r="J19" s="16">
        <f t="shared" si="0"/>
        <v>6</v>
      </c>
      <c r="K19" s="139">
        <f>SUM(J19:J20)</f>
        <v>12</v>
      </c>
      <c r="L19" s="144">
        <f>N19*G19</f>
        <v>143.4</v>
      </c>
      <c r="M19" s="145">
        <f>L19/$B$1</f>
        <v>7.0779861796643639E-2</v>
      </c>
      <c r="N19" s="144">
        <f>SUMIFS('Tableau plaquettes complet'!F:F,'Tableau plaquettes complet'!G:G,"PCI 4",'Tableau plaquettes complet'!H:H,"OP 40",'Tableau plaquettes complet'!J:J,"283x26 RPI",'Tableau plaquettes complet'!B:B,"Z000 513 527")</f>
        <v>15</v>
      </c>
      <c r="O19" s="142">
        <f>-(K19-N19)</f>
        <v>3</v>
      </c>
    </row>
    <row r="20" spans="1:15" ht="15.75" thickBot="1" x14ac:dyDescent="0.3">
      <c r="A20" s="39" t="s">
        <v>84</v>
      </c>
      <c r="B20" s="39" t="s">
        <v>20</v>
      </c>
      <c r="C20" s="143"/>
      <c r="D20" s="39" t="s">
        <v>19</v>
      </c>
      <c r="E20" s="39">
        <v>1</v>
      </c>
      <c r="F20" s="39">
        <v>8</v>
      </c>
      <c r="G20" s="48">
        <v>9.56</v>
      </c>
      <c r="H20" s="39">
        <v>50</v>
      </c>
      <c r="I20" s="17">
        <f t="shared" si="1"/>
        <v>2.3900000000000001E-2</v>
      </c>
      <c r="J20" s="16">
        <f t="shared" si="0"/>
        <v>6</v>
      </c>
      <c r="K20" s="139"/>
      <c r="L20" s="144"/>
      <c r="M20" s="145"/>
      <c r="N20" s="144"/>
      <c r="O20" s="142"/>
    </row>
    <row r="21" spans="1:15" ht="15.75" thickBot="1" x14ac:dyDescent="0.3">
      <c r="I21" s="22">
        <f>SUM(I4:I20)</f>
        <v>0.34204555555555555</v>
      </c>
      <c r="J21" s="23">
        <f>SUM(J4:J20)</f>
        <v>61</v>
      </c>
      <c r="M21" s="25">
        <f>SUM(M3:M20)</f>
        <v>0.57417077986179665</v>
      </c>
      <c r="N21" s="26">
        <f>SUM(N3:N20)</f>
        <v>70</v>
      </c>
    </row>
    <row r="22" spans="1:15" x14ac:dyDescent="0.25">
      <c r="I22" s="44">
        <f>B1*I21</f>
        <v>692.98429555555549</v>
      </c>
      <c r="M22" s="44">
        <f>B1*M21</f>
        <v>1163.27</v>
      </c>
      <c r="N22" s="4"/>
    </row>
    <row r="26" spans="1:15" x14ac:dyDescent="0.25">
      <c r="H26" t="s">
        <v>89</v>
      </c>
      <c r="I26" t="s">
        <v>57</v>
      </c>
    </row>
    <row r="27" spans="1:15" x14ac:dyDescent="0.25">
      <c r="H27" t="s">
        <v>18</v>
      </c>
      <c r="I27">
        <f>SUMIF($D$4:$D$20,TRIM(H27),$J$4:$J$20)</f>
        <v>12</v>
      </c>
    </row>
    <row r="28" spans="1:15" x14ac:dyDescent="0.25">
      <c r="H28" t="s">
        <v>15</v>
      </c>
      <c r="I28">
        <f t="shared" ref="I28:I35" si="3">SUMIF($D$4:$D$20,TRIM(H28),$J$4:$J$20)</f>
        <v>17</v>
      </c>
    </row>
    <row r="29" spans="1:15" x14ac:dyDescent="0.25">
      <c r="H29" t="s">
        <v>11</v>
      </c>
      <c r="I29">
        <f t="shared" si="3"/>
        <v>14</v>
      </c>
    </row>
    <row r="30" spans="1:15" x14ac:dyDescent="0.25">
      <c r="H30" t="s">
        <v>28</v>
      </c>
      <c r="I30">
        <f t="shared" si="3"/>
        <v>2</v>
      </c>
    </row>
    <row r="31" spans="1:15" x14ac:dyDescent="0.25">
      <c r="H31" t="s">
        <v>31</v>
      </c>
      <c r="I31">
        <f t="shared" si="3"/>
        <v>2</v>
      </c>
    </row>
    <row r="32" spans="1:15" x14ac:dyDescent="0.25">
      <c r="H32" t="s">
        <v>26</v>
      </c>
      <c r="I32">
        <f t="shared" si="3"/>
        <v>1</v>
      </c>
    </row>
    <row r="33" spans="8:11" x14ac:dyDescent="0.25">
      <c r="H33" t="s">
        <v>79</v>
      </c>
      <c r="I33">
        <f>SUMIF($D$4:$D$20,TRIM(H33),$J$4:$J$20)</f>
        <v>1</v>
      </c>
    </row>
    <row r="34" spans="8:11" x14ac:dyDescent="0.25">
      <c r="H34" t="s">
        <v>19</v>
      </c>
      <c r="I34">
        <f t="shared" si="3"/>
        <v>12</v>
      </c>
    </row>
    <row r="35" spans="8:11" x14ac:dyDescent="0.25">
      <c r="I35">
        <f t="shared" si="3"/>
        <v>0</v>
      </c>
      <c r="K35">
        <f>SUM(I27:I34)</f>
        <v>61</v>
      </c>
    </row>
  </sheetData>
  <mergeCells count="24">
    <mergeCell ref="O19:O20"/>
    <mergeCell ref="C12:C14"/>
    <mergeCell ref="K12:K14"/>
    <mergeCell ref="L12:L14"/>
    <mergeCell ref="M12:M14"/>
    <mergeCell ref="N12:N14"/>
    <mergeCell ref="O12:O14"/>
    <mergeCell ref="C19:C20"/>
    <mergeCell ref="K19:K20"/>
    <mergeCell ref="L19:L20"/>
    <mergeCell ref="M19:M20"/>
    <mergeCell ref="N19:N20"/>
    <mergeCell ref="O6:O9"/>
    <mergeCell ref="C4:C5"/>
    <mergeCell ref="K4:K5"/>
    <mergeCell ref="L4:L5"/>
    <mergeCell ref="M4:M5"/>
    <mergeCell ref="N4:N5"/>
    <mergeCell ref="O4:O5"/>
    <mergeCell ref="C6:C9"/>
    <mergeCell ref="K6:K9"/>
    <mergeCell ref="L6:L9"/>
    <mergeCell ref="M6:M9"/>
    <mergeCell ref="N6:N9"/>
  </mergeCells>
  <phoneticPr fontId="7" type="noConversion"/>
  <conditionalFormatting sqref="M21">
    <cfRule type="cellIs" dxfId="20" priority="1" operator="greaterThan">
      <formula>$I$21</formula>
    </cfRule>
    <cfRule type="cellIs" dxfId="19" priority="2" operator="lessThanOrEqual">
      <formula>$I$21</formula>
    </cfRule>
  </conditionalFormatting>
  <conditionalFormatting sqref="N21">
    <cfRule type="cellIs" dxfId="18" priority="3" operator="lessThanOrEqual">
      <formula>$J$21</formula>
    </cfRule>
    <cfRule type="cellIs" dxfId="17" priority="4" operator="greaterThan">
      <formula>$J$21</formula>
    </cfRule>
  </conditionalFormatting>
  <dataValidations count="2">
    <dataValidation allowBlank="1" showInputMessage="1" showErrorMessage="1" prompt="IM02 145 346" sqref="D15" xr:uid="{1F7089C5-8060-4530-A69A-1A2C319A0613}"/>
    <dataValidation allowBlank="1" showInputMessage="1" showErrorMessage="1" prompt="IM02 140 678" sqref="D16" xr:uid="{D5F66CF8-C4C8-461D-A107-CC2B9B2A3A29}"/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4"/>
  <dimension ref="A1:O36"/>
  <sheetViews>
    <sheetView topLeftCell="J1" zoomScale="107" workbookViewId="0">
      <selection activeCell="Q14" sqref="Q14"/>
    </sheetView>
  </sheetViews>
  <sheetFormatPr baseColWidth="10" defaultColWidth="11.42578125" defaultRowHeight="15" x14ac:dyDescent="0.25"/>
  <cols>
    <col min="3" max="3" width="26.7109375" bestFit="1" customWidth="1"/>
    <col min="4" max="4" width="14.42578125" customWidth="1"/>
    <col min="6" max="6" width="12.5703125" customWidth="1"/>
    <col min="8" max="8" width="14.42578125" bestFit="1" customWidth="1"/>
    <col min="14" max="14" width="13.28515625" customWidth="1"/>
  </cols>
  <sheetData>
    <row r="1" spans="1:15" x14ac:dyDescent="0.25">
      <c r="A1" s="28" t="s">
        <v>46</v>
      </c>
      <c r="B1" s="29">
        <v>9333</v>
      </c>
      <c r="N1" s="4"/>
    </row>
    <row r="2" spans="1:15" x14ac:dyDescent="0.25">
      <c r="C2" s="31" t="s">
        <v>88</v>
      </c>
      <c r="E2" s="31"/>
      <c r="G2" s="32"/>
      <c r="N2" s="4"/>
    </row>
    <row r="3" spans="1:15" ht="75" x14ac:dyDescent="0.25">
      <c r="A3" s="12" t="s">
        <v>48</v>
      </c>
      <c r="B3" s="12" t="s">
        <v>49</v>
      </c>
      <c r="C3" s="12" t="s">
        <v>50</v>
      </c>
      <c r="D3" s="12" t="s">
        <v>89</v>
      </c>
      <c r="E3" s="12" t="s">
        <v>52</v>
      </c>
      <c r="F3" s="12" t="s">
        <v>53</v>
      </c>
      <c r="G3" s="12" t="s">
        <v>54</v>
      </c>
      <c r="H3" s="13" t="s">
        <v>55</v>
      </c>
      <c r="I3" s="13" t="s">
        <v>56</v>
      </c>
      <c r="J3" s="13" t="s">
        <v>57</v>
      </c>
      <c r="K3" s="13" t="s">
        <v>58</v>
      </c>
      <c r="L3" s="12" t="s">
        <v>87</v>
      </c>
      <c r="M3" s="12" t="s">
        <v>60</v>
      </c>
      <c r="N3" s="12" t="s">
        <v>61</v>
      </c>
      <c r="O3" s="12" t="s">
        <v>62</v>
      </c>
    </row>
    <row r="4" spans="1:15" x14ac:dyDescent="0.25">
      <c r="A4" s="18" t="s">
        <v>90</v>
      </c>
      <c r="B4" s="18" t="s">
        <v>17</v>
      </c>
      <c r="C4" s="116" t="s">
        <v>64</v>
      </c>
      <c r="D4" s="18" t="str">
        <f>IF($C$4="CNMX120716T02020 KY3500", "IM02 137 022","Z000 546 265")</f>
        <v>IM02 137 022</v>
      </c>
      <c r="E4" s="18">
        <v>1</v>
      </c>
      <c r="F4" s="18">
        <v>4</v>
      </c>
      <c r="G4" s="19">
        <f>IF($C$4="CNMX120716T02020 KY3500", 7.96, 7)</f>
        <v>7.96</v>
      </c>
      <c r="H4" s="60">
        <v>150</v>
      </c>
      <c r="I4" s="17">
        <f t="shared" ref="I4:I22" si="0">(E4*G4)/(F4*H4)</f>
        <v>1.3266666666666666E-2</v>
      </c>
      <c r="J4" s="16">
        <f t="shared" ref="J4:J22" si="1">(ROUNDUP($E4*$B$1/($F4*H4),0))</f>
        <v>16</v>
      </c>
      <c r="K4" s="118">
        <f>SUM(J4:J5)</f>
        <v>32</v>
      </c>
      <c r="L4" s="116">
        <f>N4*G4</f>
        <v>79.599999999999994</v>
      </c>
      <c r="M4" s="148">
        <f>L4/$B$1/2</f>
        <v>4.2644380156434151E-3</v>
      </c>
      <c r="N4" s="116">
        <f>SUMIFS('Tableau plaquettes complet'!F:F,'Tableau plaquettes complet'!G:G,"PCI 4",'Tableau plaquettes complet'!H:H,"OP 10",'Tableau plaquettes complet'!J:J,"268x12",'Tableau plaquettes complet'!B:B,D4)</f>
        <v>10</v>
      </c>
      <c r="O4" s="146">
        <f>-(K4-N4)</f>
        <v>-22</v>
      </c>
    </row>
    <row r="5" spans="1:15" x14ac:dyDescent="0.25">
      <c r="A5" s="18" t="s">
        <v>91</v>
      </c>
      <c r="B5" s="18" t="s">
        <v>17</v>
      </c>
      <c r="C5" s="117"/>
      <c r="D5" s="18" t="str">
        <f>IF($C$4="CNMX120716T02020 KY3500", "IM02 137 022", "Z000 546 265")</f>
        <v>IM02 137 022</v>
      </c>
      <c r="E5" s="18">
        <v>1</v>
      </c>
      <c r="F5" s="18">
        <v>4</v>
      </c>
      <c r="G5" s="19">
        <v>0</v>
      </c>
      <c r="H5" s="60">
        <v>150</v>
      </c>
      <c r="I5" s="17">
        <f t="shared" si="0"/>
        <v>0</v>
      </c>
      <c r="J5" s="16">
        <f t="shared" si="1"/>
        <v>16</v>
      </c>
      <c r="K5" s="135"/>
      <c r="L5" s="117"/>
      <c r="M5" s="149"/>
      <c r="N5" s="117"/>
      <c r="O5" s="147"/>
    </row>
    <row r="6" spans="1:15" x14ac:dyDescent="0.25">
      <c r="A6" s="18" t="s">
        <v>92</v>
      </c>
      <c r="B6" s="18" t="s">
        <v>17</v>
      </c>
      <c r="C6" s="116" t="s">
        <v>67</v>
      </c>
      <c r="D6" s="18" t="s">
        <v>15</v>
      </c>
      <c r="E6" s="18">
        <v>1</v>
      </c>
      <c r="F6" s="18">
        <v>8</v>
      </c>
      <c r="G6" s="19">
        <v>7.96</v>
      </c>
      <c r="H6" s="60">
        <v>150</v>
      </c>
      <c r="I6" s="17">
        <f t="shared" si="0"/>
        <v>6.6333333333333331E-3</v>
      </c>
      <c r="J6" s="16">
        <f t="shared" si="1"/>
        <v>8</v>
      </c>
      <c r="K6" s="118">
        <f>SUM(J6:J9)</f>
        <v>40</v>
      </c>
      <c r="L6" s="116">
        <f>N6*G6</f>
        <v>119.4</v>
      </c>
      <c r="M6" s="148">
        <f>L6/$B$1</f>
        <v>1.2793314046930248E-2</v>
      </c>
      <c r="N6" s="116">
        <f>SUMIFS('Tableau plaquettes complet'!F:F,'Tableau plaquettes complet'!G:G,"PCI 4",'Tableau plaquettes complet'!H:H,"OP 10",'Tableau plaquettes complet'!J:J,"268x12",'Tableau plaquettes complet'!B:B,"IM02 137 021")</f>
        <v>15</v>
      </c>
      <c r="O6" s="146">
        <f>-(K6-N6)</f>
        <v>-25</v>
      </c>
    </row>
    <row r="7" spans="1:15" x14ac:dyDescent="0.25">
      <c r="A7" s="18" t="s">
        <v>93</v>
      </c>
      <c r="B7" s="18" t="s">
        <v>17</v>
      </c>
      <c r="C7" s="121"/>
      <c r="D7" s="18" t="s">
        <v>15</v>
      </c>
      <c r="E7" s="18">
        <v>1</v>
      </c>
      <c r="F7" s="18">
        <v>8</v>
      </c>
      <c r="G7" s="19">
        <v>7.96</v>
      </c>
      <c r="H7" s="60">
        <v>150</v>
      </c>
      <c r="I7" s="17">
        <f t="shared" si="0"/>
        <v>6.6333333333333331E-3</v>
      </c>
      <c r="J7" s="16">
        <f t="shared" si="1"/>
        <v>8</v>
      </c>
      <c r="K7" s="134"/>
      <c r="L7" s="121"/>
      <c r="M7" s="152"/>
      <c r="N7" s="121"/>
      <c r="O7" s="153"/>
    </row>
    <row r="8" spans="1:15" x14ac:dyDescent="0.25">
      <c r="A8" s="18" t="s">
        <v>94</v>
      </c>
      <c r="B8" s="18" t="s">
        <v>17</v>
      </c>
      <c r="C8" s="121"/>
      <c r="D8" s="18" t="s">
        <v>15</v>
      </c>
      <c r="E8" s="18">
        <v>1</v>
      </c>
      <c r="F8" s="18">
        <v>8</v>
      </c>
      <c r="G8" s="19">
        <v>7.96</v>
      </c>
      <c r="H8" s="60">
        <v>100</v>
      </c>
      <c r="I8" s="17">
        <f t="shared" si="0"/>
        <v>9.9500000000000005E-3</v>
      </c>
      <c r="J8" s="16">
        <f t="shared" si="1"/>
        <v>12</v>
      </c>
      <c r="K8" s="134"/>
      <c r="L8" s="121"/>
      <c r="M8" s="152"/>
      <c r="N8" s="121"/>
      <c r="O8" s="153"/>
    </row>
    <row r="9" spans="1:15" x14ac:dyDescent="0.25">
      <c r="A9" s="18" t="s">
        <v>95</v>
      </c>
      <c r="B9" s="18" t="s">
        <v>17</v>
      </c>
      <c r="C9" s="117"/>
      <c r="D9" s="18" t="s">
        <v>15</v>
      </c>
      <c r="E9" s="18">
        <v>1</v>
      </c>
      <c r="F9" s="18">
        <v>8</v>
      </c>
      <c r="G9" s="19">
        <v>7.96</v>
      </c>
      <c r="H9" s="60">
        <v>100</v>
      </c>
      <c r="I9" s="17">
        <f t="shared" si="0"/>
        <v>9.9500000000000005E-3</v>
      </c>
      <c r="J9" s="16">
        <f t="shared" si="1"/>
        <v>12</v>
      </c>
      <c r="K9" s="135"/>
      <c r="L9" s="117"/>
      <c r="M9" s="149"/>
      <c r="N9" s="117"/>
      <c r="O9" s="147"/>
    </row>
    <row r="10" spans="1:15" x14ac:dyDescent="0.25">
      <c r="A10" s="39" t="s">
        <v>96</v>
      </c>
      <c r="B10" s="39" t="s">
        <v>13</v>
      </c>
      <c r="C10" s="154" t="s">
        <v>64</v>
      </c>
      <c r="D10" s="39" t="s">
        <v>18</v>
      </c>
      <c r="E10" s="39">
        <v>1</v>
      </c>
      <c r="F10" s="39">
        <v>4</v>
      </c>
      <c r="G10" s="48">
        <v>7.96</v>
      </c>
      <c r="H10" s="61">
        <v>150</v>
      </c>
      <c r="I10" s="17">
        <f t="shared" si="0"/>
        <v>1.3266666666666666E-2</v>
      </c>
      <c r="J10" s="16">
        <f t="shared" si="1"/>
        <v>16</v>
      </c>
      <c r="K10" s="118">
        <f>SUM(J10:J11)</f>
        <v>32</v>
      </c>
      <c r="L10" s="154">
        <f>N10*G10</f>
        <v>79.599999999999994</v>
      </c>
      <c r="M10" s="156">
        <f>L10/$B$1/2</f>
        <v>4.2644380156434151E-3</v>
      </c>
      <c r="N10" s="154">
        <f>SUMIFS('Tableau plaquettes complet'!F:F,'Tableau plaquettes complet'!G:G,"PCI 4",'Tableau plaquettes complet'!H:H,"OP 20",'Tableau plaquettes complet'!J:J,"268x12",'Tableau plaquettes complet'!B:B,"IM02 137 022")</f>
        <v>10</v>
      </c>
      <c r="O10" s="150">
        <f>-(K10-N10)</f>
        <v>-22</v>
      </c>
    </row>
    <row r="11" spans="1:15" x14ac:dyDescent="0.25">
      <c r="A11" s="39" t="s">
        <v>97</v>
      </c>
      <c r="B11" s="39" t="s">
        <v>13</v>
      </c>
      <c r="C11" s="155"/>
      <c r="D11" s="39" t="s">
        <v>18</v>
      </c>
      <c r="E11" s="39">
        <v>1</v>
      </c>
      <c r="F11" s="39">
        <v>4</v>
      </c>
      <c r="G11" s="48">
        <v>0</v>
      </c>
      <c r="H11" s="61">
        <v>150</v>
      </c>
      <c r="I11" s="17">
        <f t="shared" si="0"/>
        <v>0</v>
      </c>
      <c r="J11" s="16">
        <f t="shared" si="1"/>
        <v>16</v>
      </c>
      <c r="K11" s="135"/>
      <c r="L11" s="155"/>
      <c r="M11" s="157"/>
      <c r="N11" s="155"/>
      <c r="O11" s="151"/>
    </row>
    <row r="12" spans="1:15" x14ac:dyDescent="0.25">
      <c r="A12" s="39" t="s">
        <v>98</v>
      </c>
      <c r="B12" s="39" t="s">
        <v>13</v>
      </c>
      <c r="C12" s="154" t="s">
        <v>67</v>
      </c>
      <c r="D12" s="39" t="s">
        <v>15</v>
      </c>
      <c r="E12" s="39">
        <v>1</v>
      </c>
      <c r="F12" s="39">
        <v>8</v>
      </c>
      <c r="G12" s="48">
        <v>7.96</v>
      </c>
      <c r="H12" s="61">
        <v>150</v>
      </c>
      <c r="I12" s="17">
        <f t="shared" si="0"/>
        <v>6.6333333333333331E-3</v>
      </c>
      <c r="J12" s="16">
        <f t="shared" si="1"/>
        <v>8</v>
      </c>
      <c r="K12" s="118">
        <f>SUM(J12:J14)</f>
        <v>20</v>
      </c>
      <c r="L12" s="154">
        <f>N12*G12</f>
        <v>159.19999999999999</v>
      </c>
      <c r="M12" s="156">
        <f>L12/$B$1</f>
        <v>1.705775206257366E-2</v>
      </c>
      <c r="N12" s="154">
        <f>SUMIFS('Tableau plaquettes complet'!F:F,'Tableau plaquettes complet'!G:G,"PCI 4",'Tableau plaquettes complet'!H:H,"OP 20",'Tableau plaquettes complet'!J:J,"268x12",'Tableau plaquettes complet'!B:B,"IM02 137 021")</f>
        <v>20</v>
      </c>
      <c r="O12" s="150">
        <f>-(K12-N12)</f>
        <v>0</v>
      </c>
    </row>
    <row r="13" spans="1:15" x14ac:dyDescent="0.25">
      <c r="A13" s="39" t="s">
        <v>99</v>
      </c>
      <c r="B13" s="39" t="s">
        <v>13</v>
      </c>
      <c r="C13" s="158"/>
      <c r="D13" s="39" t="s">
        <v>15</v>
      </c>
      <c r="E13" s="39">
        <v>1</v>
      </c>
      <c r="F13" s="39">
        <v>8</v>
      </c>
      <c r="G13" s="48">
        <v>7.96</v>
      </c>
      <c r="H13" s="61">
        <v>150</v>
      </c>
      <c r="I13" s="17">
        <f t="shared" si="0"/>
        <v>6.6333333333333331E-3</v>
      </c>
      <c r="J13" s="16">
        <f t="shared" si="1"/>
        <v>8</v>
      </c>
      <c r="K13" s="134"/>
      <c r="L13" s="158"/>
      <c r="M13" s="159"/>
      <c r="N13" s="158"/>
      <c r="O13" s="160"/>
    </row>
    <row r="14" spans="1:15" x14ac:dyDescent="0.25">
      <c r="A14" s="39" t="s">
        <v>100</v>
      </c>
      <c r="B14" s="39" t="s">
        <v>13</v>
      </c>
      <c r="C14" s="155"/>
      <c r="D14" s="39" t="s">
        <v>15</v>
      </c>
      <c r="E14" s="39">
        <v>1</v>
      </c>
      <c r="F14" s="39">
        <v>8</v>
      </c>
      <c r="G14" s="48">
        <v>7.96</v>
      </c>
      <c r="H14" s="61">
        <v>300</v>
      </c>
      <c r="I14" s="17">
        <f t="shared" si="0"/>
        <v>3.3166666666666665E-3</v>
      </c>
      <c r="J14" s="16">
        <f t="shared" si="1"/>
        <v>4</v>
      </c>
      <c r="K14" s="135"/>
      <c r="L14" s="155"/>
      <c r="M14" s="157"/>
      <c r="N14" s="155"/>
      <c r="O14" s="151"/>
    </row>
    <row r="15" spans="1:15" x14ac:dyDescent="0.25">
      <c r="A15" s="18" t="s">
        <v>39</v>
      </c>
      <c r="B15" s="18" t="s">
        <v>23</v>
      </c>
      <c r="C15" s="18" t="s">
        <v>28</v>
      </c>
      <c r="D15" s="18" t="s">
        <v>28</v>
      </c>
      <c r="E15" s="18">
        <v>1</v>
      </c>
      <c r="F15" s="18">
        <v>1</v>
      </c>
      <c r="G15" s="19">
        <v>48.5</v>
      </c>
      <c r="H15" s="61">
        <v>1500</v>
      </c>
      <c r="I15" s="17">
        <f t="shared" si="0"/>
        <v>3.2333333333333332E-2</v>
      </c>
      <c r="J15" s="16">
        <f t="shared" si="1"/>
        <v>7</v>
      </c>
      <c r="K15" s="16">
        <f>J15</f>
        <v>7</v>
      </c>
      <c r="L15" s="18">
        <f>N15*G15</f>
        <v>436.5</v>
      </c>
      <c r="M15" s="69">
        <f>L15/$B$1</f>
        <v>4.67695274831244E-2</v>
      </c>
      <c r="N15" s="18">
        <f>ROUND('Tableau plaquettes roto'!F3*(B1/('Coût pièce PCI 4 302 '!B1+'Cout pièce PCI 4 283'!B1+B1)),0)</f>
        <v>9</v>
      </c>
      <c r="O15" s="70">
        <f>-(K15-N15)</f>
        <v>2</v>
      </c>
    </row>
    <row r="16" spans="1:15" x14ac:dyDescent="0.25">
      <c r="A16" s="18" t="s">
        <v>40</v>
      </c>
      <c r="B16" s="18" t="s">
        <v>23</v>
      </c>
      <c r="C16" s="18" t="s">
        <v>31</v>
      </c>
      <c r="D16" s="18" t="s">
        <v>31</v>
      </c>
      <c r="E16" s="18">
        <v>1</v>
      </c>
      <c r="F16" s="18">
        <v>1</v>
      </c>
      <c r="G16" s="19">
        <v>46.95</v>
      </c>
      <c r="H16" s="61">
        <v>1500</v>
      </c>
      <c r="I16" s="17">
        <f t="shared" si="0"/>
        <v>3.1300000000000001E-2</v>
      </c>
      <c r="J16" s="16">
        <f t="shared" si="1"/>
        <v>7</v>
      </c>
      <c r="K16" s="16">
        <f t="shared" ref="K16:K18" si="2">J16</f>
        <v>7</v>
      </c>
      <c r="L16" s="18">
        <f t="shared" ref="L16:L18" si="3">N16*G16</f>
        <v>281.70000000000005</v>
      </c>
      <c r="M16" s="69">
        <f t="shared" ref="M16:M18" si="4">L16/$B$1</f>
        <v>3.0183220829315339E-2</v>
      </c>
      <c r="N16" s="18">
        <f>ROUND('Tableau plaquettes roto'!F5*(B1/('Coût pièce PCI 4 302 '!B1+'Cout pièce PCI 4 283'!B1+B1)),0)</f>
        <v>6</v>
      </c>
      <c r="O16" s="70">
        <f t="shared" ref="O16:O18" si="5">-(K16-N16)</f>
        <v>-1</v>
      </c>
    </row>
    <row r="17" spans="1:15" x14ac:dyDescent="0.25">
      <c r="A17" s="18" t="s">
        <v>40</v>
      </c>
      <c r="B17" s="18" t="s">
        <v>23</v>
      </c>
      <c r="C17" s="18" t="s">
        <v>77</v>
      </c>
      <c r="D17" s="18" t="s">
        <v>26</v>
      </c>
      <c r="E17" s="18">
        <v>2</v>
      </c>
      <c r="F17" s="18">
        <v>3</v>
      </c>
      <c r="G17" s="19">
        <v>8.15</v>
      </c>
      <c r="H17" s="61">
        <v>1500</v>
      </c>
      <c r="I17" s="17">
        <f t="shared" si="0"/>
        <v>3.6222222222222224E-3</v>
      </c>
      <c r="J17" s="16">
        <f>ROUND(J16*2/3,0)</f>
        <v>5</v>
      </c>
      <c r="K17" s="16">
        <f t="shared" si="2"/>
        <v>5</v>
      </c>
      <c r="L17" s="18">
        <f t="shared" si="3"/>
        <v>32.6</v>
      </c>
      <c r="M17" s="69">
        <f t="shared" si="4"/>
        <v>3.4929818922104362E-3</v>
      </c>
      <c r="N17" s="18">
        <f>ROUND('Tableau plaquettes roto'!F4*(B1/('Coût pièce PCI 4 302 '!B1+'Cout pièce PCI 4 283'!B1+B1)),0)</f>
        <v>4</v>
      </c>
      <c r="O17" s="70">
        <f t="shared" si="5"/>
        <v>-1</v>
      </c>
    </row>
    <row r="18" spans="1:15" x14ac:dyDescent="0.25">
      <c r="A18" s="18" t="s">
        <v>39</v>
      </c>
      <c r="B18" s="18" t="s">
        <v>23</v>
      </c>
      <c r="C18" s="18" t="s">
        <v>78</v>
      </c>
      <c r="D18" s="18" t="s">
        <v>79</v>
      </c>
      <c r="E18" s="18">
        <v>2</v>
      </c>
      <c r="F18" s="18">
        <v>2</v>
      </c>
      <c r="G18" s="19">
        <v>12.18</v>
      </c>
      <c r="H18" s="61">
        <v>1500</v>
      </c>
      <c r="I18" s="17">
        <f t="shared" si="0"/>
        <v>8.1200000000000005E-3</v>
      </c>
      <c r="J18" s="16">
        <f>ROUND(J15*2/3,0)</f>
        <v>5</v>
      </c>
      <c r="K18" s="16">
        <f t="shared" si="2"/>
        <v>5</v>
      </c>
      <c r="L18" s="18">
        <f t="shared" si="3"/>
        <v>109.62</v>
      </c>
      <c r="M18" s="69">
        <f t="shared" si="4"/>
        <v>1.1745419479267117E-2</v>
      </c>
      <c r="N18" s="18">
        <f>ROUND('Tableau plaquettes roto'!F2*(B1/('Coût pièce PCI 4 302 '!B1+'Cout pièce PCI 4 283'!B1+B1)),0)</f>
        <v>9</v>
      </c>
      <c r="O18" s="70">
        <f t="shared" si="5"/>
        <v>4</v>
      </c>
    </row>
    <row r="19" spans="1:15" x14ac:dyDescent="0.25">
      <c r="A19" s="39" t="s">
        <v>101</v>
      </c>
      <c r="B19" s="39" t="s">
        <v>20</v>
      </c>
      <c r="C19" s="154" t="s">
        <v>82</v>
      </c>
      <c r="D19" s="39" t="s">
        <v>19</v>
      </c>
      <c r="E19" s="39">
        <v>1</v>
      </c>
      <c r="F19" s="39">
        <v>8</v>
      </c>
      <c r="G19" s="48">
        <v>9.56</v>
      </c>
      <c r="H19" s="61">
        <v>50</v>
      </c>
      <c r="I19" s="17">
        <f t="shared" si="0"/>
        <v>2.3900000000000001E-2</v>
      </c>
      <c r="J19" s="16">
        <f t="shared" si="1"/>
        <v>24</v>
      </c>
      <c r="K19" s="118">
        <f>SUM(J19:J20)</f>
        <v>48</v>
      </c>
      <c r="L19" s="154">
        <f>N19*G19</f>
        <v>478</v>
      </c>
      <c r="M19" s="156">
        <f>L19/$B$1</f>
        <v>5.1216114861245048E-2</v>
      </c>
      <c r="N19" s="154">
        <f>SUMIFS('Tableau plaquettes complet'!F:F,'Tableau plaquettes complet'!G:G,"PCI 4",'Tableau plaquettes complet'!H:H,"OP 40",'Tableau plaquettes complet'!J:J,"268x12",'Tableau plaquettes complet'!B:B,"Z000 513 527")</f>
        <v>50</v>
      </c>
      <c r="O19" s="150">
        <f>-(K19-N19)</f>
        <v>2</v>
      </c>
    </row>
    <row r="20" spans="1:15" x14ac:dyDescent="0.25">
      <c r="A20" s="39" t="s">
        <v>102</v>
      </c>
      <c r="B20" s="39" t="s">
        <v>20</v>
      </c>
      <c r="C20" s="155"/>
      <c r="D20" s="39" t="s">
        <v>19</v>
      </c>
      <c r="E20" s="39">
        <v>1</v>
      </c>
      <c r="F20" s="39">
        <v>8</v>
      </c>
      <c r="G20" s="48">
        <v>9.56</v>
      </c>
      <c r="H20" s="61">
        <v>50</v>
      </c>
      <c r="I20" s="17">
        <f t="shared" si="0"/>
        <v>2.3900000000000001E-2</v>
      </c>
      <c r="J20" s="16">
        <f t="shared" si="1"/>
        <v>24</v>
      </c>
      <c r="K20" s="135"/>
      <c r="L20" s="155"/>
      <c r="M20" s="157"/>
      <c r="N20" s="155"/>
      <c r="O20" s="151"/>
    </row>
    <row r="21" spans="1:15" x14ac:dyDescent="0.25">
      <c r="A21" s="39" t="s">
        <v>103</v>
      </c>
      <c r="B21" s="39" t="s">
        <v>20</v>
      </c>
      <c r="C21" s="39" t="s">
        <v>104</v>
      </c>
      <c r="D21" s="39" t="s">
        <v>25</v>
      </c>
      <c r="E21" s="39">
        <v>1</v>
      </c>
      <c r="F21" s="39">
        <v>8</v>
      </c>
      <c r="G21" s="48">
        <v>8.5</v>
      </c>
      <c r="H21" s="61">
        <v>150</v>
      </c>
      <c r="I21" s="17">
        <f t="shared" si="0"/>
        <v>7.083333333333333E-3</v>
      </c>
      <c r="J21" s="16">
        <f t="shared" si="1"/>
        <v>8</v>
      </c>
      <c r="K21" s="16">
        <f>J21</f>
        <v>8</v>
      </c>
      <c r="L21" s="39">
        <f>N21*G21</f>
        <v>42.5</v>
      </c>
      <c r="M21" s="67">
        <f t="shared" ref="M21:M22" si="6">L21/$B$1</f>
        <v>4.5537340619307837E-3</v>
      </c>
      <c r="N21" s="39">
        <f>SUMIFS('Tableau plaquettes complet'!F:F,'Tableau plaquettes complet'!G:G,"PCI 4",'Tableau plaquettes complet'!H:H,"OP 40",'Tableau plaquettes complet'!J:J,"268x12",'Tableau plaquettes complet'!B:B,"IM02 137 023")</f>
        <v>5</v>
      </c>
      <c r="O21" s="68">
        <f>-(K21-N21)</f>
        <v>-3</v>
      </c>
    </row>
    <row r="22" spans="1:15" ht="15.75" thickBot="1" x14ac:dyDescent="0.3">
      <c r="A22" s="39" t="s">
        <v>105</v>
      </c>
      <c r="B22" s="39" t="s">
        <v>20</v>
      </c>
      <c r="C22" s="39" t="s">
        <v>106</v>
      </c>
      <c r="D22" s="39" t="s">
        <v>21</v>
      </c>
      <c r="E22" s="39">
        <v>1</v>
      </c>
      <c r="F22" s="39">
        <v>6</v>
      </c>
      <c r="G22" s="48">
        <v>9.74</v>
      </c>
      <c r="H22" s="61">
        <v>150</v>
      </c>
      <c r="I22" s="17">
        <f t="shared" si="0"/>
        <v>1.0822222222222223E-2</v>
      </c>
      <c r="J22" s="16">
        <f t="shared" si="1"/>
        <v>11</v>
      </c>
      <c r="K22" s="16">
        <f>J22</f>
        <v>11</v>
      </c>
      <c r="L22" s="39">
        <f>N22*G22</f>
        <v>243.5</v>
      </c>
      <c r="M22" s="67">
        <f t="shared" si="6"/>
        <v>2.6090217507768135E-2</v>
      </c>
      <c r="N22" s="39">
        <f>SUMIFS('Tableau plaquettes complet'!F:F,'Tableau plaquettes complet'!G:G,"PCI 4",'Tableau plaquettes complet'!H:H,"OP 40",'Tableau plaquettes complet'!J:J,"268x12",'Tableau plaquettes complet'!B:B,"IM02 140 677")</f>
        <v>25</v>
      </c>
      <c r="O22" s="68">
        <f>-(K22-N22)</f>
        <v>14</v>
      </c>
    </row>
    <row r="23" spans="1:15" ht="15.75" thickBot="1" x14ac:dyDescent="0.3">
      <c r="I23" s="22">
        <f>SUM(I4:I22)</f>
        <v>0.21736444444444444</v>
      </c>
      <c r="J23" s="23">
        <f>SUM(J4:J22)</f>
        <v>215</v>
      </c>
      <c r="M23" s="25">
        <f>SUM(M4:M22)</f>
        <v>0.21243115825565201</v>
      </c>
      <c r="N23" s="26">
        <f>SUM(N4:N22)</f>
        <v>163</v>
      </c>
    </row>
    <row r="24" spans="1:15" x14ac:dyDescent="0.25">
      <c r="I24" s="44">
        <f>B1*I23</f>
        <v>2028.66236</v>
      </c>
      <c r="M24" s="44">
        <f>B1*M23</f>
        <v>1982.6200000000001</v>
      </c>
      <c r="N24" s="4"/>
    </row>
    <row r="27" spans="1:15" x14ac:dyDescent="0.25">
      <c r="H27" t="s">
        <v>89</v>
      </c>
      <c r="I27" t="s">
        <v>57</v>
      </c>
    </row>
    <row r="28" spans="1:15" x14ac:dyDescent="0.25">
      <c r="H28" t="s">
        <v>18</v>
      </c>
      <c r="I28">
        <f t="shared" ref="I28:I36" si="7">SUMIF($D$4:$D$22,TRIM(H28),$J$4:$J$22)</f>
        <v>64</v>
      </c>
      <c r="J28" s="72"/>
      <c r="K28" s="71"/>
      <c r="L28" s="71"/>
      <c r="M28" s="71"/>
      <c r="N28" s="72"/>
    </row>
    <row r="29" spans="1:15" x14ac:dyDescent="0.25">
      <c r="H29" t="s">
        <v>15</v>
      </c>
      <c r="I29">
        <f t="shared" si="7"/>
        <v>60</v>
      </c>
    </row>
    <row r="30" spans="1:15" x14ac:dyDescent="0.25">
      <c r="H30" t="s">
        <v>25</v>
      </c>
      <c r="I30">
        <f t="shared" si="7"/>
        <v>8</v>
      </c>
    </row>
    <row r="31" spans="1:15" x14ac:dyDescent="0.25">
      <c r="H31" s="18" t="s">
        <v>28</v>
      </c>
      <c r="I31">
        <f t="shared" si="7"/>
        <v>7</v>
      </c>
    </row>
    <row r="32" spans="1:15" x14ac:dyDescent="0.25">
      <c r="H32" s="18" t="s">
        <v>31</v>
      </c>
      <c r="I32">
        <f t="shared" si="7"/>
        <v>7</v>
      </c>
    </row>
    <row r="33" spans="8:9" x14ac:dyDescent="0.25">
      <c r="H33" t="s">
        <v>26</v>
      </c>
      <c r="I33">
        <f t="shared" si="7"/>
        <v>5</v>
      </c>
    </row>
    <row r="34" spans="8:9" x14ac:dyDescent="0.25">
      <c r="H34" t="s">
        <v>79</v>
      </c>
      <c r="I34">
        <f t="shared" si="7"/>
        <v>5</v>
      </c>
    </row>
    <row r="35" spans="8:9" x14ac:dyDescent="0.25">
      <c r="H35" t="s">
        <v>19</v>
      </c>
      <c r="I35">
        <f t="shared" si="7"/>
        <v>48</v>
      </c>
    </row>
    <row r="36" spans="8:9" x14ac:dyDescent="0.25">
      <c r="H36" t="s">
        <v>21</v>
      </c>
      <c r="I36">
        <f t="shared" si="7"/>
        <v>11</v>
      </c>
    </row>
  </sheetData>
  <mergeCells count="30">
    <mergeCell ref="O19:O20"/>
    <mergeCell ref="C12:C14"/>
    <mergeCell ref="K12:K14"/>
    <mergeCell ref="L12:L14"/>
    <mergeCell ref="M12:M14"/>
    <mergeCell ref="N12:N14"/>
    <mergeCell ref="O12:O14"/>
    <mergeCell ref="C19:C20"/>
    <mergeCell ref="K19:K20"/>
    <mergeCell ref="L19:L20"/>
    <mergeCell ref="M19:M20"/>
    <mergeCell ref="N19:N20"/>
    <mergeCell ref="O10:O11"/>
    <mergeCell ref="C6:C9"/>
    <mergeCell ref="K6:K9"/>
    <mergeCell ref="L6:L9"/>
    <mergeCell ref="M6:M9"/>
    <mergeCell ref="N6:N9"/>
    <mergeCell ref="O6:O9"/>
    <mergeCell ref="C10:C11"/>
    <mergeCell ref="K10:K11"/>
    <mergeCell ref="L10:L11"/>
    <mergeCell ref="M10:M11"/>
    <mergeCell ref="N10:N11"/>
    <mergeCell ref="O4:O5"/>
    <mergeCell ref="C4:C5"/>
    <mergeCell ref="K4:K5"/>
    <mergeCell ref="L4:L5"/>
    <mergeCell ref="M4:M5"/>
    <mergeCell ref="N4:N5"/>
  </mergeCells>
  <conditionalFormatting sqref="M23">
    <cfRule type="cellIs" dxfId="16" priority="1" operator="greaterThan">
      <formula>$I$23</formula>
    </cfRule>
    <cfRule type="cellIs" dxfId="15" priority="2" operator="lessThanOrEqual">
      <formula>$I$23</formula>
    </cfRule>
  </conditionalFormatting>
  <conditionalFormatting sqref="N23">
    <cfRule type="cellIs" dxfId="14" priority="3" operator="lessThanOrEqual">
      <formula>$J$23</formula>
    </cfRule>
    <cfRule type="cellIs" dxfId="13" priority="4" operator="greaterThan">
      <formula>$J$23</formula>
    </cfRule>
  </conditionalFormatting>
  <dataValidations count="3">
    <dataValidation type="list" allowBlank="1" showInputMessage="1" showErrorMessage="1" sqref="C4:C5" xr:uid="{00000000-0002-0000-0A00-000000000000}">
      <formula1>"CNMX120716T03030 SL506, CNMX120716T02020 KY3500"</formula1>
    </dataValidation>
    <dataValidation allowBlank="1" showInputMessage="1" showErrorMessage="1" prompt="IM02 140 678" sqref="D16 H32" xr:uid="{B58C2490-BAD9-4980-A1B6-7C54FA09982F}"/>
    <dataValidation allowBlank="1" showInputMessage="1" showErrorMessage="1" prompt="IM02 145 346" sqref="D15 H31" xr:uid="{D4BF235C-A1BC-4D14-974F-DF9C91E0CF1B}"/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5"/>
  <dimension ref="A1:P33"/>
  <sheetViews>
    <sheetView workbookViewId="0">
      <selection activeCell="B2" sqref="B2"/>
    </sheetView>
  </sheetViews>
  <sheetFormatPr baseColWidth="10" defaultColWidth="11.42578125" defaultRowHeight="15" x14ac:dyDescent="0.25"/>
  <cols>
    <col min="3" max="3" width="28.28515625" bestFit="1" customWidth="1"/>
    <col min="5" max="5" width="17" customWidth="1"/>
    <col min="9" max="9" width="12.140625" bestFit="1" customWidth="1"/>
    <col min="15" max="15" width="11.85546875" bestFit="1" customWidth="1"/>
  </cols>
  <sheetData>
    <row r="1" spans="1:16" x14ac:dyDescent="0.25">
      <c r="A1" s="28" t="s">
        <v>46</v>
      </c>
      <c r="B1" s="29">
        <v>2311</v>
      </c>
      <c r="P1" s="30"/>
    </row>
    <row r="2" spans="1:16" x14ac:dyDescent="0.25">
      <c r="C2" s="31" t="s">
        <v>107</v>
      </c>
      <c r="F2" s="31"/>
      <c r="H2" s="32"/>
      <c r="P2" s="31"/>
    </row>
    <row r="3" spans="1:16" ht="75" x14ac:dyDescent="0.25">
      <c r="A3" s="12" t="s">
        <v>48</v>
      </c>
      <c r="B3" s="12" t="s">
        <v>49</v>
      </c>
      <c r="C3" s="12" t="s">
        <v>50</v>
      </c>
      <c r="D3" s="12" t="s">
        <v>86</v>
      </c>
      <c r="E3" s="12" t="s">
        <v>51</v>
      </c>
      <c r="F3" s="12" t="s">
        <v>52</v>
      </c>
      <c r="G3" s="12" t="s">
        <v>53</v>
      </c>
      <c r="H3" s="12" t="s">
        <v>54</v>
      </c>
      <c r="I3" s="13" t="s">
        <v>55</v>
      </c>
      <c r="J3" s="13" t="s">
        <v>56</v>
      </c>
      <c r="K3" s="13" t="s">
        <v>57</v>
      </c>
      <c r="L3" s="13" t="s">
        <v>58</v>
      </c>
      <c r="M3" s="12" t="s">
        <v>59</v>
      </c>
      <c r="N3" s="12" t="s">
        <v>60</v>
      </c>
      <c r="O3" s="12" t="s">
        <v>61</v>
      </c>
      <c r="P3" s="12" t="s">
        <v>62</v>
      </c>
    </row>
    <row r="4" spans="1:16" x14ac:dyDescent="0.25">
      <c r="A4" s="33" t="s">
        <v>90</v>
      </c>
      <c r="B4" s="33" t="s">
        <v>17</v>
      </c>
      <c r="C4" s="116" t="s">
        <v>64</v>
      </c>
      <c r="D4" s="33">
        <v>1866311</v>
      </c>
      <c r="E4" s="33" t="s">
        <v>18</v>
      </c>
      <c r="F4" s="33">
        <v>1</v>
      </c>
      <c r="G4" s="33">
        <v>4</v>
      </c>
      <c r="H4" s="34">
        <v>7.96</v>
      </c>
      <c r="I4" s="35">
        <v>150</v>
      </c>
      <c r="J4" s="36">
        <f t="shared" ref="J4:J21" si="0">(F4*H4)/(G4*I4)</f>
        <v>1.3266666666666666E-2</v>
      </c>
      <c r="K4" s="37">
        <f t="shared" ref="K4:K21" si="1">(ROUNDUP($F4*$B$1/($G4*I4),0))</f>
        <v>4</v>
      </c>
      <c r="L4" s="118">
        <f>SUM(K4:K5)</f>
        <v>8</v>
      </c>
      <c r="M4" s="173">
        <f>O4*H4</f>
        <v>119.4</v>
      </c>
      <c r="N4" s="175">
        <f>M4/$B$1/2</f>
        <v>2.5832972739073996E-2</v>
      </c>
      <c r="O4" s="120">
        <f>SUMIFS('Tableau plaquettes complet'!F:F,'Tableau plaquettes complet'!G:G,"PCI 5",'Tableau plaquettes complet'!H:H,"OP 10",'Tableau plaquettes complet'!J:J,"304x28 RPE",'Tableau plaquettes complet'!B:B,"IM02 137 022")</f>
        <v>15</v>
      </c>
      <c r="P4" s="112">
        <f>-(L4-O4)</f>
        <v>7</v>
      </c>
    </row>
    <row r="5" spans="1:16" x14ac:dyDescent="0.25">
      <c r="A5" s="33" t="s">
        <v>91</v>
      </c>
      <c r="B5" s="33" t="s">
        <v>17</v>
      </c>
      <c r="C5" s="117"/>
      <c r="D5" s="33">
        <v>1866311</v>
      </c>
      <c r="E5" s="33" t="s">
        <v>18</v>
      </c>
      <c r="F5" s="33">
        <v>1</v>
      </c>
      <c r="G5" s="33">
        <v>4</v>
      </c>
      <c r="H5" s="34">
        <v>0</v>
      </c>
      <c r="I5" s="35">
        <v>150</v>
      </c>
      <c r="J5" s="36">
        <f t="shared" si="0"/>
        <v>0</v>
      </c>
      <c r="K5" s="37">
        <f t="shared" si="1"/>
        <v>4</v>
      </c>
      <c r="L5" s="135"/>
      <c r="M5" s="174"/>
      <c r="N5" s="176"/>
      <c r="O5" s="115"/>
      <c r="P5" s="114"/>
    </row>
    <row r="6" spans="1:16" x14ac:dyDescent="0.25">
      <c r="A6" s="33" t="s">
        <v>92</v>
      </c>
      <c r="B6" s="33" t="s">
        <v>17</v>
      </c>
      <c r="C6" s="116" t="s">
        <v>67</v>
      </c>
      <c r="D6" s="33">
        <v>1866357</v>
      </c>
      <c r="E6" s="33" t="s">
        <v>15</v>
      </c>
      <c r="F6" s="33">
        <v>1</v>
      </c>
      <c r="G6" s="33">
        <v>8</v>
      </c>
      <c r="H6" s="34">
        <v>7.96</v>
      </c>
      <c r="I6" s="35">
        <v>150</v>
      </c>
      <c r="J6" s="36">
        <f t="shared" si="0"/>
        <v>6.6333333333333331E-3</v>
      </c>
      <c r="K6" s="37">
        <f t="shared" si="1"/>
        <v>2</v>
      </c>
      <c r="L6" s="118">
        <f>SUM(K6:K9)</f>
        <v>10</v>
      </c>
      <c r="M6" s="173">
        <f>O6*H6</f>
        <v>119.4</v>
      </c>
      <c r="N6" s="109">
        <f>M6/$B$1</f>
        <v>5.1665945478147991E-2</v>
      </c>
      <c r="O6" s="120">
        <f>SUMIFS('Tableau plaquettes complet'!F:F,'Tableau plaquettes complet'!G:G,"PCI 5",'Tableau plaquettes complet'!H:H,"OP 10",'Tableau plaquettes complet'!J:J,"304x28 RPE",'Tableau plaquettes complet'!B:B,"IM02 137 021")</f>
        <v>15</v>
      </c>
      <c r="P6" s="112">
        <f>-(L6-O6)</f>
        <v>5</v>
      </c>
    </row>
    <row r="7" spans="1:16" x14ac:dyDescent="0.25">
      <c r="A7" s="33" t="s">
        <v>93</v>
      </c>
      <c r="B7" s="33" t="s">
        <v>17</v>
      </c>
      <c r="C7" s="121"/>
      <c r="D7" s="33">
        <v>1866357</v>
      </c>
      <c r="E7" s="33" t="s">
        <v>15</v>
      </c>
      <c r="F7" s="33">
        <v>1</v>
      </c>
      <c r="G7" s="33">
        <v>8</v>
      </c>
      <c r="H7" s="34">
        <v>7.96</v>
      </c>
      <c r="I7" s="35">
        <v>150</v>
      </c>
      <c r="J7" s="36">
        <f t="shared" si="0"/>
        <v>6.6333333333333331E-3</v>
      </c>
      <c r="K7" s="37">
        <f t="shared" si="1"/>
        <v>2</v>
      </c>
      <c r="L7" s="134"/>
      <c r="M7" s="177"/>
      <c r="N7" s="110"/>
      <c r="O7" s="125"/>
      <c r="P7" s="113"/>
    </row>
    <row r="8" spans="1:16" x14ac:dyDescent="0.25">
      <c r="A8" s="33" t="s">
        <v>94</v>
      </c>
      <c r="B8" s="33" t="s">
        <v>17</v>
      </c>
      <c r="C8" s="121"/>
      <c r="D8" s="33">
        <v>1866357</v>
      </c>
      <c r="E8" s="33" t="s">
        <v>15</v>
      </c>
      <c r="F8" s="33">
        <v>1</v>
      </c>
      <c r="G8" s="33">
        <v>8</v>
      </c>
      <c r="H8" s="34">
        <v>7.96</v>
      </c>
      <c r="I8" s="35">
        <v>100</v>
      </c>
      <c r="J8" s="36">
        <f t="shared" si="0"/>
        <v>9.9500000000000005E-3</v>
      </c>
      <c r="K8" s="37">
        <f t="shared" si="1"/>
        <v>3</v>
      </c>
      <c r="L8" s="134"/>
      <c r="M8" s="177"/>
      <c r="N8" s="110"/>
      <c r="O8" s="125"/>
      <c r="P8" s="113"/>
    </row>
    <row r="9" spans="1:16" x14ac:dyDescent="0.25">
      <c r="A9" s="33" t="s">
        <v>95</v>
      </c>
      <c r="B9" s="33" t="s">
        <v>17</v>
      </c>
      <c r="C9" s="117"/>
      <c r="D9" s="33">
        <v>1866357</v>
      </c>
      <c r="E9" s="33" t="s">
        <v>15</v>
      </c>
      <c r="F9" s="33">
        <v>1</v>
      </c>
      <c r="G9" s="33">
        <v>8</v>
      </c>
      <c r="H9" s="34">
        <v>7.96</v>
      </c>
      <c r="I9" s="35">
        <v>100</v>
      </c>
      <c r="J9" s="36">
        <f t="shared" si="0"/>
        <v>9.9500000000000005E-3</v>
      </c>
      <c r="K9" s="37">
        <f t="shared" si="1"/>
        <v>3</v>
      </c>
      <c r="L9" s="135"/>
      <c r="M9" s="174"/>
      <c r="N9" s="111"/>
      <c r="O9" s="115"/>
      <c r="P9" s="114"/>
    </row>
    <row r="10" spans="1:16" x14ac:dyDescent="0.25">
      <c r="A10" s="38" t="s">
        <v>108</v>
      </c>
      <c r="B10" s="38" t="s">
        <v>13</v>
      </c>
      <c r="C10" s="39" t="s">
        <v>109</v>
      </c>
      <c r="D10" s="38">
        <v>2659241</v>
      </c>
      <c r="E10" s="38" t="s">
        <v>11</v>
      </c>
      <c r="F10" s="38">
        <v>1</v>
      </c>
      <c r="G10" s="38">
        <v>2</v>
      </c>
      <c r="H10" s="40">
        <v>18.8</v>
      </c>
      <c r="I10" s="41">
        <v>75</v>
      </c>
      <c r="J10" s="36">
        <f t="shared" si="0"/>
        <v>0.12533333333333332</v>
      </c>
      <c r="K10" s="37">
        <f t="shared" si="1"/>
        <v>16</v>
      </c>
      <c r="L10" s="16">
        <f>SUM(K10)</f>
        <v>16</v>
      </c>
      <c r="M10" s="52">
        <f>O10*H10</f>
        <v>564</v>
      </c>
      <c r="N10" s="53">
        <f>M10/$B$1</f>
        <v>0.24405019472090003</v>
      </c>
      <c r="O10" s="54">
        <f>SUMIFS('Tableau plaquettes complet'!F:F,'Tableau plaquettes complet'!G:G,"PCI 5",'Tableau plaquettes complet'!H:H,"OP 20",'Tableau plaquettes complet'!J:J,"304x28 RPE",'Tableau plaquettes complet'!B:B,"IM02 137 020")</f>
        <v>30</v>
      </c>
      <c r="P10" s="55">
        <f>-(L10-O10)</f>
        <v>14</v>
      </c>
    </row>
    <row r="11" spans="1:16" x14ac:dyDescent="0.25">
      <c r="A11" s="38" t="s">
        <v>96</v>
      </c>
      <c r="B11" s="38" t="s">
        <v>13</v>
      </c>
      <c r="C11" s="45" t="s">
        <v>64</v>
      </c>
      <c r="D11" s="38">
        <v>1866311</v>
      </c>
      <c r="E11" s="38" t="s">
        <v>18</v>
      </c>
      <c r="F11" s="38">
        <v>1</v>
      </c>
      <c r="G11" s="38">
        <v>4</v>
      </c>
      <c r="H11" s="40">
        <v>7.96</v>
      </c>
      <c r="I11" s="41">
        <v>150</v>
      </c>
      <c r="J11" s="36">
        <f t="shared" si="0"/>
        <v>1.3266666666666666E-2</v>
      </c>
      <c r="K11" s="37">
        <f t="shared" si="1"/>
        <v>4</v>
      </c>
      <c r="L11" s="46">
        <f>SUM(K11:K11)</f>
        <v>4</v>
      </c>
      <c r="M11" s="56">
        <f>O11*H11</f>
        <v>119.4</v>
      </c>
      <c r="N11" s="58">
        <f>M11/$B$1</f>
        <v>5.1665945478147991E-2</v>
      </c>
      <c r="O11" s="59">
        <f>SUMIFS('Tableau plaquettes complet'!F:F,'Tableau plaquettes complet'!G:G,"PCI 5",'Tableau plaquettes complet'!H:H,"OP 20",'Tableau plaquettes complet'!J:J,"304x28 RPE",'Tableau plaquettes complet'!B:B,"IM02 137 022")</f>
        <v>15</v>
      </c>
      <c r="P11" s="57">
        <f>-(L11-O11)</f>
        <v>11</v>
      </c>
    </row>
    <row r="12" spans="1:16" x14ac:dyDescent="0.25">
      <c r="A12" s="38" t="s">
        <v>98</v>
      </c>
      <c r="B12" s="38" t="s">
        <v>13</v>
      </c>
      <c r="C12" s="154" t="s">
        <v>67</v>
      </c>
      <c r="D12" s="38">
        <v>1866357</v>
      </c>
      <c r="E12" s="38" t="s">
        <v>15</v>
      </c>
      <c r="F12" s="38">
        <v>1</v>
      </c>
      <c r="G12" s="38">
        <v>8</v>
      </c>
      <c r="H12" s="40">
        <v>7.96</v>
      </c>
      <c r="I12" s="41">
        <v>150</v>
      </c>
      <c r="J12" s="36">
        <f t="shared" si="0"/>
        <v>6.6333333333333331E-3</v>
      </c>
      <c r="K12" s="37">
        <f t="shared" si="1"/>
        <v>2</v>
      </c>
      <c r="L12" s="118">
        <f>SUM(K12:K14)</f>
        <v>5</v>
      </c>
      <c r="M12" s="163">
        <f>O12*H12</f>
        <v>79.599999999999994</v>
      </c>
      <c r="N12" s="166">
        <f>M12/$B$1</f>
        <v>3.4443963652098654E-2</v>
      </c>
      <c r="O12" s="169">
        <f>SUMIFS('Tableau plaquettes complet'!F:F,'Tableau plaquettes complet'!G:G,"PCI 5",'Tableau plaquettes complet'!H:H,"OP 20",'Tableau plaquettes complet'!J:J,"304x28 RPE",'Tableau plaquettes complet'!B:B,"IM02 137 021")</f>
        <v>10</v>
      </c>
      <c r="P12" s="161">
        <f>-(L12-O12)</f>
        <v>5</v>
      </c>
    </row>
    <row r="13" spans="1:16" x14ac:dyDescent="0.25">
      <c r="A13" s="38" t="s">
        <v>99</v>
      </c>
      <c r="B13" s="38" t="s">
        <v>13</v>
      </c>
      <c r="C13" s="158"/>
      <c r="D13" s="38">
        <v>1866357</v>
      </c>
      <c r="E13" s="38" t="s">
        <v>15</v>
      </c>
      <c r="F13" s="38">
        <v>1</v>
      </c>
      <c r="G13" s="38">
        <v>8</v>
      </c>
      <c r="H13" s="40">
        <v>7.96</v>
      </c>
      <c r="I13" s="41">
        <v>150</v>
      </c>
      <c r="J13" s="36">
        <f t="shared" si="0"/>
        <v>6.6333333333333331E-3</v>
      </c>
      <c r="K13" s="37">
        <f t="shared" si="1"/>
        <v>2</v>
      </c>
      <c r="L13" s="134"/>
      <c r="M13" s="164"/>
      <c r="N13" s="167"/>
      <c r="O13" s="170"/>
      <c r="P13" s="172"/>
    </row>
    <row r="14" spans="1:16" x14ac:dyDescent="0.25">
      <c r="A14" s="38" t="s">
        <v>100</v>
      </c>
      <c r="B14" s="38" t="s">
        <v>13</v>
      </c>
      <c r="C14" s="155"/>
      <c r="D14" s="38">
        <v>1866357</v>
      </c>
      <c r="E14" s="38" t="s">
        <v>15</v>
      </c>
      <c r="F14" s="38">
        <v>1</v>
      </c>
      <c r="G14" s="38">
        <v>8</v>
      </c>
      <c r="H14" s="40">
        <v>7.96</v>
      </c>
      <c r="I14" s="41">
        <v>300</v>
      </c>
      <c r="J14" s="36">
        <f t="shared" si="0"/>
        <v>3.3166666666666665E-3</v>
      </c>
      <c r="K14" s="37">
        <f t="shared" si="1"/>
        <v>1</v>
      </c>
      <c r="L14" s="135"/>
      <c r="M14" s="165"/>
      <c r="N14" s="168"/>
      <c r="O14" s="171"/>
      <c r="P14" s="162"/>
    </row>
    <row r="15" spans="1:16" x14ac:dyDescent="0.25">
      <c r="A15" s="33" t="s">
        <v>110</v>
      </c>
      <c r="B15" s="33" t="s">
        <v>23</v>
      </c>
      <c r="C15" s="18" t="s">
        <v>28</v>
      </c>
      <c r="D15" s="33">
        <v>7013305</v>
      </c>
      <c r="E15" s="18" t="s">
        <v>28</v>
      </c>
      <c r="F15" s="33">
        <v>1</v>
      </c>
      <c r="G15" s="33">
        <v>1</v>
      </c>
      <c r="H15" s="19">
        <v>48.5</v>
      </c>
      <c r="I15" s="41">
        <v>1500</v>
      </c>
      <c r="J15" s="36">
        <f t="shared" si="0"/>
        <v>3.2333333333333332E-2</v>
      </c>
      <c r="K15" s="37">
        <f t="shared" si="1"/>
        <v>2</v>
      </c>
      <c r="L15" s="16">
        <f>SUM(K15)</f>
        <v>2</v>
      </c>
      <c r="M15" s="51">
        <f>O15*H15</f>
        <v>48.5</v>
      </c>
      <c r="N15" s="50">
        <f>M15/$B$1</f>
        <v>2.0986585893552574E-2</v>
      </c>
      <c r="O15" s="47">
        <f>ROUND('Tableau plaquettes roto'!F7*(B1/('Coût pièce PCI 5 304'!B1+'Coût pièce PCI 5 268'!B1)),0)</f>
        <v>1</v>
      </c>
      <c r="P15" s="49">
        <f>-(L15-O15)</f>
        <v>-1</v>
      </c>
    </row>
    <row r="16" spans="1:16" x14ac:dyDescent="0.25">
      <c r="A16" s="33" t="s">
        <v>111</v>
      </c>
      <c r="B16" s="33" t="s">
        <v>23</v>
      </c>
      <c r="C16" s="18" t="s">
        <v>31</v>
      </c>
      <c r="D16" s="33">
        <v>7013308</v>
      </c>
      <c r="E16" s="18" t="s">
        <v>31</v>
      </c>
      <c r="F16" s="33">
        <v>1</v>
      </c>
      <c r="G16" s="33">
        <v>1</v>
      </c>
      <c r="H16" s="34">
        <v>46.95</v>
      </c>
      <c r="I16" s="41">
        <v>1500</v>
      </c>
      <c r="J16" s="36">
        <f t="shared" si="0"/>
        <v>3.1300000000000001E-2</v>
      </c>
      <c r="K16" s="37">
        <f t="shared" si="1"/>
        <v>2</v>
      </c>
      <c r="L16" s="16">
        <f t="shared" ref="L16:L18" si="2">SUM(K16)</f>
        <v>2</v>
      </c>
      <c r="M16" s="51">
        <f t="shared" ref="M16:M18" si="3">O16*H16</f>
        <v>93.9</v>
      </c>
      <c r="N16" s="50">
        <f t="shared" ref="N16:N18" si="4">M16/$B$1</f>
        <v>4.0631761142362617E-2</v>
      </c>
      <c r="O16" s="47">
        <f>ROUND('Tableau plaquettes roto'!F9*(B1/('Coût pièce PCI 5 304'!B1+'Coût pièce PCI 5 268'!B1)),0)</f>
        <v>2</v>
      </c>
      <c r="P16" s="49">
        <f>-(L16-O16)</f>
        <v>0</v>
      </c>
    </row>
    <row r="17" spans="1:16" x14ac:dyDescent="0.25">
      <c r="A17" s="33" t="s">
        <v>111</v>
      </c>
      <c r="B17" s="33" t="s">
        <v>23</v>
      </c>
      <c r="C17" s="18" t="s">
        <v>77</v>
      </c>
      <c r="D17" s="33">
        <v>2383518</v>
      </c>
      <c r="E17" s="33" t="s">
        <v>26</v>
      </c>
      <c r="F17" s="33">
        <v>2</v>
      </c>
      <c r="G17" s="33">
        <v>3</v>
      </c>
      <c r="H17" s="34">
        <v>8.15</v>
      </c>
      <c r="I17" s="41">
        <v>1500</v>
      </c>
      <c r="J17" s="36">
        <f t="shared" si="0"/>
        <v>3.6222222222222224E-3</v>
      </c>
      <c r="K17" s="16">
        <f>ROUND(K16*2/3,0)</f>
        <v>1</v>
      </c>
      <c r="L17" s="16">
        <f t="shared" si="2"/>
        <v>1</v>
      </c>
      <c r="M17" s="51">
        <f t="shared" si="3"/>
        <v>8.15</v>
      </c>
      <c r="N17" s="50">
        <f t="shared" si="4"/>
        <v>3.5266118563392472E-3</v>
      </c>
      <c r="O17" s="47">
        <f>ROUND('Tableau plaquettes roto'!F8*(B1/('Coût pièce PCI 5 304'!B1+'Coût pièce PCI 5 268'!B1)),0)</f>
        <v>1</v>
      </c>
      <c r="P17" s="49">
        <f t="shared" ref="P17:P18" si="5">-(L17-O17)</f>
        <v>0</v>
      </c>
    </row>
    <row r="18" spans="1:16" x14ac:dyDescent="0.25">
      <c r="A18" s="33" t="s">
        <v>110</v>
      </c>
      <c r="B18" s="33" t="s">
        <v>23</v>
      </c>
      <c r="C18" s="18" t="s">
        <v>78</v>
      </c>
      <c r="D18" s="33">
        <v>5661211</v>
      </c>
      <c r="E18" s="33" t="s">
        <v>79</v>
      </c>
      <c r="F18" s="33">
        <v>2</v>
      </c>
      <c r="G18" s="33">
        <v>2</v>
      </c>
      <c r="H18" s="34">
        <v>12.18</v>
      </c>
      <c r="I18" s="41">
        <v>1500</v>
      </c>
      <c r="J18" s="36">
        <f t="shared" si="0"/>
        <v>8.1200000000000005E-3</v>
      </c>
      <c r="K18" s="16">
        <f>ROUND(K15*2/3,0)</f>
        <v>1</v>
      </c>
      <c r="L18" s="16">
        <f t="shared" si="2"/>
        <v>1</v>
      </c>
      <c r="M18" s="51">
        <f t="shared" si="3"/>
        <v>12.18</v>
      </c>
      <c r="N18" s="50">
        <f t="shared" si="4"/>
        <v>5.2704456945045436E-3</v>
      </c>
      <c r="O18" s="47">
        <f>ROUND('Tableau plaquettes roto'!F6*(B1/('Coût pièce PCI 5 304'!B1+'Coût pièce PCI 5 268'!B1)),0)</f>
        <v>1</v>
      </c>
      <c r="P18" s="49">
        <f t="shared" si="5"/>
        <v>0</v>
      </c>
    </row>
    <row r="19" spans="1:16" x14ac:dyDescent="0.25">
      <c r="A19" s="38" t="s">
        <v>101</v>
      </c>
      <c r="B19" s="38" t="s">
        <v>20</v>
      </c>
      <c r="C19" s="154" t="s">
        <v>82</v>
      </c>
      <c r="D19" s="38">
        <v>3850635</v>
      </c>
      <c r="E19" s="38" t="s">
        <v>83</v>
      </c>
      <c r="F19" s="38">
        <v>1</v>
      </c>
      <c r="G19" s="38">
        <v>8</v>
      </c>
      <c r="H19" s="40">
        <v>9.56</v>
      </c>
      <c r="I19" s="41">
        <v>50</v>
      </c>
      <c r="J19" s="36">
        <f t="shared" si="0"/>
        <v>2.3900000000000001E-2</v>
      </c>
      <c r="K19" s="37">
        <f t="shared" si="1"/>
        <v>6</v>
      </c>
      <c r="L19" s="118">
        <f>SUM(K19:K20)</f>
        <v>12</v>
      </c>
      <c r="M19" s="163">
        <f>O19*H19</f>
        <v>143.4</v>
      </c>
      <c r="N19" s="166">
        <f>M19/$B$1</f>
        <v>6.2051060147122458E-2</v>
      </c>
      <c r="O19" s="169">
        <f>SUMIFS('Tableau plaquettes complet'!F:F,'Tableau plaquettes complet'!G:G,"PCI 5",'Tableau plaquettes complet'!H:H,"OP 40",'Tableau plaquettes complet'!J:J,"304x28 RPE",'Tableau plaquettes complet'!B:B,"Z000 513 527")</f>
        <v>15</v>
      </c>
      <c r="P19" s="161">
        <f>-(L19-O19)</f>
        <v>3</v>
      </c>
    </row>
    <row r="20" spans="1:16" x14ac:dyDescent="0.25">
      <c r="A20" s="38" t="s">
        <v>102</v>
      </c>
      <c r="B20" s="38" t="s">
        <v>20</v>
      </c>
      <c r="C20" s="155"/>
      <c r="D20" s="38">
        <v>3850635</v>
      </c>
      <c r="E20" s="38" t="s">
        <v>83</v>
      </c>
      <c r="F20" s="38">
        <v>1</v>
      </c>
      <c r="G20" s="38">
        <v>8</v>
      </c>
      <c r="H20" s="40">
        <v>9.56</v>
      </c>
      <c r="I20" s="41">
        <v>50</v>
      </c>
      <c r="J20" s="36">
        <f t="shared" si="0"/>
        <v>2.3900000000000001E-2</v>
      </c>
      <c r="K20" s="37">
        <f t="shared" si="1"/>
        <v>6</v>
      </c>
      <c r="L20" s="135"/>
      <c r="M20" s="165"/>
      <c r="N20" s="168"/>
      <c r="O20" s="171"/>
      <c r="P20" s="162"/>
    </row>
    <row r="21" spans="1:16" ht="15.75" thickBot="1" x14ac:dyDescent="0.3">
      <c r="A21" s="38" t="s">
        <v>112</v>
      </c>
      <c r="B21" s="38" t="s">
        <v>20</v>
      </c>
      <c r="C21" s="39" t="s">
        <v>64</v>
      </c>
      <c r="D21" s="38">
        <v>1866311</v>
      </c>
      <c r="E21" s="38" t="s">
        <v>18</v>
      </c>
      <c r="F21" s="38">
        <v>1</v>
      </c>
      <c r="G21" s="38">
        <v>4</v>
      </c>
      <c r="H21" s="40">
        <v>7.96</v>
      </c>
      <c r="I21" s="41">
        <v>150</v>
      </c>
      <c r="J21" s="42">
        <f t="shared" si="0"/>
        <v>1.3266666666666666E-2</v>
      </c>
      <c r="K21" s="37">
        <f t="shared" si="1"/>
        <v>4</v>
      </c>
      <c r="L21" s="16">
        <f t="shared" ref="L21" si="6">SUM(K21)</f>
        <v>4</v>
      </c>
      <c r="M21" s="52">
        <f>O21*H21</f>
        <v>119.4</v>
      </c>
      <c r="N21" s="58">
        <f>M21/$B$1</f>
        <v>5.1665945478147991E-2</v>
      </c>
      <c r="O21" s="59">
        <f>SUMIFS('Tableau plaquettes complet'!F:F,'Tableau plaquettes complet'!G:G,"PCI 5",'Tableau plaquettes complet'!H:H,"OP 40",'Tableau plaquettes complet'!J:J,"304x28 RPE",'Tableau plaquettes complet'!B:B,"Z000 513 527")</f>
        <v>15</v>
      </c>
      <c r="P21" s="55">
        <f>-(L21-O21)</f>
        <v>11</v>
      </c>
    </row>
    <row r="22" spans="1:16" ht="15.75" thickBot="1" x14ac:dyDescent="0.3">
      <c r="J22" s="22">
        <f>SUM(J4:J21)</f>
        <v>0.33805888888888885</v>
      </c>
      <c r="K22" s="23">
        <f>SUM(K4:K21)</f>
        <v>65</v>
      </c>
      <c r="L22" s="43"/>
      <c r="M22" s="43"/>
      <c r="N22" s="25">
        <f>SUM(N4:N21)</f>
        <v>0.5917914322803981</v>
      </c>
      <c r="O22" s="26">
        <f>SUM(O4:O21)</f>
        <v>120</v>
      </c>
    </row>
    <row r="23" spans="1:16" x14ac:dyDescent="0.25">
      <c r="J23" s="27">
        <f>B1*J22</f>
        <v>781.25409222222208</v>
      </c>
      <c r="N23" s="44">
        <f>B1*N22</f>
        <v>1367.63</v>
      </c>
    </row>
    <row r="25" spans="1:16" x14ac:dyDescent="0.25">
      <c r="I25" t="s">
        <v>89</v>
      </c>
      <c r="J25" t="s">
        <v>57</v>
      </c>
    </row>
    <row r="26" spans="1:16" x14ac:dyDescent="0.25">
      <c r="I26" t="s">
        <v>18</v>
      </c>
      <c r="J26">
        <f>SUMIF($E$4:$E$21,TRIM(I26),$K$4:$K$21)</f>
        <v>16</v>
      </c>
    </row>
    <row r="27" spans="1:16" x14ac:dyDescent="0.25">
      <c r="I27" t="s">
        <v>15</v>
      </c>
      <c r="J27">
        <f t="shared" ref="J27" si="7">SUMIF($E$4:$E$21,TRIM(I27),$K$4:$K$21)</f>
        <v>15</v>
      </c>
    </row>
    <row r="28" spans="1:16" x14ac:dyDescent="0.25">
      <c r="I28" s="18" t="s">
        <v>28</v>
      </c>
      <c r="J28">
        <f>SUMIF($E$4:$E$21,TRIM(I28),$K$4:$K$21)</f>
        <v>2</v>
      </c>
    </row>
    <row r="29" spans="1:16" x14ac:dyDescent="0.25">
      <c r="I29" s="18" t="s">
        <v>31</v>
      </c>
      <c r="J29">
        <f>SUMIF($E$4:$E$21,TRIM(I29),$K$4:$K$21)</f>
        <v>2</v>
      </c>
    </row>
    <row r="30" spans="1:16" x14ac:dyDescent="0.25">
      <c r="I30" t="s">
        <v>26</v>
      </c>
      <c r="J30">
        <f>SUMIF($E$4:$E$21,TRIM(I30),$K$4:$K$21)</f>
        <v>1</v>
      </c>
    </row>
    <row r="31" spans="1:16" x14ac:dyDescent="0.25">
      <c r="I31" t="s">
        <v>79</v>
      </c>
      <c r="J31">
        <f>SUMIF($E$4:$E$21,TRIM(I31),$K$4:$K$21)</f>
        <v>1</v>
      </c>
    </row>
    <row r="32" spans="1:16" x14ac:dyDescent="0.25">
      <c r="I32" t="s">
        <v>19</v>
      </c>
      <c r="J32">
        <f>SUMIF($E$4:$E$21,TRIM(I32),$K$4:$K$21)</f>
        <v>0</v>
      </c>
    </row>
    <row r="33" spans="9:10" x14ac:dyDescent="0.25">
      <c r="I33" t="s">
        <v>11</v>
      </c>
      <c r="J33">
        <f t="shared" ref="J33" si="8">SUMIF($E$4:$E$21,TRIM(I33),$K$4:$K$21)</f>
        <v>16</v>
      </c>
    </row>
  </sheetData>
  <mergeCells count="24">
    <mergeCell ref="P6:P9"/>
    <mergeCell ref="P4:P5"/>
    <mergeCell ref="C4:C5"/>
    <mergeCell ref="L4:L5"/>
    <mergeCell ref="M4:M5"/>
    <mergeCell ref="N4:N5"/>
    <mergeCell ref="O4:O5"/>
    <mergeCell ref="C6:C9"/>
    <mergeCell ref="L6:L9"/>
    <mergeCell ref="M6:M9"/>
    <mergeCell ref="N6:N9"/>
    <mergeCell ref="O6:O9"/>
    <mergeCell ref="P19:P20"/>
    <mergeCell ref="C12:C14"/>
    <mergeCell ref="L12:L14"/>
    <mergeCell ref="M12:M14"/>
    <mergeCell ref="N12:N14"/>
    <mergeCell ref="O12:O14"/>
    <mergeCell ref="P12:P14"/>
    <mergeCell ref="C19:C20"/>
    <mergeCell ref="L19:L20"/>
    <mergeCell ref="M19:M20"/>
    <mergeCell ref="N19:N20"/>
    <mergeCell ref="O19:O20"/>
  </mergeCells>
  <conditionalFormatting sqref="N22">
    <cfRule type="cellIs" dxfId="12" priority="1" operator="greaterThan">
      <formula>$J$22</formula>
    </cfRule>
    <cfRule type="cellIs" dxfId="11" priority="2" operator="lessThanOrEqual">
      <formula>$J$22</formula>
    </cfRule>
  </conditionalFormatting>
  <conditionalFormatting sqref="O22">
    <cfRule type="cellIs" dxfId="10" priority="3" operator="lessThanOrEqual">
      <formula>$K$22</formula>
    </cfRule>
    <cfRule type="cellIs" dxfId="9" priority="4" operator="greaterThan">
      <formula>$K$22</formula>
    </cfRule>
  </conditionalFormatting>
  <dataValidations count="2">
    <dataValidation allowBlank="1" showInputMessage="1" showErrorMessage="1" prompt="IM02 140 678" sqref="E16 I29" xr:uid="{E2DE0580-D7B9-46AF-83DE-9CDEF06FF697}"/>
    <dataValidation allowBlank="1" showInputMessage="1" showErrorMessage="1" prompt="IM02 145 346" sqref="E15 I28" xr:uid="{0B55D6D6-A2DD-4702-8322-E6B6BB5F0C5A}"/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6"/>
  <dimension ref="A1:O35"/>
  <sheetViews>
    <sheetView zoomScale="112" workbookViewId="0">
      <selection activeCell="B2" sqref="B2"/>
    </sheetView>
  </sheetViews>
  <sheetFormatPr baseColWidth="10" defaultColWidth="11.42578125" defaultRowHeight="15" x14ac:dyDescent="0.25"/>
  <cols>
    <col min="3" max="3" width="26.7109375" bestFit="1" customWidth="1"/>
    <col min="4" max="4" width="12.140625" bestFit="1" customWidth="1"/>
    <col min="8" max="8" width="12.28515625" bestFit="1" customWidth="1"/>
    <col min="9" max="9" width="15.85546875" bestFit="1" customWidth="1"/>
    <col min="14" max="14" width="11.85546875" bestFit="1" customWidth="1"/>
    <col min="15" max="15" width="16.85546875" bestFit="1" customWidth="1"/>
  </cols>
  <sheetData>
    <row r="1" spans="1:15" x14ac:dyDescent="0.25">
      <c r="A1" s="28" t="s">
        <v>46</v>
      </c>
      <c r="B1" s="29">
        <v>6157</v>
      </c>
      <c r="N1" s="4"/>
    </row>
    <row r="2" spans="1:15" x14ac:dyDescent="0.25">
      <c r="C2" s="31" t="s">
        <v>88</v>
      </c>
      <c r="E2" s="31"/>
      <c r="G2" s="32"/>
      <c r="N2" s="4"/>
    </row>
    <row r="3" spans="1:15" ht="60" x14ac:dyDescent="0.25">
      <c r="A3" s="12" t="s">
        <v>48</v>
      </c>
      <c r="B3" s="12" t="s">
        <v>49</v>
      </c>
      <c r="C3" s="12" t="s">
        <v>50</v>
      </c>
      <c r="D3" s="12" t="s">
        <v>89</v>
      </c>
      <c r="E3" s="12" t="s">
        <v>52</v>
      </c>
      <c r="F3" s="12" t="s">
        <v>53</v>
      </c>
      <c r="G3" s="12" t="s">
        <v>54</v>
      </c>
      <c r="H3" s="13" t="s">
        <v>55</v>
      </c>
      <c r="I3" s="13" t="s">
        <v>56</v>
      </c>
      <c r="J3" s="13" t="s">
        <v>57</v>
      </c>
      <c r="K3" s="13" t="s">
        <v>58</v>
      </c>
      <c r="L3" s="12" t="s">
        <v>87</v>
      </c>
      <c r="M3" s="12" t="s">
        <v>60</v>
      </c>
      <c r="N3" s="12" t="s">
        <v>61</v>
      </c>
      <c r="O3" s="12" t="s">
        <v>62</v>
      </c>
    </row>
    <row r="4" spans="1:15" x14ac:dyDescent="0.25">
      <c r="A4" s="18" t="s">
        <v>90</v>
      </c>
      <c r="B4" s="18" t="s">
        <v>17</v>
      </c>
      <c r="C4" s="116" t="s">
        <v>64</v>
      </c>
      <c r="D4" s="18" t="str">
        <f>IF($C$4="CNMX120716T02020 KY3500", "IM02 137 022","Z000 546 265")</f>
        <v>IM02 137 022</v>
      </c>
      <c r="E4" s="18">
        <v>1</v>
      </c>
      <c r="F4" s="18">
        <v>4</v>
      </c>
      <c r="G4" s="19">
        <f>IF($C$4="CNMX120716T02020 KY3500", 7.96, 7)</f>
        <v>7.96</v>
      </c>
      <c r="H4" s="60">
        <v>150</v>
      </c>
      <c r="I4" s="17">
        <f t="shared" ref="I4:I22" si="0">(E4*G4)/(F4*H4)</f>
        <v>1.3266666666666666E-2</v>
      </c>
      <c r="J4" s="16">
        <f t="shared" ref="J4:J22" si="1">(ROUNDUP($E4*$B$1/($F4*H4),0))</f>
        <v>11</v>
      </c>
      <c r="K4" s="118">
        <f>SUM(J4:J5)</f>
        <v>22</v>
      </c>
      <c r="L4" s="120">
        <f>G4*N4</f>
        <v>39.799999999999997</v>
      </c>
      <c r="M4" s="109">
        <f>L4/$B$1/2</f>
        <v>3.2320935520545719E-3</v>
      </c>
      <c r="N4" s="120">
        <f>SUMIFS('Tableau plaquettes complet'!F:F,'Tableau plaquettes complet'!G:G,"PCI 5",'Tableau plaquettes complet'!H:H,"OP 10",'Tableau plaquettes complet'!J:J,"268x12",'Tableau plaquettes complet'!B:B,D4)</f>
        <v>5</v>
      </c>
      <c r="O4" s="112">
        <f>-(K4-N4)</f>
        <v>-17</v>
      </c>
    </row>
    <row r="5" spans="1:15" x14ac:dyDescent="0.25">
      <c r="A5" s="18" t="s">
        <v>91</v>
      </c>
      <c r="B5" s="18" t="s">
        <v>17</v>
      </c>
      <c r="C5" s="117"/>
      <c r="D5" s="18" t="str">
        <f>IF($C$4="CNMX120716T02020 KY3500", "IM02 137 022","Z000 546 265")</f>
        <v>IM02 137 022</v>
      </c>
      <c r="E5" s="18">
        <v>1</v>
      </c>
      <c r="F5" s="18">
        <v>4</v>
      </c>
      <c r="G5" s="19">
        <v>0</v>
      </c>
      <c r="H5" s="60">
        <v>150</v>
      </c>
      <c r="I5" s="17">
        <f t="shared" si="0"/>
        <v>0</v>
      </c>
      <c r="J5" s="16">
        <f t="shared" si="1"/>
        <v>11</v>
      </c>
      <c r="K5" s="135"/>
      <c r="L5" s="115"/>
      <c r="M5" s="111"/>
      <c r="N5" s="115"/>
      <c r="O5" s="114"/>
    </row>
    <row r="6" spans="1:15" x14ac:dyDescent="0.25">
      <c r="A6" s="18" t="s">
        <v>92</v>
      </c>
      <c r="B6" s="18" t="s">
        <v>17</v>
      </c>
      <c r="C6" s="116" t="s">
        <v>67</v>
      </c>
      <c r="D6" s="33" t="s">
        <v>15</v>
      </c>
      <c r="E6" s="18">
        <v>1</v>
      </c>
      <c r="F6" s="18">
        <v>8</v>
      </c>
      <c r="G6" s="19">
        <v>7.96</v>
      </c>
      <c r="H6" s="60">
        <v>150</v>
      </c>
      <c r="I6" s="17">
        <f t="shared" si="0"/>
        <v>6.6333333333333331E-3</v>
      </c>
      <c r="J6" s="16">
        <f t="shared" si="1"/>
        <v>6</v>
      </c>
      <c r="K6" s="118">
        <f>SUM(J6:J9)</f>
        <v>28</v>
      </c>
      <c r="L6" s="120">
        <f>N6*G6</f>
        <v>39.799999999999997</v>
      </c>
      <c r="M6" s="109">
        <f>L6/$B$1</f>
        <v>6.4641871041091438E-3</v>
      </c>
      <c r="N6" s="120">
        <f>SUMIFS('Tableau plaquettes complet'!F:F,'Tableau plaquettes complet'!G:G,"PCI 5",'Tableau plaquettes complet'!H:H,"OP 10",'Tableau plaquettes complet'!J:J,"268x12",'Tableau plaquettes complet'!B:B,"IM02 137 021")</f>
        <v>5</v>
      </c>
      <c r="O6" s="112">
        <f>-(K6-N6)</f>
        <v>-23</v>
      </c>
    </row>
    <row r="7" spans="1:15" x14ac:dyDescent="0.25">
      <c r="A7" s="18" t="s">
        <v>93</v>
      </c>
      <c r="B7" s="18" t="s">
        <v>17</v>
      </c>
      <c r="C7" s="121"/>
      <c r="D7" s="33" t="s">
        <v>15</v>
      </c>
      <c r="E7" s="18">
        <v>1</v>
      </c>
      <c r="F7" s="18">
        <v>8</v>
      </c>
      <c r="G7" s="19">
        <v>7.96</v>
      </c>
      <c r="H7" s="60">
        <v>150</v>
      </c>
      <c r="I7" s="17">
        <f t="shared" si="0"/>
        <v>6.6333333333333331E-3</v>
      </c>
      <c r="J7" s="16">
        <f t="shared" si="1"/>
        <v>6</v>
      </c>
      <c r="K7" s="134"/>
      <c r="L7" s="125"/>
      <c r="M7" s="110"/>
      <c r="N7" s="125"/>
      <c r="O7" s="113"/>
    </row>
    <row r="8" spans="1:15" x14ac:dyDescent="0.25">
      <c r="A8" s="18" t="s">
        <v>94</v>
      </c>
      <c r="B8" s="18" t="s">
        <v>17</v>
      </c>
      <c r="C8" s="121"/>
      <c r="D8" s="33" t="s">
        <v>15</v>
      </c>
      <c r="E8" s="18">
        <v>1</v>
      </c>
      <c r="F8" s="18">
        <v>8</v>
      </c>
      <c r="G8" s="19">
        <v>7.96</v>
      </c>
      <c r="H8" s="60">
        <v>100</v>
      </c>
      <c r="I8" s="17">
        <f t="shared" si="0"/>
        <v>9.9500000000000005E-3</v>
      </c>
      <c r="J8" s="16">
        <f t="shared" si="1"/>
        <v>8</v>
      </c>
      <c r="K8" s="134"/>
      <c r="L8" s="125"/>
      <c r="M8" s="110"/>
      <c r="N8" s="125"/>
      <c r="O8" s="113"/>
    </row>
    <row r="9" spans="1:15" x14ac:dyDescent="0.25">
      <c r="A9" s="18" t="s">
        <v>95</v>
      </c>
      <c r="B9" s="18" t="s">
        <v>17</v>
      </c>
      <c r="C9" s="117"/>
      <c r="D9" s="33" t="s">
        <v>15</v>
      </c>
      <c r="E9" s="18">
        <v>1</v>
      </c>
      <c r="F9" s="18">
        <v>8</v>
      </c>
      <c r="G9" s="19">
        <v>7.96</v>
      </c>
      <c r="H9" s="60">
        <v>100</v>
      </c>
      <c r="I9" s="17">
        <f t="shared" si="0"/>
        <v>9.9500000000000005E-3</v>
      </c>
      <c r="J9" s="16">
        <f t="shared" si="1"/>
        <v>8</v>
      </c>
      <c r="K9" s="135"/>
      <c r="L9" s="115"/>
      <c r="M9" s="111"/>
      <c r="N9" s="115"/>
      <c r="O9" s="114"/>
    </row>
    <row r="10" spans="1:15" x14ac:dyDescent="0.25">
      <c r="A10" s="39" t="s">
        <v>96</v>
      </c>
      <c r="B10" s="39" t="s">
        <v>13</v>
      </c>
      <c r="C10" s="154" t="s">
        <v>64</v>
      </c>
      <c r="D10" s="38" t="str">
        <f>IF($C$10="CNMX120716T02020 KY3500", "IM02 137 022","Z000 546 265")</f>
        <v>IM02 137 022</v>
      </c>
      <c r="E10" s="39">
        <v>1</v>
      </c>
      <c r="F10" s="39">
        <v>4</v>
      </c>
      <c r="G10" s="48">
        <v>7.96</v>
      </c>
      <c r="H10" s="61">
        <v>150</v>
      </c>
      <c r="I10" s="17">
        <f t="shared" si="0"/>
        <v>1.3266666666666666E-2</v>
      </c>
      <c r="J10" s="16">
        <f t="shared" si="1"/>
        <v>11</v>
      </c>
      <c r="K10" s="118">
        <f>SUM(J10:J11)</f>
        <v>22</v>
      </c>
      <c r="L10" s="169">
        <f>N10*G10</f>
        <v>39.799999999999997</v>
      </c>
      <c r="M10" s="166">
        <f>L10/$B$1/2</f>
        <v>3.2320935520545719E-3</v>
      </c>
      <c r="N10" s="169">
        <f>SUMIFS('Tableau plaquettes complet'!F:F,'Tableau plaquettes complet'!G:G,"PCI 5",'Tableau plaquettes complet'!H:H,"OP 20",'Tableau plaquettes complet'!J:J,"268x12",'Tableau plaquettes complet'!B:B,"IM02 137 022")</f>
        <v>5</v>
      </c>
      <c r="O10" s="161">
        <f>-(K10-N10)</f>
        <v>-17</v>
      </c>
    </row>
    <row r="11" spans="1:15" x14ac:dyDescent="0.25">
      <c r="A11" s="39" t="s">
        <v>97</v>
      </c>
      <c r="B11" s="39" t="s">
        <v>13</v>
      </c>
      <c r="C11" s="155"/>
      <c r="D11" s="38" t="str">
        <f>IF($C$10="CNMX120716T02020 KY3500", "IM02 137 022","Z000 546 265")</f>
        <v>IM02 137 022</v>
      </c>
      <c r="E11" s="39">
        <v>1</v>
      </c>
      <c r="F11" s="39">
        <v>4</v>
      </c>
      <c r="G11" s="48">
        <v>0</v>
      </c>
      <c r="H11" s="61">
        <v>150</v>
      </c>
      <c r="I11" s="17">
        <f t="shared" si="0"/>
        <v>0</v>
      </c>
      <c r="J11" s="16">
        <f t="shared" si="1"/>
        <v>11</v>
      </c>
      <c r="K11" s="135"/>
      <c r="L11" s="171"/>
      <c r="M11" s="168"/>
      <c r="N11" s="171"/>
      <c r="O11" s="162"/>
    </row>
    <row r="12" spans="1:15" x14ac:dyDescent="0.25">
      <c r="A12" s="39" t="s">
        <v>98</v>
      </c>
      <c r="B12" s="39" t="s">
        <v>13</v>
      </c>
      <c r="C12" s="154" t="s">
        <v>67</v>
      </c>
      <c r="D12" s="38" t="s">
        <v>15</v>
      </c>
      <c r="E12" s="39">
        <v>1</v>
      </c>
      <c r="F12" s="39">
        <v>8</v>
      </c>
      <c r="G12" s="48">
        <v>7.96</v>
      </c>
      <c r="H12" s="61">
        <v>150</v>
      </c>
      <c r="I12" s="17">
        <f t="shared" si="0"/>
        <v>6.6333333333333331E-3</v>
      </c>
      <c r="J12" s="16">
        <f t="shared" si="1"/>
        <v>6</v>
      </c>
      <c r="K12" s="118">
        <f>SUM(J12:J14)</f>
        <v>15</v>
      </c>
      <c r="L12" s="169">
        <f>N12*G12</f>
        <v>79.599999999999994</v>
      </c>
      <c r="M12" s="166">
        <f>L12/$B$1</f>
        <v>1.2928374208218288E-2</v>
      </c>
      <c r="N12" s="169">
        <f>SUMIFS('Tableau plaquettes complet'!F:F,'Tableau plaquettes complet'!G:G,"PCI 5",'Tableau plaquettes complet'!H:H,"OP 20",'Tableau plaquettes complet'!J:J,"268x12",'Tableau plaquettes complet'!B:B,"IM02 137 021")</f>
        <v>10</v>
      </c>
      <c r="O12" s="161">
        <f>-(K12-N12)</f>
        <v>-5</v>
      </c>
    </row>
    <row r="13" spans="1:15" x14ac:dyDescent="0.25">
      <c r="A13" s="39" t="s">
        <v>99</v>
      </c>
      <c r="B13" s="39" t="s">
        <v>13</v>
      </c>
      <c r="C13" s="158"/>
      <c r="D13" s="38" t="s">
        <v>15</v>
      </c>
      <c r="E13" s="39">
        <v>1</v>
      </c>
      <c r="F13" s="39">
        <v>8</v>
      </c>
      <c r="G13" s="48">
        <v>7.96</v>
      </c>
      <c r="H13" s="61">
        <v>150</v>
      </c>
      <c r="I13" s="17">
        <f t="shared" si="0"/>
        <v>6.6333333333333331E-3</v>
      </c>
      <c r="J13" s="16">
        <f t="shared" si="1"/>
        <v>6</v>
      </c>
      <c r="K13" s="134"/>
      <c r="L13" s="170"/>
      <c r="M13" s="167"/>
      <c r="N13" s="170"/>
      <c r="O13" s="172"/>
    </row>
    <row r="14" spans="1:15" x14ac:dyDescent="0.25">
      <c r="A14" s="39" t="s">
        <v>100</v>
      </c>
      <c r="B14" s="39" t="s">
        <v>13</v>
      </c>
      <c r="C14" s="155"/>
      <c r="D14" s="38" t="s">
        <v>15</v>
      </c>
      <c r="E14" s="39">
        <v>1</v>
      </c>
      <c r="F14" s="39">
        <v>8</v>
      </c>
      <c r="G14" s="48">
        <v>7.96</v>
      </c>
      <c r="H14" s="61">
        <v>300</v>
      </c>
      <c r="I14" s="17">
        <f t="shared" si="0"/>
        <v>3.3166666666666665E-3</v>
      </c>
      <c r="J14" s="16">
        <f t="shared" si="1"/>
        <v>3</v>
      </c>
      <c r="K14" s="135"/>
      <c r="L14" s="171"/>
      <c r="M14" s="168"/>
      <c r="N14" s="171"/>
      <c r="O14" s="162"/>
    </row>
    <row r="15" spans="1:15" x14ac:dyDescent="0.25">
      <c r="A15" s="18" t="s">
        <v>110</v>
      </c>
      <c r="B15" s="18" t="s">
        <v>23</v>
      </c>
      <c r="C15" s="18" t="s">
        <v>28</v>
      </c>
      <c r="D15" s="18" t="s">
        <v>28</v>
      </c>
      <c r="E15" s="18">
        <v>1</v>
      </c>
      <c r="F15" s="18">
        <v>1</v>
      </c>
      <c r="G15" s="19">
        <v>48.5</v>
      </c>
      <c r="H15" s="61">
        <v>1500</v>
      </c>
      <c r="I15" s="17">
        <f t="shared" si="0"/>
        <v>3.2333333333333332E-2</v>
      </c>
      <c r="J15" s="16">
        <f t="shared" si="1"/>
        <v>5</v>
      </c>
      <c r="K15" s="16">
        <f>J15</f>
        <v>5</v>
      </c>
      <c r="L15" s="51">
        <f>N15*G15</f>
        <v>145.5</v>
      </c>
      <c r="M15" s="50">
        <f>L15/$B$1</f>
        <v>2.3631638785122623E-2</v>
      </c>
      <c r="N15" s="47">
        <f>ROUND('Tableau plaquettes roto'!F7*(B1/('Coût pièce PCI 5 304'!B1+'Coût pièce PCI 5 268'!B1)),0)</f>
        <v>3</v>
      </c>
      <c r="O15" s="49">
        <f>-(K15-N15)</f>
        <v>-2</v>
      </c>
    </row>
    <row r="16" spans="1:15" x14ac:dyDescent="0.25">
      <c r="A16" s="18" t="s">
        <v>111</v>
      </c>
      <c r="B16" s="18" t="s">
        <v>23</v>
      </c>
      <c r="C16" s="18" t="s">
        <v>31</v>
      </c>
      <c r="D16" s="18" t="s">
        <v>31</v>
      </c>
      <c r="E16" s="18">
        <v>1</v>
      </c>
      <c r="F16" s="18">
        <v>1</v>
      </c>
      <c r="G16" s="19">
        <v>46.95</v>
      </c>
      <c r="H16" s="61">
        <v>1500</v>
      </c>
      <c r="I16" s="17">
        <f t="shared" si="0"/>
        <v>3.1300000000000001E-2</v>
      </c>
      <c r="J16" s="16">
        <f t="shared" si="1"/>
        <v>5</v>
      </c>
      <c r="K16" s="16">
        <f t="shared" ref="K16:K18" si="2">J16</f>
        <v>5</v>
      </c>
      <c r="L16" s="51">
        <f t="shared" ref="L16:L18" si="3">N16*G16</f>
        <v>187.8</v>
      </c>
      <c r="M16" s="50">
        <f t="shared" ref="M16:M18" si="4">L16/$B$1</f>
        <v>3.0501867792756213E-2</v>
      </c>
      <c r="N16" s="47">
        <f>ROUND('Tableau plaquettes roto'!F9*(B1/('Coût pièce PCI 5 304'!B1+'Coût pièce PCI 5 268'!B1)),0)</f>
        <v>4</v>
      </c>
      <c r="O16" s="49">
        <f t="shared" ref="O16:O18" si="5">-(K16-N16)</f>
        <v>-1</v>
      </c>
    </row>
    <row r="17" spans="1:15" x14ac:dyDescent="0.25">
      <c r="A17" s="18" t="s">
        <v>111</v>
      </c>
      <c r="B17" s="18" t="s">
        <v>23</v>
      </c>
      <c r="C17" s="18" t="s">
        <v>77</v>
      </c>
      <c r="D17" s="33" t="s">
        <v>26</v>
      </c>
      <c r="E17" s="18">
        <v>2</v>
      </c>
      <c r="F17" s="18">
        <v>3</v>
      </c>
      <c r="G17" s="19">
        <v>8.15</v>
      </c>
      <c r="H17" s="61">
        <v>1500</v>
      </c>
      <c r="I17" s="17">
        <f t="shared" si="0"/>
        <v>3.6222222222222224E-3</v>
      </c>
      <c r="J17" s="16">
        <f>ROUND(J16*2/3,0)</f>
        <v>3</v>
      </c>
      <c r="K17" s="16">
        <f t="shared" si="2"/>
        <v>3</v>
      </c>
      <c r="L17" s="51">
        <f t="shared" si="3"/>
        <v>24.450000000000003</v>
      </c>
      <c r="M17" s="50">
        <f t="shared" si="4"/>
        <v>3.9710898164690605E-3</v>
      </c>
      <c r="N17" s="47">
        <f>ROUND('Tableau plaquettes roto'!F8*(B1/('Coût pièce PCI 5 304'!B1+'Coût pièce PCI 5 268'!B1)),0)</f>
        <v>3</v>
      </c>
      <c r="O17" s="49">
        <f t="shared" si="5"/>
        <v>0</v>
      </c>
    </row>
    <row r="18" spans="1:15" x14ac:dyDescent="0.25">
      <c r="A18" s="18" t="s">
        <v>110</v>
      </c>
      <c r="B18" s="18" t="s">
        <v>23</v>
      </c>
      <c r="C18" s="18" t="s">
        <v>78</v>
      </c>
      <c r="D18" s="33" t="s">
        <v>79</v>
      </c>
      <c r="E18" s="18">
        <v>2</v>
      </c>
      <c r="F18" s="18">
        <v>2</v>
      </c>
      <c r="G18" s="19">
        <v>12.18</v>
      </c>
      <c r="H18" s="61">
        <v>1500</v>
      </c>
      <c r="I18" s="17">
        <f t="shared" si="0"/>
        <v>8.1200000000000005E-3</v>
      </c>
      <c r="J18" s="16">
        <f>ROUND(J15*2/3,0)</f>
        <v>3</v>
      </c>
      <c r="K18" s="16">
        <f t="shared" si="2"/>
        <v>3</v>
      </c>
      <c r="L18" s="51">
        <f t="shared" si="3"/>
        <v>36.54</v>
      </c>
      <c r="M18" s="50">
        <f t="shared" si="4"/>
        <v>5.9347084619132693E-3</v>
      </c>
      <c r="N18" s="47">
        <f>ROUND('Tableau plaquettes roto'!F6*(B1/('Coût pièce PCI 5 304'!B1+'Coût pièce PCI 5 268'!B1)),0)</f>
        <v>3</v>
      </c>
      <c r="O18" s="49">
        <f t="shared" si="5"/>
        <v>0</v>
      </c>
    </row>
    <row r="19" spans="1:15" x14ac:dyDescent="0.25">
      <c r="A19" s="39" t="s">
        <v>101</v>
      </c>
      <c r="B19" s="39" t="s">
        <v>20</v>
      </c>
      <c r="C19" s="154" t="str">
        <f>IF(D19 = "Z000 513 527", "1743941 KY3500", "SCGN090408F85Z025 SL500")</f>
        <v>1743941 KY3500</v>
      </c>
      <c r="D19" s="154" t="s">
        <v>19</v>
      </c>
      <c r="E19" s="39">
        <v>1</v>
      </c>
      <c r="F19" s="39">
        <f>IF(D19="Z000 513 527",8,4)</f>
        <v>8</v>
      </c>
      <c r="G19" s="48">
        <f>IF(D19="Z000 513 527",9.56,8.7)</f>
        <v>9.56</v>
      </c>
      <c r="H19" s="61">
        <v>50</v>
      </c>
      <c r="I19" s="17">
        <f t="shared" si="0"/>
        <v>2.3900000000000001E-2</v>
      </c>
      <c r="J19" s="16">
        <f t="shared" si="1"/>
        <v>16</v>
      </c>
      <c r="K19" s="118">
        <f>SUM(J19:J20)</f>
        <v>32</v>
      </c>
      <c r="L19" s="169">
        <f>N19*G19</f>
        <v>334.6</v>
      </c>
      <c r="M19" s="166">
        <f>L19/$B$1</f>
        <v>5.4344648367711551E-2</v>
      </c>
      <c r="N19" s="169">
        <f>IF(D19="Z000 513 527",SUMIFS('Tableau plaquettes complet'!F:F,'Tableau plaquettes complet'!G:G,"PCI 5",'Tableau plaquettes complet'!H:H,"OP 40",'Tableau plaquettes complet'!J:J,"268x12",'Tableau plaquettes complet'!B:B,"Z000 513 527"),SUMIFS('Tableau plaquettes complet'!F:F,'Tableau plaquettes complet'!G:G,"PCI 5",'Tableau plaquettes complet'!H:H,"OP 40",'Tableau plaquettes complet'!J:J,"268x12",'Tableau plaquettes complet'!B:B,"Z000 539 100"))</f>
        <v>35</v>
      </c>
      <c r="O19" s="161">
        <f>-(K19-N19)</f>
        <v>3</v>
      </c>
    </row>
    <row r="20" spans="1:15" x14ac:dyDescent="0.25">
      <c r="A20" s="39" t="s">
        <v>102</v>
      </c>
      <c r="B20" s="39" t="s">
        <v>20</v>
      </c>
      <c r="C20" s="155"/>
      <c r="D20" s="155"/>
      <c r="E20" s="39">
        <v>1</v>
      </c>
      <c r="F20" s="39">
        <f>IF(D19="Z000 513 527",8,4)</f>
        <v>8</v>
      </c>
      <c r="G20" s="48">
        <f>IF(D19="Z000 513 527",9.56,8.7)</f>
        <v>9.56</v>
      </c>
      <c r="H20" s="61">
        <v>50</v>
      </c>
      <c r="I20" s="17">
        <f t="shared" si="0"/>
        <v>2.3900000000000001E-2</v>
      </c>
      <c r="J20" s="16">
        <f t="shared" si="1"/>
        <v>16</v>
      </c>
      <c r="K20" s="135"/>
      <c r="L20" s="171"/>
      <c r="M20" s="168"/>
      <c r="N20" s="171"/>
      <c r="O20" s="162"/>
    </row>
    <row r="21" spans="1:15" x14ac:dyDescent="0.25">
      <c r="A21" s="39" t="s">
        <v>103</v>
      </c>
      <c r="B21" s="39" t="s">
        <v>20</v>
      </c>
      <c r="C21" s="39" t="s">
        <v>104</v>
      </c>
      <c r="D21" s="39" t="s">
        <v>25</v>
      </c>
      <c r="E21" s="39">
        <v>1</v>
      </c>
      <c r="F21" s="39">
        <v>8</v>
      </c>
      <c r="G21" s="48">
        <v>8.5</v>
      </c>
      <c r="H21" s="61">
        <v>150</v>
      </c>
      <c r="I21" s="17">
        <f t="shared" si="0"/>
        <v>7.083333333333333E-3</v>
      </c>
      <c r="J21" s="16">
        <f t="shared" si="1"/>
        <v>6</v>
      </c>
      <c r="K21" s="16">
        <f>J21</f>
        <v>6</v>
      </c>
      <c r="L21" s="54">
        <f>N21*G21</f>
        <v>42.5</v>
      </c>
      <c r="M21" s="53">
        <f t="shared" ref="M21:M22" si="6">L21/$B$1</f>
        <v>6.9027123599155436E-3</v>
      </c>
      <c r="N21" s="54">
        <f>SUMIFS('Tableau plaquettes complet'!F:F,'Tableau plaquettes complet'!G:G,"PCI 5",'Tableau plaquettes complet'!H:H,"OP 40",'Tableau plaquettes complet'!J:J,"268x12",'Tableau plaquettes complet'!B:B,"IM02 137 023")</f>
        <v>5</v>
      </c>
      <c r="O21" s="55">
        <f>-(K21-N21)</f>
        <v>-1</v>
      </c>
    </row>
    <row r="22" spans="1:15" ht="15.75" thickBot="1" x14ac:dyDescent="0.3">
      <c r="A22" s="39" t="s">
        <v>105</v>
      </c>
      <c r="B22" s="39" t="s">
        <v>20</v>
      </c>
      <c r="C22" s="39" t="s">
        <v>106</v>
      </c>
      <c r="D22" s="39" t="s">
        <v>21</v>
      </c>
      <c r="E22" s="39">
        <v>1</v>
      </c>
      <c r="F22" s="39">
        <v>6</v>
      </c>
      <c r="G22" s="48">
        <v>9.74</v>
      </c>
      <c r="H22" s="61">
        <v>150</v>
      </c>
      <c r="I22" s="17">
        <f t="shared" si="0"/>
        <v>1.0822222222222223E-2</v>
      </c>
      <c r="J22" s="16">
        <f t="shared" si="1"/>
        <v>7</v>
      </c>
      <c r="K22" s="16">
        <f>J22</f>
        <v>7</v>
      </c>
      <c r="L22" s="54">
        <f>N22*G22</f>
        <v>48.7</v>
      </c>
      <c r="M22" s="53">
        <f t="shared" si="6"/>
        <v>7.909696280656164E-3</v>
      </c>
      <c r="N22" s="54">
        <f>SUMIFS('Tableau plaquettes complet'!F:F,'Tableau plaquettes complet'!G:G,"PCI 5",'Tableau plaquettes complet'!H:H,"OP 40",'Tableau plaquettes complet'!J:J,"268x12",'Tableau plaquettes complet'!B:B,"IM02 140 677")</f>
        <v>5</v>
      </c>
      <c r="O22" s="55">
        <f>-(K22-N22)</f>
        <v>-2</v>
      </c>
    </row>
    <row r="23" spans="1:15" ht="15.75" thickBot="1" x14ac:dyDescent="0.3">
      <c r="I23" s="22">
        <f>SUM(I4:I22)</f>
        <v>0.21736444444444444</v>
      </c>
      <c r="J23" s="23">
        <f>SUM(J4:J22)</f>
        <v>148</v>
      </c>
      <c r="M23" s="66">
        <f>SUM(M4:M22)</f>
        <v>0.15905311028098099</v>
      </c>
      <c r="N23" s="26">
        <f>SUM(N4:N22)</f>
        <v>83</v>
      </c>
    </row>
    <row r="24" spans="1:15" x14ac:dyDescent="0.25">
      <c r="I24" s="44">
        <f>B1*I23</f>
        <v>1338.3128844444445</v>
      </c>
      <c r="M24" s="44">
        <f>B1*M23</f>
        <v>979.29</v>
      </c>
      <c r="N24" s="4"/>
    </row>
    <row r="26" spans="1:15" x14ac:dyDescent="0.25">
      <c r="H26" t="s">
        <v>89</v>
      </c>
      <c r="I26" t="s">
        <v>57</v>
      </c>
    </row>
    <row r="27" spans="1:15" x14ac:dyDescent="0.25">
      <c r="H27" t="s">
        <v>18</v>
      </c>
      <c r="I27">
        <f>SUMIF($D$4:$D$22,TRIM(H27),$J$4:$J$22)</f>
        <v>44</v>
      </c>
    </row>
    <row r="28" spans="1:15" x14ac:dyDescent="0.25">
      <c r="H28" t="s">
        <v>15</v>
      </c>
      <c r="I28">
        <f t="shared" ref="I28:I35" si="7">SUMIF($D$4:$D$22,TRIM(H28),$J$4:$J$22)</f>
        <v>43</v>
      </c>
    </row>
    <row r="29" spans="1:15" x14ac:dyDescent="0.25">
      <c r="H29" t="s">
        <v>25</v>
      </c>
      <c r="I29">
        <f t="shared" si="7"/>
        <v>6</v>
      </c>
    </row>
    <row r="30" spans="1:15" x14ac:dyDescent="0.25">
      <c r="H30" s="18" t="s">
        <v>28</v>
      </c>
      <c r="I30">
        <f t="shared" si="7"/>
        <v>5</v>
      </c>
    </row>
    <row r="31" spans="1:15" x14ac:dyDescent="0.25">
      <c r="H31" s="18" t="s">
        <v>31</v>
      </c>
      <c r="I31">
        <f t="shared" si="7"/>
        <v>5</v>
      </c>
    </row>
    <row r="32" spans="1:15" x14ac:dyDescent="0.25">
      <c r="H32" t="s">
        <v>26</v>
      </c>
      <c r="I32">
        <f t="shared" si="7"/>
        <v>3</v>
      </c>
    </row>
    <row r="33" spans="8:9" x14ac:dyDescent="0.25">
      <c r="H33" t="s">
        <v>79</v>
      </c>
      <c r="I33">
        <f t="shared" si="7"/>
        <v>3</v>
      </c>
    </row>
    <row r="34" spans="8:9" x14ac:dyDescent="0.25">
      <c r="H34" t="s">
        <v>19</v>
      </c>
      <c r="I34">
        <f>SUMIF($D$4:$D$22,TRIM(H34),$J$4:$J$22)</f>
        <v>16</v>
      </c>
    </row>
    <row r="35" spans="8:9" x14ac:dyDescent="0.25">
      <c r="H35" t="s">
        <v>21</v>
      </c>
      <c r="I35">
        <f t="shared" si="7"/>
        <v>7</v>
      </c>
    </row>
  </sheetData>
  <mergeCells count="31">
    <mergeCell ref="O19:O20"/>
    <mergeCell ref="C12:C14"/>
    <mergeCell ref="K12:K14"/>
    <mergeCell ref="L12:L14"/>
    <mergeCell ref="M12:M14"/>
    <mergeCell ref="N12:N14"/>
    <mergeCell ref="O12:O14"/>
    <mergeCell ref="C19:C20"/>
    <mergeCell ref="K19:K20"/>
    <mergeCell ref="L19:L20"/>
    <mergeCell ref="M19:M20"/>
    <mergeCell ref="N19:N20"/>
    <mergeCell ref="D19:D20"/>
    <mergeCell ref="O10:O11"/>
    <mergeCell ref="C6:C9"/>
    <mergeCell ref="K6:K9"/>
    <mergeCell ref="L6:L9"/>
    <mergeCell ref="M6:M9"/>
    <mergeCell ref="N6:N9"/>
    <mergeCell ref="O6:O9"/>
    <mergeCell ref="C10:C11"/>
    <mergeCell ref="K10:K11"/>
    <mergeCell ref="L10:L11"/>
    <mergeCell ref="M10:M11"/>
    <mergeCell ref="N10:N11"/>
    <mergeCell ref="O4:O5"/>
    <mergeCell ref="C4:C5"/>
    <mergeCell ref="K4:K5"/>
    <mergeCell ref="L4:L5"/>
    <mergeCell ref="M4:M5"/>
    <mergeCell ref="N4:N5"/>
  </mergeCells>
  <conditionalFormatting sqref="M23">
    <cfRule type="cellIs" dxfId="8" priority="1" operator="greaterThan">
      <formula>$I$23</formula>
    </cfRule>
    <cfRule type="cellIs" dxfId="7" priority="2" operator="lessThanOrEqual">
      <formula>$I$23</formula>
    </cfRule>
  </conditionalFormatting>
  <conditionalFormatting sqref="N23">
    <cfRule type="cellIs" dxfId="6" priority="3" operator="lessThan">
      <formula>$J$23</formula>
    </cfRule>
    <cfRule type="cellIs" dxfId="5" priority="4" operator="greaterThan">
      <formula>$J$23</formula>
    </cfRule>
  </conditionalFormatting>
  <dataValidations count="4">
    <dataValidation type="list" allowBlank="1" showInputMessage="1" showErrorMessage="1" sqref="C4:C5" xr:uid="{00000000-0002-0000-0C00-000000000000}">
      <formula1>"CNMX120716T03030 SL506, CNMX120716T02020 KY3500"</formula1>
    </dataValidation>
    <dataValidation type="list" allowBlank="1" showInputMessage="1" showErrorMessage="1" sqref="D19:D20" xr:uid="{00000000-0002-0000-0C00-000001000000}">
      <formula1>"Z000 513 527, Z000 539 100"</formula1>
    </dataValidation>
    <dataValidation allowBlank="1" showInputMessage="1" showErrorMessage="1" prompt="IM02 140 678" sqref="D16 H31" xr:uid="{6BFAE7C3-6C15-4024-9697-80C31B165945}"/>
    <dataValidation allowBlank="1" showInputMessage="1" showErrorMessage="1" prompt="IM02 145 346" sqref="D15 H30" xr:uid="{74AC2475-1CA1-4897-98C4-77961056246A}"/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7"/>
  <dimension ref="A1:D47"/>
  <sheetViews>
    <sheetView topLeftCell="A18" zoomScale="117" workbookViewId="0">
      <selection activeCell="B36" sqref="B36"/>
    </sheetView>
  </sheetViews>
  <sheetFormatPr baseColWidth="10" defaultColWidth="11.42578125" defaultRowHeight="15" x14ac:dyDescent="0.25"/>
  <cols>
    <col min="1" max="1" width="12.42578125" bestFit="1" customWidth="1"/>
    <col min="2" max="2" width="19.7109375" bestFit="1" customWidth="1"/>
  </cols>
  <sheetData>
    <row r="1" spans="1:4" x14ac:dyDescent="0.25">
      <c r="A1" s="10" t="s">
        <v>113</v>
      </c>
      <c r="B1" s="64" t="s">
        <v>114</v>
      </c>
      <c r="C1" s="64" t="s">
        <v>46</v>
      </c>
    </row>
    <row r="2" spans="1:4" x14ac:dyDescent="0.25">
      <c r="A2" s="4">
        <v>3</v>
      </c>
      <c r="B2" s="65">
        <v>4916.37</v>
      </c>
      <c r="C2" s="31">
        <v>16360</v>
      </c>
    </row>
    <row r="3" spans="1:4" x14ac:dyDescent="0.25">
      <c r="A3" s="4">
        <v>4</v>
      </c>
      <c r="B3" s="65">
        <v>5864.93</v>
      </c>
      <c r="C3" s="31">
        <v>20296</v>
      </c>
    </row>
    <row r="4" spans="1:4" x14ac:dyDescent="0.25">
      <c r="A4" s="4">
        <v>5</v>
      </c>
      <c r="B4" s="65">
        <v>7343.72</v>
      </c>
      <c r="C4" s="31">
        <v>25465</v>
      </c>
    </row>
    <row r="5" spans="1:4" x14ac:dyDescent="0.25">
      <c r="A5" s="4">
        <v>6</v>
      </c>
      <c r="B5" s="65">
        <v>8326.86</v>
      </c>
      <c r="C5" s="31">
        <v>25133</v>
      </c>
    </row>
    <row r="6" spans="1:4" x14ac:dyDescent="0.25">
      <c r="A6" s="4">
        <v>7</v>
      </c>
      <c r="B6" s="65">
        <v>6622.58</v>
      </c>
      <c r="C6" s="31">
        <v>22343</v>
      </c>
    </row>
    <row r="7" spans="1:4" x14ac:dyDescent="0.25">
      <c r="A7" s="4">
        <v>8</v>
      </c>
      <c r="B7" s="65">
        <v>9106.83</v>
      </c>
      <c r="C7" s="31">
        <v>25170</v>
      </c>
      <c r="D7" s="30"/>
    </row>
    <row r="8" spans="1:4" x14ac:dyDescent="0.25">
      <c r="A8" s="4">
        <v>9</v>
      </c>
      <c r="B8" s="65">
        <v>5508.57</v>
      </c>
      <c r="C8" s="31">
        <v>16697</v>
      </c>
    </row>
    <row r="9" spans="1:4" x14ac:dyDescent="0.25">
      <c r="A9" s="4">
        <v>10</v>
      </c>
      <c r="B9" s="65">
        <v>4933.1000000000004</v>
      </c>
      <c r="C9" s="31">
        <v>12984</v>
      </c>
    </row>
    <row r="10" spans="1:4" x14ac:dyDescent="0.25">
      <c r="A10" s="4">
        <v>11</v>
      </c>
      <c r="B10" s="65">
        <v>5192.78</v>
      </c>
      <c r="C10" s="31">
        <v>16163</v>
      </c>
    </row>
    <row r="11" spans="1:4" x14ac:dyDescent="0.25">
      <c r="A11" s="4">
        <v>12</v>
      </c>
      <c r="B11" s="65">
        <v>5443.49</v>
      </c>
      <c r="C11" s="4">
        <v>17495</v>
      </c>
    </row>
    <row r="12" spans="1:4" x14ac:dyDescent="0.25">
      <c r="A12" s="4">
        <v>13</v>
      </c>
      <c r="B12" s="82">
        <v>5799.69</v>
      </c>
      <c r="C12" s="31">
        <v>17942</v>
      </c>
    </row>
    <row r="13" spans="1:4" x14ac:dyDescent="0.25">
      <c r="A13" s="4">
        <v>14</v>
      </c>
      <c r="B13" s="65">
        <v>6636.48</v>
      </c>
      <c r="C13" s="31">
        <v>19212</v>
      </c>
    </row>
    <row r="14" spans="1:4" x14ac:dyDescent="0.25">
      <c r="A14" s="4">
        <v>15</v>
      </c>
      <c r="B14" s="65">
        <v>5684.78</v>
      </c>
      <c r="C14" s="31">
        <v>16542</v>
      </c>
    </row>
    <row r="15" spans="1:4" x14ac:dyDescent="0.25">
      <c r="A15" s="4">
        <v>16</v>
      </c>
      <c r="B15" s="65">
        <v>6305.78</v>
      </c>
      <c r="C15" s="31">
        <v>20618</v>
      </c>
    </row>
    <row r="16" spans="1:4" x14ac:dyDescent="0.25">
      <c r="A16" s="4">
        <v>17</v>
      </c>
      <c r="B16" s="65">
        <v>4943.93</v>
      </c>
      <c r="C16" s="31">
        <v>18956</v>
      </c>
    </row>
    <row r="17" spans="1:3" x14ac:dyDescent="0.25">
      <c r="A17" s="4">
        <v>18</v>
      </c>
      <c r="B17" s="82">
        <v>6589.79</v>
      </c>
      <c r="C17" s="31">
        <v>19939</v>
      </c>
    </row>
    <row r="18" spans="1:3" x14ac:dyDescent="0.25">
      <c r="A18" s="4">
        <v>19</v>
      </c>
      <c r="B18" s="82">
        <v>5519.98</v>
      </c>
      <c r="C18" s="31">
        <v>16767</v>
      </c>
    </row>
    <row r="19" spans="1:3" x14ac:dyDescent="0.25">
      <c r="A19" s="4">
        <v>20</v>
      </c>
      <c r="B19" s="82">
        <v>5722.45</v>
      </c>
      <c r="C19" s="31">
        <v>16660</v>
      </c>
    </row>
    <row r="20" spans="1:3" x14ac:dyDescent="0.25">
      <c r="A20" s="4">
        <v>21</v>
      </c>
      <c r="B20" s="82">
        <v>4989.8900000000003</v>
      </c>
      <c r="C20" s="31">
        <v>16379</v>
      </c>
    </row>
    <row r="21" spans="1:3" x14ac:dyDescent="0.25">
      <c r="A21" s="4">
        <v>22</v>
      </c>
      <c r="B21" s="82">
        <v>4003.13</v>
      </c>
      <c r="C21" s="31">
        <v>14447</v>
      </c>
    </row>
    <row r="22" spans="1:3" x14ac:dyDescent="0.25">
      <c r="A22" s="4">
        <v>23</v>
      </c>
      <c r="B22" s="82">
        <v>7215.81</v>
      </c>
      <c r="C22" s="31">
        <v>21902</v>
      </c>
    </row>
    <row r="23" spans="1:3" x14ac:dyDescent="0.25">
      <c r="A23" s="4">
        <v>24</v>
      </c>
      <c r="B23" s="82">
        <v>6377.95</v>
      </c>
      <c r="C23" s="31">
        <v>17428</v>
      </c>
    </row>
    <row r="24" spans="1:3" x14ac:dyDescent="0.25">
      <c r="A24" s="4">
        <v>25</v>
      </c>
      <c r="B24" s="82">
        <v>6627.27</v>
      </c>
      <c r="C24" s="31">
        <v>19292</v>
      </c>
    </row>
    <row r="25" spans="1:3" x14ac:dyDescent="0.25">
      <c r="A25" s="4">
        <v>26</v>
      </c>
      <c r="B25" s="82">
        <v>4831.07</v>
      </c>
      <c r="C25" s="31">
        <v>14269</v>
      </c>
    </row>
    <row r="26" spans="1:3" x14ac:dyDescent="0.25">
      <c r="A26" s="4">
        <v>27</v>
      </c>
      <c r="B26" s="82">
        <v>3435.37</v>
      </c>
      <c r="C26" s="31">
        <v>13055</v>
      </c>
    </row>
    <row r="27" spans="1:3" x14ac:dyDescent="0.25">
      <c r="A27" s="4">
        <v>28</v>
      </c>
      <c r="B27" s="82">
        <v>6004.71</v>
      </c>
      <c r="C27" s="31">
        <v>15335</v>
      </c>
    </row>
    <row r="28" spans="1:3" x14ac:dyDescent="0.25">
      <c r="A28" s="4">
        <v>29</v>
      </c>
      <c r="B28" s="82">
        <v>5325.31</v>
      </c>
      <c r="C28" s="31">
        <v>17510</v>
      </c>
    </row>
    <row r="29" spans="1:3" x14ac:dyDescent="0.25">
      <c r="A29" s="4">
        <v>30</v>
      </c>
      <c r="B29" s="84">
        <v>5377.94</v>
      </c>
      <c r="C29" s="85">
        <v>19320</v>
      </c>
    </row>
    <row r="30" spans="1:3" x14ac:dyDescent="0.25">
      <c r="A30" s="4">
        <v>35</v>
      </c>
      <c r="B30" s="82">
        <v>4204.13</v>
      </c>
      <c r="C30" s="31">
        <v>20052</v>
      </c>
    </row>
    <row r="31" spans="1:3" x14ac:dyDescent="0.25">
      <c r="A31" s="4">
        <v>36</v>
      </c>
      <c r="B31" s="82">
        <v>4859.68</v>
      </c>
      <c r="C31" s="31">
        <v>18014</v>
      </c>
    </row>
    <row r="32" spans="1:3" x14ac:dyDescent="0.25">
      <c r="A32" s="4">
        <v>37</v>
      </c>
      <c r="B32" s="82">
        <v>5100.08</v>
      </c>
      <c r="C32" s="31">
        <v>20824</v>
      </c>
    </row>
    <row r="33" spans="1:3" x14ac:dyDescent="0.25">
      <c r="A33" s="4">
        <v>38</v>
      </c>
      <c r="B33" s="82">
        <v>3911.31</v>
      </c>
      <c r="C33" s="31">
        <v>17351</v>
      </c>
    </row>
    <row r="34" spans="1:3" x14ac:dyDescent="0.25">
      <c r="A34" s="4">
        <v>39</v>
      </c>
      <c r="B34" s="82">
        <v>5586.17</v>
      </c>
      <c r="C34" s="31">
        <v>20713</v>
      </c>
    </row>
    <row r="35" spans="1:3" x14ac:dyDescent="0.25">
      <c r="A35" s="4">
        <v>40</v>
      </c>
      <c r="B35" s="82">
        <v>5084.8</v>
      </c>
      <c r="C35" s="31">
        <v>19827</v>
      </c>
    </row>
    <row r="36" spans="1:3" x14ac:dyDescent="0.25">
      <c r="A36" s="4">
        <v>41</v>
      </c>
      <c r="B36" s="82"/>
      <c r="C36" s="31"/>
    </row>
    <row r="37" spans="1:3" x14ac:dyDescent="0.25">
      <c r="A37" s="4">
        <v>42</v>
      </c>
      <c r="B37" s="82"/>
      <c r="C37" s="31"/>
    </row>
    <row r="38" spans="1:3" x14ac:dyDescent="0.25">
      <c r="A38" s="4">
        <v>43</v>
      </c>
      <c r="B38" s="82"/>
      <c r="C38" s="31"/>
    </row>
    <row r="39" spans="1:3" x14ac:dyDescent="0.25">
      <c r="A39" s="4">
        <v>44</v>
      </c>
      <c r="B39" s="82"/>
      <c r="C39" s="31"/>
    </row>
    <row r="40" spans="1:3" x14ac:dyDescent="0.25">
      <c r="A40" s="4">
        <v>45</v>
      </c>
      <c r="B40" s="82"/>
      <c r="C40" s="31"/>
    </row>
    <row r="41" spans="1:3" x14ac:dyDescent="0.25">
      <c r="A41" s="4">
        <v>46</v>
      </c>
      <c r="B41" s="82"/>
      <c r="C41" s="31"/>
    </row>
    <row r="42" spans="1:3" x14ac:dyDescent="0.25">
      <c r="A42" s="4">
        <v>47</v>
      </c>
      <c r="B42" s="82"/>
      <c r="C42" s="31"/>
    </row>
    <row r="43" spans="1:3" x14ac:dyDescent="0.25">
      <c r="A43" s="4">
        <v>48</v>
      </c>
      <c r="B43" s="82"/>
      <c r="C43" s="31"/>
    </row>
    <row r="44" spans="1:3" x14ac:dyDescent="0.25">
      <c r="A44" s="4">
        <v>49</v>
      </c>
      <c r="B44" s="82"/>
      <c r="C44" s="31"/>
    </row>
    <row r="45" spans="1:3" x14ac:dyDescent="0.25">
      <c r="A45" s="4">
        <v>50</v>
      </c>
      <c r="B45" s="82"/>
      <c r="C45" s="31"/>
    </row>
    <row r="46" spans="1:3" x14ac:dyDescent="0.25">
      <c r="A46" s="4">
        <v>51</v>
      </c>
    </row>
    <row r="47" spans="1:3" x14ac:dyDescent="0.25">
      <c r="A47" s="4">
        <v>52</v>
      </c>
    </row>
  </sheetData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18"/>
  <dimension ref="A1:C52"/>
  <sheetViews>
    <sheetView zoomScale="73" zoomScaleNormal="100" workbookViewId="0">
      <selection activeCell="B36" sqref="B36"/>
    </sheetView>
  </sheetViews>
  <sheetFormatPr baseColWidth="10" defaultColWidth="11.42578125" defaultRowHeight="15" x14ac:dyDescent="0.25"/>
  <cols>
    <col min="2" max="2" width="23" bestFit="1" customWidth="1"/>
    <col min="3" max="3" width="14.28515625" bestFit="1" customWidth="1"/>
  </cols>
  <sheetData>
    <row r="1" spans="1:3" x14ac:dyDescent="0.25">
      <c r="A1" s="10" t="s">
        <v>113</v>
      </c>
      <c r="B1" s="64" t="s">
        <v>115</v>
      </c>
      <c r="C1" s="64" t="s">
        <v>46</v>
      </c>
    </row>
    <row r="2" spans="1:3" x14ac:dyDescent="0.25">
      <c r="A2" s="4">
        <v>3</v>
      </c>
      <c r="B2" s="4">
        <v>381</v>
      </c>
      <c r="C2" s="4">
        <f>IF('Evolution coût '!C2&gt;0,'Evolution coût '!C2,NA())</f>
        <v>16360</v>
      </c>
    </row>
    <row r="3" spans="1:3" x14ac:dyDescent="0.25">
      <c r="A3" s="4">
        <v>4</v>
      </c>
      <c r="B3" s="4">
        <v>483</v>
      </c>
      <c r="C3" s="4">
        <f>IF('Evolution coût '!C3&gt;0,'Evolution coût '!C3,NA())</f>
        <v>20296</v>
      </c>
    </row>
    <row r="4" spans="1:3" x14ac:dyDescent="0.25">
      <c r="A4" s="4">
        <v>5</v>
      </c>
      <c r="B4" s="4">
        <v>601</v>
      </c>
      <c r="C4" s="4">
        <f>IF('Evolution coût '!C4&gt;0,'Evolution coût '!C4,NA())</f>
        <v>25465</v>
      </c>
    </row>
    <row r="5" spans="1:3" x14ac:dyDescent="0.25">
      <c r="A5" s="4">
        <v>6</v>
      </c>
      <c r="B5" s="4">
        <v>667</v>
      </c>
      <c r="C5" s="4">
        <f>IF('Evolution coût '!C5&gt;0,'Evolution coût '!C5,NA())</f>
        <v>25133</v>
      </c>
    </row>
    <row r="6" spans="1:3" x14ac:dyDescent="0.25">
      <c r="A6" s="4">
        <v>7</v>
      </c>
      <c r="B6" s="4">
        <v>541</v>
      </c>
      <c r="C6" s="4">
        <f>IF('Evolution coût '!C6&gt;0,'Evolution coût '!C6,NA())</f>
        <v>22343</v>
      </c>
    </row>
    <row r="7" spans="1:3" x14ac:dyDescent="0.25">
      <c r="A7" s="4">
        <v>8</v>
      </c>
      <c r="B7" s="4">
        <v>687</v>
      </c>
      <c r="C7" s="4">
        <f>IF('Evolution coût '!C7&gt;0,'Evolution coût '!C7,NA())</f>
        <v>25170</v>
      </c>
    </row>
    <row r="8" spans="1:3" x14ac:dyDescent="0.25">
      <c r="A8" s="4">
        <v>9</v>
      </c>
      <c r="B8" s="4">
        <v>463</v>
      </c>
      <c r="C8" s="4">
        <f>IF('Evolution coût '!C8&gt;0,'Evolution coût '!C8,NA())</f>
        <v>16697</v>
      </c>
    </row>
    <row r="9" spans="1:3" x14ac:dyDescent="0.25">
      <c r="A9" s="4">
        <v>10</v>
      </c>
      <c r="B9" s="4">
        <v>434</v>
      </c>
      <c r="C9" s="4">
        <f>IF('Evolution coût '!C9&gt;0,'Evolution coût '!C9,NA())</f>
        <v>12984</v>
      </c>
    </row>
    <row r="10" spans="1:3" x14ac:dyDescent="0.25">
      <c r="A10" s="4">
        <v>11</v>
      </c>
      <c r="B10" s="4">
        <v>486</v>
      </c>
      <c r="C10" s="4">
        <f>IF('Evolution coût '!C10&gt;0,'Evolution coût '!C10,NA())</f>
        <v>16163</v>
      </c>
    </row>
    <row r="11" spans="1:3" x14ac:dyDescent="0.25">
      <c r="A11" s="4">
        <v>12</v>
      </c>
      <c r="B11" s="4">
        <v>458</v>
      </c>
      <c r="C11" s="4">
        <f>IF('Evolution coût '!C11&gt;0,'Evolution coût '!C11,NA())</f>
        <v>17495</v>
      </c>
    </row>
    <row r="12" spans="1:3" x14ac:dyDescent="0.25">
      <c r="A12" s="4">
        <v>13</v>
      </c>
      <c r="B12" s="4">
        <v>461</v>
      </c>
      <c r="C12" s="4">
        <f>IF('Evolution coût '!C12&gt;0,'Evolution coût '!C12,NA())</f>
        <v>17942</v>
      </c>
    </row>
    <row r="13" spans="1:3" x14ac:dyDescent="0.25">
      <c r="A13" s="4">
        <v>14</v>
      </c>
      <c r="B13" s="89">
        <v>542</v>
      </c>
      <c r="C13" s="4">
        <f>IF('Evolution coût '!C13&gt;0,'Evolution coût '!C13,NA())</f>
        <v>19212</v>
      </c>
    </row>
    <row r="14" spans="1:3" x14ac:dyDescent="0.25">
      <c r="A14" s="4">
        <v>15</v>
      </c>
      <c r="B14" s="89">
        <v>473</v>
      </c>
      <c r="C14" s="4">
        <f>IF('Evolution coût '!C14&gt;0,'Evolution coût '!C14,NA())</f>
        <v>16542</v>
      </c>
    </row>
    <row r="15" spans="1:3" x14ac:dyDescent="0.25">
      <c r="A15" s="4">
        <v>16</v>
      </c>
      <c r="B15" s="89">
        <v>501</v>
      </c>
      <c r="C15" s="4">
        <f>IF('Evolution coût '!C15&gt;0,'Evolution coût '!C15,NA())</f>
        <v>20618</v>
      </c>
    </row>
    <row r="16" spans="1:3" x14ac:dyDescent="0.25">
      <c r="A16" s="4">
        <v>17</v>
      </c>
      <c r="B16" s="89">
        <v>403</v>
      </c>
      <c r="C16" s="4">
        <f>IF('Evolution coût '!C16&gt;0,'Evolution coût '!C16,NA())</f>
        <v>18956</v>
      </c>
    </row>
    <row r="17" spans="1:3" x14ac:dyDescent="0.25">
      <c r="A17" s="4">
        <v>18</v>
      </c>
      <c r="B17" s="89">
        <v>574</v>
      </c>
      <c r="C17" s="4">
        <f>IF('Evolution coût '!C17&gt;0,'Evolution coût '!C17,NA())</f>
        <v>19939</v>
      </c>
    </row>
    <row r="18" spans="1:3" x14ac:dyDescent="0.25">
      <c r="A18" s="4">
        <v>19</v>
      </c>
      <c r="B18" s="89">
        <v>435</v>
      </c>
      <c r="C18" s="4">
        <f>IF('Evolution coût '!C18&gt;0,'Evolution coût '!C18,NA())</f>
        <v>16767</v>
      </c>
    </row>
    <row r="19" spans="1:3" x14ac:dyDescent="0.25">
      <c r="A19" s="4">
        <v>20</v>
      </c>
      <c r="B19" s="89">
        <v>434</v>
      </c>
      <c r="C19" s="4">
        <f>IF('Evolution coût '!C19&gt;0,'Evolution coût '!C19,NA())</f>
        <v>16660</v>
      </c>
    </row>
    <row r="20" spans="1:3" x14ac:dyDescent="0.25">
      <c r="A20" s="4">
        <v>21</v>
      </c>
      <c r="B20" s="89">
        <v>403</v>
      </c>
      <c r="C20" s="4">
        <f>IF('Evolution coût '!C20&gt;0,'Evolution coût '!C20,NA())</f>
        <v>16379</v>
      </c>
    </row>
    <row r="21" spans="1:3" x14ac:dyDescent="0.25">
      <c r="A21" s="4">
        <v>22</v>
      </c>
      <c r="B21" s="89">
        <v>292</v>
      </c>
      <c r="C21" s="4">
        <f>IF('Evolution coût '!C21&gt;0,'Evolution coût '!C21,NA())</f>
        <v>14447</v>
      </c>
    </row>
    <row r="22" spans="1:3" x14ac:dyDescent="0.25">
      <c r="A22" s="4">
        <v>23</v>
      </c>
      <c r="B22" s="89">
        <v>572</v>
      </c>
      <c r="C22" s="4">
        <f>IF('Evolution coût '!C22&gt;0,'Evolution coût '!C22,NA())</f>
        <v>21902</v>
      </c>
    </row>
    <row r="23" spans="1:3" x14ac:dyDescent="0.25">
      <c r="A23" s="4">
        <v>24</v>
      </c>
      <c r="B23" s="89">
        <v>507</v>
      </c>
      <c r="C23" s="4">
        <f>IF('Evolution coût '!C23&gt;0,'Evolution coût '!C23,NA())</f>
        <v>17428</v>
      </c>
    </row>
    <row r="24" spans="1:3" x14ac:dyDescent="0.25">
      <c r="A24" s="4">
        <v>25</v>
      </c>
      <c r="B24" s="89">
        <v>503</v>
      </c>
      <c r="C24" s="4">
        <f>IF('Evolution coût '!C24&gt;0,'Evolution coût '!C24,NA())</f>
        <v>19292</v>
      </c>
    </row>
    <row r="25" spans="1:3" x14ac:dyDescent="0.25">
      <c r="A25" s="4">
        <v>26</v>
      </c>
      <c r="B25" s="89">
        <v>353</v>
      </c>
      <c r="C25" s="4">
        <f>IF('Evolution coût '!C25&gt;0,'Evolution coût '!C25,NA())</f>
        <v>14269</v>
      </c>
    </row>
    <row r="26" spans="1:3" x14ac:dyDescent="0.25">
      <c r="A26" s="4">
        <v>27</v>
      </c>
      <c r="B26" s="89">
        <v>253</v>
      </c>
      <c r="C26" s="4">
        <f>IF('Evolution coût '!C26&gt;0,'Evolution coût '!C26,NA())</f>
        <v>13055</v>
      </c>
    </row>
    <row r="27" spans="1:3" x14ac:dyDescent="0.25">
      <c r="A27" s="4">
        <v>28</v>
      </c>
      <c r="B27" s="89">
        <v>482</v>
      </c>
      <c r="C27" s="4">
        <f>IF('Evolution coût '!C27&gt;0,'Evolution coût '!C27,NA())</f>
        <v>15335</v>
      </c>
    </row>
    <row r="28" spans="1:3" x14ac:dyDescent="0.25">
      <c r="A28" s="4">
        <v>29</v>
      </c>
      <c r="B28" s="89">
        <v>458</v>
      </c>
      <c r="C28" s="4">
        <f>IF('Evolution coût '!C28&gt;0,'Evolution coût '!C28,NA())</f>
        <v>17510</v>
      </c>
    </row>
    <row r="29" spans="1:3" x14ac:dyDescent="0.25">
      <c r="A29" s="4">
        <v>30</v>
      </c>
      <c r="B29" s="89">
        <v>451</v>
      </c>
      <c r="C29" s="4">
        <f>IF('Evolution coût '!C29&gt;0,'Evolution coût '!C29,NA())</f>
        <v>19320</v>
      </c>
    </row>
    <row r="30" spans="1:3" x14ac:dyDescent="0.25">
      <c r="A30" s="4">
        <v>35</v>
      </c>
      <c r="B30" s="85">
        <v>388</v>
      </c>
      <c r="C30" s="4">
        <f>IF('Evolution coût '!C30&gt;0,'Evolution coût '!C30,NA())</f>
        <v>20052</v>
      </c>
    </row>
    <row r="31" spans="1:3" x14ac:dyDescent="0.25">
      <c r="A31" s="4">
        <v>36</v>
      </c>
      <c r="B31" s="89">
        <v>414</v>
      </c>
      <c r="C31" s="4">
        <f>IF('Evolution coût '!C31&gt;0,'Evolution coût '!C31,NA())</f>
        <v>18014</v>
      </c>
    </row>
    <row r="32" spans="1:3" x14ac:dyDescent="0.25">
      <c r="A32" s="4">
        <v>37</v>
      </c>
      <c r="B32" s="89">
        <v>480</v>
      </c>
      <c r="C32" s="4">
        <f>IF('Evolution coût '!C32&gt;0,'Evolution coût '!C32,NA())</f>
        <v>20824</v>
      </c>
    </row>
    <row r="33" spans="1:3" x14ac:dyDescent="0.25">
      <c r="A33" s="4">
        <v>38</v>
      </c>
      <c r="B33" s="89">
        <v>380</v>
      </c>
      <c r="C33" s="4">
        <f>IF('Evolution coût '!C33&gt;0,'Evolution coût '!C33,NA())</f>
        <v>17351</v>
      </c>
    </row>
    <row r="34" spans="1:3" x14ac:dyDescent="0.25">
      <c r="A34" s="4">
        <v>39</v>
      </c>
      <c r="B34" s="89">
        <v>457</v>
      </c>
      <c r="C34" s="4">
        <f>IF('Evolution coût '!C34&gt;0,'Evolution coût '!C34,NA())</f>
        <v>20713</v>
      </c>
    </row>
    <row r="35" spans="1:3" x14ac:dyDescent="0.25">
      <c r="A35" s="4">
        <v>40</v>
      </c>
      <c r="B35" s="89">
        <v>447</v>
      </c>
      <c r="C35" s="4">
        <f>IF('Evolution coût '!C35&gt;0,'Evolution coût '!C35,NA())</f>
        <v>19827</v>
      </c>
    </row>
    <row r="36" spans="1:3" x14ac:dyDescent="0.25">
      <c r="A36" s="4">
        <v>41</v>
      </c>
      <c r="B36" s="89"/>
      <c r="C36" s="4" t="e">
        <f>IF('Evolution coût '!C36&gt;0,'Evolution coût '!C36,NA())</f>
        <v>#N/A</v>
      </c>
    </row>
    <row r="37" spans="1:3" x14ac:dyDescent="0.25">
      <c r="A37" s="4">
        <v>42</v>
      </c>
      <c r="B37" s="89"/>
      <c r="C37" s="4" t="e">
        <f>IF('Evolution coût '!C37&gt;0,'Evolution coût '!C37,NA())</f>
        <v>#N/A</v>
      </c>
    </row>
    <row r="38" spans="1:3" x14ac:dyDescent="0.25">
      <c r="A38" s="4">
        <v>43</v>
      </c>
      <c r="B38" s="89"/>
      <c r="C38" s="4" t="e">
        <f>IF('Evolution coût '!C38&gt;0,'Evolution coût '!C38,NA())</f>
        <v>#N/A</v>
      </c>
    </row>
    <row r="39" spans="1:3" x14ac:dyDescent="0.25">
      <c r="A39" s="4">
        <v>44</v>
      </c>
      <c r="B39" s="89"/>
      <c r="C39" s="4" t="e">
        <f>IF('Evolution coût '!C39&gt;0,'Evolution coût '!C39,NA())</f>
        <v>#N/A</v>
      </c>
    </row>
    <row r="40" spans="1:3" x14ac:dyDescent="0.25">
      <c r="A40" s="4">
        <v>45</v>
      </c>
      <c r="B40" s="89"/>
      <c r="C40" s="4" t="e">
        <f>IF('Evolution coût '!C40&gt;0,'Evolution coût '!C40,NA())</f>
        <v>#N/A</v>
      </c>
    </row>
    <row r="41" spans="1:3" x14ac:dyDescent="0.25">
      <c r="A41" s="4">
        <v>46</v>
      </c>
      <c r="B41" s="89"/>
      <c r="C41" s="4" t="e">
        <f>IF('Evolution coût '!C41&gt;0,'Evolution coût '!C41,NA())</f>
        <v>#N/A</v>
      </c>
    </row>
    <row r="42" spans="1:3" x14ac:dyDescent="0.25">
      <c r="A42" s="4">
        <v>47</v>
      </c>
      <c r="B42" s="89"/>
      <c r="C42" s="4" t="e">
        <f>IF('Evolution coût '!C42&gt;0,'Evolution coût '!C42,NA())</f>
        <v>#N/A</v>
      </c>
    </row>
    <row r="43" spans="1:3" x14ac:dyDescent="0.25">
      <c r="A43" s="4">
        <v>48</v>
      </c>
      <c r="B43" s="89"/>
      <c r="C43" s="4" t="e">
        <f>IF('Evolution coût '!C43&gt;0,'Evolution coût '!C43,NA())</f>
        <v>#N/A</v>
      </c>
    </row>
    <row r="44" spans="1:3" x14ac:dyDescent="0.25">
      <c r="A44" s="4">
        <v>49</v>
      </c>
      <c r="B44" s="89"/>
      <c r="C44" s="4" t="e">
        <f>IF('Evolution coût '!C44&gt;0,'Evolution coût '!C44,NA())</f>
        <v>#N/A</v>
      </c>
    </row>
    <row r="45" spans="1:3" x14ac:dyDescent="0.25">
      <c r="A45" s="4">
        <v>50</v>
      </c>
      <c r="B45" s="89"/>
      <c r="C45" s="4" t="e">
        <f>IF('Evolution coût '!C45&gt;0,'Evolution coût '!C45,NA())</f>
        <v>#N/A</v>
      </c>
    </row>
    <row r="46" spans="1:3" x14ac:dyDescent="0.25">
      <c r="A46" s="4">
        <v>51</v>
      </c>
      <c r="B46" s="89"/>
      <c r="C46" s="4" t="e">
        <f>IF('Evolution coût '!C46&gt;0,'Evolution coût '!C46,NA())</f>
        <v>#N/A</v>
      </c>
    </row>
    <row r="47" spans="1:3" x14ac:dyDescent="0.25">
      <c r="A47" s="4">
        <v>52</v>
      </c>
      <c r="C47" s="4" t="e">
        <f>IF('Evolution coût '!C47&gt;0,'Evolution coût '!C47,NA())</f>
        <v>#N/A</v>
      </c>
    </row>
    <row r="48" spans="1:3" x14ac:dyDescent="0.25">
      <c r="C48" s="4" t="e">
        <f>IF('Evolution coût '!C48&gt;0,'Evolution coût '!C48,NA())</f>
        <v>#N/A</v>
      </c>
    </row>
    <row r="49" spans="3:3" x14ac:dyDescent="0.25">
      <c r="C49" s="4" t="e">
        <f>IF('Evolution coût '!C49&gt;0,'Evolution coût '!C49,NA())</f>
        <v>#N/A</v>
      </c>
    </row>
    <row r="50" spans="3:3" x14ac:dyDescent="0.25">
      <c r="C50" s="4" t="e">
        <f>IF('Evolution coût '!C50&gt;0,'Evolution coût '!C50,NA())</f>
        <v>#N/A</v>
      </c>
    </row>
    <row r="51" spans="3:3" x14ac:dyDescent="0.25">
      <c r="C51" s="4" t="e">
        <f>IF('Evolution coût '!C51&gt;0,'Evolution coût '!C51,NA())</f>
        <v>#N/A</v>
      </c>
    </row>
    <row r="52" spans="3:3" x14ac:dyDescent="0.25">
      <c r="C52" s="4" t="e">
        <f>IF('Evolution coût '!C52&gt;0,'Evolution coût '!C52,NA())</f>
        <v>#N/A</v>
      </c>
    </row>
  </sheetData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19"/>
  <dimension ref="A1:K51"/>
  <sheetViews>
    <sheetView zoomScale="73" zoomScaleNormal="70" workbookViewId="0">
      <selection activeCell="N25" sqref="N25"/>
    </sheetView>
  </sheetViews>
  <sheetFormatPr baseColWidth="10" defaultColWidth="11.42578125" defaultRowHeight="15" x14ac:dyDescent="0.25"/>
  <cols>
    <col min="1" max="1" width="12.28515625" bestFit="1" customWidth="1"/>
    <col min="8" max="8" width="13.85546875" bestFit="1" customWidth="1"/>
  </cols>
  <sheetData>
    <row r="1" spans="1:11" x14ac:dyDescent="0.25">
      <c r="A1" s="10" t="s">
        <v>113</v>
      </c>
      <c r="B1" s="10" t="s">
        <v>116</v>
      </c>
      <c r="C1" s="10" t="s">
        <v>117</v>
      </c>
      <c r="D1" s="10" t="s">
        <v>118</v>
      </c>
      <c r="E1" s="10" t="s">
        <v>117</v>
      </c>
      <c r="F1" s="10" t="s">
        <v>119</v>
      </c>
      <c r="G1" s="10" t="s">
        <v>117</v>
      </c>
      <c r="H1" s="10" t="s">
        <v>120</v>
      </c>
      <c r="I1" s="10" t="s">
        <v>117</v>
      </c>
      <c r="J1" s="10" t="s">
        <v>121</v>
      </c>
      <c r="K1" s="10" t="s">
        <v>117</v>
      </c>
    </row>
    <row r="2" spans="1:11" x14ac:dyDescent="0.25">
      <c r="A2" s="4">
        <v>3</v>
      </c>
      <c r="B2" s="4"/>
      <c r="C2" s="4">
        <v>0.31900000000000001</v>
      </c>
      <c r="D2" s="4">
        <v>0.29899999999999999</v>
      </c>
      <c r="E2" s="4">
        <v>0.32900000000000001</v>
      </c>
      <c r="G2" s="4">
        <v>0.216</v>
      </c>
      <c r="H2" s="4">
        <v>0.28199999999999997</v>
      </c>
      <c r="I2" s="4">
        <v>0.33800000000000002</v>
      </c>
      <c r="J2" s="4">
        <v>0</v>
      </c>
      <c r="K2" s="4">
        <v>0.216</v>
      </c>
    </row>
    <row r="3" spans="1:11" x14ac:dyDescent="0.25">
      <c r="A3" s="4">
        <v>4</v>
      </c>
      <c r="B3" s="4"/>
      <c r="C3" s="4">
        <v>0.31900000000000001</v>
      </c>
      <c r="D3" s="4">
        <v>0.58199999999999996</v>
      </c>
      <c r="E3" s="4">
        <v>0.32900000000000001</v>
      </c>
      <c r="F3" s="4">
        <v>0.16400000000000001</v>
      </c>
      <c r="G3" s="4">
        <v>0.216</v>
      </c>
      <c r="H3" s="4">
        <v>0.38500000000000001</v>
      </c>
      <c r="I3" s="4">
        <v>0.33800000000000002</v>
      </c>
      <c r="J3" s="4"/>
      <c r="K3" s="4">
        <v>0.216</v>
      </c>
    </row>
    <row r="4" spans="1:11" x14ac:dyDescent="0.25">
      <c r="A4" s="4">
        <v>5</v>
      </c>
      <c r="B4" s="4"/>
      <c r="C4" s="4">
        <v>0.31900000000000001</v>
      </c>
      <c r="D4" s="4">
        <v>0.39800000000000002</v>
      </c>
      <c r="E4" s="4">
        <v>0.32900000000000001</v>
      </c>
      <c r="F4" s="4">
        <v>0.224</v>
      </c>
      <c r="G4" s="4">
        <v>0.216</v>
      </c>
      <c r="H4" s="4">
        <v>0.39900000000000002</v>
      </c>
      <c r="I4" s="4">
        <v>0.33800000000000002</v>
      </c>
      <c r="J4" s="4">
        <v>0.22600000000000001</v>
      </c>
      <c r="K4" s="4">
        <v>0.216</v>
      </c>
    </row>
    <row r="5" spans="1:11" x14ac:dyDescent="0.25">
      <c r="A5" s="4">
        <v>6</v>
      </c>
      <c r="B5" s="4"/>
      <c r="C5" s="4">
        <v>0.31900000000000001</v>
      </c>
      <c r="D5" s="4"/>
      <c r="E5" s="4">
        <v>0.32900000000000001</v>
      </c>
      <c r="F5" s="4">
        <v>0.20499999999999999</v>
      </c>
      <c r="G5" s="4">
        <v>0.216</v>
      </c>
      <c r="H5" s="4">
        <v>0.371</v>
      </c>
      <c r="I5" s="4">
        <v>0.33800000000000002</v>
      </c>
      <c r="J5" s="4"/>
      <c r="K5" s="4">
        <v>0.216</v>
      </c>
    </row>
    <row r="6" spans="1:11" x14ac:dyDescent="0.25">
      <c r="A6" s="4">
        <v>7</v>
      </c>
      <c r="B6" s="4"/>
      <c r="C6" s="4">
        <v>0.31900000000000001</v>
      </c>
      <c r="D6" s="4">
        <v>0.57299999999999995</v>
      </c>
      <c r="E6" s="4">
        <v>0.32900000000000001</v>
      </c>
      <c r="F6" s="4">
        <v>0.16600000000000001</v>
      </c>
      <c r="G6" s="4">
        <v>0.216</v>
      </c>
      <c r="H6" s="4">
        <v>0.38800000000000001</v>
      </c>
      <c r="I6" s="4">
        <v>0.33800000000000002</v>
      </c>
      <c r="J6" s="4"/>
      <c r="K6" s="4">
        <v>0.216</v>
      </c>
    </row>
    <row r="7" spans="1:11" x14ac:dyDescent="0.25">
      <c r="A7" s="4">
        <v>8</v>
      </c>
      <c r="B7" s="4"/>
      <c r="C7" s="4">
        <v>0.31900000000000001</v>
      </c>
      <c r="D7" s="4">
        <v>0.56200000000000006</v>
      </c>
      <c r="E7" s="4">
        <v>0.32900000000000001</v>
      </c>
      <c r="F7" s="4">
        <v>0.21199999999999999</v>
      </c>
      <c r="G7" s="4">
        <v>0.216</v>
      </c>
      <c r="H7" s="4">
        <v>0.41599999999999998</v>
      </c>
      <c r="I7" s="4">
        <v>0.33800000000000002</v>
      </c>
      <c r="J7" s="4"/>
      <c r="K7" s="4">
        <v>0.216</v>
      </c>
    </row>
    <row r="8" spans="1:11" x14ac:dyDescent="0.25">
      <c r="A8" s="4">
        <v>9</v>
      </c>
      <c r="B8" s="4"/>
      <c r="C8" s="4">
        <v>0.31900000000000001</v>
      </c>
      <c r="D8" s="4"/>
      <c r="E8" s="4">
        <v>0.32900000000000001</v>
      </c>
      <c r="F8" s="4">
        <v>0.3</v>
      </c>
      <c r="G8" s="4">
        <v>0.216</v>
      </c>
      <c r="H8" s="4">
        <v>0.34599999999999997</v>
      </c>
      <c r="I8" s="4">
        <v>0.33800000000000002</v>
      </c>
      <c r="J8" s="4"/>
      <c r="K8" s="4">
        <v>0.216</v>
      </c>
    </row>
    <row r="9" spans="1:11" x14ac:dyDescent="0.25">
      <c r="A9" s="4">
        <v>10</v>
      </c>
      <c r="B9" s="4"/>
      <c r="C9" s="4">
        <v>0.31900000000000001</v>
      </c>
      <c r="D9" s="4">
        <v>0.72499999999999998</v>
      </c>
      <c r="E9" s="4">
        <v>0.32900000000000001</v>
      </c>
      <c r="F9" s="4">
        <v>0.35699999999999998</v>
      </c>
      <c r="G9" s="4">
        <v>0.216</v>
      </c>
      <c r="H9" s="4">
        <v>0.28199999999999997</v>
      </c>
      <c r="I9" s="4">
        <v>0.33800000000000002</v>
      </c>
      <c r="J9" s="4"/>
      <c r="K9" s="4">
        <v>0.216</v>
      </c>
    </row>
    <row r="10" spans="1:11" x14ac:dyDescent="0.25">
      <c r="A10" s="4">
        <v>11</v>
      </c>
      <c r="B10" s="4"/>
      <c r="C10" s="4">
        <v>0.31900000000000001</v>
      </c>
      <c r="D10" s="4"/>
      <c r="E10" s="4">
        <v>0.32900000000000001</v>
      </c>
      <c r="F10" s="4">
        <v>0.219</v>
      </c>
      <c r="G10" s="4">
        <v>0.216</v>
      </c>
      <c r="H10" s="4">
        <v>0.58499999999999996</v>
      </c>
      <c r="I10" s="4">
        <v>0.33800000000000002</v>
      </c>
      <c r="J10" s="4"/>
      <c r="K10" s="4">
        <v>0.216</v>
      </c>
    </row>
    <row r="11" spans="1:11" x14ac:dyDescent="0.25">
      <c r="A11" s="4">
        <v>12</v>
      </c>
      <c r="B11" s="4"/>
      <c r="C11" s="4">
        <v>0.31900000000000001</v>
      </c>
      <c r="D11" s="4">
        <v>0.875</v>
      </c>
      <c r="E11" s="4">
        <v>0.32900000000000001</v>
      </c>
      <c r="F11" s="4">
        <v>0.26300000000000001</v>
      </c>
      <c r="G11" s="4">
        <v>0.216</v>
      </c>
      <c r="H11" s="4">
        <v>0.53800000000000003</v>
      </c>
      <c r="I11" s="4">
        <v>0.33800000000000002</v>
      </c>
      <c r="J11" s="4">
        <v>0.14399999999999999</v>
      </c>
      <c r="K11" s="4">
        <v>0.216</v>
      </c>
    </row>
    <row r="12" spans="1:11" x14ac:dyDescent="0.25">
      <c r="A12" s="4">
        <v>13</v>
      </c>
      <c r="B12" s="4"/>
      <c r="C12" s="4">
        <v>0.31900000000000001</v>
      </c>
      <c r="D12" s="4">
        <v>0.373</v>
      </c>
      <c r="E12" s="4">
        <v>0.32900000000000001</v>
      </c>
      <c r="F12" s="4">
        <v>0.33900000000000002</v>
      </c>
      <c r="G12" s="4">
        <v>0.216</v>
      </c>
      <c r="H12" s="4"/>
      <c r="I12" s="4">
        <v>0.33800000000000002</v>
      </c>
      <c r="J12" s="4">
        <v>0.25</v>
      </c>
      <c r="K12" s="4">
        <v>0.216</v>
      </c>
    </row>
    <row r="13" spans="1:11" x14ac:dyDescent="0.25">
      <c r="A13" s="4">
        <v>14</v>
      </c>
      <c r="B13" s="4"/>
      <c r="C13" s="4">
        <v>0.31900000000000001</v>
      </c>
      <c r="D13" s="4"/>
      <c r="E13" s="4">
        <v>0.32900000000000001</v>
      </c>
      <c r="F13" s="4">
        <v>0.316</v>
      </c>
      <c r="G13" s="4">
        <v>0.216</v>
      </c>
      <c r="H13" s="4">
        <v>0.41199999999999998</v>
      </c>
      <c r="I13" s="4">
        <v>0.33800000000000002</v>
      </c>
      <c r="J13" s="4">
        <v>0.32300000000000001</v>
      </c>
      <c r="K13" s="4">
        <v>0.216</v>
      </c>
    </row>
    <row r="14" spans="1:11" x14ac:dyDescent="0.25">
      <c r="A14" s="4">
        <v>15</v>
      </c>
      <c r="C14" s="4">
        <v>0.31900000000000001</v>
      </c>
      <c r="D14" s="4">
        <v>0.442</v>
      </c>
      <c r="E14" s="4">
        <v>0.32900000000000001</v>
      </c>
      <c r="F14" s="4">
        <v>0.34899999999999998</v>
      </c>
      <c r="G14" s="4">
        <v>0.216</v>
      </c>
      <c r="H14" s="4">
        <v>0.35299999999999998</v>
      </c>
      <c r="I14" s="4">
        <v>0.33800000000000002</v>
      </c>
      <c r="J14" s="4">
        <v>0.16500000000000001</v>
      </c>
      <c r="K14" s="4">
        <v>0.216</v>
      </c>
    </row>
    <row r="15" spans="1:11" x14ac:dyDescent="0.25">
      <c r="A15" s="4">
        <v>16</v>
      </c>
      <c r="C15" s="4">
        <v>0.31900000000000001</v>
      </c>
      <c r="D15" s="4">
        <v>0.318</v>
      </c>
      <c r="E15" s="4">
        <v>0.32900000000000001</v>
      </c>
      <c r="F15" s="31">
        <v>0.21299999999999999</v>
      </c>
      <c r="G15" s="4">
        <v>0.216</v>
      </c>
      <c r="H15" s="4">
        <v>0.372</v>
      </c>
      <c r="I15" s="4">
        <v>0.33800000000000002</v>
      </c>
      <c r="J15" s="4">
        <v>0.254</v>
      </c>
      <c r="K15" s="4">
        <v>0.216</v>
      </c>
    </row>
    <row r="16" spans="1:11" x14ac:dyDescent="0.25">
      <c r="A16" s="4">
        <v>17</v>
      </c>
      <c r="C16" s="4">
        <v>0.31900000000000001</v>
      </c>
      <c r="D16" s="4"/>
      <c r="E16" s="4">
        <v>0.32900000000000001</v>
      </c>
      <c r="F16" s="4">
        <v>0.19400000000000001</v>
      </c>
      <c r="G16" s="4">
        <v>0.216</v>
      </c>
      <c r="H16" s="4">
        <v>0.35499999999999998</v>
      </c>
      <c r="I16" s="4">
        <v>0.33800000000000002</v>
      </c>
      <c r="J16" s="4"/>
      <c r="K16" s="4">
        <v>0.216</v>
      </c>
    </row>
    <row r="17" spans="1:11" x14ac:dyDescent="0.25">
      <c r="A17" s="4">
        <v>18</v>
      </c>
      <c r="C17" s="4">
        <v>0.31900000000000001</v>
      </c>
      <c r="D17" s="4"/>
      <c r="E17" s="4">
        <v>0.32900000000000001</v>
      </c>
      <c r="F17" s="4">
        <v>0.19</v>
      </c>
      <c r="G17" s="4">
        <v>0.216</v>
      </c>
      <c r="H17" s="4">
        <v>0.51500000000000001</v>
      </c>
      <c r="I17" s="4">
        <v>0.33800000000000002</v>
      </c>
      <c r="J17" s="4"/>
      <c r="K17" s="4">
        <v>0.216</v>
      </c>
    </row>
    <row r="18" spans="1:11" x14ac:dyDescent="0.25">
      <c r="A18" s="4">
        <v>19</v>
      </c>
      <c r="B18" s="4"/>
      <c r="C18" s="4">
        <v>0.31900000000000001</v>
      </c>
      <c r="E18" s="4">
        <v>0.32900000000000001</v>
      </c>
      <c r="F18" s="4">
        <v>0.223</v>
      </c>
      <c r="G18" s="4">
        <v>0.216</v>
      </c>
      <c r="H18" s="4">
        <v>0.42399999999999999</v>
      </c>
      <c r="I18" s="4">
        <v>0.33800000000000002</v>
      </c>
      <c r="J18" s="4"/>
      <c r="K18" s="4">
        <v>0.216</v>
      </c>
    </row>
    <row r="19" spans="1:11" x14ac:dyDescent="0.25">
      <c r="A19" s="4">
        <v>20</v>
      </c>
      <c r="B19" s="4"/>
      <c r="C19" s="4">
        <v>0.31900000000000001</v>
      </c>
      <c r="D19" s="4"/>
      <c r="E19" s="4">
        <v>0.32900000000000001</v>
      </c>
      <c r="F19" s="4">
        <v>0.253</v>
      </c>
      <c r="G19" s="4">
        <v>0.216</v>
      </c>
      <c r="H19" s="4">
        <v>0.435</v>
      </c>
      <c r="I19" s="4">
        <v>0.33800000000000002</v>
      </c>
      <c r="J19" s="4"/>
      <c r="K19" s="4">
        <v>0.216</v>
      </c>
    </row>
    <row r="20" spans="1:11" x14ac:dyDescent="0.25">
      <c r="A20" s="4">
        <v>21</v>
      </c>
      <c r="C20" s="4">
        <v>0.31900000000000001</v>
      </c>
      <c r="D20" s="4">
        <v>0.375</v>
      </c>
      <c r="E20" s="4">
        <v>0.32900000000000001</v>
      </c>
      <c r="F20" s="4">
        <v>0.151</v>
      </c>
      <c r="G20" s="4">
        <v>0.216</v>
      </c>
      <c r="H20" s="4">
        <v>0.42399999999999999</v>
      </c>
      <c r="I20" s="4">
        <v>0.33800000000000002</v>
      </c>
      <c r="J20" s="4"/>
      <c r="K20" s="4">
        <v>0.216</v>
      </c>
    </row>
    <row r="21" spans="1:11" x14ac:dyDescent="0.25">
      <c r="A21" s="4">
        <v>22</v>
      </c>
      <c r="B21" s="4"/>
      <c r="C21" s="4">
        <v>0.31900000000000001</v>
      </c>
      <c r="D21" s="4">
        <v>0.29199999999999998</v>
      </c>
      <c r="E21" s="4">
        <v>0.32900000000000001</v>
      </c>
      <c r="F21" s="4">
        <v>0.214</v>
      </c>
      <c r="G21" s="4">
        <v>0.216</v>
      </c>
      <c r="H21" s="4">
        <v>0.27300000000000002</v>
      </c>
      <c r="I21" s="4">
        <v>0.33800000000000002</v>
      </c>
      <c r="J21" s="4"/>
      <c r="K21" s="4">
        <v>0.216</v>
      </c>
    </row>
    <row r="22" spans="1:11" x14ac:dyDescent="0.25">
      <c r="A22" s="4">
        <v>23</v>
      </c>
      <c r="B22">
        <v>0.32800000000000001</v>
      </c>
      <c r="C22" s="4">
        <v>0.31900000000000001</v>
      </c>
      <c r="D22" s="4"/>
      <c r="E22" s="4">
        <v>0.32900000000000001</v>
      </c>
      <c r="F22" s="4">
        <v>0.30099999999999999</v>
      </c>
      <c r="G22" s="4">
        <v>0.216</v>
      </c>
      <c r="H22" s="4">
        <v>0.379</v>
      </c>
      <c r="I22" s="4">
        <v>0.33800000000000002</v>
      </c>
      <c r="J22" s="4"/>
      <c r="K22" s="4">
        <v>0.216</v>
      </c>
    </row>
    <row r="23" spans="1:11" x14ac:dyDescent="0.25">
      <c r="A23" s="4">
        <v>24</v>
      </c>
      <c r="C23" s="4">
        <v>0.31900000000000001</v>
      </c>
      <c r="D23" s="4">
        <v>0.33400000000000002</v>
      </c>
      <c r="E23" s="4">
        <v>0.32900000000000001</v>
      </c>
      <c r="F23" s="4">
        <v>0.25</v>
      </c>
      <c r="G23" s="4">
        <v>0.216</v>
      </c>
      <c r="H23" s="4">
        <v>0.44800000000000001</v>
      </c>
      <c r="I23" s="4">
        <v>0.33800000000000002</v>
      </c>
      <c r="J23" s="4"/>
      <c r="K23" s="4">
        <v>0.216</v>
      </c>
    </row>
    <row r="24" spans="1:11" x14ac:dyDescent="0.25">
      <c r="A24" s="4">
        <v>25</v>
      </c>
      <c r="C24" s="4">
        <v>0.31900000000000001</v>
      </c>
      <c r="D24" s="4">
        <v>1.0049999999999999</v>
      </c>
      <c r="E24" s="4">
        <v>0.32900000000000001</v>
      </c>
      <c r="F24" s="4">
        <v>0.27500000000000002</v>
      </c>
      <c r="G24" s="4">
        <v>0.216</v>
      </c>
      <c r="H24" s="4">
        <v>0.34100000000000003</v>
      </c>
      <c r="I24" s="4">
        <v>0.33800000000000002</v>
      </c>
      <c r="K24" s="4">
        <v>0.216</v>
      </c>
    </row>
    <row r="25" spans="1:11" x14ac:dyDescent="0.25">
      <c r="A25" s="4">
        <v>26</v>
      </c>
      <c r="C25" s="4">
        <v>0.31900000000000001</v>
      </c>
      <c r="D25" s="4">
        <v>0.78500000000000003</v>
      </c>
      <c r="E25" s="4">
        <v>0.32900000000000001</v>
      </c>
      <c r="F25" s="4">
        <v>0.30299999999999999</v>
      </c>
      <c r="G25" s="4">
        <v>0.216</v>
      </c>
      <c r="H25" s="4">
        <v>0.377</v>
      </c>
      <c r="I25" s="4">
        <v>0.33800000000000002</v>
      </c>
      <c r="K25" s="4">
        <v>0.216</v>
      </c>
    </row>
    <row r="26" spans="1:11" x14ac:dyDescent="0.25">
      <c r="A26" s="4">
        <v>27</v>
      </c>
      <c r="C26" s="4">
        <v>0.31900000000000001</v>
      </c>
      <c r="D26" s="4">
        <v>0.34499999999999997</v>
      </c>
      <c r="E26" s="4">
        <v>0.32900000000000001</v>
      </c>
      <c r="F26" s="4">
        <v>0.17299999999999999</v>
      </c>
      <c r="G26" s="4">
        <v>0.216</v>
      </c>
      <c r="H26" s="4">
        <v>0.20799999999999999</v>
      </c>
      <c r="I26" s="4">
        <v>0.33800000000000002</v>
      </c>
      <c r="J26" s="4">
        <v>0.26300000000000001</v>
      </c>
      <c r="K26" s="4">
        <v>0.216</v>
      </c>
    </row>
    <row r="27" spans="1:11" x14ac:dyDescent="0.25">
      <c r="A27" s="4">
        <v>28</v>
      </c>
      <c r="C27" s="4">
        <v>0.31900000000000001</v>
      </c>
      <c r="D27" s="4">
        <v>0.93100000000000005</v>
      </c>
      <c r="E27" s="4">
        <v>0.32900000000000001</v>
      </c>
      <c r="F27" s="4">
        <v>0.216</v>
      </c>
      <c r="G27" s="4">
        <v>0.216</v>
      </c>
      <c r="H27" s="4">
        <v>0.48399999999999999</v>
      </c>
      <c r="I27" s="4">
        <v>0.33800000000000002</v>
      </c>
      <c r="J27" s="4"/>
      <c r="K27" s="4">
        <v>0.216</v>
      </c>
    </row>
    <row r="28" spans="1:11" x14ac:dyDescent="0.25">
      <c r="A28" s="4">
        <v>29</v>
      </c>
      <c r="B28" s="86"/>
      <c r="C28" s="4">
        <v>0.31900000000000001</v>
      </c>
      <c r="D28" s="87">
        <v>0.32700000000000001</v>
      </c>
      <c r="E28" s="87">
        <v>0.32900000000000001</v>
      </c>
      <c r="F28" s="87">
        <v>0.18</v>
      </c>
      <c r="G28" s="4">
        <v>0.216</v>
      </c>
      <c r="H28" s="4">
        <v>0.39100000000000001</v>
      </c>
      <c r="I28" s="4">
        <v>0.33800000000000002</v>
      </c>
      <c r="J28" s="87"/>
      <c r="K28" s="87">
        <v>0.216</v>
      </c>
    </row>
    <row r="29" spans="1:11" x14ac:dyDescent="0.25">
      <c r="A29" s="4">
        <v>30</v>
      </c>
      <c r="C29" s="4">
        <v>0.31900000000000001</v>
      </c>
      <c r="D29" s="4">
        <v>0.39500000000000002</v>
      </c>
      <c r="E29" s="87">
        <v>0.32900000000000001</v>
      </c>
      <c r="F29" s="4">
        <v>0.20300000000000001</v>
      </c>
      <c r="G29" s="4">
        <v>0.216</v>
      </c>
      <c r="H29" s="4">
        <v>0.34200000000000003</v>
      </c>
      <c r="I29" s="4">
        <v>0.33800000000000002</v>
      </c>
      <c r="J29" s="31"/>
      <c r="K29" s="87">
        <v>0.216</v>
      </c>
    </row>
    <row r="30" spans="1:11" x14ac:dyDescent="0.25">
      <c r="A30" s="4">
        <v>35</v>
      </c>
      <c r="C30" s="4">
        <v>0.31900000000000001</v>
      </c>
      <c r="D30" s="4">
        <v>0.29199999999999998</v>
      </c>
      <c r="E30" s="87">
        <v>0.32900000000000001</v>
      </c>
      <c r="F30" s="4">
        <v>0.20699999999999999</v>
      </c>
      <c r="G30" s="4">
        <v>0.216</v>
      </c>
      <c r="H30" s="4">
        <v>1.17</v>
      </c>
      <c r="I30" s="4">
        <v>0.33800000000000002</v>
      </c>
      <c r="J30" s="4">
        <v>0.13700000000000001</v>
      </c>
      <c r="K30" s="87">
        <v>0.216</v>
      </c>
    </row>
    <row r="31" spans="1:11" x14ac:dyDescent="0.25">
      <c r="A31" s="4">
        <v>36</v>
      </c>
      <c r="C31" s="4">
        <v>0.31900000000000001</v>
      </c>
      <c r="D31" s="4">
        <v>1.2090000000000001</v>
      </c>
      <c r="E31" s="87">
        <v>0.32900000000000001</v>
      </c>
      <c r="F31" s="4">
        <v>0.20200000000000001</v>
      </c>
      <c r="G31" s="4">
        <v>0.216</v>
      </c>
      <c r="H31" s="4">
        <v>0.38300000000000001</v>
      </c>
      <c r="I31" s="4">
        <v>0.33800000000000002</v>
      </c>
      <c r="J31" s="4">
        <v>0.18099999999999999</v>
      </c>
      <c r="K31" s="87">
        <v>0.216</v>
      </c>
    </row>
    <row r="32" spans="1:11" x14ac:dyDescent="0.25">
      <c r="A32" s="4">
        <v>37</v>
      </c>
      <c r="C32" s="4">
        <v>0.31900000000000001</v>
      </c>
      <c r="D32" s="4">
        <v>0.35</v>
      </c>
      <c r="E32" s="87">
        <v>0.32900000000000001</v>
      </c>
      <c r="F32" s="4">
        <v>0.29099999999999998</v>
      </c>
      <c r="G32" s="4">
        <v>0.216</v>
      </c>
      <c r="H32" s="4">
        <v>0.17899999999999999</v>
      </c>
      <c r="I32" s="4">
        <v>0.33800000000000002</v>
      </c>
      <c r="K32" s="87">
        <v>0.216</v>
      </c>
    </row>
    <row r="33" spans="1:11" x14ac:dyDescent="0.25">
      <c r="A33" s="4">
        <v>38</v>
      </c>
      <c r="C33" s="4">
        <v>0.31900000000000001</v>
      </c>
      <c r="D33" s="4">
        <v>0.56499999999999995</v>
      </c>
      <c r="E33" s="87">
        <v>0.32900000000000001</v>
      </c>
      <c r="F33" s="4">
        <v>0.126</v>
      </c>
      <c r="G33" s="4">
        <v>0.216</v>
      </c>
      <c r="H33" s="4">
        <v>0.36299999999999999</v>
      </c>
      <c r="I33" s="4">
        <v>0.33800000000000002</v>
      </c>
      <c r="J33" s="4">
        <v>0.151</v>
      </c>
      <c r="K33" s="87">
        <v>0.216</v>
      </c>
    </row>
    <row r="34" spans="1:11" x14ac:dyDescent="0.25">
      <c r="A34" s="4">
        <v>39</v>
      </c>
      <c r="C34" s="4">
        <v>0.31900000000000001</v>
      </c>
      <c r="D34" s="4">
        <v>0.34300000000000003</v>
      </c>
      <c r="E34" s="87">
        <v>0.32900000000000001</v>
      </c>
      <c r="F34" s="4">
        <v>0.191</v>
      </c>
      <c r="G34" s="4">
        <v>0.216</v>
      </c>
      <c r="H34" s="4">
        <v>0.51100000000000001</v>
      </c>
      <c r="I34" s="4">
        <v>0.33800000000000002</v>
      </c>
      <c r="J34" s="4">
        <v>0.23200000000000001</v>
      </c>
      <c r="K34" s="87">
        <v>0.216</v>
      </c>
    </row>
    <row r="35" spans="1:11" x14ac:dyDescent="0.25">
      <c r="A35" s="4">
        <v>40</v>
      </c>
      <c r="C35" s="4">
        <v>0.31900000000000001</v>
      </c>
      <c r="D35" s="4">
        <v>0.57399999999999995</v>
      </c>
      <c r="E35" s="87">
        <v>0.32900000000000001</v>
      </c>
      <c r="F35" s="4">
        <v>0.21199999999999999</v>
      </c>
      <c r="G35" s="4">
        <v>0.216</v>
      </c>
      <c r="H35" s="31">
        <v>0.59199999999999997</v>
      </c>
      <c r="I35" s="4">
        <v>0.33800000000000002</v>
      </c>
      <c r="J35" s="4">
        <v>0.159</v>
      </c>
      <c r="K35" s="87">
        <v>0.216</v>
      </c>
    </row>
    <row r="36" spans="1:11" x14ac:dyDescent="0.25">
      <c r="A36" s="4">
        <v>41</v>
      </c>
      <c r="C36" s="4">
        <v>0.31900000000000001</v>
      </c>
      <c r="D36" s="4"/>
      <c r="E36" s="87">
        <v>0.32900000000000001</v>
      </c>
      <c r="G36" s="4">
        <v>0.216</v>
      </c>
      <c r="I36" s="4">
        <v>0.33800000000000002</v>
      </c>
      <c r="K36" s="87">
        <v>0.216</v>
      </c>
    </row>
    <row r="37" spans="1:11" x14ac:dyDescent="0.25">
      <c r="A37" s="4">
        <v>42</v>
      </c>
      <c r="C37" s="4">
        <v>0.31900000000000001</v>
      </c>
      <c r="E37" s="87">
        <v>0.32900000000000001</v>
      </c>
      <c r="G37" s="4">
        <v>0.216</v>
      </c>
      <c r="I37" s="4">
        <v>0.33800000000000002</v>
      </c>
      <c r="K37" s="87">
        <v>0.216</v>
      </c>
    </row>
    <row r="38" spans="1:11" x14ac:dyDescent="0.25">
      <c r="A38" s="4">
        <v>43</v>
      </c>
      <c r="C38" s="4">
        <v>0.31900000000000001</v>
      </c>
      <c r="E38" s="87">
        <v>0.32900000000000001</v>
      </c>
      <c r="G38" s="4">
        <v>0.216</v>
      </c>
      <c r="I38" s="4">
        <v>0.33800000000000002</v>
      </c>
      <c r="K38" s="87">
        <v>0.216</v>
      </c>
    </row>
    <row r="39" spans="1:11" x14ac:dyDescent="0.25">
      <c r="A39" s="4">
        <v>44</v>
      </c>
      <c r="C39" s="4">
        <v>0.31900000000000001</v>
      </c>
      <c r="D39" s="4"/>
      <c r="E39" s="87">
        <v>0.32900000000000001</v>
      </c>
      <c r="G39" s="4">
        <v>0.216</v>
      </c>
      <c r="I39" s="4">
        <v>0.33800000000000002</v>
      </c>
      <c r="K39" s="87">
        <v>0.216</v>
      </c>
    </row>
    <row r="40" spans="1:11" x14ac:dyDescent="0.25">
      <c r="A40" s="4">
        <v>45</v>
      </c>
      <c r="C40" s="4">
        <v>0.31900000000000001</v>
      </c>
      <c r="D40" s="4"/>
      <c r="E40" s="87">
        <v>0.32900000000000001</v>
      </c>
      <c r="G40" s="4">
        <v>0.216</v>
      </c>
      <c r="I40" s="4">
        <v>0.33800000000000002</v>
      </c>
      <c r="K40" s="87">
        <v>0.216</v>
      </c>
    </row>
    <row r="41" spans="1:11" x14ac:dyDescent="0.25">
      <c r="A41" s="4">
        <v>46</v>
      </c>
      <c r="C41" s="4">
        <v>0.31900000000000001</v>
      </c>
      <c r="E41" s="87">
        <v>0.32900000000000001</v>
      </c>
      <c r="G41" s="4">
        <v>0.216</v>
      </c>
      <c r="I41" s="4">
        <v>0.33800000000000002</v>
      </c>
      <c r="K41" s="87">
        <v>0.216</v>
      </c>
    </row>
    <row r="42" spans="1:11" x14ac:dyDescent="0.25">
      <c r="A42" s="4">
        <v>47</v>
      </c>
      <c r="C42" s="4">
        <v>0.31900000000000001</v>
      </c>
      <c r="E42" s="87">
        <v>0.32900000000000001</v>
      </c>
      <c r="G42" s="4">
        <v>0.216</v>
      </c>
      <c r="I42" s="4">
        <v>0.33800000000000002</v>
      </c>
      <c r="K42" s="87">
        <v>0.216</v>
      </c>
    </row>
    <row r="43" spans="1:11" x14ac:dyDescent="0.25">
      <c r="A43" s="4">
        <v>48</v>
      </c>
      <c r="C43" s="4">
        <v>0.31900000000000001</v>
      </c>
      <c r="E43" s="87">
        <v>0.32900000000000001</v>
      </c>
      <c r="G43" s="4">
        <v>0.216</v>
      </c>
      <c r="I43" s="4">
        <v>0.33800000000000002</v>
      </c>
      <c r="K43" s="87">
        <v>0.216</v>
      </c>
    </row>
    <row r="44" spans="1:11" x14ac:dyDescent="0.25">
      <c r="A44" s="4">
        <v>49</v>
      </c>
      <c r="C44" s="4">
        <v>0.31900000000000001</v>
      </c>
      <c r="E44" s="87">
        <v>0.32900000000000001</v>
      </c>
      <c r="G44" s="4">
        <v>0.216</v>
      </c>
      <c r="I44" s="4">
        <v>0.33800000000000002</v>
      </c>
      <c r="K44" s="87">
        <v>0.216</v>
      </c>
    </row>
    <row r="45" spans="1:11" x14ac:dyDescent="0.25">
      <c r="A45" s="4">
        <v>50</v>
      </c>
      <c r="C45" s="4">
        <v>0.31900000000000001</v>
      </c>
      <c r="E45" s="87">
        <v>0.32900000000000001</v>
      </c>
      <c r="G45" s="4">
        <v>0.216</v>
      </c>
      <c r="I45" s="4">
        <v>0.33800000000000002</v>
      </c>
      <c r="K45" s="87">
        <v>0.216</v>
      </c>
    </row>
    <row r="46" spans="1:11" x14ac:dyDescent="0.25">
      <c r="A46" s="4">
        <v>51</v>
      </c>
      <c r="C46" s="4">
        <v>0.31900000000000001</v>
      </c>
      <c r="E46" s="87">
        <v>0.32900000000000001</v>
      </c>
      <c r="G46" s="4">
        <v>0.216</v>
      </c>
      <c r="I46" s="4">
        <v>0.33800000000000002</v>
      </c>
      <c r="K46" s="87">
        <v>0.216</v>
      </c>
    </row>
    <row r="47" spans="1:11" x14ac:dyDescent="0.25">
      <c r="A47" s="4">
        <v>52</v>
      </c>
      <c r="C47" s="4">
        <v>0.31900000000000001</v>
      </c>
      <c r="E47" s="87">
        <v>0.32900000000000001</v>
      </c>
      <c r="G47" s="4">
        <v>0.216</v>
      </c>
      <c r="I47" s="4">
        <v>0.33800000000000002</v>
      </c>
      <c r="K47" s="87">
        <v>0.216</v>
      </c>
    </row>
    <row r="48" spans="1:11" x14ac:dyDescent="0.25">
      <c r="C48" s="4">
        <v>0.31900000000000001</v>
      </c>
      <c r="E48" s="87">
        <v>0.32900000000000001</v>
      </c>
      <c r="G48" s="4">
        <v>0.216</v>
      </c>
      <c r="I48" s="4">
        <v>0.33800000000000002</v>
      </c>
      <c r="K48" s="87">
        <v>0.216</v>
      </c>
    </row>
    <row r="49" spans="3:11" x14ac:dyDescent="0.25">
      <c r="C49" s="4">
        <v>0.31900000000000001</v>
      </c>
      <c r="E49" s="87">
        <v>0.32900000000000001</v>
      </c>
      <c r="G49" s="4">
        <v>0.216</v>
      </c>
      <c r="I49" s="4">
        <v>0.33800000000000002</v>
      </c>
      <c r="K49" s="87">
        <v>0.216</v>
      </c>
    </row>
    <row r="50" spans="3:11" x14ac:dyDescent="0.25">
      <c r="C50" s="4">
        <v>0.31900000000000001</v>
      </c>
      <c r="E50" s="87">
        <v>0.32900000000000001</v>
      </c>
      <c r="G50" s="4">
        <v>0.216</v>
      </c>
      <c r="I50" s="4">
        <v>0.33800000000000002</v>
      </c>
      <c r="K50" s="87">
        <v>0.216</v>
      </c>
    </row>
    <row r="51" spans="3:11" x14ac:dyDescent="0.25">
      <c r="C51" s="4">
        <v>0.31900000000000001</v>
      </c>
      <c r="E51" s="87">
        <v>0.32900000000000001</v>
      </c>
      <c r="G51" s="4">
        <v>0.216</v>
      </c>
      <c r="I51" s="4">
        <v>0.33800000000000002</v>
      </c>
      <c r="K51" s="87">
        <v>0.216</v>
      </c>
    </row>
  </sheetData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F798A-4EA7-4A21-ACCD-6DE47A6B1BF4}">
  <sheetPr codeName="Feuil20"/>
  <dimension ref="A1:K85"/>
  <sheetViews>
    <sheetView workbookViewId="0"/>
  </sheetViews>
  <sheetFormatPr baseColWidth="10" defaultRowHeight="15" x14ac:dyDescent="0.25"/>
  <cols>
    <col min="1" max="1" width="26.85546875" bestFit="1" customWidth="1"/>
    <col min="2" max="2" width="12.140625" bestFit="1" customWidth="1"/>
    <col min="3" max="3" width="32.7109375" bestFit="1" customWidth="1"/>
    <col min="4" max="4" width="15.85546875" bestFit="1" customWidth="1"/>
    <col min="5" max="5" width="25.85546875" bestFit="1" customWidth="1"/>
    <col min="6" max="6" width="6.5703125" bestFit="1" customWidth="1"/>
    <col min="7" max="7" width="10.5703125" bestFit="1" customWidth="1"/>
    <col min="8" max="8" width="6.28515625" bestFit="1" customWidth="1"/>
    <col min="9" max="9" width="12" bestFit="1" customWidth="1"/>
    <col min="10" max="10" width="13.7109375" bestFit="1" customWidth="1"/>
    <col min="11" max="11" width="7.8554687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 s="104">
        <v>46290.11341435185</v>
      </c>
      <c r="B2" t="s">
        <v>15</v>
      </c>
      <c r="C2" t="s">
        <v>131</v>
      </c>
      <c r="D2" t="s">
        <v>141</v>
      </c>
      <c r="E2" t="s">
        <v>142</v>
      </c>
      <c r="F2">
        <v>5</v>
      </c>
      <c r="G2" t="s">
        <v>12</v>
      </c>
      <c r="H2" t="s">
        <v>17</v>
      </c>
      <c r="I2" t="s">
        <v>14</v>
      </c>
      <c r="J2" t="s">
        <v>136</v>
      </c>
      <c r="K2">
        <v>39.799999999999997</v>
      </c>
    </row>
    <row r="3" spans="1:11" x14ac:dyDescent="0.25">
      <c r="A3" s="104">
        <v>46290.113541666666</v>
      </c>
      <c r="B3" t="s">
        <v>15</v>
      </c>
      <c r="C3" t="s">
        <v>131</v>
      </c>
      <c r="D3" t="s">
        <v>141</v>
      </c>
      <c r="E3" t="s">
        <v>142</v>
      </c>
      <c r="F3">
        <v>5</v>
      </c>
      <c r="G3" t="s">
        <v>12</v>
      </c>
      <c r="H3" t="s">
        <v>13</v>
      </c>
      <c r="I3" t="s">
        <v>14</v>
      </c>
      <c r="J3" t="s">
        <v>136</v>
      </c>
      <c r="K3">
        <v>39.799999999999997</v>
      </c>
    </row>
    <row r="4" spans="1:11" x14ac:dyDescent="0.25">
      <c r="A4" s="104">
        <v>46290.589270833334</v>
      </c>
      <c r="B4" t="s">
        <v>19</v>
      </c>
      <c r="C4" t="s">
        <v>135</v>
      </c>
      <c r="D4" t="s">
        <v>175</v>
      </c>
      <c r="E4" t="s">
        <v>176</v>
      </c>
      <c r="F4">
        <v>5</v>
      </c>
      <c r="G4" t="s">
        <v>12</v>
      </c>
      <c r="H4" t="s">
        <v>20</v>
      </c>
      <c r="I4" t="s">
        <v>14</v>
      </c>
      <c r="J4" t="s">
        <v>136</v>
      </c>
      <c r="K4">
        <v>47.8</v>
      </c>
    </row>
    <row r="5" spans="1:11" x14ac:dyDescent="0.25">
      <c r="A5" s="104">
        <v>46290.589490740742</v>
      </c>
      <c r="B5" t="s">
        <v>19</v>
      </c>
      <c r="C5" t="s">
        <v>135</v>
      </c>
      <c r="D5" t="s">
        <v>175</v>
      </c>
      <c r="E5" t="s">
        <v>176</v>
      </c>
      <c r="F5">
        <v>5</v>
      </c>
      <c r="G5" t="s">
        <v>16</v>
      </c>
      <c r="H5" t="s">
        <v>20</v>
      </c>
      <c r="I5" t="s">
        <v>14</v>
      </c>
      <c r="J5" t="s">
        <v>136</v>
      </c>
      <c r="K5">
        <v>47.8</v>
      </c>
    </row>
    <row r="6" spans="1:11" x14ac:dyDescent="0.25">
      <c r="A6" s="104">
        <v>46290.897280092591</v>
      </c>
      <c r="B6" t="s">
        <v>19</v>
      </c>
      <c r="C6" t="s">
        <v>135</v>
      </c>
      <c r="D6" t="s">
        <v>141</v>
      </c>
      <c r="E6" t="s">
        <v>142</v>
      </c>
      <c r="F6">
        <v>5</v>
      </c>
      <c r="G6" t="s">
        <v>12</v>
      </c>
      <c r="H6" t="s">
        <v>20</v>
      </c>
      <c r="I6" t="s">
        <v>14</v>
      </c>
      <c r="J6" t="s">
        <v>136</v>
      </c>
      <c r="K6">
        <v>47.8</v>
      </c>
    </row>
    <row r="7" spans="1:11" x14ac:dyDescent="0.25">
      <c r="A7" s="104">
        <v>46290.897465277776</v>
      </c>
      <c r="B7" t="s">
        <v>21</v>
      </c>
      <c r="C7" t="s">
        <v>138</v>
      </c>
      <c r="D7" t="s">
        <v>141</v>
      </c>
      <c r="E7" t="s">
        <v>142</v>
      </c>
      <c r="F7">
        <v>5</v>
      </c>
      <c r="G7" t="s">
        <v>12</v>
      </c>
      <c r="H7" t="s">
        <v>20</v>
      </c>
      <c r="I7" t="s">
        <v>14</v>
      </c>
      <c r="J7" t="s">
        <v>136</v>
      </c>
      <c r="K7">
        <v>48.7</v>
      </c>
    </row>
    <row r="8" spans="1:11" x14ac:dyDescent="0.25">
      <c r="A8" s="104">
        <v>46290.897731481484</v>
      </c>
      <c r="B8" t="s">
        <v>18</v>
      </c>
      <c r="C8" t="s">
        <v>133</v>
      </c>
      <c r="D8" t="s">
        <v>141</v>
      </c>
      <c r="E8" t="s">
        <v>142</v>
      </c>
      <c r="F8">
        <v>5</v>
      </c>
      <c r="G8" t="s">
        <v>16</v>
      </c>
      <c r="H8" t="s">
        <v>20</v>
      </c>
      <c r="I8" t="s">
        <v>14</v>
      </c>
      <c r="J8" t="s">
        <v>132</v>
      </c>
      <c r="K8">
        <v>39.799999999999997</v>
      </c>
    </row>
    <row r="9" spans="1:11" x14ac:dyDescent="0.25">
      <c r="A9" s="104">
        <v>46290.950659722221</v>
      </c>
      <c r="B9" t="s">
        <v>18</v>
      </c>
      <c r="C9" t="s">
        <v>133</v>
      </c>
      <c r="D9" t="s">
        <v>152</v>
      </c>
      <c r="E9" t="s">
        <v>153</v>
      </c>
      <c r="F9">
        <v>5</v>
      </c>
      <c r="G9" t="s">
        <v>16</v>
      </c>
      <c r="H9" t="s">
        <v>17</v>
      </c>
      <c r="I9" t="s">
        <v>14</v>
      </c>
      <c r="J9" t="s">
        <v>132</v>
      </c>
      <c r="K9">
        <v>39.799999999999997</v>
      </c>
    </row>
    <row r="10" spans="1:11" x14ac:dyDescent="0.25">
      <c r="A10" s="104">
        <v>46291.074479166666</v>
      </c>
      <c r="B10" t="s">
        <v>11</v>
      </c>
      <c r="C10" t="s">
        <v>134</v>
      </c>
      <c r="D10" t="s">
        <v>141</v>
      </c>
      <c r="E10" t="s">
        <v>142</v>
      </c>
      <c r="F10">
        <v>10</v>
      </c>
      <c r="G10" t="s">
        <v>16</v>
      </c>
      <c r="H10" t="s">
        <v>13</v>
      </c>
      <c r="I10" t="s">
        <v>14</v>
      </c>
      <c r="J10" t="s">
        <v>132</v>
      </c>
      <c r="K10">
        <v>100</v>
      </c>
    </row>
    <row r="11" spans="1:11" x14ac:dyDescent="0.25">
      <c r="A11" s="104">
        <v>46291.185972222222</v>
      </c>
      <c r="B11" t="s">
        <v>15</v>
      </c>
      <c r="C11" t="s">
        <v>131</v>
      </c>
      <c r="D11" t="s">
        <v>141</v>
      </c>
      <c r="E11" t="s">
        <v>142</v>
      </c>
      <c r="F11">
        <v>5</v>
      </c>
      <c r="G11" t="s">
        <v>12</v>
      </c>
      <c r="H11" t="s">
        <v>13</v>
      </c>
      <c r="I11" t="s">
        <v>14</v>
      </c>
      <c r="J11" t="s">
        <v>136</v>
      </c>
      <c r="K11">
        <v>39.799999999999997</v>
      </c>
    </row>
    <row r="12" spans="1:11" x14ac:dyDescent="0.25">
      <c r="A12" s="104">
        <v>46291.186168981483</v>
      </c>
      <c r="B12" t="s">
        <v>15</v>
      </c>
      <c r="C12" t="s">
        <v>131</v>
      </c>
      <c r="D12" t="s">
        <v>141</v>
      </c>
      <c r="E12" t="s">
        <v>142</v>
      </c>
      <c r="F12">
        <v>5</v>
      </c>
      <c r="G12" t="s">
        <v>16</v>
      </c>
      <c r="H12" t="s">
        <v>17</v>
      </c>
      <c r="I12" t="s">
        <v>14</v>
      </c>
      <c r="J12" t="s">
        <v>132</v>
      </c>
      <c r="K12">
        <v>39.799999999999997</v>
      </c>
    </row>
    <row r="13" spans="1:11" x14ac:dyDescent="0.25">
      <c r="A13" s="104">
        <v>46291.247754629629</v>
      </c>
      <c r="B13" t="s">
        <v>15</v>
      </c>
      <c r="C13" t="s">
        <v>131</v>
      </c>
      <c r="D13" t="s">
        <v>127</v>
      </c>
      <c r="E13" t="s">
        <v>128</v>
      </c>
      <c r="F13">
        <v>5</v>
      </c>
      <c r="G13" t="s">
        <v>12</v>
      </c>
      <c r="H13" t="s">
        <v>17</v>
      </c>
      <c r="I13" t="s">
        <v>14</v>
      </c>
      <c r="J13" t="s">
        <v>136</v>
      </c>
      <c r="K13">
        <v>39.799999999999997</v>
      </c>
    </row>
    <row r="14" spans="1:11" x14ac:dyDescent="0.25">
      <c r="A14" s="104">
        <v>46291.247893518521</v>
      </c>
      <c r="B14" t="s">
        <v>18</v>
      </c>
      <c r="C14" t="s">
        <v>133</v>
      </c>
      <c r="D14" t="s">
        <v>127</v>
      </c>
      <c r="E14" t="s">
        <v>128</v>
      </c>
      <c r="F14">
        <v>5</v>
      </c>
      <c r="G14" t="s">
        <v>12</v>
      </c>
      <c r="H14" t="s">
        <v>17</v>
      </c>
      <c r="I14" t="s">
        <v>14</v>
      </c>
      <c r="J14" t="s">
        <v>136</v>
      </c>
      <c r="K14">
        <v>39.799999999999997</v>
      </c>
    </row>
    <row r="15" spans="1:11" x14ac:dyDescent="0.25">
      <c r="A15" s="104">
        <v>46291.248078703706</v>
      </c>
      <c r="B15" t="s">
        <v>15</v>
      </c>
      <c r="C15" t="s">
        <v>131</v>
      </c>
      <c r="D15" t="s">
        <v>127</v>
      </c>
      <c r="E15" t="s">
        <v>128</v>
      </c>
      <c r="F15">
        <v>5</v>
      </c>
      <c r="G15" t="s">
        <v>12</v>
      </c>
      <c r="H15" t="s">
        <v>13</v>
      </c>
      <c r="I15" t="s">
        <v>14</v>
      </c>
      <c r="J15" t="s">
        <v>136</v>
      </c>
      <c r="K15">
        <v>39.799999999999997</v>
      </c>
    </row>
    <row r="16" spans="1:11" x14ac:dyDescent="0.25">
      <c r="A16" s="104">
        <v>46291.248229166667</v>
      </c>
      <c r="B16" t="s">
        <v>18</v>
      </c>
      <c r="C16" t="s">
        <v>133</v>
      </c>
      <c r="D16" t="s">
        <v>127</v>
      </c>
      <c r="E16" t="s">
        <v>128</v>
      </c>
      <c r="F16">
        <v>5</v>
      </c>
      <c r="G16" t="s">
        <v>12</v>
      </c>
      <c r="H16" t="s">
        <v>13</v>
      </c>
      <c r="I16" t="s">
        <v>14</v>
      </c>
      <c r="J16" t="s">
        <v>136</v>
      </c>
      <c r="K16">
        <v>39.799999999999997</v>
      </c>
    </row>
    <row r="17" spans="1:11" x14ac:dyDescent="0.25">
      <c r="A17" s="104">
        <v>46291.248449074075</v>
      </c>
      <c r="B17" t="s">
        <v>21</v>
      </c>
      <c r="C17" t="s">
        <v>138</v>
      </c>
      <c r="D17" t="s">
        <v>127</v>
      </c>
      <c r="E17" t="s">
        <v>128</v>
      </c>
      <c r="F17">
        <v>5</v>
      </c>
      <c r="G17" t="s">
        <v>12</v>
      </c>
      <c r="H17" t="s">
        <v>20</v>
      </c>
      <c r="I17" t="s">
        <v>14</v>
      </c>
      <c r="J17" t="s">
        <v>136</v>
      </c>
      <c r="K17">
        <v>48.7</v>
      </c>
    </row>
    <row r="18" spans="1:11" x14ac:dyDescent="0.25">
      <c r="A18" s="104">
        <v>46291.248657407406</v>
      </c>
      <c r="B18" t="s">
        <v>19</v>
      </c>
      <c r="C18" t="s">
        <v>135</v>
      </c>
      <c r="D18" t="s">
        <v>127</v>
      </c>
      <c r="E18" t="s">
        <v>128</v>
      </c>
      <c r="F18">
        <v>5</v>
      </c>
      <c r="G18" t="s">
        <v>12</v>
      </c>
      <c r="H18" t="s">
        <v>20</v>
      </c>
      <c r="I18" t="s">
        <v>14</v>
      </c>
      <c r="J18" t="s">
        <v>136</v>
      </c>
      <c r="K18">
        <v>47.8</v>
      </c>
    </row>
    <row r="19" spans="1:11" x14ac:dyDescent="0.25">
      <c r="A19" s="104">
        <v>46291.248796296299</v>
      </c>
      <c r="B19" t="s">
        <v>19</v>
      </c>
      <c r="C19" t="s">
        <v>135</v>
      </c>
      <c r="D19" t="s">
        <v>127</v>
      </c>
      <c r="E19" t="s">
        <v>128</v>
      </c>
      <c r="F19">
        <v>5</v>
      </c>
      <c r="G19" t="s">
        <v>12</v>
      </c>
      <c r="H19" t="s">
        <v>20</v>
      </c>
      <c r="I19" t="s">
        <v>14</v>
      </c>
      <c r="J19" t="s">
        <v>136</v>
      </c>
      <c r="K19">
        <v>47.8</v>
      </c>
    </row>
    <row r="20" spans="1:11" x14ac:dyDescent="0.25">
      <c r="A20" s="104">
        <v>46291.249027777776</v>
      </c>
      <c r="B20" t="s">
        <v>15</v>
      </c>
      <c r="C20" t="s">
        <v>131</v>
      </c>
      <c r="D20" t="s">
        <v>127</v>
      </c>
      <c r="E20" t="s">
        <v>128</v>
      </c>
      <c r="F20">
        <v>5</v>
      </c>
      <c r="G20" t="s">
        <v>16</v>
      </c>
      <c r="H20" t="s">
        <v>17</v>
      </c>
      <c r="I20" t="s">
        <v>14</v>
      </c>
      <c r="J20" t="s">
        <v>132</v>
      </c>
      <c r="K20">
        <v>39.799999999999997</v>
      </c>
    </row>
    <row r="21" spans="1:11" x14ac:dyDescent="0.25">
      <c r="A21" s="104">
        <v>46291.249340277776</v>
      </c>
      <c r="B21" t="s">
        <v>18</v>
      </c>
      <c r="C21" t="s">
        <v>133</v>
      </c>
      <c r="D21" t="s">
        <v>127</v>
      </c>
      <c r="E21" t="s">
        <v>128</v>
      </c>
      <c r="F21">
        <v>5</v>
      </c>
      <c r="G21" t="s">
        <v>16</v>
      </c>
      <c r="H21" t="s">
        <v>17</v>
      </c>
      <c r="I21" t="s">
        <v>14</v>
      </c>
      <c r="J21" t="s">
        <v>132</v>
      </c>
      <c r="K21">
        <v>39.799999999999997</v>
      </c>
    </row>
    <row r="22" spans="1:11" x14ac:dyDescent="0.25">
      <c r="A22" s="104">
        <v>46291.249537037038</v>
      </c>
      <c r="B22" t="s">
        <v>11</v>
      </c>
      <c r="C22" t="s">
        <v>134</v>
      </c>
      <c r="D22" t="s">
        <v>127</v>
      </c>
      <c r="E22" t="s">
        <v>128</v>
      </c>
      <c r="F22">
        <v>10</v>
      </c>
      <c r="G22" t="s">
        <v>16</v>
      </c>
      <c r="H22" t="s">
        <v>13</v>
      </c>
      <c r="I22" t="s">
        <v>14</v>
      </c>
      <c r="J22" t="s">
        <v>132</v>
      </c>
      <c r="K22">
        <v>100</v>
      </c>
    </row>
    <row r="23" spans="1:11" x14ac:dyDescent="0.25">
      <c r="A23" s="104">
        <v>46291.249699074076</v>
      </c>
      <c r="B23" t="s">
        <v>15</v>
      </c>
      <c r="C23" t="s">
        <v>131</v>
      </c>
      <c r="D23" t="s">
        <v>127</v>
      </c>
      <c r="E23" t="s">
        <v>128</v>
      </c>
      <c r="F23">
        <v>5</v>
      </c>
      <c r="G23" t="s">
        <v>16</v>
      </c>
      <c r="H23" t="s">
        <v>13</v>
      </c>
      <c r="I23" t="s">
        <v>14</v>
      </c>
      <c r="J23" t="s">
        <v>132</v>
      </c>
      <c r="K23">
        <v>39.799999999999997</v>
      </c>
    </row>
    <row r="24" spans="1:11" x14ac:dyDescent="0.25">
      <c r="A24" s="104">
        <v>46291.249849537038</v>
      </c>
      <c r="B24" t="s">
        <v>18</v>
      </c>
      <c r="C24" t="s">
        <v>133</v>
      </c>
      <c r="D24" t="s">
        <v>127</v>
      </c>
      <c r="E24" t="s">
        <v>128</v>
      </c>
      <c r="F24">
        <v>5</v>
      </c>
      <c r="G24" t="s">
        <v>16</v>
      </c>
      <c r="H24" t="s">
        <v>13</v>
      </c>
      <c r="I24" t="s">
        <v>14</v>
      </c>
      <c r="J24" t="s">
        <v>132</v>
      </c>
      <c r="K24">
        <v>39.799999999999997</v>
      </c>
    </row>
    <row r="25" spans="1:11" x14ac:dyDescent="0.25">
      <c r="A25" s="104">
        <v>46291.250057870369</v>
      </c>
      <c r="B25" t="s">
        <v>19</v>
      </c>
      <c r="C25" t="s">
        <v>135</v>
      </c>
      <c r="D25" t="s">
        <v>127</v>
      </c>
      <c r="E25" t="s">
        <v>128</v>
      </c>
      <c r="F25">
        <v>5</v>
      </c>
      <c r="G25" t="s">
        <v>16</v>
      </c>
      <c r="H25" t="s">
        <v>20</v>
      </c>
      <c r="I25" t="s">
        <v>14</v>
      </c>
      <c r="J25" t="s">
        <v>132</v>
      </c>
      <c r="K25">
        <v>47.8</v>
      </c>
    </row>
    <row r="26" spans="1:11" x14ac:dyDescent="0.25">
      <c r="A26" s="104">
        <v>46291.250208333331</v>
      </c>
      <c r="B26" t="s">
        <v>19</v>
      </c>
      <c r="C26" t="s">
        <v>135</v>
      </c>
      <c r="D26" t="s">
        <v>127</v>
      </c>
      <c r="E26" t="s">
        <v>128</v>
      </c>
      <c r="F26">
        <v>5</v>
      </c>
      <c r="G26" t="s">
        <v>16</v>
      </c>
      <c r="H26" t="s">
        <v>20</v>
      </c>
      <c r="I26" t="s">
        <v>14</v>
      </c>
      <c r="J26" t="s">
        <v>132</v>
      </c>
      <c r="K26">
        <v>47.8</v>
      </c>
    </row>
    <row r="27" spans="1:11" x14ac:dyDescent="0.25">
      <c r="A27" s="104">
        <v>46292.738425925927</v>
      </c>
      <c r="B27" t="s">
        <v>15</v>
      </c>
      <c r="C27" t="s">
        <v>131</v>
      </c>
      <c r="D27" t="s">
        <v>127</v>
      </c>
      <c r="E27" t="s">
        <v>128</v>
      </c>
      <c r="F27">
        <v>5</v>
      </c>
      <c r="G27" t="s">
        <v>12</v>
      </c>
      <c r="H27" t="s">
        <v>17</v>
      </c>
      <c r="I27" t="s">
        <v>14</v>
      </c>
      <c r="J27" t="s">
        <v>136</v>
      </c>
      <c r="K27">
        <v>39.799999999999997</v>
      </c>
    </row>
    <row r="28" spans="1:11" x14ac:dyDescent="0.25">
      <c r="A28" s="104">
        <v>46292.738530092596</v>
      </c>
      <c r="B28" t="s">
        <v>18</v>
      </c>
      <c r="C28" t="s">
        <v>133</v>
      </c>
      <c r="D28" t="s">
        <v>127</v>
      </c>
      <c r="E28" t="s">
        <v>128</v>
      </c>
      <c r="F28">
        <v>5</v>
      </c>
      <c r="G28" t="s">
        <v>12</v>
      </c>
      <c r="H28" t="s">
        <v>17</v>
      </c>
      <c r="I28" t="s">
        <v>14</v>
      </c>
      <c r="J28" t="s">
        <v>136</v>
      </c>
      <c r="K28">
        <v>39.799999999999997</v>
      </c>
    </row>
    <row r="29" spans="1:11" x14ac:dyDescent="0.25">
      <c r="A29" s="104">
        <v>46292.738668981481</v>
      </c>
      <c r="B29" t="s">
        <v>15</v>
      </c>
      <c r="C29" t="s">
        <v>131</v>
      </c>
      <c r="D29" t="s">
        <v>127</v>
      </c>
      <c r="E29" t="s">
        <v>128</v>
      </c>
      <c r="F29">
        <v>5</v>
      </c>
      <c r="G29" t="s">
        <v>12</v>
      </c>
      <c r="H29" t="s">
        <v>13</v>
      </c>
      <c r="I29" t="s">
        <v>14</v>
      </c>
      <c r="J29" t="s">
        <v>136</v>
      </c>
      <c r="K29">
        <v>39.799999999999997</v>
      </c>
    </row>
    <row r="30" spans="1:11" x14ac:dyDescent="0.25">
      <c r="A30" s="104">
        <v>46292.73878472222</v>
      </c>
      <c r="B30" t="s">
        <v>18</v>
      </c>
      <c r="C30" t="s">
        <v>133</v>
      </c>
      <c r="D30" t="s">
        <v>127</v>
      </c>
      <c r="E30" t="s">
        <v>128</v>
      </c>
      <c r="F30">
        <v>5</v>
      </c>
      <c r="G30" t="s">
        <v>12</v>
      </c>
      <c r="H30" t="s">
        <v>13</v>
      </c>
      <c r="I30" t="s">
        <v>14</v>
      </c>
      <c r="J30" t="s">
        <v>136</v>
      </c>
      <c r="K30">
        <v>39.799999999999997</v>
      </c>
    </row>
    <row r="31" spans="1:11" x14ac:dyDescent="0.25">
      <c r="A31" s="104">
        <v>46292.738946759258</v>
      </c>
      <c r="B31" t="s">
        <v>25</v>
      </c>
      <c r="C31" t="s">
        <v>137</v>
      </c>
      <c r="D31" t="s">
        <v>127</v>
      </c>
      <c r="E31" t="s">
        <v>128</v>
      </c>
      <c r="F31">
        <v>5</v>
      </c>
      <c r="G31" t="s">
        <v>12</v>
      </c>
      <c r="H31" t="s">
        <v>20</v>
      </c>
      <c r="I31" t="s">
        <v>14</v>
      </c>
      <c r="J31" t="s">
        <v>136</v>
      </c>
      <c r="K31">
        <v>42.5</v>
      </c>
    </row>
    <row r="32" spans="1:11" x14ac:dyDescent="0.25">
      <c r="A32" s="104">
        <v>46292.739085648151</v>
      </c>
      <c r="B32" t="s">
        <v>21</v>
      </c>
      <c r="C32" t="s">
        <v>138</v>
      </c>
      <c r="D32" t="s">
        <v>127</v>
      </c>
      <c r="E32" t="s">
        <v>128</v>
      </c>
      <c r="F32">
        <v>5</v>
      </c>
      <c r="G32" t="s">
        <v>12</v>
      </c>
      <c r="H32" t="s">
        <v>20</v>
      </c>
      <c r="I32" t="s">
        <v>14</v>
      </c>
      <c r="J32" t="s">
        <v>136</v>
      </c>
      <c r="K32">
        <v>48.7</v>
      </c>
    </row>
    <row r="33" spans="1:11" x14ac:dyDescent="0.25">
      <c r="A33" s="104">
        <v>46292.739224537036</v>
      </c>
      <c r="B33" t="s">
        <v>19</v>
      </c>
      <c r="C33" t="s">
        <v>135</v>
      </c>
      <c r="D33" t="s">
        <v>127</v>
      </c>
      <c r="E33" t="s">
        <v>128</v>
      </c>
      <c r="F33">
        <v>5</v>
      </c>
      <c r="G33" t="s">
        <v>12</v>
      </c>
      <c r="H33" t="s">
        <v>20</v>
      </c>
      <c r="I33" t="s">
        <v>14</v>
      </c>
      <c r="J33" t="s">
        <v>136</v>
      </c>
      <c r="K33">
        <v>47.8</v>
      </c>
    </row>
    <row r="34" spans="1:11" x14ac:dyDescent="0.25">
      <c r="A34" s="104">
        <v>46292.739374999997</v>
      </c>
      <c r="B34" t="s">
        <v>19</v>
      </c>
      <c r="C34" t="s">
        <v>135</v>
      </c>
      <c r="D34" t="s">
        <v>127</v>
      </c>
      <c r="E34" t="s">
        <v>128</v>
      </c>
      <c r="F34">
        <v>5</v>
      </c>
      <c r="G34" t="s">
        <v>12</v>
      </c>
      <c r="H34" t="s">
        <v>20</v>
      </c>
      <c r="I34" t="s">
        <v>14</v>
      </c>
      <c r="J34" t="s">
        <v>136</v>
      </c>
      <c r="K34">
        <v>47.8</v>
      </c>
    </row>
    <row r="35" spans="1:11" x14ac:dyDescent="0.25">
      <c r="A35" s="104">
        <v>46292.73951388889</v>
      </c>
      <c r="B35" t="s">
        <v>15</v>
      </c>
      <c r="C35" t="s">
        <v>131</v>
      </c>
      <c r="D35" t="s">
        <v>127</v>
      </c>
      <c r="E35" t="s">
        <v>128</v>
      </c>
      <c r="F35">
        <v>5</v>
      </c>
      <c r="G35" t="s">
        <v>16</v>
      </c>
      <c r="H35" t="s">
        <v>17</v>
      </c>
      <c r="I35" t="s">
        <v>14</v>
      </c>
      <c r="J35" t="s">
        <v>132</v>
      </c>
      <c r="K35">
        <v>39.799999999999997</v>
      </c>
    </row>
    <row r="36" spans="1:11" x14ac:dyDescent="0.25">
      <c r="A36" s="104">
        <v>46292.739641203705</v>
      </c>
      <c r="B36" t="s">
        <v>18</v>
      </c>
      <c r="C36" t="s">
        <v>133</v>
      </c>
      <c r="D36" t="s">
        <v>127</v>
      </c>
      <c r="E36" t="s">
        <v>128</v>
      </c>
      <c r="F36">
        <v>5</v>
      </c>
      <c r="G36" t="s">
        <v>16</v>
      </c>
      <c r="H36" t="s">
        <v>17</v>
      </c>
      <c r="I36" t="s">
        <v>14</v>
      </c>
      <c r="J36" t="s">
        <v>132</v>
      </c>
      <c r="K36">
        <v>39.799999999999997</v>
      </c>
    </row>
    <row r="37" spans="1:11" x14ac:dyDescent="0.25">
      <c r="A37" s="104">
        <v>46292.739814814813</v>
      </c>
      <c r="B37" t="s">
        <v>11</v>
      </c>
      <c r="C37" t="s">
        <v>134</v>
      </c>
      <c r="D37" t="s">
        <v>127</v>
      </c>
      <c r="E37" t="s">
        <v>128</v>
      </c>
      <c r="F37">
        <v>10</v>
      </c>
      <c r="G37" t="s">
        <v>16</v>
      </c>
      <c r="H37" t="s">
        <v>13</v>
      </c>
      <c r="I37" t="s">
        <v>14</v>
      </c>
      <c r="J37" t="s">
        <v>132</v>
      </c>
      <c r="K37">
        <v>100</v>
      </c>
    </row>
    <row r="38" spans="1:11" x14ac:dyDescent="0.25">
      <c r="A38" s="104">
        <v>46292.739965277775</v>
      </c>
      <c r="B38" t="s">
        <v>15</v>
      </c>
      <c r="C38" t="s">
        <v>131</v>
      </c>
      <c r="D38" t="s">
        <v>127</v>
      </c>
      <c r="E38" t="s">
        <v>128</v>
      </c>
      <c r="F38">
        <v>5</v>
      </c>
      <c r="G38" t="s">
        <v>16</v>
      </c>
      <c r="H38" t="s">
        <v>13</v>
      </c>
      <c r="I38" t="s">
        <v>14</v>
      </c>
      <c r="J38" t="s">
        <v>132</v>
      </c>
      <c r="K38">
        <v>39.799999999999997</v>
      </c>
    </row>
    <row r="39" spans="1:11" x14ac:dyDescent="0.25">
      <c r="A39" s="104">
        <v>46292.740104166667</v>
      </c>
      <c r="B39" t="s">
        <v>18</v>
      </c>
      <c r="C39" t="s">
        <v>133</v>
      </c>
      <c r="D39" t="s">
        <v>127</v>
      </c>
      <c r="E39" t="s">
        <v>128</v>
      </c>
      <c r="F39">
        <v>5</v>
      </c>
      <c r="G39" t="s">
        <v>16</v>
      </c>
      <c r="H39" t="s">
        <v>13</v>
      </c>
      <c r="I39" t="s">
        <v>14</v>
      </c>
      <c r="J39" t="s">
        <v>132</v>
      </c>
      <c r="K39">
        <v>39.799999999999997</v>
      </c>
    </row>
    <row r="40" spans="1:11" x14ac:dyDescent="0.25">
      <c r="A40" s="104">
        <v>46292.740277777775</v>
      </c>
      <c r="B40" t="s">
        <v>18</v>
      </c>
      <c r="C40" t="s">
        <v>133</v>
      </c>
      <c r="D40" t="s">
        <v>127</v>
      </c>
      <c r="E40" t="s">
        <v>128</v>
      </c>
      <c r="F40">
        <v>5</v>
      </c>
      <c r="G40" t="s">
        <v>16</v>
      </c>
      <c r="H40" t="s">
        <v>20</v>
      </c>
      <c r="I40" t="s">
        <v>14</v>
      </c>
      <c r="J40" t="s">
        <v>132</v>
      </c>
      <c r="K40">
        <v>39.799999999999997</v>
      </c>
    </row>
    <row r="41" spans="1:11" x14ac:dyDescent="0.25">
      <c r="A41" s="104">
        <v>46292.740416666667</v>
      </c>
      <c r="B41" t="s">
        <v>19</v>
      </c>
      <c r="C41" t="s">
        <v>135</v>
      </c>
      <c r="D41" t="s">
        <v>127</v>
      </c>
      <c r="E41" t="s">
        <v>128</v>
      </c>
      <c r="F41">
        <v>5</v>
      </c>
      <c r="G41" t="s">
        <v>16</v>
      </c>
      <c r="H41" t="s">
        <v>20</v>
      </c>
      <c r="I41" t="s">
        <v>14</v>
      </c>
      <c r="J41" t="s">
        <v>132</v>
      </c>
      <c r="K41">
        <v>47.8</v>
      </c>
    </row>
    <row r="42" spans="1:11" x14ac:dyDescent="0.25">
      <c r="A42" s="104">
        <v>46293.396851851852</v>
      </c>
      <c r="B42" t="s">
        <v>11</v>
      </c>
      <c r="C42" t="s">
        <v>134</v>
      </c>
      <c r="D42" t="s">
        <v>139</v>
      </c>
      <c r="E42" t="s">
        <v>140</v>
      </c>
      <c r="F42">
        <v>10</v>
      </c>
      <c r="G42" t="s">
        <v>12</v>
      </c>
      <c r="H42" t="s">
        <v>13</v>
      </c>
      <c r="I42" t="s">
        <v>14</v>
      </c>
      <c r="J42" t="s">
        <v>184</v>
      </c>
      <c r="K42">
        <v>100</v>
      </c>
    </row>
    <row r="43" spans="1:11" x14ac:dyDescent="0.25">
      <c r="A43" s="104">
        <v>46293.896192129629</v>
      </c>
      <c r="B43" t="s">
        <v>25</v>
      </c>
      <c r="C43" t="s">
        <v>137</v>
      </c>
      <c r="D43" t="s">
        <v>141</v>
      </c>
      <c r="E43" t="s">
        <v>142</v>
      </c>
      <c r="F43">
        <v>5</v>
      </c>
      <c r="G43" t="s">
        <v>16</v>
      </c>
      <c r="H43" t="s">
        <v>20</v>
      </c>
      <c r="I43" t="s">
        <v>14</v>
      </c>
      <c r="J43" t="s">
        <v>136</v>
      </c>
      <c r="K43">
        <v>42.5</v>
      </c>
    </row>
    <row r="44" spans="1:11" x14ac:dyDescent="0.25">
      <c r="A44" s="104">
        <v>46293.896435185183</v>
      </c>
      <c r="B44" t="s">
        <v>19</v>
      </c>
      <c r="C44" t="s">
        <v>135</v>
      </c>
      <c r="D44" t="s">
        <v>141</v>
      </c>
      <c r="E44" t="s">
        <v>142</v>
      </c>
      <c r="F44">
        <v>5</v>
      </c>
      <c r="G44" t="s">
        <v>12</v>
      </c>
      <c r="H44" t="s">
        <v>20</v>
      </c>
      <c r="I44" t="s">
        <v>14</v>
      </c>
      <c r="J44" t="s">
        <v>136</v>
      </c>
      <c r="K44">
        <v>47.8</v>
      </c>
    </row>
    <row r="45" spans="1:11" x14ac:dyDescent="0.25">
      <c r="A45" s="104">
        <v>46294.545451388891</v>
      </c>
      <c r="B45" t="s">
        <v>26</v>
      </c>
      <c r="C45" t="s">
        <v>185</v>
      </c>
      <c r="D45" t="s">
        <v>139</v>
      </c>
      <c r="E45" t="s">
        <v>140</v>
      </c>
      <c r="F45">
        <v>10</v>
      </c>
      <c r="G45" t="s">
        <v>12</v>
      </c>
      <c r="H45" t="s">
        <v>23</v>
      </c>
      <c r="I45" t="s">
        <v>14</v>
      </c>
      <c r="J45" t="s">
        <v>143</v>
      </c>
      <c r="K45">
        <v>81.5</v>
      </c>
    </row>
    <row r="46" spans="1:11" x14ac:dyDescent="0.25">
      <c r="A46" s="104">
        <v>46294.563148148147</v>
      </c>
      <c r="B46" t="s">
        <v>19</v>
      </c>
      <c r="C46" t="s">
        <v>135</v>
      </c>
      <c r="D46" t="s">
        <v>177</v>
      </c>
      <c r="E46" t="s">
        <v>178</v>
      </c>
      <c r="F46">
        <v>5</v>
      </c>
      <c r="G46" t="s">
        <v>12</v>
      </c>
      <c r="H46" t="s">
        <v>20</v>
      </c>
      <c r="I46" t="s">
        <v>14</v>
      </c>
      <c r="J46" t="s">
        <v>136</v>
      </c>
      <c r="K46">
        <v>47.8</v>
      </c>
    </row>
    <row r="47" spans="1:11" x14ac:dyDescent="0.25">
      <c r="A47" s="104">
        <v>46294.563275462962</v>
      </c>
      <c r="B47" t="s">
        <v>19</v>
      </c>
      <c r="C47" t="s">
        <v>135</v>
      </c>
      <c r="D47" t="s">
        <v>177</v>
      </c>
      <c r="E47" t="s">
        <v>178</v>
      </c>
      <c r="F47">
        <v>5</v>
      </c>
      <c r="G47" t="s">
        <v>12</v>
      </c>
      <c r="H47" t="s">
        <v>20</v>
      </c>
      <c r="I47" t="s">
        <v>14</v>
      </c>
      <c r="J47" t="s">
        <v>136</v>
      </c>
      <c r="K47">
        <v>47.8</v>
      </c>
    </row>
    <row r="48" spans="1:11" x14ac:dyDescent="0.25">
      <c r="A48" s="104">
        <v>46294.563425925924</v>
      </c>
      <c r="B48" t="s">
        <v>21</v>
      </c>
      <c r="C48" t="s">
        <v>138</v>
      </c>
      <c r="D48" t="s">
        <v>177</v>
      </c>
      <c r="E48" t="s">
        <v>178</v>
      </c>
      <c r="F48">
        <v>5</v>
      </c>
      <c r="G48" t="s">
        <v>12</v>
      </c>
      <c r="H48" t="s">
        <v>20</v>
      </c>
      <c r="I48" t="s">
        <v>14</v>
      </c>
      <c r="J48" t="s">
        <v>136</v>
      </c>
      <c r="K48">
        <v>48.7</v>
      </c>
    </row>
    <row r="49" spans="1:11" x14ac:dyDescent="0.25">
      <c r="A49" s="104">
        <v>46294.896319444444</v>
      </c>
      <c r="B49" t="s">
        <v>19</v>
      </c>
      <c r="C49" t="s">
        <v>135</v>
      </c>
      <c r="D49" t="s">
        <v>141</v>
      </c>
      <c r="E49" t="s">
        <v>142</v>
      </c>
      <c r="F49">
        <v>5</v>
      </c>
      <c r="G49" t="s">
        <v>12</v>
      </c>
      <c r="H49" t="s">
        <v>20</v>
      </c>
      <c r="I49" t="s">
        <v>14</v>
      </c>
      <c r="J49" t="s">
        <v>136</v>
      </c>
      <c r="K49">
        <v>47.8</v>
      </c>
    </row>
    <row r="50" spans="1:11" x14ac:dyDescent="0.25">
      <c r="A50" s="104">
        <v>46294.896458333336</v>
      </c>
      <c r="B50" t="s">
        <v>21</v>
      </c>
      <c r="C50" t="s">
        <v>138</v>
      </c>
      <c r="D50" t="s">
        <v>141</v>
      </c>
      <c r="E50" t="s">
        <v>142</v>
      </c>
      <c r="F50">
        <v>5</v>
      </c>
      <c r="G50" t="s">
        <v>16</v>
      </c>
      <c r="H50" t="s">
        <v>20</v>
      </c>
      <c r="I50" t="s">
        <v>14</v>
      </c>
      <c r="J50" t="s">
        <v>136</v>
      </c>
      <c r="K50">
        <v>48.7</v>
      </c>
    </row>
    <row r="51" spans="1:11" x14ac:dyDescent="0.25">
      <c r="A51" s="104">
        <v>46294.896620370368</v>
      </c>
      <c r="B51" t="s">
        <v>19</v>
      </c>
      <c r="C51" t="s">
        <v>135</v>
      </c>
      <c r="D51" t="s">
        <v>141</v>
      </c>
      <c r="E51" t="s">
        <v>142</v>
      </c>
      <c r="F51">
        <v>5</v>
      </c>
      <c r="G51" t="s">
        <v>16</v>
      </c>
      <c r="H51" t="s">
        <v>20</v>
      </c>
      <c r="I51" t="s">
        <v>14</v>
      </c>
      <c r="J51" t="s">
        <v>136</v>
      </c>
      <c r="K51">
        <v>47.8</v>
      </c>
    </row>
    <row r="52" spans="1:11" x14ac:dyDescent="0.25">
      <c r="A52" s="104">
        <v>46295.100069444445</v>
      </c>
      <c r="B52" t="s">
        <v>21</v>
      </c>
      <c r="C52" t="s">
        <v>138</v>
      </c>
      <c r="D52" t="s">
        <v>141</v>
      </c>
      <c r="E52" t="s">
        <v>142</v>
      </c>
      <c r="F52">
        <v>5</v>
      </c>
      <c r="G52" t="s">
        <v>12</v>
      </c>
      <c r="H52" t="s">
        <v>20</v>
      </c>
      <c r="I52" t="s">
        <v>14</v>
      </c>
      <c r="J52" t="s">
        <v>136</v>
      </c>
      <c r="K52">
        <v>48.7</v>
      </c>
    </row>
    <row r="53" spans="1:11" x14ac:dyDescent="0.25">
      <c r="A53" s="104">
        <v>46295.100185185183</v>
      </c>
      <c r="B53" t="s">
        <v>19</v>
      </c>
      <c r="C53" t="s">
        <v>135</v>
      </c>
      <c r="D53" t="s">
        <v>141</v>
      </c>
      <c r="E53" t="s">
        <v>142</v>
      </c>
      <c r="F53">
        <v>5</v>
      </c>
      <c r="G53" t="s">
        <v>16</v>
      </c>
      <c r="H53" t="s">
        <v>20</v>
      </c>
      <c r="I53" t="s">
        <v>14</v>
      </c>
      <c r="J53" t="s">
        <v>136</v>
      </c>
      <c r="K53">
        <v>47.8</v>
      </c>
    </row>
    <row r="54" spans="1:11" x14ac:dyDescent="0.25">
      <c r="A54" s="104">
        <v>46295.624479166669</v>
      </c>
      <c r="B54" t="s">
        <v>15</v>
      </c>
      <c r="C54" t="s">
        <v>131</v>
      </c>
      <c r="D54" t="s">
        <v>177</v>
      </c>
      <c r="E54" t="s">
        <v>178</v>
      </c>
      <c r="F54">
        <v>5</v>
      </c>
      <c r="G54" t="s">
        <v>12</v>
      </c>
      <c r="H54" t="s">
        <v>17</v>
      </c>
      <c r="I54" t="s">
        <v>14</v>
      </c>
      <c r="J54" t="s">
        <v>150</v>
      </c>
      <c r="K54">
        <v>39.799999999999997</v>
      </c>
    </row>
    <row r="55" spans="1:11" x14ac:dyDescent="0.25">
      <c r="A55" s="104">
        <v>46295.6246875</v>
      </c>
      <c r="B55" t="s">
        <v>18</v>
      </c>
      <c r="C55" t="s">
        <v>133</v>
      </c>
      <c r="D55" t="s">
        <v>177</v>
      </c>
      <c r="E55" t="s">
        <v>178</v>
      </c>
      <c r="F55">
        <v>5</v>
      </c>
      <c r="G55" t="s">
        <v>12</v>
      </c>
      <c r="H55" t="s">
        <v>17</v>
      </c>
      <c r="I55" t="s">
        <v>14</v>
      </c>
      <c r="J55" t="s">
        <v>150</v>
      </c>
      <c r="K55">
        <v>39.799999999999997</v>
      </c>
    </row>
    <row r="56" spans="1:11" x14ac:dyDescent="0.25">
      <c r="A56" s="104">
        <v>46295.624814814815</v>
      </c>
      <c r="B56" t="s">
        <v>11</v>
      </c>
      <c r="C56" t="s">
        <v>134</v>
      </c>
      <c r="D56" t="s">
        <v>177</v>
      </c>
      <c r="E56" t="s">
        <v>178</v>
      </c>
      <c r="F56">
        <v>10</v>
      </c>
      <c r="G56" t="s">
        <v>12</v>
      </c>
      <c r="H56" t="s">
        <v>13</v>
      </c>
      <c r="I56" t="s">
        <v>14</v>
      </c>
      <c r="J56" t="s">
        <v>150</v>
      </c>
      <c r="K56">
        <v>100</v>
      </c>
    </row>
    <row r="57" spans="1:11" x14ac:dyDescent="0.25">
      <c r="A57" s="104">
        <v>46295.624976851854</v>
      </c>
      <c r="B57" t="s">
        <v>15</v>
      </c>
      <c r="C57" t="s">
        <v>131</v>
      </c>
      <c r="D57" t="s">
        <v>177</v>
      </c>
      <c r="E57" t="s">
        <v>178</v>
      </c>
      <c r="F57">
        <v>5</v>
      </c>
      <c r="G57" t="s">
        <v>12</v>
      </c>
      <c r="H57" t="s">
        <v>13</v>
      </c>
      <c r="I57" t="s">
        <v>14</v>
      </c>
      <c r="J57" t="s">
        <v>150</v>
      </c>
      <c r="K57">
        <v>39.799999999999997</v>
      </c>
    </row>
    <row r="58" spans="1:11" x14ac:dyDescent="0.25">
      <c r="A58" s="104">
        <v>46295.625138888892</v>
      </c>
      <c r="B58" t="s">
        <v>18</v>
      </c>
      <c r="C58" t="s">
        <v>133</v>
      </c>
      <c r="D58" t="s">
        <v>177</v>
      </c>
      <c r="E58" t="s">
        <v>178</v>
      </c>
      <c r="F58">
        <v>5</v>
      </c>
      <c r="G58" t="s">
        <v>12</v>
      </c>
      <c r="H58" t="s">
        <v>13</v>
      </c>
      <c r="I58" t="s">
        <v>14</v>
      </c>
      <c r="J58" t="s">
        <v>150</v>
      </c>
      <c r="K58">
        <v>39.799999999999997</v>
      </c>
    </row>
    <row r="59" spans="1:11" x14ac:dyDescent="0.25">
      <c r="A59" s="104">
        <v>46295.625277777777</v>
      </c>
      <c r="B59" t="s">
        <v>18</v>
      </c>
      <c r="C59" t="s">
        <v>133</v>
      </c>
      <c r="D59" t="s">
        <v>177</v>
      </c>
      <c r="E59" t="s">
        <v>178</v>
      </c>
      <c r="F59">
        <v>5</v>
      </c>
      <c r="G59" t="s">
        <v>12</v>
      </c>
      <c r="H59" t="s">
        <v>20</v>
      </c>
      <c r="I59" t="s">
        <v>14</v>
      </c>
      <c r="J59" t="s">
        <v>150</v>
      </c>
      <c r="K59">
        <v>39.799999999999997</v>
      </c>
    </row>
    <row r="60" spans="1:11" x14ac:dyDescent="0.25">
      <c r="A60" s="104">
        <v>46295.625428240739</v>
      </c>
      <c r="B60" t="s">
        <v>19</v>
      </c>
      <c r="C60" t="s">
        <v>135</v>
      </c>
      <c r="D60" t="s">
        <v>177</v>
      </c>
      <c r="E60" t="s">
        <v>178</v>
      </c>
      <c r="F60">
        <v>5</v>
      </c>
      <c r="G60" t="s">
        <v>12</v>
      </c>
      <c r="H60" t="s">
        <v>20</v>
      </c>
      <c r="I60" t="s">
        <v>14</v>
      </c>
      <c r="J60" t="s">
        <v>150</v>
      </c>
      <c r="K60">
        <v>47.8</v>
      </c>
    </row>
    <row r="61" spans="1:11" x14ac:dyDescent="0.25">
      <c r="A61" s="104">
        <v>46295.877071759256</v>
      </c>
      <c r="B61" t="s">
        <v>18</v>
      </c>
      <c r="C61" t="s">
        <v>133</v>
      </c>
      <c r="D61" t="s">
        <v>152</v>
      </c>
      <c r="E61" t="s">
        <v>153</v>
      </c>
      <c r="F61">
        <v>5</v>
      </c>
      <c r="G61" t="s">
        <v>16</v>
      </c>
      <c r="H61" t="s">
        <v>13</v>
      </c>
      <c r="I61" t="s">
        <v>14</v>
      </c>
      <c r="J61" t="s">
        <v>132</v>
      </c>
      <c r="K61">
        <v>39.799999999999997</v>
      </c>
    </row>
    <row r="62" spans="1:11" x14ac:dyDescent="0.25">
      <c r="A62" s="104">
        <v>46295.9219212963</v>
      </c>
      <c r="B62" t="s">
        <v>18</v>
      </c>
      <c r="C62" t="s">
        <v>133</v>
      </c>
      <c r="D62" t="s">
        <v>152</v>
      </c>
      <c r="E62" t="s">
        <v>153</v>
      </c>
      <c r="F62">
        <v>5</v>
      </c>
      <c r="G62" t="s">
        <v>12</v>
      </c>
      <c r="H62" t="s">
        <v>13</v>
      </c>
      <c r="I62" t="s">
        <v>14</v>
      </c>
      <c r="J62" t="s">
        <v>150</v>
      </c>
      <c r="K62">
        <v>39.799999999999997</v>
      </c>
    </row>
    <row r="63" spans="1:11" x14ac:dyDescent="0.25">
      <c r="A63" s="104">
        <v>46295.980138888888</v>
      </c>
      <c r="B63" t="s">
        <v>19</v>
      </c>
      <c r="C63" t="s">
        <v>135</v>
      </c>
      <c r="D63" t="s">
        <v>141</v>
      </c>
      <c r="E63" t="s">
        <v>142</v>
      </c>
      <c r="F63">
        <v>5</v>
      </c>
      <c r="G63" t="s">
        <v>12</v>
      </c>
      <c r="H63" t="s">
        <v>20</v>
      </c>
      <c r="I63" t="s">
        <v>14</v>
      </c>
      <c r="J63" t="s">
        <v>150</v>
      </c>
      <c r="K63">
        <v>47.8</v>
      </c>
    </row>
    <row r="64" spans="1:11" x14ac:dyDescent="0.25">
      <c r="A64" s="104">
        <v>46295.980254629627</v>
      </c>
      <c r="B64" t="s">
        <v>19</v>
      </c>
      <c r="C64" t="s">
        <v>135</v>
      </c>
      <c r="D64" t="s">
        <v>141</v>
      </c>
      <c r="E64" t="s">
        <v>142</v>
      </c>
      <c r="F64">
        <v>5</v>
      </c>
      <c r="G64" t="s">
        <v>16</v>
      </c>
      <c r="H64" t="s">
        <v>20</v>
      </c>
      <c r="I64" t="s">
        <v>14</v>
      </c>
      <c r="J64" t="s">
        <v>136</v>
      </c>
      <c r="K64">
        <v>47.8</v>
      </c>
    </row>
    <row r="65" spans="1:11" x14ac:dyDescent="0.25">
      <c r="A65" s="104">
        <v>46296.168726851851</v>
      </c>
      <c r="B65" t="s">
        <v>15</v>
      </c>
      <c r="C65" t="s">
        <v>131</v>
      </c>
      <c r="D65" t="s">
        <v>141</v>
      </c>
      <c r="E65" t="s">
        <v>142</v>
      </c>
      <c r="F65">
        <v>5</v>
      </c>
      <c r="G65" t="s">
        <v>16</v>
      </c>
      <c r="H65" t="s">
        <v>13</v>
      </c>
      <c r="I65" t="s">
        <v>14</v>
      </c>
      <c r="J65" t="s">
        <v>136</v>
      </c>
      <c r="K65">
        <v>39.799999999999997</v>
      </c>
    </row>
    <row r="66" spans="1:11" x14ac:dyDescent="0.25">
      <c r="A66" s="104">
        <v>46296.250567129631</v>
      </c>
      <c r="B66" t="s">
        <v>15</v>
      </c>
      <c r="C66" t="s">
        <v>131</v>
      </c>
      <c r="D66" t="s">
        <v>129</v>
      </c>
      <c r="E66" t="s">
        <v>130</v>
      </c>
      <c r="F66">
        <v>5</v>
      </c>
      <c r="G66" t="s">
        <v>16</v>
      </c>
      <c r="H66" t="s">
        <v>17</v>
      </c>
      <c r="I66" t="s">
        <v>14</v>
      </c>
      <c r="J66" t="s">
        <v>136</v>
      </c>
      <c r="K66">
        <v>39.799999999999997</v>
      </c>
    </row>
    <row r="67" spans="1:11" x14ac:dyDescent="0.25">
      <c r="A67" s="104">
        <v>46296.250706018516</v>
      </c>
      <c r="B67" t="s">
        <v>18</v>
      </c>
      <c r="C67" t="s">
        <v>133</v>
      </c>
      <c r="D67" t="s">
        <v>129</v>
      </c>
      <c r="E67" t="s">
        <v>130</v>
      </c>
      <c r="F67">
        <v>5</v>
      </c>
      <c r="G67" t="s">
        <v>16</v>
      </c>
      <c r="H67" t="s">
        <v>17</v>
      </c>
      <c r="I67" t="s">
        <v>14</v>
      </c>
      <c r="J67" t="s">
        <v>136</v>
      </c>
      <c r="K67">
        <v>39.799999999999997</v>
      </c>
    </row>
    <row r="68" spans="1:11" x14ac:dyDescent="0.25">
      <c r="A68" s="104">
        <v>46296.250856481478</v>
      </c>
      <c r="B68" t="s">
        <v>15</v>
      </c>
      <c r="C68" t="s">
        <v>131</v>
      </c>
      <c r="D68" t="s">
        <v>129</v>
      </c>
      <c r="E68" t="s">
        <v>130</v>
      </c>
      <c r="F68">
        <v>5</v>
      </c>
      <c r="G68" t="s">
        <v>16</v>
      </c>
      <c r="H68" t="s">
        <v>13</v>
      </c>
      <c r="I68" t="s">
        <v>14</v>
      </c>
      <c r="J68" t="s">
        <v>136</v>
      </c>
      <c r="K68">
        <v>39.799999999999997</v>
      </c>
    </row>
    <row r="69" spans="1:11" x14ac:dyDescent="0.25">
      <c r="A69" s="104">
        <v>46296.251006944447</v>
      </c>
      <c r="B69" t="s">
        <v>18</v>
      </c>
      <c r="C69" t="s">
        <v>133</v>
      </c>
      <c r="D69" t="s">
        <v>129</v>
      </c>
      <c r="E69" t="s">
        <v>130</v>
      </c>
      <c r="F69">
        <v>5</v>
      </c>
      <c r="G69" t="s">
        <v>16</v>
      </c>
      <c r="H69" t="s">
        <v>13</v>
      </c>
      <c r="I69" t="s">
        <v>14</v>
      </c>
      <c r="J69" t="s">
        <v>136</v>
      </c>
      <c r="K69">
        <v>39.799999999999997</v>
      </c>
    </row>
    <row r="70" spans="1:11" x14ac:dyDescent="0.25">
      <c r="A70" s="104">
        <v>46296.251157407409</v>
      </c>
      <c r="B70" t="s">
        <v>19</v>
      </c>
      <c r="C70" t="s">
        <v>135</v>
      </c>
      <c r="D70" t="s">
        <v>129</v>
      </c>
      <c r="E70" t="s">
        <v>130</v>
      </c>
      <c r="F70">
        <v>5</v>
      </c>
      <c r="G70" t="s">
        <v>16</v>
      </c>
      <c r="H70" t="s">
        <v>20</v>
      </c>
      <c r="I70" t="s">
        <v>14</v>
      </c>
      <c r="J70" t="s">
        <v>136</v>
      </c>
      <c r="K70">
        <v>47.8</v>
      </c>
    </row>
    <row r="71" spans="1:11" x14ac:dyDescent="0.25">
      <c r="A71" s="104">
        <v>46296.251319444447</v>
      </c>
      <c r="B71" t="s">
        <v>19</v>
      </c>
      <c r="C71" t="s">
        <v>135</v>
      </c>
      <c r="D71" t="s">
        <v>129</v>
      </c>
      <c r="E71" t="s">
        <v>130</v>
      </c>
      <c r="F71">
        <v>5</v>
      </c>
      <c r="G71" t="s">
        <v>16</v>
      </c>
      <c r="H71" t="s">
        <v>20</v>
      </c>
      <c r="I71" t="s">
        <v>14</v>
      </c>
      <c r="J71" t="s">
        <v>136</v>
      </c>
      <c r="K71">
        <v>47.8</v>
      </c>
    </row>
    <row r="72" spans="1:11" x14ac:dyDescent="0.25">
      <c r="A72" s="104">
        <v>46296.876793981479</v>
      </c>
      <c r="B72" t="s">
        <v>18</v>
      </c>
      <c r="C72" t="s">
        <v>133</v>
      </c>
      <c r="D72" t="s">
        <v>152</v>
      </c>
      <c r="E72" t="s">
        <v>153</v>
      </c>
      <c r="F72">
        <v>5</v>
      </c>
      <c r="G72" t="s">
        <v>12</v>
      </c>
      <c r="H72" t="s">
        <v>13</v>
      </c>
      <c r="I72" t="s">
        <v>14</v>
      </c>
      <c r="J72" t="s">
        <v>150</v>
      </c>
      <c r="K72">
        <v>39.799999999999997</v>
      </c>
    </row>
    <row r="73" spans="1:11" x14ac:dyDescent="0.25">
      <c r="A73" s="104">
        <v>46296.883657407408</v>
      </c>
      <c r="B73" t="s">
        <v>19</v>
      </c>
      <c r="C73" t="s">
        <v>135</v>
      </c>
      <c r="D73" t="s">
        <v>141</v>
      </c>
      <c r="E73" t="s">
        <v>142</v>
      </c>
      <c r="F73">
        <v>5</v>
      </c>
      <c r="G73" t="s">
        <v>12</v>
      </c>
      <c r="H73" t="s">
        <v>20</v>
      </c>
      <c r="I73" t="s">
        <v>14</v>
      </c>
      <c r="J73" t="s">
        <v>150</v>
      </c>
      <c r="K73">
        <v>47.8</v>
      </c>
    </row>
    <row r="74" spans="1:11" x14ac:dyDescent="0.25">
      <c r="A74" s="104">
        <v>46296.883958333332</v>
      </c>
      <c r="B74" t="s">
        <v>19</v>
      </c>
      <c r="C74" t="s">
        <v>135</v>
      </c>
      <c r="D74" t="s">
        <v>141</v>
      </c>
      <c r="E74" t="s">
        <v>142</v>
      </c>
      <c r="F74">
        <v>5</v>
      </c>
      <c r="G74" t="s">
        <v>16</v>
      </c>
      <c r="H74" t="s">
        <v>20</v>
      </c>
      <c r="I74" t="s">
        <v>14</v>
      </c>
      <c r="J74" t="s">
        <v>136</v>
      </c>
      <c r="K74">
        <v>47.8</v>
      </c>
    </row>
    <row r="75" spans="1:11" x14ac:dyDescent="0.25">
      <c r="A75" s="104"/>
    </row>
    <row r="76" spans="1:11" x14ac:dyDescent="0.25">
      <c r="A76" s="104"/>
    </row>
    <row r="77" spans="1:11" x14ac:dyDescent="0.25">
      <c r="A77" s="104"/>
    </row>
    <row r="78" spans="1:11" x14ac:dyDescent="0.25">
      <c r="A78" s="104"/>
    </row>
    <row r="79" spans="1:11" x14ac:dyDescent="0.25">
      <c r="A79" s="104"/>
    </row>
    <row r="80" spans="1:11" x14ac:dyDescent="0.25">
      <c r="A80" s="104"/>
    </row>
    <row r="81" spans="1:1" x14ac:dyDescent="0.25">
      <c r="A81" s="104"/>
    </row>
    <row r="82" spans="1:1" x14ac:dyDescent="0.25">
      <c r="A82" s="104"/>
    </row>
    <row r="83" spans="1:1" x14ac:dyDescent="0.25">
      <c r="A83" s="104"/>
    </row>
    <row r="84" spans="1:1" x14ac:dyDescent="0.25">
      <c r="A84" s="104"/>
    </row>
    <row r="85" spans="1:1" x14ac:dyDescent="0.25">
      <c r="A85" s="104"/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B6A03-6970-44BB-A632-91D29CD5294C}">
  <sheetPr codeName="Feuil21"/>
  <dimension ref="A1:K9"/>
  <sheetViews>
    <sheetView workbookViewId="0"/>
  </sheetViews>
  <sheetFormatPr baseColWidth="10" defaultRowHeight="15" x14ac:dyDescent="0.25"/>
  <cols>
    <col min="1" max="1" width="26.85546875" bestFit="1" customWidth="1"/>
    <col min="2" max="3" width="22.7109375" bestFit="1" customWidth="1"/>
    <col min="4" max="4" width="14.7109375" bestFit="1" customWidth="1"/>
    <col min="5" max="5" width="17.140625" bestFit="1" customWidth="1"/>
    <col min="6" max="6" width="6.5703125" bestFit="1" customWidth="1"/>
    <col min="7" max="7" width="10.5703125" bestFit="1" customWidth="1"/>
    <col min="8" max="8" width="6.28515625" bestFit="1" customWidth="1"/>
    <col min="9" max="9" width="12" bestFit="1" customWidth="1"/>
    <col min="10" max="10" width="9.42578125" bestFit="1" customWidth="1"/>
    <col min="11" max="11" width="7.85546875" bestFit="1" customWidth="1"/>
  </cols>
  <sheetData>
    <row r="1" spans="1:1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B2" t="s">
        <v>27</v>
      </c>
      <c r="C2" t="s">
        <v>27</v>
      </c>
      <c r="F2">
        <v>11</v>
      </c>
      <c r="G2" t="s">
        <v>12</v>
      </c>
      <c r="H2" t="s">
        <v>23</v>
      </c>
      <c r="I2" t="s">
        <v>14</v>
      </c>
      <c r="K2">
        <v>133.97999999999999</v>
      </c>
    </row>
    <row r="3" spans="1:11" x14ac:dyDescent="0.25">
      <c r="B3" t="s">
        <v>28</v>
      </c>
      <c r="F3">
        <v>11</v>
      </c>
      <c r="G3" t="s">
        <v>12</v>
      </c>
      <c r="H3" t="s">
        <v>23</v>
      </c>
      <c r="I3" t="s">
        <v>29</v>
      </c>
      <c r="K3">
        <v>533.5</v>
      </c>
    </row>
    <row r="4" spans="1:11" x14ac:dyDescent="0.25">
      <c r="B4" t="s">
        <v>30</v>
      </c>
      <c r="C4" t="s">
        <v>30</v>
      </c>
      <c r="F4">
        <v>5</v>
      </c>
      <c r="G4" t="s">
        <v>12</v>
      </c>
      <c r="H4" t="s">
        <v>23</v>
      </c>
      <c r="I4" t="s">
        <v>14</v>
      </c>
      <c r="K4">
        <v>40.75</v>
      </c>
    </row>
    <row r="5" spans="1:11" x14ac:dyDescent="0.25">
      <c r="B5" t="s">
        <v>31</v>
      </c>
      <c r="F5">
        <v>7</v>
      </c>
      <c r="G5" t="s">
        <v>12</v>
      </c>
      <c r="H5" t="s">
        <v>23</v>
      </c>
      <c r="I5" t="s">
        <v>29</v>
      </c>
      <c r="K5">
        <v>328.65000000000003</v>
      </c>
    </row>
    <row r="6" spans="1:11" x14ac:dyDescent="0.25">
      <c r="B6" t="s">
        <v>27</v>
      </c>
      <c r="C6" t="s">
        <v>27</v>
      </c>
      <c r="F6">
        <v>4</v>
      </c>
      <c r="G6" t="s">
        <v>16</v>
      </c>
      <c r="H6" t="s">
        <v>23</v>
      </c>
      <c r="I6" t="s">
        <v>14</v>
      </c>
      <c r="K6">
        <v>48.72</v>
      </c>
    </row>
    <row r="7" spans="1:11" x14ac:dyDescent="0.25">
      <c r="B7" t="s">
        <v>28</v>
      </c>
      <c r="F7">
        <v>4</v>
      </c>
      <c r="G7" t="s">
        <v>16</v>
      </c>
      <c r="H7" t="s">
        <v>23</v>
      </c>
      <c r="I7" t="s">
        <v>29</v>
      </c>
      <c r="K7">
        <v>194</v>
      </c>
    </row>
    <row r="8" spans="1:11" x14ac:dyDescent="0.25">
      <c r="B8" t="s">
        <v>30</v>
      </c>
      <c r="C8" t="s">
        <v>30</v>
      </c>
      <c r="F8">
        <v>4</v>
      </c>
      <c r="G8" t="s">
        <v>16</v>
      </c>
      <c r="H8" t="s">
        <v>23</v>
      </c>
      <c r="I8" t="s">
        <v>14</v>
      </c>
      <c r="K8">
        <v>32.6</v>
      </c>
    </row>
    <row r="9" spans="1:11" x14ac:dyDescent="0.25">
      <c r="B9" t="s">
        <v>31</v>
      </c>
      <c r="F9">
        <v>6</v>
      </c>
      <c r="G9" t="s">
        <v>16</v>
      </c>
      <c r="H9" t="s">
        <v>23</v>
      </c>
      <c r="I9" t="s">
        <v>29</v>
      </c>
      <c r="K9">
        <v>281.70000000000005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612ED-199A-49B9-8CFA-8C7E769BF1B2}">
  <sheetPr codeName="Feuil22"/>
  <dimension ref="A1"/>
  <sheetViews>
    <sheetView workbookViewId="0">
      <selection activeCell="L4" sqref="L4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2126BE89112504EB6F49DB302F7D9F6" ma:contentTypeVersion="3" ma:contentTypeDescription="Create a new document." ma:contentTypeScope="" ma:versionID="e4517713629a51f1dbce9849fda36032">
  <xsd:schema xmlns:xsd="http://www.w3.org/2001/XMLSchema" xmlns:xs="http://www.w3.org/2001/XMLSchema" xmlns:p="http://schemas.microsoft.com/office/2006/metadata/properties" xmlns:ns2="c82f905a-0012-40f1-a59b-9a30ea40ee29" targetNamespace="http://schemas.microsoft.com/office/2006/metadata/properties" ma:root="true" ma:fieldsID="b4276c2470832f655ca42a00923fb5ee" ns2:_="">
    <xsd:import namespace="c82f905a-0012-40f1-a59b-9a30ea40ee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2f905a-0012-40f1-a59b-9a30ea40ee2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�� 
</file>

<file path=customXml/itemProps1.xml><?xml version="1.0" encoding="utf-8"?>
<ds:datastoreItem xmlns:ds="http://schemas.openxmlformats.org/officeDocument/2006/customXml" ds:itemID="{F9CC2EDF-1861-4811-8DC0-4F7CE321E9F6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461F2A6-4044-464D-AEF2-3D73ED6EB41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2f905a-0012-40f1-a59b-9a30ea40ee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B067F00-E5EC-4DAB-ACC4-6993119DC481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D705BB19-3381-4C31-95FE-66ACC07F20BC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725ca717-11da-4935-b601-f527b9741f2e}" enabled="1" method="Standard" siteId="{d852d5cd-724c-4128-8812-ffa5db3f850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22</vt:i4>
      </vt:variant>
    </vt:vector>
  </HeadingPairs>
  <TitlesOfParts>
    <vt:vector size="22" baseType="lpstr">
      <vt:lpstr>Tableau colonne</vt:lpstr>
      <vt:lpstr>Tableau roto</vt:lpstr>
      <vt:lpstr>Tableau plaquettes roto</vt:lpstr>
      <vt:lpstr>Tableau plaquettes complet</vt:lpstr>
      <vt:lpstr>Coût sans total</vt:lpstr>
      <vt:lpstr>Coût avec total</vt:lpstr>
      <vt:lpstr>Quantité sans total</vt:lpstr>
      <vt:lpstr>Quantité avec total</vt:lpstr>
      <vt:lpstr>pareto conso plaquette</vt:lpstr>
      <vt:lpstr>Pareto coût plaquette</vt:lpstr>
      <vt:lpstr>Réel-Théorique</vt:lpstr>
      <vt:lpstr>Coût pièce PCI 4 302 </vt:lpstr>
      <vt:lpstr>Cout pièce PCI 4 283</vt:lpstr>
      <vt:lpstr>Cout pièce PCI 4 268</vt:lpstr>
      <vt:lpstr>Coût pièce PCI 5 304</vt:lpstr>
      <vt:lpstr>Coût pièce PCI 5 268</vt:lpstr>
      <vt:lpstr>Evolution coût </vt:lpstr>
      <vt:lpstr>Evolution quantité</vt:lpstr>
      <vt:lpstr>Evolution coût pièce</vt:lpstr>
      <vt:lpstr>Tableau_colonne</vt:lpstr>
      <vt:lpstr>Tableau_plaquettes_roto</vt:lpstr>
      <vt:lpstr>Image diapo</vt:lpstr>
    </vt:vector>
  </TitlesOfParts>
  <Manager/>
  <Company>STELLANTIS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COLINE BONTEMS (EXTERNAL)</dc:creator>
  <cp:keywords/>
  <dc:description/>
  <cp:lastModifiedBy>MATIS HERNU</cp:lastModifiedBy>
  <cp:revision/>
  <dcterms:created xsi:type="dcterms:W3CDTF">2024-10-25T06:11:05Z</dcterms:created>
  <dcterms:modified xsi:type="dcterms:W3CDTF">2026-10-02T13:43:54Z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25ca717-11da-4935-b601-f527b9741f2e_Enabled">
    <vt:lpwstr>true</vt:lpwstr>
  </property>
  <property fmtid="{D5CDD505-2E9C-101B-9397-08002B2CF9AE}" pid="3" name="MSIP_Label_725ca717-11da-4935-b601-f527b9741f2e_SetDate">
    <vt:lpwstr>2024-10-25T06:24:34Z</vt:lpwstr>
  </property>
  <property fmtid="{D5CDD505-2E9C-101B-9397-08002B2CF9AE}" pid="4" name="MSIP_Label_725ca717-11da-4935-b601-f527b9741f2e_Method">
    <vt:lpwstr>Standard</vt:lpwstr>
  </property>
  <property fmtid="{D5CDD505-2E9C-101B-9397-08002B2CF9AE}" pid="5" name="MSIP_Label_725ca717-11da-4935-b601-f527b9741f2e_Name">
    <vt:lpwstr>C2 - Internal</vt:lpwstr>
  </property>
  <property fmtid="{D5CDD505-2E9C-101B-9397-08002B2CF9AE}" pid="6" name="MSIP_Label_725ca717-11da-4935-b601-f527b9741f2e_SiteId">
    <vt:lpwstr>d852d5cd-724c-4128-8812-ffa5db3f8507</vt:lpwstr>
  </property>
  <property fmtid="{D5CDD505-2E9C-101B-9397-08002B2CF9AE}" pid="7" name="MSIP_Label_725ca717-11da-4935-b601-f527b9741f2e_ActionId">
    <vt:lpwstr>03a4be35-27fe-40f2-8b2b-d7a056ef01e7</vt:lpwstr>
  </property>
  <property fmtid="{D5CDD505-2E9C-101B-9397-08002B2CF9AE}" pid="8" name="MSIP_Label_725ca717-11da-4935-b601-f527b9741f2e_ContentBits">
    <vt:lpwstr>0</vt:lpwstr>
  </property>
  <property fmtid="{D5CDD505-2E9C-101B-9397-08002B2CF9AE}" pid="9" name="ContentTypeId">
    <vt:lpwstr>0x01010062126BE89112504EB6F49DB302F7D9F6</vt:lpwstr>
  </property>
  <property fmtid="{D5CDD505-2E9C-101B-9397-08002B2CF9AE}" pid="10" name="MSIP_Label_2f065793-cb5f-4919-86bd-a613a0bd79ee_Enabled">
    <vt:lpwstr>true</vt:lpwstr>
  </property>
  <property fmtid="{D5CDD505-2E9C-101B-9397-08002B2CF9AE}" pid="11" name="MSIP_Label_2f065793-cb5f-4919-86bd-a613a0bd79ee_SetDate">
    <vt:lpwstr>2026-09-10T06:14:45Z</vt:lpwstr>
  </property>
  <property fmtid="{D5CDD505-2E9C-101B-9397-08002B2CF9AE}" pid="12" name="MSIP_Label_2f065793-cb5f-4919-86bd-a613a0bd79ee_Method">
    <vt:lpwstr>Standard</vt:lpwstr>
  </property>
  <property fmtid="{D5CDD505-2E9C-101B-9397-08002B2CF9AE}" pid="13" name="MSIP_Label_2f065793-cb5f-4919-86bd-a613a0bd79ee_Name">
    <vt:lpwstr>2f065793-cb5f-4919-86bd-a613a0bd79ee</vt:lpwstr>
  </property>
  <property fmtid="{D5CDD505-2E9C-101B-9397-08002B2CF9AE}" pid="14" name="MSIP_Label_2f065793-cb5f-4919-86bd-a613a0bd79ee_SiteId">
    <vt:lpwstr>e7ee4711-c0b1-4311-b500-b80d89e5b298</vt:lpwstr>
  </property>
  <property fmtid="{D5CDD505-2E9C-101B-9397-08002B2CF9AE}" pid="15" name="MSIP_Label_2f065793-cb5f-4919-86bd-a613a0bd79ee_ActionId">
    <vt:lpwstr>70a91457-159a-4f9e-be33-22b353fa05fd</vt:lpwstr>
  </property>
  <property fmtid="{D5CDD505-2E9C-101B-9397-08002B2CF9AE}" pid="16" name="MSIP_Label_2f065793-cb5f-4919-86bd-a613a0bd79ee_ContentBits">
    <vt:lpwstr>0</vt:lpwstr>
  </property>
  <property fmtid="{D5CDD505-2E9C-101B-9397-08002B2CF9AE}" pid="17" name="MSIP_Label_2f065793-cb5f-4919-86bd-a613a0bd79ee_Tag">
    <vt:lpwstr>10, 3, 0, 1</vt:lpwstr>
  </property>
</Properties>
</file>