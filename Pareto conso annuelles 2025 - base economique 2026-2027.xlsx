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hiftup-my.sharepoint.com/personal/sg58524_stellantis_com/Documents/4-Consommations/Consommations annuelles/"/>
    </mc:Choice>
  </mc:AlternateContent>
  <xr:revisionPtr revIDLastSave="170" documentId="8_{8FD3E108-715C-40C8-A693-CD8B4DA01279}" xr6:coauthVersionLast="47" xr6:coauthVersionMax="47" xr10:uidLastSave="{3E3CFEFF-08F4-4953-B9EF-D171992E2530}"/>
  <bookViews>
    <workbookView xWindow="-120" yWindow="-120" windowWidth="29040" windowHeight="15720" xr2:uid="{CA1AE8B1-44C2-4312-B779-7ED36046D2CF}"/>
  </bookViews>
  <sheets>
    <sheet name="Feuil1" sheetId="1" r:id="rId1"/>
  </sheets>
  <definedNames>
    <definedName name="_xlchart.v1.0" hidden="1">Feuil1!$T$7:$T$111</definedName>
    <definedName name="_xlchart.v1.1" hidden="1">Feuil1!$T$7:$T$139</definedName>
    <definedName name="_xlchart.v1.2" hidden="1">Feuil1!$U$7:$U$111</definedName>
    <definedName name="_xlchart.v1.3" hidden="1">Feuil1!$U$7:$U$139</definedName>
    <definedName name="_xlchart.v1.4" hidden="1">Feuil1!$T$7:$T$17</definedName>
    <definedName name="_xlchart.v1.5" hidden="1">Feuil1!$U$7:$U$17</definedName>
  </definedNames>
  <calcPr calcId="191029"/>
  <pivotCaches>
    <pivotCache cacheId="0" r:id="rId2"/>
    <pivotCache cacheId="1" r:id="rId3"/>
    <pivotCache cacheId="2" r:id="rId4"/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F74" i="1" l="1"/>
  <c r="F59" i="1"/>
  <c r="F70" i="1"/>
  <c r="P3" i="1"/>
  <c r="G4" i="1"/>
  <c r="G8" i="1"/>
  <c r="P4" i="1"/>
  <c r="G9" i="1" l="1"/>
  <c r="G5" i="1"/>
  <c r="F65" i="1"/>
  <c r="F67" i="1" s="1"/>
  <c r="F61" i="1"/>
  <c r="H60" i="1" s="1"/>
  <c r="H65" i="1" l="1"/>
  <c r="H66" i="1"/>
  <c r="H59" i="1"/>
</calcChain>
</file>

<file path=xl/sharedStrings.xml><?xml version="1.0" encoding="utf-8"?>
<sst xmlns="http://schemas.openxmlformats.org/spreadsheetml/2006/main" count="296" uniqueCount="45">
  <si>
    <t>Étiquettes de lignes</t>
  </si>
  <si>
    <t xml:space="preserve">Somme de Cout </t>
  </si>
  <si>
    <t>PCI 4</t>
  </si>
  <si>
    <t>IM02 137 020</t>
  </si>
  <si>
    <t>Z000 513 527</t>
  </si>
  <si>
    <t>IM02 137 021</t>
  </si>
  <si>
    <t>IM02 137 022</t>
  </si>
  <si>
    <t>IM02 145 346</t>
  </si>
  <si>
    <t>IM02 140 677</t>
  </si>
  <si>
    <t>IM02 140 678</t>
  </si>
  <si>
    <t>EMBOUT D13,3</t>
  </si>
  <si>
    <t>IM02 137 023</t>
  </si>
  <si>
    <t>EMBOUT D8,6</t>
  </si>
  <si>
    <t>IM02 137 019</t>
  </si>
  <si>
    <t>IM02 151 674</t>
  </si>
  <si>
    <t>PLAQUETTE FRAISURAGE</t>
  </si>
  <si>
    <t>Z000 546 265</t>
  </si>
  <si>
    <t>PLAQUETTE CHANFREIN</t>
  </si>
  <si>
    <t>RONDELLE FENDUE BELLEVILLE OP30</t>
  </si>
  <si>
    <t>PCI 5</t>
  </si>
  <si>
    <t>Z000 539 100</t>
  </si>
  <si>
    <t>(vide)</t>
  </si>
  <si>
    <t>Total général</t>
  </si>
  <si>
    <t>WEISSER 1</t>
  </si>
  <si>
    <t>Z000 546 266</t>
  </si>
  <si>
    <t>Z000 321 718</t>
  </si>
  <si>
    <t>Z000 522 436</t>
  </si>
  <si>
    <t>Z000 517 182</t>
  </si>
  <si>
    <t>Z000 455 182</t>
  </si>
  <si>
    <t>Z000 519 285</t>
  </si>
  <si>
    <t>Z000 532 588</t>
  </si>
  <si>
    <t>PLAQUETTE PISTE OP20 R1,2 T323</t>
  </si>
  <si>
    <t>Z000 548 367</t>
  </si>
  <si>
    <t>WEISSER 2</t>
  </si>
  <si>
    <t>WEISSER 3</t>
  </si>
  <si>
    <t>WEISSER 4</t>
  </si>
  <si>
    <t>Z000 544 318</t>
  </si>
  <si>
    <t>HESSAPP</t>
  </si>
  <si>
    <t xml:space="preserve">IM02 198 054 </t>
  </si>
  <si>
    <t>IM02 209 560</t>
  </si>
  <si>
    <t>PLAQUETTE D</t>
  </si>
  <si>
    <t>EMBOUT D15,3</t>
  </si>
  <si>
    <t>EMAG 1</t>
  </si>
  <si>
    <t>EMAG 2</t>
  </si>
  <si>
    <t>EMAG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</si>
</sst>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[$-40C]dd\/mm\/yyyy\ hh\:mm\:ss"/>
    <numFmt numFmtId="166" formatCode="#,##0.00\ [$€-40C];\-#,##0.00\ [$€-40C]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  <xf numFmtId="1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left" indent="1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2">
    <dxf>
      <numFmt numFmtId="164" formatCode="#,##0.00\ &quot;€&quot;"/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4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3.xml"/><Relationship Id="rId9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_xlchart.v1.3</cx:f>
      </cx:numDim>
    </cx:data>
  </cx:chartData>
  <cx:chart>
    <cx:title pos="t" align="ctr" overlay="0">
      <cx:tx>
        <cx:txData>
          <cx:v>Pareto des coûts par référence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des coûts par référence</a:t>
          </a:r>
        </a:p>
      </cx:txPr>
    </cx:title>
    <cx:plotArea>
      <cx:plotAreaRegion>
        <cx:series layoutId="clusteredColumn" uniqueId="{85D9085A-3B09-44CC-BAA6-FEF0C39214C9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/>
                    </a:solidFill>
                  </a:defRPr>
                </a:pPr>
                <a:endParaRPr lang="fr-FR" sz="9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F011AE9-8C33-4E3A-9C67-4892715B826C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50</xdr:row>
      <xdr:rowOff>0</xdr:rowOff>
    </xdr:from>
    <xdr:to>
      <xdr:col>27</xdr:col>
      <xdr:colOff>447675</xdr:colOff>
      <xdr:row>84</xdr:row>
      <xdr:rowOff>9525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338842CC-8A95-FAA7-10D2-81B8E748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5450" y="9525000"/>
          <a:ext cx="3495675" cy="648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583846</xdr:colOff>
      <xdr:row>57</xdr:row>
      <xdr:rowOff>33042</xdr:rowOff>
    </xdr:from>
    <xdr:to>
      <xdr:col>18</xdr:col>
      <xdr:colOff>218132</xdr:colOff>
      <xdr:row>95</xdr:row>
      <xdr:rowOff>172861</xdr:rowOff>
    </xdr:to>
    <xdr:grpSp>
      <xdr:nvGrpSpPr>
        <xdr:cNvPr id="8" name="Groupe 7">
          <a:extLst>
            <a:ext uri="{FF2B5EF4-FFF2-40B4-BE49-F238E27FC236}">
              <a16:creationId xmlns:a16="http://schemas.microsoft.com/office/drawing/2014/main" id="{DEDD7D8D-AB46-439B-7884-63D29CE61AD3}"/>
            </a:ext>
          </a:extLst>
        </xdr:cNvPr>
        <xdr:cNvGrpSpPr/>
      </xdr:nvGrpSpPr>
      <xdr:grpSpPr>
        <a:xfrm>
          <a:off x="10412835" y="11007058"/>
          <a:ext cx="10527238" cy="7455830"/>
          <a:chOff x="10223479" y="6248820"/>
          <a:chExt cx="10543306" cy="7343064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5" name="Graphique 4">
                <a:extLst>
                  <a:ext uri="{FF2B5EF4-FFF2-40B4-BE49-F238E27FC236}">
                    <a16:creationId xmlns:a16="http://schemas.microsoft.com/office/drawing/2014/main" id="{9A196447-A07F-222B-0A85-5A53A7D4CD3F}"/>
                  </a:ext>
                </a:extLst>
              </xdr:cNvPr>
              <xdr:cNvGraphicFramePr/>
            </xdr:nvGraphicFramePr>
            <xdr:xfrm>
              <a:off x="10223479" y="6248820"/>
              <a:ext cx="10543306" cy="7343064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223479" y="6248820"/>
                <a:ext cx="10543306" cy="734306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 graphique n’est pas disponible dans votre version d’Excel.
La modification de cette forme ou l’enregistrement de ce classeur dans un autre format de fichier endommagera le graphique de façon irréparable.</a:t>
                </a:r>
              </a:p>
            </xdr:txBody>
          </xdr:sp>
        </mc:Fallback>
      </mc:AlternateContent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3A9ADB84-6F2C-EEBC-C2F5-9B4AFB95149A}"/>
              </a:ext>
            </a:extLst>
          </xdr:cNvPr>
          <xdr:cNvSpPr/>
        </xdr:nvSpPr>
        <xdr:spPr>
          <a:xfrm>
            <a:off x="11063645" y="9137929"/>
            <a:ext cx="288000" cy="2557325"/>
          </a:xfrm>
          <a:prstGeom prst="rect">
            <a:avLst/>
          </a:prstGeom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7" name="ZoneTexte 6">
            <a:extLst>
              <a:ext uri="{FF2B5EF4-FFF2-40B4-BE49-F238E27FC236}">
                <a16:creationId xmlns:a16="http://schemas.microsoft.com/office/drawing/2014/main" id="{3F7675C3-284C-574A-F3B1-7234F47055C4}"/>
              </a:ext>
            </a:extLst>
          </xdr:cNvPr>
          <xdr:cNvSpPr txBox="1"/>
        </xdr:nvSpPr>
        <xdr:spPr>
          <a:xfrm>
            <a:off x="10769922" y="8963267"/>
            <a:ext cx="878696" cy="224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fr-FR" sz="900"/>
              <a:t>90880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D6C13F5C-6AC7-7934-7EEF-95EE43352E70}"/>
              </a:ext>
            </a:extLst>
          </xdr:cNvPr>
          <xdr:cNvSpPr/>
        </xdr:nvSpPr>
        <xdr:spPr>
          <a:xfrm>
            <a:off x="11978652" y="10223472"/>
            <a:ext cx="301576" cy="1465447"/>
          </a:xfrm>
          <a:prstGeom prst="rect">
            <a:avLst/>
          </a:prstGeom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0" name="ZoneTexte 9">
            <a:extLst>
              <a:ext uri="{FF2B5EF4-FFF2-40B4-BE49-F238E27FC236}">
                <a16:creationId xmlns:a16="http://schemas.microsoft.com/office/drawing/2014/main" id="{A12C1E32-4422-02A7-8726-AE1950126F29}"/>
              </a:ext>
            </a:extLst>
          </xdr:cNvPr>
          <xdr:cNvSpPr txBox="1"/>
        </xdr:nvSpPr>
        <xdr:spPr>
          <a:xfrm>
            <a:off x="11692728" y="10045526"/>
            <a:ext cx="878696" cy="224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fr-FR" sz="900"/>
              <a:t>51249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CI/SUIVI%20DES%20CONSOMMATIONS%20LIGNES%20PCI%20-2025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WEISSER/SUIVI%20DES%20CONSOMMATIONS%20LIGNES%20WEISSER%20-%202025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HESSAPP%20-EMAG/SUIVI%20DES%20CONSOMMATIONS%20LIGNES%20EMAG%202025_1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HESSAPP%20-EMAG/SUIVI%20DES%20CONSOMMATIONS%20LIGNES%20EMAG%202025_1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S HERNU (EXTERNAL)" refreshedDate="46056.646907870374" createdVersion="8" refreshedVersion="8" minRefreshableVersion="3" recordCount="4029" xr:uid="{D1C7407C-EDC8-4530-9DCE-E279AC2CFFDA}">
  <cacheSource type="worksheet">
    <worksheetSource ref="A1:K4030" sheet="Tableau colonne" r:id="rId2"/>
  </cacheSource>
  <cacheFields count="11">
    <cacheField name="Date-Heure de transaction" numFmtId="165">
      <sharedItems containsNonDate="0" containsDate="1" containsString="0" containsBlank="1" minDate="2025-01-02T13:25:00" maxDate="2025-12-23T09:09:00"/>
    </cacheField>
    <cacheField name="Article" numFmtId="49">
      <sharedItems containsBlank="1" count="20">
        <s v="IM02 137 022"/>
        <s v="IM02 140 678"/>
        <s v="Z000 513 527"/>
        <s v="IM02 137 021"/>
        <s v="IM02 137 020"/>
        <s v="IM02 137 023"/>
        <s v="IM02 140 677"/>
        <s v="IM02 151 674"/>
        <s v="Z000 546 265"/>
        <s v="IM02 145 346"/>
        <s v="IM02 137 019"/>
        <s v="Z000 539 100"/>
        <s v="RONDELLE FENDUE BELLEVILLE OP30"/>
        <m/>
        <s v="PLAQUETTE FRAISURAGE"/>
        <s v="EMBOUT D8,6"/>
        <s v="PLAQUETTE CHANFREIN"/>
        <s v="EMBOUT D13,3"/>
        <s v="TPGX0902ZPRGD" u="1"/>
        <s v="VCGT110304" u="1"/>
      </sharedItems>
    </cacheField>
    <cacheField name="Description article " numFmtId="49">
      <sharedItems containsBlank="1"/>
    </cacheField>
    <cacheField name="ID utilisateur" numFmtId="49">
      <sharedItems containsBlank="1"/>
    </cacheField>
    <cacheField name="Nom utilisateur" numFmtId="49">
      <sharedItems containsBlank="1"/>
    </cacheField>
    <cacheField name="Qté" numFmtId="0">
      <sharedItems containsString="0" containsBlank="1" containsNumber="1" containsInteger="1" minValue="-10" maxValue="39"/>
    </cacheField>
    <cacheField name="Activité " numFmtId="49">
      <sharedItems containsBlank="1" count="3">
        <s v="PCI 4"/>
        <s v="PCI 5"/>
        <m/>
      </sharedItems>
    </cacheField>
    <cacheField name="OP " numFmtId="49">
      <sharedItems containsBlank="1" count="5">
        <s v="OP 20"/>
        <s v="OP 30"/>
        <s v="OP 40"/>
        <s v="OP 10"/>
        <m/>
      </sharedItems>
    </cacheField>
    <cacheField name="Type " numFmtId="49">
      <sharedItems containsBlank="1"/>
    </cacheField>
    <cacheField name="Disque" numFmtId="49">
      <sharedItems containsBlank="1" count="6">
        <s v="283x26 RPI"/>
        <s v="TOUT DISQUES"/>
        <s v="304x28 RPE"/>
        <s v="268x12"/>
        <s v="302x26 RPI"/>
        <m/>
      </sharedItems>
    </cacheField>
    <cacheField name="Cout " numFmtId="166">
      <sharedItems containsString="0" containsBlank="1" containsNumber="1" minValue="-188" maxValue="1831.05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S HERNU (EXTERNAL)" refreshedDate="46056.689768865741" createdVersion="8" refreshedVersion="8" minRefreshableVersion="3" recordCount="4729" xr:uid="{371C9ECC-969E-4EF8-B3A6-B9B5B3194919}">
  <cacheSource type="worksheet">
    <worksheetSource ref="A3:K5000" sheet="Tableau colonne" r:id="rId2"/>
  </cacheSource>
  <cacheFields count="11">
    <cacheField name="Date-Heure de transaction" numFmtId="0">
      <sharedItems containsNonDate="0" containsDate="1" containsString="0" containsBlank="1" minDate="2025-01-02T14:21:16" maxDate="2025-12-23T05:52:11"/>
    </cacheField>
    <cacheField name="Article" numFmtId="0">
      <sharedItems containsBlank="1" count="14">
        <s v="PLAQUETTE PISTE OP20 R1,2 T323"/>
        <s v="Z000 546 266"/>
        <s v="Z000 546 265"/>
        <s v="Z000 544 318"/>
        <s v="Z000 513 527"/>
        <s v="Z000 522 436"/>
        <s v="Z000 539 100"/>
        <s v="Z000 517 182"/>
        <s v="Z000 548 367"/>
        <s v="Z000 532 588"/>
        <s v="Z000 455 182"/>
        <s v="Z000 519 285"/>
        <s v="Z000 321 718"/>
        <m/>
      </sharedItems>
    </cacheField>
    <cacheField name="Description article " numFmtId="0">
      <sharedItems containsBlank="1"/>
    </cacheField>
    <cacheField name="ID utilisateur" numFmtId="0">
      <sharedItems containsBlank="1"/>
    </cacheField>
    <cacheField name="Nom utilisateur" numFmtId="0">
      <sharedItems containsBlank="1"/>
    </cacheField>
    <cacheField name="Qté" numFmtId="0">
      <sharedItems containsString="0" containsBlank="1" containsNumber="1" containsInteger="1" minValue="-40" maxValue="40"/>
    </cacheField>
    <cacheField name="Activité " numFmtId="0">
      <sharedItems containsBlank="1" count="5">
        <s v="WEISSER 1"/>
        <s v="WEISSER 2"/>
        <s v="WEISSER 4"/>
        <s v="WEISSER 3"/>
        <m/>
      </sharedItems>
    </cacheField>
    <cacheField name="OP " numFmtId="0">
      <sharedItems containsBlank="1" count="4">
        <s v="OP 20"/>
        <s v="OP 10"/>
        <s v="OP 30"/>
        <m/>
      </sharedItems>
    </cacheField>
    <cacheField name="Type " numFmtId="0">
      <sharedItems containsBlank="1"/>
    </cacheField>
    <cacheField name="Disque" numFmtId="0">
      <sharedItems containsBlank="1" count="9">
        <s v="290x12"/>
        <s v="294x22 RPI K0"/>
        <s v="304x28 RPE HK0"/>
        <s v="268x12"/>
        <s v="TOUT DISQUE"/>
        <s v="304x28 RPE"/>
        <m/>
        <s v="283x26 RPE" u="1"/>
        <s v="304x28 RPI" u="1"/>
      </sharedItems>
    </cacheField>
    <cacheField name="Cout " numFmtId="0">
      <sharedItems containsString="0" containsBlank="1" containsNumber="1" minValue="-280" maxValue="286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S HERNU (EXTERNAL)" refreshedDate="46056.679362615738" createdVersion="8" refreshedVersion="8" minRefreshableVersion="3" recordCount="4275" xr:uid="{2A732C7A-AC97-40F1-B4F6-06421BF11508}">
  <cacheSource type="worksheet">
    <worksheetSource ref="A3:K4278" sheet="Tableau plaquette" r:id="rId2"/>
  </cacheSource>
  <cacheFields count="11">
    <cacheField name="Date-Heure de transaction" numFmtId="165">
      <sharedItems containsSemiMixedTypes="0" containsNonDate="0" containsDate="1" containsString="0" minDate="2025-01-02T14:36:00" maxDate="2025-12-23T05:56:44"/>
    </cacheField>
    <cacheField name="Article" numFmtId="49">
      <sharedItems count="12">
        <s v="Z000 455 182"/>
        <s v="Z000 513 527"/>
        <s v="Z000 532 588"/>
        <s v="Z000 539 100"/>
        <s v="Z000 519 285"/>
        <s v="Z000 517 182"/>
        <s v="IM02 137 020"/>
        <s v="Z000 546 266"/>
        <s v="Z000 546 265"/>
        <s v="Z000 548 367"/>
        <s v="Z000 544 318"/>
        <s v="Z000 522 436"/>
      </sharedItems>
    </cacheField>
    <cacheField name="Description article " numFmtId="49">
      <sharedItems/>
    </cacheField>
    <cacheField name="ID utilisateur" numFmtId="49">
      <sharedItems/>
    </cacheField>
    <cacheField name="Nom utilisateur" numFmtId="49">
      <sharedItems/>
    </cacheField>
    <cacheField name="Qté" numFmtId="0">
      <sharedItems containsSemiMixedTypes="0" containsString="0" containsNumber="1" containsInteger="1" minValue="-20" maxValue="60"/>
    </cacheField>
    <cacheField name="Activité " numFmtId="49">
      <sharedItems count="4">
        <s v="EMAG 2"/>
        <s v="EMAG 1"/>
        <s v="HESSAPP"/>
        <s v="EMAG 3"/>
      </sharedItems>
    </cacheField>
    <cacheField name="OP " numFmtId="49">
      <sharedItems count="5">
        <s v="OP 40"/>
        <s v="OP 30"/>
        <s v="OP 10"/>
        <s v="OP 20"/>
        <s v="OP 15"/>
      </sharedItems>
    </cacheField>
    <cacheField name="Type " numFmtId="49">
      <sharedItems/>
    </cacheField>
    <cacheField name="Disque" numFmtId="49">
      <sharedItems/>
    </cacheField>
    <cacheField name="Cout " numFmtId="166">
      <sharedItems containsSemiMixedTypes="0" containsString="0" containsNumber="1" minValue="-188" maxValue="1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S HERNU (EXTERNAL)" refreshedDate="46121.48535787037" createdVersion="8" refreshedVersion="8" minRefreshableVersion="3" recordCount="4310" xr:uid="{8E7802D0-12AC-4437-9556-E31AB298A609}">
  <cacheSource type="worksheet">
    <worksheetSource ref="A3:K4313" sheet="Tableau plaquette" r:id="rId2"/>
  </cacheSource>
  <cacheFields count="11">
    <cacheField name="Date-Heure de transaction" numFmtId="0">
      <sharedItems containsNonDate="0" containsDate="1" containsString="0" containsBlank="1" minDate="2025-01-02T14:36:00" maxDate="2025-12-23T05:56:44"/>
    </cacheField>
    <cacheField name="Article" numFmtId="0">
      <sharedItems containsBlank="1" count="21">
        <s v="Z000 455 182"/>
        <s v="Z000 513 527"/>
        <s v="Z000 532 588"/>
        <s v="Z000 539 100"/>
        <s v="Z000 519 285"/>
        <s v="Z000 517 182"/>
        <s v="IM02 137 020"/>
        <s v="Z000 546 266"/>
        <s v="Z000 546 265"/>
        <s v="Z000 548 367"/>
        <s v="Z000 544 318"/>
        <s v="Z000 522 436"/>
        <m/>
        <s v="IM02 198 054 "/>
        <s v="IM02 209 560"/>
        <s v="PLAQUETTE D"/>
        <s v="EMBOUT D8,6"/>
        <s v="PLAQUETTE FRAISURAGE"/>
        <s v="EMBOUT D13,3"/>
        <s v="PLAQUETTE CHANFREIN"/>
        <s v="EMBOUT D15,3"/>
      </sharedItems>
    </cacheField>
    <cacheField name="Description article " numFmtId="0">
      <sharedItems containsBlank="1"/>
    </cacheField>
    <cacheField name="ID utilisateur" numFmtId="0">
      <sharedItems containsBlank="1"/>
    </cacheField>
    <cacheField name="Nom utilisateur" numFmtId="0">
      <sharedItems containsBlank="1"/>
    </cacheField>
    <cacheField name="Qté" numFmtId="0">
      <sharedItems containsString="0" containsBlank="1" containsNumber="1" containsInteger="1" minValue="-20" maxValue="183"/>
    </cacheField>
    <cacheField name="Activité " numFmtId="0">
      <sharedItems containsBlank="1" count="5">
        <s v="EMAG 2"/>
        <s v="EMAG 1"/>
        <s v="HESSAPP"/>
        <s v="EMAG 3"/>
        <m/>
      </sharedItems>
    </cacheField>
    <cacheField name="OP " numFmtId="0">
      <sharedItems containsBlank="1" count="6">
        <s v="OP 40"/>
        <s v="OP 30"/>
        <s v="OP 10"/>
        <s v="OP 20"/>
        <s v="OP 15"/>
        <m/>
      </sharedItems>
    </cacheField>
    <cacheField name="Type " numFmtId="0">
      <sharedItems containsBlank="1"/>
    </cacheField>
    <cacheField name="Disque" numFmtId="0">
      <sharedItems containsBlank="1"/>
    </cacheField>
    <cacheField name="Cout " numFmtId="0">
      <sharedItems containsString="0" containsBlank="1" containsNumber="1" minValue="-188" maxValue="69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9">
  <r>
    <d v="2025-01-02T13:25:00"/>
    <x v="0"/>
    <s v="Plaquettes d'ébauches rhombiques"/>
    <s v="SF51433"/>
    <s v="BONTEMS COLINE"/>
    <n v="5"/>
    <x v="0"/>
    <x v="0"/>
    <s v="PLAQUETTES"/>
    <x v="0"/>
    <n v="39.799999999999997"/>
  </r>
  <r>
    <d v="2025-01-02T13:25:12"/>
    <x v="0"/>
    <s v="Plaquettes d'ébauches rhombiques"/>
    <s v="SF51433"/>
    <s v="BONTEMS COLINE"/>
    <n v="-5"/>
    <x v="0"/>
    <x v="0"/>
    <s v="PLAQUETTES"/>
    <x v="0"/>
    <n v="-39.799999999999997"/>
  </r>
  <r>
    <d v="2025-01-02T15:07:57"/>
    <x v="1"/>
    <s v="EMBOUT KENTIP D13.3"/>
    <s v="12824586"/>
    <s v="DASILVA FERNANDO"/>
    <n v="1"/>
    <x v="1"/>
    <x v="1"/>
    <s v="PLAQUETTES"/>
    <x v="1"/>
    <n v="46.95"/>
  </r>
  <r>
    <d v="2025-01-02T18:03:03"/>
    <x v="2"/>
    <s v="Plaquettes de finition carrées"/>
    <s v="U505000"/>
    <s v="RECEVEUR BENOIT"/>
    <n v="10"/>
    <x v="1"/>
    <x v="2"/>
    <s v="PLAQUETTES"/>
    <x v="2"/>
    <n v="95.6"/>
  </r>
  <r>
    <d v="2025-01-03T06:17:32"/>
    <x v="3"/>
    <s v="Plaquettes d'ébauches carrées"/>
    <s v="U509351"/>
    <s v="DELIAT CHRISTOPHE"/>
    <n v="15"/>
    <x v="0"/>
    <x v="3"/>
    <s v="PLAQUETTES"/>
    <x v="3"/>
    <n v="119.4"/>
  </r>
  <r>
    <d v="2025-01-03T06:18:00"/>
    <x v="0"/>
    <s v="Plaquettes d'ébauches rhombiques"/>
    <s v="U509351"/>
    <s v="DELIAT CHRISTOPHE"/>
    <n v="15"/>
    <x v="1"/>
    <x v="0"/>
    <s v="PLAQUETTES"/>
    <x v="2"/>
    <n v="119.4"/>
  </r>
  <r>
    <d v="2025-01-03T06:18:21"/>
    <x v="4"/>
    <s v="Plaquettes de gorges"/>
    <s v="U509351"/>
    <s v="DELIAT CHRISTOPHE"/>
    <n v="10"/>
    <x v="1"/>
    <x v="0"/>
    <s v="PLAQUETTES"/>
    <x v="2"/>
    <n v="188"/>
  </r>
  <r>
    <d v="2025-01-03T07:03:55"/>
    <x v="2"/>
    <s v="Plaquettes de finition carrées"/>
    <s v="10301115"/>
    <s v="BOUCHART LUDOVIC"/>
    <n v="5"/>
    <x v="0"/>
    <x v="2"/>
    <s v="PLAQUETTES"/>
    <x v="3"/>
    <n v="47.8"/>
  </r>
  <r>
    <d v="2025-01-03T07:04:21"/>
    <x v="2"/>
    <s v="Plaquettes de finition carrées"/>
    <s v="10301115"/>
    <s v="BOUCHART LUDOVIC"/>
    <n v="5"/>
    <x v="1"/>
    <x v="2"/>
    <s v="PLAQUETTES"/>
    <x v="2"/>
    <n v="47.8"/>
  </r>
  <r>
    <d v="2025-01-04T05:30:48"/>
    <x v="0"/>
    <s v="Plaquettes d'ébauches rhombiques"/>
    <s v="U509351"/>
    <s v="DELIAT CHRISTOPHE"/>
    <n v="20"/>
    <x v="0"/>
    <x v="3"/>
    <s v="PLAQUETTES"/>
    <x v="3"/>
    <n v="159.19999999999999"/>
  </r>
  <r>
    <d v="2025-01-04T05:31:16"/>
    <x v="3"/>
    <s v="Plaquettes d'ébauches carrées"/>
    <s v="U509351"/>
    <s v="DELIAT CHRISTOPHE"/>
    <n v="20"/>
    <x v="1"/>
    <x v="0"/>
    <s v="PLAQUETTES"/>
    <x v="2"/>
    <n v="159.19999999999999"/>
  </r>
  <r>
    <d v="2025-01-04T05:31:32"/>
    <x v="4"/>
    <s v="Plaquettes de gorges"/>
    <s v="U509351"/>
    <s v="DELIAT CHRISTOPHE"/>
    <n v="10"/>
    <x v="1"/>
    <x v="0"/>
    <s v="PLAQUETTES"/>
    <x v="2"/>
    <n v="188"/>
  </r>
  <r>
    <d v="2025-01-04T05:36:52"/>
    <x v="5"/>
    <s v="Plaquettes de finition"/>
    <s v="10301115"/>
    <s v="BOUCHART LUDOVIC"/>
    <n v="5"/>
    <x v="0"/>
    <x v="2"/>
    <s v="PLAQUETTES"/>
    <x v="3"/>
    <n v="42.5"/>
  </r>
  <r>
    <d v="2025-01-04T05:37:16"/>
    <x v="6"/>
    <s v="Plaquettes de finition triangulaires"/>
    <s v="10301115"/>
    <s v="BOUCHART LUDOVIC"/>
    <n v="5"/>
    <x v="1"/>
    <x v="2"/>
    <s v="PLAQUETTES"/>
    <x v="3"/>
    <n v="48.7"/>
  </r>
  <r>
    <d v="2025-01-04T05:37:42"/>
    <x v="2"/>
    <s v="Plaquettes de finition carrées"/>
    <s v="10301115"/>
    <s v="BOUCHART LUDOVIC"/>
    <n v="5"/>
    <x v="1"/>
    <x v="2"/>
    <s v="PLAQUETTES"/>
    <x v="2"/>
    <n v="47.8"/>
  </r>
  <r>
    <d v="2025-01-04T05:38:00"/>
    <x v="2"/>
    <s v="Plaquettes de finition carrées"/>
    <s v="10301115"/>
    <s v="BOUCHART LUDOVIC"/>
    <n v="5"/>
    <x v="0"/>
    <x v="2"/>
    <s v="PLAQUETTES"/>
    <x v="3"/>
    <n v="47.8"/>
  </r>
  <r>
    <d v="2025-01-04T08:53:12"/>
    <x v="2"/>
    <s v="Plaquettes de finition carrées"/>
    <s v="10301115"/>
    <s v="BOUCHART LUDOVIC"/>
    <n v="5"/>
    <x v="0"/>
    <x v="2"/>
    <s v="PLAQUETTES"/>
    <x v="3"/>
    <n v="47.8"/>
  </r>
  <r>
    <d v="2025-01-05T17:55:30"/>
    <x v="3"/>
    <s v="Plaquettes d'ébauches carrées"/>
    <s v="10301115"/>
    <s v="BOUCHART LUDOVIC"/>
    <n v="5"/>
    <x v="0"/>
    <x v="3"/>
    <s v="PLAQUETTES"/>
    <x v="3"/>
    <n v="39.799999999999997"/>
  </r>
  <r>
    <d v="2025-01-05T17:55:44"/>
    <x v="0"/>
    <s v="Plaquettes d'ébauches rhombiques"/>
    <s v="10301115"/>
    <s v="BOUCHART LUDOVIC"/>
    <n v="5"/>
    <x v="0"/>
    <x v="3"/>
    <s v="PLAQUETTES"/>
    <x v="3"/>
    <n v="39.799999999999997"/>
  </r>
  <r>
    <d v="2025-01-05T17:56:00"/>
    <x v="3"/>
    <s v="Plaquettes d'ébauches carrées"/>
    <s v="10301115"/>
    <s v="BOUCHART LUDOVIC"/>
    <n v="5"/>
    <x v="0"/>
    <x v="0"/>
    <s v="PLAQUETTES"/>
    <x v="3"/>
    <n v="39.799999999999997"/>
  </r>
  <r>
    <d v="2025-01-05T17:56:17"/>
    <x v="0"/>
    <s v="Plaquettes d'ébauches rhombiques"/>
    <s v="10301115"/>
    <s v="BOUCHART LUDOVIC"/>
    <n v="5"/>
    <x v="0"/>
    <x v="0"/>
    <s v="PLAQUETTES"/>
    <x v="3"/>
    <n v="39.799999999999997"/>
  </r>
  <r>
    <d v="2025-01-05T17:56:36"/>
    <x v="3"/>
    <s v="Plaquettes d'ébauches carrées"/>
    <s v="10301115"/>
    <s v="BOUCHART LUDOVIC"/>
    <n v="5"/>
    <x v="1"/>
    <x v="3"/>
    <s v="PLAQUETTES"/>
    <x v="2"/>
    <n v="39.799999999999997"/>
  </r>
  <r>
    <d v="2025-01-05T17:56:52"/>
    <x v="0"/>
    <s v="Plaquettes d'ébauches rhombiques"/>
    <s v="10301115"/>
    <s v="BOUCHART LUDOVIC"/>
    <n v="5"/>
    <x v="1"/>
    <x v="3"/>
    <s v="PLAQUETTES"/>
    <x v="2"/>
    <n v="39.799999999999997"/>
  </r>
  <r>
    <d v="2025-01-05T17:57:06"/>
    <x v="4"/>
    <s v="Plaquettes de gorges"/>
    <s v="10301115"/>
    <s v="BOUCHART LUDOVIC"/>
    <n v="10"/>
    <x v="1"/>
    <x v="0"/>
    <s v="PLAQUETTES"/>
    <x v="2"/>
    <n v="188"/>
  </r>
  <r>
    <d v="2025-01-05T17:57:28"/>
    <x v="3"/>
    <s v="Plaquettes d'ébauches carrées"/>
    <s v="10301115"/>
    <s v="BOUCHART LUDOVIC"/>
    <n v="5"/>
    <x v="1"/>
    <x v="0"/>
    <s v="PLAQUETTES"/>
    <x v="2"/>
    <n v="39.799999999999997"/>
  </r>
  <r>
    <d v="2025-01-05T17:57:45"/>
    <x v="0"/>
    <s v="Plaquettes d'ébauches rhombiques"/>
    <s v="10301115"/>
    <s v="BOUCHART LUDOVIC"/>
    <n v="5"/>
    <x v="1"/>
    <x v="0"/>
    <s v="PLAQUETTES"/>
    <x v="2"/>
    <n v="39.799999999999997"/>
  </r>
  <r>
    <d v="2025-01-05T18:52:38"/>
    <x v="2"/>
    <s v="Plaquettes de finition carrées"/>
    <s v="U509351"/>
    <s v="DELIAT CHRISTOPHE"/>
    <n v="20"/>
    <x v="0"/>
    <x v="2"/>
    <s v="PLAQUETTES"/>
    <x v="3"/>
    <n v="191.2"/>
  </r>
  <r>
    <d v="2025-01-06T08:06:59"/>
    <x v="3"/>
    <s v="Plaquettes d'ébauches carrées"/>
    <s v="12824586"/>
    <s v="DASILVA FERNANDO"/>
    <n v="5"/>
    <x v="1"/>
    <x v="3"/>
    <s v="PLAQUETTES"/>
    <x v="2"/>
    <n v="39.799999999999997"/>
  </r>
  <r>
    <d v="2025-01-06T08:07:34"/>
    <x v="0"/>
    <s v="Plaquettes d'ébauches rhombiques"/>
    <s v="12824586"/>
    <s v="DASILVA FERNANDO"/>
    <n v="5"/>
    <x v="1"/>
    <x v="3"/>
    <s v="PLAQUETTES"/>
    <x v="2"/>
    <n v="39.799999999999997"/>
  </r>
  <r>
    <d v="2025-01-06T08:07:53"/>
    <x v="4"/>
    <s v="Plaquettes de gorges"/>
    <s v="12824586"/>
    <s v="DASILVA FERNANDO"/>
    <n v="10"/>
    <x v="1"/>
    <x v="0"/>
    <s v="PLAQUETTES"/>
    <x v="2"/>
    <n v="188"/>
  </r>
  <r>
    <d v="2025-01-06T14:46:09"/>
    <x v="1"/>
    <s v="EMBOUT KENTIP D13.3"/>
    <s v="12824586"/>
    <s v="DASILVA FERNANDO"/>
    <n v="2"/>
    <x v="1"/>
    <x v="1"/>
    <s v="PLAQUETTES"/>
    <x v="1"/>
    <n v="93.9"/>
  </r>
  <r>
    <d v="2025-01-07T06:01:07"/>
    <x v="2"/>
    <s v="Plaquettes de finition carrées"/>
    <s v="U505000"/>
    <s v="RECEVEUR BENOIT"/>
    <n v="10"/>
    <x v="0"/>
    <x v="2"/>
    <s v="PLAQUETTES"/>
    <x v="0"/>
    <n v="95.6"/>
  </r>
  <r>
    <d v="2025-01-07T06:01:30"/>
    <x v="2"/>
    <s v="Plaquettes de finition carrées"/>
    <s v="U505000"/>
    <s v="RECEVEUR BENOIT"/>
    <n v="10"/>
    <x v="1"/>
    <x v="2"/>
    <s v="PLAQUETTES"/>
    <x v="3"/>
    <n v="95.6"/>
  </r>
  <r>
    <d v="2025-01-07T08:50:14"/>
    <x v="4"/>
    <s v="Plaquettes de gorges"/>
    <s v="7236310"/>
    <s v="OZYURT IREM"/>
    <n v="10"/>
    <x v="0"/>
    <x v="0"/>
    <s v="PLAQUETTES"/>
    <x v="0"/>
    <n v="188"/>
  </r>
  <r>
    <d v="2025-01-07T09:40:53"/>
    <x v="3"/>
    <s v="Plaquettes d'ébauches carrées"/>
    <s v="7236310"/>
    <s v="OZYURT IREM"/>
    <n v="5"/>
    <x v="1"/>
    <x v="3"/>
    <s v="PLAQUETTES"/>
    <x v="3"/>
    <n v="39.799999999999997"/>
  </r>
  <r>
    <d v="2025-01-07T13:10:17"/>
    <x v="1"/>
    <s v="EMBOUT KENTIP D13.3"/>
    <s v="12824586"/>
    <s v="DASILVA FERNANDO"/>
    <n v="1"/>
    <x v="1"/>
    <x v="1"/>
    <s v="PLAQUETTES"/>
    <x v="1"/>
    <n v="46.95"/>
  </r>
  <r>
    <d v="2025-01-07T13:12:22"/>
    <x v="7"/>
    <s v="Plaquettes VCGT21A52 SP4019"/>
    <s v="12824586"/>
    <s v="DASILVA FERNANDO"/>
    <n v="5"/>
    <x v="1"/>
    <x v="1"/>
    <s v="PLAQUETTES"/>
    <x v="1"/>
    <n v="60.9"/>
  </r>
  <r>
    <d v="2025-01-07T13:30:14"/>
    <x v="3"/>
    <s v="Plaquettes d'ébauches carrées"/>
    <s v="31224"/>
    <s v="BIDOT MURIEL"/>
    <n v="15"/>
    <x v="0"/>
    <x v="3"/>
    <s v="PLAQUETTES"/>
    <x v="0"/>
    <n v="119.4"/>
  </r>
  <r>
    <d v="2025-01-07T13:30:41"/>
    <x v="0"/>
    <s v="Plaquettes d'ébauches rhombiques"/>
    <s v="31224"/>
    <s v="BIDOT MURIEL"/>
    <n v="10"/>
    <x v="0"/>
    <x v="0"/>
    <s v="PLAQUETTES"/>
    <x v="0"/>
    <n v="79.599999999999994"/>
  </r>
  <r>
    <d v="2025-01-07T13:31:14"/>
    <x v="2"/>
    <s v="Plaquettes de finition carrées"/>
    <s v="31224"/>
    <s v="BIDOT MURIEL"/>
    <n v="10"/>
    <x v="0"/>
    <x v="2"/>
    <s v="PLAQUETTES"/>
    <x v="0"/>
    <n v="95.6"/>
  </r>
  <r>
    <d v="2025-01-07T13:32:21"/>
    <x v="8"/>
    <s v="Plaquettes d'ébauches rhombiques"/>
    <s v="31224"/>
    <s v="BIDOT MURIEL"/>
    <n v="10"/>
    <x v="1"/>
    <x v="3"/>
    <s v="PLAQUETTES"/>
    <x v="3"/>
    <n v="70"/>
  </r>
  <r>
    <d v="2025-01-08T01:23:09"/>
    <x v="3"/>
    <s v="Plaquettes d'ébauches carrées"/>
    <s v="16340494"/>
    <s v="BRIMUSSE AURELIE"/>
    <n v="5"/>
    <x v="1"/>
    <x v="3"/>
    <s v="PLAQUETTES"/>
    <x v="3"/>
    <n v="39.799999999999997"/>
  </r>
  <r>
    <d v="2025-01-08T01:23:27"/>
    <x v="3"/>
    <s v="Plaquettes d'ébauches carrées"/>
    <s v="16340494"/>
    <s v="BRIMUSSE AURELIE"/>
    <n v="5"/>
    <x v="1"/>
    <x v="0"/>
    <s v="PLAQUETTES"/>
    <x v="3"/>
    <n v="39.799999999999997"/>
  </r>
  <r>
    <d v="2025-01-08T01:23:45"/>
    <x v="2"/>
    <s v="Plaquettes de finition carrées"/>
    <s v="16340494"/>
    <s v="BRIMUSSE AURELIE"/>
    <n v="5"/>
    <x v="1"/>
    <x v="2"/>
    <s v="PLAQUETTES"/>
    <x v="3"/>
    <n v="47.8"/>
  </r>
  <r>
    <d v="2025-01-08T01:24:03"/>
    <x v="6"/>
    <s v="Plaquettes de finition triangulaires"/>
    <s v="16340494"/>
    <s v="BRIMUSSE AURELIE"/>
    <n v="5"/>
    <x v="1"/>
    <x v="2"/>
    <s v="PLAQUETTES"/>
    <x v="3"/>
    <n v="48.7"/>
  </r>
  <r>
    <d v="2025-01-08T18:48:58"/>
    <x v="2"/>
    <s v="Plaquettes de finition carrées"/>
    <s v="31224"/>
    <s v="BIDOT MURIEL"/>
    <n v="10"/>
    <x v="0"/>
    <x v="2"/>
    <s v="PLAQUETTES"/>
    <x v="0"/>
    <n v="95.6"/>
  </r>
  <r>
    <d v="2025-01-09T03:47:46"/>
    <x v="4"/>
    <s v="Plaquettes de gorges"/>
    <s v="SC95213"/>
    <s v="RABET PAULINE"/>
    <n v="10"/>
    <x v="0"/>
    <x v="0"/>
    <s v="PLAQUETTES"/>
    <x v="0"/>
    <n v="188"/>
  </r>
  <r>
    <d v="2025-01-09T05:12:27"/>
    <x v="2"/>
    <s v="Plaquettes de finition carrées"/>
    <s v="U505000"/>
    <s v="RECEVEUR BENOIT"/>
    <n v="5"/>
    <x v="1"/>
    <x v="2"/>
    <s v="PLAQUETTES"/>
    <x v="3"/>
    <n v="47.8"/>
  </r>
  <r>
    <d v="2025-01-09T06:20:44"/>
    <x v="8"/>
    <s v="Plaquettes d'ébauches rhombiques"/>
    <s v="U505000"/>
    <s v="RECEVEUR BENOIT"/>
    <n v="10"/>
    <x v="0"/>
    <x v="3"/>
    <s v="PLAQUETTES"/>
    <x v="3"/>
    <n v="70"/>
  </r>
  <r>
    <d v="2025-01-09T09:32:39"/>
    <x v="3"/>
    <s v="Plaquettes d'ébauches carrées"/>
    <s v="7236310"/>
    <s v="OZYURT IREM"/>
    <n v="10"/>
    <x v="0"/>
    <x v="3"/>
    <s v="PLAQUETTES"/>
    <x v="0"/>
    <n v="79.599999999999994"/>
  </r>
  <r>
    <d v="2025-01-09T11:41:24"/>
    <x v="3"/>
    <s v="Plaquettes d'ébauches carrées"/>
    <s v="18498233"/>
    <s v="ALVES ARTHUR"/>
    <n v="5"/>
    <x v="0"/>
    <x v="3"/>
    <s v="PLAQUETTES"/>
    <x v="3"/>
    <n v="39.799999999999997"/>
  </r>
  <r>
    <d v="2025-01-09T11:41:45"/>
    <x v="3"/>
    <s v="Plaquettes d'ébauches carrées"/>
    <s v="18498233"/>
    <s v="ALVES ARTHUR"/>
    <n v="-5"/>
    <x v="0"/>
    <x v="3"/>
    <s v="PLAQUETTES"/>
    <x v="3"/>
    <n v="-39.799999999999997"/>
  </r>
  <r>
    <d v="2025-01-09T13:25:33"/>
    <x v="3"/>
    <s v="Plaquettes d'ébauches carrées"/>
    <s v="31224"/>
    <s v="BIDOT MURIEL"/>
    <n v="10"/>
    <x v="0"/>
    <x v="3"/>
    <s v="PLAQUETTES"/>
    <x v="0"/>
    <n v="79.599999999999994"/>
  </r>
  <r>
    <d v="2025-01-09T13:25:53"/>
    <x v="4"/>
    <s v="Plaquettes de gorges"/>
    <s v="31224"/>
    <s v="BIDOT MURIEL"/>
    <n v="10"/>
    <x v="0"/>
    <x v="0"/>
    <s v="PLAQUETTES"/>
    <x v="0"/>
    <n v="188"/>
  </r>
  <r>
    <d v="2025-01-09T13:26:26"/>
    <x v="2"/>
    <s v="Plaquettes de finition carrées"/>
    <s v="31224"/>
    <s v="BIDOT MURIEL"/>
    <n v="10"/>
    <x v="0"/>
    <x v="2"/>
    <s v="PLAQUETTES"/>
    <x v="0"/>
    <n v="95.6"/>
  </r>
  <r>
    <d v="2025-01-10T06:59:14"/>
    <x v="3"/>
    <s v="Plaquettes d'ébauches carrées"/>
    <s v="U509351"/>
    <s v="DELIAT CHRISTOPHE"/>
    <n v="20"/>
    <x v="0"/>
    <x v="3"/>
    <s v="PLAQUETTES"/>
    <x v="0"/>
    <n v="159.19999999999999"/>
  </r>
  <r>
    <d v="2025-01-10T06:59:42"/>
    <x v="0"/>
    <s v="Plaquettes d'ébauches rhombiques"/>
    <s v="U509351"/>
    <s v="DELIAT CHRISTOPHE"/>
    <n v="15"/>
    <x v="1"/>
    <x v="0"/>
    <s v="PLAQUETTES"/>
    <x v="2"/>
    <n v="119.4"/>
  </r>
  <r>
    <d v="2025-01-10T07:00:04"/>
    <x v="4"/>
    <s v="Plaquettes de gorges"/>
    <s v="U509351"/>
    <s v="DELIAT CHRISTOPHE"/>
    <n v="10"/>
    <x v="0"/>
    <x v="0"/>
    <s v="PLAQUETTES"/>
    <x v="0"/>
    <n v="188"/>
  </r>
  <r>
    <d v="2025-01-10T08:09:20"/>
    <x v="2"/>
    <s v="Plaquettes de finition carrées"/>
    <s v="10301115"/>
    <s v="BOUCHART LUDOVIC"/>
    <n v="5"/>
    <x v="0"/>
    <x v="2"/>
    <s v="PLAQUETTES"/>
    <x v="0"/>
    <n v="47.8"/>
  </r>
  <r>
    <d v="2025-01-10T08:09:45"/>
    <x v="2"/>
    <s v="Plaquettes de finition carrées"/>
    <s v="10301115"/>
    <s v="BOUCHART LUDOVIC"/>
    <n v="5"/>
    <x v="1"/>
    <x v="2"/>
    <s v="PLAQUETTES"/>
    <x v="3"/>
    <n v="47.8"/>
  </r>
  <r>
    <d v="2025-01-10T10:15:52"/>
    <x v="9"/>
    <s v="EMBOUT KENTIP D8.6"/>
    <s v="020824"/>
    <s v="DASILVA AFONSO RENAUD"/>
    <n v="2"/>
    <x v="1"/>
    <x v="1"/>
    <s v="PLAQUETTES"/>
    <x v="1"/>
    <n v="100"/>
  </r>
  <r>
    <d v="2025-01-10T10:16:06"/>
    <x v="1"/>
    <s v="EMBOUT KENTIP D13.3"/>
    <s v="020824"/>
    <s v="DASILVA AFONSO RENAUD"/>
    <n v="1"/>
    <x v="1"/>
    <x v="1"/>
    <s v="PLAQUETTES"/>
    <x v="1"/>
    <n v="46.95"/>
  </r>
  <r>
    <d v="2025-01-10T14:34:09"/>
    <x v="8"/>
    <s v="Plaquettes d'ébauches rhombiques"/>
    <s v="020824"/>
    <s v="DASILVA AFONSO RENAUD"/>
    <n v="30"/>
    <x v="0"/>
    <x v="3"/>
    <s v="PLAQUETTES"/>
    <x v="3"/>
    <n v="210"/>
  </r>
  <r>
    <d v="2025-01-10T15:46:55"/>
    <x v="2"/>
    <s v="Plaquettes de finition carrées"/>
    <s v="SC99878"/>
    <s v="GONIN VINCENT"/>
    <n v="5"/>
    <x v="1"/>
    <x v="2"/>
    <s v="PLAQUETTES"/>
    <x v="3"/>
    <n v="47.8"/>
  </r>
  <r>
    <d v="2025-01-10T15:47:51"/>
    <x v="8"/>
    <s v="Plaquettes d'ébauches rhombiques"/>
    <s v="SC99878"/>
    <s v="GONIN VINCENT"/>
    <n v="10"/>
    <x v="1"/>
    <x v="3"/>
    <s v="PLAQUETTES"/>
    <x v="3"/>
    <n v="70"/>
  </r>
  <r>
    <d v="2025-01-11T06:17:34"/>
    <x v="2"/>
    <s v="Plaquettes de finition carrées"/>
    <s v="10301115"/>
    <s v="BOUCHART LUDOVIC"/>
    <n v="5"/>
    <x v="0"/>
    <x v="2"/>
    <s v="PLAQUETTES"/>
    <x v="0"/>
    <n v="47.8"/>
  </r>
  <r>
    <d v="2025-01-11T06:17:51"/>
    <x v="5"/>
    <s v="Plaquettes de finition"/>
    <s v="10301115"/>
    <s v="BOUCHART LUDOVIC"/>
    <n v="5"/>
    <x v="1"/>
    <x v="2"/>
    <s v="PLAQUETTES"/>
    <x v="3"/>
    <n v="42.5"/>
  </r>
  <r>
    <d v="2025-01-11T06:18:25"/>
    <x v="6"/>
    <s v="Plaquettes de finition triangulaires"/>
    <s v="10301115"/>
    <s v="BOUCHART LUDOVIC"/>
    <n v="5"/>
    <x v="1"/>
    <x v="2"/>
    <s v="PLAQUETTES"/>
    <x v="3"/>
    <n v="48.7"/>
  </r>
  <r>
    <d v="2025-01-11T06:18:55"/>
    <x v="2"/>
    <s v="Plaquettes de finition carrées"/>
    <s v="10301115"/>
    <s v="BOUCHART LUDOVIC"/>
    <n v="5"/>
    <x v="1"/>
    <x v="2"/>
    <s v="PLAQUETTES"/>
    <x v="3"/>
    <n v="47.8"/>
  </r>
  <r>
    <d v="2025-01-11T06:20:14"/>
    <x v="0"/>
    <s v="Plaquettes d'ébauches rhombiques"/>
    <s v="U509351"/>
    <s v="DELIAT CHRISTOPHE"/>
    <n v="15"/>
    <x v="0"/>
    <x v="3"/>
    <s v="PLAQUETTES"/>
    <x v="0"/>
    <n v="119.4"/>
  </r>
  <r>
    <d v="2025-01-11T06:20:45"/>
    <x v="3"/>
    <s v="Plaquettes d'ébauches carrées"/>
    <s v="U509351"/>
    <s v="DELIAT CHRISTOPHE"/>
    <n v="20"/>
    <x v="0"/>
    <x v="3"/>
    <s v="PLAQUETTES"/>
    <x v="0"/>
    <n v="159.19999999999999"/>
  </r>
  <r>
    <d v="2025-01-11T06:21:16"/>
    <x v="4"/>
    <s v="Plaquettes de gorges"/>
    <s v="U509351"/>
    <s v="DELIAT CHRISTOPHE"/>
    <n v="10"/>
    <x v="0"/>
    <x v="0"/>
    <s v="PLAQUETTES"/>
    <x v="0"/>
    <n v="188"/>
  </r>
  <r>
    <d v="2025-01-11T08:13:02"/>
    <x v="3"/>
    <s v="Plaquettes d'ébauches carrées"/>
    <s v="U509351"/>
    <s v="DELIAT CHRISTOPHE"/>
    <n v="15"/>
    <x v="1"/>
    <x v="3"/>
    <s v="PLAQUETTES"/>
    <x v="2"/>
    <n v="119.4"/>
  </r>
  <r>
    <d v="2025-01-11T08:13:21"/>
    <x v="0"/>
    <s v="Plaquettes d'ébauches rhombiques"/>
    <s v="U509351"/>
    <s v="DELIAT CHRISTOPHE"/>
    <n v="10"/>
    <x v="1"/>
    <x v="0"/>
    <s v="PLAQUETTES"/>
    <x v="2"/>
    <n v="79.599999999999994"/>
  </r>
  <r>
    <d v="2025-01-11T08:13:40"/>
    <x v="4"/>
    <s v="Plaquettes de gorges"/>
    <s v="U509351"/>
    <s v="DELIAT CHRISTOPHE"/>
    <n v="10"/>
    <x v="1"/>
    <x v="0"/>
    <s v="PLAQUETTES"/>
    <x v="2"/>
    <n v="188"/>
  </r>
  <r>
    <d v="2025-01-11T08:17:10"/>
    <x v="0"/>
    <s v="Plaquettes d'ébauches rhombiques"/>
    <s v="U509351"/>
    <s v="DELIAT CHRISTOPHE"/>
    <n v="5"/>
    <x v="1"/>
    <x v="0"/>
    <s v="PLAQUETTES"/>
    <x v="2"/>
    <n v="39.799999999999997"/>
  </r>
  <r>
    <d v="2025-01-11T08:20:15"/>
    <x v="3"/>
    <s v="Plaquettes d'ébauches carrées"/>
    <s v="U509351"/>
    <s v="DELIAT CHRISTOPHE"/>
    <n v="5"/>
    <x v="1"/>
    <x v="0"/>
    <s v="PLAQUETTES"/>
    <x v="2"/>
    <n v="39.799999999999997"/>
  </r>
  <r>
    <d v="2025-01-12T17:26:11"/>
    <x v="3"/>
    <s v="Plaquettes d'ébauches carrées"/>
    <s v="10301115"/>
    <s v="BOUCHART LUDOVIC"/>
    <n v="5"/>
    <x v="0"/>
    <x v="3"/>
    <s v="PLAQUETTES"/>
    <x v="0"/>
    <n v="39.799999999999997"/>
  </r>
  <r>
    <d v="2025-01-12T17:26:28"/>
    <x v="0"/>
    <s v="Plaquettes d'ébauches rhombiques"/>
    <s v="10301115"/>
    <s v="BOUCHART LUDOVIC"/>
    <n v="5"/>
    <x v="0"/>
    <x v="3"/>
    <s v="PLAQUETTES"/>
    <x v="0"/>
    <n v="39.799999999999997"/>
  </r>
  <r>
    <d v="2025-01-12T17:26:46"/>
    <x v="3"/>
    <s v="Plaquettes d'ébauches carrées"/>
    <s v="10301115"/>
    <s v="BOUCHART LUDOVIC"/>
    <n v="5"/>
    <x v="0"/>
    <x v="0"/>
    <s v="PLAQUETTES"/>
    <x v="0"/>
    <n v="39.799999999999997"/>
  </r>
  <r>
    <d v="2025-01-12T17:27:02"/>
    <x v="0"/>
    <s v="Plaquettes d'ébauches rhombiques"/>
    <s v="10301115"/>
    <s v="BOUCHART LUDOVIC"/>
    <n v="5"/>
    <x v="0"/>
    <x v="0"/>
    <s v="PLAQUETTES"/>
    <x v="0"/>
    <n v="39.799999999999997"/>
  </r>
  <r>
    <d v="2025-01-12T17:27:22"/>
    <x v="3"/>
    <s v="Plaquettes d'ébauches carrées"/>
    <s v="10301115"/>
    <s v="BOUCHART LUDOVIC"/>
    <n v="5"/>
    <x v="1"/>
    <x v="3"/>
    <s v="PLAQUETTES"/>
    <x v="3"/>
    <n v="39.799999999999997"/>
  </r>
  <r>
    <d v="2025-01-12T17:27:36"/>
    <x v="0"/>
    <s v="Plaquettes d'ébauches rhombiques"/>
    <s v="10301115"/>
    <s v="BOUCHART LUDOVIC"/>
    <n v="5"/>
    <x v="1"/>
    <x v="3"/>
    <s v="PLAQUETTES"/>
    <x v="3"/>
    <n v="39.799999999999997"/>
  </r>
  <r>
    <d v="2025-01-12T17:28:13"/>
    <x v="8"/>
    <s v="Plaquettes d'ébauches rhombiques"/>
    <s v="10301115"/>
    <s v="BOUCHART LUDOVIC"/>
    <n v="10"/>
    <x v="1"/>
    <x v="3"/>
    <s v="PLAQUETTES"/>
    <x v="3"/>
    <n v="70"/>
  </r>
  <r>
    <d v="2025-01-12T17:29:04"/>
    <x v="8"/>
    <s v="Plaquettes d'ébauches rhombiques"/>
    <s v="10301115"/>
    <s v="BOUCHART LUDOVIC"/>
    <n v="10"/>
    <x v="0"/>
    <x v="3"/>
    <s v="PLAQUETTES"/>
    <x v="3"/>
    <n v="70"/>
  </r>
  <r>
    <d v="2025-01-12T17:29:30"/>
    <x v="3"/>
    <s v="Plaquettes d'ébauches carrées"/>
    <s v="10301115"/>
    <s v="BOUCHART LUDOVIC"/>
    <n v="5"/>
    <x v="1"/>
    <x v="0"/>
    <s v="PLAQUETTES"/>
    <x v="3"/>
    <n v="39.799999999999997"/>
  </r>
  <r>
    <d v="2025-01-12T17:29:44"/>
    <x v="0"/>
    <s v="Plaquettes d'ébauches rhombiques"/>
    <s v="10301115"/>
    <s v="BOUCHART LUDOVIC"/>
    <n v="5"/>
    <x v="1"/>
    <x v="0"/>
    <s v="PLAQUETTES"/>
    <x v="3"/>
    <n v="39.799999999999997"/>
  </r>
  <r>
    <d v="2025-01-12T18:09:13"/>
    <x v="2"/>
    <s v="Plaquettes de finition carrées"/>
    <s v="U509351"/>
    <s v="DELIAT CHRISTOPHE"/>
    <n v="10"/>
    <x v="0"/>
    <x v="2"/>
    <s v="PLAQUETTES"/>
    <x v="0"/>
    <n v="95.6"/>
  </r>
  <r>
    <d v="2025-01-13T01:23:45"/>
    <x v="2"/>
    <s v="Plaquettes de finition carrées"/>
    <s v="U509351"/>
    <s v="DELIAT CHRISTOPHE"/>
    <n v="10"/>
    <x v="1"/>
    <x v="2"/>
    <s v="PLAQUETTES"/>
    <x v="3"/>
    <n v="95.6"/>
  </r>
  <r>
    <d v="2025-01-13T07:33:33"/>
    <x v="8"/>
    <s v="Plaquettes d'ébauches rhombiques"/>
    <s v="SE08251"/>
    <s v="FAYET AYMERIC"/>
    <n v="20"/>
    <x v="1"/>
    <x v="3"/>
    <s v="PLAQUETTES"/>
    <x v="3"/>
    <n v="140"/>
  </r>
  <r>
    <d v="2025-01-13T21:19:32"/>
    <x v="2"/>
    <s v="Plaquettes de finition carrées"/>
    <s v="U505000"/>
    <s v="RECEVEUR BENOIT"/>
    <n v="10"/>
    <x v="1"/>
    <x v="2"/>
    <s v="PLAQUETTES"/>
    <x v="2"/>
    <n v="95.6"/>
  </r>
  <r>
    <d v="2025-01-14T03:05:48"/>
    <x v="4"/>
    <s v="Plaquettes de gorges"/>
    <s v="7236310"/>
    <s v="OZYURT IREM"/>
    <n v="10"/>
    <x v="0"/>
    <x v="0"/>
    <s v="PLAQUETTES"/>
    <x v="0"/>
    <n v="188"/>
  </r>
  <r>
    <d v="2025-01-14T14:10:22"/>
    <x v="2"/>
    <s v="Plaquettes de finition carrées"/>
    <s v="16340494"/>
    <s v="BRIMUSSE AURELIE"/>
    <n v="5"/>
    <x v="1"/>
    <x v="2"/>
    <s v="PLAQUETTES"/>
    <x v="3"/>
    <n v="47.8"/>
  </r>
  <r>
    <d v="2025-01-14T14:10:58"/>
    <x v="6"/>
    <s v="Plaquettes de finition triangulaires"/>
    <s v="16340494"/>
    <s v="BRIMUSSE AURELIE"/>
    <n v="5"/>
    <x v="1"/>
    <x v="2"/>
    <s v="PLAQUETTES"/>
    <x v="3"/>
    <n v="48.7"/>
  </r>
  <r>
    <d v="2025-01-14T14:11:21"/>
    <x v="5"/>
    <s v="Plaquettes de finition"/>
    <s v="16340494"/>
    <s v="BRIMUSSE AURELIE"/>
    <n v="5"/>
    <x v="1"/>
    <x v="2"/>
    <s v="PLAQUETTES"/>
    <x v="3"/>
    <n v="42.5"/>
  </r>
  <r>
    <d v="2025-01-14T14:11:41"/>
    <x v="2"/>
    <s v="Plaquettes de finition carrées"/>
    <s v="16340494"/>
    <s v="BRIMUSSE AURELIE"/>
    <n v="5"/>
    <x v="0"/>
    <x v="2"/>
    <s v="PLAQUETTES"/>
    <x v="0"/>
    <n v="47.8"/>
  </r>
  <r>
    <d v="2025-01-14T18:57:37"/>
    <x v="4"/>
    <s v="Plaquettes de gorges"/>
    <s v="SC95213"/>
    <s v="RABET PAULINE"/>
    <n v="10"/>
    <x v="0"/>
    <x v="0"/>
    <s v="PLAQUETTES"/>
    <x v="0"/>
    <n v="188"/>
  </r>
  <r>
    <d v="2025-01-15T05:40:20"/>
    <x v="3"/>
    <s v="Plaquettes d'ébauches carrées"/>
    <s v="31224"/>
    <s v="BIDOT MURIEL"/>
    <n v="10"/>
    <x v="0"/>
    <x v="3"/>
    <s v="PLAQUETTES"/>
    <x v="0"/>
    <n v="79.599999999999994"/>
  </r>
  <r>
    <d v="2025-01-15T05:40:42"/>
    <x v="4"/>
    <s v="Plaquettes de gorges"/>
    <s v="31224"/>
    <s v="BIDOT MURIEL"/>
    <n v="10"/>
    <x v="0"/>
    <x v="0"/>
    <s v="PLAQUETTES"/>
    <x v="0"/>
    <n v="188"/>
  </r>
  <r>
    <d v="2025-01-15T05:41:09"/>
    <x v="2"/>
    <s v="Plaquettes de finition carrées"/>
    <s v="31224"/>
    <s v="BIDOT MURIEL"/>
    <n v="10"/>
    <x v="0"/>
    <x v="2"/>
    <s v="PLAQUETTES"/>
    <x v="0"/>
    <n v="95.6"/>
  </r>
  <r>
    <d v="2025-01-15T09:03:53"/>
    <x v="2"/>
    <s v="Plaquettes de finition carrées"/>
    <s v="SC99878"/>
    <s v="GONIN VINCENT"/>
    <n v="5"/>
    <x v="1"/>
    <x v="2"/>
    <s v="PLAQUETTES"/>
    <x v="3"/>
    <n v="47.8"/>
  </r>
  <r>
    <d v="2025-01-15T10:50:48"/>
    <x v="3"/>
    <s v="Plaquettes d'ébauches carrées"/>
    <s v="18498233"/>
    <s v="ALVES ARTHUR"/>
    <n v="5"/>
    <x v="0"/>
    <x v="3"/>
    <s v="PLAQUETTES"/>
    <x v="3"/>
    <n v="39.799999999999997"/>
  </r>
  <r>
    <d v="2025-01-15T10:51:10"/>
    <x v="3"/>
    <s v="Plaquettes d'ébauches carrées"/>
    <s v="18498233"/>
    <s v="ALVES ARTHUR"/>
    <n v="-5"/>
    <x v="0"/>
    <x v="3"/>
    <s v="PLAQUETTES"/>
    <x v="3"/>
    <n v="-39.799999999999997"/>
  </r>
  <r>
    <d v="2025-01-15T11:07:18"/>
    <x v="9"/>
    <s v="EMBOUT KENTIP D8.6"/>
    <s v="020824"/>
    <s v="DASILVA AFONSO RENAUD"/>
    <n v="2"/>
    <x v="1"/>
    <x v="1"/>
    <s v="PLAQUETTES"/>
    <x v="1"/>
    <n v="100"/>
  </r>
  <r>
    <d v="2025-01-15T13:33:38"/>
    <x v="2"/>
    <s v="Plaquettes de finition carrées"/>
    <s v="16340494"/>
    <s v="BRIMUSSE AURELIE"/>
    <n v="5"/>
    <x v="1"/>
    <x v="2"/>
    <s v="PLAQUETTES"/>
    <x v="3"/>
    <n v="47.8"/>
  </r>
  <r>
    <d v="2025-01-15T13:34:09"/>
    <x v="6"/>
    <s v="Plaquettes de finition triangulaires"/>
    <s v="16340494"/>
    <s v="BRIMUSSE AURELIE"/>
    <n v="5"/>
    <x v="1"/>
    <x v="2"/>
    <s v="PLAQUETTES"/>
    <x v="3"/>
    <n v="48.7"/>
  </r>
  <r>
    <d v="2025-01-15T13:34:28"/>
    <x v="2"/>
    <s v="Plaquettes de finition carrées"/>
    <s v="16340494"/>
    <s v="BRIMUSSE AURELIE"/>
    <n v="5"/>
    <x v="0"/>
    <x v="2"/>
    <s v="PLAQUETTES"/>
    <x v="0"/>
    <n v="47.8"/>
  </r>
  <r>
    <d v="2025-01-16T04:11:50"/>
    <x v="4"/>
    <s v="Plaquettes de gorges"/>
    <s v="U505000"/>
    <s v="RECEVEUR BENOIT"/>
    <n v="10"/>
    <x v="0"/>
    <x v="0"/>
    <s v="PLAQUETTES"/>
    <x v="0"/>
    <n v="188"/>
  </r>
  <r>
    <d v="2025-01-16T07:57:50"/>
    <x v="8"/>
    <s v="Plaquettes d'ébauches rhombiques"/>
    <s v="SC99878"/>
    <s v="GONIN VINCENT"/>
    <n v="10"/>
    <x v="1"/>
    <x v="3"/>
    <s v="PLAQUETTES"/>
    <x v="3"/>
    <n v="70"/>
  </r>
  <r>
    <d v="2025-01-16T07:58:25"/>
    <x v="3"/>
    <s v="Plaquettes d'ébauches carrées"/>
    <s v="SC99878"/>
    <s v="GONIN VINCENT"/>
    <n v="10"/>
    <x v="0"/>
    <x v="3"/>
    <s v="PLAQUETTES"/>
    <x v="3"/>
    <n v="79.599999999999994"/>
  </r>
  <r>
    <d v="2025-01-16T08:19:28"/>
    <x v="3"/>
    <s v="Plaquettes d'ébauches carrées"/>
    <s v="31224"/>
    <s v="BIDOT MURIEL"/>
    <n v="10"/>
    <x v="0"/>
    <x v="3"/>
    <s v="PLAQUETTES"/>
    <x v="0"/>
    <n v="79.599999999999994"/>
  </r>
  <r>
    <d v="2025-01-16T08:19:52"/>
    <x v="0"/>
    <s v="Plaquettes d'ébauches rhombiques"/>
    <s v="31224"/>
    <s v="BIDOT MURIEL"/>
    <n v="5"/>
    <x v="0"/>
    <x v="3"/>
    <s v="PLAQUETTES"/>
    <x v="0"/>
    <n v="39.799999999999997"/>
  </r>
  <r>
    <d v="2025-01-16T08:20:15"/>
    <x v="2"/>
    <s v="Plaquettes de finition carrées"/>
    <s v="31224"/>
    <s v="BIDOT MURIEL"/>
    <n v="10"/>
    <x v="0"/>
    <x v="2"/>
    <s v="PLAQUETTES"/>
    <x v="0"/>
    <n v="95.6"/>
  </r>
  <r>
    <d v="2025-01-16T09:34:02"/>
    <x v="9"/>
    <s v="EMBOUT KENTIP D8.6"/>
    <s v="020824"/>
    <s v="DASILVA AFONSO RENAUD"/>
    <n v="3"/>
    <x v="1"/>
    <x v="1"/>
    <s v="PLAQUETTES"/>
    <x v="1"/>
    <n v="150"/>
  </r>
  <r>
    <d v="2025-01-16T09:34:20"/>
    <x v="1"/>
    <s v="EMBOUT KENTIP D13.3"/>
    <s v="020824"/>
    <s v="DASILVA AFONSO RENAUD"/>
    <n v="2"/>
    <x v="1"/>
    <x v="1"/>
    <s v="PLAQUETTES"/>
    <x v="1"/>
    <n v="93.9"/>
  </r>
  <r>
    <d v="2025-01-16T11:24:48"/>
    <x v="10"/>
    <s v="Plaquettes TPGX0902ZPRGD KC7315"/>
    <s v="020824"/>
    <s v="DASILVA AFONSO RENAUD"/>
    <n v="10"/>
    <x v="1"/>
    <x v="1"/>
    <s v="PLAQUETTES"/>
    <x v="1"/>
    <n v="81.5"/>
  </r>
  <r>
    <d v="2025-01-16T14:27:54"/>
    <x v="3"/>
    <s v="Plaquettes d'ébauches carrées"/>
    <s v="020824"/>
    <s v="DASILVA AFONSO RENAUD"/>
    <n v="5"/>
    <x v="1"/>
    <x v="3"/>
    <s v="PLAQUETTES"/>
    <x v="2"/>
    <n v="39.799999999999997"/>
  </r>
  <r>
    <d v="2025-01-16T15:45:13"/>
    <x v="4"/>
    <s v="Plaquettes de gorges"/>
    <s v="SC95213"/>
    <s v="RABET PAULINE"/>
    <n v="10"/>
    <x v="0"/>
    <x v="0"/>
    <s v="PLAQUETTES"/>
    <x v="0"/>
    <n v="188"/>
  </r>
  <r>
    <d v="2025-01-16T22:13:14"/>
    <x v="2"/>
    <s v="Plaquettes de finition carrées"/>
    <s v="U505000"/>
    <s v="RECEVEUR BENOIT"/>
    <n v="10"/>
    <x v="1"/>
    <x v="2"/>
    <s v="PLAQUETTES"/>
    <x v="3"/>
    <n v="95.6"/>
  </r>
  <r>
    <d v="2025-01-16T23:13:52"/>
    <x v="8"/>
    <s v="Plaquettes d'ébauches rhombiques"/>
    <s v="7236310"/>
    <s v="OZYURT IREM"/>
    <n v="10"/>
    <x v="1"/>
    <x v="3"/>
    <s v="PLAQUETTES"/>
    <x v="3"/>
    <n v="70"/>
  </r>
  <r>
    <d v="2025-01-17T00:22:27"/>
    <x v="3"/>
    <s v="Plaquettes d'ébauches carrées"/>
    <s v="U505000"/>
    <s v="RECEVEUR BENOIT"/>
    <n v="15"/>
    <x v="0"/>
    <x v="3"/>
    <s v="PLAQUETTES"/>
    <x v="0"/>
    <n v="119.4"/>
  </r>
  <r>
    <d v="2025-01-17T00:23:00"/>
    <x v="0"/>
    <s v="Plaquettes d'ébauches rhombiques"/>
    <s v="U505000"/>
    <s v="RECEVEUR BENOIT"/>
    <n v="10"/>
    <x v="0"/>
    <x v="0"/>
    <s v="PLAQUETTES"/>
    <x v="0"/>
    <n v="79.599999999999994"/>
  </r>
  <r>
    <d v="2025-01-17T00:23:47"/>
    <x v="0"/>
    <s v="Plaquettes d'ébauches rhombiques"/>
    <s v="U505000"/>
    <s v="RECEVEUR BENOIT"/>
    <n v="5"/>
    <x v="0"/>
    <x v="0"/>
    <s v="PLAQUETTES"/>
    <x v="0"/>
    <n v="39.799999999999997"/>
  </r>
  <r>
    <d v="2025-01-17T00:24:12"/>
    <x v="4"/>
    <s v="Plaquettes de gorges"/>
    <s v="U505000"/>
    <s v="RECEVEUR BENOIT"/>
    <n v="10"/>
    <x v="0"/>
    <x v="0"/>
    <s v="PLAQUETTES"/>
    <x v="0"/>
    <n v="188"/>
  </r>
  <r>
    <d v="2025-01-17T00:24:48"/>
    <x v="8"/>
    <s v="Plaquettes d'ébauches rhombiques"/>
    <s v="U505000"/>
    <s v="RECEVEUR BENOIT"/>
    <n v="10"/>
    <x v="1"/>
    <x v="3"/>
    <s v="PLAQUETTES"/>
    <x v="3"/>
    <n v="70"/>
  </r>
  <r>
    <d v="2025-01-17T12:09:29"/>
    <x v="3"/>
    <s v="Plaquettes d'ébauches carrées"/>
    <s v="U509351"/>
    <s v="DELIAT CHRISTOPHE"/>
    <n v="10"/>
    <x v="0"/>
    <x v="3"/>
    <s v="PLAQUETTES"/>
    <x v="0"/>
    <n v="79.599999999999994"/>
  </r>
  <r>
    <d v="2025-01-17T12:25:21"/>
    <x v="2"/>
    <s v="Plaquettes de finition carrées"/>
    <s v="10301115"/>
    <s v="BOUCHART LUDOVIC"/>
    <n v="5"/>
    <x v="1"/>
    <x v="2"/>
    <s v="PLAQUETTES"/>
    <x v="3"/>
    <n v="47.8"/>
  </r>
  <r>
    <d v="2025-01-17T12:25:40"/>
    <x v="2"/>
    <s v="Plaquettes de finition carrées"/>
    <s v="10301115"/>
    <s v="BOUCHART LUDOVIC"/>
    <n v="5"/>
    <x v="0"/>
    <x v="2"/>
    <s v="PLAQUETTES"/>
    <x v="0"/>
    <n v="47.8"/>
  </r>
  <r>
    <d v="2025-01-18T03:03:11"/>
    <x v="2"/>
    <s v="Plaquettes de finition carrées"/>
    <s v="7236310"/>
    <s v="OZYURT IREM"/>
    <n v="5"/>
    <x v="0"/>
    <x v="2"/>
    <s v="PLAQUETTES"/>
    <x v="3"/>
    <n v="47.8"/>
  </r>
  <r>
    <d v="2025-01-18T03:03:45"/>
    <x v="2"/>
    <s v="Plaquettes de finition carrées"/>
    <s v="7236310"/>
    <s v="OZYURT IREM"/>
    <n v="5"/>
    <x v="0"/>
    <x v="2"/>
    <s v="PLAQUETTES"/>
    <x v="4"/>
    <n v="47.8"/>
  </r>
  <r>
    <d v="2025-01-18T03:05:51"/>
    <x v="3"/>
    <s v="Plaquettes d'ébauches carrées"/>
    <s v="7236310"/>
    <s v="OZYURT IREM"/>
    <n v="5"/>
    <x v="0"/>
    <x v="0"/>
    <s v="PLAQUETTES"/>
    <x v="4"/>
    <n v="39.799999999999997"/>
  </r>
  <r>
    <d v="2025-01-18T03:06:15"/>
    <x v="3"/>
    <s v="Plaquettes d'ébauches carrées"/>
    <s v="7236310"/>
    <s v="OZYURT IREM"/>
    <n v="5"/>
    <x v="1"/>
    <x v="0"/>
    <s v="PLAQUETTES"/>
    <x v="3"/>
    <n v="39.799999999999997"/>
  </r>
  <r>
    <d v="2025-01-18T05:21:54"/>
    <x v="4"/>
    <s v="Plaquettes de gorges"/>
    <s v="U509351"/>
    <s v="DELIAT CHRISTOPHE"/>
    <n v="10"/>
    <x v="0"/>
    <x v="0"/>
    <s v="PLAQUETTES"/>
    <x v="4"/>
    <n v="188"/>
  </r>
  <r>
    <d v="2025-01-18T05:22:29"/>
    <x v="3"/>
    <s v="Plaquettes d'ébauches carrées"/>
    <s v="U509351"/>
    <s v="DELIAT CHRISTOPHE"/>
    <n v="20"/>
    <x v="0"/>
    <x v="3"/>
    <s v="PLAQUETTES"/>
    <x v="4"/>
    <n v="159.19999999999999"/>
  </r>
  <r>
    <d v="2025-01-18T05:23:00"/>
    <x v="0"/>
    <s v="Plaquettes d'ébauches rhombiques"/>
    <s v="U509351"/>
    <s v="DELIAT CHRISTOPHE"/>
    <n v="15"/>
    <x v="1"/>
    <x v="0"/>
    <s v="PLAQUETTES"/>
    <x v="3"/>
    <n v="119.4"/>
  </r>
  <r>
    <d v="2025-01-18T05:23:20"/>
    <x v="8"/>
    <s v="Plaquettes d'ébauches rhombiques"/>
    <s v="U509351"/>
    <s v="DELIAT CHRISTOPHE"/>
    <n v="10"/>
    <x v="1"/>
    <x v="3"/>
    <s v="PLAQUETTES"/>
    <x v="3"/>
    <n v="70"/>
  </r>
  <r>
    <d v="2025-01-18T06:59:24"/>
    <x v="2"/>
    <s v="Plaquettes de finition carrées"/>
    <s v="10301115"/>
    <s v="BOUCHART LUDOVIC"/>
    <n v="5"/>
    <x v="0"/>
    <x v="2"/>
    <s v="PLAQUETTES"/>
    <x v="4"/>
    <n v="47.8"/>
  </r>
  <r>
    <d v="2025-01-18T06:59:45"/>
    <x v="5"/>
    <s v="Plaquettes de finition"/>
    <s v="10301115"/>
    <s v="BOUCHART LUDOVIC"/>
    <n v="5"/>
    <x v="1"/>
    <x v="2"/>
    <s v="PLAQUETTES"/>
    <x v="3"/>
    <n v="42.5"/>
  </r>
  <r>
    <d v="2025-01-18T07:00:06"/>
    <x v="6"/>
    <s v="Plaquettes de finition triangulaires"/>
    <s v="10301115"/>
    <s v="BOUCHART LUDOVIC"/>
    <n v="5"/>
    <x v="1"/>
    <x v="2"/>
    <s v="PLAQUETTES"/>
    <x v="3"/>
    <n v="48.7"/>
  </r>
  <r>
    <d v="2025-01-18T07:00:30"/>
    <x v="2"/>
    <s v="Plaquettes de finition carrées"/>
    <s v="10301115"/>
    <s v="BOUCHART LUDOVIC"/>
    <n v="5"/>
    <x v="1"/>
    <x v="2"/>
    <s v="PLAQUETTES"/>
    <x v="3"/>
    <n v="47.8"/>
  </r>
  <r>
    <d v="2025-01-18T13:48:37"/>
    <x v="3"/>
    <s v="Plaquettes d'ébauches carrées"/>
    <s v="U509351"/>
    <s v="DELIAT CHRISTOPHE"/>
    <n v="10"/>
    <x v="1"/>
    <x v="3"/>
    <s v="PLAQUETTES"/>
    <x v="3"/>
    <n v="79.599999999999994"/>
  </r>
  <r>
    <d v="2025-01-18T13:48:59"/>
    <x v="0"/>
    <s v="Plaquettes d'ébauches rhombiques"/>
    <s v="U509351"/>
    <s v="DELIAT CHRISTOPHE"/>
    <n v="10"/>
    <x v="0"/>
    <x v="3"/>
    <s v="PLAQUETTES"/>
    <x v="3"/>
    <n v="79.599999999999994"/>
  </r>
  <r>
    <d v="2025-01-19T17:45:07"/>
    <x v="3"/>
    <s v="Plaquettes d'ébauches carrées"/>
    <s v="10301115"/>
    <s v="BOUCHART LUDOVIC"/>
    <n v="5"/>
    <x v="0"/>
    <x v="3"/>
    <s v="PLAQUETTES"/>
    <x v="4"/>
    <n v="39.799999999999997"/>
  </r>
  <r>
    <d v="2025-01-19T17:45:26"/>
    <x v="0"/>
    <s v="Plaquettes d'ébauches rhombiques"/>
    <s v="10301115"/>
    <s v="BOUCHART LUDOVIC"/>
    <n v="5"/>
    <x v="0"/>
    <x v="3"/>
    <s v="PLAQUETTES"/>
    <x v="4"/>
    <n v="39.799999999999997"/>
  </r>
  <r>
    <d v="2025-01-19T17:45:44"/>
    <x v="4"/>
    <s v="Plaquettes de gorges"/>
    <s v="10301115"/>
    <s v="BOUCHART LUDOVIC"/>
    <n v="10"/>
    <x v="0"/>
    <x v="0"/>
    <s v="PLAQUETTES"/>
    <x v="4"/>
    <n v="188"/>
  </r>
  <r>
    <d v="2025-01-19T17:46:03"/>
    <x v="3"/>
    <s v="Plaquettes d'ébauches carrées"/>
    <s v="10301115"/>
    <s v="BOUCHART LUDOVIC"/>
    <n v="5"/>
    <x v="0"/>
    <x v="0"/>
    <s v="PLAQUETTES"/>
    <x v="4"/>
    <n v="39.799999999999997"/>
  </r>
  <r>
    <d v="2025-01-19T17:46:21"/>
    <x v="0"/>
    <s v="Plaquettes d'ébauches rhombiques"/>
    <s v="10301115"/>
    <s v="BOUCHART LUDOVIC"/>
    <n v="5"/>
    <x v="0"/>
    <x v="0"/>
    <s v="PLAQUETTES"/>
    <x v="4"/>
    <n v="39.799999999999997"/>
  </r>
  <r>
    <d v="2025-01-19T17:46:38"/>
    <x v="3"/>
    <s v="Plaquettes d'ébauches carrées"/>
    <s v="10301115"/>
    <s v="BOUCHART LUDOVIC"/>
    <n v="5"/>
    <x v="1"/>
    <x v="3"/>
    <s v="PLAQUETTES"/>
    <x v="3"/>
    <n v="39.799999999999997"/>
  </r>
  <r>
    <d v="2025-01-19T17:46:56"/>
    <x v="0"/>
    <s v="Plaquettes d'ébauches rhombiques"/>
    <s v="10301115"/>
    <s v="BOUCHART LUDOVIC"/>
    <n v="5"/>
    <x v="1"/>
    <x v="3"/>
    <s v="PLAQUETTES"/>
    <x v="3"/>
    <n v="39.799999999999997"/>
  </r>
  <r>
    <d v="2025-01-19T17:47:14"/>
    <x v="3"/>
    <s v="Plaquettes d'ébauches carrées"/>
    <s v="10301115"/>
    <s v="BOUCHART LUDOVIC"/>
    <n v="5"/>
    <x v="1"/>
    <x v="0"/>
    <s v="PLAQUETTES"/>
    <x v="3"/>
    <n v="39.799999999999997"/>
  </r>
  <r>
    <d v="2025-01-19T17:47:35"/>
    <x v="0"/>
    <s v="Plaquettes d'ébauches rhombiques"/>
    <s v="10301115"/>
    <s v="BOUCHART LUDOVIC"/>
    <n v="5"/>
    <x v="1"/>
    <x v="0"/>
    <s v="PLAQUETTES"/>
    <x v="3"/>
    <n v="39.799999999999997"/>
  </r>
  <r>
    <d v="2025-01-19T18:12:41"/>
    <x v="2"/>
    <s v="Plaquettes de finition carrées"/>
    <s v="U509351"/>
    <s v="DELIAT CHRISTOPHE"/>
    <n v="10"/>
    <x v="1"/>
    <x v="2"/>
    <s v="PLAQUETTES"/>
    <x v="3"/>
    <n v="95.6"/>
  </r>
  <r>
    <d v="2025-01-19T18:13:11"/>
    <x v="6"/>
    <s v="Plaquettes de finition triangulaires"/>
    <s v="U509351"/>
    <s v="DELIAT CHRISTOPHE"/>
    <n v="5"/>
    <x v="1"/>
    <x v="2"/>
    <s v="PLAQUETTES"/>
    <x v="3"/>
    <n v="48.7"/>
  </r>
  <r>
    <d v="2025-01-19T18:13:35"/>
    <x v="5"/>
    <s v="Plaquettes de finition"/>
    <s v="U509351"/>
    <s v="DELIAT CHRISTOPHE"/>
    <n v="5"/>
    <x v="1"/>
    <x v="2"/>
    <s v="PLAQUETTES"/>
    <x v="3"/>
    <n v="42.5"/>
  </r>
  <r>
    <d v="2025-01-20T00:43:25"/>
    <x v="6"/>
    <s v="Plaquettes de finition triangulaires"/>
    <s v="U509351"/>
    <s v="DELIAT CHRISTOPHE"/>
    <n v="5"/>
    <x v="1"/>
    <x v="2"/>
    <s v="PLAQUETTES"/>
    <x v="3"/>
    <n v="48.7"/>
  </r>
  <r>
    <d v="2025-01-20T00:44:23"/>
    <x v="2"/>
    <s v="Plaquettes de finition carrées"/>
    <s v="U509351"/>
    <s v="DELIAT CHRISTOPHE"/>
    <n v="10"/>
    <x v="0"/>
    <x v="2"/>
    <s v="PLAQUETTES"/>
    <x v="4"/>
    <n v="95.6"/>
  </r>
  <r>
    <d v="2025-01-20T15:20:54"/>
    <x v="3"/>
    <s v="Plaquettes d'ébauches carrées"/>
    <s v="12824586"/>
    <s v="DASILVA FERNANDO"/>
    <n v="5"/>
    <x v="0"/>
    <x v="3"/>
    <s v="PLAQUETTES"/>
    <x v="0"/>
    <n v="39.799999999999997"/>
  </r>
  <r>
    <d v="2025-01-20T21:18:24"/>
    <x v="4"/>
    <s v="Plaquettes de gorges"/>
    <s v="31224"/>
    <s v="BIDOT MURIEL"/>
    <n v="10"/>
    <x v="0"/>
    <x v="0"/>
    <s v="PLAQUETTES"/>
    <x v="4"/>
    <n v="188"/>
  </r>
  <r>
    <d v="2025-01-20T21:18:50"/>
    <x v="2"/>
    <s v="Plaquettes de finition carrées"/>
    <s v="31224"/>
    <s v="BIDOT MURIEL"/>
    <n v="10"/>
    <x v="0"/>
    <x v="2"/>
    <s v="PLAQUETTES"/>
    <x v="4"/>
    <n v="95.6"/>
  </r>
  <r>
    <d v="2025-01-21T05:16:13"/>
    <x v="8"/>
    <s v="Plaquettes d'ébauches rhombiques"/>
    <s v="16340494"/>
    <s v="BRIMUSSE AURELIE"/>
    <n v="10"/>
    <x v="1"/>
    <x v="3"/>
    <s v="PLAQUETTES"/>
    <x v="3"/>
    <n v="70"/>
  </r>
  <r>
    <d v="2025-01-21T05:16:30"/>
    <x v="2"/>
    <s v="Plaquettes de finition carrées"/>
    <s v="16340494"/>
    <s v="BRIMUSSE AURELIE"/>
    <n v="5"/>
    <x v="1"/>
    <x v="2"/>
    <s v="PLAQUETTES"/>
    <x v="3"/>
    <n v="47.8"/>
  </r>
  <r>
    <d v="2025-01-21T14:05:15"/>
    <x v="2"/>
    <s v="Plaquettes de finition carrées"/>
    <s v="U505000"/>
    <s v="RECEVEUR BENOIT"/>
    <n v="10"/>
    <x v="1"/>
    <x v="2"/>
    <s v="PLAQUETTES"/>
    <x v="3"/>
    <n v="95.6"/>
  </r>
  <r>
    <d v="2025-01-21T14:06:07"/>
    <x v="3"/>
    <s v="Plaquettes d'ébauches carrées"/>
    <s v="7236310"/>
    <s v="OZYURT IREM"/>
    <n v="5"/>
    <x v="0"/>
    <x v="3"/>
    <s v="PLAQUETTES"/>
    <x v="4"/>
    <n v="39.799999999999997"/>
  </r>
  <r>
    <d v="2025-01-21T14:06:28"/>
    <x v="3"/>
    <s v="Plaquettes d'ébauches carrées"/>
    <s v="7236310"/>
    <s v="OZYURT IREM"/>
    <n v="5"/>
    <x v="1"/>
    <x v="3"/>
    <s v="PLAQUETTES"/>
    <x v="3"/>
    <n v="39.799999999999997"/>
  </r>
  <r>
    <d v="2025-01-21T14:48:53"/>
    <x v="3"/>
    <s v="Plaquettes d'ébauches carrées"/>
    <s v="12824586"/>
    <s v="DASILVA FERNANDO"/>
    <n v="5"/>
    <x v="1"/>
    <x v="3"/>
    <s v="PLAQUETTES"/>
    <x v="2"/>
    <n v="39.799999999999997"/>
  </r>
  <r>
    <d v="2025-01-21T21:14:53"/>
    <x v="3"/>
    <s v="Plaquettes d'ébauches carrées"/>
    <s v="31224"/>
    <s v="BIDOT MURIEL"/>
    <n v="10"/>
    <x v="0"/>
    <x v="3"/>
    <s v="PLAQUETTES"/>
    <x v="4"/>
    <n v="79.599999999999994"/>
  </r>
  <r>
    <d v="2025-01-21T21:15:12"/>
    <x v="4"/>
    <s v="Plaquettes de gorges"/>
    <s v="31224"/>
    <s v="BIDOT MURIEL"/>
    <n v="10"/>
    <x v="0"/>
    <x v="0"/>
    <s v="PLAQUETTES"/>
    <x v="4"/>
    <n v="188"/>
  </r>
  <r>
    <d v="2025-01-21T21:15:51"/>
    <x v="2"/>
    <s v="Plaquettes de finition carrées"/>
    <s v="31224"/>
    <s v="BIDOT MURIEL"/>
    <n v="10"/>
    <x v="0"/>
    <x v="2"/>
    <s v="PLAQUETTES"/>
    <x v="4"/>
    <n v="95.6"/>
  </r>
  <r>
    <d v="2025-01-22T10:57:07"/>
    <x v="10"/>
    <s v="Plaquettes TPGX0902ZPRGD KC7315"/>
    <s v="12824586"/>
    <s v="DASILVA FERNANDO"/>
    <n v="10"/>
    <x v="1"/>
    <x v="1"/>
    <s v="PLAQUETTES"/>
    <x v="1"/>
    <n v="81.5"/>
  </r>
  <r>
    <d v="2025-01-22T15:01:31"/>
    <x v="4"/>
    <s v="Plaquettes de gorges"/>
    <s v="7236310"/>
    <s v="OZYURT IREM"/>
    <n v="10"/>
    <x v="0"/>
    <x v="0"/>
    <s v="PLAQUETTES"/>
    <x v="4"/>
    <n v="188"/>
  </r>
  <r>
    <d v="2025-01-22T19:30:44"/>
    <x v="2"/>
    <s v="Plaquettes de finition carrées"/>
    <s v="U505000"/>
    <s v="RECEVEUR BENOIT"/>
    <n v="10"/>
    <x v="1"/>
    <x v="2"/>
    <s v="PLAQUETTES"/>
    <x v="3"/>
    <n v="95.6"/>
  </r>
  <r>
    <d v="2025-01-22T21:39:39"/>
    <x v="3"/>
    <s v="Plaquettes d'ébauches carrées"/>
    <s v="31224"/>
    <s v="BIDOT MURIEL"/>
    <n v="15"/>
    <x v="0"/>
    <x v="3"/>
    <s v="PLAQUETTES"/>
    <x v="4"/>
    <n v="119.4"/>
  </r>
  <r>
    <d v="2025-01-22T21:40:02"/>
    <x v="0"/>
    <s v="Plaquettes d'ébauches rhombiques"/>
    <s v="31224"/>
    <s v="BIDOT MURIEL"/>
    <n v="10"/>
    <x v="0"/>
    <x v="0"/>
    <s v="PLAQUETTES"/>
    <x v="4"/>
    <n v="79.599999999999994"/>
  </r>
  <r>
    <d v="2025-01-22T21:40:33"/>
    <x v="2"/>
    <s v="Plaquettes de finition carrées"/>
    <s v="31224"/>
    <s v="BIDOT MURIEL"/>
    <n v="10"/>
    <x v="0"/>
    <x v="2"/>
    <s v="PLAQUETTES"/>
    <x v="4"/>
    <n v="95.6"/>
  </r>
  <r>
    <d v="2025-01-22T21:40:55"/>
    <x v="4"/>
    <s v="Plaquettes de gorges"/>
    <s v="31224"/>
    <s v="BIDOT MURIEL"/>
    <n v="10"/>
    <x v="0"/>
    <x v="0"/>
    <s v="PLAQUETTES"/>
    <x v="4"/>
    <n v="188"/>
  </r>
  <r>
    <d v="2025-01-22T22:19:19"/>
    <x v="8"/>
    <s v="Plaquettes d'ébauches rhombiques"/>
    <s v="SC99878"/>
    <s v="GONIN VINCENT"/>
    <n v="10"/>
    <x v="1"/>
    <x v="3"/>
    <s v="PLAQUETTES"/>
    <x v="3"/>
    <n v="70"/>
  </r>
  <r>
    <d v="2025-01-23T02:14:03"/>
    <x v="3"/>
    <s v="Plaquettes d'ébauches carrées"/>
    <s v="SC99878"/>
    <s v="GONIN VINCENT"/>
    <n v="10"/>
    <x v="1"/>
    <x v="3"/>
    <s v="PLAQUETTES"/>
    <x v="3"/>
    <n v="79.599999999999994"/>
  </r>
  <r>
    <d v="2025-01-23T06:38:21"/>
    <x v="8"/>
    <s v="Plaquettes d'ébauches rhombiques"/>
    <s v="16340494"/>
    <s v="BRIMUSSE AURELIE"/>
    <n v="10"/>
    <x v="1"/>
    <x v="3"/>
    <s v="PLAQUETTES"/>
    <x v="3"/>
    <n v="70"/>
  </r>
  <r>
    <d v="2025-01-23T06:38:41"/>
    <x v="3"/>
    <s v="Plaquettes d'ébauches carrées"/>
    <s v="16340494"/>
    <s v="BRIMUSSE AURELIE"/>
    <n v="5"/>
    <x v="1"/>
    <x v="3"/>
    <s v="PLAQUETTES"/>
    <x v="3"/>
    <n v="39.799999999999997"/>
  </r>
  <r>
    <d v="2025-01-23T06:39:01"/>
    <x v="3"/>
    <s v="Plaquettes d'ébauches carrées"/>
    <s v="16340494"/>
    <s v="BRIMUSSE AURELIE"/>
    <n v="5"/>
    <x v="1"/>
    <x v="0"/>
    <s v="PLAQUETTES"/>
    <x v="3"/>
    <n v="39.799999999999997"/>
  </r>
  <r>
    <d v="2025-01-23T06:39:25"/>
    <x v="0"/>
    <s v="Plaquettes d'ébauches rhombiques"/>
    <s v="16340494"/>
    <s v="BRIMUSSE AURELIE"/>
    <n v="5"/>
    <x v="1"/>
    <x v="0"/>
    <s v="PLAQUETTES"/>
    <x v="3"/>
    <n v="39.799999999999997"/>
  </r>
  <r>
    <d v="2025-01-23T06:39:48"/>
    <x v="2"/>
    <s v="Plaquettes de finition carrées"/>
    <s v="16340494"/>
    <s v="BRIMUSSE AURELIE"/>
    <n v="10"/>
    <x v="1"/>
    <x v="2"/>
    <s v="PLAQUETTES"/>
    <x v="3"/>
    <n v="95.6"/>
  </r>
  <r>
    <d v="2025-01-23T06:40:06"/>
    <x v="5"/>
    <s v="Plaquettes de finition"/>
    <s v="16340494"/>
    <s v="BRIMUSSE AURELIE"/>
    <n v="5"/>
    <x v="1"/>
    <x v="2"/>
    <s v="PLAQUETTES"/>
    <x v="3"/>
    <n v="42.5"/>
  </r>
  <r>
    <d v="2025-01-23T21:26:31"/>
    <x v="3"/>
    <s v="Plaquettes d'ébauches carrées"/>
    <s v="31224"/>
    <s v="BIDOT MURIEL"/>
    <n v="10"/>
    <x v="0"/>
    <x v="3"/>
    <s v="PLAQUETTES"/>
    <x v="4"/>
    <n v="79.599999999999994"/>
  </r>
  <r>
    <d v="2025-01-23T21:26:54"/>
    <x v="0"/>
    <s v="Plaquettes d'ébauches rhombiques"/>
    <s v="31224"/>
    <s v="BIDOT MURIEL"/>
    <n v="10"/>
    <x v="0"/>
    <x v="3"/>
    <s v="PLAQUETTES"/>
    <x v="4"/>
    <n v="79.599999999999994"/>
  </r>
  <r>
    <d v="2025-01-23T21:27:17"/>
    <x v="2"/>
    <s v="Plaquettes de finition carrées"/>
    <s v="31224"/>
    <s v="BIDOT MURIEL"/>
    <n v="10"/>
    <x v="0"/>
    <x v="2"/>
    <s v="PLAQUETTES"/>
    <x v="4"/>
    <n v="95.6"/>
  </r>
  <r>
    <d v="2025-01-23T21:27:40"/>
    <x v="4"/>
    <s v="Plaquettes de gorges"/>
    <s v="31224"/>
    <s v="BIDOT MURIEL"/>
    <n v="10"/>
    <x v="0"/>
    <x v="0"/>
    <s v="PLAQUETTES"/>
    <x v="4"/>
    <n v="188"/>
  </r>
  <r>
    <d v="2025-01-24T06:17:52"/>
    <x v="3"/>
    <s v="Plaquettes d'ébauches carrées"/>
    <s v="10301115"/>
    <s v="BOUCHART LUDOVIC"/>
    <n v="10"/>
    <x v="1"/>
    <x v="3"/>
    <s v="PLAQUETTES"/>
    <x v="3"/>
    <n v="79.599999999999994"/>
  </r>
  <r>
    <d v="2025-01-24T06:18:21"/>
    <x v="0"/>
    <s v="Plaquettes d'ébauches rhombiques"/>
    <s v="10301115"/>
    <s v="BOUCHART LUDOVIC"/>
    <n v="10"/>
    <x v="1"/>
    <x v="3"/>
    <s v="PLAQUETTES"/>
    <x v="3"/>
    <n v="79.599999999999994"/>
  </r>
  <r>
    <d v="2025-01-24T06:18:41"/>
    <x v="8"/>
    <s v="Plaquettes d'ébauches rhombiques"/>
    <s v="10301115"/>
    <s v="BOUCHART LUDOVIC"/>
    <n v="10"/>
    <x v="1"/>
    <x v="3"/>
    <s v="PLAQUETTES"/>
    <x v="3"/>
    <n v="70"/>
  </r>
  <r>
    <d v="2025-01-24T06:19:12"/>
    <x v="5"/>
    <s v="Plaquettes de finition"/>
    <s v="10301115"/>
    <s v="BOUCHART LUDOVIC"/>
    <n v="5"/>
    <x v="1"/>
    <x v="2"/>
    <s v="PLAQUETTES"/>
    <x v="3"/>
    <n v="42.5"/>
  </r>
  <r>
    <d v="2025-01-24T06:19:26"/>
    <x v="6"/>
    <s v="Plaquettes de finition triangulaires"/>
    <s v="10301115"/>
    <s v="BOUCHART LUDOVIC"/>
    <n v="5"/>
    <x v="1"/>
    <x v="2"/>
    <s v="PLAQUETTES"/>
    <x v="3"/>
    <n v="48.7"/>
  </r>
  <r>
    <d v="2025-01-24T06:20:05"/>
    <x v="2"/>
    <s v="Plaquettes de finition carrées"/>
    <s v="10301115"/>
    <s v="BOUCHART LUDOVIC"/>
    <n v="5"/>
    <x v="1"/>
    <x v="2"/>
    <s v="PLAQUETTES"/>
    <x v="3"/>
    <n v="47.8"/>
  </r>
  <r>
    <d v="2025-01-24T08:43:35"/>
    <x v="3"/>
    <s v="Plaquettes d'ébauches carrées"/>
    <s v="12824586"/>
    <s v="DASILVA FERNANDO"/>
    <n v="5"/>
    <x v="1"/>
    <x v="3"/>
    <s v="PLAQUETTES"/>
    <x v="3"/>
    <n v="39.799999999999997"/>
  </r>
  <r>
    <d v="2025-01-25T02:27:41"/>
    <x v="2"/>
    <s v="Plaquettes de finition carrées"/>
    <s v="31224"/>
    <s v="BIDOT MURIEL"/>
    <n v="5"/>
    <x v="0"/>
    <x v="2"/>
    <s v="PLAQUETTES"/>
    <x v="4"/>
    <n v="47.8"/>
  </r>
  <r>
    <d v="2025-01-25T02:28:01"/>
    <x v="4"/>
    <s v="Plaquettes de gorges"/>
    <s v="31224"/>
    <s v="BIDOT MURIEL"/>
    <n v="10"/>
    <x v="0"/>
    <x v="0"/>
    <s v="PLAQUETTES"/>
    <x v="4"/>
    <n v="188"/>
  </r>
  <r>
    <d v="2025-01-25T02:28:21"/>
    <x v="3"/>
    <s v="Plaquettes d'ébauches carrées"/>
    <s v="31224"/>
    <s v="BIDOT MURIEL"/>
    <n v="5"/>
    <x v="0"/>
    <x v="3"/>
    <s v="PLAQUETTES"/>
    <x v="4"/>
    <n v="39.799999999999997"/>
  </r>
  <r>
    <d v="2025-01-25T07:12:33"/>
    <x v="3"/>
    <s v="Plaquettes d'ébauches carrées"/>
    <s v="U509351"/>
    <s v="DELIAT CHRISTOPHE"/>
    <n v="20"/>
    <x v="0"/>
    <x v="3"/>
    <s v="PLAQUETTES"/>
    <x v="4"/>
    <n v="159.19999999999999"/>
  </r>
  <r>
    <d v="2025-01-25T07:12:57"/>
    <x v="0"/>
    <s v="Plaquettes d'ébauches rhombiques"/>
    <s v="U509351"/>
    <s v="DELIAT CHRISTOPHE"/>
    <n v="20"/>
    <x v="1"/>
    <x v="3"/>
    <s v="PLAQUETTES"/>
    <x v="2"/>
    <n v="159.19999999999999"/>
  </r>
  <r>
    <d v="2025-01-25T07:13:20"/>
    <x v="4"/>
    <s v="Plaquettes de gorges"/>
    <s v="U509351"/>
    <s v="DELIAT CHRISTOPHE"/>
    <n v="20"/>
    <x v="0"/>
    <x v="0"/>
    <s v="PLAQUETTES"/>
    <x v="4"/>
    <n v="376"/>
  </r>
  <r>
    <d v="2025-01-25T08:49:00"/>
    <x v="2"/>
    <s v="Plaquettes de finition carrées"/>
    <s v="10301115"/>
    <s v="BOUCHART LUDOVIC"/>
    <n v="5"/>
    <x v="0"/>
    <x v="2"/>
    <s v="PLAQUETTES"/>
    <x v="4"/>
    <n v="47.8"/>
  </r>
  <r>
    <d v="2025-01-25T08:49:22"/>
    <x v="2"/>
    <s v="Plaquettes de finition carrées"/>
    <s v="10301115"/>
    <s v="BOUCHART LUDOVIC"/>
    <n v="5"/>
    <x v="1"/>
    <x v="2"/>
    <s v="PLAQUETTES"/>
    <x v="2"/>
    <n v="47.8"/>
  </r>
  <r>
    <d v="2025-01-26T17:30:12"/>
    <x v="3"/>
    <s v="Plaquettes d'ébauches carrées"/>
    <s v="10301115"/>
    <s v="BOUCHART LUDOVIC"/>
    <n v="10"/>
    <x v="0"/>
    <x v="3"/>
    <s v="PLAQUETTES"/>
    <x v="4"/>
    <n v="79.599999999999994"/>
  </r>
  <r>
    <d v="2025-01-26T17:30:35"/>
    <x v="0"/>
    <s v="Plaquettes d'ébauches rhombiques"/>
    <s v="10301115"/>
    <s v="BOUCHART LUDOVIC"/>
    <n v="10"/>
    <x v="0"/>
    <x v="3"/>
    <s v="PLAQUETTES"/>
    <x v="4"/>
    <n v="79.599999999999994"/>
  </r>
  <r>
    <d v="2025-01-26T17:30:58"/>
    <x v="4"/>
    <s v="Plaquettes de gorges"/>
    <s v="10301115"/>
    <s v="BOUCHART LUDOVIC"/>
    <n v="10"/>
    <x v="0"/>
    <x v="0"/>
    <s v="PLAQUETTES"/>
    <x v="4"/>
    <n v="188"/>
  </r>
  <r>
    <d v="2025-01-26T17:31:19"/>
    <x v="3"/>
    <s v="Plaquettes d'ébauches carrées"/>
    <s v="10301115"/>
    <s v="BOUCHART LUDOVIC"/>
    <n v="10"/>
    <x v="1"/>
    <x v="3"/>
    <s v="PLAQUETTES"/>
    <x v="2"/>
    <n v="79.599999999999994"/>
  </r>
  <r>
    <d v="2025-01-26T17:31:37"/>
    <x v="0"/>
    <s v="Plaquettes d'ébauches rhombiques"/>
    <s v="10301115"/>
    <s v="BOUCHART LUDOVIC"/>
    <n v="10"/>
    <x v="1"/>
    <x v="3"/>
    <s v="PLAQUETTES"/>
    <x v="2"/>
    <n v="79.599999999999994"/>
  </r>
  <r>
    <d v="2025-01-26T17:31:56"/>
    <x v="4"/>
    <s v="Plaquettes de gorges"/>
    <s v="10301115"/>
    <s v="BOUCHART LUDOVIC"/>
    <n v="10"/>
    <x v="1"/>
    <x v="0"/>
    <s v="PLAQUETTES"/>
    <x v="2"/>
    <n v="188"/>
  </r>
  <r>
    <d v="2025-01-26T17:38:55"/>
    <x v="2"/>
    <s v="Plaquettes de finition carrées"/>
    <s v="U509351"/>
    <s v="DELIAT CHRISTOPHE"/>
    <n v="10"/>
    <x v="0"/>
    <x v="2"/>
    <s v="PLAQUETTES"/>
    <x v="4"/>
    <n v="95.6"/>
  </r>
  <r>
    <d v="2025-01-26T17:39:14"/>
    <x v="2"/>
    <s v="Plaquettes de finition carrées"/>
    <s v="U509351"/>
    <s v="DELIAT CHRISTOPHE"/>
    <n v="10"/>
    <x v="1"/>
    <x v="2"/>
    <s v="PLAQUETTES"/>
    <x v="2"/>
    <n v="95.6"/>
  </r>
  <r>
    <d v="2025-01-27T07:52:30"/>
    <x v="10"/>
    <s v="Plaquettes TPGX0902ZPRGD KC7315"/>
    <s v="12824586"/>
    <s v="DASILVA FERNANDO"/>
    <n v="10"/>
    <x v="0"/>
    <x v="1"/>
    <s v="PLAQUETTES"/>
    <x v="1"/>
    <n v="81.5"/>
  </r>
  <r>
    <d v="2025-01-28T01:43:33"/>
    <x v="2"/>
    <s v="Plaquettes de finition carrées"/>
    <s v="16340494"/>
    <s v="BRIMUSSE AURELIE"/>
    <n v="10"/>
    <x v="0"/>
    <x v="2"/>
    <s v="PLAQUETTES"/>
    <x v="4"/>
    <n v="95.6"/>
  </r>
  <r>
    <d v="2025-01-28T04:34:17"/>
    <x v="4"/>
    <s v="Plaquettes de gorges"/>
    <s v="SC95213"/>
    <s v="RABET PAULINE"/>
    <n v="20"/>
    <x v="1"/>
    <x v="0"/>
    <s v="PLAQUETTES"/>
    <x v="2"/>
    <n v="376"/>
  </r>
  <r>
    <d v="2025-01-28T11:40:41"/>
    <x v="3"/>
    <s v="Plaquettes d'ébauches carrées"/>
    <s v="7236310"/>
    <s v="OZYURT IREM"/>
    <n v="5"/>
    <x v="0"/>
    <x v="3"/>
    <s v="PLAQUETTES"/>
    <x v="4"/>
    <n v="39.799999999999997"/>
  </r>
  <r>
    <d v="2025-01-28T11:41:05"/>
    <x v="3"/>
    <s v="Plaquettes d'ébauches carrées"/>
    <s v="7236310"/>
    <s v="OZYURT IREM"/>
    <n v="5"/>
    <x v="0"/>
    <x v="0"/>
    <s v="PLAQUETTES"/>
    <x v="4"/>
    <n v="39.799999999999997"/>
  </r>
  <r>
    <d v="2025-01-28T13:42:35"/>
    <x v="3"/>
    <s v="Plaquettes d'ébauches carrées"/>
    <s v="31224"/>
    <s v="BIDOT MURIEL"/>
    <n v="10"/>
    <x v="0"/>
    <x v="3"/>
    <s v="PLAQUETTES"/>
    <x v="4"/>
    <n v="79.599999999999994"/>
  </r>
  <r>
    <d v="2025-01-28T13:42:56"/>
    <x v="4"/>
    <s v="Plaquettes de gorges"/>
    <s v="31224"/>
    <s v="BIDOT MURIEL"/>
    <n v="10"/>
    <x v="0"/>
    <x v="0"/>
    <s v="PLAQUETTES"/>
    <x v="4"/>
    <n v="188"/>
  </r>
  <r>
    <d v="2025-01-28T13:43:21"/>
    <x v="0"/>
    <s v="Plaquettes d'ébauches rhombiques"/>
    <s v="31224"/>
    <s v="BIDOT MURIEL"/>
    <n v="5"/>
    <x v="0"/>
    <x v="0"/>
    <s v="PLAQUETTES"/>
    <x v="4"/>
    <n v="39.799999999999997"/>
  </r>
  <r>
    <d v="2025-01-28T13:43:45"/>
    <x v="2"/>
    <s v="Plaquettes de finition carrées"/>
    <s v="31224"/>
    <s v="BIDOT MURIEL"/>
    <n v="15"/>
    <x v="0"/>
    <x v="2"/>
    <s v="PLAQUETTES"/>
    <x v="4"/>
    <n v="143.4"/>
  </r>
  <r>
    <d v="2025-01-29T03:40:14"/>
    <x v="3"/>
    <s v="Plaquettes d'ébauches carrées"/>
    <s v="U568060"/>
    <s v="FAVIER STEVEN"/>
    <n v="5"/>
    <x v="1"/>
    <x v="3"/>
    <s v="PLAQUETTES"/>
    <x v="2"/>
    <n v="39.799999999999997"/>
  </r>
  <r>
    <d v="2025-01-29T04:38:36"/>
    <x v="2"/>
    <s v="Plaquettes de finition carrées"/>
    <s v="SC95213"/>
    <s v="RABET PAULINE"/>
    <n v="5"/>
    <x v="1"/>
    <x v="2"/>
    <s v="PLAQUETTES"/>
    <x v="2"/>
    <n v="47.8"/>
  </r>
  <r>
    <d v="2025-01-29T06:09:06"/>
    <x v="4"/>
    <s v="Plaquettes de gorges"/>
    <s v="7236310"/>
    <s v="OZYURT IREM"/>
    <n v="10"/>
    <x v="1"/>
    <x v="0"/>
    <s v="PLAQUETTES"/>
    <x v="2"/>
    <n v="188"/>
  </r>
  <r>
    <d v="2025-01-29T08:30:41"/>
    <x v="4"/>
    <s v="Plaquettes de gorges"/>
    <s v="7236310"/>
    <s v="OZYURT IREM"/>
    <n v="10"/>
    <x v="0"/>
    <x v="0"/>
    <s v="PLAQUETTES"/>
    <x v="4"/>
    <n v="188"/>
  </r>
  <r>
    <d v="2025-01-29T09:21:59"/>
    <x v="3"/>
    <s v="Plaquettes d'ébauches carrées"/>
    <s v="7236310"/>
    <s v="OZYURT IREM"/>
    <n v="5"/>
    <x v="0"/>
    <x v="3"/>
    <s v="PLAQUETTES"/>
    <x v="4"/>
    <n v="39.799999999999997"/>
  </r>
  <r>
    <d v="2025-01-29T09:22:20"/>
    <x v="3"/>
    <s v="Plaquettes d'ébauches carrées"/>
    <s v="7236310"/>
    <s v="OZYURT IREM"/>
    <n v="5"/>
    <x v="1"/>
    <x v="3"/>
    <s v="PLAQUETTES"/>
    <x v="2"/>
    <n v="39.799999999999997"/>
  </r>
  <r>
    <d v="2025-01-29T09:22:44"/>
    <x v="0"/>
    <s v="Plaquettes d'ébauches rhombiques"/>
    <s v="7236310"/>
    <s v="OZYURT IREM"/>
    <n v="5"/>
    <x v="0"/>
    <x v="0"/>
    <s v="PLAQUETTES"/>
    <x v="4"/>
    <n v="39.799999999999997"/>
  </r>
  <r>
    <d v="2025-01-29T09:24:06"/>
    <x v="2"/>
    <s v="Plaquettes de finition carrées"/>
    <s v="7236310"/>
    <s v="OZYURT IREM"/>
    <n v="10"/>
    <x v="0"/>
    <x v="2"/>
    <s v="PLAQUETTES"/>
    <x v="4"/>
    <n v="95.6"/>
  </r>
  <r>
    <d v="2025-01-29T13:33:26"/>
    <x v="3"/>
    <s v="Plaquettes d'ébauches carrées"/>
    <s v="SC99878"/>
    <s v="GONIN VINCENT"/>
    <n v="20"/>
    <x v="0"/>
    <x v="3"/>
    <s v="PLAQUETTES"/>
    <x v="4"/>
    <n v="159.19999999999999"/>
  </r>
  <r>
    <d v="2025-01-29T13:33:57"/>
    <x v="0"/>
    <s v="Plaquettes d'ébauches rhombiques"/>
    <s v="SC99878"/>
    <s v="GONIN VINCENT"/>
    <n v="10"/>
    <x v="0"/>
    <x v="3"/>
    <s v="PLAQUETTES"/>
    <x v="4"/>
    <n v="79.599999999999994"/>
  </r>
  <r>
    <d v="2025-01-29T13:34:25"/>
    <x v="4"/>
    <s v="Plaquettes de gorges"/>
    <s v="SC99878"/>
    <s v="GONIN VINCENT"/>
    <n v="10"/>
    <x v="0"/>
    <x v="0"/>
    <s v="PLAQUETTES"/>
    <x v="4"/>
    <n v="188"/>
  </r>
  <r>
    <d v="2025-01-29T13:34:56"/>
    <x v="2"/>
    <s v="Plaquettes de finition carrées"/>
    <s v="SC99878"/>
    <s v="GONIN VINCENT"/>
    <n v="15"/>
    <x v="0"/>
    <x v="2"/>
    <s v="PLAQUETTES"/>
    <x v="4"/>
    <n v="143.4"/>
  </r>
  <r>
    <d v="2025-01-30T04:48:23"/>
    <x v="4"/>
    <s v="Plaquettes de gorges"/>
    <s v="SC95213"/>
    <s v="RABET PAULINE"/>
    <n v="20"/>
    <x v="1"/>
    <x v="0"/>
    <s v="PLAQUETTES"/>
    <x v="2"/>
    <n v="376"/>
  </r>
  <r>
    <d v="2025-01-30T07:25:15"/>
    <x v="3"/>
    <s v="Plaquettes d'ébauches carrées"/>
    <s v="7236310"/>
    <s v="OZYURT IREM"/>
    <n v="10"/>
    <x v="0"/>
    <x v="3"/>
    <s v="PLAQUETTES"/>
    <x v="4"/>
    <n v="79.599999999999994"/>
  </r>
  <r>
    <d v="2025-01-30T07:25:53"/>
    <x v="0"/>
    <s v="Plaquettes d'ébauches rhombiques"/>
    <s v="7236310"/>
    <s v="OZYURT IREM"/>
    <n v="5"/>
    <x v="0"/>
    <x v="0"/>
    <s v="PLAQUETTES"/>
    <x v="4"/>
    <n v="39.799999999999997"/>
  </r>
  <r>
    <d v="2025-01-30T23:48:59"/>
    <x v="2"/>
    <s v="Plaquettes de finition carrées"/>
    <s v="SC95213"/>
    <s v="RABET PAULINE"/>
    <n v="10"/>
    <x v="1"/>
    <x v="2"/>
    <s v="PLAQUETTES"/>
    <x v="2"/>
    <n v="95.6"/>
  </r>
  <r>
    <d v="2025-01-31T06:07:33"/>
    <x v="4"/>
    <s v="Plaquettes de gorges"/>
    <s v="10301115"/>
    <s v="BOUCHART LUDOVIC"/>
    <n v="10"/>
    <x v="1"/>
    <x v="0"/>
    <s v="PLAQUETTES"/>
    <x v="2"/>
    <n v="188"/>
  </r>
  <r>
    <d v="2025-01-31T06:08:02"/>
    <x v="2"/>
    <s v="Plaquettes de finition carrées"/>
    <s v="10301115"/>
    <s v="BOUCHART LUDOVIC"/>
    <n v="5"/>
    <x v="1"/>
    <x v="2"/>
    <s v="PLAQUETTES"/>
    <x v="2"/>
    <n v="47.8"/>
  </r>
  <r>
    <d v="2025-01-31T13:33:36"/>
    <x v="2"/>
    <s v="Plaquettes de finition carrées"/>
    <s v="12824586"/>
    <s v="DASILVA FERNANDO"/>
    <n v="10"/>
    <x v="1"/>
    <x v="2"/>
    <s v="PLAQUETTES"/>
    <x v="2"/>
    <n v="95.6"/>
  </r>
  <r>
    <d v="2025-01-31T14:35:16"/>
    <x v="8"/>
    <s v="Plaquettes d'ébauches rhombiques"/>
    <s v="31224"/>
    <s v="BIDOT MURIEL"/>
    <n v="10"/>
    <x v="0"/>
    <x v="3"/>
    <s v="PLAQUETTES"/>
    <x v="3"/>
    <n v="70"/>
  </r>
  <r>
    <d v="2025-01-31T14:37:59"/>
    <x v="8"/>
    <s v="Plaquettes d'ébauches rhombiques"/>
    <s v="31224"/>
    <s v="BIDOT MURIEL"/>
    <n v="-10"/>
    <x v="0"/>
    <x v="3"/>
    <s v="PLAQUETTES"/>
    <x v="3"/>
    <n v="-70"/>
  </r>
  <r>
    <d v="2025-01-31T17:13:22"/>
    <x v="3"/>
    <s v="Plaquettes d'ébauches carrées"/>
    <s v="SC99878"/>
    <s v="GONIN VINCENT"/>
    <n v="10"/>
    <x v="1"/>
    <x v="0"/>
    <s v="PLAQUETTES"/>
    <x v="2"/>
    <n v="79.599999999999994"/>
  </r>
  <r>
    <d v="2025-01-31T17:13:55"/>
    <x v="2"/>
    <s v="Plaquettes de finition carrées"/>
    <s v="SC99878"/>
    <s v="GONIN VINCENT"/>
    <n v="5"/>
    <x v="1"/>
    <x v="2"/>
    <s v="PLAQUETTES"/>
    <x v="2"/>
    <n v="47.8"/>
  </r>
  <r>
    <d v="2025-01-31T21:58:28"/>
    <x v="4"/>
    <s v="Plaquettes de gorges"/>
    <s v="SC95213"/>
    <s v="RABET PAULINE"/>
    <n v="10"/>
    <x v="1"/>
    <x v="0"/>
    <s v="PLAQUETTES"/>
    <x v="2"/>
    <n v="188"/>
  </r>
  <r>
    <d v="2025-01-31T21:58:51"/>
    <x v="0"/>
    <s v="Plaquettes d'ébauches rhombiques"/>
    <s v="SC95213"/>
    <s v="RABET PAULINE"/>
    <n v="5"/>
    <x v="1"/>
    <x v="0"/>
    <s v="PLAQUETTES"/>
    <x v="2"/>
    <n v="39.799999999999997"/>
  </r>
  <r>
    <d v="2025-02-01T06:06:25"/>
    <x v="2"/>
    <s v="Plaquettes de finition carrées"/>
    <s v="10301115"/>
    <s v="BOUCHART LUDOVIC"/>
    <n v="10"/>
    <x v="1"/>
    <x v="2"/>
    <s v="PLAQUETTES"/>
    <x v="2"/>
    <n v="95.6"/>
  </r>
  <r>
    <d v="2025-02-01T06:10:29"/>
    <x v="3"/>
    <s v="Plaquettes d'ébauches carrées"/>
    <s v="U509351"/>
    <s v="DELIAT CHRISTOPHE"/>
    <n v="10"/>
    <x v="1"/>
    <x v="3"/>
    <s v="PLAQUETTES"/>
    <x v="2"/>
    <n v="79.599999999999994"/>
  </r>
  <r>
    <d v="2025-02-01T06:10:47"/>
    <x v="0"/>
    <s v="Plaquettes d'ébauches rhombiques"/>
    <s v="U509351"/>
    <s v="DELIAT CHRISTOPHE"/>
    <n v="10"/>
    <x v="1"/>
    <x v="3"/>
    <s v="PLAQUETTES"/>
    <x v="2"/>
    <n v="79.599999999999994"/>
  </r>
  <r>
    <d v="2025-02-01T06:11:06"/>
    <x v="4"/>
    <s v="Plaquettes de gorges"/>
    <s v="U509351"/>
    <s v="DELIAT CHRISTOPHE"/>
    <n v="10"/>
    <x v="1"/>
    <x v="0"/>
    <s v="PLAQUETTES"/>
    <x v="2"/>
    <n v="188"/>
  </r>
  <r>
    <d v="2025-02-02T17:40:56"/>
    <x v="3"/>
    <s v="Plaquettes d'ébauches carrées"/>
    <s v="10301115"/>
    <s v="BOUCHART LUDOVIC"/>
    <n v="10"/>
    <x v="1"/>
    <x v="3"/>
    <s v="PLAQUETTES"/>
    <x v="2"/>
    <n v="79.599999999999994"/>
  </r>
  <r>
    <d v="2025-02-02T17:41:20"/>
    <x v="0"/>
    <s v="Plaquettes d'ébauches rhombiques"/>
    <s v="10301115"/>
    <s v="BOUCHART LUDOVIC"/>
    <n v="10"/>
    <x v="1"/>
    <x v="3"/>
    <s v="PLAQUETTES"/>
    <x v="2"/>
    <n v="79.599999999999994"/>
  </r>
  <r>
    <d v="2025-02-02T17:41:38"/>
    <x v="4"/>
    <s v="Plaquettes de gorges"/>
    <s v="10301115"/>
    <s v="BOUCHART LUDOVIC"/>
    <n v="10"/>
    <x v="1"/>
    <x v="0"/>
    <s v="PLAQUETTES"/>
    <x v="2"/>
    <n v="188"/>
  </r>
  <r>
    <d v="2025-02-02T17:41:58"/>
    <x v="2"/>
    <s v="Plaquettes de finition carrées"/>
    <s v="10301115"/>
    <s v="BOUCHART LUDOVIC"/>
    <n v="10"/>
    <x v="1"/>
    <x v="2"/>
    <s v="PLAQUETTES"/>
    <x v="2"/>
    <n v="95.6"/>
  </r>
  <r>
    <d v="2025-02-03T02:09:05"/>
    <x v="3"/>
    <s v="Plaquettes d'ébauches carrées"/>
    <s v="10301115"/>
    <s v="BOUCHART LUDOVIC"/>
    <n v="5"/>
    <x v="1"/>
    <x v="3"/>
    <s v="PLAQUETTES"/>
    <x v="2"/>
    <n v="39.799999999999997"/>
  </r>
  <r>
    <d v="2025-02-03T13:19:10"/>
    <x v="4"/>
    <s v="Plaquettes de gorges"/>
    <s v="SC95213"/>
    <s v="RABET PAULINE"/>
    <n v="10"/>
    <x v="0"/>
    <x v="0"/>
    <s v="PLAQUETTES"/>
    <x v="0"/>
    <n v="188"/>
  </r>
  <r>
    <d v="2025-02-03T13:19:45"/>
    <x v="0"/>
    <s v="Plaquettes d'ébauches rhombiques"/>
    <s v="SC95213"/>
    <s v="RABET PAULINE"/>
    <n v="10"/>
    <x v="0"/>
    <x v="0"/>
    <s v="PLAQUETTES"/>
    <x v="0"/>
    <n v="79.599999999999994"/>
  </r>
  <r>
    <d v="2025-02-03T14:02:26"/>
    <x v="2"/>
    <s v="Plaquettes de finition carrées"/>
    <s v="16340494"/>
    <s v="BRIMUSSE AURELIE"/>
    <n v="10"/>
    <x v="0"/>
    <x v="2"/>
    <s v="PLAQUETTES"/>
    <x v="0"/>
    <n v="95.6"/>
  </r>
  <r>
    <d v="2025-02-04T01:03:46"/>
    <x v="3"/>
    <s v="Plaquettes d'ébauches carrées"/>
    <s v="7236310"/>
    <s v="OZYURT IREM"/>
    <n v="10"/>
    <x v="0"/>
    <x v="3"/>
    <s v="PLAQUETTES"/>
    <x v="0"/>
    <n v="79.599999999999994"/>
  </r>
  <r>
    <d v="2025-02-04T01:04:15"/>
    <x v="3"/>
    <s v="Plaquettes d'ébauches carrées"/>
    <s v="7236310"/>
    <s v="OZYURT IREM"/>
    <n v="10"/>
    <x v="1"/>
    <x v="0"/>
    <s v="PLAQUETTES"/>
    <x v="2"/>
    <n v="79.599999999999994"/>
  </r>
  <r>
    <d v="2025-02-04T01:04:44"/>
    <x v="4"/>
    <s v="Plaquettes de gorges"/>
    <s v="7236310"/>
    <s v="OZYURT IREM"/>
    <n v="10"/>
    <x v="1"/>
    <x v="0"/>
    <s v="PLAQUETTES"/>
    <x v="2"/>
    <n v="188"/>
  </r>
  <r>
    <d v="2025-02-04T08:18:14"/>
    <x v="3"/>
    <s v="Plaquettes d'ébauches carrées"/>
    <s v="31224"/>
    <s v="BIDOT MURIEL"/>
    <n v="15"/>
    <x v="0"/>
    <x v="3"/>
    <s v="PLAQUETTES"/>
    <x v="0"/>
    <n v="119.4"/>
  </r>
  <r>
    <d v="2025-02-04T08:18:40"/>
    <x v="0"/>
    <s v="Plaquettes d'ébauches rhombiques"/>
    <s v="31224"/>
    <s v="BIDOT MURIEL"/>
    <n v="15"/>
    <x v="0"/>
    <x v="0"/>
    <s v="PLAQUETTES"/>
    <x v="0"/>
    <n v="119.4"/>
  </r>
  <r>
    <d v="2025-02-04T08:19:10"/>
    <x v="2"/>
    <s v="Plaquettes de finition carrées"/>
    <s v="31224"/>
    <s v="BIDOT MURIEL"/>
    <n v="15"/>
    <x v="0"/>
    <x v="2"/>
    <s v="PLAQUETTES"/>
    <x v="0"/>
    <n v="143.4"/>
  </r>
  <r>
    <d v="2025-02-04T08:19:34"/>
    <x v="4"/>
    <s v="Plaquettes de gorges"/>
    <s v="31224"/>
    <s v="BIDOT MURIEL"/>
    <n v="10"/>
    <x v="0"/>
    <x v="0"/>
    <s v="PLAQUETTES"/>
    <x v="0"/>
    <n v="188"/>
  </r>
  <r>
    <d v="2025-02-05T01:02:55"/>
    <x v="4"/>
    <s v="Plaquettes de gorges"/>
    <s v="7236310"/>
    <s v="OZYURT IREM"/>
    <n v="10"/>
    <x v="0"/>
    <x v="0"/>
    <s v="PLAQUETTES"/>
    <x v="0"/>
    <n v="188"/>
  </r>
  <r>
    <d v="2025-02-05T05:27:45"/>
    <x v="3"/>
    <s v="Plaquettes d'ébauches carrées"/>
    <s v="SC99878"/>
    <s v="GONIN VINCENT"/>
    <n v="10"/>
    <x v="0"/>
    <x v="3"/>
    <s v="PLAQUETTES"/>
    <x v="0"/>
    <n v="79.599999999999994"/>
  </r>
  <r>
    <d v="2025-02-05T05:28:14"/>
    <x v="0"/>
    <s v="Plaquettes d'ébauches rhombiques"/>
    <s v="SC99878"/>
    <s v="GONIN VINCENT"/>
    <n v="10"/>
    <x v="0"/>
    <x v="0"/>
    <s v="PLAQUETTES"/>
    <x v="0"/>
    <n v="79.599999999999994"/>
  </r>
  <r>
    <d v="2025-02-05T05:28:57"/>
    <x v="2"/>
    <s v="Plaquettes de finition carrées"/>
    <s v="SC99878"/>
    <s v="GONIN VINCENT"/>
    <n v="15"/>
    <x v="0"/>
    <x v="2"/>
    <s v="PLAQUETTES"/>
    <x v="0"/>
    <n v="143.4"/>
  </r>
  <r>
    <d v="2025-02-05T13:33:37"/>
    <x v="6"/>
    <s v="Plaquettes de finition triangulaires"/>
    <s v="16340494"/>
    <s v="BRIMUSSE AURELIE"/>
    <n v="5"/>
    <x v="1"/>
    <x v="2"/>
    <s v="PLAQUETTES"/>
    <x v="3"/>
    <n v="48.7"/>
  </r>
  <r>
    <d v="2025-02-05T13:33:57"/>
    <x v="2"/>
    <s v="Plaquettes de finition carrées"/>
    <s v="16340494"/>
    <s v="BRIMUSSE AURELIE"/>
    <n v="5"/>
    <x v="1"/>
    <x v="2"/>
    <s v="PLAQUETTES"/>
    <x v="3"/>
    <n v="47.8"/>
  </r>
  <r>
    <d v="2025-02-05T19:07:11"/>
    <x v="4"/>
    <s v="Plaquettes de gorges"/>
    <s v="SC95213"/>
    <s v="RABET PAULINE"/>
    <n v="10"/>
    <x v="0"/>
    <x v="0"/>
    <s v="PLAQUETTES"/>
    <x v="0"/>
    <n v="188"/>
  </r>
  <r>
    <d v="2025-02-05T20:06:43"/>
    <x v="3"/>
    <s v="Plaquettes d'ébauches carrées"/>
    <s v="SC95213"/>
    <s v="RABET PAULINE"/>
    <n v="5"/>
    <x v="0"/>
    <x v="3"/>
    <s v="PLAQUETTES"/>
    <x v="0"/>
    <n v="39.799999999999997"/>
  </r>
  <r>
    <d v="2025-02-05T22:52:50"/>
    <x v="2"/>
    <s v="Plaquettes de finition carrées"/>
    <s v="7236310"/>
    <s v="OZYURT IREM"/>
    <n v="5"/>
    <x v="1"/>
    <x v="2"/>
    <s v="PLAQUETTES"/>
    <x v="3"/>
    <n v="47.8"/>
  </r>
  <r>
    <d v="2025-02-05T22:53:36"/>
    <x v="0"/>
    <s v="Plaquettes d'ébauches rhombiques"/>
    <s v="7236310"/>
    <s v="OZYURT IREM"/>
    <n v="5"/>
    <x v="1"/>
    <x v="0"/>
    <s v="PLAQUETTES"/>
    <x v="3"/>
    <n v="39.799999999999997"/>
  </r>
  <r>
    <d v="2025-02-05T22:54:06"/>
    <x v="3"/>
    <s v="Plaquettes d'ébauches carrées"/>
    <s v="7236310"/>
    <s v="OZYURT IREM"/>
    <n v="10"/>
    <x v="1"/>
    <x v="0"/>
    <s v="PLAQUETTES"/>
    <x v="3"/>
    <n v="79.599999999999994"/>
  </r>
  <r>
    <d v="2025-02-06T05:31:58"/>
    <x v="3"/>
    <s v="Plaquettes d'ébauches carrées"/>
    <s v="SC99878"/>
    <s v="GONIN VINCENT"/>
    <n v="20"/>
    <x v="0"/>
    <x v="3"/>
    <s v="PLAQUETTES"/>
    <x v="0"/>
    <n v="159.19999999999999"/>
  </r>
  <r>
    <d v="2025-02-06T05:32:26"/>
    <x v="0"/>
    <s v="Plaquettes d'ébauches rhombiques"/>
    <s v="SC99878"/>
    <s v="GONIN VINCENT"/>
    <n v="10"/>
    <x v="0"/>
    <x v="0"/>
    <s v="PLAQUETTES"/>
    <x v="0"/>
    <n v="79.599999999999994"/>
  </r>
  <r>
    <d v="2025-02-06T05:32:59"/>
    <x v="2"/>
    <s v="Plaquettes de finition carrées"/>
    <s v="SC99878"/>
    <s v="GONIN VINCENT"/>
    <n v="15"/>
    <x v="0"/>
    <x v="2"/>
    <s v="PLAQUETTES"/>
    <x v="0"/>
    <n v="143.4"/>
  </r>
  <r>
    <d v="2025-02-06T05:33:17"/>
    <x v="4"/>
    <s v="Plaquettes de gorges"/>
    <s v="SC99878"/>
    <s v="GONIN VINCENT"/>
    <n v="10"/>
    <x v="0"/>
    <x v="0"/>
    <s v="PLAQUETTES"/>
    <x v="0"/>
    <n v="188"/>
  </r>
  <r>
    <d v="2025-02-06T13:21:19"/>
    <x v="8"/>
    <s v="Plaquettes d'ébauches rhombiques"/>
    <s v="16340494"/>
    <s v="BRIMUSSE AURELIE"/>
    <n v="10"/>
    <x v="1"/>
    <x v="3"/>
    <s v="PLAQUETTES"/>
    <x v="3"/>
    <n v="70"/>
  </r>
  <r>
    <d v="2025-02-06T13:21:55"/>
    <x v="3"/>
    <s v="Plaquettes d'ébauches carrées"/>
    <s v="16340494"/>
    <s v="BRIMUSSE AURELIE"/>
    <n v="5"/>
    <x v="1"/>
    <x v="3"/>
    <s v="PLAQUETTES"/>
    <x v="3"/>
    <n v="39.799999999999997"/>
  </r>
  <r>
    <d v="2025-02-06T13:22:19"/>
    <x v="0"/>
    <s v="Plaquettes d'ébauches rhombiques"/>
    <s v="16340494"/>
    <s v="BRIMUSSE AURELIE"/>
    <n v="5"/>
    <x v="1"/>
    <x v="0"/>
    <s v="PLAQUETTES"/>
    <x v="3"/>
    <n v="39.799999999999997"/>
  </r>
  <r>
    <d v="2025-02-06T13:22:59"/>
    <x v="6"/>
    <s v="Plaquettes de finition triangulaires"/>
    <s v="16340494"/>
    <s v="BRIMUSSE AURELIE"/>
    <n v="5"/>
    <x v="1"/>
    <x v="2"/>
    <s v="PLAQUETTES"/>
    <x v="3"/>
    <n v="48.7"/>
  </r>
  <r>
    <d v="2025-02-06T13:23:19"/>
    <x v="5"/>
    <s v="Plaquettes de finition"/>
    <s v="16340494"/>
    <s v="BRIMUSSE AURELIE"/>
    <n v="5"/>
    <x v="1"/>
    <x v="2"/>
    <s v="PLAQUETTES"/>
    <x v="3"/>
    <n v="42.5"/>
  </r>
  <r>
    <d v="2025-02-07T01:17:02"/>
    <x v="2"/>
    <s v="Plaquettes de finition carrées"/>
    <s v="7236310"/>
    <s v="OZYURT IREM"/>
    <n v="5"/>
    <x v="1"/>
    <x v="2"/>
    <s v="PLAQUETTES"/>
    <x v="3"/>
    <n v="47.8"/>
  </r>
  <r>
    <d v="2025-02-07T05:18:25"/>
    <x v="3"/>
    <s v="Plaquettes d'ébauches carrées"/>
    <s v="U509351"/>
    <s v="DELIAT CHRISTOPHE"/>
    <n v="10"/>
    <x v="0"/>
    <x v="3"/>
    <s v="PLAQUETTES"/>
    <x v="3"/>
    <n v="79.599999999999994"/>
  </r>
  <r>
    <d v="2025-02-07T05:19:31"/>
    <x v="0"/>
    <s v="Plaquettes d'ébauches rhombiques"/>
    <s v="U509351"/>
    <s v="DELIAT CHRISTOPHE"/>
    <n v="10"/>
    <x v="1"/>
    <x v="0"/>
    <s v="PLAQUETTES"/>
    <x v="2"/>
    <n v="79.599999999999994"/>
  </r>
  <r>
    <d v="2025-02-07T05:20:43"/>
    <x v="2"/>
    <s v="Plaquettes de finition carrées"/>
    <s v="10301115"/>
    <s v="BOUCHART LUDOVIC"/>
    <n v="10"/>
    <x v="0"/>
    <x v="2"/>
    <s v="PLAQUETTES"/>
    <x v="0"/>
    <n v="95.6"/>
  </r>
  <r>
    <d v="2025-02-07T05:21:26"/>
    <x v="2"/>
    <s v="Plaquettes de finition carrées"/>
    <s v="10301115"/>
    <s v="BOUCHART LUDOVIC"/>
    <n v="10"/>
    <x v="1"/>
    <x v="2"/>
    <s v="PLAQUETTES"/>
    <x v="3"/>
    <n v="95.6"/>
  </r>
  <r>
    <d v="2025-02-07T05:21:49"/>
    <x v="6"/>
    <s v="Plaquettes de finition triangulaires"/>
    <s v="10301115"/>
    <s v="BOUCHART LUDOVIC"/>
    <n v="5"/>
    <x v="1"/>
    <x v="2"/>
    <s v="PLAQUETTES"/>
    <x v="3"/>
    <n v="48.7"/>
  </r>
  <r>
    <d v="2025-02-07T05:22:21"/>
    <x v="6"/>
    <s v="Plaquettes de finition triangulaires"/>
    <s v="10301115"/>
    <s v="BOUCHART LUDOVIC"/>
    <n v="5"/>
    <x v="1"/>
    <x v="2"/>
    <s v="PLAQUETTES"/>
    <x v="3"/>
    <n v="48.7"/>
  </r>
  <r>
    <d v="2025-02-07T05:22:47"/>
    <x v="5"/>
    <s v="Plaquettes de finition"/>
    <s v="10301115"/>
    <s v="BOUCHART LUDOVIC"/>
    <n v="5"/>
    <x v="1"/>
    <x v="2"/>
    <s v="PLAQUETTES"/>
    <x v="3"/>
    <n v="42.5"/>
  </r>
  <r>
    <d v="2025-02-07T07:21:33"/>
    <x v="4"/>
    <s v="Plaquettes de gorges"/>
    <s v="U509351"/>
    <s v="DELIAT CHRISTOPHE"/>
    <n v="10"/>
    <x v="0"/>
    <x v="0"/>
    <s v="PLAQUETTES"/>
    <x v="0"/>
    <n v="188"/>
  </r>
  <r>
    <d v="2025-02-07T07:52:43"/>
    <x v="10"/>
    <s v="Plaquettes TPGX0902ZPRGD KC7315"/>
    <s v="12824586"/>
    <s v="DASILVA FERNANDO"/>
    <n v="10"/>
    <x v="0"/>
    <x v="1"/>
    <s v="PLAQUETTES"/>
    <x v="1"/>
    <n v="81.5"/>
  </r>
  <r>
    <d v="2025-02-07T09:10:08"/>
    <x v="3"/>
    <s v="Plaquettes d'ébauches carrées"/>
    <s v="U509351"/>
    <s v="DELIAT CHRISTOPHE"/>
    <n v="5"/>
    <x v="1"/>
    <x v="3"/>
    <s v="PLAQUETTES"/>
    <x v="3"/>
    <n v="39.799999999999997"/>
  </r>
  <r>
    <d v="2025-02-07T09:10:31"/>
    <x v="0"/>
    <s v="Plaquettes d'ébauches rhombiques"/>
    <s v="U509351"/>
    <s v="DELIAT CHRISTOPHE"/>
    <n v="5"/>
    <x v="1"/>
    <x v="3"/>
    <s v="PLAQUETTES"/>
    <x v="3"/>
    <n v="39.799999999999997"/>
  </r>
  <r>
    <d v="2025-02-07T20:19:57"/>
    <x v="3"/>
    <s v="Plaquettes d'ébauches carrées"/>
    <s v="SC95213"/>
    <s v="RABET PAULINE"/>
    <n v="5"/>
    <x v="0"/>
    <x v="3"/>
    <s v="PLAQUETTES"/>
    <x v="4"/>
    <n v="39.799999999999997"/>
  </r>
  <r>
    <d v="2025-02-08T05:51:59"/>
    <x v="3"/>
    <s v="Plaquettes d'ébauches carrées"/>
    <s v="U509351"/>
    <s v="DELIAT CHRISTOPHE"/>
    <n v="5"/>
    <x v="1"/>
    <x v="3"/>
    <s v="PLAQUETTES"/>
    <x v="3"/>
    <n v="39.799999999999997"/>
  </r>
  <r>
    <d v="2025-02-08T05:52:29"/>
    <x v="0"/>
    <s v="Plaquettes d'ébauches rhombiques"/>
    <s v="U509351"/>
    <s v="DELIAT CHRISTOPHE"/>
    <n v="20"/>
    <x v="0"/>
    <x v="0"/>
    <s v="PLAQUETTES"/>
    <x v="3"/>
    <n v="159.19999999999999"/>
  </r>
  <r>
    <d v="2025-02-08T05:53:19"/>
    <x v="3"/>
    <s v="Plaquettes d'ébauches carrées"/>
    <s v="U509351"/>
    <s v="DELIAT CHRISTOPHE"/>
    <n v="15"/>
    <x v="1"/>
    <x v="0"/>
    <s v="PLAQUETTES"/>
    <x v="3"/>
    <n v="119.4"/>
  </r>
  <r>
    <d v="2025-02-08T05:53:38"/>
    <x v="4"/>
    <s v="Plaquettes de gorges"/>
    <s v="U509351"/>
    <s v="DELIAT CHRISTOPHE"/>
    <n v="10"/>
    <x v="0"/>
    <x v="0"/>
    <s v="PLAQUETTES"/>
    <x v="4"/>
    <n v="188"/>
  </r>
  <r>
    <d v="2025-02-08T05:57:57"/>
    <x v="2"/>
    <s v="Plaquettes de finition carrées"/>
    <s v="10301115"/>
    <s v="BOUCHART LUDOVIC"/>
    <n v="10"/>
    <x v="1"/>
    <x v="2"/>
    <s v="PLAQUETTES"/>
    <x v="3"/>
    <n v="95.6"/>
  </r>
  <r>
    <d v="2025-02-08T05:58:14"/>
    <x v="2"/>
    <s v="Plaquettes de finition carrées"/>
    <s v="10301115"/>
    <s v="BOUCHART LUDOVIC"/>
    <n v="5"/>
    <x v="0"/>
    <x v="2"/>
    <s v="PLAQUETTES"/>
    <x v="4"/>
    <n v="47.8"/>
  </r>
  <r>
    <d v="2025-02-08T06:07:33"/>
    <x v="3"/>
    <s v="Plaquettes d'ébauches carrées"/>
    <s v="U509351"/>
    <s v="DELIAT CHRISTOPHE"/>
    <n v="5"/>
    <x v="1"/>
    <x v="3"/>
    <s v="PLAQUETTES"/>
    <x v="2"/>
    <n v="39.799999999999997"/>
  </r>
  <r>
    <d v="2025-02-08T09:02:41"/>
    <x v="3"/>
    <s v="Plaquettes d'ébauches carrées"/>
    <s v="U509351"/>
    <s v="DELIAT CHRISTOPHE"/>
    <n v="5"/>
    <x v="0"/>
    <x v="3"/>
    <s v="PLAQUETTES"/>
    <x v="3"/>
    <n v="39.799999999999997"/>
  </r>
  <r>
    <d v="2025-02-09T19:22:24"/>
    <x v="3"/>
    <s v="Plaquettes d'ébauches carrées"/>
    <s v="10301115"/>
    <s v="BOUCHART LUDOVIC"/>
    <n v="10"/>
    <x v="0"/>
    <x v="3"/>
    <s v="PLAQUETTES"/>
    <x v="4"/>
    <n v="79.599999999999994"/>
  </r>
  <r>
    <d v="2025-02-09T19:22:45"/>
    <x v="0"/>
    <s v="Plaquettes d'ébauches rhombiques"/>
    <s v="10301115"/>
    <s v="BOUCHART LUDOVIC"/>
    <n v="10"/>
    <x v="0"/>
    <x v="3"/>
    <s v="PLAQUETTES"/>
    <x v="4"/>
    <n v="79.599999999999994"/>
  </r>
  <r>
    <d v="2025-02-09T19:23:02"/>
    <x v="4"/>
    <s v="Plaquettes de gorges"/>
    <s v="10301115"/>
    <s v="BOUCHART LUDOVIC"/>
    <n v="10"/>
    <x v="0"/>
    <x v="0"/>
    <s v="PLAQUETTES"/>
    <x v="4"/>
    <n v="188"/>
  </r>
  <r>
    <d v="2025-02-09T19:23:20"/>
    <x v="2"/>
    <s v="Plaquettes de finition carrées"/>
    <s v="10301115"/>
    <s v="BOUCHART LUDOVIC"/>
    <n v="5"/>
    <x v="0"/>
    <x v="2"/>
    <s v="PLAQUETTES"/>
    <x v="4"/>
    <n v="47.8"/>
  </r>
  <r>
    <d v="2025-02-09T19:23:37"/>
    <x v="3"/>
    <s v="Plaquettes d'ébauches carrées"/>
    <s v="10301115"/>
    <s v="BOUCHART LUDOVIC"/>
    <n v="10"/>
    <x v="1"/>
    <x v="3"/>
    <s v="PLAQUETTES"/>
    <x v="3"/>
    <n v="79.599999999999994"/>
  </r>
  <r>
    <d v="2025-02-09T19:24:00"/>
    <x v="0"/>
    <s v="Plaquettes d'ébauches rhombiques"/>
    <s v="10301115"/>
    <s v="BOUCHART LUDOVIC"/>
    <n v="10"/>
    <x v="1"/>
    <x v="0"/>
    <s v="PLAQUETTES"/>
    <x v="3"/>
    <n v="79.599999999999994"/>
  </r>
  <r>
    <d v="2025-02-09T19:24:17"/>
    <x v="2"/>
    <s v="Plaquettes de finition carrées"/>
    <s v="10301115"/>
    <s v="BOUCHART LUDOVIC"/>
    <n v="5"/>
    <x v="1"/>
    <x v="2"/>
    <s v="PLAQUETTES"/>
    <x v="3"/>
    <n v="47.8"/>
  </r>
  <r>
    <d v="2025-02-10T13:38:19"/>
    <x v="2"/>
    <s v="Plaquettes de finition carrées"/>
    <s v="7236310"/>
    <s v="OZYURT IREM"/>
    <n v="5"/>
    <x v="1"/>
    <x v="2"/>
    <s v="PLAQUETTES"/>
    <x v="3"/>
    <n v="47.8"/>
  </r>
  <r>
    <d v="2025-02-10T21:43:09"/>
    <x v="3"/>
    <s v="Plaquettes d'ébauches carrées"/>
    <s v="SC99878"/>
    <s v="GONIN VINCENT"/>
    <n v="5"/>
    <x v="0"/>
    <x v="3"/>
    <s v="PLAQUETTES"/>
    <x v="4"/>
    <n v="39.799999999999997"/>
  </r>
  <r>
    <d v="2025-02-10T21:43:36"/>
    <x v="0"/>
    <s v="Plaquettes d'ébauches rhombiques"/>
    <s v="SC99878"/>
    <s v="GONIN VINCENT"/>
    <n v="5"/>
    <x v="0"/>
    <x v="3"/>
    <s v="PLAQUETTES"/>
    <x v="4"/>
    <n v="39.799999999999997"/>
  </r>
  <r>
    <d v="2025-02-10T21:43:59"/>
    <x v="2"/>
    <s v="Plaquettes de finition carrées"/>
    <s v="SC99878"/>
    <s v="GONIN VINCENT"/>
    <n v="15"/>
    <x v="0"/>
    <x v="2"/>
    <s v="PLAQUETTES"/>
    <x v="4"/>
    <n v="143.4"/>
  </r>
  <r>
    <d v="2025-02-10T23:32:20"/>
    <x v="8"/>
    <s v="Plaquettes d'ébauches rhombiques"/>
    <s v="SC99878"/>
    <s v="GONIN VINCENT"/>
    <n v="10"/>
    <x v="1"/>
    <x v="3"/>
    <s v="PLAQUETTES"/>
    <x v="3"/>
    <n v="70"/>
  </r>
  <r>
    <d v="2025-02-11T13:17:31"/>
    <x v="10"/>
    <s v="Plaquettes TPGX0902ZPRGD KC7315"/>
    <s v="12824586"/>
    <s v="DASILVA FERNANDO"/>
    <n v="10"/>
    <x v="1"/>
    <x v="1"/>
    <s v="PLAQUETTES"/>
    <x v="1"/>
    <n v="81.5"/>
  </r>
  <r>
    <d v="2025-02-11T19:53:44"/>
    <x v="4"/>
    <s v="Plaquettes de gorges"/>
    <s v="7236310"/>
    <s v="OZYURT IREM"/>
    <n v="10"/>
    <x v="0"/>
    <x v="0"/>
    <s v="PLAQUETTES"/>
    <x v="4"/>
    <n v="188"/>
  </r>
  <r>
    <d v="2025-02-11T22:01:29"/>
    <x v="3"/>
    <s v="Plaquettes d'ébauches carrées"/>
    <s v="SC99878"/>
    <s v="GONIN VINCENT"/>
    <n v="20"/>
    <x v="0"/>
    <x v="3"/>
    <s v="PLAQUETTES"/>
    <x v="4"/>
    <n v="159.19999999999999"/>
  </r>
  <r>
    <d v="2025-02-11T22:02:01"/>
    <x v="0"/>
    <s v="Plaquettes d'ébauches rhombiques"/>
    <s v="SC99878"/>
    <s v="GONIN VINCENT"/>
    <n v="10"/>
    <x v="0"/>
    <x v="3"/>
    <s v="PLAQUETTES"/>
    <x v="4"/>
    <n v="79.599999999999994"/>
  </r>
  <r>
    <d v="2025-02-11T22:02:34"/>
    <x v="2"/>
    <s v="Plaquettes de finition carrées"/>
    <s v="SC99878"/>
    <s v="GONIN VINCENT"/>
    <n v="15"/>
    <x v="0"/>
    <x v="2"/>
    <s v="PLAQUETTES"/>
    <x v="4"/>
    <n v="143.4"/>
  </r>
  <r>
    <d v="2025-02-12T08:31:02"/>
    <x v="2"/>
    <s v="Plaquettes de finition carrées"/>
    <s v="16340494"/>
    <s v="BRIMUSSE AURELIE"/>
    <n v="10"/>
    <x v="1"/>
    <x v="2"/>
    <s v="PLAQUETTES"/>
    <x v="3"/>
    <n v="95.6"/>
  </r>
  <r>
    <d v="2025-02-12T14:08:18"/>
    <x v="4"/>
    <s v="Plaquettes de gorges"/>
    <s v="7236310"/>
    <s v="OZYURT IREM"/>
    <n v="10"/>
    <x v="0"/>
    <x v="0"/>
    <s v="PLAQUETTES"/>
    <x v="4"/>
    <n v="188"/>
  </r>
  <r>
    <d v="2025-02-12T20:32:13"/>
    <x v="3"/>
    <s v="Plaquettes d'ébauches carrées"/>
    <s v="7236310"/>
    <s v="OZYURT IREM"/>
    <n v="5"/>
    <x v="0"/>
    <x v="3"/>
    <s v="PLAQUETTES"/>
    <x v="4"/>
    <n v="39.799999999999997"/>
  </r>
  <r>
    <d v="2025-02-12T20:32:49"/>
    <x v="3"/>
    <s v="Plaquettes d'ébauches carrées"/>
    <s v="7236310"/>
    <s v="OZYURT IREM"/>
    <n v="5"/>
    <x v="1"/>
    <x v="3"/>
    <s v="PLAQUETTES"/>
    <x v="3"/>
    <n v="39.799999999999997"/>
  </r>
  <r>
    <d v="2025-02-12T22:20:06"/>
    <x v="3"/>
    <s v="Plaquettes d'ébauches carrées"/>
    <s v="SE08251"/>
    <s v="FAYET AYMERIC"/>
    <n v="5"/>
    <x v="0"/>
    <x v="3"/>
    <s v="PLAQUETTES"/>
    <x v="4"/>
    <n v="39.799999999999997"/>
  </r>
  <r>
    <d v="2025-02-12T22:20:28"/>
    <x v="4"/>
    <s v="Plaquettes de gorges"/>
    <s v="SE08251"/>
    <s v="FAYET AYMERIC"/>
    <n v="10"/>
    <x v="0"/>
    <x v="0"/>
    <s v="PLAQUETTES"/>
    <x v="4"/>
    <n v="188"/>
  </r>
  <r>
    <d v="2025-02-12T22:21:07"/>
    <x v="3"/>
    <s v="Plaquettes d'ébauches carrées"/>
    <s v="SE08251"/>
    <s v="FAYET AYMERIC"/>
    <n v="5"/>
    <x v="0"/>
    <x v="0"/>
    <s v="PLAQUETTES"/>
    <x v="4"/>
    <n v="39.799999999999997"/>
  </r>
  <r>
    <d v="2025-02-12T22:21:29"/>
    <x v="0"/>
    <s v="Plaquettes d'ébauches rhombiques"/>
    <s v="SE08251"/>
    <s v="FAYET AYMERIC"/>
    <n v="5"/>
    <x v="0"/>
    <x v="3"/>
    <s v="PLAQUETTES"/>
    <x v="4"/>
    <n v="39.799999999999997"/>
  </r>
  <r>
    <d v="2025-02-12T22:21:51"/>
    <x v="0"/>
    <s v="Plaquettes d'ébauches rhombiques"/>
    <s v="SE08251"/>
    <s v="FAYET AYMERIC"/>
    <n v="5"/>
    <x v="0"/>
    <x v="0"/>
    <s v="PLAQUETTES"/>
    <x v="4"/>
    <n v="39.799999999999997"/>
  </r>
  <r>
    <d v="2025-02-12T22:22:10"/>
    <x v="2"/>
    <s v="Plaquettes de finition carrées"/>
    <s v="SE08251"/>
    <s v="FAYET AYMERIC"/>
    <n v="5"/>
    <x v="0"/>
    <x v="2"/>
    <s v="PLAQUETTES"/>
    <x v="4"/>
    <n v="47.8"/>
  </r>
  <r>
    <d v="2025-02-12T22:22:31"/>
    <x v="2"/>
    <s v="Plaquettes de finition carrées"/>
    <s v="SE08251"/>
    <s v="FAYET AYMERIC"/>
    <n v="5"/>
    <x v="0"/>
    <x v="2"/>
    <s v="PLAQUETTES"/>
    <x v="4"/>
    <n v="47.8"/>
  </r>
  <r>
    <d v="2025-02-12T22:22:53"/>
    <x v="2"/>
    <s v="Plaquettes de finition carrées"/>
    <s v="SE08251"/>
    <s v="FAYET AYMERIC"/>
    <n v="5"/>
    <x v="0"/>
    <x v="2"/>
    <s v="PLAQUETTES"/>
    <x v="4"/>
    <n v="47.8"/>
  </r>
  <r>
    <d v="2025-02-13T11:32:42"/>
    <x v="8"/>
    <s v="Plaquettes d'ébauches rhombiques"/>
    <s v="16340494"/>
    <s v="BRIMUSSE AURELIE"/>
    <n v="10"/>
    <x v="1"/>
    <x v="3"/>
    <s v="PLAQUETTES"/>
    <x v="3"/>
    <n v="70"/>
  </r>
  <r>
    <d v="2025-02-13T11:33:05"/>
    <x v="3"/>
    <s v="Plaquettes d'ébauches carrées"/>
    <s v="16340494"/>
    <s v="BRIMUSSE AURELIE"/>
    <n v="5"/>
    <x v="1"/>
    <x v="3"/>
    <s v="PLAQUETTES"/>
    <x v="3"/>
    <n v="39.799999999999997"/>
  </r>
  <r>
    <d v="2025-02-13T11:33:25"/>
    <x v="5"/>
    <s v="Plaquettes de finition"/>
    <s v="16340494"/>
    <s v="BRIMUSSE AURELIE"/>
    <n v="5"/>
    <x v="1"/>
    <x v="2"/>
    <s v="PLAQUETTES"/>
    <x v="3"/>
    <n v="42.5"/>
  </r>
  <r>
    <d v="2025-02-13T11:33:41"/>
    <x v="6"/>
    <s v="Plaquettes de finition triangulaires"/>
    <s v="16340494"/>
    <s v="BRIMUSSE AURELIE"/>
    <n v="5"/>
    <x v="1"/>
    <x v="2"/>
    <s v="PLAQUETTES"/>
    <x v="3"/>
    <n v="48.7"/>
  </r>
  <r>
    <d v="2025-02-13T20:26:04"/>
    <x v="4"/>
    <s v="Plaquettes de gorges"/>
    <s v="7236310"/>
    <s v="OZYURT IREM"/>
    <n v="10"/>
    <x v="0"/>
    <x v="0"/>
    <s v="PLAQUETTES"/>
    <x v="4"/>
    <n v="188"/>
  </r>
  <r>
    <d v="2025-02-13T20:26:21"/>
    <x v="3"/>
    <s v="Plaquettes d'ébauches carrées"/>
    <s v="7236310"/>
    <s v="OZYURT IREM"/>
    <n v="5"/>
    <x v="0"/>
    <x v="0"/>
    <s v="PLAQUETTES"/>
    <x v="4"/>
    <n v="39.799999999999997"/>
  </r>
  <r>
    <d v="2025-02-13T21:45:14"/>
    <x v="3"/>
    <s v="Plaquettes d'ébauches carrées"/>
    <s v="SE08251"/>
    <s v="FAYET AYMERIC"/>
    <n v="5"/>
    <x v="0"/>
    <x v="3"/>
    <s v="PLAQUETTES"/>
    <x v="4"/>
    <n v="39.799999999999997"/>
  </r>
  <r>
    <d v="2025-02-13T21:45:37"/>
    <x v="3"/>
    <s v="Plaquettes d'ébauches carrées"/>
    <s v="SE08251"/>
    <s v="FAYET AYMERIC"/>
    <n v="5"/>
    <x v="0"/>
    <x v="3"/>
    <s v="PLAQUETTES"/>
    <x v="4"/>
    <n v="39.799999999999997"/>
  </r>
  <r>
    <d v="2025-02-13T21:45:54"/>
    <x v="3"/>
    <s v="Plaquettes d'ébauches carrées"/>
    <s v="SE08251"/>
    <s v="FAYET AYMERIC"/>
    <n v="5"/>
    <x v="0"/>
    <x v="3"/>
    <s v="PLAQUETTES"/>
    <x v="4"/>
    <n v="39.799999999999997"/>
  </r>
  <r>
    <d v="2025-02-13T21:46:13"/>
    <x v="0"/>
    <s v="Plaquettes d'ébauches rhombiques"/>
    <s v="SE08251"/>
    <s v="FAYET AYMERIC"/>
    <n v="5"/>
    <x v="0"/>
    <x v="3"/>
    <s v="PLAQUETTES"/>
    <x v="4"/>
    <n v="39.799999999999997"/>
  </r>
  <r>
    <d v="2025-02-13T21:46:31"/>
    <x v="0"/>
    <s v="Plaquettes d'ébauches rhombiques"/>
    <s v="SE08251"/>
    <s v="FAYET AYMERIC"/>
    <n v="5"/>
    <x v="0"/>
    <x v="3"/>
    <s v="PLAQUETTES"/>
    <x v="4"/>
    <n v="39.799999999999997"/>
  </r>
  <r>
    <d v="2025-02-13T21:46:51"/>
    <x v="0"/>
    <s v="Plaquettes d'ébauches rhombiques"/>
    <s v="SE08251"/>
    <s v="FAYET AYMERIC"/>
    <n v="5"/>
    <x v="0"/>
    <x v="3"/>
    <s v="PLAQUETTES"/>
    <x v="4"/>
    <n v="39.799999999999997"/>
  </r>
  <r>
    <d v="2025-02-13T21:47:11"/>
    <x v="2"/>
    <s v="Plaquettes de finition carrées"/>
    <s v="SE08251"/>
    <s v="FAYET AYMERIC"/>
    <n v="5"/>
    <x v="0"/>
    <x v="2"/>
    <s v="PLAQUETTES"/>
    <x v="4"/>
    <n v="47.8"/>
  </r>
  <r>
    <d v="2025-02-13T21:47:27"/>
    <x v="2"/>
    <s v="Plaquettes de finition carrées"/>
    <s v="SE08251"/>
    <s v="FAYET AYMERIC"/>
    <n v="5"/>
    <x v="0"/>
    <x v="2"/>
    <s v="PLAQUETTES"/>
    <x v="4"/>
    <n v="47.8"/>
  </r>
  <r>
    <d v="2025-02-13T21:47:44"/>
    <x v="2"/>
    <s v="Plaquettes de finition carrées"/>
    <s v="SE08251"/>
    <s v="FAYET AYMERIC"/>
    <n v="5"/>
    <x v="0"/>
    <x v="2"/>
    <s v="PLAQUETTES"/>
    <x v="4"/>
    <n v="47.8"/>
  </r>
  <r>
    <d v="2025-02-15T05:16:58"/>
    <x v="3"/>
    <s v="Plaquettes d'ébauches carrées"/>
    <s v="10301115"/>
    <s v="BOUCHART LUDOVIC"/>
    <n v="5"/>
    <x v="0"/>
    <x v="3"/>
    <s v="PLAQUETTES"/>
    <x v="0"/>
    <n v="39.799999999999997"/>
  </r>
  <r>
    <d v="2025-02-15T05:17:19"/>
    <x v="0"/>
    <s v="Plaquettes d'ébauches rhombiques"/>
    <s v="10301115"/>
    <s v="BOUCHART LUDOVIC"/>
    <n v="5"/>
    <x v="0"/>
    <x v="3"/>
    <s v="PLAQUETTES"/>
    <x v="0"/>
    <n v="39.799999999999997"/>
  </r>
  <r>
    <d v="2025-02-15T05:17:34"/>
    <x v="4"/>
    <s v="Plaquettes de gorges"/>
    <s v="10301115"/>
    <s v="BOUCHART LUDOVIC"/>
    <n v="10"/>
    <x v="0"/>
    <x v="0"/>
    <s v="PLAQUETTES"/>
    <x v="0"/>
    <n v="188"/>
  </r>
  <r>
    <d v="2025-02-15T05:17:54"/>
    <x v="3"/>
    <s v="Plaquettes d'ébauches carrées"/>
    <s v="10301115"/>
    <s v="BOUCHART LUDOVIC"/>
    <n v="5"/>
    <x v="0"/>
    <x v="0"/>
    <s v="PLAQUETTES"/>
    <x v="0"/>
    <n v="39.799999999999997"/>
  </r>
  <r>
    <d v="2025-02-15T05:18:11"/>
    <x v="0"/>
    <s v="Plaquettes d'ébauches rhombiques"/>
    <s v="10301115"/>
    <s v="BOUCHART LUDOVIC"/>
    <n v="5"/>
    <x v="0"/>
    <x v="0"/>
    <s v="PLAQUETTES"/>
    <x v="0"/>
    <n v="39.799999999999997"/>
  </r>
  <r>
    <d v="2025-02-15T05:18:31"/>
    <x v="3"/>
    <s v="Plaquettes d'ébauches carrées"/>
    <s v="10301115"/>
    <s v="BOUCHART LUDOVIC"/>
    <n v="5"/>
    <x v="1"/>
    <x v="3"/>
    <s v="PLAQUETTES"/>
    <x v="3"/>
    <n v="39.799999999999997"/>
  </r>
  <r>
    <d v="2025-02-15T05:18:49"/>
    <x v="0"/>
    <s v="Plaquettes d'ébauches rhombiques"/>
    <s v="10301115"/>
    <s v="BOUCHART LUDOVIC"/>
    <n v="5"/>
    <x v="1"/>
    <x v="3"/>
    <s v="PLAQUETTES"/>
    <x v="3"/>
    <n v="39.799999999999997"/>
  </r>
  <r>
    <d v="2025-02-15T05:19:15"/>
    <x v="8"/>
    <s v="Plaquettes d'ébauches rhombiques"/>
    <s v="10301115"/>
    <s v="BOUCHART LUDOVIC"/>
    <n v="10"/>
    <x v="1"/>
    <x v="3"/>
    <s v="PLAQUETTES"/>
    <x v="3"/>
    <n v="70"/>
  </r>
  <r>
    <d v="2025-02-15T05:19:39"/>
    <x v="3"/>
    <s v="Plaquettes d'ébauches carrées"/>
    <s v="10301115"/>
    <s v="BOUCHART LUDOVIC"/>
    <n v="5"/>
    <x v="1"/>
    <x v="0"/>
    <s v="PLAQUETTES"/>
    <x v="3"/>
    <n v="39.799999999999997"/>
  </r>
  <r>
    <d v="2025-02-15T05:19:55"/>
    <x v="0"/>
    <s v="Plaquettes d'ébauches rhombiques"/>
    <s v="10301115"/>
    <s v="BOUCHART LUDOVIC"/>
    <n v="5"/>
    <x v="1"/>
    <x v="0"/>
    <s v="PLAQUETTES"/>
    <x v="3"/>
    <n v="39.799999999999997"/>
  </r>
  <r>
    <d v="2025-02-15T07:53:31"/>
    <x v="2"/>
    <s v="Plaquettes de finition carrées"/>
    <s v="U509351"/>
    <s v="DELIAT CHRISTOPHE"/>
    <n v="5"/>
    <x v="0"/>
    <x v="2"/>
    <s v="PLAQUETTES"/>
    <x v="0"/>
    <n v="47.8"/>
  </r>
  <r>
    <d v="2025-02-15T07:53:48"/>
    <x v="2"/>
    <s v="Plaquettes de finition carrées"/>
    <s v="U509351"/>
    <s v="DELIAT CHRISTOPHE"/>
    <n v="5"/>
    <x v="1"/>
    <x v="2"/>
    <s v="PLAQUETTES"/>
    <x v="3"/>
    <n v="47.8"/>
  </r>
  <r>
    <d v="2025-02-15T07:54:33"/>
    <x v="6"/>
    <s v="Plaquettes de finition triangulaires"/>
    <s v="U509351"/>
    <s v="DELIAT CHRISTOPHE"/>
    <n v="5"/>
    <x v="1"/>
    <x v="2"/>
    <s v="PLAQUETTES"/>
    <x v="3"/>
    <n v="48.7"/>
  </r>
  <r>
    <d v="2025-02-16T17:37:57"/>
    <x v="3"/>
    <s v="Plaquettes d'ébauches carrées"/>
    <s v="10301115"/>
    <s v="BOUCHART LUDOVIC"/>
    <n v="5"/>
    <x v="0"/>
    <x v="3"/>
    <s v="PLAQUETTES"/>
    <x v="3"/>
    <n v="39.799999999999997"/>
  </r>
  <r>
    <d v="2025-02-16T17:38:09"/>
    <x v="0"/>
    <s v="Plaquettes d'ébauches rhombiques"/>
    <s v="10301115"/>
    <s v="BOUCHART LUDOVIC"/>
    <n v="5"/>
    <x v="0"/>
    <x v="3"/>
    <s v="PLAQUETTES"/>
    <x v="3"/>
    <n v="39.799999999999997"/>
  </r>
  <r>
    <d v="2025-02-16T17:38:29"/>
    <x v="3"/>
    <s v="Plaquettes d'ébauches carrées"/>
    <s v="10301115"/>
    <s v="BOUCHART LUDOVIC"/>
    <n v="5"/>
    <x v="0"/>
    <x v="0"/>
    <s v="PLAQUETTES"/>
    <x v="3"/>
    <n v="39.799999999999997"/>
  </r>
  <r>
    <d v="2025-02-16T17:38:43"/>
    <x v="0"/>
    <s v="Plaquettes d'ébauches rhombiques"/>
    <s v="10301115"/>
    <s v="BOUCHART LUDOVIC"/>
    <n v="5"/>
    <x v="0"/>
    <x v="0"/>
    <s v="PLAQUETTES"/>
    <x v="3"/>
    <n v="39.799999999999997"/>
  </r>
  <r>
    <d v="2025-02-16T17:39:13"/>
    <x v="3"/>
    <s v="Plaquettes d'ébauches carrées"/>
    <s v="10301115"/>
    <s v="BOUCHART LUDOVIC"/>
    <n v="5"/>
    <x v="1"/>
    <x v="3"/>
    <s v="PLAQUETTES"/>
    <x v="3"/>
    <n v="39.799999999999997"/>
  </r>
  <r>
    <d v="2025-02-16T17:39:29"/>
    <x v="0"/>
    <s v="Plaquettes d'ébauches rhombiques"/>
    <s v="10301115"/>
    <s v="BOUCHART LUDOVIC"/>
    <n v="5"/>
    <x v="1"/>
    <x v="3"/>
    <s v="PLAQUETTES"/>
    <x v="3"/>
    <n v="39.799999999999997"/>
  </r>
  <r>
    <d v="2025-02-16T17:39:49"/>
    <x v="3"/>
    <s v="Plaquettes d'ébauches carrées"/>
    <s v="10301115"/>
    <s v="BOUCHART LUDOVIC"/>
    <n v="5"/>
    <x v="1"/>
    <x v="0"/>
    <s v="PLAQUETTES"/>
    <x v="3"/>
    <n v="39.799999999999997"/>
  </r>
  <r>
    <d v="2025-02-16T17:40:04"/>
    <x v="0"/>
    <s v="Plaquettes d'ébauches rhombiques"/>
    <s v="10301115"/>
    <s v="BOUCHART LUDOVIC"/>
    <n v="5"/>
    <x v="1"/>
    <x v="0"/>
    <s v="PLAQUETTES"/>
    <x v="3"/>
    <n v="39.799999999999997"/>
  </r>
  <r>
    <d v="2025-02-16T17:40:23"/>
    <x v="4"/>
    <s v="Plaquettes de gorges"/>
    <s v="10301115"/>
    <s v="BOUCHART LUDOVIC"/>
    <n v="10"/>
    <x v="0"/>
    <x v="0"/>
    <s v="PLAQUETTES"/>
    <x v="0"/>
    <n v="188"/>
  </r>
  <r>
    <d v="2025-02-16T23:38:03"/>
    <x v="2"/>
    <s v="Plaquettes de finition carrées"/>
    <s v="U509351"/>
    <s v="DELIAT CHRISTOPHE"/>
    <n v="5"/>
    <x v="0"/>
    <x v="2"/>
    <s v="PLAQUETTES"/>
    <x v="0"/>
    <n v="47.8"/>
  </r>
  <r>
    <d v="2025-02-16T23:38:27"/>
    <x v="2"/>
    <s v="Plaquettes de finition carrées"/>
    <s v="U509351"/>
    <s v="DELIAT CHRISTOPHE"/>
    <n v="5"/>
    <x v="1"/>
    <x v="2"/>
    <s v="PLAQUETTES"/>
    <x v="3"/>
    <n v="47.8"/>
  </r>
  <r>
    <d v="2025-02-17T14:14:32"/>
    <x v="2"/>
    <s v="Plaquettes de finition carrées"/>
    <s v="SC99878"/>
    <s v="GONIN VINCENT"/>
    <n v="5"/>
    <x v="0"/>
    <x v="2"/>
    <s v="PLAQUETTES"/>
    <x v="0"/>
    <n v="47.8"/>
  </r>
  <r>
    <d v="2025-02-17T14:14:52"/>
    <x v="2"/>
    <s v="Plaquettes de finition carrées"/>
    <s v="SC99878"/>
    <s v="GONIN VINCENT"/>
    <n v="5"/>
    <x v="0"/>
    <x v="2"/>
    <s v="PLAQUETTES"/>
    <x v="0"/>
    <n v="47.8"/>
  </r>
  <r>
    <d v="2025-02-17T14:15:22"/>
    <x v="2"/>
    <s v="Plaquettes de finition carrées"/>
    <s v="SC99878"/>
    <s v="GONIN VINCENT"/>
    <n v="5"/>
    <x v="0"/>
    <x v="2"/>
    <s v="PLAQUETTES"/>
    <x v="0"/>
    <n v="47.8"/>
  </r>
  <r>
    <d v="2025-02-17T14:16:05"/>
    <x v="3"/>
    <s v="Plaquettes d'ébauches carrées"/>
    <s v="SC99878"/>
    <s v="GONIN VINCENT"/>
    <n v="5"/>
    <x v="0"/>
    <x v="0"/>
    <s v="PLAQUETTES"/>
    <x v="0"/>
    <n v="39.799999999999997"/>
  </r>
  <r>
    <d v="2025-02-17T21:27:11"/>
    <x v="5"/>
    <s v="Plaquettes de finition"/>
    <s v="16340494"/>
    <s v="BRIMUSSE AURELIE"/>
    <n v="5"/>
    <x v="1"/>
    <x v="2"/>
    <s v="PLAQUETTES"/>
    <x v="3"/>
    <n v="42.5"/>
  </r>
  <r>
    <d v="2025-02-17T21:27:23"/>
    <x v="6"/>
    <s v="Plaquettes de finition triangulaires"/>
    <s v="16340494"/>
    <s v="BRIMUSSE AURELIE"/>
    <n v="5"/>
    <x v="1"/>
    <x v="2"/>
    <s v="PLAQUETTES"/>
    <x v="3"/>
    <n v="48.7"/>
  </r>
  <r>
    <d v="2025-02-17T21:27:37"/>
    <x v="2"/>
    <s v="Plaquettes de finition carrées"/>
    <s v="16340494"/>
    <s v="BRIMUSSE AURELIE"/>
    <n v="5"/>
    <x v="1"/>
    <x v="2"/>
    <s v="PLAQUETTES"/>
    <x v="3"/>
    <n v="47.8"/>
  </r>
  <r>
    <d v="2025-02-18T03:48:47"/>
    <x v="4"/>
    <s v="Plaquettes de gorges"/>
    <s v="16340494"/>
    <s v="BRIMUSSE AURELIE"/>
    <n v="10"/>
    <x v="0"/>
    <x v="0"/>
    <s v="PLAQUETTES"/>
    <x v="0"/>
    <n v="188"/>
  </r>
  <r>
    <d v="2025-02-18T03:49:04"/>
    <x v="3"/>
    <s v="Plaquettes d'ébauches carrées"/>
    <s v="16340494"/>
    <s v="BRIMUSSE AURELIE"/>
    <n v="5"/>
    <x v="0"/>
    <x v="0"/>
    <s v="PLAQUETTES"/>
    <x v="0"/>
    <n v="39.799999999999997"/>
  </r>
  <r>
    <d v="2025-02-18T11:30:57"/>
    <x v="9"/>
    <s v="EMBOUT KENTIP D8.6"/>
    <s v="12824586"/>
    <s v="DASILVA FERNANDO"/>
    <n v="2"/>
    <x v="1"/>
    <x v="1"/>
    <s v="PLAQUETTES"/>
    <x v="1"/>
    <n v="100"/>
  </r>
  <r>
    <d v="2025-02-18T13:33:57"/>
    <x v="3"/>
    <s v="Plaquettes d'ébauches carrées"/>
    <s v="SD88834"/>
    <s v="PEJOUX MELANIE"/>
    <n v="5"/>
    <x v="0"/>
    <x v="3"/>
    <s v="PLAQUETTES"/>
    <x v="0"/>
    <n v="39.799999999999997"/>
  </r>
  <r>
    <d v="2025-02-18T13:34:25"/>
    <x v="0"/>
    <s v="Plaquettes d'ébauches rhombiques"/>
    <s v="SC99878"/>
    <s v="GONIN VINCENT"/>
    <n v="5"/>
    <x v="0"/>
    <x v="0"/>
    <s v="PLAQUETTES"/>
    <x v="0"/>
    <n v="39.799999999999997"/>
  </r>
  <r>
    <d v="2025-02-18T13:34:54"/>
    <x v="2"/>
    <s v="Plaquettes de finition carrées"/>
    <s v="SC99878"/>
    <s v="GONIN VINCENT"/>
    <n v="5"/>
    <x v="0"/>
    <x v="2"/>
    <s v="PLAQUETTES"/>
    <x v="0"/>
    <n v="47.8"/>
  </r>
  <r>
    <d v="2025-02-18T16:34:30"/>
    <x v="2"/>
    <s v="Plaquettes de finition carrées"/>
    <s v="31224"/>
    <s v="BIDOT MURIEL"/>
    <n v="5"/>
    <x v="0"/>
    <x v="2"/>
    <s v="PLAQUETTES"/>
    <x v="0"/>
    <n v="47.8"/>
  </r>
  <r>
    <d v="2025-02-18T16:34:54"/>
    <x v="2"/>
    <s v="Plaquettes de finition carrées"/>
    <s v="31224"/>
    <s v="BIDOT MURIEL"/>
    <n v="5"/>
    <x v="0"/>
    <x v="2"/>
    <s v="PLAQUETTES"/>
    <x v="0"/>
    <n v="47.8"/>
  </r>
  <r>
    <d v="2025-02-18T16:35:13"/>
    <x v="2"/>
    <s v="Plaquettes de finition carrées"/>
    <s v="31224"/>
    <s v="BIDOT MURIEL"/>
    <n v="5"/>
    <x v="0"/>
    <x v="2"/>
    <s v="PLAQUETTES"/>
    <x v="0"/>
    <n v="47.8"/>
  </r>
  <r>
    <d v="2025-02-18T16:35:28"/>
    <x v="4"/>
    <s v="Plaquettes de gorges"/>
    <s v="31224"/>
    <s v="BIDOT MURIEL"/>
    <n v="10"/>
    <x v="0"/>
    <x v="0"/>
    <s v="PLAQUETTES"/>
    <x v="0"/>
    <n v="188"/>
  </r>
  <r>
    <d v="2025-02-18T16:35:49"/>
    <x v="3"/>
    <s v="Plaquettes d'ébauches carrées"/>
    <s v="31224"/>
    <s v="BIDOT MURIEL"/>
    <n v="5"/>
    <x v="0"/>
    <x v="0"/>
    <s v="PLAQUETTES"/>
    <x v="0"/>
    <n v="39.799999999999997"/>
  </r>
  <r>
    <d v="2025-02-18T16:36:09"/>
    <x v="3"/>
    <s v="Plaquettes d'ébauches carrées"/>
    <s v="31224"/>
    <s v="BIDOT MURIEL"/>
    <n v="5"/>
    <x v="0"/>
    <x v="0"/>
    <s v="PLAQUETTES"/>
    <x v="0"/>
    <n v="39.799999999999997"/>
  </r>
  <r>
    <d v="2025-02-18T23:33:43"/>
    <x v="3"/>
    <s v="Plaquettes d'ébauches carrées"/>
    <s v="16340494"/>
    <s v="BRIMUSSE AURELIE"/>
    <n v="5"/>
    <x v="1"/>
    <x v="0"/>
    <s v="PLAQUETTES"/>
    <x v="3"/>
    <n v="39.799999999999997"/>
  </r>
  <r>
    <d v="2025-02-18T23:34:00"/>
    <x v="0"/>
    <s v="Plaquettes d'ébauches rhombiques"/>
    <s v="16340494"/>
    <s v="BRIMUSSE AURELIE"/>
    <n v="5"/>
    <x v="1"/>
    <x v="0"/>
    <s v="PLAQUETTES"/>
    <x v="3"/>
    <n v="39.799999999999997"/>
  </r>
  <r>
    <d v="2025-02-19T07:58:08"/>
    <x v="9"/>
    <s v="EMBOUT KENTIP D8.6"/>
    <s v="12824586"/>
    <s v="DASILVA FERNANDO"/>
    <n v="4"/>
    <x v="1"/>
    <x v="1"/>
    <s v="PLAQUETTES"/>
    <x v="1"/>
    <n v="200"/>
  </r>
  <r>
    <d v="2025-02-19T07:58:48"/>
    <x v="10"/>
    <s v="Plaquettes TPGX0902ZPRGD KC7315"/>
    <s v="12824586"/>
    <s v="DASILVA FERNANDO"/>
    <n v="10"/>
    <x v="1"/>
    <x v="1"/>
    <s v="PLAQUETTES"/>
    <x v="1"/>
    <n v="81.5"/>
  </r>
  <r>
    <d v="2025-02-19T10:12:11"/>
    <x v="2"/>
    <s v="Plaquettes de finition carrées"/>
    <s v="7236310"/>
    <s v="OZYURT IREM"/>
    <n v="5"/>
    <x v="0"/>
    <x v="2"/>
    <s v="PLAQUETTES"/>
    <x v="4"/>
    <n v="47.8"/>
  </r>
  <r>
    <d v="2025-02-19T10:12:27"/>
    <x v="2"/>
    <s v="Plaquettes de finition carrées"/>
    <s v="7236310"/>
    <s v="OZYURT IREM"/>
    <n v="5"/>
    <x v="1"/>
    <x v="2"/>
    <s v="PLAQUETTES"/>
    <x v="3"/>
    <n v="47.8"/>
  </r>
  <r>
    <d v="2025-02-19T10:42:34"/>
    <x v="4"/>
    <s v="Plaquettes de gorges"/>
    <s v="7236310"/>
    <s v="OZYURT IREM"/>
    <n v="10"/>
    <x v="0"/>
    <x v="0"/>
    <s v="PLAQUETTES"/>
    <x v="4"/>
    <n v="188"/>
  </r>
  <r>
    <d v="2025-02-19T10:43:16"/>
    <x v="3"/>
    <s v="Plaquettes d'ébauches carrées"/>
    <s v="7236310"/>
    <s v="OZYURT IREM"/>
    <n v="5"/>
    <x v="0"/>
    <x v="0"/>
    <s v="PLAQUETTES"/>
    <x v="4"/>
    <n v="39.799999999999997"/>
  </r>
  <r>
    <d v="2025-02-19T10:43:40"/>
    <x v="3"/>
    <s v="Plaquettes d'ébauches carrées"/>
    <s v="7236310"/>
    <s v="OZYURT IREM"/>
    <n v="5"/>
    <x v="1"/>
    <x v="0"/>
    <s v="PLAQUETTES"/>
    <x v="3"/>
    <n v="39.799999999999997"/>
  </r>
  <r>
    <d v="2025-02-19T14:17:11"/>
    <x v="3"/>
    <s v="Plaquettes d'ébauches carrées"/>
    <s v="31224"/>
    <s v="BIDOT MURIEL"/>
    <n v="5"/>
    <x v="0"/>
    <x v="3"/>
    <s v="PLAQUETTES"/>
    <x v="4"/>
    <n v="39.799999999999997"/>
  </r>
  <r>
    <d v="2025-02-19T14:17:39"/>
    <x v="3"/>
    <s v="Plaquettes d'ébauches carrées"/>
    <s v="31224"/>
    <s v="BIDOT MURIEL"/>
    <n v="5"/>
    <x v="0"/>
    <x v="3"/>
    <s v="PLAQUETTES"/>
    <x v="4"/>
    <n v="39.799999999999997"/>
  </r>
  <r>
    <d v="2025-02-19T14:18:01"/>
    <x v="0"/>
    <s v="Plaquettes d'ébauches rhombiques"/>
    <s v="31224"/>
    <s v="BIDOT MURIEL"/>
    <n v="5"/>
    <x v="0"/>
    <x v="0"/>
    <s v="PLAQUETTES"/>
    <x v="4"/>
    <n v="39.799999999999997"/>
  </r>
  <r>
    <d v="2025-02-19T14:18:25"/>
    <x v="0"/>
    <s v="Plaquettes d'ébauches rhombiques"/>
    <s v="31224"/>
    <s v="BIDOT MURIEL"/>
    <n v="5"/>
    <x v="0"/>
    <x v="0"/>
    <s v="PLAQUETTES"/>
    <x v="4"/>
    <n v="39.799999999999997"/>
  </r>
  <r>
    <d v="2025-02-19T14:18:43"/>
    <x v="2"/>
    <s v="Plaquettes de finition carrées"/>
    <s v="31224"/>
    <s v="BIDOT MURIEL"/>
    <n v="5"/>
    <x v="0"/>
    <x v="2"/>
    <s v="PLAQUETTES"/>
    <x v="4"/>
    <n v="47.8"/>
  </r>
  <r>
    <d v="2025-02-20T00:24:56"/>
    <x v="6"/>
    <s v="Plaquettes de finition triangulaires"/>
    <s v="16340494"/>
    <s v="BRIMUSSE AURELIE"/>
    <n v="5"/>
    <x v="1"/>
    <x v="2"/>
    <s v="PLAQUETTES"/>
    <x v="3"/>
    <n v="48.7"/>
  </r>
  <r>
    <d v="2025-02-20T00:25:16"/>
    <x v="2"/>
    <s v="Plaquettes de finition carrées"/>
    <s v="16340494"/>
    <s v="BRIMUSSE AURELIE"/>
    <n v="5"/>
    <x v="1"/>
    <x v="2"/>
    <s v="PLAQUETTES"/>
    <x v="3"/>
    <n v="47.8"/>
  </r>
  <r>
    <d v="2025-02-20T00:25:39"/>
    <x v="8"/>
    <s v="Plaquettes d'ébauches rhombiques"/>
    <s v="16340494"/>
    <s v="BRIMUSSE AURELIE"/>
    <n v="10"/>
    <x v="1"/>
    <x v="3"/>
    <s v="PLAQUETTES"/>
    <x v="3"/>
    <n v="70"/>
  </r>
  <r>
    <d v="2025-02-20T00:25:56"/>
    <x v="3"/>
    <s v="Plaquettes d'ébauches carrées"/>
    <s v="16340494"/>
    <s v="BRIMUSSE AURELIE"/>
    <n v="5"/>
    <x v="1"/>
    <x v="3"/>
    <s v="PLAQUETTES"/>
    <x v="3"/>
    <n v="39.799999999999997"/>
  </r>
  <r>
    <d v="2025-02-20T00:26:12"/>
    <x v="3"/>
    <s v="Plaquettes d'ébauches carrées"/>
    <s v="16340494"/>
    <s v="BRIMUSSE AURELIE"/>
    <n v="5"/>
    <x v="1"/>
    <x v="0"/>
    <s v="PLAQUETTES"/>
    <x v="3"/>
    <n v="39.799999999999997"/>
  </r>
  <r>
    <d v="2025-02-20T00:26:32"/>
    <x v="4"/>
    <s v="Plaquettes de gorges"/>
    <s v="16340494"/>
    <s v="BRIMUSSE AURELIE"/>
    <n v="10"/>
    <x v="0"/>
    <x v="0"/>
    <s v="PLAQUETTES"/>
    <x v="4"/>
    <n v="188"/>
  </r>
  <r>
    <d v="2025-02-20T00:26:52"/>
    <x v="3"/>
    <s v="Plaquettes d'ébauches carrées"/>
    <s v="16340494"/>
    <s v="BRIMUSSE AURELIE"/>
    <n v="5"/>
    <x v="0"/>
    <x v="3"/>
    <s v="PLAQUETTES"/>
    <x v="4"/>
    <n v="39.799999999999997"/>
  </r>
  <r>
    <d v="2025-02-20T00:27:13"/>
    <x v="0"/>
    <s v="Plaquettes d'ébauches rhombiques"/>
    <s v="16340494"/>
    <s v="BRIMUSSE AURELIE"/>
    <n v="5"/>
    <x v="0"/>
    <x v="0"/>
    <s v="PLAQUETTES"/>
    <x v="4"/>
    <n v="39.799999999999997"/>
  </r>
  <r>
    <d v="2025-02-20T10:22:55"/>
    <x v="3"/>
    <s v="Plaquettes d'ébauches carrées"/>
    <s v="7236310"/>
    <s v="OZYURT IREM"/>
    <n v="5"/>
    <x v="0"/>
    <x v="0"/>
    <s v="PLAQUETTES"/>
    <x v="4"/>
    <n v="39.799999999999997"/>
  </r>
  <r>
    <d v="2025-02-20T10:23:26"/>
    <x v="0"/>
    <s v="Plaquettes d'ébauches rhombiques"/>
    <s v="7236310"/>
    <s v="OZYURT IREM"/>
    <n v="5"/>
    <x v="0"/>
    <x v="0"/>
    <s v="PLAQUETTES"/>
    <x v="4"/>
    <n v="39.799999999999997"/>
  </r>
  <r>
    <d v="2025-02-20T12:54:33"/>
    <x v="9"/>
    <s v="EMBOUT KENTIP D8.6"/>
    <s v="12824586"/>
    <s v="DASILVA FERNANDO"/>
    <n v="2"/>
    <x v="0"/>
    <x v="1"/>
    <s v="PLAQUETTES"/>
    <x v="1"/>
    <n v="100"/>
  </r>
  <r>
    <d v="2025-02-20T13:24:18"/>
    <x v="3"/>
    <s v="Plaquettes d'ébauches carrées"/>
    <s v="31224"/>
    <s v="BIDOT MURIEL"/>
    <n v="5"/>
    <x v="0"/>
    <x v="3"/>
    <s v="PLAQUETTES"/>
    <x v="4"/>
    <n v="39.799999999999997"/>
  </r>
  <r>
    <d v="2025-02-20T13:24:42"/>
    <x v="3"/>
    <s v="Plaquettes d'ébauches carrées"/>
    <s v="31224"/>
    <s v="BIDOT MURIEL"/>
    <n v="5"/>
    <x v="0"/>
    <x v="3"/>
    <s v="PLAQUETTES"/>
    <x v="4"/>
    <n v="39.799999999999997"/>
  </r>
  <r>
    <d v="2025-02-20T13:25:05"/>
    <x v="4"/>
    <s v="Plaquettes de gorges"/>
    <s v="31224"/>
    <s v="BIDOT MURIEL"/>
    <n v="10"/>
    <x v="0"/>
    <x v="0"/>
    <s v="PLAQUETTES"/>
    <x v="4"/>
    <n v="188"/>
  </r>
  <r>
    <d v="2025-02-20T13:25:35"/>
    <x v="0"/>
    <s v="Plaquettes d'ébauches rhombiques"/>
    <s v="31224"/>
    <s v="BIDOT MURIEL"/>
    <n v="5"/>
    <x v="0"/>
    <x v="0"/>
    <s v="PLAQUETTES"/>
    <x v="4"/>
    <n v="39.799999999999997"/>
  </r>
  <r>
    <d v="2025-02-20T13:26:07"/>
    <x v="0"/>
    <s v="Plaquettes d'ébauches rhombiques"/>
    <s v="31224"/>
    <s v="BIDOT MURIEL"/>
    <n v="5"/>
    <x v="0"/>
    <x v="0"/>
    <s v="PLAQUETTES"/>
    <x v="4"/>
    <n v="39.799999999999997"/>
  </r>
  <r>
    <d v="2025-02-20T13:26:53"/>
    <x v="2"/>
    <s v="Plaquettes de finition carrées"/>
    <s v="31224"/>
    <s v="BIDOT MURIEL"/>
    <n v="5"/>
    <x v="0"/>
    <x v="2"/>
    <s v="PLAQUETTES"/>
    <x v="4"/>
    <n v="47.8"/>
  </r>
  <r>
    <d v="2025-02-20T13:27:12"/>
    <x v="2"/>
    <s v="Plaquettes de finition carrées"/>
    <s v="31224"/>
    <s v="BIDOT MURIEL"/>
    <n v="5"/>
    <x v="0"/>
    <x v="2"/>
    <s v="PLAQUETTES"/>
    <x v="4"/>
    <n v="47.8"/>
  </r>
  <r>
    <d v="2025-02-20T13:27:32"/>
    <x v="2"/>
    <s v="Plaquettes de finition carrées"/>
    <s v="31224"/>
    <s v="BIDOT MURIEL"/>
    <n v="5"/>
    <x v="0"/>
    <x v="2"/>
    <s v="PLAQUETTES"/>
    <x v="4"/>
    <n v="47.8"/>
  </r>
  <r>
    <d v="2025-02-20T22:20:09"/>
    <x v="2"/>
    <s v="Plaquettes de finition carrées"/>
    <s v="16340494"/>
    <s v="BRIMUSSE AURELIE"/>
    <n v="5"/>
    <x v="1"/>
    <x v="2"/>
    <s v="PLAQUETTES"/>
    <x v="3"/>
    <n v="47.8"/>
  </r>
  <r>
    <d v="2025-02-21T02:12:26"/>
    <x v="3"/>
    <s v="Plaquettes d'ébauches carrées"/>
    <s v="16340494"/>
    <s v="BRIMUSSE AURELIE"/>
    <n v="5"/>
    <x v="1"/>
    <x v="3"/>
    <s v="PLAQUETTES"/>
    <x v="3"/>
    <n v="39.799999999999997"/>
  </r>
  <r>
    <d v="2025-02-21T02:12:44"/>
    <x v="8"/>
    <s v="Plaquettes d'ébauches rhombiques"/>
    <s v="16340494"/>
    <s v="BRIMUSSE AURELIE"/>
    <n v="10"/>
    <x v="1"/>
    <x v="3"/>
    <s v="PLAQUETTES"/>
    <x v="3"/>
    <n v="70"/>
  </r>
  <r>
    <d v="2025-02-21T02:13:00"/>
    <x v="5"/>
    <s v="Plaquettes de finition"/>
    <s v="16340494"/>
    <s v="BRIMUSSE AURELIE"/>
    <n v="5"/>
    <x v="1"/>
    <x v="2"/>
    <s v="PLAQUETTES"/>
    <x v="3"/>
    <n v="42.5"/>
  </r>
  <r>
    <d v="2025-02-21T05:22:43"/>
    <x v="2"/>
    <s v="Plaquettes de finition carrées"/>
    <s v="10301115"/>
    <s v="BOUCHART LUDOVIC"/>
    <n v="5"/>
    <x v="0"/>
    <x v="2"/>
    <s v="PLAQUETTES"/>
    <x v="4"/>
    <n v="47.8"/>
  </r>
  <r>
    <d v="2025-02-21T05:23:01"/>
    <x v="5"/>
    <s v="Plaquettes de finition"/>
    <s v="10301115"/>
    <s v="BOUCHART LUDOVIC"/>
    <n v="5"/>
    <x v="1"/>
    <x v="2"/>
    <s v="PLAQUETTES"/>
    <x v="3"/>
    <n v="42.5"/>
  </r>
  <r>
    <d v="2025-02-21T05:23:16"/>
    <x v="6"/>
    <s v="Plaquettes de finition triangulaires"/>
    <s v="10301115"/>
    <s v="BOUCHART LUDOVIC"/>
    <n v="5"/>
    <x v="1"/>
    <x v="2"/>
    <s v="PLAQUETTES"/>
    <x v="3"/>
    <n v="48.7"/>
  </r>
  <r>
    <d v="2025-02-21T05:23:34"/>
    <x v="2"/>
    <s v="Plaquettes de finition carrées"/>
    <s v="10301115"/>
    <s v="BOUCHART LUDOVIC"/>
    <n v="5"/>
    <x v="1"/>
    <x v="2"/>
    <s v="PLAQUETTES"/>
    <x v="3"/>
    <n v="47.8"/>
  </r>
  <r>
    <d v="2025-02-21T07:42:58"/>
    <x v="3"/>
    <s v="Plaquettes d'ébauches carrées"/>
    <s v="U509351"/>
    <s v="DELIAT CHRISTOPHE"/>
    <n v="5"/>
    <x v="0"/>
    <x v="3"/>
    <s v="PLAQUETTES"/>
    <x v="4"/>
    <n v="39.799999999999997"/>
  </r>
  <r>
    <d v="2025-02-21T07:43:23"/>
    <x v="4"/>
    <s v="Plaquettes de gorges"/>
    <s v="U509351"/>
    <s v="DELIAT CHRISTOPHE"/>
    <n v="10"/>
    <x v="1"/>
    <x v="0"/>
    <s v="PLAQUETTES"/>
    <x v="2"/>
    <n v="188"/>
  </r>
  <r>
    <d v="2025-02-21T07:45:42"/>
    <x v="3"/>
    <s v="Plaquettes d'ébauches carrées"/>
    <s v="U509351"/>
    <s v="DELIAT CHRISTOPHE"/>
    <n v="5"/>
    <x v="0"/>
    <x v="3"/>
    <s v="PLAQUETTES"/>
    <x v="4"/>
    <n v="39.799999999999997"/>
  </r>
  <r>
    <d v="2025-02-21T07:46:02"/>
    <x v="0"/>
    <s v="Plaquettes d'ébauches rhombiques"/>
    <s v="U509351"/>
    <s v="DELIAT CHRISTOPHE"/>
    <n v="5"/>
    <x v="0"/>
    <x v="0"/>
    <s v="PLAQUETTES"/>
    <x v="4"/>
    <n v="39.799999999999997"/>
  </r>
  <r>
    <d v="2025-02-21T07:46:25"/>
    <x v="0"/>
    <s v="Plaquettes d'ébauches rhombiques"/>
    <s v="U509351"/>
    <s v="DELIAT CHRISTOPHE"/>
    <n v="5"/>
    <x v="0"/>
    <x v="3"/>
    <s v="PLAQUETTES"/>
    <x v="4"/>
    <n v="39.799999999999997"/>
  </r>
  <r>
    <d v="2025-02-21T07:50:22"/>
    <x v="3"/>
    <s v="Plaquettes d'ébauches carrées"/>
    <s v="U509351"/>
    <s v="DELIAT CHRISTOPHE"/>
    <n v="5"/>
    <x v="0"/>
    <x v="0"/>
    <s v="PLAQUETTES"/>
    <x v="4"/>
    <n v="39.799999999999997"/>
  </r>
  <r>
    <d v="2025-02-21T08:30:12"/>
    <x v="4"/>
    <s v="Plaquettes de gorges"/>
    <s v="U509351"/>
    <s v="DELIAT CHRISTOPHE"/>
    <n v="-10"/>
    <x v="1"/>
    <x v="0"/>
    <s v="PLAQUETTES"/>
    <x v="2"/>
    <n v="-188"/>
  </r>
  <r>
    <d v="2025-02-21T08:34:55"/>
    <x v="3"/>
    <s v="Plaquettes d'ébauches carrées"/>
    <s v="U509351"/>
    <s v="DELIAT CHRISTOPHE"/>
    <n v="-5"/>
    <x v="0"/>
    <x v="3"/>
    <s v="PLAQUETTES"/>
    <x v="4"/>
    <n v="-39.799999999999997"/>
  </r>
  <r>
    <d v="2025-02-21T14:07:22"/>
    <x v="3"/>
    <s v="Plaquettes d'ébauches carrées"/>
    <s v="31224"/>
    <s v="BIDOT MURIEL"/>
    <n v="5"/>
    <x v="0"/>
    <x v="3"/>
    <s v="PLAQUETTES"/>
    <x v="4"/>
    <n v="39.799999999999997"/>
  </r>
  <r>
    <d v="2025-02-21T14:07:38"/>
    <x v="3"/>
    <s v="Plaquettes d'ébauches carrées"/>
    <s v="31224"/>
    <s v="BIDOT MURIEL"/>
    <n v="5"/>
    <x v="0"/>
    <x v="3"/>
    <s v="PLAQUETTES"/>
    <x v="4"/>
    <n v="39.799999999999997"/>
  </r>
  <r>
    <d v="2025-02-21T14:07:55"/>
    <x v="0"/>
    <s v="Plaquettes d'ébauches rhombiques"/>
    <s v="31224"/>
    <s v="BIDOT MURIEL"/>
    <n v="5"/>
    <x v="0"/>
    <x v="3"/>
    <s v="PLAQUETTES"/>
    <x v="4"/>
    <n v="39.799999999999997"/>
  </r>
  <r>
    <d v="2025-02-21T14:08:13"/>
    <x v="4"/>
    <s v="Plaquettes de gorges"/>
    <s v="31224"/>
    <s v="BIDOT MURIEL"/>
    <n v="10"/>
    <x v="0"/>
    <x v="0"/>
    <s v="PLAQUETTES"/>
    <x v="4"/>
    <n v="188"/>
  </r>
  <r>
    <d v="2025-02-21T14:08:32"/>
    <x v="2"/>
    <s v="Plaquettes de finition carrées"/>
    <s v="31224"/>
    <s v="BIDOT MURIEL"/>
    <n v="5"/>
    <x v="0"/>
    <x v="2"/>
    <s v="PLAQUETTES"/>
    <x v="4"/>
    <n v="47.8"/>
  </r>
  <r>
    <d v="2025-02-21T14:08:48"/>
    <x v="2"/>
    <s v="Plaquettes de finition carrées"/>
    <s v="31224"/>
    <s v="BIDOT MURIEL"/>
    <n v="5"/>
    <x v="0"/>
    <x v="2"/>
    <s v="PLAQUETTES"/>
    <x v="4"/>
    <n v="47.8"/>
  </r>
  <r>
    <d v="2025-02-21T15:01:37"/>
    <x v="9"/>
    <s v="EMBOUT KENTIP D8.6"/>
    <s v="12824586"/>
    <s v="DASILVA FERNANDO"/>
    <n v="4"/>
    <x v="0"/>
    <x v="1"/>
    <s v="PLAQUETTES"/>
    <x v="1"/>
    <n v="200"/>
  </r>
  <r>
    <d v="2025-02-22T05:27:31"/>
    <x v="2"/>
    <s v="Plaquettes de finition carrées"/>
    <s v="10301115"/>
    <s v="BOUCHART LUDOVIC"/>
    <n v="5"/>
    <x v="0"/>
    <x v="2"/>
    <s v="PLAQUETTES"/>
    <x v="4"/>
    <n v="47.8"/>
  </r>
  <r>
    <d v="2025-02-22T05:27:48"/>
    <x v="5"/>
    <s v="Plaquettes de finition"/>
    <s v="10301115"/>
    <s v="BOUCHART LUDOVIC"/>
    <n v="5"/>
    <x v="1"/>
    <x v="2"/>
    <s v="PLAQUETTES"/>
    <x v="3"/>
    <n v="42.5"/>
  </r>
  <r>
    <d v="2025-02-22T05:28:03"/>
    <x v="6"/>
    <s v="Plaquettes de finition triangulaires"/>
    <s v="10301115"/>
    <s v="BOUCHART LUDOVIC"/>
    <n v="5"/>
    <x v="1"/>
    <x v="2"/>
    <s v="PLAQUETTES"/>
    <x v="3"/>
    <n v="48.7"/>
  </r>
  <r>
    <d v="2025-02-22T05:28:19"/>
    <x v="2"/>
    <s v="Plaquettes de finition carrées"/>
    <s v="10301115"/>
    <s v="BOUCHART LUDOVIC"/>
    <n v="5"/>
    <x v="1"/>
    <x v="2"/>
    <s v="PLAQUETTES"/>
    <x v="3"/>
    <n v="47.8"/>
  </r>
  <r>
    <d v="2025-02-22T05:34:31"/>
    <x v="3"/>
    <s v="Plaquettes d'ébauches carrées"/>
    <s v="U509351"/>
    <s v="DELIAT CHRISTOPHE"/>
    <n v="5"/>
    <x v="1"/>
    <x v="3"/>
    <s v="PLAQUETTES"/>
    <x v="3"/>
    <n v="39.799999999999997"/>
  </r>
  <r>
    <d v="2025-02-22T05:35:17"/>
    <x v="0"/>
    <s v="Plaquettes d'ébauches rhombiques"/>
    <s v="U509351"/>
    <s v="DELIAT CHRISTOPHE"/>
    <n v="5"/>
    <x v="0"/>
    <x v="0"/>
    <s v="PLAQUETTES"/>
    <x v="4"/>
    <n v="39.799999999999997"/>
  </r>
  <r>
    <d v="2025-02-22T05:35:40"/>
    <x v="4"/>
    <s v="Plaquettes de gorges"/>
    <s v="U509351"/>
    <s v="DELIAT CHRISTOPHE"/>
    <n v="10"/>
    <x v="0"/>
    <x v="0"/>
    <s v="PLAQUETTES"/>
    <x v="4"/>
    <n v="188"/>
  </r>
  <r>
    <d v="2025-02-22T10:31:16"/>
    <x v="3"/>
    <s v="Plaquettes d'ébauches carrées"/>
    <s v="U509351"/>
    <s v="DELIAT CHRISTOPHE"/>
    <n v="5"/>
    <x v="1"/>
    <x v="3"/>
    <s v="PLAQUETTES"/>
    <x v="3"/>
    <n v="39.799999999999997"/>
  </r>
  <r>
    <d v="2025-02-23T17:28:57"/>
    <x v="3"/>
    <s v="Plaquettes d'ébauches carrées"/>
    <s v="10301115"/>
    <s v="BOUCHART LUDOVIC"/>
    <n v="5"/>
    <x v="0"/>
    <x v="3"/>
    <s v="PLAQUETTES"/>
    <x v="4"/>
    <n v="39.799999999999997"/>
  </r>
  <r>
    <d v="2025-02-23T17:29:13"/>
    <x v="0"/>
    <s v="Plaquettes d'ébauches rhombiques"/>
    <s v="10301115"/>
    <s v="BOUCHART LUDOVIC"/>
    <n v="5"/>
    <x v="0"/>
    <x v="3"/>
    <s v="PLAQUETTES"/>
    <x v="4"/>
    <n v="39.799999999999997"/>
  </r>
  <r>
    <d v="2025-02-23T17:29:28"/>
    <x v="4"/>
    <s v="Plaquettes de gorges"/>
    <s v="10301115"/>
    <s v="BOUCHART LUDOVIC"/>
    <n v="10"/>
    <x v="0"/>
    <x v="0"/>
    <s v="PLAQUETTES"/>
    <x v="4"/>
    <n v="188"/>
  </r>
  <r>
    <d v="2025-02-23T17:29:48"/>
    <x v="3"/>
    <s v="Plaquettes d'ébauches carrées"/>
    <s v="10301115"/>
    <s v="BOUCHART LUDOVIC"/>
    <n v="5"/>
    <x v="0"/>
    <x v="0"/>
    <s v="PLAQUETTES"/>
    <x v="4"/>
    <n v="39.799999999999997"/>
  </r>
  <r>
    <d v="2025-02-23T17:30:02"/>
    <x v="0"/>
    <s v="Plaquettes d'ébauches rhombiques"/>
    <s v="10301115"/>
    <s v="BOUCHART LUDOVIC"/>
    <n v="5"/>
    <x v="0"/>
    <x v="0"/>
    <s v="PLAQUETTES"/>
    <x v="4"/>
    <n v="39.799999999999997"/>
  </r>
  <r>
    <d v="2025-02-23T17:30:19"/>
    <x v="3"/>
    <s v="Plaquettes d'ébauches carrées"/>
    <s v="10301115"/>
    <s v="BOUCHART LUDOVIC"/>
    <n v="5"/>
    <x v="1"/>
    <x v="3"/>
    <s v="PLAQUETTES"/>
    <x v="3"/>
    <n v="39.799999999999997"/>
  </r>
  <r>
    <d v="2025-02-23T17:30:32"/>
    <x v="0"/>
    <s v="Plaquettes d'ébauches rhombiques"/>
    <s v="10301115"/>
    <s v="BOUCHART LUDOVIC"/>
    <n v="5"/>
    <x v="1"/>
    <x v="3"/>
    <s v="PLAQUETTES"/>
    <x v="3"/>
    <n v="39.799999999999997"/>
  </r>
  <r>
    <d v="2025-02-23T17:30:48"/>
    <x v="8"/>
    <s v="Plaquettes d'ébauches rhombiques"/>
    <s v="10301115"/>
    <s v="BOUCHART LUDOVIC"/>
    <n v="10"/>
    <x v="1"/>
    <x v="3"/>
    <s v="PLAQUETTES"/>
    <x v="3"/>
    <n v="70"/>
  </r>
  <r>
    <d v="2025-02-23T17:31:04"/>
    <x v="3"/>
    <s v="Plaquettes d'ébauches carrées"/>
    <s v="10301115"/>
    <s v="BOUCHART LUDOVIC"/>
    <n v="5"/>
    <x v="1"/>
    <x v="0"/>
    <s v="PLAQUETTES"/>
    <x v="3"/>
    <n v="39.799999999999997"/>
  </r>
  <r>
    <d v="2025-02-23T17:31:17"/>
    <x v="0"/>
    <s v="Plaquettes d'ébauches rhombiques"/>
    <s v="10301115"/>
    <s v="BOUCHART LUDOVIC"/>
    <n v="5"/>
    <x v="1"/>
    <x v="0"/>
    <s v="PLAQUETTES"/>
    <x v="3"/>
    <n v="39.799999999999997"/>
  </r>
  <r>
    <d v="2025-02-24T01:36:53"/>
    <x v="2"/>
    <s v="Plaquettes de finition carrées"/>
    <s v="U509351"/>
    <s v="DELIAT CHRISTOPHE"/>
    <n v="5"/>
    <x v="1"/>
    <x v="2"/>
    <s v="PLAQUETTES"/>
    <x v="3"/>
    <n v="47.8"/>
  </r>
  <r>
    <d v="2025-02-24T01:37:11"/>
    <x v="2"/>
    <s v="Plaquettes de finition carrées"/>
    <s v="U509351"/>
    <s v="DELIAT CHRISTOPHE"/>
    <n v="5"/>
    <x v="0"/>
    <x v="2"/>
    <s v="PLAQUETTES"/>
    <x v="4"/>
    <n v="47.8"/>
  </r>
  <r>
    <d v="2025-02-24T05:18:03"/>
    <x v="3"/>
    <s v="Plaquettes d'ébauches carrées"/>
    <s v="31224"/>
    <s v="BIDOT MURIEL"/>
    <n v="5"/>
    <x v="0"/>
    <x v="3"/>
    <s v="PLAQUETTES"/>
    <x v="4"/>
    <n v="39.799999999999997"/>
  </r>
  <r>
    <d v="2025-02-24T05:18:20"/>
    <x v="3"/>
    <s v="Plaquettes d'ébauches carrées"/>
    <s v="31224"/>
    <s v="BIDOT MURIEL"/>
    <n v="5"/>
    <x v="0"/>
    <x v="3"/>
    <s v="PLAQUETTES"/>
    <x v="4"/>
    <n v="39.799999999999997"/>
  </r>
  <r>
    <d v="2025-02-24T05:18:39"/>
    <x v="2"/>
    <s v="Plaquettes de finition carrées"/>
    <s v="31224"/>
    <s v="BIDOT MURIEL"/>
    <n v="5"/>
    <x v="0"/>
    <x v="2"/>
    <s v="PLAQUETTES"/>
    <x v="4"/>
    <n v="47.8"/>
  </r>
  <r>
    <d v="2025-02-24T15:18:17"/>
    <x v="9"/>
    <s v="EMBOUT KENTIP D8.6"/>
    <s v="12824586"/>
    <s v="DASILVA FERNANDO"/>
    <n v="2"/>
    <x v="0"/>
    <x v="1"/>
    <s v="PLAQUETTES"/>
    <x v="1"/>
    <n v="100"/>
  </r>
  <r>
    <d v="2025-02-24T15:18:57"/>
    <x v="10"/>
    <s v="Plaquettes TPGX0902ZPRGD KC7315"/>
    <s v="12824586"/>
    <s v="DASILVA FERNANDO"/>
    <n v="10"/>
    <x v="1"/>
    <x v="1"/>
    <s v="PLAQUETTES"/>
    <x v="1"/>
    <n v="81.5"/>
  </r>
  <r>
    <d v="2025-02-25T01:29:51"/>
    <x v="2"/>
    <s v="Plaquettes de finition carrées"/>
    <s v="7236310"/>
    <s v="OZYURT IREM"/>
    <n v="5"/>
    <x v="1"/>
    <x v="2"/>
    <s v="PLAQUETTES"/>
    <x v="3"/>
    <n v="47.8"/>
  </r>
  <r>
    <d v="2025-02-25T05:40:00"/>
    <x v="3"/>
    <s v="Plaquettes d'ébauches carrées"/>
    <s v="31224"/>
    <s v="BIDOT MURIEL"/>
    <n v="5"/>
    <x v="0"/>
    <x v="3"/>
    <s v="PLAQUETTES"/>
    <x v="0"/>
    <n v="39.799999999999997"/>
  </r>
  <r>
    <d v="2025-02-25T05:40:18"/>
    <x v="3"/>
    <s v="Plaquettes d'ébauches carrées"/>
    <s v="31224"/>
    <s v="BIDOT MURIEL"/>
    <n v="5"/>
    <x v="0"/>
    <x v="3"/>
    <s v="PLAQUETTES"/>
    <x v="0"/>
    <n v="39.799999999999997"/>
  </r>
  <r>
    <d v="2025-02-25T05:40:39"/>
    <x v="0"/>
    <s v="Plaquettes d'ébauches rhombiques"/>
    <s v="31224"/>
    <s v="BIDOT MURIEL"/>
    <n v="5"/>
    <x v="0"/>
    <x v="3"/>
    <s v="PLAQUETTES"/>
    <x v="0"/>
    <n v="39.799999999999997"/>
  </r>
  <r>
    <d v="2025-02-25T05:40:56"/>
    <x v="4"/>
    <s v="Plaquettes de gorges"/>
    <s v="31224"/>
    <s v="BIDOT MURIEL"/>
    <n v="10"/>
    <x v="0"/>
    <x v="0"/>
    <s v="PLAQUETTES"/>
    <x v="0"/>
    <n v="188"/>
  </r>
  <r>
    <d v="2025-02-25T05:41:14"/>
    <x v="2"/>
    <s v="Plaquettes de finition carrées"/>
    <s v="31224"/>
    <s v="BIDOT MURIEL"/>
    <n v="5"/>
    <x v="0"/>
    <x v="2"/>
    <s v="PLAQUETTES"/>
    <x v="0"/>
    <n v="47.8"/>
  </r>
  <r>
    <d v="2025-02-25T13:22:22"/>
    <x v="9"/>
    <s v="EMBOUT KENTIP D8.6"/>
    <s v="12824586"/>
    <s v="DASILVA FERNANDO"/>
    <n v="1"/>
    <x v="1"/>
    <x v="1"/>
    <s v="PLAQUETTES"/>
    <x v="1"/>
    <n v="50"/>
  </r>
  <r>
    <d v="2025-02-25T15:12:07"/>
    <x v="9"/>
    <s v="EMBOUT KENTIP D8.6"/>
    <s v="12824586"/>
    <s v="DASILVA FERNANDO"/>
    <n v="2"/>
    <x v="0"/>
    <x v="1"/>
    <s v="PLAQUETTES"/>
    <x v="1"/>
    <n v="100"/>
  </r>
  <r>
    <d v="2025-02-25T17:56:35"/>
    <x v="3"/>
    <s v="Plaquettes d'ébauches carrées"/>
    <s v="16340494"/>
    <s v="BRIMUSSE AURELIE"/>
    <n v="5"/>
    <x v="1"/>
    <x v="3"/>
    <s v="PLAQUETTES"/>
    <x v="3"/>
    <n v="39.799999999999997"/>
  </r>
  <r>
    <d v="2025-02-25T17:56:51"/>
    <x v="3"/>
    <s v="Plaquettes d'ébauches carrées"/>
    <s v="16340494"/>
    <s v="BRIMUSSE AURELIE"/>
    <n v="5"/>
    <x v="1"/>
    <x v="0"/>
    <s v="PLAQUETTES"/>
    <x v="3"/>
    <n v="39.799999999999997"/>
  </r>
  <r>
    <d v="2025-02-25T17:57:06"/>
    <x v="2"/>
    <s v="Plaquettes de finition carrées"/>
    <s v="16340494"/>
    <s v="BRIMUSSE AURELIE"/>
    <n v="5"/>
    <x v="1"/>
    <x v="2"/>
    <s v="PLAQUETTES"/>
    <x v="3"/>
    <n v="47.8"/>
  </r>
  <r>
    <d v="2025-02-25T17:57:26"/>
    <x v="3"/>
    <s v="Plaquettes d'ébauches carrées"/>
    <s v="16340494"/>
    <s v="BRIMUSSE AURELIE"/>
    <n v="5"/>
    <x v="0"/>
    <x v="3"/>
    <s v="PLAQUETTES"/>
    <x v="0"/>
    <n v="39.799999999999997"/>
  </r>
  <r>
    <d v="2025-02-25T17:57:41"/>
    <x v="4"/>
    <s v="Plaquettes de gorges"/>
    <s v="16340494"/>
    <s v="BRIMUSSE AURELIE"/>
    <n v="10"/>
    <x v="0"/>
    <x v="0"/>
    <s v="PLAQUETTES"/>
    <x v="0"/>
    <n v="188"/>
  </r>
  <r>
    <d v="2025-02-25T17:57:59"/>
    <x v="0"/>
    <s v="Plaquettes d'ébauches rhombiques"/>
    <s v="16340494"/>
    <s v="BRIMUSSE AURELIE"/>
    <n v="5"/>
    <x v="0"/>
    <x v="0"/>
    <s v="PLAQUETTES"/>
    <x v="0"/>
    <n v="39.799999999999997"/>
  </r>
  <r>
    <d v="2025-02-25T22:36:34"/>
    <x v="3"/>
    <s v="Plaquettes d'ébauches carrées"/>
    <s v="090225"/>
    <s v="MEYER THOMAS"/>
    <n v="5"/>
    <x v="0"/>
    <x v="3"/>
    <s v="PLAQUETTES"/>
    <x v="0"/>
    <n v="39.799999999999997"/>
  </r>
  <r>
    <d v="2025-02-25T22:37:18"/>
    <x v="2"/>
    <s v="Plaquettes de finition carrées"/>
    <s v="7236310"/>
    <s v="OZYURT IREM"/>
    <n v="5"/>
    <x v="0"/>
    <x v="2"/>
    <s v="PLAQUETTES"/>
    <x v="0"/>
    <n v="47.8"/>
  </r>
  <r>
    <d v="2025-02-26T05:28:01"/>
    <x v="3"/>
    <s v="Plaquettes d'ébauches carrées"/>
    <s v="31224"/>
    <s v="BIDOT MURIEL"/>
    <n v="5"/>
    <x v="0"/>
    <x v="3"/>
    <s v="PLAQUETTES"/>
    <x v="0"/>
    <n v="39.799999999999997"/>
  </r>
  <r>
    <d v="2025-02-26T05:28:20"/>
    <x v="3"/>
    <s v="Plaquettes d'ébauches carrées"/>
    <s v="31224"/>
    <s v="BIDOT MURIEL"/>
    <n v="5"/>
    <x v="0"/>
    <x v="3"/>
    <s v="PLAQUETTES"/>
    <x v="0"/>
    <n v="39.799999999999997"/>
  </r>
  <r>
    <d v="2025-02-26T05:28:37"/>
    <x v="0"/>
    <s v="Plaquettes d'ébauches rhombiques"/>
    <s v="31224"/>
    <s v="BIDOT MURIEL"/>
    <n v="5"/>
    <x v="0"/>
    <x v="3"/>
    <s v="PLAQUETTES"/>
    <x v="0"/>
    <n v="39.799999999999997"/>
  </r>
  <r>
    <d v="2025-02-26T05:28:56"/>
    <x v="0"/>
    <s v="Plaquettes d'ébauches rhombiques"/>
    <s v="31224"/>
    <s v="BIDOT MURIEL"/>
    <n v="5"/>
    <x v="0"/>
    <x v="0"/>
    <s v="PLAQUETTES"/>
    <x v="0"/>
    <n v="39.799999999999997"/>
  </r>
  <r>
    <d v="2025-02-26T05:29:13"/>
    <x v="2"/>
    <s v="Plaquettes de finition carrées"/>
    <s v="31224"/>
    <s v="BIDOT MURIEL"/>
    <n v="5"/>
    <x v="0"/>
    <x v="2"/>
    <s v="PLAQUETTES"/>
    <x v="0"/>
    <n v="47.8"/>
  </r>
  <r>
    <d v="2025-02-26T05:29:32"/>
    <x v="2"/>
    <s v="Plaquettes de finition carrées"/>
    <s v="31224"/>
    <s v="BIDOT MURIEL"/>
    <n v="5"/>
    <x v="0"/>
    <x v="2"/>
    <s v="PLAQUETTES"/>
    <x v="0"/>
    <n v="47.8"/>
  </r>
  <r>
    <d v="2025-02-26T05:29:46"/>
    <x v="2"/>
    <s v="Plaquettes de finition carrées"/>
    <s v="31224"/>
    <s v="BIDOT MURIEL"/>
    <n v="5"/>
    <x v="0"/>
    <x v="2"/>
    <s v="PLAQUETTES"/>
    <x v="0"/>
    <n v="47.8"/>
  </r>
  <r>
    <d v="2025-02-26T13:45:33"/>
    <x v="2"/>
    <s v="Plaquettes de finition carrées"/>
    <s v="SF51433"/>
    <s v="BONTEMS COLINE"/>
    <n v="5"/>
    <x v="1"/>
    <x v="2"/>
    <s v="PLAQUETTES"/>
    <x v="3"/>
    <n v="47.8"/>
  </r>
  <r>
    <d v="2025-02-26T13:45:46"/>
    <x v="2"/>
    <s v="Plaquettes de finition carrées"/>
    <s v="SF51433"/>
    <s v="BONTEMS COLINE"/>
    <n v="-5"/>
    <x v="1"/>
    <x v="2"/>
    <s v="PLAQUETTES"/>
    <x v="3"/>
    <n v="-47.8"/>
  </r>
  <r>
    <d v="2025-02-26T14:04:05"/>
    <x v="9"/>
    <s v="EMBOUT KENTIP D8.6"/>
    <s v="12824586"/>
    <s v="DASILVA FERNANDO"/>
    <n v="1"/>
    <x v="1"/>
    <x v="1"/>
    <s v="PLAQUETTES"/>
    <x v="1"/>
    <n v="50"/>
  </r>
  <r>
    <d v="2025-02-26T17:17:30"/>
    <x v="3"/>
    <s v="Plaquettes d'ébauches carrées"/>
    <s v="16340494"/>
    <s v="BRIMUSSE AURELIE"/>
    <n v="5"/>
    <x v="1"/>
    <x v="3"/>
    <s v="PLAQUETTES"/>
    <x v="3"/>
    <n v="39.799999999999997"/>
  </r>
  <r>
    <d v="2025-02-26T17:17:48"/>
    <x v="3"/>
    <s v="Plaquettes d'ébauches carrées"/>
    <s v="16340494"/>
    <s v="BRIMUSSE AURELIE"/>
    <n v="5"/>
    <x v="1"/>
    <x v="3"/>
    <s v="PLAQUETTES"/>
    <x v="3"/>
    <n v="39.799999999999997"/>
  </r>
  <r>
    <d v="2025-02-26T17:18:07"/>
    <x v="4"/>
    <s v="Plaquettes de gorges"/>
    <s v="16340494"/>
    <s v="BRIMUSSE AURELIE"/>
    <n v="10"/>
    <x v="0"/>
    <x v="0"/>
    <s v="PLAQUETTES"/>
    <x v="0"/>
    <n v="188"/>
  </r>
  <r>
    <d v="2025-02-27T00:28:38"/>
    <x v="2"/>
    <s v="Plaquettes de finition carrées"/>
    <s v="7236310"/>
    <s v="OZYURT IREM"/>
    <n v="5"/>
    <x v="1"/>
    <x v="2"/>
    <s v="PLAQUETTES"/>
    <x v="3"/>
    <n v="47.8"/>
  </r>
  <r>
    <d v="2025-02-27T03:20:38"/>
    <x v="3"/>
    <s v="Plaquettes d'ébauches carrées"/>
    <s v="090225"/>
    <s v="MEYER THOMAS"/>
    <n v="5"/>
    <x v="0"/>
    <x v="3"/>
    <s v="PLAQUETTES"/>
    <x v="0"/>
    <n v="39.799999999999997"/>
  </r>
  <r>
    <d v="2025-02-27T03:21:10"/>
    <x v="4"/>
    <s v="Plaquettes de gorges"/>
    <s v="090225"/>
    <s v="MEYER THOMAS"/>
    <n v="10"/>
    <x v="0"/>
    <x v="0"/>
    <s v="PLAQUETTES"/>
    <x v="0"/>
    <n v="188"/>
  </r>
  <r>
    <d v="2025-02-27T06:04:51"/>
    <x v="3"/>
    <s v="Plaquettes d'ébauches carrées"/>
    <s v="31224"/>
    <s v="BIDOT MURIEL"/>
    <n v="5"/>
    <x v="0"/>
    <x v="3"/>
    <s v="PLAQUETTES"/>
    <x v="0"/>
    <n v="39.799999999999997"/>
  </r>
  <r>
    <d v="2025-02-27T06:05:09"/>
    <x v="3"/>
    <s v="Plaquettes d'ébauches carrées"/>
    <s v="31224"/>
    <s v="BIDOT MURIEL"/>
    <n v="5"/>
    <x v="0"/>
    <x v="3"/>
    <s v="PLAQUETTES"/>
    <x v="0"/>
    <n v="39.799999999999997"/>
  </r>
  <r>
    <d v="2025-02-27T06:05:33"/>
    <x v="0"/>
    <s v="Plaquettes d'ébauches rhombiques"/>
    <s v="31224"/>
    <s v="BIDOT MURIEL"/>
    <n v="5"/>
    <x v="0"/>
    <x v="0"/>
    <s v="PLAQUETTES"/>
    <x v="0"/>
    <n v="39.799999999999997"/>
  </r>
  <r>
    <d v="2025-02-27T06:05:50"/>
    <x v="0"/>
    <s v="Plaquettes d'ébauches rhombiques"/>
    <s v="31224"/>
    <s v="BIDOT MURIEL"/>
    <n v="5"/>
    <x v="0"/>
    <x v="0"/>
    <s v="PLAQUETTES"/>
    <x v="0"/>
    <n v="39.799999999999997"/>
  </r>
  <r>
    <d v="2025-02-27T06:06:08"/>
    <x v="2"/>
    <s v="Plaquettes de finition carrées"/>
    <s v="31224"/>
    <s v="BIDOT MURIEL"/>
    <n v="5"/>
    <x v="0"/>
    <x v="2"/>
    <s v="PLAQUETTES"/>
    <x v="0"/>
    <n v="47.8"/>
  </r>
  <r>
    <d v="2025-02-27T06:06:22"/>
    <x v="2"/>
    <s v="Plaquettes de finition carrées"/>
    <s v="31224"/>
    <s v="BIDOT MURIEL"/>
    <n v="5"/>
    <x v="0"/>
    <x v="2"/>
    <s v="PLAQUETTES"/>
    <x v="0"/>
    <n v="47.8"/>
  </r>
  <r>
    <d v="2025-02-27T06:06:37"/>
    <x v="2"/>
    <s v="Plaquettes de finition carrées"/>
    <s v="31224"/>
    <s v="BIDOT MURIEL"/>
    <n v="5"/>
    <x v="0"/>
    <x v="2"/>
    <s v="PLAQUETTES"/>
    <x v="0"/>
    <n v="47.8"/>
  </r>
  <r>
    <d v="2025-02-27T15:38:59"/>
    <x v="0"/>
    <s v="Plaquettes d'ébauches rhombiques"/>
    <s v="SF51433"/>
    <s v="BONTEMS COLINE"/>
    <n v="5"/>
    <x v="0"/>
    <x v="3"/>
    <s v="PLAQUETTES"/>
    <x v="3"/>
    <n v="39.799999999999997"/>
  </r>
  <r>
    <d v="2025-02-27T15:39:27"/>
    <x v="0"/>
    <s v="Plaquettes d'ébauches rhombiques"/>
    <s v="SF51433"/>
    <s v="BONTEMS COLINE"/>
    <n v="-5"/>
    <x v="0"/>
    <x v="3"/>
    <s v="PLAQUETTES"/>
    <x v="3"/>
    <n v="-39.799999999999997"/>
  </r>
  <r>
    <d v="2025-02-27T19:52:28"/>
    <x v="3"/>
    <s v="Plaquettes d'ébauches carrées"/>
    <s v="16340494"/>
    <s v="BRIMUSSE AURELIE"/>
    <n v="5"/>
    <x v="0"/>
    <x v="3"/>
    <s v="PLAQUETTES"/>
    <x v="3"/>
    <n v="39.799999999999997"/>
  </r>
  <r>
    <d v="2025-02-27T19:52:57"/>
    <x v="4"/>
    <s v="Plaquettes de gorges"/>
    <s v="16340494"/>
    <s v="BRIMUSSE AURELIE"/>
    <n v="10"/>
    <x v="0"/>
    <x v="0"/>
    <s v="PLAQUETTES"/>
    <x v="4"/>
    <n v="188"/>
  </r>
  <r>
    <d v="2025-02-27T19:53:35"/>
    <x v="6"/>
    <s v="Plaquettes de finition triangulaires"/>
    <s v="16340494"/>
    <s v="BRIMUSSE AURELIE"/>
    <n v="5"/>
    <x v="0"/>
    <x v="2"/>
    <s v="PLAQUETTES"/>
    <x v="3"/>
    <n v="48.7"/>
  </r>
  <r>
    <d v="2025-02-28T05:50:26"/>
    <x v="3"/>
    <s v="Plaquettes d'ébauches carrées"/>
    <s v="10301115"/>
    <s v="BOUCHART LUDOVIC"/>
    <n v="5"/>
    <x v="1"/>
    <x v="3"/>
    <s v="PLAQUETTES"/>
    <x v="3"/>
    <n v="39.799999999999997"/>
  </r>
  <r>
    <d v="2025-02-28T05:50:38"/>
    <x v="0"/>
    <s v="Plaquettes d'ébauches rhombiques"/>
    <s v="10301115"/>
    <s v="BOUCHART LUDOVIC"/>
    <n v="5"/>
    <x v="1"/>
    <x v="3"/>
    <s v="PLAQUETTES"/>
    <x v="3"/>
    <n v="39.799999999999997"/>
  </r>
  <r>
    <d v="2025-02-28T05:51:00"/>
    <x v="5"/>
    <s v="Plaquettes de finition"/>
    <s v="10301115"/>
    <s v="BOUCHART LUDOVIC"/>
    <n v="5"/>
    <x v="1"/>
    <x v="2"/>
    <s v="PLAQUETTES"/>
    <x v="3"/>
    <n v="42.5"/>
  </r>
  <r>
    <d v="2025-02-28T05:51:15"/>
    <x v="8"/>
    <s v="Plaquettes d'ébauches rhombiques"/>
    <s v="10301115"/>
    <s v="BOUCHART LUDOVIC"/>
    <n v="10"/>
    <x v="1"/>
    <x v="3"/>
    <s v="PLAQUETTES"/>
    <x v="3"/>
    <n v="70"/>
  </r>
  <r>
    <d v="2025-02-28T05:51:31"/>
    <x v="3"/>
    <s v="Plaquettes d'ébauches carrées"/>
    <s v="10301115"/>
    <s v="BOUCHART LUDOVIC"/>
    <n v="5"/>
    <x v="1"/>
    <x v="0"/>
    <s v="PLAQUETTES"/>
    <x v="3"/>
    <n v="39.799999999999997"/>
  </r>
  <r>
    <d v="2025-02-28T05:51:47"/>
    <x v="0"/>
    <s v="Plaquettes d'ébauches rhombiques"/>
    <s v="10301115"/>
    <s v="BOUCHART LUDOVIC"/>
    <n v="5"/>
    <x v="1"/>
    <x v="0"/>
    <s v="PLAQUETTES"/>
    <x v="3"/>
    <n v="39.799999999999997"/>
  </r>
  <r>
    <d v="2025-02-28T05:52:03"/>
    <x v="6"/>
    <s v="Plaquettes de finition triangulaires"/>
    <s v="10301115"/>
    <s v="BOUCHART LUDOVIC"/>
    <n v="5"/>
    <x v="1"/>
    <x v="2"/>
    <s v="PLAQUETTES"/>
    <x v="3"/>
    <n v="48.7"/>
  </r>
  <r>
    <d v="2025-02-28T05:52:18"/>
    <x v="2"/>
    <s v="Plaquettes de finition carrées"/>
    <s v="10301115"/>
    <s v="BOUCHART LUDOVIC"/>
    <n v="5"/>
    <x v="1"/>
    <x v="2"/>
    <s v="PLAQUETTES"/>
    <x v="3"/>
    <n v="47.8"/>
  </r>
  <r>
    <d v="2025-02-28T08:00:22"/>
    <x v="11"/>
    <s v="Plaquettes finition positives"/>
    <s v="1234SECOURS"/>
    <s v="SECOURS"/>
    <n v="10"/>
    <x v="1"/>
    <x v="2"/>
    <s v="PLAQUETTES"/>
    <x v="3"/>
    <n v="95.6"/>
  </r>
  <r>
    <d v="2025-02-28T22:03:47"/>
    <x v="3"/>
    <s v="Plaquettes d'ébauches carrées"/>
    <s v="090225"/>
    <s v="MEYER THOMAS"/>
    <n v="5"/>
    <x v="0"/>
    <x v="3"/>
    <s v="PLAQUETTES"/>
    <x v="4"/>
    <n v="39.799999999999997"/>
  </r>
  <r>
    <d v="2025-02-28T22:04:14"/>
    <x v="0"/>
    <s v="Plaquettes d'ébauches rhombiques"/>
    <s v="090225"/>
    <s v="MEYER THOMAS"/>
    <n v="5"/>
    <x v="0"/>
    <x v="0"/>
    <s v="PLAQUETTES"/>
    <x v="4"/>
    <n v="39.799999999999997"/>
  </r>
  <r>
    <d v="2025-02-28T22:04:43"/>
    <x v="3"/>
    <s v="Plaquettes d'ébauches carrées"/>
    <s v="090225"/>
    <s v="MEYER THOMAS"/>
    <n v="5"/>
    <x v="0"/>
    <x v="3"/>
    <s v="PLAQUETTES"/>
    <x v="4"/>
    <n v="39.799999999999997"/>
  </r>
  <r>
    <d v="2025-02-28T22:08:25"/>
    <x v="4"/>
    <s v="Plaquettes de gorges"/>
    <s v="090225"/>
    <s v="MEYER THOMAS"/>
    <n v="10"/>
    <x v="0"/>
    <x v="0"/>
    <s v="PLAQUETTES"/>
    <x v="4"/>
    <n v="188"/>
  </r>
  <r>
    <d v="2025-03-01T00:15:02"/>
    <x v="11"/>
    <s v="Plaquettes finition positives"/>
    <s v="7236310"/>
    <s v="OZYURT IREM"/>
    <n v="10"/>
    <x v="1"/>
    <x v="2"/>
    <s v="PLAQUETTES"/>
    <x v="3"/>
    <n v="95.6"/>
  </r>
  <r>
    <d v="2025-03-01T05:35:20"/>
    <x v="3"/>
    <s v="Plaquettes d'ébauches carrées"/>
    <s v="10301115"/>
    <s v="BOUCHART LUDOVIC"/>
    <n v="5"/>
    <x v="0"/>
    <x v="3"/>
    <s v="PLAQUETTES"/>
    <x v="4"/>
    <n v="39.799999999999997"/>
  </r>
  <r>
    <d v="2025-03-01T05:35:35"/>
    <x v="0"/>
    <s v="Plaquettes d'ébauches rhombiques"/>
    <s v="10301115"/>
    <s v="BOUCHART LUDOVIC"/>
    <n v="5"/>
    <x v="0"/>
    <x v="3"/>
    <s v="PLAQUETTES"/>
    <x v="4"/>
    <n v="39.799999999999997"/>
  </r>
  <r>
    <d v="2025-03-01T05:35:51"/>
    <x v="4"/>
    <s v="Plaquettes de gorges"/>
    <s v="10301115"/>
    <s v="BOUCHART LUDOVIC"/>
    <n v="10"/>
    <x v="0"/>
    <x v="0"/>
    <s v="PLAQUETTES"/>
    <x v="4"/>
    <n v="188"/>
  </r>
  <r>
    <d v="2025-03-01T05:36:09"/>
    <x v="3"/>
    <s v="Plaquettes d'ébauches carrées"/>
    <s v="10301115"/>
    <s v="BOUCHART LUDOVIC"/>
    <n v="5"/>
    <x v="0"/>
    <x v="0"/>
    <s v="PLAQUETTES"/>
    <x v="4"/>
    <n v="39.799999999999997"/>
  </r>
  <r>
    <d v="2025-03-01T05:36:25"/>
    <x v="0"/>
    <s v="Plaquettes d'ébauches rhombiques"/>
    <s v="10301115"/>
    <s v="BOUCHART LUDOVIC"/>
    <n v="5"/>
    <x v="0"/>
    <x v="0"/>
    <s v="PLAQUETTES"/>
    <x v="4"/>
    <n v="39.799999999999997"/>
  </r>
  <r>
    <d v="2025-03-01T05:36:41"/>
    <x v="2"/>
    <s v="Plaquettes de finition carrées"/>
    <s v="10301115"/>
    <s v="BOUCHART LUDOVIC"/>
    <n v="5"/>
    <x v="0"/>
    <x v="2"/>
    <s v="PLAQUETTES"/>
    <x v="4"/>
    <n v="47.8"/>
  </r>
  <r>
    <d v="2025-03-01T05:36:58"/>
    <x v="3"/>
    <s v="Plaquettes d'ébauches carrées"/>
    <s v="10301115"/>
    <s v="BOUCHART LUDOVIC"/>
    <n v="5"/>
    <x v="1"/>
    <x v="3"/>
    <s v="PLAQUETTES"/>
    <x v="3"/>
    <n v="39.799999999999997"/>
  </r>
  <r>
    <d v="2025-03-01T05:37:12"/>
    <x v="0"/>
    <s v="Plaquettes d'ébauches rhombiques"/>
    <s v="10301115"/>
    <s v="BOUCHART LUDOVIC"/>
    <n v="5"/>
    <x v="1"/>
    <x v="3"/>
    <s v="PLAQUETTES"/>
    <x v="3"/>
    <n v="39.799999999999997"/>
  </r>
  <r>
    <d v="2025-03-01T05:37:34"/>
    <x v="8"/>
    <s v="Plaquettes d'ébauches rhombiques"/>
    <s v="10301115"/>
    <s v="BOUCHART LUDOVIC"/>
    <n v="10"/>
    <x v="1"/>
    <x v="3"/>
    <s v="PLAQUETTES"/>
    <x v="3"/>
    <n v="70"/>
  </r>
  <r>
    <d v="2025-03-01T05:37:57"/>
    <x v="8"/>
    <s v="Plaquettes d'ébauches rhombiques"/>
    <s v="10301115"/>
    <s v="BOUCHART LUDOVIC"/>
    <n v="10"/>
    <x v="1"/>
    <x v="3"/>
    <s v="PLAQUETTES"/>
    <x v="3"/>
    <n v="70"/>
  </r>
  <r>
    <d v="2025-03-01T05:38:29"/>
    <x v="3"/>
    <s v="Plaquettes d'ébauches carrées"/>
    <s v="10301115"/>
    <s v="BOUCHART LUDOVIC"/>
    <n v="5"/>
    <x v="1"/>
    <x v="0"/>
    <s v="PLAQUETTES"/>
    <x v="3"/>
    <n v="39.799999999999997"/>
  </r>
  <r>
    <d v="2025-03-01T05:38:44"/>
    <x v="0"/>
    <s v="Plaquettes d'ébauches rhombiques"/>
    <s v="10301115"/>
    <s v="BOUCHART LUDOVIC"/>
    <n v="5"/>
    <x v="1"/>
    <x v="0"/>
    <s v="PLAQUETTES"/>
    <x v="3"/>
    <n v="39.799999999999997"/>
  </r>
  <r>
    <d v="2025-03-01T05:39:20"/>
    <x v="11"/>
    <s v="Plaquettes finition positives"/>
    <s v="10301115"/>
    <s v="BOUCHART LUDOVIC"/>
    <n v="10"/>
    <x v="1"/>
    <x v="2"/>
    <s v="PLAQUETTES"/>
    <x v="3"/>
    <n v="95.6"/>
  </r>
  <r>
    <d v="2025-03-02T17:49:56"/>
    <x v="3"/>
    <s v="Plaquettes d'ébauches carrées"/>
    <s v="10301115"/>
    <s v="BOUCHART LUDOVIC"/>
    <n v="5"/>
    <x v="0"/>
    <x v="3"/>
    <s v="PLAQUETTES"/>
    <x v="4"/>
    <n v="39.799999999999997"/>
  </r>
  <r>
    <d v="2025-03-02T17:50:09"/>
    <x v="0"/>
    <s v="Plaquettes d'ébauches rhombiques"/>
    <s v="10301115"/>
    <s v="BOUCHART LUDOVIC"/>
    <n v="5"/>
    <x v="0"/>
    <x v="3"/>
    <s v="PLAQUETTES"/>
    <x v="4"/>
    <n v="39.799999999999997"/>
  </r>
  <r>
    <d v="2025-03-02T17:50:25"/>
    <x v="4"/>
    <s v="Plaquettes de gorges"/>
    <s v="10301115"/>
    <s v="BOUCHART LUDOVIC"/>
    <n v="10"/>
    <x v="0"/>
    <x v="0"/>
    <s v="PLAQUETTES"/>
    <x v="4"/>
    <n v="188"/>
  </r>
  <r>
    <d v="2025-03-02T17:50:40"/>
    <x v="3"/>
    <s v="Plaquettes d'ébauches carrées"/>
    <s v="10301115"/>
    <s v="BOUCHART LUDOVIC"/>
    <n v="5"/>
    <x v="0"/>
    <x v="0"/>
    <s v="PLAQUETTES"/>
    <x v="4"/>
    <n v="39.799999999999997"/>
  </r>
  <r>
    <d v="2025-03-02T17:50:57"/>
    <x v="0"/>
    <s v="Plaquettes d'ébauches rhombiques"/>
    <s v="10301115"/>
    <s v="BOUCHART LUDOVIC"/>
    <n v="5"/>
    <x v="0"/>
    <x v="0"/>
    <s v="PLAQUETTES"/>
    <x v="4"/>
    <n v="39.799999999999997"/>
  </r>
  <r>
    <d v="2025-03-02T17:51:15"/>
    <x v="3"/>
    <s v="Plaquettes d'ébauches carrées"/>
    <s v="10301115"/>
    <s v="BOUCHART LUDOVIC"/>
    <n v="5"/>
    <x v="1"/>
    <x v="3"/>
    <s v="PLAQUETTES"/>
    <x v="3"/>
    <n v="39.799999999999997"/>
  </r>
  <r>
    <d v="2025-03-02T17:51:28"/>
    <x v="0"/>
    <s v="Plaquettes d'ébauches rhombiques"/>
    <s v="10301115"/>
    <s v="BOUCHART LUDOVIC"/>
    <n v="5"/>
    <x v="1"/>
    <x v="3"/>
    <s v="PLAQUETTES"/>
    <x v="3"/>
    <n v="39.799999999999997"/>
  </r>
  <r>
    <d v="2025-03-02T17:51:43"/>
    <x v="3"/>
    <s v="Plaquettes d'ébauches carrées"/>
    <s v="10301115"/>
    <s v="BOUCHART LUDOVIC"/>
    <n v="5"/>
    <x v="1"/>
    <x v="0"/>
    <s v="PLAQUETTES"/>
    <x v="3"/>
    <n v="39.799999999999997"/>
  </r>
  <r>
    <d v="2025-03-02T17:51:57"/>
    <x v="0"/>
    <s v="Plaquettes d'ébauches rhombiques"/>
    <s v="10301115"/>
    <s v="BOUCHART LUDOVIC"/>
    <n v="5"/>
    <x v="1"/>
    <x v="0"/>
    <s v="PLAQUETTES"/>
    <x v="3"/>
    <n v="39.799999999999997"/>
  </r>
  <r>
    <d v="2025-03-02T21:39:45"/>
    <x v="11"/>
    <s v="Plaquettes finition positives"/>
    <s v="U509351"/>
    <s v="DELIAT CHRISTOPHE"/>
    <n v="10"/>
    <x v="1"/>
    <x v="2"/>
    <s v="PLAQUETTES"/>
    <x v="3"/>
    <n v="95.6"/>
  </r>
  <r>
    <d v="2025-03-02T21:40:14"/>
    <x v="6"/>
    <s v="Plaquettes de finition triangulaires"/>
    <s v="U509351"/>
    <s v="DELIAT CHRISTOPHE"/>
    <n v="5"/>
    <x v="0"/>
    <x v="2"/>
    <s v="PLAQUETTES"/>
    <x v="3"/>
    <n v="48.7"/>
  </r>
  <r>
    <d v="2025-03-02T21:40:57"/>
    <x v="2"/>
    <s v="Plaquettes de finition carrées"/>
    <s v="U509351"/>
    <s v="DELIAT CHRISTOPHE"/>
    <n v="5"/>
    <x v="0"/>
    <x v="2"/>
    <s v="PLAQUETTES"/>
    <x v="4"/>
    <n v="47.8"/>
  </r>
  <r>
    <d v="2025-03-03T07:58:24"/>
    <x v="11"/>
    <s v="Plaquettes finition positives"/>
    <s v="16340494"/>
    <s v="BRIMUSSE AURELIE"/>
    <n v="10"/>
    <x v="1"/>
    <x v="2"/>
    <s v="PLAQUETTES"/>
    <x v="3"/>
    <n v="95.6"/>
  </r>
  <r>
    <d v="2025-03-03T11:19:33"/>
    <x v="7"/>
    <s v="Plaquettes VCGT21A52 SP4019"/>
    <s v="12824586"/>
    <s v="DASILVA FERNANDO"/>
    <n v="5"/>
    <x v="0"/>
    <x v="1"/>
    <s v="PLAQUETTES"/>
    <x v="1"/>
    <n v="60.9"/>
  </r>
  <r>
    <d v="2025-03-03T21:34:31"/>
    <x v="3"/>
    <s v="Plaquettes d'ébauches carrées"/>
    <s v="31224"/>
    <s v="BIDOT MURIEL"/>
    <n v="5"/>
    <x v="0"/>
    <x v="3"/>
    <s v="PLAQUETTES"/>
    <x v="4"/>
    <n v="39.799999999999997"/>
  </r>
  <r>
    <d v="2025-03-03T21:34:51"/>
    <x v="3"/>
    <s v="Plaquettes d'ébauches carrées"/>
    <s v="31224"/>
    <s v="BIDOT MURIEL"/>
    <n v="5"/>
    <x v="0"/>
    <x v="3"/>
    <s v="PLAQUETTES"/>
    <x v="4"/>
    <n v="39.799999999999997"/>
  </r>
  <r>
    <d v="2025-03-03T21:35:12"/>
    <x v="3"/>
    <s v="Plaquettes d'ébauches carrées"/>
    <s v="31224"/>
    <s v="BIDOT MURIEL"/>
    <n v="5"/>
    <x v="0"/>
    <x v="0"/>
    <s v="PLAQUETTES"/>
    <x v="4"/>
    <n v="39.799999999999997"/>
  </r>
  <r>
    <d v="2025-03-03T21:35:26"/>
    <x v="2"/>
    <s v="Plaquettes de finition carrées"/>
    <s v="31224"/>
    <s v="BIDOT MURIEL"/>
    <n v="5"/>
    <x v="0"/>
    <x v="2"/>
    <s v="PLAQUETTES"/>
    <x v="4"/>
    <n v="47.8"/>
  </r>
  <r>
    <d v="2025-03-03T21:35:43"/>
    <x v="2"/>
    <s v="Plaquettes de finition carrées"/>
    <s v="31224"/>
    <s v="BIDOT MURIEL"/>
    <n v="5"/>
    <x v="0"/>
    <x v="2"/>
    <s v="PLAQUETTES"/>
    <x v="4"/>
    <n v="47.8"/>
  </r>
  <r>
    <d v="2025-03-03T21:35:57"/>
    <x v="2"/>
    <s v="Plaquettes de finition carrées"/>
    <s v="31224"/>
    <s v="BIDOT MURIEL"/>
    <n v="5"/>
    <x v="0"/>
    <x v="2"/>
    <s v="PLAQUETTES"/>
    <x v="4"/>
    <n v="47.8"/>
  </r>
  <r>
    <d v="2025-03-04T02:10:17"/>
    <x v="11"/>
    <s v="Plaquettes finition positives"/>
    <s v="SC99878"/>
    <s v="GONIN VINCENT"/>
    <n v="10"/>
    <x v="1"/>
    <x v="2"/>
    <s v="PLAQUETTES"/>
    <x v="3"/>
    <n v="95.6"/>
  </r>
  <r>
    <d v="2025-03-04T06:01:54"/>
    <x v="3"/>
    <s v="Plaquettes d'ébauches carrées"/>
    <s v="16340494"/>
    <s v="BRIMUSSE AURELIE"/>
    <n v="5"/>
    <x v="1"/>
    <x v="3"/>
    <s v="PLAQUETTES"/>
    <x v="3"/>
    <n v="39.799999999999997"/>
  </r>
  <r>
    <d v="2025-03-04T06:02:11"/>
    <x v="0"/>
    <s v="Plaquettes d'ébauches rhombiques"/>
    <s v="16340494"/>
    <s v="BRIMUSSE AURELIE"/>
    <n v="5"/>
    <x v="1"/>
    <x v="3"/>
    <s v="PLAQUETTES"/>
    <x v="3"/>
    <n v="39.799999999999997"/>
  </r>
  <r>
    <d v="2025-03-04T06:02:26"/>
    <x v="3"/>
    <s v="Plaquettes d'ébauches carrées"/>
    <s v="16340494"/>
    <s v="BRIMUSSE AURELIE"/>
    <n v="5"/>
    <x v="1"/>
    <x v="0"/>
    <s v="PLAQUETTES"/>
    <x v="3"/>
    <n v="39.799999999999997"/>
  </r>
  <r>
    <d v="2025-03-04T06:02:38"/>
    <x v="0"/>
    <s v="Plaquettes d'ébauches rhombiques"/>
    <s v="16340494"/>
    <s v="BRIMUSSE AURELIE"/>
    <n v="5"/>
    <x v="1"/>
    <x v="0"/>
    <s v="PLAQUETTES"/>
    <x v="3"/>
    <n v="39.799999999999997"/>
  </r>
  <r>
    <d v="2025-03-04T08:14:58"/>
    <x v="11"/>
    <s v="Plaquettes finition positives"/>
    <s v="16340494"/>
    <s v="BRIMUSSE AURELIE"/>
    <n v="10"/>
    <x v="1"/>
    <x v="2"/>
    <s v="PLAQUETTES"/>
    <x v="3"/>
    <n v="95.6"/>
  </r>
  <r>
    <d v="2025-03-04T08:15:11"/>
    <x v="6"/>
    <s v="Plaquettes de finition triangulaires"/>
    <s v="16340494"/>
    <s v="BRIMUSSE AURELIE"/>
    <n v="5"/>
    <x v="1"/>
    <x v="2"/>
    <s v="PLAQUETTES"/>
    <x v="3"/>
    <n v="48.7"/>
  </r>
  <r>
    <d v="2025-03-04T08:15:25"/>
    <x v="5"/>
    <s v="Plaquettes de finition"/>
    <s v="16340494"/>
    <s v="BRIMUSSE AURELIE"/>
    <n v="5"/>
    <x v="1"/>
    <x v="2"/>
    <s v="PLAQUETTES"/>
    <x v="3"/>
    <n v="42.5"/>
  </r>
  <r>
    <d v="2025-03-04T08:27:06"/>
    <x v="4"/>
    <s v="Plaquettes de gorges"/>
    <s v="SC95213"/>
    <s v="RABET PAULINE"/>
    <n v="10"/>
    <x v="0"/>
    <x v="0"/>
    <s v="PLAQUETTES"/>
    <x v="4"/>
    <n v="188"/>
  </r>
  <r>
    <d v="2025-03-04T17:45:32"/>
    <x v="3"/>
    <s v="Plaquettes d'ébauches carrées"/>
    <s v="090225"/>
    <s v="MEYER THOMAS"/>
    <n v="5"/>
    <x v="0"/>
    <x v="3"/>
    <s v="PLAQUETTES"/>
    <x v="4"/>
    <n v="39.799999999999997"/>
  </r>
  <r>
    <d v="2025-03-04T17:46:00"/>
    <x v="3"/>
    <s v="Plaquettes d'ébauches carrées"/>
    <s v="090225"/>
    <s v="MEYER THOMAS"/>
    <n v="5"/>
    <x v="0"/>
    <x v="3"/>
    <s v="PLAQUETTES"/>
    <x v="4"/>
    <n v="39.799999999999997"/>
  </r>
  <r>
    <d v="2025-03-04T17:46:32"/>
    <x v="3"/>
    <s v="Plaquettes d'ébauches carrées"/>
    <s v="090225"/>
    <s v="MEYER THOMAS"/>
    <n v="5"/>
    <x v="0"/>
    <x v="0"/>
    <s v="PLAQUETTES"/>
    <x v="4"/>
    <n v="39.799999999999997"/>
  </r>
  <r>
    <d v="2025-03-04T17:47:04"/>
    <x v="2"/>
    <s v="Plaquettes de finition carrées"/>
    <s v="7236310"/>
    <s v="OZYURT IREM"/>
    <n v="5"/>
    <x v="1"/>
    <x v="2"/>
    <s v="PLAQUETTES"/>
    <x v="2"/>
    <n v="47.8"/>
  </r>
  <r>
    <d v="2025-03-04T21:51:49"/>
    <x v="3"/>
    <s v="Plaquettes d'ébauches carrées"/>
    <s v="31224"/>
    <s v="BIDOT MURIEL"/>
    <n v="5"/>
    <x v="0"/>
    <x v="3"/>
    <s v="PLAQUETTES"/>
    <x v="0"/>
    <n v="39.799999999999997"/>
  </r>
  <r>
    <d v="2025-03-04T21:52:11"/>
    <x v="4"/>
    <s v="Plaquettes de gorges"/>
    <s v="31224"/>
    <s v="BIDOT MURIEL"/>
    <n v="10"/>
    <x v="0"/>
    <x v="0"/>
    <s v="PLAQUETTES"/>
    <x v="0"/>
    <n v="188"/>
  </r>
  <r>
    <d v="2025-03-04T21:52:33"/>
    <x v="4"/>
    <s v="Plaquettes de gorges"/>
    <s v="31224"/>
    <s v="BIDOT MURIEL"/>
    <n v="10"/>
    <x v="0"/>
    <x v="0"/>
    <s v="PLAQUETTES"/>
    <x v="0"/>
    <n v="188"/>
  </r>
  <r>
    <d v="2025-03-04T21:53:06"/>
    <x v="0"/>
    <s v="Plaquettes d'ébauches rhombiques"/>
    <s v="31224"/>
    <s v="BIDOT MURIEL"/>
    <n v="5"/>
    <x v="0"/>
    <x v="0"/>
    <s v="PLAQUETTES"/>
    <x v="0"/>
    <n v="39.799999999999997"/>
  </r>
  <r>
    <d v="2025-03-04T21:53:32"/>
    <x v="2"/>
    <s v="Plaquettes de finition carrées"/>
    <s v="31224"/>
    <s v="BIDOT MURIEL"/>
    <n v="5"/>
    <x v="0"/>
    <x v="2"/>
    <s v="PLAQUETTES"/>
    <x v="0"/>
    <n v="47.8"/>
  </r>
  <r>
    <d v="2025-03-04T21:53:49"/>
    <x v="2"/>
    <s v="Plaquettes de finition carrées"/>
    <s v="31224"/>
    <s v="BIDOT MURIEL"/>
    <n v="5"/>
    <x v="0"/>
    <x v="2"/>
    <s v="PLAQUETTES"/>
    <x v="0"/>
    <n v="47.8"/>
  </r>
  <r>
    <d v="2025-03-04T21:54:22"/>
    <x v="2"/>
    <s v="Plaquettes de finition carrées"/>
    <s v="31224"/>
    <s v="BIDOT MURIEL"/>
    <n v="5"/>
    <x v="0"/>
    <x v="2"/>
    <s v="PLAQUETTES"/>
    <x v="0"/>
    <n v="47.8"/>
  </r>
  <r>
    <d v="2025-03-04T21:55:21"/>
    <x v="2"/>
    <s v="Plaquettes de finition carrées"/>
    <s v="31224"/>
    <s v="BIDOT MURIEL"/>
    <n v="5"/>
    <x v="0"/>
    <x v="2"/>
    <s v="PLAQUETTES"/>
    <x v="0"/>
    <n v="47.8"/>
  </r>
  <r>
    <d v="2025-03-05T07:22:15"/>
    <x v="3"/>
    <s v="Plaquettes d'ébauches carrées"/>
    <s v="16340494"/>
    <s v="BRIMUSSE AURELIE"/>
    <n v="5"/>
    <x v="1"/>
    <x v="3"/>
    <s v="PLAQUETTES"/>
    <x v="2"/>
    <n v="39.799999999999997"/>
  </r>
  <r>
    <d v="2025-03-05T07:22:42"/>
    <x v="0"/>
    <s v="Plaquettes d'ébauches rhombiques"/>
    <s v="16340494"/>
    <s v="BRIMUSSE AURELIE"/>
    <n v="5"/>
    <x v="1"/>
    <x v="3"/>
    <s v="PLAQUETTES"/>
    <x v="2"/>
    <n v="39.799999999999997"/>
  </r>
  <r>
    <d v="2025-03-05T07:22:55"/>
    <x v="3"/>
    <s v="Plaquettes d'ébauches carrées"/>
    <s v="16340494"/>
    <s v="BRIMUSSE AURELIE"/>
    <n v="5"/>
    <x v="1"/>
    <x v="0"/>
    <s v="PLAQUETTES"/>
    <x v="2"/>
    <n v="39.799999999999997"/>
  </r>
  <r>
    <d v="2025-03-05T07:23:09"/>
    <x v="0"/>
    <s v="Plaquettes d'ébauches rhombiques"/>
    <s v="16340494"/>
    <s v="BRIMUSSE AURELIE"/>
    <n v="5"/>
    <x v="1"/>
    <x v="0"/>
    <s v="PLAQUETTES"/>
    <x v="2"/>
    <n v="39.799999999999997"/>
  </r>
  <r>
    <d v="2025-03-05T07:23:22"/>
    <x v="2"/>
    <s v="Plaquettes de finition carrées"/>
    <s v="16340494"/>
    <s v="BRIMUSSE AURELIE"/>
    <n v="5"/>
    <x v="1"/>
    <x v="2"/>
    <s v="PLAQUETTES"/>
    <x v="2"/>
    <n v="47.8"/>
  </r>
  <r>
    <d v="2025-03-05T13:59:25"/>
    <x v="7"/>
    <s v="Plaquettes VCGT21A52 SP4019"/>
    <s v="12824586"/>
    <s v="DASILVA FERNANDO"/>
    <n v="5"/>
    <x v="1"/>
    <x v="1"/>
    <s v="PLAQUETTES"/>
    <x v="1"/>
    <n v="60.9"/>
  </r>
  <r>
    <d v="2025-03-05T17:01:29"/>
    <x v="4"/>
    <s v="Plaquettes de gorges"/>
    <s v="090225"/>
    <s v="MEYER THOMAS"/>
    <n v="10"/>
    <x v="1"/>
    <x v="0"/>
    <s v="PLAQUETTES"/>
    <x v="2"/>
    <n v="188"/>
  </r>
  <r>
    <d v="2025-03-05T17:01:50"/>
    <x v="4"/>
    <s v="Plaquettes de gorges"/>
    <s v="090225"/>
    <s v="MEYER THOMAS"/>
    <n v="10"/>
    <x v="0"/>
    <x v="0"/>
    <s v="PLAQUETTES"/>
    <x v="0"/>
    <n v="188"/>
  </r>
  <r>
    <d v="2025-03-05T17:02:13"/>
    <x v="0"/>
    <s v="Plaquettes d'ébauches rhombiques"/>
    <s v="090225"/>
    <s v="MEYER THOMAS"/>
    <n v="5"/>
    <x v="0"/>
    <x v="0"/>
    <s v="PLAQUETTES"/>
    <x v="0"/>
    <n v="39.799999999999997"/>
  </r>
  <r>
    <d v="2025-03-05T17:02:41"/>
    <x v="3"/>
    <s v="Plaquettes d'ébauches carrées"/>
    <s v="090225"/>
    <s v="MEYER THOMAS"/>
    <n v="5"/>
    <x v="0"/>
    <x v="3"/>
    <s v="PLAQUETTES"/>
    <x v="0"/>
    <n v="39.799999999999997"/>
  </r>
  <r>
    <d v="2025-03-05T21:21:53"/>
    <x v="3"/>
    <s v="Plaquettes d'ébauches carrées"/>
    <s v="31224"/>
    <s v="BIDOT MURIEL"/>
    <n v="5"/>
    <x v="0"/>
    <x v="3"/>
    <s v="PLAQUETTES"/>
    <x v="0"/>
    <n v="39.799999999999997"/>
  </r>
  <r>
    <d v="2025-03-05T21:22:13"/>
    <x v="3"/>
    <s v="Plaquettes d'ébauches carrées"/>
    <s v="31224"/>
    <s v="BIDOT MURIEL"/>
    <n v="5"/>
    <x v="0"/>
    <x v="3"/>
    <s v="PLAQUETTES"/>
    <x v="0"/>
    <n v="39.799999999999997"/>
  </r>
  <r>
    <d v="2025-03-05T21:22:30"/>
    <x v="4"/>
    <s v="Plaquettes de gorges"/>
    <s v="31224"/>
    <s v="BIDOT MURIEL"/>
    <n v="10"/>
    <x v="0"/>
    <x v="0"/>
    <s v="PLAQUETTES"/>
    <x v="0"/>
    <n v="188"/>
  </r>
  <r>
    <d v="2025-03-05T21:22:52"/>
    <x v="0"/>
    <s v="Plaquettes d'ébauches rhombiques"/>
    <s v="31224"/>
    <s v="BIDOT MURIEL"/>
    <n v="5"/>
    <x v="0"/>
    <x v="0"/>
    <s v="PLAQUETTES"/>
    <x v="0"/>
    <n v="39.799999999999997"/>
  </r>
  <r>
    <d v="2025-03-05T21:23:13"/>
    <x v="2"/>
    <s v="Plaquettes de finition carrées"/>
    <s v="31224"/>
    <s v="BIDOT MURIEL"/>
    <n v="5"/>
    <x v="0"/>
    <x v="2"/>
    <s v="PLAQUETTES"/>
    <x v="0"/>
    <n v="47.8"/>
  </r>
  <r>
    <d v="2025-03-05T21:23:28"/>
    <x v="2"/>
    <s v="Plaquettes de finition carrées"/>
    <s v="31224"/>
    <s v="BIDOT MURIEL"/>
    <n v="5"/>
    <x v="0"/>
    <x v="2"/>
    <s v="PLAQUETTES"/>
    <x v="0"/>
    <n v="47.8"/>
  </r>
  <r>
    <d v="2025-03-06T05:15:18"/>
    <x v="2"/>
    <s v="Plaquettes de finition carrées"/>
    <s v="16340494"/>
    <s v="BRIMUSSE AURELIE"/>
    <n v="5"/>
    <x v="1"/>
    <x v="2"/>
    <s v="PLAQUETTES"/>
    <x v="2"/>
    <n v="47.8"/>
  </r>
  <r>
    <d v="2025-03-06T05:15:34"/>
    <x v="4"/>
    <s v="Plaquettes de gorges"/>
    <s v="16340494"/>
    <s v="BRIMUSSE AURELIE"/>
    <n v="10"/>
    <x v="1"/>
    <x v="0"/>
    <s v="PLAQUETTES"/>
    <x v="2"/>
    <n v="188"/>
  </r>
  <r>
    <d v="2025-03-06T05:15:53"/>
    <x v="3"/>
    <s v="Plaquettes d'ébauches carrées"/>
    <s v="16340494"/>
    <s v="BRIMUSSE AURELIE"/>
    <n v="5"/>
    <x v="1"/>
    <x v="3"/>
    <s v="PLAQUETTES"/>
    <x v="2"/>
    <n v="39.799999999999997"/>
  </r>
  <r>
    <d v="2025-03-06T05:16:14"/>
    <x v="0"/>
    <s v="Plaquettes d'ébauches rhombiques"/>
    <s v="16340494"/>
    <s v="BRIMUSSE AURELIE"/>
    <n v="5"/>
    <x v="1"/>
    <x v="3"/>
    <s v="PLAQUETTES"/>
    <x v="2"/>
    <n v="39.799999999999997"/>
  </r>
  <r>
    <d v="2025-03-06T19:38:09"/>
    <x v="3"/>
    <s v="Plaquettes d'ébauches carrées"/>
    <s v="090225"/>
    <s v="MEYER THOMAS"/>
    <n v="5"/>
    <x v="0"/>
    <x v="3"/>
    <s v="PLAQUETTES"/>
    <x v="0"/>
    <n v="39.799999999999997"/>
  </r>
  <r>
    <d v="2025-03-06T22:09:38"/>
    <x v="2"/>
    <s v="Plaquettes de finition carrées"/>
    <s v="31224"/>
    <s v="BIDOT MURIEL"/>
    <n v="5"/>
    <x v="0"/>
    <x v="2"/>
    <s v="PLAQUETTES"/>
    <x v="0"/>
    <n v="47.8"/>
  </r>
  <r>
    <d v="2025-03-06T22:09:53"/>
    <x v="2"/>
    <s v="Plaquettes de finition carrées"/>
    <s v="31224"/>
    <s v="BIDOT MURIEL"/>
    <n v="5"/>
    <x v="0"/>
    <x v="2"/>
    <s v="PLAQUETTES"/>
    <x v="0"/>
    <n v="47.8"/>
  </r>
  <r>
    <d v="2025-03-06T22:10:09"/>
    <x v="2"/>
    <s v="Plaquettes de finition carrées"/>
    <s v="31224"/>
    <s v="BIDOT MURIEL"/>
    <n v="5"/>
    <x v="0"/>
    <x v="2"/>
    <s v="PLAQUETTES"/>
    <x v="0"/>
    <n v="47.8"/>
  </r>
  <r>
    <d v="2025-03-06T22:10:27"/>
    <x v="3"/>
    <s v="Plaquettes d'ébauches carrées"/>
    <s v="31224"/>
    <s v="BIDOT MURIEL"/>
    <n v="5"/>
    <x v="0"/>
    <x v="3"/>
    <s v="PLAQUETTES"/>
    <x v="0"/>
    <n v="39.799999999999997"/>
  </r>
  <r>
    <d v="2025-03-06T22:11:12"/>
    <x v="0"/>
    <s v="Plaquettes d'ébauches rhombiques"/>
    <s v="31224"/>
    <s v="BIDOT MURIEL"/>
    <n v="5"/>
    <x v="0"/>
    <x v="3"/>
    <s v="PLAQUETTES"/>
    <x v="0"/>
    <n v="39.799999999999997"/>
  </r>
  <r>
    <d v="2025-03-06T22:11:33"/>
    <x v="0"/>
    <s v="Plaquettes d'ébauches rhombiques"/>
    <s v="31224"/>
    <s v="BIDOT MURIEL"/>
    <n v="5"/>
    <x v="0"/>
    <x v="3"/>
    <s v="PLAQUETTES"/>
    <x v="0"/>
    <n v="39.799999999999997"/>
  </r>
  <r>
    <d v="2025-03-06T22:11:50"/>
    <x v="0"/>
    <s v="Plaquettes d'ébauches rhombiques"/>
    <s v="31224"/>
    <s v="BIDOT MURIEL"/>
    <n v="5"/>
    <x v="0"/>
    <x v="3"/>
    <s v="PLAQUETTES"/>
    <x v="0"/>
    <n v="39.799999999999997"/>
  </r>
  <r>
    <d v="2025-03-06T22:12:12"/>
    <x v="4"/>
    <s v="Plaquettes de gorges"/>
    <s v="31224"/>
    <s v="BIDOT MURIEL"/>
    <n v="10"/>
    <x v="0"/>
    <x v="0"/>
    <s v="PLAQUETTES"/>
    <x v="0"/>
    <n v="188"/>
  </r>
  <r>
    <d v="2025-03-07T06:00:40"/>
    <x v="3"/>
    <s v="Plaquettes d'ébauches carrées"/>
    <s v="10301115"/>
    <s v="BOUCHART LUDOVIC"/>
    <n v="5"/>
    <x v="0"/>
    <x v="3"/>
    <s v="PLAQUETTES"/>
    <x v="0"/>
    <n v="39.799999999999997"/>
  </r>
  <r>
    <d v="2025-03-07T06:00:58"/>
    <x v="0"/>
    <s v="Plaquettes d'ébauches rhombiques"/>
    <s v="10301115"/>
    <s v="BOUCHART LUDOVIC"/>
    <n v="5"/>
    <x v="0"/>
    <x v="3"/>
    <s v="PLAQUETTES"/>
    <x v="0"/>
    <n v="39.799999999999997"/>
  </r>
  <r>
    <d v="2025-03-07T06:01:23"/>
    <x v="4"/>
    <s v="Plaquettes de gorges"/>
    <s v="10301115"/>
    <s v="BOUCHART LUDOVIC"/>
    <n v="10"/>
    <x v="0"/>
    <x v="0"/>
    <s v="PLAQUETTES"/>
    <x v="0"/>
    <n v="188"/>
  </r>
  <r>
    <d v="2025-03-07T06:01:57"/>
    <x v="3"/>
    <s v="Plaquettes d'ébauches carrées"/>
    <s v="10301115"/>
    <s v="BOUCHART LUDOVIC"/>
    <n v="5"/>
    <x v="0"/>
    <x v="0"/>
    <s v="PLAQUETTES"/>
    <x v="0"/>
    <n v="39.799999999999997"/>
  </r>
  <r>
    <d v="2025-03-07T06:02:12"/>
    <x v="0"/>
    <s v="Plaquettes d'ébauches rhombiques"/>
    <s v="10301115"/>
    <s v="BOUCHART LUDOVIC"/>
    <n v="5"/>
    <x v="0"/>
    <x v="0"/>
    <s v="PLAQUETTES"/>
    <x v="0"/>
    <n v="39.799999999999997"/>
  </r>
  <r>
    <d v="2025-03-07T06:02:34"/>
    <x v="3"/>
    <s v="Plaquettes d'ébauches carrées"/>
    <s v="10301115"/>
    <s v="BOUCHART LUDOVIC"/>
    <n v="5"/>
    <x v="1"/>
    <x v="3"/>
    <s v="PLAQUETTES"/>
    <x v="2"/>
    <n v="39.799999999999997"/>
  </r>
  <r>
    <d v="2025-03-07T06:02:52"/>
    <x v="0"/>
    <s v="Plaquettes d'ébauches rhombiques"/>
    <s v="10301115"/>
    <s v="BOUCHART LUDOVIC"/>
    <n v="5"/>
    <x v="1"/>
    <x v="3"/>
    <s v="PLAQUETTES"/>
    <x v="2"/>
    <n v="39.799999999999997"/>
  </r>
  <r>
    <d v="2025-03-07T06:03:10"/>
    <x v="4"/>
    <s v="Plaquettes de gorges"/>
    <s v="10301115"/>
    <s v="BOUCHART LUDOVIC"/>
    <n v="10"/>
    <x v="1"/>
    <x v="0"/>
    <s v="PLAQUETTES"/>
    <x v="2"/>
    <n v="188"/>
  </r>
  <r>
    <d v="2025-03-07T06:03:30"/>
    <x v="3"/>
    <s v="Plaquettes d'ébauches carrées"/>
    <s v="10301115"/>
    <s v="BOUCHART LUDOVIC"/>
    <n v="5"/>
    <x v="1"/>
    <x v="0"/>
    <s v="PLAQUETTES"/>
    <x v="2"/>
    <n v="39.799999999999997"/>
  </r>
  <r>
    <d v="2025-03-07T06:03:47"/>
    <x v="0"/>
    <s v="Plaquettes d'ébauches rhombiques"/>
    <s v="10301115"/>
    <s v="BOUCHART LUDOVIC"/>
    <n v="5"/>
    <x v="1"/>
    <x v="0"/>
    <s v="PLAQUETTES"/>
    <x v="2"/>
    <n v="39.799999999999997"/>
  </r>
  <r>
    <d v="2025-03-07T06:15:25"/>
    <x v="2"/>
    <s v="Plaquettes de finition carrées"/>
    <s v="U509351"/>
    <s v="DELIAT CHRISTOPHE"/>
    <n v="5"/>
    <x v="1"/>
    <x v="2"/>
    <s v="PLAQUETTES"/>
    <x v="2"/>
    <n v="47.8"/>
  </r>
  <r>
    <d v="2025-03-07T22:35:20"/>
    <x v="2"/>
    <s v="Plaquettes de finition carrées"/>
    <s v="31224"/>
    <s v="BIDOT MURIEL"/>
    <n v="5"/>
    <x v="0"/>
    <x v="2"/>
    <s v="PLAQUETTES"/>
    <x v="0"/>
    <n v="47.8"/>
  </r>
  <r>
    <d v="2025-03-07T22:35:36"/>
    <x v="2"/>
    <s v="Plaquettes de finition carrées"/>
    <s v="31224"/>
    <s v="BIDOT MURIEL"/>
    <n v="5"/>
    <x v="0"/>
    <x v="2"/>
    <s v="PLAQUETTES"/>
    <x v="0"/>
    <n v="47.8"/>
  </r>
  <r>
    <d v="2025-03-07T22:35:59"/>
    <x v="2"/>
    <s v="Plaquettes de finition carrées"/>
    <s v="31224"/>
    <s v="BIDOT MURIEL"/>
    <n v="5"/>
    <x v="0"/>
    <x v="2"/>
    <s v="PLAQUETTES"/>
    <x v="0"/>
    <n v="47.8"/>
  </r>
  <r>
    <d v="2025-03-07T22:36:20"/>
    <x v="3"/>
    <s v="Plaquettes d'ébauches carrées"/>
    <s v="31224"/>
    <s v="BIDOT MURIEL"/>
    <n v="5"/>
    <x v="0"/>
    <x v="0"/>
    <s v="PLAQUETTES"/>
    <x v="0"/>
    <n v="39.799999999999997"/>
  </r>
  <r>
    <d v="2025-03-07T22:36:43"/>
    <x v="3"/>
    <s v="Plaquettes d'ébauches carrées"/>
    <s v="31224"/>
    <s v="BIDOT MURIEL"/>
    <n v="5"/>
    <x v="0"/>
    <x v="3"/>
    <s v="PLAQUETTES"/>
    <x v="0"/>
    <n v="39.799999999999997"/>
  </r>
  <r>
    <d v="2025-03-08T05:34:06"/>
    <x v="4"/>
    <s v="Plaquettes de gorges"/>
    <s v="U509351"/>
    <s v="DELIAT CHRISTOPHE"/>
    <n v="10"/>
    <x v="1"/>
    <x v="0"/>
    <s v="PLAQUETTES"/>
    <x v="2"/>
    <n v="188"/>
  </r>
  <r>
    <d v="2025-03-08T05:34:39"/>
    <x v="3"/>
    <s v="Plaquettes d'ébauches carrées"/>
    <s v="U509351"/>
    <s v="DELIAT CHRISTOPHE"/>
    <n v="5"/>
    <x v="1"/>
    <x v="0"/>
    <s v="PLAQUETTES"/>
    <x v="2"/>
    <n v="39.799999999999997"/>
  </r>
  <r>
    <d v="2025-03-09T18:21:01"/>
    <x v="2"/>
    <s v="Plaquettes de finition carrées"/>
    <s v="U509351"/>
    <s v="DELIAT CHRISTOPHE"/>
    <n v="5"/>
    <x v="0"/>
    <x v="2"/>
    <s v="PLAQUETTES"/>
    <x v="0"/>
    <n v="47.8"/>
  </r>
  <r>
    <d v="2025-03-09T18:21:15"/>
    <x v="4"/>
    <s v="Plaquettes de gorges"/>
    <s v="U509351"/>
    <s v="DELIAT CHRISTOPHE"/>
    <n v="10"/>
    <x v="0"/>
    <x v="0"/>
    <s v="PLAQUETTES"/>
    <x v="0"/>
    <n v="188"/>
  </r>
  <r>
    <d v="2025-03-09T18:56:26"/>
    <x v="0"/>
    <s v="Plaquettes d'ébauches rhombiques"/>
    <s v="SD75051"/>
    <s v="COMBALUZIER LUCAS"/>
    <n v="5"/>
    <x v="1"/>
    <x v="3"/>
    <s v="PLAQUETTES"/>
    <x v="2"/>
    <n v="39.799999999999997"/>
  </r>
  <r>
    <d v="2025-03-09T18:56:47"/>
    <x v="0"/>
    <s v="Plaquettes d'ébauches rhombiques"/>
    <s v="SD75051"/>
    <s v="COMBALUZIER LUCAS"/>
    <n v="5"/>
    <x v="1"/>
    <x v="3"/>
    <s v="PLAQUETTES"/>
    <x v="2"/>
    <n v="39.799999999999997"/>
  </r>
  <r>
    <d v="2025-03-09T18:57:05"/>
    <x v="4"/>
    <s v="Plaquettes de gorges"/>
    <s v="SD75051"/>
    <s v="COMBALUZIER LUCAS"/>
    <n v="10"/>
    <x v="1"/>
    <x v="0"/>
    <s v="PLAQUETTES"/>
    <x v="2"/>
    <n v="188"/>
  </r>
  <r>
    <d v="2025-03-09T20:05:49"/>
    <x v="3"/>
    <s v="Plaquettes d'ébauches carrées"/>
    <s v="SD75051"/>
    <s v="COMBALUZIER LUCAS"/>
    <n v="5"/>
    <x v="1"/>
    <x v="3"/>
    <s v="PLAQUETTES"/>
    <x v="2"/>
    <n v="39.799999999999997"/>
  </r>
  <r>
    <d v="2025-03-09T20:06:06"/>
    <x v="2"/>
    <s v="Plaquettes de finition carrées"/>
    <s v="SD75051"/>
    <s v="COMBALUZIER LUCAS"/>
    <n v="5"/>
    <x v="1"/>
    <x v="2"/>
    <s v="PLAQUETTES"/>
    <x v="2"/>
    <n v="47.8"/>
  </r>
  <r>
    <d v="2025-03-10T06:29:09"/>
    <x v="3"/>
    <s v="Plaquettes d'ébauches carrées"/>
    <s v="090225"/>
    <s v="MEYER THOMAS"/>
    <n v="5"/>
    <x v="0"/>
    <x v="3"/>
    <s v="PLAQUETTES"/>
    <x v="0"/>
    <n v="39.799999999999997"/>
  </r>
  <r>
    <d v="2025-03-10T06:29:30"/>
    <x v="3"/>
    <s v="Plaquettes d'ébauches carrées"/>
    <s v="090225"/>
    <s v="MEYER THOMAS"/>
    <n v="5"/>
    <x v="1"/>
    <x v="3"/>
    <s v="PLAQUETTES"/>
    <x v="2"/>
    <n v="39.799999999999997"/>
  </r>
  <r>
    <d v="2025-03-10T06:29:48"/>
    <x v="3"/>
    <s v="Plaquettes d'ébauches carrées"/>
    <s v="090225"/>
    <s v="MEYER THOMAS"/>
    <n v="5"/>
    <x v="0"/>
    <x v="0"/>
    <s v="PLAQUETTES"/>
    <x v="0"/>
    <n v="39.799999999999997"/>
  </r>
  <r>
    <d v="2025-03-10T07:00:09"/>
    <x v="2"/>
    <s v="Plaquettes de finition carrées"/>
    <s v="7236310"/>
    <s v="OZYURT IREM"/>
    <n v="5"/>
    <x v="1"/>
    <x v="2"/>
    <s v="PLAQUETTES"/>
    <x v="2"/>
    <n v="47.8"/>
  </r>
  <r>
    <d v="2025-03-10T13:04:58"/>
    <x v="10"/>
    <s v="Plaquettes TPGX0902ZPRGD KC7315"/>
    <s v="12824586"/>
    <s v="DASILVA FERNANDO"/>
    <n v="10"/>
    <x v="1"/>
    <x v="1"/>
    <s v="PLAQUETTES"/>
    <x v="1"/>
    <n v="81.5"/>
  </r>
  <r>
    <d v="2025-03-10T13:05:27"/>
    <x v="7"/>
    <s v="Plaquettes VCGT21A52 SP4019"/>
    <s v="12824586"/>
    <s v="DASILVA FERNANDO"/>
    <n v="5"/>
    <x v="1"/>
    <x v="1"/>
    <s v="PLAQUETTES"/>
    <x v="1"/>
    <n v="60.9"/>
  </r>
  <r>
    <d v="2025-03-10T14:25:12"/>
    <x v="3"/>
    <s v="Plaquettes d'ébauches carrées"/>
    <s v="31224"/>
    <s v="BIDOT MURIEL"/>
    <n v="5"/>
    <x v="0"/>
    <x v="3"/>
    <s v="PLAQUETTES"/>
    <x v="0"/>
    <n v="39.799999999999997"/>
  </r>
  <r>
    <d v="2025-03-10T14:25:50"/>
    <x v="0"/>
    <s v="Plaquettes d'ébauches rhombiques"/>
    <s v="31224"/>
    <s v="BIDOT MURIEL"/>
    <n v="5"/>
    <x v="0"/>
    <x v="3"/>
    <s v="PLAQUETTES"/>
    <x v="0"/>
    <n v="39.799999999999997"/>
  </r>
  <r>
    <d v="2025-03-10T14:26:39"/>
    <x v="0"/>
    <s v="Plaquettes d'ébauches rhombiques"/>
    <s v="31224"/>
    <s v="BIDOT MURIEL"/>
    <n v="5"/>
    <x v="0"/>
    <x v="3"/>
    <s v="PLAQUETTES"/>
    <x v="0"/>
    <n v="39.799999999999997"/>
  </r>
  <r>
    <d v="2025-03-10T14:27:08"/>
    <x v="4"/>
    <s v="Plaquettes de gorges"/>
    <s v="31224"/>
    <s v="BIDOT MURIEL"/>
    <n v="10"/>
    <x v="0"/>
    <x v="0"/>
    <s v="PLAQUETTES"/>
    <x v="0"/>
    <n v="188"/>
  </r>
  <r>
    <d v="2025-03-10T14:27:34"/>
    <x v="2"/>
    <s v="Plaquettes de finition carrées"/>
    <s v="31224"/>
    <s v="BIDOT MURIEL"/>
    <n v="5"/>
    <x v="0"/>
    <x v="2"/>
    <s v="PLAQUETTES"/>
    <x v="0"/>
    <n v="47.8"/>
  </r>
  <r>
    <d v="2025-03-10T14:27:55"/>
    <x v="2"/>
    <s v="Plaquettes de finition carrées"/>
    <s v="31224"/>
    <s v="BIDOT MURIEL"/>
    <n v="5"/>
    <x v="0"/>
    <x v="2"/>
    <s v="PLAQUETTES"/>
    <x v="0"/>
    <n v="47.8"/>
  </r>
  <r>
    <d v="2025-03-10T14:28:14"/>
    <x v="2"/>
    <s v="Plaquettes de finition carrées"/>
    <s v="31224"/>
    <s v="BIDOT MURIEL"/>
    <n v="5"/>
    <x v="0"/>
    <x v="2"/>
    <s v="PLAQUETTES"/>
    <x v="0"/>
    <n v="47.8"/>
  </r>
  <r>
    <d v="2025-03-10T21:56:30"/>
    <x v="4"/>
    <s v="Plaquettes de gorges"/>
    <s v="16340494"/>
    <s v="BRIMUSSE AURELIE"/>
    <n v="10"/>
    <x v="1"/>
    <x v="0"/>
    <s v="PLAQUETTES"/>
    <x v="2"/>
    <n v="188"/>
  </r>
  <r>
    <d v="2025-03-10T21:56:46"/>
    <x v="3"/>
    <s v="Plaquettes d'ébauches carrées"/>
    <s v="16340494"/>
    <s v="BRIMUSSE AURELIE"/>
    <n v="5"/>
    <x v="1"/>
    <x v="0"/>
    <s v="PLAQUETTES"/>
    <x v="2"/>
    <n v="39.799999999999997"/>
  </r>
  <r>
    <d v="2025-03-11T12:14:00"/>
    <x v="4"/>
    <s v="Plaquettes de gorges"/>
    <s v="090225"/>
    <s v="MEYER THOMAS"/>
    <n v="10"/>
    <x v="0"/>
    <x v="0"/>
    <s v="PLAQUETTES"/>
    <x v="0"/>
    <n v="188"/>
  </r>
  <r>
    <d v="2025-03-11T12:14:17"/>
    <x v="3"/>
    <s v="Plaquettes d'ébauches carrées"/>
    <s v="090225"/>
    <s v="MEYER THOMAS"/>
    <n v="5"/>
    <x v="0"/>
    <x v="3"/>
    <s v="PLAQUETTES"/>
    <x v="0"/>
    <n v="39.799999999999997"/>
  </r>
  <r>
    <d v="2025-03-11T12:14:32"/>
    <x v="4"/>
    <s v="Plaquettes de gorges"/>
    <s v="090225"/>
    <s v="MEYER THOMAS"/>
    <n v="10"/>
    <x v="1"/>
    <x v="0"/>
    <s v="PLAQUETTES"/>
    <x v="2"/>
    <n v="188"/>
  </r>
  <r>
    <d v="2025-03-11T12:14:56"/>
    <x v="3"/>
    <s v="Plaquettes d'ébauches carrées"/>
    <s v="090225"/>
    <s v="MEYER THOMAS"/>
    <n v="5"/>
    <x v="1"/>
    <x v="3"/>
    <s v="PLAQUETTES"/>
    <x v="2"/>
    <n v="39.799999999999997"/>
  </r>
  <r>
    <d v="2025-03-11T13:26:10"/>
    <x v="3"/>
    <s v="Plaquettes d'ébauches carrées"/>
    <s v="31224"/>
    <s v="BIDOT MURIEL"/>
    <n v="5"/>
    <x v="0"/>
    <x v="3"/>
    <s v="PLAQUETTES"/>
    <x v="0"/>
    <n v="39.799999999999997"/>
  </r>
  <r>
    <d v="2025-03-11T13:26:26"/>
    <x v="3"/>
    <s v="Plaquettes d'ébauches carrées"/>
    <s v="31224"/>
    <s v="BIDOT MURIEL"/>
    <n v="5"/>
    <x v="0"/>
    <x v="3"/>
    <s v="PLAQUETTES"/>
    <x v="0"/>
    <n v="39.799999999999997"/>
  </r>
  <r>
    <d v="2025-03-11T13:27:00"/>
    <x v="0"/>
    <s v="Plaquettes d'ébauches rhombiques"/>
    <s v="31224"/>
    <s v="BIDOT MURIEL"/>
    <n v="5"/>
    <x v="0"/>
    <x v="3"/>
    <s v="PLAQUETTES"/>
    <x v="0"/>
    <n v="39.799999999999997"/>
  </r>
  <r>
    <d v="2025-03-11T13:27:17"/>
    <x v="0"/>
    <s v="Plaquettes d'ébauches rhombiques"/>
    <s v="31224"/>
    <s v="BIDOT MURIEL"/>
    <n v="5"/>
    <x v="0"/>
    <x v="3"/>
    <s v="PLAQUETTES"/>
    <x v="0"/>
    <n v="39.799999999999997"/>
  </r>
  <r>
    <d v="2025-03-11T13:27:35"/>
    <x v="2"/>
    <s v="Plaquettes de finition carrées"/>
    <s v="31224"/>
    <s v="BIDOT MURIEL"/>
    <n v="5"/>
    <x v="0"/>
    <x v="2"/>
    <s v="PLAQUETTES"/>
    <x v="0"/>
    <n v="47.8"/>
  </r>
  <r>
    <d v="2025-03-11T13:27:50"/>
    <x v="2"/>
    <s v="Plaquettes de finition carrées"/>
    <s v="31224"/>
    <s v="BIDOT MURIEL"/>
    <n v="5"/>
    <x v="0"/>
    <x v="2"/>
    <s v="PLAQUETTES"/>
    <x v="0"/>
    <n v="47.8"/>
  </r>
  <r>
    <d v="2025-03-11T13:28:12"/>
    <x v="2"/>
    <s v="Plaquettes de finition carrées"/>
    <s v="31224"/>
    <s v="BIDOT MURIEL"/>
    <n v="5"/>
    <x v="0"/>
    <x v="2"/>
    <s v="PLAQUETTES"/>
    <x v="0"/>
    <n v="47.8"/>
  </r>
  <r>
    <d v="2025-03-11T13:29:51"/>
    <x v="2"/>
    <s v="Plaquettes de finition carrées"/>
    <s v="SD88834"/>
    <s v="PEJOUX MELANIE"/>
    <n v="5"/>
    <x v="0"/>
    <x v="2"/>
    <s v="PLAQUETTES"/>
    <x v="0"/>
    <n v="47.8"/>
  </r>
  <r>
    <d v="2025-03-12T03:40:16"/>
    <x v="3"/>
    <s v="Plaquettes d'ébauches carrées"/>
    <s v="16340494"/>
    <s v="BRIMUSSE AURELIE"/>
    <n v="5"/>
    <x v="1"/>
    <x v="0"/>
    <s v="PLAQUETTES"/>
    <x v="2"/>
    <n v="39.799999999999997"/>
  </r>
  <r>
    <d v="2025-03-12T03:40:31"/>
    <x v="0"/>
    <s v="Plaquettes d'ébauches rhombiques"/>
    <s v="16340494"/>
    <s v="BRIMUSSE AURELIE"/>
    <n v="5"/>
    <x v="1"/>
    <x v="0"/>
    <s v="PLAQUETTES"/>
    <x v="2"/>
    <n v="39.799999999999997"/>
  </r>
  <r>
    <d v="2025-03-12T03:40:51"/>
    <x v="3"/>
    <s v="Plaquettes d'ébauches carrées"/>
    <s v="16340494"/>
    <s v="BRIMUSSE AURELIE"/>
    <n v="5"/>
    <x v="1"/>
    <x v="3"/>
    <s v="PLAQUETTES"/>
    <x v="2"/>
    <n v="39.799999999999997"/>
  </r>
  <r>
    <d v="2025-03-12T09:50:18"/>
    <x v="0"/>
    <s v="Plaquettes d'ébauches rhombiques"/>
    <s v="090225"/>
    <s v="MEYER THOMAS"/>
    <n v="5"/>
    <x v="1"/>
    <x v="3"/>
    <s v="PLAQUETTES"/>
    <x v="3"/>
    <n v="39.799999999999997"/>
  </r>
  <r>
    <d v="2025-03-12T09:50:41"/>
    <x v="3"/>
    <s v="Plaquettes d'ébauches carrées"/>
    <s v="090225"/>
    <s v="MEYER THOMAS"/>
    <n v="5"/>
    <x v="1"/>
    <x v="0"/>
    <s v="PLAQUETTES"/>
    <x v="3"/>
    <n v="39.799999999999997"/>
  </r>
  <r>
    <d v="2025-03-12T09:51:01"/>
    <x v="4"/>
    <s v="Plaquettes de gorges"/>
    <s v="090225"/>
    <s v="MEYER THOMAS"/>
    <n v="10"/>
    <x v="0"/>
    <x v="0"/>
    <s v="PLAQUETTES"/>
    <x v="0"/>
    <n v="188"/>
  </r>
  <r>
    <d v="2025-03-12T13:50:45"/>
    <x v="3"/>
    <s v="Plaquettes d'ébauches carrées"/>
    <s v="31224"/>
    <s v="BIDOT MURIEL"/>
    <n v="5"/>
    <x v="0"/>
    <x v="3"/>
    <s v="PLAQUETTES"/>
    <x v="0"/>
    <n v="39.799999999999997"/>
  </r>
  <r>
    <d v="2025-03-12T13:51:08"/>
    <x v="0"/>
    <s v="Plaquettes d'ébauches rhombiques"/>
    <s v="31224"/>
    <s v="BIDOT MURIEL"/>
    <n v="5"/>
    <x v="0"/>
    <x v="3"/>
    <s v="PLAQUETTES"/>
    <x v="0"/>
    <n v="39.799999999999997"/>
  </r>
  <r>
    <d v="2025-03-12T13:51:23"/>
    <x v="4"/>
    <s v="Plaquettes de gorges"/>
    <s v="31224"/>
    <s v="BIDOT MURIEL"/>
    <n v="10"/>
    <x v="0"/>
    <x v="0"/>
    <s v="PLAQUETTES"/>
    <x v="0"/>
    <n v="188"/>
  </r>
  <r>
    <d v="2025-03-12T13:51:43"/>
    <x v="2"/>
    <s v="Plaquettes de finition carrées"/>
    <s v="31224"/>
    <s v="BIDOT MURIEL"/>
    <n v="5"/>
    <x v="0"/>
    <x v="2"/>
    <s v="PLAQUETTES"/>
    <x v="0"/>
    <n v="47.8"/>
  </r>
  <r>
    <d v="2025-03-12T13:52:03"/>
    <x v="2"/>
    <s v="Plaquettes de finition carrées"/>
    <s v="31224"/>
    <s v="BIDOT MURIEL"/>
    <n v="5"/>
    <x v="0"/>
    <x v="2"/>
    <s v="PLAQUETTES"/>
    <x v="0"/>
    <n v="47.8"/>
  </r>
  <r>
    <d v="2025-03-12T13:52:21"/>
    <x v="2"/>
    <s v="Plaquettes de finition carrées"/>
    <s v="31224"/>
    <s v="BIDOT MURIEL"/>
    <n v="5"/>
    <x v="0"/>
    <x v="2"/>
    <s v="PLAQUETTES"/>
    <x v="0"/>
    <n v="47.8"/>
  </r>
  <r>
    <d v="2025-03-12T21:18:14"/>
    <x v="3"/>
    <s v="Plaquettes d'ébauches carrées"/>
    <s v="16340494"/>
    <s v="BRIMUSSE AURELIE"/>
    <n v="5"/>
    <x v="1"/>
    <x v="3"/>
    <s v="PLAQUETTES"/>
    <x v="3"/>
    <n v="39.799999999999997"/>
  </r>
  <r>
    <d v="2025-03-12T21:18:34"/>
    <x v="8"/>
    <s v="Plaquettes d'ébauches rhombiques"/>
    <s v="16340494"/>
    <s v="BRIMUSSE AURELIE"/>
    <n v="10"/>
    <x v="1"/>
    <x v="3"/>
    <s v="PLAQUETTES"/>
    <x v="3"/>
    <n v="70"/>
  </r>
  <r>
    <d v="2025-03-12T21:18:52"/>
    <x v="3"/>
    <s v="Plaquettes d'ébauches carrées"/>
    <s v="16340494"/>
    <s v="BRIMUSSE AURELIE"/>
    <n v="5"/>
    <x v="1"/>
    <x v="0"/>
    <s v="PLAQUETTES"/>
    <x v="3"/>
    <n v="39.799999999999997"/>
  </r>
  <r>
    <d v="2025-03-12T21:19:06"/>
    <x v="0"/>
    <s v="Plaquettes d'ébauches rhombiques"/>
    <s v="16340494"/>
    <s v="BRIMUSSE AURELIE"/>
    <n v="5"/>
    <x v="1"/>
    <x v="0"/>
    <s v="PLAQUETTES"/>
    <x v="3"/>
    <n v="39.799999999999997"/>
  </r>
  <r>
    <d v="2025-03-12T21:19:33"/>
    <x v="6"/>
    <s v="Plaquettes de finition triangulaires"/>
    <s v="16340494"/>
    <s v="BRIMUSSE AURELIE"/>
    <n v="5"/>
    <x v="1"/>
    <x v="2"/>
    <s v="PLAQUETTES"/>
    <x v="3"/>
    <n v="48.7"/>
  </r>
  <r>
    <d v="2025-03-12T21:19:51"/>
    <x v="2"/>
    <s v="Plaquettes de finition carrées"/>
    <s v="16340494"/>
    <s v="BRIMUSSE AURELIE"/>
    <n v="5"/>
    <x v="1"/>
    <x v="2"/>
    <s v="PLAQUETTES"/>
    <x v="3"/>
    <n v="47.8"/>
  </r>
  <r>
    <d v="2025-03-13T11:21:54"/>
    <x v="7"/>
    <s v="Plaquettes VCGT21A52 SP4019"/>
    <s v="12824586"/>
    <s v="DASILVA FERNANDO"/>
    <n v="5"/>
    <x v="0"/>
    <x v="1"/>
    <s v="PLAQUETTES"/>
    <x v="1"/>
    <n v="60.9"/>
  </r>
  <r>
    <d v="2025-03-13T11:22:55"/>
    <x v="10"/>
    <s v="Plaquettes TPGX0902ZPRGD KC7315"/>
    <s v="12824586"/>
    <s v="DASILVA FERNANDO"/>
    <n v="10"/>
    <x v="0"/>
    <x v="1"/>
    <s v="PLAQUETTES"/>
    <x v="1"/>
    <n v="81.5"/>
  </r>
  <r>
    <d v="2025-03-13T14:31:00"/>
    <x v="3"/>
    <s v="Plaquettes d'ébauches carrées"/>
    <s v="31224"/>
    <s v="BIDOT MURIEL"/>
    <n v="5"/>
    <x v="0"/>
    <x v="3"/>
    <s v="PLAQUETTES"/>
    <x v="0"/>
    <n v="39.799999999999997"/>
  </r>
  <r>
    <d v="2025-03-13T14:32:55"/>
    <x v="3"/>
    <s v="Plaquettes d'ébauches carrées"/>
    <s v="31224"/>
    <s v="BIDOT MURIEL"/>
    <n v="5"/>
    <x v="0"/>
    <x v="3"/>
    <s v="PLAQUETTES"/>
    <x v="0"/>
    <n v="39.799999999999997"/>
  </r>
  <r>
    <d v="2025-03-13T14:33:21"/>
    <x v="0"/>
    <s v="Plaquettes d'ébauches rhombiques"/>
    <s v="31224"/>
    <s v="BIDOT MURIEL"/>
    <n v="5"/>
    <x v="0"/>
    <x v="3"/>
    <s v="PLAQUETTES"/>
    <x v="0"/>
    <n v="39.799999999999997"/>
  </r>
  <r>
    <d v="2025-03-13T14:33:39"/>
    <x v="0"/>
    <s v="Plaquettes d'ébauches rhombiques"/>
    <s v="31224"/>
    <s v="BIDOT MURIEL"/>
    <n v="5"/>
    <x v="0"/>
    <x v="3"/>
    <s v="PLAQUETTES"/>
    <x v="0"/>
    <n v="39.799999999999997"/>
  </r>
  <r>
    <d v="2025-03-13T14:34:35"/>
    <x v="2"/>
    <s v="Plaquettes de finition carrées"/>
    <s v="31224"/>
    <s v="BIDOT MURIEL"/>
    <n v="5"/>
    <x v="0"/>
    <x v="2"/>
    <s v="PLAQUETTES"/>
    <x v="0"/>
    <n v="47.8"/>
  </r>
  <r>
    <d v="2025-03-13T14:34:53"/>
    <x v="2"/>
    <s v="Plaquettes de finition carrées"/>
    <s v="31224"/>
    <s v="BIDOT MURIEL"/>
    <n v="5"/>
    <x v="0"/>
    <x v="2"/>
    <s v="PLAQUETTES"/>
    <x v="0"/>
    <n v="47.8"/>
  </r>
  <r>
    <d v="2025-03-13T14:35:13"/>
    <x v="2"/>
    <s v="Plaquettes de finition carrées"/>
    <s v="31224"/>
    <s v="BIDOT MURIEL"/>
    <n v="5"/>
    <x v="0"/>
    <x v="2"/>
    <s v="PLAQUETTES"/>
    <x v="0"/>
    <n v="47.8"/>
  </r>
  <r>
    <d v="2025-03-13T21:28:34"/>
    <x v="3"/>
    <s v="Plaquettes d'ébauches carrées"/>
    <s v="16340494"/>
    <s v="BRIMUSSE AURELIE"/>
    <n v="5"/>
    <x v="1"/>
    <x v="3"/>
    <s v="PLAQUETTES"/>
    <x v="3"/>
    <n v="39.799999999999997"/>
  </r>
  <r>
    <d v="2025-03-13T21:29:00"/>
    <x v="0"/>
    <s v="Plaquettes d'ébauches rhombiques"/>
    <s v="16340494"/>
    <s v="BRIMUSSE AURELIE"/>
    <n v="5"/>
    <x v="1"/>
    <x v="3"/>
    <s v="PLAQUETTES"/>
    <x v="3"/>
    <n v="39.799999999999997"/>
  </r>
  <r>
    <d v="2025-03-13T21:29:26"/>
    <x v="5"/>
    <s v="Plaquettes de finition"/>
    <s v="16340494"/>
    <s v="BRIMUSSE AURELIE"/>
    <n v="5"/>
    <x v="1"/>
    <x v="2"/>
    <s v="PLAQUETTES"/>
    <x v="3"/>
    <n v="42.5"/>
  </r>
  <r>
    <d v="2025-03-13T21:29:45"/>
    <x v="3"/>
    <s v="Plaquettes d'ébauches carrées"/>
    <s v="16340494"/>
    <s v="BRIMUSSE AURELIE"/>
    <n v="5"/>
    <x v="1"/>
    <x v="0"/>
    <s v="PLAQUETTES"/>
    <x v="3"/>
    <n v="39.799999999999997"/>
  </r>
  <r>
    <d v="2025-03-13T21:29:59"/>
    <x v="0"/>
    <s v="Plaquettes d'ébauches rhombiques"/>
    <s v="16340494"/>
    <s v="BRIMUSSE AURELIE"/>
    <n v="5"/>
    <x v="1"/>
    <x v="0"/>
    <s v="PLAQUETTES"/>
    <x v="3"/>
    <n v="39.799999999999997"/>
  </r>
  <r>
    <d v="2025-03-14T07:28:27"/>
    <x v="3"/>
    <s v="Plaquettes d'ébauches carrées"/>
    <s v="10301115"/>
    <s v="BOUCHART LUDOVIC"/>
    <n v="5"/>
    <x v="1"/>
    <x v="3"/>
    <s v="PLAQUETTES"/>
    <x v="3"/>
    <n v="39.799999999999997"/>
  </r>
  <r>
    <d v="2025-03-14T07:28:50"/>
    <x v="0"/>
    <s v="Plaquettes d'ébauches rhombiques"/>
    <s v="10301115"/>
    <s v="BOUCHART LUDOVIC"/>
    <n v="5"/>
    <x v="1"/>
    <x v="3"/>
    <s v="PLAQUETTES"/>
    <x v="3"/>
    <n v="39.799999999999997"/>
  </r>
  <r>
    <d v="2025-03-14T07:29:15"/>
    <x v="8"/>
    <s v="Plaquettes d'ébauches rhombiques"/>
    <s v="10301115"/>
    <s v="BOUCHART LUDOVIC"/>
    <n v="10"/>
    <x v="1"/>
    <x v="3"/>
    <s v="PLAQUETTES"/>
    <x v="3"/>
    <n v="70"/>
  </r>
  <r>
    <d v="2025-03-14T07:29:37"/>
    <x v="3"/>
    <s v="Plaquettes d'ébauches carrées"/>
    <s v="10301115"/>
    <s v="BOUCHART LUDOVIC"/>
    <n v="5"/>
    <x v="1"/>
    <x v="0"/>
    <s v="PLAQUETTES"/>
    <x v="3"/>
    <n v="39.799999999999997"/>
  </r>
  <r>
    <d v="2025-03-14T07:29:53"/>
    <x v="0"/>
    <s v="Plaquettes d'ébauches rhombiques"/>
    <s v="10301115"/>
    <s v="BOUCHART LUDOVIC"/>
    <n v="5"/>
    <x v="1"/>
    <x v="0"/>
    <s v="PLAQUETTES"/>
    <x v="3"/>
    <n v="39.799999999999997"/>
  </r>
  <r>
    <d v="2025-03-14T07:30:48"/>
    <x v="5"/>
    <s v="Plaquettes de finition"/>
    <s v="10301115"/>
    <s v="BOUCHART LUDOVIC"/>
    <n v="5"/>
    <x v="1"/>
    <x v="2"/>
    <s v="PLAQUETTES"/>
    <x v="3"/>
    <n v="42.5"/>
  </r>
  <r>
    <d v="2025-03-14T07:31:07"/>
    <x v="6"/>
    <s v="Plaquettes de finition triangulaires"/>
    <s v="10301115"/>
    <s v="BOUCHART LUDOVIC"/>
    <n v="5"/>
    <x v="1"/>
    <x v="2"/>
    <s v="PLAQUETTES"/>
    <x v="3"/>
    <n v="48.7"/>
  </r>
  <r>
    <d v="2025-03-14T07:31:40"/>
    <x v="2"/>
    <s v="Plaquettes de finition carrées"/>
    <s v="10301115"/>
    <s v="BOUCHART LUDOVIC"/>
    <n v="5"/>
    <x v="1"/>
    <x v="2"/>
    <s v="PLAQUETTES"/>
    <x v="3"/>
    <n v="47.8"/>
  </r>
  <r>
    <d v="2025-03-14T13:52:16"/>
    <x v="3"/>
    <s v="Plaquettes d'ébauches carrées"/>
    <s v="31224"/>
    <s v="BIDOT MURIEL"/>
    <n v="5"/>
    <x v="0"/>
    <x v="3"/>
    <s v="PLAQUETTES"/>
    <x v="0"/>
    <n v="39.799999999999997"/>
  </r>
  <r>
    <d v="2025-03-14T13:52:32"/>
    <x v="0"/>
    <s v="Plaquettes d'ébauches rhombiques"/>
    <s v="31224"/>
    <s v="BIDOT MURIEL"/>
    <n v="5"/>
    <x v="0"/>
    <x v="3"/>
    <s v="PLAQUETTES"/>
    <x v="0"/>
    <n v="39.799999999999997"/>
  </r>
  <r>
    <d v="2025-03-14T13:53:02"/>
    <x v="3"/>
    <s v="Plaquettes d'ébauches carrées"/>
    <s v="31224"/>
    <s v="BIDOT MURIEL"/>
    <n v="5"/>
    <x v="0"/>
    <x v="0"/>
    <s v="PLAQUETTES"/>
    <x v="0"/>
    <n v="39.799999999999997"/>
  </r>
  <r>
    <d v="2025-03-14T13:53:18"/>
    <x v="4"/>
    <s v="Plaquettes de gorges"/>
    <s v="31224"/>
    <s v="BIDOT MURIEL"/>
    <n v="10"/>
    <x v="0"/>
    <x v="0"/>
    <s v="PLAQUETTES"/>
    <x v="0"/>
    <n v="188"/>
  </r>
  <r>
    <d v="2025-03-14T13:53:37"/>
    <x v="2"/>
    <s v="Plaquettes de finition carrées"/>
    <s v="31224"/>
    <s v="BIDOT MURIEL"/>
    <n v="5"/>
    <x v="0"/>
    <x v="2"/>
    <s v="PLAQUETTES"/>
    <x v="0"/>
    <n v="47.8"/>
  </r>
  <r>
    <d v="2025-03-15T05:42:49"/>
    <x v="3"/>
    <s v="Plaquettes d'ébauches carrées"/>
    <s v="10301115"/>
    <s v="BOUCHART LUDOVIC"/>
    <n v="5"/>
    <x v="0"/>
    <x v="3"/>
    <s v="PLAQUETTES"/>
    <x v="0"/>
    <n v="39.799999999999997"/>
  </r>
  <r>
    <d v="2025-03-15T05:43:05"/>
    <x v="0"/>
    <s v="Plaquettes d'ébauches rhombiques"/>
    <s v="10301115"/>
    <s v="BOUCHART LUDOVIC"/>
    <n v="5"/>
    <x v="0"/>
    <x v="3"/>
    <s v="PLAQUETTES"/>
    <x v="0"/>
    <n v="39.799999999999997"/>
  </r>
  <r>
    <d v="2025-03-15T05:43:27"/>
    <x v="4"/>
    <s v="Plaquettes de gorges"/>
    <s v="10301115"/>
    <s v="BOUCHART LUDOVIC"/>
    <n v="10"/>
    <x v="0"/>
    <x v="0"/>
    <s v="PLAQUETTES"/>
    <x v="0"/>
    <n v="188"/>
  </r>
  <r>
    <d v="2025-03-15T05:43:42"/>
    <x v="3"/>
    <s v="Plaquettes d'ébauches carrées"/>
    <s v="10301115"/>
    <s v="BOUCHART LUDOVIC"/>
    <n v="5"/>
    <x v="0"/>
    <x v="0"/>
    <s v="PLAQUETTES"/>
    <x v="0"/>
    <n v="39.799999999999997"/>
  </r>
  <r>
    <d v="2025-03-15T05:44:02"/>
    <x v="0"/>
    <s v="Plaquettes d'ébauches rhombiques"/>
    <s v="10301115"/>
    <s v="BOUCHART LUDOVIC"/>
    <n v="5"/>
    <x v="0"/>
    <x v="0"/>
    <s v="PLAQUETTES"/>
    <x v="0"/>
    <n v="39.799999999999997"/>
  </r>
  <r>
    <d v="2025-03-15T05:44:32"/>
    <x v="2"/>
    <s v="Plaquettes de finition carrées"/>
    <s v="10301115"/>
    <s v="BOUCHART LUDOVIC"/>
    <n v="5"/>
    <x v="0"/>
    <x v="2"/>
    <s v="PLAQUETTES"/>
    <x v="0"/>
    <n v="47.8"/>
  </r>
  <r>
    <d v="2025-03-15T05:44:56"/>
    <x v="3"/>
    <s v="Plaquettes d'ébauches carrées"/>
    <s v="10301115"/>
    <s v="BOUCHART LUDOVIC"/>
    <n v="5"/>
    <x v="1"/>
    <x v="3"/>
    <s v="PLAQUETTES"/>
    <x v="3"/>
    <n v="39.799999999999997"/>
  </r>
  <r>
    <d v="2025-03-15T05:45:12"/>
    <x v="0"/>
    <s v="Plaquettes d'ébauches rhombiques"/>
    <s v="10301115"/>
    <s v="BOUCHART LUDOVIC"/>
    <n v="5"/>
    <x v="1"/>
    <x v="3"/>
    <s v="PLAQUETTES"/>
    <x v="3"/>
    <n v="39.799999999999997"/>
  </r>
  <r>
    <d v="2025-03-15T05:45:35"/>
    <x v="8"/>
    <s v="Plaquettes d'ébauches rhombiques"/>
    <s v="10301115"/>
    <s v="BOUCHART LUDOVIC"/>
    <n v="10"/>
    <x v="1"/>
    <x v="3"/>
    <s v="PLAQUETTES"/>
    <x v="3"/>
    <n v="70"/>
  </r>
  <r>
    <d v="2025-03-15T05:45:59"/>
    <x v="3"/>
    <s v="Plaquettes d'ébauches carrées"/>
    <s v="10301115"/>
    <s v="BOUCHART LUDOVIC"/>
    <n v="5"/>
    <x v="1"/>
    <x v="0"/>
    <s v="PLAQUETTES"/>
    <x v="3"/>
    <n v="39.799999999999997"/>
  </r>
  <r>
    <d v="2025-03-15T05:46:19"/>
    <x v="0"/>
    <s v="Plaquettes d'ébauches rhombiques"/>
    <s v="10301115"/>
    <s v="BOUCHART LUDOVIC"/>
    <n v="5"/>
    <x v="1"/>
    <x v="0"/>
    <s v="PLAQUETTES"/>
    <x v="3"/>
    <n v="39.799999999999997"/>
  </r>
  <r>
    <d v="2025-03-15T05:46:58"/>
    <x v="2"/>
    <s v="Plaquettes de finition carrées"/>
    <s v="10301115"/>
    <s v="BOUCHART LUDOVIC"/>
    <n v="5"/>
    <x v="1"/>
    <x v="2"/>
    <s v="PLAQUETTES"/>
    <x v="3"/>
    <n v="47.8"/>
  </r>
  <r>
    <d v="2025-03-15T12:31:31"/>
    <x v="2"/>
    <s v="Plaquettes de finition carrées"/>
    <s v="10301115"/>
    <s v="BOUCHART LUDOVIC"/>
    <n v="5"/>
    <x v="1"/>
    <x v="2"/>
    <s v="PLAQUETTES"/>
    <x v="3"/>
    <n v="47.8"/>
  </r>
  <r>
    <d v="2025-03-16T17:58:39"/>
    <x v="3"/>
    <s v="Plaquettes d'ébauches carrées"/>
    <s v="10301115"/>
    <s v="BOUCHART LUDOVIC"/>
    <n v="5"/>
    <x v="0"/>
    <x v="3"/>
    <s v="PLAQUETTES"/>
    <x v="0"/>
    <n v="39.799999999999997"/>
  </r>
  <r>
    <d v="2025-03-16T17:58:50"/>
    <x v="0"/>
    <s v="Plaquettes d'ébauches rhombiques"/>
    <s v="10301115"/>
    <s v="BOUCHART LUDOVIC"/>
    <n v="5"/>
    <x v="0"/>
    <x v="3"/>
    <s v="PLAQUETTES"/>
    <x v="0"/>
    <n v="39.799999999999997"/>
  </r>
  <r>
    <d v="2025-03-16T17:59:03"/>
    <x v="4"/>
    <s v="Plaquettes de gorges"/>
    <s v="10301115"/>
    <s v="BOUCHART LUDOVIC"/>
    <n v="10"/>
    <x v="0"/>
    <x v="0"/>
    <s v="PLAQUETTES"/>
    <x v="0"/>
    <n v="188"/>
  </r>
  <r>
    <d v="2025-03-16T17:59:27"/>
    <x v="3"/>
    <s v="Plaquettes d'ébauches carrées"/>
    <s v="10301115"/>
    <s v="BOUCHART LUDOVIC"/>
    <n v="5"/>
    <x v="0"/>
    <x v="0"/>
    <s v="PLAQUETTES"/>
    <x v="0"/>
    <n v="39.799999999999997"/>
  </r>
  <r>
    <d v="2025-03-16T17:59:43"/>
    <x v="0"/>
    <s v="Plaquettes d'ébauches rhombiques"/>
    <s v="10301115"/>
    <s v="BOUCHART LUDOVIC"/>
    <n v="5"/>
    <x v="0"/>
    <x v="0"/>
    <s v="PLAQUETTES"/>
    <x v="0"/>
    <n v="39.799999999999997"/>
  </r>
  <r>
    <d v="2025-03-16T18:00:01"/>
    <x v="3"/>
    <s v="Plaquettes d'ébauches carrées"/>
    <s v="10301115"/>
    <s v="BOUCHART LUDOVIC"/>
    <n v="5"/>
    <x v="1"/>
    <x v="3"/>
    <s v="PLAQUETTES"/>
    <x v="3"/>
    <n v="39.799999999999997"/>
  </r>
  <r>
    <d v="2025-03-16T18:00:14"/>
    <x v="0"/>
    <s v="Plaquettes d'ébauches rhombiques"/>
    <s v="10301115"/>
    <s v="BOUCHART LUDOVIC"/>
    <n v="5"/>
    <x v="1"/>
    <x v="3"/>
    <s v="PLAQUETTES"/>
    <x v="3"/>
    <n v="39.799999999999997"/>
  </r>
  <r>
    <d v="2025-03-16T18:00:28"/>
    <x v="3"/>
    <s v="Plaquettes d'ébauches carrées"/>
    <s v="10301115"/>
    <s v="BOUCHART LUDOVIC"/>
    <n v="5"/>
    <x v="1"/>
    <x v="0"/>
    <s v="PLAQUETTES"/>
    <x v="3"/>
    <n v="39.799999999999997"/>
  </r>
  <r>
    <d v="2025-03-16T18:00:40"/>
    <x v="0"/>
    <s v="Plaquettes d'ébauches rhombiques"/>
    <s v="10301115"/>
    <s v="BOUCHART LUDOVIC"/>
    <n v="5"/>
    <x v="1"/>
    <x v="0"/>
    <s v="PLAQUETTES"/>
    <x v="3"/>
    <n v="39.799999999999997"/>
  </r>
  <r>
    <d v="2025-03-16T18:28:50"/>
    <x v="2"/>
    <s v="Plaquettes de finition carrées"/>
    <s v="U509351"/>
    <s v="DELIAT CHRISTOPHE"/>
    <n v="5"/>
    <x v="0"/>
    <x v="2"/>
    <s v="PLAQUETTES"/>
    <x v="0"/>
    <n v="47.8"/>
  </r>
  <r>
    <d v="2025-03-16T18:29:07"/>
    <x v="6"/>
    <s v="Plaquettes de finition triangulaires"/>
    <s v="U509351"/>
    <s v="DELIAT CHRISTOPHE"/>
    <n v="5"/>
    <x v="1"/>
    <x v="2"/>
    <s v="PLAQUETTES"/>
    <x v="3"/>
    <n v="48.7"/>
  </r>
  <r>
    <d v="2025-03-16T18:29:23"/>
    <x v="2"/>
    <s v="Plaquettes de finition carrées"/>
    <s v="U509351"/>
    <s v="DELIAT CHRISTOPHE"/>
    <n v="5"/>
    <x v="1"/>
    <x v="2"/>
    <s v="PLAQUETTES"/>
    <x v="3"/>
    <n v="47.8"/>
  </r>
  <r>
    <d v="2025-03-17T14:39:02"/>
    <x v="7"/>
    <s v="Plaquettes VCGT21A52 SP4019"/>
    <s v="12824586"/>
    <s v="DASILVA FERNANDO"/>
    <n v="5"/>
    <x v="1"/>
    <x v="1"/>
    <s v="PLAQUETTES"/>
    <x v="1"/>
    <n v="60.9"/>
  </r>
  <r>
    <d v="2025-03-17T15:53:39"/>
    <x v="2"/>
    <s v="Plaquettes de finition carrées"/>
    <s v="16340494"/>
    <s v="BRIMUSSE AURELIE"/>
    <n v="5"/>
    <x v="1"/>
    <x v="2"/>
    <s v="PLAQUETTES"/>
    <x v="3"/>
    <n v="47.8"/>
  </r>
  <r>
    <d v="2025-03-17T15:53:52"/>
    <x v="3"/>
    <s v="Plaquettes d'ébauches carrées"/>
    <s v="16340494"/>
    <s v="BRIMUSSE AURELIE"/>
    <n v="5"/>
    <x v="1"/>
    <x v="0"/>
    <s v="PLAQUETTES"/>
    <x v="3"/>
    <n v="39.799999999999997"/>
  </r>
  <r>
    <d v="2025-03-17T15:54:08"/>
    <x v="0"/>
    <s v="Plaquettes d'ébauches rhombiques"/>
    <s v="16340494"/>
    <s v="BRIMUSSE AURELIE"/>
    <n v="5"/>
    <x v="1"/>
    <x v="0"/>
    <s v="PLAQUETTES"/>
    <x v="3"/>
    <n v="39.799999999999997"/>
  </r>
  <r>
    <d v="2025-03-17T15:54:21"/>
    <x v="3"/>
    <s v="Plaquettes d'ébauches carrées"/>
    <s v="16340494"/>
    <s v="BRIMUSSE AURELIE"/>
    <n v="5"/>
    <x v="1"/>
    <x v="3"/>
    <s v="PLAQUETTES"/>
    <x v="3"/>
    <n v="39.799999999999997"/>
  </r>
  <r>
    <d v="2025-03-18T03:13:36"/>
    <x v="2"/>
    <s v="Plaquettes de finition carrées"/>
    <s v="7236310"/>
    <s v="OZYURT IREM"/>
    <n v="5"/>
    <x v="0"/>
    <x v="2"/>
    <s v="PLAQUETTES"/>
    <x v="0"/>
    <n v="47.8"/>
  </r>
  <r>
    <d v="2025-03-18T03:14:43"/>
    <x v="2"/>
    <s v="Plaquettes de finition carrées"/>
    <s v="7236310"/>
    <s v="OZYURT IREM"/>
    <n v="5"/>
    <x v="1"/>
    <x v="2"/>
    <s v="PLAQUETTES"/>
    <x v="3"/>
    <n v="47.8"/>
  </r>
  <r>
    <d v="2025-03-18T05:19:30"/>
    <x v="4"/>
    <s v="Plaquettes de gorges"/>
    <s v="31224"/>
    <s v="BIDOT MURIEL"/>
    <n v="10"/>
    <x v="0"/>
    <x v="0"/>
    <s v="PLAQUETTES"/>
    <x v="0"/>
    <n v="188"/>
  </r>
  <r>
    <d v="2025-03-18T05:19:53"/>
    <x v="2"/>
    <s v="Plaquettes de finition carrées"/>
    <s v="31224"/>
    <s v="BIDOT MURIEL"/>
    <n v="5"/>
    <x v="0"/>
    <x v="2"/>
    <s v="PLAQUETTES"/>
    <x v="0"/>
    <n v="47.8"/>
  </r>
  <r>
    <d v="2025-03-18T05:20:10"/>
    <x v="2"/>
    <s v="Plaquettes de finition carrées"/>
    <s v="31224"/>
    <s v="BIDOT MURIEL"/>
    <n v="5"/>
    <x v="0"/>
    <x v="2"/>
    <s v="PLAQUETTES"/>
    <x v="0"/>
    <n v="47.8"/>
  </r>
  <r>
    <d v="2025-03-18T10:40:06"/>
    <x v="6"/>
    <s v="Plaquettes de finition triangulaires"/>
    <s v="SC99878"/>
    <s v="GONIN VINCENT"/>
    <n v="5"/>
    <x v="1"/>
    <x v="2"/>
    <s v="PLAQUETTES"/>
    <x v="3"/>
    <n v="48.7"/>
  </r>
  <r>
    <d v="2025-03-18T13:44:54"/>
    <x v="0"/>
    <s v="Plaquettes d'ébauches rhombiques"/>
    <s v="16340494"/>
    <s v="BRIMUSSE AURELIE"/>
    <n v="5"/>
    <x v="1"/>
    <x v="3"/>
    <s v="PLAQUETTES"/>
    <x v="3"/>
    <n v="39.799999999999997"/>
  </r>
  <r>
    <d v="2025-03-18T13:45:09"/>
    <x v="3"/>
    <s v="Plaquettes d'ébauches carrées"/>
    <s v="16340494"/>
    <s v="BRIMUSSE AURELIE"/>
    <n v="5"/>
    <x v="1"/>
    <x v="3"/>
    <s v="PLAQUETTES"/>
    <x v="3"/>
    <n v="39.799999999999997"/>
  </r>
  <r>
    <d v="2025-03-18T13:45:23"/>
    <x v="3"/>
    <s v="Plaquettes d'ébauches carrées"/>
    <s v="16340494"/>
    <s v="BRIMUSSE AURELIE"/>
    <n v="5"/>
    <x v="1"/>
    <x v="0"/>
    <s v="PLAQUETTES"/>
    <x v="3"/>
    <n v="39.799999999999997"/>
  </r>
  <r>
    <d v="2025-03-18T13:45:37"/>
    <x v="0"/>
    <s v="Plaquettes d'ébauches rhombiques"/>
    <s v="16340494"/>
    <s v="BRIMUSSE AURELIE"/>
    <n v="5"/>
    <x v="1"/>
    <x v="0"/>
    <s v="PLAQUETTES"/>
    <x v="3"/>
    <n v="39.799999999999997"/>
  </r>
  <r>
    <d v="2025-03-18T13:45:52"/>
    <x v="2"/>
    <s v="Plaquettes de finition carrées"/>
    <s v="16340494"/>
    <s v="BRIMUSSE AURELIE"/>
    <n v="5"/>
    <x v="1"/>
    <x v="2"/>
    <s v="PLAQUETTES"/>
    <x v="3"/>
    <n v="47.8"/>
  </r>
  <r>
    <d v="2025-03-18T20:31:56"/>
    <x v="3"/>
    <s v="Plaquettes d'ébauches carrées"/>
    <s v="SC95213"/>
    <s v="RABET PAULINE"/>
    <n v="5"/>
    <x v="0"/>
    <x v="3"/>
    <s v="PLAQUETTES"/>
    <x v="0"/>
    <n v="39.799999999999997"/>
  </r>
  <r>
    <d v="2025-03-18T22:37:20"/>
    <x v="3"/>
    <s v="Plaquettes d'ébauches carrées"/>
    <s v="090225"/>
    <s v="MEYER THOMAS"/>
    <n v="5"/>
    <x v="0"/>
    <x v="3"/>
    <s v="PLAQUETTES"/>
    <x v="0"/>
    <n v="39.799999999999997"/>
  </r>
  <r>
    <d v="2025-03-18T22:37:36"/>
    <x v="4"/>
    <s v="Plaquettes de gorges"/>
    <s v="090225"/>
    <s v="MEYER THOMAS"/>
    <n v="10"/>
    <x v="0"/>
    <x v="0"/>
    <s v="PLAQUETTES"/>
    <x v="0"/>
    <n v="188"/>
  </r>
  <r>
    <d v="2025-03-18T22:37:55"/>
    <x v="3"/>
    <s v="Plaquettes d'ébauches carrées"/>
    <s v="090225"/>
    <s v="MEYER THOMAS"/>
    <n v="5"/>
    <x v="0"/>
    <x v="0"/>
    <s v="PLAQUETTES"/>
    <x v="0"/>
    <n v="39.799999999999997"/>
  </r>
  <r>
    <d v="2025-03-19T04:42:41"/>
    <x v="4"/>
    <s v="Plaquettes de gorges"/>
    <s v="090225"/>
    <s v="MEYER THOMAS"/>
    <n v="10"/>
    <x v="1"/>
    <x v="0"/>
    <s v="PLAQUETTES"/>
    <x v="2"/>
    <n v="188"/>
  </r>
  <r>
    <d v="2025-03-19T05:24:19"/>
    <x v="3"/>
    <s v="Plaquettes d'ébauches carrées"/>
    <s v="31224"/>
    <s v="BIDOT MURIEL"/>
    <n v="5"/>
    <x v="0"/>
    <x v="3"/>
    <s v="PLAQUETTES"/>
    <x v="0"/>
    <n v="39.799999999999997"/>
  </r>
  <r>
    <d v="2025-03-19T05:24:33"/>
    <x v="0"/>
    <s v="Plaquettes d'ébauches rhombiques"/>
    <s v="31224"/>
    <s v="BIDOT MURIEL"/>
    <n v="5"/>
    <x v="0"/>
    <x v="3"/>
    <s v="PLAQUETTES"/>
    <x v="0"/>
    <n v="39.799999999999997"/>
  </r>
  <r>
    <d v="2025-03-19T05:24:53"/>
    <x v="4"/>
    <s v="Plaquettes de gorges"/>
    <s v="31224"/>
    <s v="BIDOT MURIEL"/>
    <n v="10"/>
    <x v="0"/>
    <x v="0"/>
    <s v="PLAQUETTES"/>
    <x v="0"/>
    <n v="188"/>
  </r>
  <r>
    <d v="2025-03-19T05:25:09"/>
    <x v="2"/>
    <s v="Plaquettes de finition carrées"/>
    <s v="31224"/>
    <s v="BIDOT MURIEL"/>
    <n v="5"/>
    <x v="0"/>
    <x v="2"/>
    <s v="PLAQUETTES"/>
    <x v="0"/>
    <n v="47.8"/>
  </r>
  <r>
    <d v="2025-03-19T05:25:33"/>
    <x v="2"/>
    <s v="Plaquettes de finition carrées"/>
    <s v="31224"/>
    <s v="BIDOT MURIEL"/>
    <n v="5"/>
    <x v="0"/>
    <x v="2"/>
    <s v="PLAQUETTES"/>
    <x v="0"/>
    <n v="47.8"/>
  </r>
  <r>
    <d v="2025-03-19T05:25:47"/>
    <x v="2"/>
    <s v="Plaquettes de finition carrées"/>
    <s v="31224"/>
    <s v="BIDOT MURIEL"/>
    <n v="5"/>
    <x v="0"/>
    <x v="2"/>
    <s v="PLAQUETTES"/>
    <x v="0"/>
    <n v="47.8"/>
  </r>
  <r>
    <d v="2025-03-19T11:10:08"/>
    <x v="7"/>
    <s v="Plaquettes VCGT21A52 SP4019"/>
    <s v="12824586"/>
    <s v="DASILVA FERNANDO"/>
    <n v="10"/>
    <x v="0"/>
    <x v="1"/>
    <s v="PLAQUETTES"/>
    <x v="1"/>
    <n v="121.8"/>
  </r>
  <r>
    <d v="2025-03-19T16:15:21"/>
    <x v="3"/>
    <s v="Plaquettes d'ébauches carrées"/>
    <s v="16340494"/>
    <s v="BRIMUSSE AURELIE"/>
    <n v="5"/>
    <x v="1"/>
    <x v="3"/>
    <s v="PLAQUETTES"/>
    <x v="2"/>
    <n v="39.799999999999997"/>
  </r>
  <r>
    <d v="2025-03-19T16:15:35"/>
    <x v="0"/>
    <s v="Plaquettes d'ébauches rhombiques"/>
    <s v="16340494"/>
    <s v="BRIMUSSE AURELIE"/>
    <n v="5"/>
    <x v="1"/>
    <x v="3"/>
    <s v="PLAQUETTES"/>
    <x v="2"/>
    <n v="39.799999999999997"/>
  </r>
  <r>
    <d v="2025-03-19T16:15:48"/>
    <x v="0"/>
    <s v="Plaquettes d'ébauches rhombiques"/>
    <s v="16340494"/>
    <s v="BRIMUSSE AURELIE"/>
    <n v="5"/>
    <x v="1"/>
    <x v="0"/>
    <s v="PLAQUETTES"/>
    <x v="2"/>
    <n v="39.799999999999997"/>
  </r>
  <r>
    <d v="2025-03-19T16:16:02"/>
    <x v="3"/>
    <s v="Plaquettes d'ébauches carrées"/>
    <s v="16340494"/>
    <s v="BRIMUSSE AURELIE"/>
    <n v="5"/>
    <x v="1"/>
    <x v="0"/>
    <s v="PLAQUETTES"/>
    <x v="2"/>
    <n v="39.799999999999997"/>
  </r>
  <r>
    <d v="2025-03-19T16:16:20"/>
    <x v="4"/>
    <s v="Plaquettes de gorges"/>
    <s v="16340494"/>
    <s v="BRIMUSSE AURELIE"/>
    <n v="10"/>
    <x v="1"/>
    <x v="0"/>
    <s v="PLAQUETTES"/>
    <x v="2"/>
    <n v="188"/>
  </r>
  <r>
    <d v="2025-03-19T16:16:39"/>
    <x v="2"/>
    <s v="Plaquettes de finition carrées"/>
    <s v="16340494"/>
    <s v="BRIMUSSE AURELIE"/>
    <n v="5"/>
    <x v="1"/>
    <x v="2"/>
    <s v="PLAQUETTES"/>
    <x v="2"/>
    <n v="47.8"/>
  </r>
  <r>
    <d v="2025-03-20T01:20:56"/>
    <x v="3"/>
    <s v="Plaquettes d'ébauches carrées"/>
    <s v="090225"/>
    <s v="MEYER THOMAS"/>
    <n v="5"/>
    <x v="0"/>
    <x v="3"/>
    <s v="PLAQUETTES"/>
    <x v="0"/>
    <n v="39.799999999999997"/>
  </r>
  <r>
    <d v="2025-03-20T01:21:20"/>
    <x v="0"/>
    <s v="Plaquettes d'ébauches rhombiques"/>
    <s v="090225"/>
    <s v="MEYER THOMAS"/>
    <n v="5"/>
    <x v="0"/>
    <x v="3"/>
    <s v="PLAQUETTES"/>
    <x v="0"/>
    <n v="39.799999999999997"/>
  </r>
  <r>
    <d v="2025-03-20T01:21:35"/>
    <x v="4"/>
    <s v="Plaquettes de gorges"/>
    <s v="090225"/>
    <s v="MEYER THOMAS"/>
    <n v="10"/>
    <x v="0"/>
    <x v="0"/>
    <s v="PLAQUETTES"/>
    <x v="0"/>
    <n v="188"/>
  </r>
  <r>
    <d v="2025-03-20T01:21:52"/>
    <x v="3"/>
    <s v="Plaquettes d'ébauches carrées"/>
    <s v="090225"/>
    <s v="MEYER THOMAS"/>
    <n v="5"/>
    <x v="0"/>
    <x v="0"/>
    <s v="PLAQUETTES"/>
    <x v="0"/>
    <n v="39.799999999999997"/>
  </r>
  <r>
    <d v="2025-03-20T05:16:58"/>
    <x v="3"/>
    <s v="Plaquettes d'ébauches carrées"/>
    <s v="31224"/>
    <s v="BIDOT MURIEL"/>
    <n v="5"/>
    <x v="0"/>
    <x v="3"/>
    <s v="PLAQUETTES"/>
    <x v="0"/>
    <n v="39.799999999999997"/>
  </r>
  <r>
    <d v="2025-03-20T05:17:12"/>
    <x v="0"/>
    <s v="Plaquettes d'ébauches rhombiques"/>
    <s v="31224"/>
    <s v="BIDOT MURIEL"/>
    <n v="5"/>
    <x v="0"/>
    <x v="3"/>
    <s v="PLAQUETTES"/>
    <x v="0"/>
    <n v="39.799999999999997"/>
  </r>
  <r>
    <d v="2025-03-20T05:17:34"/>
    <x v="2"/>
    <s v="Plaquettes de finition carrées"/>
    <s v="31224"/>
    <s v="BIDOT MURIEL"/>
    <n v="5"/>
    <x v="0"/>
    <x v="2"/>
    <s v="PLAQUETTES"/>
    <x v="0"/>
    <n v="47.8"/>
  </r>
  <r>
    <d v="2025-03-20T05:17:59"/>
    <x v="2"/>
    <s v="Plaquettes de finition carrées"/>
    <s v="31224"/>
    <s v="BIDOT MURIEL"/>
    <n v="5"/>
    <x v="0"/>
    <x v="2"/>
    <s v="PLAQUETTES"/>
    <x v="0"/>
    <n v="47.8"/>
  </r>
  <r>
    <d v="2025-03-20T05:18:13"/>
    <x v="2"/>
    <s v="Plaquettes de finition carrées"/>
    <s v="31224"/>
    <s v="BIDOT MURIEL"/>
    <n v="5"/>
    <x v="0"/>
    <x v="2"/>
    <s v="PLAQUETTES"/>
    <x v="0"/>
    <n v="47.8"/>
  </r>
  <r>
    <d v="2025-03-20T06:53:55"/>
    <x v="2"/>
    <s v="Plaquettes de finition carrées"/>
    <s v="SE08251"/>
    <s v="FAYET AYMERIC"/>
    <n v="5"/>
    <x v="1"/>
    <x v="2"/>
    <s v="PLAQUETTES"/>
    <x v="2"/>
    <n v="47.8"/>
  </r>
  <r>
    <d v="2025-03-20T12:19:19"/>
    <x v="3"/>
    <s v="Plaquettes d'ébauches carrées"/>
    <s v="SE08251"/>
    <s v="FAYET AYMERIC"/>
    <n v="5"/>
    <x v="1"/>
    <x v="3"/>
    <s v="PLAQUETTES"/>
    <x v="2"/>
    <n v="39.799999999999997"/>
  </r>
  <r>
    <d v="2025-03-20T12:19:40"/>
    <x v="0"/>
    <s v="Plaquettes d'ébauches rhombiques"/>
    <s v="SE08251"/>
    <s v="FAYET AYMERIC"/>
    <n v="5"/>
    <x v="1"/>
    <x v="3"/>
    <s v="PLAQUETTES"/>
    <x v="2"/>
    <n v="39.799999999999997"/>
  </r>
  <r>
    <d v="2025-03-20T14:27:50"/>
    <x v="3"/>
    <s v="Plaquettes d'ébauches carrées"/>
    <s v="16340494"/>
    <s v="BRIMUSSE AURELIE"/>
    <n v="5"/>
    <x v="1"/>
    <x v="3"/>
    <s v="PLAQUETTES"/>
    <x v="2"/>
    <n v="39.799999999999997"/>
  </r>
  <r>
    <d v="2025-03-20T14:28:03"/>
    <x v="0"/>
    <s v="Plaquettes d'ébauches rhombiques"/>
    <s v="16340494"/>
    <s v="BRIMUSSE AURELIE"/>
    <n v="5"/>
    <x v="1"/>
    <x v="3"/>
    <s v="PLAQUETTES"/>
    <x v="2"/>
    <n v="39.799999999999997"/>
  </r>
  <r>
    <d v="2025-03-20T14:28:16"/>
    <x v="4"/>
    <s v="Plaquettes de gorges"/>
    <s v="16340494"/>
    <s v="BRIMUSSE AURELIE"/>
    <n v="10"/>
    <x v="1"/>
    <x v="0"/>
    <s v="PLAQUETTES"/>
    <x v="2"/>
    <n v="188"/>
  </r>
  <r>
    <d v="2025-03-20T14:28:34"/>
    <x v="3"/>
    <s v="Plaquettes d'ébauches carrées"/>
    <s v="16340494"/>
    <s v="BRIMUSSE AURELIE"/>
    <n v="5"/>
    <x v="1"/>
    <x v="0"/>
    <s v="PLAQUETTES"/>
    <x v="2"/>
    <n v="39.799999999999997"/>
  </r>
  <r>
    <d v="2025-03-20T14:28:47"/>
    <x v="0"/>
    <s v="Plaquettes d'ébauches rhombiques"/>
    <s v="16340494"/>
    <s v="BRIMUSSE AURELIE"/>
    <n v="5"/>
    <x v="1"/>
    <x v="0"/>
    <s v="PLAQUETTES"/>
    <x v="2"/>
    <n v="39.799999999999997"/>
  </r>
  <r>
    <d v="2025-03-20T15:32:53"/>
    <x v="4"/>
    <s v="Plaquettes de gorges"/>
    <s v="SC95213"/>
    <s v="RABET PAULINE"/>
    <n v="10"/>
    <x v="0"/>
    <x v="0"/>
    <s v="PLAQUETTES"/>
    <x v="0"/>
    <n v="188"/>
  </r>
  <r>
    <d v="2025-03-21T04:18:47"/>
    <x v="2"/>
    <s v="Plaquettes de finition carrées"/>
    <s v="7236310"/>
    <s v="OZYURT IREM"/>
    <n v="5"/>
    <x v="0"/>
    <x v="2"/>
    <s v="PLAQUETTES"/>
    <x v="0"/>
    <n v="47.8"/>
  </r>
  <r>
    <d v="2025-03-21T05:33:47"/>
    <x v="3"/>
    <s v="Plaquettes d'ébauches carrées"/>
    <s v="10301115"/>
    <s v="BOUCHART LUDOVIC"/>
    <n v="5"/>
    <x v="0"/>
    <x v="3"/>
    <s v="PLAQUETTES"/>
    <x v="0"/>
    <n v="39.799999999999997"/>
  </r>
  <r>
    <d v="2025-03-21T05:34:01"/>
    <x v="0"/>
    <s v="Plaquettes d'ébauches rhombiques"/>
    <s v="10301115"/>
    <s v="BOUCHART LUDOVIC"/>
    <n v="5"/>
    <x v="0"/>
    <x v="3"/>
    <s v="PLAQUETTES"/>
    <x v="0"/>
    <n v="39.799999999999997"/>
  </r>
  <r>
    <d v="2025-03-21T05:34:16"/>
    <x v="4"/>
    <s v="Plaquettes de gorges"/>
    <s v="10301115"/>
    <s v="BOUCHART LUDOVIC"/>
    <n v="10"/>
    <x v="0"/>
    <x v="0"/>
    <s v="PLAQUETTES"/>
    <x v="0"/>
    <n v="188"/>
  </r>
  <r>
    <d v="2025-03-21T05:34:31"/>
    <x v="3"/>
    <s v="Plaquettes d'ébauches carrées"/>
    <s v="10301115"/>
    <s v="BOUCHART LUDOVIC"/>
    <n v="5"/>
    <x v="0"/>
    <x v="0"/>
    <s v="PLAQUETTES"/>
    <x v="0"/>
    <n v="39.799999999999997"/>
  </r>
  <r>
    <d v="2025-03-21T05:34:46"/>
    <x v="0"/>
    <s v="Plaquettes d'ébauches rhombiques"/>
    <s v="10301115"/>
    <s v="BOUCHART LUDOVIC"/>
    <n v="5"/>
    <x v="0"/>
    <x v="0"/>
    <s v="PLAQUETTES"/>
    <x v="0"/>
    <n v="39.799999999999997"/>
  </r>
  <r>
    <d v="2025-03-21T05:35:06"/>
    <x v="3"/>
    <s v="Plaquettes d'ébauches carrées"/>
    <s v="10301115"/>
    <s v="BOUCHART LUDOVIC"/>
    <n v="5"/>
    <x v="1"/>
    <x v="3"/>
    <s v="PLAQUETTES"/>
    <x v="2"/>
    <n v="39.799999999999997"/>
  </r>
  <r>
    <d v="2025-03-21T05:35:22"/>
    <x v="0"/>
    <s v="Plaquettes d'ébauches rhombiques"/>
    <s v="10301115"/>
    <s v="BOUCHART LUDOVIC"/>
    <n v="5"/>
    <x v="1"/>
    <x v="3"/>
    <s v="PLAQUETTES"/>
    <x v="2"/>
    <n v="39.799999999999997"/>
  </r>
  <r>
    <d v="2025-03-21T05:35:41"/>
    <x v="4"/>
    <s v="Plaquettes de gorges"/>
    <s v="10301115"/>
    <s v="BOUCHART LUDOVIC"/>
    <n v="10"/>
    <x v="1"/>
    <x v="0"/>
    <s v="PLAQUETTES"/>
    <x v="2"/>
    <n v="188"/>
  </r>
  <r>
    <d v="2025-03-21T05:35:58"/>
    <x v="3"/>
    <s v="Plaquettes d'ébauches carrées"/>
    <s v="10301115"/>
    <s v="BOUCHART LUDOVIC"/>
    <n v="5"/>
    <x v="1"/>
    <x v="0"/>
    <s v="PLAQUETTES"/>
    <x v="2"/>
    <n v="39.799999999999997"/>
  </r>
  <r>
    <d v="2025-03-21T05:36:17"/>
    <x v="0"/>
    <s v="Plaquettes d'ébauches rhombiques"/>
    <s v="10301115"/>
    <s v="BOUCHART LUDOVIC"/>
    <n v="5"/>
    <x v="1"/>
    <x v="0"/>
    <s v="PLAQUETTES"/>
    <x v="2"/>
    <n v="39.799999999999997"/>
  </r>
  <r>
    <d v="2025-03-21T05:47:20"/>
    <x v="2"/>
    <s v="Plaquettes de finition carrées"/>
    <s v="10301115"/>
    <s v="BOUCHART LUDOVIC"/>
    <n v="5"/>
    <x v="0"/>
    <x v="2"/>
    <s v="PLAQUETTES"/>
    <x v="0"/>
    <n v="47.8"/>
  </r>
  <r>
    <d v="2025-03-21T05:47:45"/>
    <x v="2"/>
    <s v="Plaquettes de finition carrées"/>
    <s v="10301115"/>
    <s v="BOUCHART LUDOVIC"/>
    <n v="5"/>
    <x v="1"/>
    <x v="2"/>
    <s v="PLAQUETTES"/>
    <x v="2"/>
    <n v="47.8"/>
  </r>
  <r>
    <d v="2025-03-21T06:17:26"/>
    <x v="2"/>
    <s v="Plaquettes de finition carrées"/>
    <s v="U509351"/>
    <s v="DELIAT CHRISTOPHE"/>
    <n v="5"/>
    <x v="0"/>
    <x v="2"/>
    <s v="PLAQUETTES"/>
    <x v="0"/>
    <n v="47.8"/>
  </r>
  <r>
    <d v="2025-03-21T06:17:41"/>
    <x v="2"/>
    <s v="Plaquettes de finition carrées"/>
    <s v="U509351"/>
    <s v="DELIAT CHRISTOPHE"/>
    <n v="5"/>
    <x v="1"/>
    <x v="2"/>
    <s v="PLAQUETTES"/>
    <x v="2"/>
    <n v="47.8"/>
  </r>
  <r>
    <d v="2025-03-21T08:26:01"/>
    <x v="3"/>
    <s v="Plaquettes d'ébauches carrées"/>
    <s v="12824586"/>
    <s v="DASILVA FERNANDO"/>
    <n v="5"/>
    <x v="0"/>
    <x v="3"/>
    <s v="PLAQUETTES"/>
    <x v="3"/>
    <n v="39.799999999999997"/>
  </r>
  <r>
    <d v="2025-03-21T20:02:22"/>
    <x v="3"/>
    <s v="Plaquettes d'ébauches carrées"/>
    <s v="SC95213"/>
    <s v="RABET PAULINE"/>
    <n v="5"/>
    <x v="0"/>
    <x v="3"/>
    <s v="PLAQUETTES"/>
    <x v="0"/>
    <n v="39.799999999999997"/>
  </r>
  <r>
    <d v="2025-03-22T01:36:22"/>
    <x v="4"/>
    <s v="Plaquettes de gorges"/>
    <s v="090225"/>
    <s v="MEYER THOMAS"/>
    <n v="10"/>
    <x v="0"/>
    <x v="0"/>
    <s v="PLAQUETTES"/>
    <x v="0"/>
    <n v="188"/>
  </r>
  <r>
    <d v="2025-03-22T01:36:35"/>
    <x v="4"/>
    <s v="Plaquettes de gorges"/>
    <s v="090225"/>
    <s v="MEYER THOMAS"/>
    <n v="10"/>
    <x v="1"/>
    <x v="0"/>
    <s v="PLAQUETTES"/>
    <x v="2"/>
    <n v="188"/>
  </r>
  <r>
    <d v="2025-03-22T05:07:53"/>
    <x v="3"/>
    <s v="Plaquettes d'ébauches carrées"/>
    <s v="10301115"/>
    <s v="BOUCHART LUDOVIC"/>
    <n v="5"/>
    <x v="0"/>
    <x v="3"/>
    <s v="PLAQUETTES"/>
    <x v="0"/>
    <n v="39.799999999999997"/>
  </r>
  <r>
    <d v="2025-03-22T05:08:08"/>
    <x v="0"/>
    <s v="Plaquettes d'ébauches rhombiques"/>
    <s v="10301115"/>
    <s v="BOUCHART LUDOVIC"/>
    <n v="5"/>
    <x v="0"/>
    <x v="3"/>
    <s v="PLAQUETTES"/>
    <x v="0"/>
    <n v="39.799999999999997"/>
  </r>
  <r>
    <d v="2025-03-22T05:08:23"/>
    <x v="4"/>
    <s v="Plaquettes de gorges"/>
    <s v="10301115"/>
    <s v="BOUCHART LUDOVIC"/>
    <n v="10"/>
    <x v="0"/>
    <x v="0"/>
    <s v="PLAQUETTES"/>
    <x v="0"/>
    <n v="188"/>
  </r>
  <r>
    <d v="2025-03-22T05:08:37"/>
    <x v="3"/>
    <s v="Plaquettes d'ébauches carrées"/>
    <s v="10301115"/>
    <s v="BOUCHART LUDOVIC"/>
    <n v="5"/>
    <x v="0"/>
    <x v="0"/>
    <s v="PLAQUETTES"/>
    <x v="0"/>
    <n v="39.799999999999997"/>
  </r>
  <r>
    <d v="2025-03-22T05:08:51"/>
    <x v="0"/>
    <s v="Plaquettes d'ébauches rhombiques"/>
    <s v="10301115"/>
    <s v="BOUCHART LUDOVIC"/>
    <n v="5"/>
    <x v="0"/>
    <x v="0"/>
    <s v="PLAQUETTES"/>
    <x v="0"/>
    <n v="39.799999999999997"/>
  </r>
  <r>
    <d v="2025-03-22T05:09:08"/>
    <x v="3"/>
    <s v="Plaquettes d'ébauches carrées"/>
    <s v="10301115"/>
    <s v="BOUCHART LUDOVIC"/>
    <n v="5"/>
    <x v="1"/>
    <x v="3"/>
    <s v="PLAQUETTES"/>
    <x v="2"/>
    <n v="39.799999999999997"/>
  </r>
  <r>
    <d v="2025-03-22T05:09:22"/>
    <x v="0"/>
    <s v="Plaquettes d'ébauches rhombiques"/>
    <s v="10301115"/>
    <s v="BOUCHART LUDOVIC"/>
    <n v="5"/>
    <x v="1"/>
    <x v="3"/>
    <s v="PLAQUETTES"/>
    <x v="2"/>
    <n v="39.799999999999997"/>
  </r>
  <r>
    <d v="2025-03-22T05:09:37"/>
    <x v="4"/>
    <s v="Plaquettes de gorges"/>
    <s v="10301115"/>
    <s v="BOUCHART LUDOVIC"/>
    <n v="10"/>
    <x v="1"/>
    <x v="0"/>
    <s v="PLAQUETTES"/>
    <x v="2"/>
    <n v="188"/>
  </r>
  <r>
    <d v="2025-03-22T05:09:51"/>
    <x v="3"/>
    <s v="Plaquettes d'ébauches carrées"/>
    <s v="10301115"/>
    <s v="BOUCHART LUDOVIC"/>
    <n v="5"/>
    <x v="1"/>
    <x v="0"/>
    <s v="PLAQUETTES"/>
    <x v="2"/>
    <n v="39.799999999999997"/>
  </r>
  <r>
    <d v="2025-03-22T05:10:04"/>
    <x v="0"/>
    <s v="Plaquettes d'ébauches rhombiques"/>
    <s v="10301115"/>
    <s v="BOUCHART LUDOVIC"/>
    <n v="5"/>
    <x v="1"/>
    <x v="0"/>
    <s v="PLAQUETTES"/>
    <x v="2"/>
    <n v="39.799999999999997"/>
  </r>
  <r>
    <d v="2025-03-22T05:10:20"/>
    <x v="2"/>
    <s v="Plaquettes de finition carrées"/>
    <s v="10301115"/>
    <s v="BOUCHART LUDOVIC"/>
    <n v="5"/>
    <x v="0"/>
    <x v="2"/>
    <s v="PLAQUETTES"/>
    <x v="0"/>
    <n v="47.8"/>
  </r>
  <r>
    <d v="2025-03-22T05:10:34"/>
    <x v="2"/>
    <s v="Plaquettes de finition carrées"/>
    <s v="10301115"/>
    <s v="BOUCHART LUDOVIC"/>
    <n v="5"/>
    <x v="0"/>
    <x v="2"/>
    <s v="PLAQUETTES"/>
    <x v="0"/>
    <n v="47.8"/>
  </r>
  <r>
    <d v="2025-03-22T05:10:53"/>
    <x v="2"/>
    <s v="Plaquettes de finition carrées"/>
    <s v="10301115"/>
    <s v="BOUCHART LUDOVIC"/>
    <n v="5"/>
    <x v="1"/>
    <x v="2"/>
    <s v="PLAQUETTES"/>
    <x v="2"/>
    <n v="47.8"/>
  </r>
  <r>
    <d v="2025-03-22T05:11:06"/>
    <x v="2"/>
    <s v="Plaquettes de finition carrées"/>
    <s v="10301115"/>
    <s v="BOUCHART LUDOVIC"/>
    <n v="5"/>
    <x v="1"/>
    <x v="2"/>
    <s v="PLAQUETTES"/>
    <x v="2"/>
    <n v="47.8"/>
  </r>
  <r>
    <d v="2025-03-23T17:52:50"/>
    <x v="3"/>
    <s v="Plaquettes d'ébauches carrées"/>
    <s v="10301115"/>
    <s v="BOUCHART LUDOVIC"/>
    <n v="5"/>
    <x v="0"/>
    <x v="3"/>
    <s v="PLAQUETTES"/>
    <x v="4"/>
    <n v="39.799999999999997"/>
  </r>
  <r>
    <d v="2025-03-23T17:53:10"/>
    <x v="0"/>
    <s v="Plaquettes d'ébauches rhombiques"/>
    <s v="10301115"/>
    <s v="BOUCHART LUDOVIC"/>
    <n v="5"/>
    <x v="0"/>
    <x v="3"/>
    <s v="PLAQUETTES"/>
    <x v="4"/>
    <n v="39.799999999999997"/>
  </r>
  <r>
    <d v="2025-03-23T17:53:25"/>
    <x v="4"/>
    <s v="Plaquettes de gorges"/>
    <s v="10301115"/>
    <s v="BOUCHART LUDOVIC"/>
    <n v="10"/>
    <x v="0"/>
    <x v="0"/>
    <s v="PLAQUETTES"/>
    <x v="4"/>
    <n v="188"/>
  </r>
  <r>
    <d v="2025-03-23T17:53:39"/>
    <x v="3"/>
    <s v="Plaquettes d'ébauches carrées"/>
    <s v="10301115"/>
    <s v="BOUCHART LUDOVIC"/>
    <n v="5"/>
    <x v="0"/>
    <x v="0"/>
    <s v="PLAQUETTES"/>
    <x v="4"/>
    <n v="39.799999999999997"/>
  </r>
  <r>
    <d v="2025-03-23T17:53:53"/>
    <x v="0"/>
    <s v="Plaquettes d'ébauches rhombiques"/>
    <s v="10301115"/>
    <s v="BOUCHART LUDOVIC"/>
    <n v="5"/>
    <x v="0"/>
    <x v="0"/>
    <s v="PLAQUETTES"/>
    <x v="4"/>
    <n v="39.799999999999997"/>
  </r>
  <r>
    <d v="2025-03-23T17:54:08"/>
    <x v="2"/>
    <s v="Plaquettes de finition carrées"/>
    <s v="10301115"/>
    <s v="BOUCHART LUDOVIC"/>
    <n v="5"/>
    <x v="0"/>
    <x v="2"/>
    <s v="PLAQUETTES"/>
    <x v="4"/>
    <n v="47.8"/>
  </r>
  <r>
    <d v="2025-03-23T17:54:23"/>
    <x v="3"/>
    <s v="Plaquettes d'ébauches carrées"/>
    <s v="10301115"/>
    <s v="BOUCHART LUDOVIC"/>
    <n v="5"/>
    <x v="1"/>
    <x v="3"/>
    <s v="PLAQUETTES"/>
    <x v="2"/>
    <n v="39.799999999999997"/>
  </r>
  <r>
    <d v="2025-03-23T17:54:36"/>
    <x v="0"/>
    <s v="Plaquettes d'ébauches rhombiques"/>
    <s v="10301115"/>
    <s v="BOUCHART LUDOVIC"/>
    <n v="5"/>
    <x v="1"/>
    <x v="3"/>
    <s v="PLAQUETTES"/>
    <x v="2"/>
    <n v="39.799999999999997"/>
  </r>
  <r>
    <d v="2025-03-23T17:54:50"/>
    <x v="4"/>
    <s v="Plaquettes de gorges"/>
    <s v="10301115"/>
    <s v="BOUCHART LUDOVIC"/>
    <n v="10"/>
    <x v="1"/>
    <x v="0"/>
    <s v="PLAQUETTES"/>
    <x v="2"/>
    <n v="188"/>
  </r>
  <r>
    <d v="2025-03-23T17:55:05"/>
    <x v="3"/>
    <s v="Plaquettes d'ébauches carrées"/>
    <s v="10301115"/>
    <s v="BOUCHART LUDOVIC"/>
    <n v="5"/>
    <x v="1"/>
    <x v="0"/>
    <s v="PLAQUETTES"/>
    <x v="2"/>
    <n v="39.799999999999997"/>
  </r>
  <r>
    <d v="2025-03-23T17:55:20"/>
    <x v="0"/>
    <s v="Plaquettes d'ébauches rhombiques"/>
    <s v="10301115"/>
    <s v="BOUCHART LUDOVIC"/>
    <n v="5"/>
    <x v="1"/>
    <x v="0"/>
    <s v="PLAQUETTES"/>
    <x v="2"/>
    <n v="39.799999999999997"/>
  </r>
  <r>
    <d v="2025-03-23T17:55:41"/>
    <x v="2"/>
    <s v="Plaquettes de finition carrées"/>
    <s v="10301115"/>
    <s v="BOUCHART LUDOVIC"/>
    <n v="5"/>
    <x v="1"/>
    <x v="2"/>
    <s v="PLAQUETTES"/>
    <x v="2"/>
    <n v="47.8"/>
  </r>
  <r>
    <d v="2025-03-23T18:15:29"/>
    <x v="2"/>
    <s v="Plaquettes de finition carrées"/>
    <s v="U509351"/>
    <s v="DELIAT CHRISTOPHE"/>
    <n v="5"/>
    <x v="0"/>
    <x v="2"/>
    <s v="PLAQUETTES"/>
    <x v="4"/>
    <n v="47.8"/>
  </r>
  <r>
    <d v="2025-03-23T18:15:54"/>
    <x v="2"/>
    <s v="Plaquettes de finition carrées"/>
    <s v="U509351"/>
    <s v="DELIAT CHRISTOPHE"/>
    <n v="5"/>
    <x v="1"/>
    <x v="2"/>
    <s v="PLAQUETTES"/>
    <x v="2"/>
    <n v="47.8"/>
  </r>
  <r>
    <d v="2025-03-24T06:15:04"/>
    <x v="3"/>
    <s v="Plaquettes d'ébauches carrées"/>
    <s v="SC95213"/>
    <s v="RABET PAULINE"/>
    <n v="5"/>
    <x v="0"/>
    <x v="0"/>
    <s v="PLAQUETTES"/>
    <x v="4"/>
    <n v="39.799999999999997"/>
  </r>
  <r>
    <d v="2025-03-24T21:33:55"/>
    <x v="3"/>
    <s v="Plaquettes d'ébauches carrées"/>
    <s v="31224"/>
    <s v="BIDOT MURIEL"/>
    <n v="5"/>
    <x v="0"/>
    <x v="3"/>
    <s v="PLAQUETTES"/>
    <x v="4"/>
    <n v="39.799999999999997"/>
  </r>
  <r>
    <d v="2025-03-24T21:34:10"/>
    <x v="3"/>
    <s v="Plaquettes d'ébauches carrées"/>
    <s v="31224"/>
    <s v="BIDOT MURIEL"/>
    <n v="5"/>
    <x v="0"/>
    <x v="3"/>
    <s v="PLAQUETTES"/>
    <x v="4"/>
    <n v="39.799999999999997"/>
  </r>
  <r>
    <d v="2025-03-24T21:34:27"/>
    <x v="0"/>
    <s v="Plaquettes d'ébauches rhombiques"/>
    <s v="31224"/>
    <s v="BIDOT MURIEL"/>
    <n v="5"/>
    <x v="0"/>
    <x v="3"/>
    <s v="PLAQUETTES"/>
    <x v="4"/>
    <n v="39.799999999999997"/>
  </r>
  <r>
    <d v="2025-03-24T21:34:43"/>
    <x v="4"/>
    <s v="Plaquettes de gorges"/>
    <s v="31224"/>
    <s v="BIDOT MURIEL"/>
    <n v="10"/>
    <x v="0"/>
    <x v="0"/>
    <s v="PLAQUETTES"/>
    <x v="4"/>
    <n v="188"/>
  </r>
  <r>
    <d v="2025-03-24T21:35:00"/>
    <x v="2"/>
    <s v="Plaquettes de finition carrées"/>
    <s v="31224"/>
    <s v="BIDOT MURIEL"/>
    <n v="5"/>
    <x v="0"/>
    <x v="2"/>
    <s v="PLAQUETTES"/>
    <x v="4"/>
    <n v="47.8"/>
  </r>
  <r>
    <d v="2025-03-24T21:35:22"/>
    <x v="2"/>
    <s v="Plaquettes de finition carrées"/>
    <s v="31224"/>
    <s v="BIDOT MURIEL"/>
    <n v="5"/>
    <x v="0"/>
    <x v="2"/>
    <s v="PLAQUETTES"/>
    <x v="4"/>
    <n v="47.8"/>
  </r>
  <r>
    <d v="2025-03-24T21:35:35"/>
    <x v="2"/>
    <s v="Plaquettes de finition carrées"/>
    <s v="31224"/>
    <s v="BIDOT MURIEL"/>
    <n v="5"/>
    <x v="0"/>
    <x v="2"/>
    <s v="PLAQUETTES"/>
    <x v="4"/>
    <n v="47.8"/>
  </r>
  <r>
    <d v="2025-03-25T04:24:33"/>
    <x v="3"/>
    <s v="Plaquettes d'ébauches carrées"/>
    <s v="SE08251"/>
    <s v="FAYET AYMERIC"/>
    <n v="5"/>
    <x v="0"/>
    <x v="3"/>
    <s v="PLAQUETTES"/>
    <x v="4"/>
    <n v="39.799999999999997"/>
  </r>
  <r>
    <d v="2025-03-25T05:35:09"/>
    <x v="3"/>
    <s v="Plaquettes d'ébauches carrées"/>
    <s v="16340494"/>
    <s v="BRIMUSSE AURELIE"/>
    <n v="5"/>
    <x v="1"/>
    <x v="3"/>
    <s v="PLAQUETTES"/>
    <x v="2"/>
    <n v="39.799999999999997"/>
  </r>
  <r>
    <d v="2025-03-25T05:35:25"/>
    <x v="3"/>
    <s v="Plaquettes d'ébauches carrées"/>
    <s v="16340494"/>
    <s v="BRIMUSSE AURELIE"/>
    <n v="5"/>
    <x v="1"/>
    <x v="0"/>
    <s v="PLAQUETTES"/>
    <x v="2"/>
    <n v="39.799999999999997"/>
  </r>
  <r>
    <d v="2025-03-25T05:35:41"/>
    <x v="4"/>
    <s v="Plaquettes de gorges"/>
    <s v="16340494"/>
    <s v="BRIMUSSE AURELIE"/>
    <n v="10"/>
    <x v="1"/>
    <x v="0"/>
    <s v="PLAQUETTES"/>
    <x v="2"/>
    <n v="188"/>
  </r>
  <r>
    <d v="2025-03-25T17:19:20"/>
    <x v="2"/>
    <s v="Plaquettes de finition carrées"/>
    <s v="7236310"/>
    <s v="OZYURT IREM"/>
    <n v="5"/>
    <x v="1"/>
    <x v="2"/>
    <s v="PLAQUETTES"/>
    <x v="3"/>
    <n v="47.8"/>
  </r>
  <r>
    <d v="2025-03-25T20:37:06"/>
    <x v="3"/>
    <s v="Plaquettes d'ébauches carrées"/>
    <s v="090225"/>
    <s v="MEYER THOMAS"/>
    <n v="5"/>
    <x v="0"/>
    <x v="3"/>
    <s v="PLAQUETTES"/>
    <x v="4"/>
    <n v="39.799999999999997"/>
  </r>
  <r>
    <d v="2025-03-25T20:37:25"/>
    <x v="3"/>
    <s v="Plaquettes d'ébauches carrées"/>
    <s v="090225"/>
    <s v="MEYER THOMAS"/>
    <n v="5"/>
    <x v="1"/>
    <x v="3"/>
    <s v="PLAQUETTES"/>
    <x v="3"/>
    <n v="39.799999999999997"/>
  </r>
  <r>
    <d v="2025-03-25T20:37:39"/>
    <x v="3"/>
    <s v="Plaquettes d'ébauches carrées"/>
    <s v="090225"/>
    <s v="MEYER THOMAS"/>
    <n v="5"/>
    <x v="0"/>
    <x v="0"/>
    <s v="PLAQUETTES"/>
    <x v="4"/>
    <n v="39.799999999999997"/>
  </r>
  <r>
    <d v="2025-03-25T21:20:07"/>
    <x v="3"/>
    <s v="Plaquettes d'ébauches carrées"/>
    <s v="31224"/>
    <s v="BIDOT MURIEL"/>
    <n v="5"/>
    <x v="0"/>
    <x v="3"/>
    <s v="PLAQUETTES"/>
    <x v="4"/>
    <n v="39.799999999999997"/>
  </r>
  <r>
    <d v="2025-03-25T21:20:22"/>
    <x v="3"/>
    <s v="Plaquettes d'ébauches carrées"/>
    <s v="31224"/>
    <s v="BIDOT MURIEL"/>
    <n v="5"/>
    <x v="0"/>
    <x v="3"/>
    <s v="PLAQUETTES"/>
    <x v="4"/>
    <n v="39.799999999999997"/>
  </r>
  <r>
    <d v="2025-03-25T21:20:50"/>
    <x v="0"/>
    <s v="Plaquettes d'ébauches rhombiques"/>
    <s v="31224"/>
    <s v="BIDOT MURIEL"/>
    <n v="5"/>
    <x v="0"/>
    <x v="3"/>
    <s v="PLAQUETTES"/>
    <x v="4"/>
    <n v="39.799999999999997"/>
  </r>
  <r>
    <d v="2025-03-25T21:21:03"/>
    <x v="0"/>
    <s v="Plaquettes d'ébauches rhombiques"/>
    <s v="31224"/>
    <s v="BIDOT MURIEL"/>
    <n v="5"/>
    <x v="0"/>
    <x v="3"/>
    <s v="PLAQUETTES"/>
    <x v="4"/>
    <n v="39.799999999999997"/>
  </r>
  <r>
    <d v="2025-03-25T21:21:18"/>
    <x v="2"/>
    <s v="Plaquettes de finition carrées"/>
    <s v="31224"/>
    <s v="BIDOT MURIEL"/>
    <n v="5"/>
    <x v="0"/>
    <x v="2"/>
    <s v="PLAQUETTES"/>
    <x v="4"/>
    <n v="47.8"/>
  </r>
  <r>
    <d v="2025-03-25T21:21:32"/>
    <x v="2"/>
    <s v="Plaquettes de finition carrées"/>
    <s v="31224"/>
    <s v="BIDOT MURIEL"/>
    <n v="5"/>
    <x v="0"/>
    <x v="2"/>
    <s v="PLAQUETTES"/>
    <x v="4"/>
    <n v="47.8"/>
  </r>
  <r>
    <d v="2025-03-25T21:21:51"/>
    <x v="2"/>
    <s v="Plaquettes de finition carrées"/>
    <s v="31224"/>
    <s v="BIDOT MURIEL"/>
    <n v="5"/>
    <x v="0"/>
    <x v="2"/>
    <s v="PLAQUETTES"/>
    <x v="4"/>
    <n v="47.8"/>
  </r>
  <r>
    <d v="2025-03-26T01:05:05"/>
    <x v="4"/>
    <s v="Plaquettes de gorges"/>
    <s v="SE08251"/>
    <s v="FAYET AYMERIC"/>
    <n v="10"/>
    <x v="0"/>
    <x v="0"/>
    <s v="PLAQUETTES"/>
    <x v="4"/>
    <n v="188"/>
  </r>
  <r>
    <d v="2025-03-26T05:08:51"/>
    <x v="3"/>
    <s v="Plaquettes d'ébauches carrées"/>
    <s v="16340494"/>
    <s v="BRIMUSSE AURELIE"/>
    <n v="5"/>
    <x v="1"/>
    <x v="0"/>
    <s v="PLAQUETTES"/>
    <x v="3"/>
    <n v="39.799999999999997"/>
  </r>
  <r>
    <d v="2025-03-26T05:09:03"/>
    <x v="0"/>
    <s v="Plaquettes d'ébauches rhombiques"/>
    <s v="16340494"/>
    <s v="BRIMUSSE AURELIE"/>
    <n v="5"/>
    <x v="1"/>
    <x v="0"/>
    <s v="PLAQUETTES"/>
    <x v="3"/>
    <n v="39.799999999999997"/>
  </r>
  <r>
    <d v="2025-03-26T05:09:19"/>
    <x v="3"/>
    <s v="Plaquettes d'ébauches carrées"/>
    <s v="16340494"/>
    <s v="BRIMUSSE AURELIE"/>
    <n v="5"/>
    <x v="1"/>
    <x v="3"/>
    <s v="PLAQUETTES"/>
    <x v="3"/>
    <n v="39.799999999999997"/>
  </r>
  <r>
    <d v="2025-03-26T05:09:34"/>
    <x v="5"/>
    <s v="Plaquettes de finition"/>
    <s v="16340494"/>
    <s v="BRIMUSSE AURELIE"/>
    <n v="5"/>
    <x v="1"/>
    <x v="2"/>
    <s v="PLAQUETTES"/>
    <x v="3"/>
    <n v="42.5"/>
  </r>
  <r>
    <d v="2025-03-26T05:09:58"/>
    <x v="6"/>
    <s v="Plaquettes de finition triangulaires"/>
    <s v="16340494"/>
    <s v="BRIMUSSE AURELIE"/>
    <n v="5"/>
    <x v="1"/>
    <x v="2"/>
    <s v="PLAQUETTES"/>
    <x v="3"/>
    <n v="48.7"/>
  </r>
  <r>
    <d v="2025-03-26T05:10:12"/>
    <x v="2"/>
    <s v="Plaquettes de finition carrées"/>
    <s v="16340494"/>
    <s v="BRIMUSSE AURELIE"/>
    <n v="5"/>
    <x v="1"/>
    <x v="2"/>
    <s v="PLAQUETTES"/>
    <x v="3"/>
    <n v="47.8"/>
  </r>
  <r>
    <d v="2025-03-26T13:53:24"/>
    <x v="3"/>
    <s v="Plaquettes d'ébauches carrées"/>
    <s v="090225"/>
    <s v="MEYER THOMAS"/>
    <n v="5"/>
    <x v="1"/>
    <x v="3"/>
    <s v="PLAQUETTES"/>
    <x v="3"/>
    <n v="39.799999999999997"/>
  </r>
  <r>
    <d v="2025-03-26T13:53:46"/>
    <x v="0"/>
    <s v="Plaquettes d'ébauches rhombiques"/>
    <s v="090225"/>
    <s v="MEYER THOMAS"/>
    <n v="5"/>
    <x v="0"/>
    <x v="3"/>
    <s v="PLAQUETTES"/>
    <x v="4"/>
    <n v="39.799999999999997"/>
  </r>
  <r>
    <d v="2025-03-26T18:17:02"/>
    <x v="4"/>
    <s v="Plaquettes de gorges"/>
    <s v="090225"/>
    <s v="MEYER THOMAS"/>
    <n v="10"/>
    <x v="0"/>
    <x v="0"/>
    <s v="PLAQUETTES"/>
    <x v="4"/>
    <n v="188"/>
  </r>
  <r>
    <d v="2025-03-26T18:32:05"/>
    <x v="2"/>
    <s v="Plaquettes de finition carrées"/>
    <s v="7236310"/>
    <s v="OZYURT IREM"/>
    <n v="5"/>
    <x v="0"/>
    <x v="2"/>
    <s v="PLAQUETTES"/>
    <x v="4"/>
    <n v="47.8"/>
  </r>
  <r>
    <d v="2025-03-26T18:32:30"/>
    <x v="2"/>
    <s v="Plaquettes de finition carrées"/>
    <s v="7236310"/>
    <s v="OZYURT IREM"/>
    <n v="5"/>
    <x v="1"/>
    <x v="2"/>
    <s v="PLAQUETTES"/>
    <x v="3"/>
    <n v="47.8"/>
  </r>
  <r>
    <d v="2025-03-26T21:14:07"/>
    <x v="3"/>
    <s v="Plaquettes d'ébauches carrées"/>
    <s v="31224"/>
    <s v="BIDOT MURIEL"/>
    <n v="5"/>
    <x v="0"/>
    <x v="3"/>
    <s v="PLAQUETTES"/>
    <x v="4"/>
    <n v="39.799999999999997"/>
  </r>
  <r>
    <d v="2025-03-26T21:14:22"/>
    <x v="3"/>
    <s v="Plaquettes d'ébauches carrées"/>
    <s v="31224"/>
    <s v="BIDOT MURIEL"/>
    <n v="5"/>
    <x v="0"/>
    <x v="3"/>
    <s v="PLAQUETTES"/>
    <x v="4"/>
    <n v="39.799999999999997"/>
  </r>
  <r>
    <d v="2025-03-26T21:14:46"/>
    <x v="0"/>
    <s v="Plaquettes d'ébauches rhombiques"/>
    <s v="31224"/>
    <s v="BIDOT MURIEL"/>
    <n v="5"/>
    <x v="0"/>
    <x v="3"/>
    <s v="PLAQUETTES"/>
    <x v="4"/>
    <n v="39.799999999999997"/>
  </r>
  <r>
    <d v="2025-03-26T21:15:10"/>
    <x v="2"/>
    <s v="Plaquettes de finition carrées"/>
    <s v="31224"/>
    <s v="BIDOT MURIEL"/>
    <n v="5"/>
    <x v="0"/>
    <x v="2"/>
    <s v="PLAQUETTES"/>
    <x v="4"/>
    <n v="47.8"/>
  </r>
  <r>
    <d v="2025-03-26T21:15:26"/>
    <x v="2"/>
    <s v="Plaquettes de finition carrées"/>
    <s v="31224"/>
    <s v="BIDOT MURIEL"/>
    <n v="5"/>
    <x v="0"/>
    <x v="2"/>
    <s v="PLAQUETTES"/>
    <x v="4"/>
    <n v="47.8"/>
  </r>
  <r>
    <d v="2025-03-26T21:15:45"/>
    <x v="2"/>
    <s v="Plaquettes de finition carrées"/>
    <s v="31224"/>
    <s v="BIDOT MURIEL"/>
    <n v="5"/>
    <x v="0"/>
    <x v="2"/>
    <s v="PLAQUETTES"/>
    <x v="4"/>
    <n v="47.8"/>
  </r>
  <r>
    <d v="2025-03-27T03:25:38"/>
    <x v="2"/>
    <s v="Plaquettes de finition carrées"/>
    <s v="SE08251"/>
    <s v="FAYET AYMERIC"/>
    <n v="5"/>
    <x v="1"/>
    <x v="2"/>
    <s v="PLAQUETTES"/>
    <x v="3"/>
    <n v="47.8"/>
  </r>
  <r>
    <d v="2025-03-27T03:26:03"/>
    <x v="5"/>
    <s v="Plaquettes de finition"/>
    <s v="SE08251"/>
    <s v="FAYET AYMERIC"/>
    <n v="5"/>
    <x v="1"/>
    <x v="2"/>
    <s v="PLAQUETTES"/>
    <x v="3"/>
    <n v="42.5"/>
  </r>
  <r>
    <d v="2025-03-27T03:26:20"/>
    <x v="6"/>
    <s v="Plaquettes de finition triangulaires"/>
    <s v="SE08251"/>
    <s v="FAYET AYMERIC"/>
    <n v="5"/>
    <x v="1"/>
    <x v="2"/>
    <s v="PLAQUETTES"/>
    <x v="3"/>
    <n v="48.7"/>
  </r>
  <r>
    <d v="2025-03-27T05:49:33"/>
    <x v="4"/>
    <s v="Plaquettes de gorges"/>
    <s v="SC95213"/>
    <s v="RABET PAULINE"/>
    <n v="10"/>
    <x v="0"/>
    <x v="0"/>
    <s v="PLAQUETTES"/>
    <x v="4"/>
    <n v="188"/>
  </r>
  <r>
    <d v="2025-03-27T05:58:52"/>
    <x v="3"/>
    <s v="Plaquettes d'ébauches carrées"/>
    <s v="16340494"/>
    <s v="BRIMUSSE AURELIE"/>
    <n v="5"/>
    <x v="1"/>
    <x v="3"/>
    <s v="PLAQUETTES"/>
    <x v="3"/>
    <n v="39.799999999999997"/>
  </r>
  <r>
    <d v="2025-03-27T05:59:09"/>
    <x v="0"/>
    <s v="Plaquettes d'ébauches rhombiques"/>
    <s v="16340494"/>
    <s v="BRIMUSSE AURELIE"/>
    <n v="5"/>
    <x v="1"/>
    <x v="3"/>
    <s v="PLAQUETTES"/>
    <x v="3"/>
    <n v="39.799999999999997"/>
  </r>
  <r>
    <d v="2025-03-27T05:59:26"/>
    <x v="3"/>
    <s v="Plaquettes d'ébauches carrées"/>
    <s v="16340494"/>
    <s v="BRIMUSSE AURELIE"/>
    <n v="5"/>
    <x v="1"/>
    <x v="0"/>
    <s v="PLAQUETTES"/>
    <x v="3"/>
    <n v="39.799999999999997"/>
  </r>
  <r>
    <d v="2025-03-27T05:59:45"/>
    <x v="0"/>
    <s v="Plaquettes d'ébauches rhombiques"/>
    <s v="16340494"/>
    <s v="BRIMUSSE AURELIE"/>
    <n v="5"/>
    <x v="1"/>
    <x v="0"/>
    <s v="PLAQUETTES"/>
    <x v="3"/>
    <n v="39.799999999999997"/>
  </r>
  <r>
    <d v="2025-03-27T06:00:11"/>
    <x v="2"/>
    <s v="Plaquettes de finition carrées"/>
    <s v="16340494"/>
    <s v="BRIMUSSE AURELIE"/>
    <n v="5"/>
    <x v="1"/>
    <x v="2"/>
    <s v="PLAQUETTES"/>
    <x v="3"/>
    <n v="47.8"/>
  </r>
  <r>
    <d v="2025-03-27T21:38:07"/>
    <x v="3"/>
    <s v="Plaquettes d'ébauches carrées"/>
    <s v="31224"/>
    <s v="BIDOT MURIEL"/>
    <n v="5"/>
    <x v="0"/>
    <x v="3"/>
    <s v="PLAQUETTES"/>
    <x v="4"/>
    <n v="39.799999999999997"/>
  </r>
  <r>
    <d v="2025-03-27T21:38:22"/>
    <x v="3"/>
    <s v="Plaquettes d'ébauches carrées"/>
    <s v="31224"/>
    <s v="BIDOT MURIEL"/>
    <n v="5"/>
    <x v="0"/>
    <x v="3"/>
    <s v="PLAQUETTES"/>
    <x v="4"/>
    <n v="39.799999999999997"/>
  </r>
  <r>
    <d v="2025-03-27T21:38:40"/>
    <x v="0"/>
    <s v="Plaquettes d'ébauches rhombiques"/>
    <s v="31224"/>
    <s v="BIDOT MURIEL"/>
    <n v="5"/>
    <x v="0"/>
    <x v="3"/>
    <s v="PLAQUETTES"/>
    <x v="4"/>
    <n v="39.799999999999997"/>
  </r>
  <r>
    <d v="2025-03-27T21:38:57"/>
    <x v="0"/>
    <s v="Plaquettes d'ébauches rhombiques"/>
    <s v="31224"/>
    <s v="BIDOT MURIEL"/>
    <n v="5"/>
    <x v="0"/>
    <x v="3"/>
    <s v="PLAQUETTES"/>
    <x v="4"/>
    <n v="39.799999999999997"/>
  </r>
  <r>
    <d v="2025-03-27T21:39:12"/>
    <x v="4"/>
    <s v="Plaquettes de gorges"/>
    <s v="31224"/>
    <s v="BIDOT MURIEL"/>
    <n v="10"/>
    <x v="0"/>
    <x v="0"/>
    <s v="PLAQUETTES"/>
    <x v="4"/>
    <n v="188"/>
  </r>
  <r>
    <d v="2025-03-27T21:39:27"/>
    <x v="2"/>
    <s v="Plaquettes de finition carrées"/>
    <s v="31224"/>
    <s v="BIDOT MURIEL"/>
    <n v="5"/>
    <x v="0"/>
    <x v="2"/>
    <s v="PLAQUETTES"/>
    <x v="4"/>
    <n v="47.8"/>
  </r>
  <r>
    <d v="2025-03-27T21:39:47"/>
    <x v="2"/>
    <s v="Plaquettes de finition carrées"/>
    <s v="31224"/>
    <s v="BIDOT MURIEL"/>
    <n v="5"/>
    <x v="0"/>
    <x v="2"/>
    <s v="PLAQUETTES"/>
    <x v="4"/>
    <n v="47.8"/>
  </r>
  <r>
    <d v="2025-03-27T21:40:03"/>
    <x v="2"/>
    <s v="Plaquettes de finition carrées"/>
    <s v="31224"/>
    <s v="BIDOT MURIEL"/>
    <n v="5"/>
    <x v="0"/>
    <x v="2"/>
    <s v="PLAQUETTES"/>
    <x v="4"/>
    <n v="47.8"/>
  </r>
  <r>
    <d v="2025-03-27T21:40:27"/>
    <x v="6"/>
    <s v="Plaquettes de finition triangulaires"/>
    <s v="31224"/>
    <s v="BIDOT MURIEL"/>
    <n v="5"/>
    <x v="1"/>
    <x v="2"/>
    <s v="PLAQUETTES"/>
    <x v="3"/>
    <n v="48.7"/>
  </r>
  <r>
    <d v="2025-03-28T08:38:19"/>
    <x v="3"/>
    <s v="Plaquettes d'ébauches carrées"/>
    <s v="10301115"/>
    <s v="BOUCHART LUDOVIC"/>
    <n v="5"/>
    <x v="1"/>
    <x v="3"/>
    <s v="PLAQUETTES"/>
    <x v="3"/>
    <n v="39.799999999999997"/>
  </r>
  <r>
    <d v="2025-03-28T08:38:43"/>
    <x v="0"/>
    <s v="Plaquettes d'ébauches rhombiques"/>
    <s v="10301115"/>
    <s v="BOUCHART LUDOVIC"/>
    <n v="5"/>
    <x v="1"/>
    <x v="3"/>
    <s v="PLAQUETTES"/>
    <x v="3"/>
    <n v="39.799999999999997"/>
  </r>
  <r>
    <d v="2025-03-28T08:39:00"/>
    <x v="3"/>
    <s v="Plaquettes d'ébauches carrées"/>
    <s v="10301115"/>
    <s v="BOUCHART LUDOVIC"/>
    <n v="5"/>
    <x v="1"/>
    <x v="0"/>
    <s v="PLAQUETTES"/>
    <x v="3"/>
    <n v="39.799999999999997"/>
  </r>
  <r>
    <d v="2025-03-28T08:39:20"/>
    <x v="0"/>
    <s v="Plaquettes d'ébauches rhombiques"/>
    <s v="10301115"/>
    <s v="BOUCHART LUDOVIC"/>
    <n v="5"/>
    <x v="1"/>
    <x v="0"/>
    <s v="PLAQUETTES"/>
    <x v="3"/>
    <n v="39.799999999999997"/>
  </r>
  <r>
    <d v="2025-03-28T08:40:13"/>
    <x v="2"/>
    <s v="Plaquettes de finition carrées"/>
    <s v="10301115"/>
    <s v="BOUCHART LUDOVIC"/>
    <n v="5"/>
    <x v="1"/>
    <x v="2"/>
    <s v="PLAQUETTES"/>
    <x v="3"/>
    <n v="47.8"/>
  </r>
  <r>
    <d v="2025-03-28T09:15:19"/>
    <x v="6"/>
    <s v="Plaquettes de finition triangulaires"/>
    <s v="12824586"/>
    <s v="DASILVA FERNANDO"/>
    <n v="5"/>
    <x v="0"/>
    <x v="2"/>
    <s v="PLAQUETTES"/>
    <x v="3"/>
    <n v="48.7"/>
  </r>
  <r>
    <d v="2025-03-28T09:50:19"/>
    <x v="3"/>
    <s v="Plaquettes d'ébauches carrées"/>
    <s v="10301115"/>
    <s v="BOUCHART LUDOVIC"/>
    <n v="5"/>
    <x v="0"/>
    <x v="3"/>
    <s v="PLAQUETTES"/>
    <x v="4"/>
    <n v="39.799999999999997"/>
  </r>
  <r>
    <d v="2025-03-28T09:50:32"/>
    <x v="0"/>
    <s v="Plaquettes d'ébauches rhombiques"/>
    <s v="10301115"/>
    <s v="BOUCHART LUDOVIC"/>
    <n v="5"/>
    <x v="0"/>
    <x v="3"/>
    <s v="PLAQUETTES"/>
    <x v="4"/>
    <n v="39.799999999999997"/>
  </r>
  <r>
    <d v="2025-03-28T09:50:47"/>
    <x v="4"/>
    <s v="Plaquettes de gorges"/>
    <s v="10301115"/>
    <s v="BOUCHART LUDOVIC"/>
    <n v="10"/>
    <x v="0"/>
    <x v="0"/>
    <s v="PLAQUETTES"/>
    <x v="4"/>
    <n v="188"/>
  </r>
  <r>
    <d v="2025-03-28T09:51:04"/>
    <x v="3"/>
    <s v="Plaquettes d'ébauches carrées"/>
    <s v="10301115"/>
    <s v="BOUCHART LUDOVIC"/>
    <n v="5"/>
    <x v="0"/>
    <x v="0"/>
    <s v="PLAQUETTES"/>
    <x v="4"/>
    <n v="39.799999999999997"/>
  </r>
  <r>
    <d v="2025-03-28T09:51:18"/>
    <x v="0"/>
    <s v="Plaquettes d'ébauches rhombiques"/>
    <s v="10301115"/>
    <s v="BOUCHART LUDOVIC"/>
    <n v="5"/>
    <x v="0"/>
    <x v="0"/>
    <s v="PLAQUETTES"/>
    <x v="4"/>
    <n v="39.799999999999997"/>
  </r>
  <r>
    <d v="2025-03-28T09:51:36"/>
    <x v="2"/>
    <s v="Plaquettes de finition carrées"/>
    <s v="10301115"/>
    <s v="BOUCHART LUDOVIC"/>
    <n v="5"/>
    <x v="0"/>
    <x v="2"/>
    <s v="PLAQUETTES"/>
    <x v="4"/>
    <n v="47.8"/>
  </r>
  <r>
    <d v="2025-03-28T21:13:27"/>
    <x v="3"/>
    <s v="Plaquettes d'ébauches carrées"/>
    <s v="31224"/>
    <s v="BIDOT MURIEL"/>
    <n v="5"/>
    <x v="0"/>
    <x v="3"/>
    <s v="PLAQUETTES"/>
    <x v="0"/>
    <n v="39.799999999999997"/>
  </r>
  <r>
    <d v="2025-03-28T21:13:42"/>
    <x v="2"/>
    <s v="Plaquettes de finition carrées"/>
    <s v="31224"/>
    <s v="BIDOT MURIEL"/>
    <n v="5"/>
    <x v="0"/>
    <x v="2"/>
    <s v="PLAQUETTES"/>
    <x v="0"/>
    <n v="47.8"/>
  </r>
  <r>
    <d v="2025-03-28T21:13:59"/>
    <x v="2"/>
    <s v="Plaquettes de finition carrées"/>
    <s v="31224"/>
    <s v="BIDOT MURIEL"/>
    <n v="5"/>
    <x v="0"/>
    <x v="2"/>
    <s v="PLAQUETTES"/>
    <x v="0"/>
    <n v="47.8"/>
  </r>
  <r>
    <d v="2025-03-29T05:09:26"/>
    <x v="3"/>
    <s v="Plaquettes d'ébauches carrées"/>
    <s v="10301115"/>
    <s v="BOUCHART LUDOVIC"/>
    <n v="5"/>
    <x v="0"/>
    <x v="3"/>
    <s v="PLAQUETTES"/>
    <x v="0"/>
    <n v="39.799999999999997"/>
  </r>
  <r>
    <d v="2025-03-29T05:09:41"/>
    <x v="0"/>
    <s v="Plaquettes d'ébauches rhombiques"/>
    <s v="10301115"/>
    <s v="BOUCHART LUDOVIC"/>
    <n v="5"/>
    <x v="0"/>
    <x v="3"/>
    <s v="PLAQUETTES"/>
    <x v="0"/>
    <n v="39.799999999999997"/>
  </r>
  <r>
    <d v="2025-03-29T05:09:59"/>
    <x v="4"/>
    <s v="Plaquettes de gorges"/>
    <s v="10301115"/>
    <s v="BOUCHART LUDOVIC"/>
    <n v="10"/>
    <x v="0"/>
    <x v="0"/>
    <s v="PLAQUETTES"/>
    <x v="0"/>
    <n v="188"/>
  </r>
  <r>
    <d v="2025-03-29T05:10:17"/>
    <x v="3"/>
    <s v="Plaquettes d'ébauches carrées"/>
    <s v="10301115"/>
    <s v="BOUCHART LUDOVIC"/>
    <n v="5"/>
    <x v="0"/>
    <x v="0"/>
    <s v="PLAQUETTES"/>
    <x v="0"/>
    <n v="39.799999999999997"/>
  </r>
  <r>
    <d v="2025-03-29T05:10:34"/>
    <x v="0"/>
    <s v="Plaquettes d'ébauches rhombiques"/>
    <s v="10301115"/>
    <s v="BOUCHART LUDOVIC"/>
    <n v="5"/>
    <x v="0"/>
    <x v="0"/>
    <s v="PLAQUETTES"/>
    <x v="0"/>
    <n v="39.799999999999997"/>
  </r>
  <r>
    <d v="2025-03-29T05:10:53"/>
    <x v="2"/>
    <s v="Plaquettes de finition carrées"/>
    <s v="10301115"/>
    <s v="BOUCHART LUDOVIC"/>
    <n v="5"/>
    <x v="0"/>
    <x v="2"/>
    <s v="PLAQUETTES"/>
    <x v="0"/>
    <n v="47.8"/>
  </r>
  <r>
    <d v="2025-03-29T05:11:11"/>
    <x v="3"/>
    <s v="Plaquettes d'ébauches carrées"/>
    <s v="10301115"/>
    <s v="BOUCHART LUDOVIC"/>
    <n v="5"/>
    <x v="1"/>
    <x v="3"/>
    <s v="PLAQUETTES"/>
    <x v="2"/>
    <n v="39.799999999999997"/>
  </r>
  <r>
    <d v="2025-03-29T05:11:35"/>
    <x v="0"/>
    <s v="Plaquettes d'ébauches rhombiques"/>
    <s v="10301115"/>
    <s v="BOUCHART LUDOVIC"/>
    <n v="5"/>
    <x v="1"/>
    <x v="3"/>
    <s v="PLAQUETTES"/>
    <x v="2"/>
    <n v="39.799999999999997"/>
  </r>
  <r>
    <d v="2025-03-29T05:11:51"/>
    <x v="4"/>
    <s v="Plaquettes de gorges"/>
    <s v="10301115"/>
    <s v="BOUCHART LUDOVIC"/>
    <n v="10"/>
    <x v="1"/>
    <x v="0"/>
    <s v="PLAQUETTES"/>
    <x v="2"/>
    <n v="188"/>
  </r>
  <r>
    <d v="2025-03-29T05:12:12"/>
    <x v="3"/>
    <s v="Plaquettes d'ébauches carrées"/>
    <s v="10301115"/>
    <s v="BOUCHART LUDOVIC"/>
    <n v="5"/>
    <x v="1"/>
    <x v="0"/>
    <s v="PLAQUETTES"/>
    <x v="2"/>
    <n v="39.799999999999997"/>
  </r>
  <r>
    <d v="2025-03-29T05:12:26"/>
    <x v="0"/>
    <s v="Plaquettes d'ébauches rhombiques"/>
    <s v="10301115"/>
    <s v="BOUCHART LUDOVIC"/>
    <n v="5"/>
    <x v="1"/>
    <x v="0"/>
    <s v="PLAQUETTES"/>
    <x v="2"/>
    <n v="39.799999999999997"/>
  </r>
  <r>
    <d v="2025-03-29T05:12:46"/>
    <x v="2"/>
    <s v="Plaquettes de finition carrées"/>
    <s v="10301115"/>
    <s v="BOUCHART LUDOVIC"/>
    <n v="5"/>
    <x v="1"/>
    <x v="2"/>
    <s v="PLAQUETTES"/>
    <x v="2"/>
    <n v="47.8"/>
  </r>
  <r>
    <d v="2025-03-29T09:35:12"/>
    <x v="6"/>
    <s v="Plaquettes de finition triangulaires"/>
    <s v="10301115"/>
    <s v="BOUCHART LUDOVIC"/>
    <n v="5"/>
    <x v="1"/>
    <x v="2"/>
    <s v="PLAQUETTES"/>
    <x v="3"/>
    <n v="48.7"/>
  </r>
  <r>
    <d v="2025-03-29T09:35:35"/>
    <x v="5"/>
    <s v="Plaquettes de finition"/>
    <s v="10301115"/>
    <s v="BOUCHART LUDOVIC"/>
    <n v="5"/>
    <x v="1"/>
    <x v="2"/>
    <s v="PLAQUETTES"/>
    <x v="3"/>
    <n v="42.5"/>
  </r>
  <r>
    <d v="2025-03-30T17:39:08"/>
    <x v="3"/>
    <s v="Plaquettes d'ébauches carrées"/>
    <s v="10301115"/>
    <s v="BOUCHART LUDOVIC"/>
    <n v="5"/>
    <x v="0"/>
    <x v="3"/>
    <s v="PLAQUETTES"/>
    <x v="0"/>
    <n v="39.799999999999997"/>
  </r>
  <r>
    <d v="2025-03-30T17:39:21"/>
    <x v="0"/>
    <s v="Plaquettes d'ébauches rhombiques"/>
    <s v="10301115"/>
    <s v="BOUCHART LUDOVIC"/>
    <n v="5"/>
    <x v="0"/>
    <x v="3"/>
    <s v="PLAQUETTES"/>
    <x v="0"/>
    <n v="39.799999999999997"/>
  </r>
  <r>
    <d v="2025-03-30T17:39:36"/>
    <x v="4"/>
    <s v="Plaquettes de gorges"/>
    <s v="10301115"/>
    <s v="BOUCHART LUDOVIC"/>
    <n v="10"/>
    <x v="0"/>
    <x v="0"/>
    <s v="PLAQUETTES"/>
    <x v="0"/>
    <n v="188"/>
  </r>
  <r>
    <d v="2025-03-30T17:39:50"/>
    <x v="3"/>
    <s v="Plaquettes d'ébauches carrées"/>
    <s v="10301115"/>
    <s v="BOUCHART LUDOVIC"/>
    <n v="5"/>
    <x v="0"/>
    <x v="0"/>
    <s v="PLAQUETTES"/>
    <x v="0"/>
    <n v="39.799999999999997"/>
  </r>
  <r>
    <d v="2025-03-30T17:40:05"/>
    <x v="0"/>
    <s v="Plaquettes d'ébauches rhombiques"/>
    <s v="10301115"/>
    <s v="BOUCHART LUDOVIC"/>
    <n v="5"/>
    <x v="0"/>
    <x v="0"/>
    <s v="PLAQUETTES"/>
    <x v="0"/>
    <n v="39.799999999999997"/>
  </r>
  <r>
    <d v="2025-03-30T17:40:19"/>
    <x v="2"/>
    <s v="Plaquettes de finition carrées"/>
    <s v="10301115"/>
    <s v="BOUCHART LUDOVIC"/>
    <n v="5"/>
    <x v="0"/>
    <x v="2"/>
    <s v="PLAQUETTES"/>
    <x v="0"/>
    <n v="47.8"/>
  </r>
  <r>
    <d v="2025-03-30T17:40:34"/>
    <x v="3"/>
    <s v="Plaquettes d'ébauches carrées"/>
    <s v="10301115"/>
    <s v="BOUCHART LUDOVIC"/>
    <n v="5"/>
    <x v="1"/>
    <x v="3"/>
    <s v="PLAQUETTES"/>
    <x v="3"/>
    <n v="39.799999999999997"/>
  </r>
  <r>
    <d v="2025-03-30T17:40:45"/>
    <x v="0"/>
    <s v="Plaquettes d'ébauches rhombiques"/>
    <s v="10301115"/>
    <s v="BOUCHART LUDOVIC"/>
    <n v="5"/>
    <x v="1"/>
    <x v="3"/>
    <s v="PLAQUETTES"/>
    <x v="3"/>
    <n v="39.799999999999997"/>
  </r>
  <r>
    <d v="2025-03-30T17:41:02"/>
    <x v="3"/>
    <s v="Plaquettes d'ébauches carrées"/>
    <s v="10301115"/>
    <s v="BOUCHART LUDOVIC"/>
    <n v="5"/>
    <x v="1"/>
    <x v="0"/>
    <s v="PLAQUETTES"/>
    <x v="3"/>
    <n v="39.799999999999997"/>
  </r>
  <r>
    <d v="2025-03-30T17:41:15"/>
    <x v="0"/>
    <s v="Plaquettes d'ébauches rhombiques"/>
    <s v="10301115"/>
    <s v="BOUCHART LUDOVIC"/>
    <n v="5"/>
    <x v="1"/>
    <x v="0"/>
    <s v="PLAQUETTES"/>
    <x v="3"/>
    <n v="39.799999999999997"/>
  </r>
  <r>
    <d v="2025-03-30T17:41:36"/>
    <x v="5"/>
    <s v="Plaquettes de finition"/>
    <s v="10301115"/>
    <s v="BOUCHART LUDOVIC"/>
    <n v="5"/>
    <x v="1"/>
    <x v="2"/>
    <s v="PLAQUETTES"/>
    <x v="3"/>
    <n v="42.5"/>
  </r>
  <r>
    <d v="2025-03-30T17:41:48"/>
    <x v="6"/>
    <s v="Plaquettes de finition triangulaires"/>
    <s v="10301115"/>
    <s v="BOUCHART LUDOVIC"/>
    <n v="5"/>
    <x v="1"/>
    <x v="2"/>
    <s v="PLAQUETTES"/>
    <x v="3"/>
    <n v="48.7"/>
  </r>
  <r>
    <d v="2025-03-30T17:42:03"/>
    <x v="2"/>
    <s v="Plaquettes de finition carrées"/>
    <s v="10301115"/>
    <s v="BOUCHART LUDOVIC"/>
    <n v="5"/>
    <x v="1"/>
    <x v="2"/>
    <s v="PLAQUETTES"/>
    <x v="3"/>
    <n v="47.8"/>
  </r>
  <r>
    <d v="2025-03-31T11:13:42"/>
    <x v="10"/>
    <s v="Plaquettes TPGX0902ZPRGD KC7315"/>
    <s v="12824586"/>
    <s v="DASILVA FERNANDO"/>
    <n v="10"/>
    <x v="1"/>
    <x v="1"/>
    <s v="PLAQUETTES"/>
    <x v="1"/>
    <n v="81.5"/>
  </r>
  <r>
    <d v="2025-03-31T14:09:59"/>
    <x v="2"/>
    <s v="Plaquettes de finition carrées"/>
    <s v="31224"/>
    <s v="BIDOT MURIEL"/>
    <n v="5"/>
    <x v="0"/>
    <x v="2"/>
    <s v="PLAQUETTES"/>
    <x v="0"/>
    <n v="47.8"/>
  </r>
  <r>
    <d v="2025-03-31T14:10:20"/>
    <x v="2"/>
    <s v="Plaquettes de finition carrées"/>
    <s v="31224"/>
    <s v="BIDOT MURIEL"/>
    <n v="5"/>
    <x v="0"/>
    <x v="2"/>
    <s v="PLAQUETTES"/>
    <x v="0"/>
    <n v="47.8"/>
  </r>
  <r>
    <d v="2025-03-31T14:10:54"/>
    <x v="3"/>
    <s v="Plaquettes d'ébauches carrées"/>
    <s v="31224"/>
    <s v="BIDOT MURIEL"/>
    <n v="5"/>
    <x v="0"/>
    <x v="3"/>
    <s v="PLAQUETTES"/>
    <x v="0"/>
    <n v="39.799999999999997"/>
  </r>
  <r>
    <d v="2025-04-01T00:31:06"/>
    <x v="4"/>
    <s v="Plaquettes de gorges"/>
    <s v="16340494"/>
    <s v="BRIMUSSE AURELIE"/>
    <n v="10"/>
    <x v="0"/>
    <x v="0"/>
    <s v="PLAQUETTES"/>
    <x v="0"/>
    <n v="188"/>
  </r>
  <r>
    <d v="2025-04-01T02:34:25"/>
    <x v="2"/>
    <s v="Plaquettes de finition carrées"/>
    <s v="SD75051"/>
    <s v="COMBALUZIER LUCAS"/>
    <n v="5"/>
    <x v="1"/>
    <x v="2"/>
    <s v="PLAQUETTES"/>
    <x v="3"/>
    <n v="47.8"/>
  </r>
  <r>
    <d v="2025-04-01T10:48:26"/>
    <x v="2"/>
    <s v="Plaquettes de finition carrées"/>
    <s v="7236310"/>
    <s v="OZYURT IREM"/>
    <n v="5"/>
    <x v="0"/>
    <x v="2"/>
    <s v="PLAQUETTES"/>
    <x v="3"/>
    <n v="47.8"/>
  </r>
  <r>
    <d v="2025-04-01T11:12:09"/>
    <x v="3"/>
    <s v="Plaquettes d'ébauches carrées"/>
    <s v="090225"/>
    <s v="MEYER THOMAS"/>
    <n v="5"/>
    <x v="0"/>
    <x v="3"/>
    <s v="PLAQUETTES"/>
    <x v="0"/>
    <n v="39.799999999999997"/>
  </r>
  <r>
    <d v="2025-04-01T11:12:28"/>
    <x v="3"/>
    <s v="Plaquettes d'ébauches carrées"/>
    <s v="090225"/>
    <s v="MEYER THOMAS"/>
    <n v="5"/>
    <x v="0"/>
    <x v="0"/>
    <s v="PLAQUETTES"/>
    <x v="0"/>
    <n v="39.799999999999997"/>
  </r>
  <r>
    <d v="2025-04-01T11:12:51"/>
    <x v="3"/>
    <s v="Plaquettes d'ébauches carrées"/>
    <s v="090225"/>
    <s v="MEYER THOMAS"/>
    <n v="5"/>
    <x v="1"/>
    <x v="3"/>
    <s v="PLAQUETTES"/>
    <x v="3"/>
    <n v="39.799999999999997"/>
  </r>
  <r>
    <d v="2025-04-01T13:40:25"/>
    <x v="3"/>
    <s v="Plaquettes d'ébauches carrées"/>
    <s v="31224"/>
    <s v="BIDOT MURIEL"/>
    <n v="5"/>
    <x v="0"/>
    <x v="3"/>
    <s v="PLAQUETTES"/>
    <x v="0"/>
    <n v="39.799999999999997"/>
  </r>
  <r>
    <d v="2025-04-01T13:40:42"/>
    <x v="0"/>
    <s v="Plaquettes d'ébauches rhombiques"/>
    <s v="31224"/>
    <s v="BIDOT MURIEL"/>
    <n v="5"/>
    <x v="0"/>
    <x v="3"/>
    <s v="PLAQUETTES"/>
    <x v="0"/>
    <n v="39.799999999999997"/>
  </r>
  <r>
    <d v="2025-04-01T13:41:05"/>
    <x v="4"/>
    <s v="Plaquettes de gorges"/>
    <s v="31224"/>
    <s v="BIDOT MURIEL"/>
    <n v="10"/>
    <x v="0"/>
    <x v="0"/>
    <s v="PLAQUETTES"/>
    <x v="0"/>
    <n v="188"/>
  </r>
  <r>
    <d v="2025-04-01T13:41:29"/>
    <x v="2"/>
    <s v="Plaquettes de finition carrées"/>
    <s v="31224"/>
    <s v="BIDOT MURIEL"/>
    <n v="5"/>
    <x v="0"/>
    <x v="2"/>
    <s v="PLAQUETTES"/>
    <x v="0"/>
    <n v="47.8"/>
  </r>
  <r>
    <d v="2025-04-01T13:41:53"/>
    <x v="2"/>
    <s v="Plaquettes de finition carrées"/>
    <s v="31224"/>
    <s v="BIDOT MURIEL"/>
    <n v="5"/>
    <x v="0"/>
    <x v="2"/>
    <s v="PLAQUETTES"/>
    <x v="0"/>
    <n v="47.8"/>
  </r>
  <r>
    <d v="2025-04-01T13:42:43"/>
    <x v="2"/>
    <s v="Plaquettes de finition carrées"/>
    <s v="31224"/>
    <s v="BIDOT MURIEL"/>
    <n v="5"/>
    <x v="0"/>
    <x v="2"/>
    <s v="PLAQUETTES"/>
    <x v="0"/>
    <n v="47.8"/>
  </r>
  <r>
    <d v="2025-04-01T14:34:35"/>
    <x v="7"/>
    <s v="Plaquettes VCGT21A52 SP4019"/>
    <s v="12824586"/>
    <s v="DASILVA FERNANDO"/>
    <n v="10"/>
    <x v="1"/>
    <x v="1"/>
    <s v="PLAQUETTES"/>
    <x v="1"/>
    <n v="121.8"/>
  </r>
  <r>
    <d v="2025-04-02T02:14:33"/>
    <x v="0"/>
    <s v="Plaquettes d'ébauches rhombiques"/>
    <s v="SD75051"/>
    <s v="COMBALUZIER LUCAS"/>
    <n v="5"/>
    <x v="1"/>
    <x v="3"/>
    <s v="PLAQUETTES"/>
    <x v="3"/>
    <n v="39.799999999999997"/>
  </r>
  <r>
    <d v="2025-04-02T02:14:55"/>
    <x v="3"/>
    <s v="Plaquettes d'ébauches carrées"/>
    <s v="SD75051"/>
    <s v="COMBALUZIER LUCAS"/>
    <n v="5"/>
    <x v="1"/>
    <x v="3"/>
    <s v="PLAQUETTES"/>
    <x v="3"/>
    <n v="39.799999999999997"/>
  </r>
  <r>
    <d v="2025-04-02T11:24:20"/>
    <x v="10"/>
    <s v="Plaquettes TPGX0902ZPRGD KC7315"/>
    <s v="12824586"/>
    <s v="DASILVA FERNANDO"/>
    <n v="10"/>
    <x v="0"/>
    <x v="1"/>
    <s v="PLAQUETTES"/>
    <x v="1"/>
    <n v="81.5"/>
  </r>
  <r>
    <d v="2025-04-02T19:53:47"/>
    <x v="2"/>
    <s v="Plaquettes de finition carrées"/>
    <s v="SE08251"/>
    <s v="FAYET AYMERIC"/>
    <n v="5"/>
    <x v="1"/>
    <x v="2"/>
    <s v="PLAQUETTES"/>
    <x v="3"/>
    <n v="47.8"/>
  </r>
  <r>
    <d v="2025-04-02T19:54:11"/>
    <x v="2"/>
    <s v="Plaquettes de finition carrées"/>
    <s v="SE08251"/>
    <s v="FAYET AYMERIC"/>
    <n v="5"/>
    <x v="1"/>
    <x v="2"/>
    <s v="PLAQUETTES"/>
    <x v="3"/>
    <n v="47.8"/>
  </r>
  <r>
    <d v="2025-04-02T22:27:52"/>
    <x v="3"/>
    <s v="Plaquettes d'ébauches carrées"/>
    <s v="SD75051"/>
    <s v="COMBALUZIER LUCAS"/>
    <n v="5"/>
    <x v="1"/>
    <x v="3"/>
    <s v="PLAQUETTES"/>
    <x v="3"/>
    <n v="39.799999999999997"/>
  </r>
  <r>
    <d v="2025-04-02T22:28:12"/>
    <x v="0"/>
    <s v="Plaquettes d'ébauches rhombiques"/>
    <s v="SD75051"/>
    <s v="COMBALUZIER LUCAS"/>
    <n v="5"/>
    <x v="1"/>
    <x v="3"/>
    <s v="PLAQUETTES"/>
    <x v="3"/>
    <n v="39.799999999999997"/>
  </r>
  <r>
    <d v="2025-04-02T22:28:39"/>
    <x v="3"/>
    <s v="Plaquettes d'ébauches carrées"/>
    <s v="SD75051"/>
    <s v="COMBALUZIER LUCAS"/>
    <n v="5"/>
    <x v="0"/>
    <x v="0"/>
    <s v="PLAQUETTES"/>
    <x v="3"/>
    <n v="39.799999999999997"/>
  </r>
  <r>
    <d v="2025-04-02T23:22:22"/>
    <x v="3"/>
    <s v="Plaquettes d'ébauches carrées"/>
    <s v="16340494"/>
    <s v="BRIMUSSE AURELIE"/>
    <n v="5"/>
    <x v="0"/>
    <x v="3"/>
    <s v="PLAQUETTES"/>
    <x v="3"/>
    <n v="39.799999999999997"/>
  </r>
  <r>
    <d v="2025-04-02T23:22:36"/>
    <x v="3"/>
    <s v="Plaquettes d'ébauches carrées"/>
    <s v="16340494"/>
    <s v="BRIMUSSE AURELIE"/>
    <n v="5"/>
    <x v="0"/>
    <x v="0"/>
    <s v="PLAQUETTES"/>
    <x v="3"/>
    <n v="39.799999999999997"/>
  </r>
  <r>
    <d v="2025-04-02T23:22:54"/>
    <x v="0"/>
    <s v="Plaquettes d'ébauches rhombiques"/>
    <s v="16340494"/>
    <s v="BRIMUSSE AURELIE"/>
    <n v="5"/>
    <x v="0"/>
    <x v="0"/>
    <s v="PLAQUETTES"/>
    <x v="3"/>
    <n v="39.799999999999997"/>
  </r>
  <r>
    <d v="2025-04-02T23:23:12"/>
    <x v="5"/>
    <s v="Plaquettes de finition"/>
    <s v="16340494"/>
    <s v="BRIMUSSE AURELIE"/>
    <n v="5"/>
    <x v="0"/>
    <x v="2"/>
    <s v="PLAQUETTES"/>
    <x v="3"/>
    <n v="42.5"/>
  </r>
  <r>
    <d v="2025-04-02T23:23:27"/>
    <x v="6"/>
    <s v="Plaquettes de finition triangulaires"/>
    <s v="16340494"/>
    <s v="BRIMUSSE AURELIE"/>
    <n v="5"/>
    <x v="0"/>
    <x v="2"/>
    <s v="PLAQUETTES"/>
    <x v="3"/>
    <n v="48.7"/>
  </r>
  <r>
    <d v="2025-04-02T23:23:42"/>
    <x v="2"/>
    <s v="Plaquettes de finition carrées"/>
    <s v="16340494"/>
    <s v="BRIMUSSE AURELIE"/>
    <n v="5"/>
    <x v="0"/>
    <x v="2"/>
    <s v="PLAQUETTES"/>
    <x v="3"/>
    <n v="47.8"/>
  </r>
  <r>
    <d v="2025-04-03T06:52:52"/>
    <x v="3"/>
    <s v="Plaquettes d'ébauches carrées"/>
    <s v="090225"/>
    <s v="MEYER THOMAS"/>
    <n v="5"/>
    <x v="1"/>
    <x v="3"/>
    <s v="PLAQUETTES"/>
    <x v="3"/>
    <n v="39.799999999999997"/>
  </r>
  <r>
    <d v="2025-04-03T08:54:36"/>
    <x v="3"/>
    <s v="Plaquettes d'ébauches carrées"/>
    <s v="090225"/>
    <s v="MEYER THOMAS"/>
    <n v="5"/>
    <x v="0"/>
    <x v="3"/>
    <s v="PLAQUETTES"/>
    <x v="3"/>
    <n v="39.799999999999997"/>
  </r>
  <r>
    <d v="2025-04-03T08:54:59"/>
    <x v="3"/>
    <s v="Plaquettes d'ébauches carrées"/>
    <s v="090225"/>
    <s v="MEYER THOMAS"/>
    <n v="5"/>
    <x v="0"/>
    <x v="0"/>
    <s v="PLAQUETTES"/>
    <x v="3"/>
    <n v="39.799999999999997"/>
  </r>
  <r>
    <d v="2025-04-03T08:55:19"/>
    <x v="0"/>
    <s v="Plaquettes d'ébauches rhombiques"/>
    <s v="090225"/>
    <s v="MEYER THOMAS"/>
    <n v="5"/>
    <x v="0"/>
    <x v="0"/>
    <s v="PLAQUETTES"/>
    <x v="3"/>
    <n v="39.799999999999997"/>
  </r>
  <r>
    <d v="2025-04-03T14:58:49"/>
    <x v="3"/>
    <s v="Plaquettes d'ébauches carrées"/>
    <s v="SE08251"/>
    <s v="FAYET AYMERIC"/>
    <n v="5"/>
    <x v="0"/>
    <x v="0"/>
    <s v="PLAQUETTES"/>
    <x v="3"/>
    <n v="39.799999999999997"/>
  </r>
  <r>
    <d v="2025-04-03T14:59:09"/>
    <x v="3"/>
    <s v="Plaquettes d'ébauches carrées"/>
    <s v="SE08251"/>
    <s v="FAYET AYMERIC"/>
    <n v="5"/>
    <x v="0"/>
    <x v="0"/>
    <s v="PLAQUETTES"/>
    <x v="3"/>
    <n v="39.799999999999997"/>
  </r>
  <r>
    <d v="2025-04-03T14:59:31"/>
    <x v="0"/>
    <s v="Plaquettes d'ébauches rhombiques"/>
    <s v="SE08251"/>
    <s v="FAYET AYMERIC"/>
    <n v="5"/>
    <x v="0"/>
    <x v="0"/>
    <s v="PLAQUETTES"/>
    <x v="3"/>
    <n v="39.799999999999997"/>
  </r>
  <r>
    <d v="2025-04-03T15:01:05"/>
    <x v="2"/>
    <s v="Plaquettes de finition carrées"/>
    <s v="SE08251"/>
    <s v="FAYET AYMERIC"/>
    <n v="5"/>
    <x v="1"/>
    <x v="2"/>
    <s v="PLAQUETTES"/>
    <x v="2"/>
    <n v="47.8"/>
  </r>
  <r>
    <d v="2025-04-03T15:01:41"/>
    <x v="0"/>
    <s v="Plaquettes d'ébauches rhombiques"/>
    <s v="SE08251"/>
    <s v="FAYET AYMERIC"/>
    <n v="5"/>
    <x v="1"/>
    <x v="3"/>
    <s v="PLAQUETTES"/>
    <x v="2"/>
    <n v="39.799999999999997"/>
  </r>
  <r>
    <d v="2025-04-03T15:02:03"/>
    <x v="0"/>
    <s v="Plaquettes d'ébauches rhombiques"/>
    <s v="SE08251"/>
    <s v="FAYET AYMERIC"/>
    <n v="5"/>
    <x v="1"/>
    <x v="0"/>
    <s v="PLAQUETTES"/>
    <x v="2"/>
    <n v="39.799999999999997"/>
  </r>
  <r>
    <d v="2025-04-03T15:02:24"/>
    <x v="3"/>
    <s v="Plaquettes d'ébauches carrées"/>
    <s v="SE08251"/>
    <s v="FAYET AYMERIC"/>
    <n v="5"/>
    <x v="1"/>
    <x v="3"/>
    <s v="PLAQUETTES"/>
    <x v="2"/>
    <n v="39.799999999999997"/>
  </r>
  <r>
    <d v="2025-04-03T15:02:38"/>
    <x v="4"/>
    <s v="Plaquettes de gorges"/>
    <s v="SE08251"/>
    <s v="FAYET AYMERIC"/>
    <n v="10"/>
    <x v="1"/>
    <x v="0"/>
    <s v="PLAQUETTES"/>
    <x v="2"/>
    <n v="188"/>
  </r>
  <r>
    <d v="2025-04-03T15:03:17"/>
    <x v="2"/>
    <s v="Plaquettes de finition carrées"/>
    <s v="SE08251"/>
    <s v="FAYET AYMERIC"/>
    <n v="5"/>
    <x v="0"/>
    <x v="2"/>
    <s v="PLAQUETTES"/>
    <x v="3"/>
    <n v="47.8"/>
  </r>
  <r>
    <d v="2025-04-03T15:03:42"/>
    <x v="2"/>
    <s v="Plaquettes de finition carrées"/>
    <s v="SE08251"/>
    <s v="FAYET AYMERIC"/>
    <n v="5"/>
    <x v="0"/>
    <x v="2"/>
    <s v="PLAQUETTES"/>
    <x v="3"/>
    <n v="47.8"/>
  </r>
  <r>
    <d v="2025-04-04T08:24:22"/>
    <x v="7"/>
    <s v="Plaquettes VCGT21A52 SP4019"/>
    <s v="12824586"/>
    <s v="DASILVA FERNANDO"/>
    <n v="5"/>
    <x v="1"/>
    <x v="1"/>
    <s v="PLAQUETTES"/>
    <x v="1"/>
    <n v="60.9"/>
  </r>
  <r>
    <d v="2025-04-04T14:39:08"/>
    <x v="3"/>
    <s v="Plaquettes d'ébauches carrées"/>
    <s v="31224"/>
    <s v="BIDOT MURIEL"/>
    <n v="5"/>
    <x v="0"/>
    <x v="3"/>
    <s v="PLAQUETTES"/>
    <x v="4"/>
    <n v="39.799999999999997"/>
  </r>
  <r>
    <d v="2025-04-04T14:39:25"/>
    <x v="0"/>
    <s v="Plaquettes d'ébauches rhombiques"/>
    <s v="31224"/>
    <s v="BIDOT MURIEL"/>
    <n v="5"/>
    <x v="0"/>
    <x v="3"/>
    <s v="PLAQUETTES"/>
    <x v="4"/>
    <n v="39.799999999999997"/>
  </r>
  <r>
    <d v="2025-04-04T14:39:43"/>
    <x v="4"/>
    <s v="Plaquettes de gorges"/>
    <s v="31224"/>
    <s v="BIDOT MURIEL"/>
    <n v="10"/>
    <x v="0"/>
    <x v="0"/>
    <s v="PLAQUETTES"/>
    <x v="4"/>
    <n v="188"/>
  </r>
  <r>
    <d v="2025-04-04T14:39:56"/>
    <x v="4"/>
    <s v="Plaquettes de gorges"/>
    <s v="31224"/>
    <s v="BIDOT MURIEL"/>
    <n v="10"/>
    <x v="0"/>
    <x v="0"/>
    <s v="PLAQUETTES"/>
    <x v="4"/>
    <n v="188"/>
  </r>
  <r>
    <d v="2025-04-04T14:40:35"/>
    <x v="2"/>
    <s v="Plaquettes de finition carrées"/>
    <s v="31224"/>
    <s v="BIDOT MURIEL"/>
    <n v="5"/>
    <x v="0"/>
    <x v="2"/>
    <s v="PLAQUETTES"/>
    <x v="4"/>
    <n v="47.8"/>
  </r>
  <r>
    <d v="2025-04-04T14:40:46"/>
    <x v="2"/>
    <s v="Plaquettes de finition carrées"/>
    <s v="31224"/>
    <s v="BIDOT MURIEL"/>
    <n v="5"/>
    <x v="0"/>
    <x v="2"/>
    <s v="PLAQUETTES"/>
    <x v="4"/>
    <n v="47.8"/>
  </r>
  <r>
    <d v="2025-04-04T14:41:01"/>
    <x v="2"/>
    <s v="Plaquettes de finition carrées"/>
    <s v="31224"/>
    <s v="BIDOT MURIEL"/>
    <n v="5"/>
    <x v="0"/>
    <x v="2"/>
    <s v="PLAQUETTES"/>
    <x v="4"/>
    <n v="47.8"/>
  </r>
  <r>
    <d v="2025-04-04T14:41:15"/>
    <x v="2"/>
    <s v="Plaquettes de finition carrées"/>
    <s v="31224"/>
    <s v="BIDOT MURIEL"/>
    <n v="5"/>
    <x v="0"/>
    <x v="2"/>
    <s v="PLAQUETTES"/>
    <x v="4"/>
    <n v="47.8"/>
  </r>
  <r>
    <d v="2025-04-04T23:11:20"/>
    <x v="5"/>
    <s v="Plaquettes de finition"/>
    <s v="SD75051"/>
    <s v="COMBALUZIER LUCAS"/>
    <n v="5"/>
    <x v="1"/>
    <x v="2"/>
    <s v="PLAQUETTES"/>
    <x v="3"/>
    <n v="42.5"/>
  </r>
  <r>
    <d v="2025-04-04T23:11:42"/>
    <x v="6"/>
    <s v="Plaquettes de finition triangulaires"/>
    <s v="SD75051"/>
    <s v="COMBALUZIER LUCAS"/>
    <n v="5"/>
    <x v="1"/>
    <x v="2"/>
    <s v="PLAQUETTES"/>
    <x v="3"/>
    <n v="48.7"/>
  </r>
  <r>
    <d v="2025-04-05T00:01:52"/>
    <x v="3"/>
    <s v="Plaquettes d'ébauches carrées"/>
    <s v="16340494"/>
    <s v="BRIMUSSE AURELIE"/>
    <n v="5"/>
    <x v="0"/>
    <x v="3"/>
    <s v="PLAQUETTES"/>
    <x v="4"/>
    <n v="39.799999999999997"/>
  </r>
  <r>
    <d v="2025-04-05T00:02:08"/>
    <x v="0"/>
    <s v="Plaquettes d'ébauches rhombiques"/>
    <s v="16340494"/>
    <s v="BRIMUSSE AURELIE"/>
    <n v="5"/>
    <x v="0"/>
    <x v="3"/>
    <s v="PLAQUETTES"/>
    <x v="4"/>
    <n v="39.799999999999997"/>
  </r>
  <r>
    <d v="2025-04-05T05:21:46"/>
    <x v="3"/>
    <s v="Plaquettes d'ébauches carrées"/>
    <s v="10301115"/>
    <s v="BOUCHART LUDOVIC"/>
    <n v="5"/>
    <x v="0"/>
    <x v="3"/>
    <s v="PLAQUETTES"/>
    <x v="4"/>
    <n v="39.799999999999997"/>
  </r>
  <r>
    <d v="2025-04-05T05:22:00"/>
    <x v="0"/>
    <s v="Plaquettes d'ébauches rhombiques"/>
    <s v="10301115"/>
    <s v="BOUCHART LUDOVIC"/>
    <n v="5"/>
    <x v="0"/>
    <x v="3"/>
    <s v="PLAQUETTES"/>
    <x v="4"/>
    <n v="39.799999999999997"/>
  </r>
  <r>
    <d v="2025-04-05T05:22:17"/>
    <x v="4"/>
    <s v="Plaquettes de gorges"/>
    <s v="10301115"/>
    <s v="BOUCHART LUDOVIC"/>
    <n v="10"/>
    <x v="0"/>
    <x v="0"/>
    <s v="PLAQUETTES"/>
    <x v="4"/>
    <n v="188"/>
  </r>
  <r>
    <d v="2025-04-05T05:22:35"/>
    <x v="3"/>
    <s v="Plaquettes d'ébauches carrées"/>
    <s v="10301115"/>
    <s v="BOUCHART LUDOVIC"/>
    <n v="5"/>
    <x v="0"/>
    <x v="0"/>
    <s v="PLAQUETTES"/>
    <x v="4"/>
    <n v="39.799999999999997"/>
  </r>
  <r>
    <d v="2025-04-05T05:22:56"/>
    <x v="0"/>
    <s v="Plaquettes d'ébauches rhombiques"/>
    <s v="10301115"/>
    <s v="BOUCHART LUDOVIC"/>
    <n v="5"/>
    <x v="0"/>
    <x v="0"/>
    <s v="PLAQUETTES"/>
    <x v="4"/>
    <n v="39.799999999999997"/>
  </r>
  <r>
    <d v="2025-04-05T05:23:14"/>
    <x v="2"/>
    <s v="Plaquettes de finition carrées"/>
    <s v="10301115"/>
    <s v="BOUCHART LUDOVIC"/>
    <n v="5"/>
    <x v="0"/>
    <x v="2"/>
    <s v="PLAQUETTES"/>
    <x v="4"/>
    <n v="47.8"/>
  </r>
  <r>
    <d v="2025-04-05T05:23:32"/>
    <x v="3"/>
    <s v="Plaquettes d'ébauches carrées"/>
    <s v="10301115"/>
    <s v="BOUCHART LUDOVIC"/>
    <n v="5"/>
    <x v="1"/>
    <x v="3"/>
    <s v="PLAQUETTES"/>
    <x v="3"/>
    <n v="39.799999999999997"/>
  </r>
  <r>
    <d v="2025-04-05T05:23:48"/>
    <x v="0"/>
    <s v="Plaquettes d'ébauches rhombiques"/>
    <s v="10301115"/>
    <s v="BOUCHART LUDOVIC"/>
    <n v="5"/>
    <x v="1"/>
    <x v="3"/>
    <s v="PLAQUETTES"/>
    <x v="3"/>
    <n v="39.799999999999997"/>
  </r>
  <r>
    <d v="2025-04-05T05:24:04"/>
    <x v="3"/>
    <s v="Plaquettes d'ébauches carrées"/>
    <s v="10301115"/>
    <s v="BOUCHART LUDOVIC"/>
    <n v="5"/>
    <x v="1"/>
    <x v="0"/>
    <s v="PLAQUETTES"/>
    <x v="3"/>
    <n v="39.799999999999997"/>
  </r>
  <r>
    <d v="2025-04-05T05:24:18"/>
    <x v="0"/>
    <s v="Plaquettes d'ébauches rhombiques"/>
    <s v="10301115"/>
    <s v="BOUCHART LUDOVIC"/>
    <n v="5"/>
    <x v="1"/>
    <x v="0"/>
    <s v="PLAQUETTES"/>
    <x v="3"/>
    <n v="39.799999999999997"/>
  </r>
  <r>
    <d v="2025-04-05T05:24:35"/>
    <x v="5"/>
    <s v="Plaquettes de finition"/>
    <s v="10301115"/>
    <s v="BOUCHART LUDOVIC"/>
    <n v="5"/>
    <x v="1"/>
    <x v="2"/>
    <s v="PLAQUETTES"/>
    <x v="3"/>
    <n v="42.5"/>
  </r>
  <r>
    <d v="2025-04-05T05:24:51"/>
    <x v="6"/>
    <s v="Plaquettes de finition triangulaires"/>
    <s v="10301115"/>
    <s v="BOUCHART LUDOVIC"/>
    <n v="5"/>
    <x v="1"/>
    <x v="2"/>
    <s v="PLAQUETTES"/>
    <x v="3"/>
    <n v="48.7"/>
  </r>
  <r>
    <d v="2025-04-05T05:25:07"/>
    <x v="2"/>
    <s v="Plaquettes de finition carrées"/>
    <s v="10301115"/>
    <s v="BOUCHART LUDOVIC"/>
    <n v="5"/>
    <x v="1"/>
    <x v="2"/>
    <s v="PLAQUETTES"/>
    <x v="3"/>
    <n v="47.8"/>
  </r>
  <r>
    <d v="2025-04-06T14:14:50"/>
    <x v="3"/>
    <s v="Plaquettes d'ébauches carrées"/>
    <s v="U509351"/>
    <s v="DELIAT CHRISTOPHE"/>
    <n v="5"/>
    <x v="1"/>
    <x v="3"/>
    <s v="PLAQUETTES"/>
    <x v="3"/>
    <n v="39.799999999999997"/>
  </r>
  <r>
    <d v="2025-04-06T14:15:13"/>
    <x v="3"/>
    <s v="Plaquettes d'ébauches carrées"/>
    <s v="U509351"/>
    <s v="DELIAT CHRISTOPHE"/>
    <n v="5"/>
    <x v="0"/>
    <x v="3"/>
    <s v="PLAQUETTES"/>
    <x v="4"/>
    <n v="39.799999999999997"/>
  </r>
  <r>
    <d v="2025-04-06T14:15:33"/>
    <x v="0"/>
    <s v="Plaquettes d'ébauches rhombiques"/>
    <s v="U509351"/>
    <s v="DELIAT CHRISTOPHE"/>
    <n v="5"/>
    <x v="1"/>
    <x v="3"/>
    <s v="PLAQUETTES"/>
    <x v="3"/>
    <n v="39.799999999999997"/>
  </r>
  <r>
    <d v="2025-04-06T14:15:55"/>
    <x v="3"/>
    <s v="Plaquettes d'ébauches carrées"/>
    <s v="U509351"/>
    <s v="DELIAT CHRISTOPHE"/>
    <n v="5"/>
    <x v="1"/>
    <x v="0"/>
    <s v="PLAQUETTES"/>
    <x v="3"/>
    <n v="39.799999999999997"/>
  </r>
  <r>
    <d v="2025-04-06T14:16:20"/>
    <x v="0"/>
    <s v="Plaquettes d'ébauches rhombiques"/>
    <s v="U509351"/>
    <s v="DELIAT CHRISTOPHE"/>
    <n v="5"/>
    <x v="1"/>
    <x v="0"/>
    <s v="PLAQUETTES"/>
    <x v="3"/>
    <n v="39.799999999999997"/>
  </r>
  <r>
    <d v="2025-04-06T14:25:55"/>
    <x v="2"/>
    <s v="Plaquettes de finition carrées"/>
    <s v="U509351"/>
    <s v="DELIAT CHRISTOPHE"/>
    <n v="5"/>
    <x v="1"/>
    <x v="2"/>
    <s v="PLAQUETTES"/>
    <x v="3"/>
    <n v="47.8"/>
  </r>
  <r>
    <d v="2025-04-06T17:08:04"/>
    <x v="3"/>
    <s v="Plaquettes d'ébauches carrées"/>
    <s v="10301115"/>
    <s v="BOUCHART LUDOVIC"/>
    <n v="5"/>
    <x v="0"/>
    <x v="3"/>
    <s v="PLAQUETTES"/>
    <x v="4"/>
    <n v="39.799999999999997"/>
  </r>
  <r>
    <d v="2025-04-06T17:08:16"/>
    <x v="0"/>
    <s v="Plaquettes d'ébauches rhombiques"/>
    <s v="10301115"/>
    <s v="BOUCHART LUDOVIC"/>
    <n v="5"/>
    <x v="0"/>
    <x v="3"/>
    <s v="PLAQUETTES"/>
    <x v="4"/>
    <n v="39.799999999999997"/>
  </r>
  <r>
    <d v="2025-04-06T17:08:30"/>
    <x v="4"/>
    <s v="Plaquettes de gorges"/>
    <s v="10301115"/>
    <s v="BOUCHART LUDOVIC"/>
    <n v="10"/>
    <x v="0"/>
    <x v="0"/>
    <s v="PLAQUETTES"/>
    <x v="4"/>
    <n v="188"/>
  </r>
  <r>
    <d v="2025-04-06T17:08:42"/>
    <x v="3"/>
    <s v="Plaquettes d'ébauches carrées"/>
    <s v="10301115"/>
    <s v="BOUCHART LUDOVIC"/>
    <n v="5"/>
    <x v="0"/>
    <x v="0"/>
    <s v="PLAQUETTES"/>
    <x v="4"/>
    <n v="39.799999999999997"/>
  </r>
  <r>
    <d v="2025-04-06T17:08:56"/>
    <x v="0"/>
    <s v="Plaquettes d'ébauches rhombiques"/>
    <s v="10301115"/>
    <s v="BOUCHART LUDOVIC"/>
    <n v="5"/>
    <x v="0"/>
    <x v="0"/>
    <s v="PLAQUETTES"/>
    <x v="4"/>
    <n v="39.799999999999997"/>
  </r>
  <r>
    <d v="2025-04-06T17:09:14"/>
    <x v="2"/>
    <s v="Plaquettes de finition carrées"/>
    <s v="10301115"/>
    <s v="BOUCHART LUDOVIC"/>
    <n v="5"/>
    <x v="0"/>
    <x v="2"/>
    <s v="PLAQUETTES"/>
    <x v="4"/>
    <n v="47.8"/>
  </r>
  <r>
    <d v="2025-04-06T17:09:27"/>
    <x v="3"/>
    <s v="Plaquettes d'ébauches carrées"/>
    <s v="10301115"/>
    <s v="BOUCHART LUDOVIC"/>
    <n v="5"/>
    <x v="1"/>
    <x v="3"/>
    <s v="PLAQUETTES"/>
    <x v="3"/>
    <n v="39.799999999999997"/>
  </r>
  <r>
    <d v="2025-04-06T17:09:40"/>
    <x v="0"/>
    <s v="Plaquettes d'ébauches rhombiques"/>
    <s v="10301115"/>
    <s v="BOUCHART LUDOVIC"/>
    <n v="5"/>
    <x v="1"/>
    <x v="3"/>
    <s v="PLAQUETTES"/>
    <x v="3"/>
    <n v="39.799999999999997"/>
  </r>
  <r>
    <d v="2025-04-06T17:09:54"/>
    <x v="3"/>
    <s v="Plaquettes d'ébauches carrées"/>
    <s v="10301115"/>
    <s v="BOUCHART LUDOVIC"/>
    <n v="5"/>
    <x v="1"/>
    <x v="0"/>
    <s v="PLAQUETTES"/>
    <x v="3"/>
    <n v="39.799999999999997"/>
  </r>
  <r>
    <d v="2025-04-06T17:10:07"/>
    <x v="0"/>
    <s v="Plaquettes d'ébauches rhombiques"/>
    <s v="10301115"/>
    <s v="BOUCHART LUDOVIC"/>
    <n v="5"/>
    <x v="1"/>
    <x v="0"/>
    <s v="PLAQUETTES"/>
    <x v="3"/>
    <n v="39.799999999999997"/>
  </r>
  <r>
    <d v="2025-04-06T17:10:24"/>
    <x v="2"/>
    <s v="Plaquettes de finition carrées"/>
    <s v="10301115"/>
    <s v="BOUCHART LUDOVIC"/>
    <n v="5"/>
    <x v="1"/>
    <x v="2"/>
    <s v="PLAQUETTES"/>
    <x v="3"/>
    <n v="47.8"/>
  </r>
  <r>
    <d v="2025-04-08T05:21:44"/>
    <x v="4"/>
    <s v="Plaquettes de gorges"/>
    <s v="31224"/>
    <s v="BIDOT MURIEL"/>
    <n v="10"/>
    <x v="0"/>
    <x v="0"/>
    <s v="PLAQUETTES"/>
    <x v="0"/>
    <n v="188"/>
  </r>
  <r>
    <d v="2025-04-08T05:21:59"/>
    <x v="2"/>
    <s v="Plaquettes de finition carrées"/>
    <s v="31224"/>
    <s v="BIDOT MURIEL"/>
    <n v="5"/>
    <x v="0"/>
    <x v="2"/>
    <s v="PLAQUETTES"/>
    <x v="0"/>
    <n v="47.8"/>
  </r>
  <r>
    <d v="2025-04-08T05:22:14"/>
    <x v="2"/>
    <s v="Plaquettes de finition carrées"/>
    <s v="31224"/>
    <s v="BIDOT MURIEL"/>
    <n v="5"/>
    <x v="0"/>
    <x v="2"/>
    <s v="PLAQUETTES"/>
    <x v="0"/>
    <n v="47.8"/>
  </r>
  <r>
    <d v="2025-04-08T05:22:27"/>
    <x v="2"/>
    <s v="Plaquettes de finition carrées"/>
    <s v="31224"/>
    <s v="BIDOT MURIEL"/>
    <n v="5"/>
    <x v="0"/>
    <x v="2"/>
    <s v="PLAQUETTES"/>
    <x v="4"/>
    <n v="47.8"/>
  </r>
  <r>
    <d v="2025-04-08T13:20:47"/>
    <x v="3"/>
    <s v="Plaquettes d'ébauches carrées"/>
    <s v="16340494"/>
    <s v="BRIMUSSE AURELIE"/>
    <n v="5"/>
    <x v="1"/>
    <x v="3"/>
    <s v="PLAQUETTES"/>
    <x v="3"/>
    <n v="39.799999999999997"/>
  </r>
  <r>
    <d v="2025-04-08T13:21:02"/>
    <x v="3"/>
    <s v="Plaquettes d'ébauches carrées"/>
    <s v="16340494"/>
    <s v="BRIMUSSE AURELIE"/>
    <n v="5"/>
    <x v="1"/>
    <x v="3"/>
    <s v="PLAQUETTES"/>
    <x v="2"/>
    <n v="39.799999999999997"/>
  </r>
  <r>
    <d v="2025-04-08T13:21:28"/>
    <x v="0"/>
    <s v="Plaquettes d'ébauches rhombiques"/>
    <s v="16340494"/>
    <s v="BRIMUSSE AURELIE"/>
    <n v="5"/>
    <x v="1"/>
    <x v="3"/>
    <s v="PLAQUETTES"/>
    <x v="3"/>
    <n v="39.799999999999997"/>
  </r>
  <r>
    <d v="2025-04-08T13:21:47"/>
    <x v="6"/>
    <s v="Plaquettes de finition triangulaires"/>
    <s v="16340494"/>
    <s v="BRIMUSSE AURELIE"/>
    <n v="5"/>
    <x v="1"/>
    <x v="2"/>
    <s v="PLAQUETTES"/>
    <x v="3"/>
    <n v="48.7"/>
  </r>
  <r>
    <d v="2025-04-08T20:39:23"/>
    <x v="3"/>
    <s v="Plaquettes d'ébauches carrées"/>
    <s v="SC95213"/>
    <s v="RABET PAULINE"/>
    <n v="5"/>
    <x v="0"/>
    <x v="3"/>
    <s v="PLAQUETTES"/>
    <x v="0"/>
    <n v="39.799999999999997"/>
  </r>
  <r>
    <d v="2025-04-09T06:09:21"/>
    <x v="3"/>
    <s v="Plaquettes d'ébauches carrées"/>
    <s v="31224"/>
    <s v="BIDOT MURIEL"/>
    <n v="5"/>
    <x v="0"/>
    <x v="3"/>
    <s v="PLAQUETTES"/>
    <x v="0"/>
    <n v="39.799999999999997"/>
  </r>
  <r>
    <d v="2025-04-09T06:09:35"/>
    <x v="3"/>
    <s v="Plaquettes d'ébauches carrées"/>
    <s v="31224"/>
    <s v="BIDOT MURIEL"/>
    <n v="5"/>
    <x v="0"/>
    <x v="3"/>
    <s v="PLAQUETTES"/>
    <x v="4"/>
    <n v="39.799999999999997"/>
  </r>
  <r>
    <d v="2025-04-09T06:09:59"/>
    <x v="3"/>
    <s v="Plaquettes d'ébauches carrées"/>
    <s v="31224"/>
    <s v="BIDOT MURIEL"/>
    <n v="5"/>
    <x v="0"/>
    <x v="3"/>
    <s v="PLAQUETTES"/>
    <x v="0"/>
    <n v="39.799999999999997"/>
  </r>
  <r>
    <d v="2025-04-09T06:10:14"/>
    <x v="4"/>
    <s v="Plaquettes de gorges"/>
    <s v="31224"/>
    <s v="BIDOT MURIEL"/>
    <n v="10"/>
    <x v="0"/>
    <x v="0"/>
    <s v="PLAQUETTES"/>
    <x v="4"/>
    <n v="188"/>
  </r>
  <r>
    <d v="2025-04-09T06:10:39"/>
    <x v="2"/>
    <s v="Plaquettes de finition carrées"/>
    <s v="31224"/>
    <s v="BIDOT MURIEL"/>
    <n v="5"/>
    <x v="0"/>
    <x v="2"/>
    <s v="PLAQUETTES"/>
    <x v="0"/>
    <n v="47.8"/>
  </r>
  <r>
    <d v="2025-04-09T06:10:58"/>
    <x v="2"/>
    <s v="Plaquettes de finition carrées"/>
    <s v="31224"/>
    <s v="BIDOT MURIEL"/>
    <n v="5"/>
    <x v="0"/>
    <x v="2"/>
    <s v="PLAQUETTES"/>
    <x v="0"/>
    <n v="47.8"/>
  </r>
  <r>
    <d v="2025-04-09T06:11:14"/>
    <x v="2"/>
    <s v="Plaquettes de finition carrées"/>
    <s v="31224"/>
    <s v="BIDOT MURIEL"/>
    <n v="5"/>
    <x v="0"/>
    <x v="2"/>
    <s v="PLAQUETTES"/>
    <x v="0"/>
    <n v="47.8"/>
  </r>
  <r>
    <d v="2025-04-09T15:48:37"/>
    <x v="3"/>
    <s v="Plaquettes d'ébauches carrées"/>
    <s v="16340494"/>
    <s v="BRIMUSSE AURELIE"/>
    <n v="5"/>
    <x v="1"/>
    <x v="0"/>
    <s v="PLAQUETTES"/>
    <x v="3"/>
    <n v="39.799999999999997"/>
  </r>
  <r>
    <d v="2025-04-09T15:48:52"/>
    <x v="3"/>
    <s v="Plaquettes d'ébauches carrées"/>
    <s v="16340494"/>
    <s v="BRIMUSSE AURELIE"/>
    <n v="5"/>
    <x v="1"/>
    <x v="3"/>
    <s v="PLAQUETTES"/>
    <x v="3"/>
    <n v="39.799999999999997"/>
  </r>
  <r>
    <d v="2025-04-09T20:23:06"/>
    <x v="0"/>
    <s v="Plaquettes d'ébauches rhombiques"/>
    <s v="16340494"/>
    <s v="BRIMUSSE AURELIE"/>
    <n v="5"/>
    <x v="1"/>
    <x v="3"/>
    <s v="PLAQUETTES"/>
    <x v="3"/>
    <n v="39.799999999999997"/>
  </r>
  <r>
    <d v="2025-04-09T20:23:21"/>
    <x v="2"/>
    <s v="Plaquettes de finition carrées"/>
    <s v="16340494"/>
    <s v="BRIMUSSE AURELIE"/>
    <n v="5"/>
    <x v="1"/>
    <x v="2"/>
    <s v="PLAQUETTES"/>
    <x v="3"/>
    <n v="47.8"/>
  </r>
  <r>
    <d v="2025-04-10T02:46:29"/>
    <x v="3"/>
    <s v="Plaquettes d'ébauches carrées"/>
    <s v="090225"/>
    <s v="MEYER THOMAS"/>
    <n v="5"/>
    <x v="1"/>
    <x v="3"/>
    <s v="PLAQUETTES"/>
    <x v="3"/>
    <n v="39.799999999999997"/>
  </r>
  <r>
    <d v="2025-04-10T02:46:53"/>
    <x v="4"/>
    <s v="Plaquettes de gorges"/>
    <s v="090225"/>
    <s v="MEYER THOMAS"/>
    <n v="10"/>
    <x v="0"/>
    <x v="0"/>
    <s v="PLAQUETTES"/>
    <x v="0"/>
    <n v="188"/>
  </r>
  <r>
    <d v="2025-04-10T07:01:17"/>
    <x v="2"/>
    <s v="Plaquettes de finition carrées"/>
    <s v="31224"/>
    <s v="BIDOT MURIEL"/>
    <n v="5"/>
    <x v="0"/>
    <x v="2"/>
    <s v="PLAQUETTES"/>
    <x v="0"/>
    <n v="47.8"/>
  </r>
  <r>
    <d v="2025-04-10T07:01:33"/>
    <x v="2"/>
    <s v="Plaquettes de finition carrées"/>
    <s v="31224"/>
    <s v="BIDOT MURIEL"/>
    <n v="5"/>
    <x v="0"/>
    <x v="2"/>
    <s v="PLAQUETTES"/>
    <x v="0"/>
    <n v="47.8"/>
  </r>
  <r>
    <d v="2025-04-10T07:01:47"/>
    <x v="2"/>
    <s v="Plaquettes de finition carrées"/>
    <s v="31224"/>
    <s v="BIDOT MURIEL"/>
    <n v="5"/>
    <x v="0"/>
    <x v="2"/>
    <s v="PLAQUETTES"/>
    <x v="0"/>
    <n v="47.8"/>
  </r>
  <r>
    <d v="2025-04-10T07:02:03"/>
    <x v="3"/>
    <s v="Plaquettes d'ébauches carrées"/>
    <s v="31224"/>
    <s v="BIDOT MURIEL"/>
    <n v="5"/>
    <x v="0"/>
    <x v="0"/>
    <s v="PLAQUETTES"/>
    <x v="0"/>
    <n v="39.799999999999997"/>
  </r>
  <r>
    <d v="2025-04-10T07:02:21"/>
    <x v="3"/>
    <s v="Plaquettes d'ébauches carrées"/>
    <s v="31224"/>
    <s v="BIDOT MURIEL"/>
    <n v="5"/>
    <x v="0"/>
    <x v="0"/>
    <s v="PLAQUETTES"/>
    <x v="0"/>
    <n v="39.799999999999997"/>
  </r>
  <r>
    <d v="2025-04-10T07:02:45"/>
    <x v="3"/>
    <s v="Plaquettes d'ébauches carrées"/>
    <s v="31224"/>
    <s v="BIDOT MURIEL"/>
    <n v="5"/>
    <x v="0"/>
    <x v="3"/>
    <s v="PLAQUETTES"/>
    <x v="0"/>
    <n v="39.799999999999997"/>
  </r>
  <r>
    <d v="2025-04-10T07:03:05"/>
    <x v="0"/>
    <s v="Plaquettes d'ébauches rhombiques"/>
    <s v="31224"/>
    <s v="BIDOT MURIEL"/>
    <n v="5"/>
    <x v="0"/>
    <x v="3"/>
    <s v="PLAQUETTES"/>
    <x v="0"/>
    <n v="39.799999999999997"/>
  </r>
  <r>
    <d v="2025-04-10T14:28:34"/>
    <x v="3"/>
    <s v="Plaquettes d'ébauches carrées"/>
    <s v="16340494"/>
    <s v="BRIMUSSE AURELIE"/>
    <n v="5"/>
    <x v="1"/>
    <x v="3"/>
    <s v="PLAQUETTES"/>
    <x v="3"/>
    <n v="39.799999999999997"/>
  </r>
  <r>
    <d v="2025-04-10T14:28:52"/>
    <x v="0"/>
    <s v="Plaquettes d'ébauches rhombiques"/>
    <s v="16340494"/>
    <s v="BRIMUSSE AURELIE"/>
    <n v="5"/>
    <x v="1"/>
    <x v="3"/>
    <s v="PLAQUETTES"/>
    <x v="3"/>
    <n v="39.799999999999997"/>
  </r>
  <r>
    <d v="2025-04-10T14:29:09"/>
    <x v="3"/>
    <s v="Plaquettes d'ébauches carrées"/>
    <s v="16340494"/>
    <s v="BRIMUSSE AURELIE"/>
    <n v="5"/>
    <x v="1"/>
    <x v="0"/>
    <s v="PLAQUETTES"/>
    <x v="3"/>
    <n v="39.799999999999997"/>
  </r>
  <r>
    <d v="2025-04-10T14:29:24"/>
    <x v="5"/>
    <s v="Plaquettes de finition"/>
    <s v="16340494"/>
    <s v="BRIMUSSE AURELIE"/>
    <n v="5"/>
    <x v="1"/>
    <x v="2"/>
    <s v="PLAQUETTES"/>
    <x v="3"/>
    <n v="42.5"/>
  </r>
  <r>
    <d v="2025-04-10T14:29:37"/>
    <x v="6"/>
    <s v="Plaquettes de finition triangulaires"/>
    <s v="16340494"/>
    <s v="BRIMUSSE AURELIE"/>
    <n v="5"/>
    <x v="1"/>
    <x v="2"/>
    <s v="PLAQUETTES"/>
    <x v="3"/>
    <n v="48.7"/>
  </r>
  <r>
    <d v="2025-04-10T14:29:51"/>
    <x v="2"/>
    <s v="Plaquettes de finition carrées"/>
    <s v="16340494"/>
    <s v="BRIMUSSE AURELIE"/>
    <n v="5"/>
    <x v="1"/>
    <x v="2"/>
    <s v="PLAQUETTES"/>
    <x v="3"/>
    <n v="47.8"/>
  </r>
  <r>
    <d v="2025-04-10T14:37:33"/>
    <x v="7"/>
    <s v="Plaquettes VCGT21A52 SP4019"/>
    <s v="12824586"/>
    <s v="DASILVA FERNANDO"/>
    <n v="5"/>
    <x v="1"/>
    <x v="1"/>
    <s v="PLAQUETTES"/>
    <x v="1"/>
    <n v="60.9"/>
  </r>
  <r>
    <d v="2025-04-10T14:38:02"/>
    <x v="10"/>
    <s v="Plaquettes TPGX0902ZPRGD KC7315"/>
    <s v="12824586"/>
    <s v="DASILVA FERNANDO"/>
    <n v="10"/>
    <x v="1"/>
    <x v="1"/>
    <s v="PLAQUETTES"/>
    <x v="1"/>
    <n v="81.5"/>
  </r>
  <r>
    <d v="2025-04-10T19:45:30"/>
    <x v="4"/>
    <s v="Plaquettes de gorges"/>
    <s v="SC95213"/>
    <s v="RABET PAULINE"/>
    <n v="10"/>
    <x v="0"/>
    <x v="0"/>
    <s v="PLAQUETTES"/>
    <x v="0"/>
    <n v="188"/>
  </r>
  <r>
    <d v="2025-04-11T07:37:19"/>
    <x v="2"/>
    <s v="Plaquettes de finition carrées"/>
    <s v="10301115"/>
    <s v="BOUCHART LUDOVIC"/>
    <n v="5"/>
    <x v="0"/>
    <x v="2"/>
    <s v="PLAQUETTES"/>
    <x v="0"/>
    <n v="47.8"/>
  </r>
  <r>
    <d v="2025-04-11T07:37:38"/>
    <x v="5"/>
    <s v="Plaquettes de finition"/>
    <s v="10301115"/>
    <s v="BOUCHART LUDOVIC"/>
    <n v="5"/>
    <x v="1"/>
    <x v="2"/>
    <s v="PLAQUETTES"/>
    <x v="3"/>
    <n v="42.5"/>
  </r>
  <r>
    <d v="2025-04-11T07:37:57"/>
    <x v="6"/>
    <s v="Plaquettes de finition triangulaires"/>
    <s v="10301115"/>
    <s v="BOUCHART LUDOVIC"/>
    <n v="5"/>
    <x v="1"/>
    <x v="2"/>
    <s v="PLAQUETTES"/>
    <x v="3"/>
    <n v="48.7"/>
  </r>
  <r>
    <d v="2025-04-11T07:38:12"/>
    <x v="2"/>
    <s v="Plaquettes de finition carrées"/>
    <s v="10301115"/>
    <s v="BOUCHART LUDOVIC"/>
    <n v="5"/>
    <x v="1"/>
    <x v="2"/>
    <s v="PLAQUETTES"/>
    <x v="3"/>
    <n v="47.8"/>
  </r>
  <r>
    <d v="2025-04-11T13:44:03"/>
    <x v="3"/>
    <s v="Plaquettes d'ébauches carrées"/>
    <s v="16340494"/>
    <s v="BRIMUSSE AURELIE"/>
    <n v="5"/>
    <x v="1"/>
    <x v="3"/>
    <s v="PLAQUETTES"/>
    <x v="3"/>
    <n v="39.799999999999997"/>
  </r>
  <r>
    <d v="2025-04-11T13:44:22"/>
    <x v="0"/>
    <s v="Plaquettes d'ébauches rhombiques"/>
    <s v="16340494"/>
    <s v="BRIMUSSE AURELIE"/>
    <n v="5"/>
    <x v="1"/>
    <x v="3"/>
    <s v="PLAQUETTES"/>
    <x v="3"/>
    <n v="39.799999999999997"/>
  </r>
  <r>
    <d v="2025-04-11T13:44:37"/>
    <x v="3"/>
    <s v="Plaquettes d'ébauches carrées"/>
    <s v="16340494"/>
    <s v="BRIMUSSE AURELIE"/>
    <n v="5"/>
    <x v="1"/>
    <x v="0"/>
    <s v="PLAQUETTES"/>
    <x v="3"/>
    <n v="39.799999999999997"/>
  </r>
  <r>
    <d v="2025-04-11T13:44:53"/>
    <x v="0"/>
    <s v="Plaquettes d'ébauches rhombiques"/>
    <s v="16340494"/>
    <s v="BRIMUSSE AURELIE"/>
    <n v="5"/>
    <x v="1"/>
    <x v="0"/>
    <s v="PLAQUETTES"/>
    <x v="3"/>
    <n v="39.799999999999997"/>
  </r>
  <r>
    <d v="2025-04-11T18:56:47"/>
    <x v="4"/>
    <s v="Plaquettes de gorges"/>
    <s v="SD75051"/>
    <s v="COMBALUZIER LUCAS"/>
    <n v="10"/>
    <x v="0"/>
    <x v="0"/>
    <s v="PLAQUETTES"/>
    <x v="0"/>
    <n v="188"/>
  </r>
  <r>
    <d v="2025-04-11T20:57:41"/>
    <x v="3"/>
    <s v="Plaquettes d'ébauches carrées"/>
    <s v="090225"/>
    <s v="MEYER THOMAS"/>
    <n v="5"/>
    <x v="0"/>
    <x v="3"/>
    <s v="PLAQUETTES"/>
    <x v="0"/>
    <n v="39.799999999999997"/>
  </r>
  <r>
    <d v="2025-04-11T20:57:57"/>
    <x v="0"/>
    <s v="Plaquettes d'ébauches rhombiques"/>
    <s v="090225"/>
    <s v="MEYER THOMAS"/>
    <n v="5"/>
    <x v="0"/>
    <x v="3"/>
    <s v="PLAQUETTES"/>
    <x v="0"/>
    <n v="39.799999999999997"/>
  </r>
  <r>
    <d v="2025-04-11T21:02:54"/>
    <x v="3"/>
    <s v="Plaquettes d'ébauches carrées"/>
    <s v="090225"/>
    <s v="MEYER THOMAS"/>
    <n v="5"/>
    <x v="0"/>
    <x v="0"/>
    <s v="PLAQUETTES"/>
    <x v="0"/>
    <n v="39.799999999999997"/>
  </r>
  <r>
    <d v="2025-04-11T21:03:16"/>
    <x v="0"/>
    <s v="Plaquettes d'ébauches rhombiques"/>
    <s v="090225"/>
    <s v="MEYER THOMAS"/>
    <n v="5"/>
    <x v="0"/>
    <x v="0"/>
    <s v="PLAQUETTES"/>
    <x v="0"/>
    <n v="39.799999999999997"/>
  </r>
  <r>
    <d v="2025-04-12T00:32:27"/>
    <x v="3"/>
    <s v="Plaquettes d'ébauches carrées"/>
    <s v="090225"/>
    <s v="MEYER THOMAS"/>
    <n v="5"/>
    <x v="1"/>
    <x v="3"/>
    <s v="PLAQUETTES"/>
    <x v="3"/>
    <n v="39.799999999999997"/>
  </r>
  <r>
    <d v="2025-04-12T04:24:42"/>
    <x v="2"/>
    <s v="Plaquettes de finition carrées"/>
    <s v="7236310"/>
    <s v="OZYURT IREM"/>
    <n v="5"/>
    <x v="0"/>
    <x v="2"/>
    <s v="PLAQUETTES"/>
    <x v="0"/>
    <n v="47.8"/>
  </r>
  <r>
    <d v="2025-04-12T05:27:50"/>
    <x v="2"/>
    <s v="Plaquettes de finition carrées"/>
    <s v="10301115"/>
    <s v="BOUCHART LUDOVIC"/>
    <n v="5"/>
    <x v="0"/>
    <x v="2"/>
    <s v="PLAQUETTES"/>
    <x v="0"/>
    <n v="47.8"/>
  </r>
  <r>
    <d v="2025-04-12T05:28:05"/>
    <x v="3"/>
    <s v="Plaquettes d'ébauches carrées"/>
    <s v="10301115"/>
    <s v="BOUCHART LUDOVIC"/>
    <n v="5"/>
    <x v="0"/>
    <x v="3"/>
    <s v="PLAQUETTES"/>
    <x v="0"/>
    <n v="39.799999999999997"/>
  </r>
  <r>
    <d v="2025-04-12T05:28:18"/>
    <x v="0"/>
    <s v="Plaquettes d'ébauches rhombiques"/>
    <s v="10301115"/>
    <s v="BOUCHART LUDOVIC"/>
    <n v="5"/>
    <x v="0"/>
    <x v="3"/>
    <s v="PLAQUETTES"/>
    <x v="0"/>
    <n v="39.799999999999997"/>
  </r>
  <r>
    <d v="2025-04-12T05:28:32"/>
    <x v="4"/>
    <s v="Plaquettes de gorges"/>
    <s v="10301115"/>
    <s v="BOUCHART LUDOVIC"/>
    <n v="10"/>
    <x v="0"/>
    <x v="0"/>
    <s v="PLAQUETTES"/>
    <x v="0"/>
    <n v="188"/>
  </r>
  <r>
    <d v="2025-04-12T05:28:45"/>
    <x v="3"/>
    <s v="Plaquettes d'ébauches carrées"/>
    <s v="10301115"/>
    <s v="BOUCHART LUDOVIC"/>
    <n v="5"/>
    <x v="0"/>
    <x v="0"/>
    <s v="PLAQUETTES"/>
    <x v="0"/>
    <n v="39.799999999999997"/>
  </r>
  <r>
    <d v="2025-04-12T05:28:58"/>
    <x v="0"/>
    <s v="Plaquettes d'ébauches rhombiques"/>
    <s v="10301115"/>
    <s v="BOUCHART LUDOVIC"/>
    <n v="5"/>
    <x v="0"/>
    <x v="0"/>
    <s v="PLAQUETTES"/>
    <x v="0"/>
    <n v="39.799999999999997"/>
  </r>
  <r>
    <d v="2025-04-12T05:29:13"/>
    <x v="3"/>
    <s v="Plaquettes d'ébauches carrées"/>
    <s v="10301115"/>
    <s v="BOUCHART LUDOVIC"/>
    <n v="5"/>
    <x v="1"/>
    <x v="3"/>
    <s v="PLAQUETTES"/>
    <x v="3"/>
    <n v="39.799999999999997"/>
  </r>
  <r>
    <d v="2025-04-12T05:29:24"/>
    <x v="0"/>
    <s v="Plaquettes d'ébauches rhombiques"/>
    <s v="10301115"/>
    <s v="BOUCHART LUDOVIC"/>
    <n v="5"/>
    <x v="1"/>
    <x v="3"/>
    <s v="PLAQUETTES"/>
    <x v="3"/>
    <n v="39.799999999999997"/>
  </r>
  <r>
    <d v="2025-04-12T05:29:37"/>
    <x v="3"/>
    <s v="Plaquettes d'ébauches carrées"/>
    <s v="10301115"/>
    <s v="BOUCHART LUDOVIC"/>
    <n v="5"/>
    <x v="1"/>
    <x v="0"/>
    <s v="PLAQUETTES"/>
    <x v="3"/>
    <n v="39.799999999999997"/>
  </r>
  <r>
    <d v="2025-04-12T05:29:52"/>
    <x v="0"/>
    <s v="Plaquettes d'ébauches rhombiques"/>
    <s v="10301115"/>
    <s v="BOUCHART LUDOVIC"/>
    <n v="5"/>
    <x v="1"/>
    <x v="0"/>
    <s v="PLAQUETTES"/>
    <x v="3"/>
    <n v="39.799999999999997"/>
  </r>
  <r>
    <d v="2025-04-12T05:30:13"/>
    <x v="5"/>
    <s v="Plaquettes de finition"/>
    <s v="10301115"/>
    <s v="BOUCHART LUDOVIC"/>
    <n v="5"/>
    <x v="1"/>
    <x v="2"/>
    <s v="PLAQUETTES"/>
    <x v="3"/>
    <n v="42.5"/>
  </r>
  <r>
    <d v="2025-04-12T05:30:24"/>
    <x v="6"/>
    <s v="Plaquettes de finition triangulaires"/>
    <s v="10301115"/>
    <s v="BOUCHART LUDOVIC"/>
    <n v="5"/>
    <x v="1"/>
    <x v="2"/>
    <s v="PLAQUETTES"/>
    <x v="3"/>
    <n v="48.7"/>
  </r>
  <r>
    <d v="2025-04-12T05:30:37"/>
    <x v="2"/>
    <s v="Plaquettes de finition carrées"/>
    <s v="10301115"/>
    <s v="BOUCHART LUDOVIC"/>
    <n v="5"/>
    <x v="1"/>
    <x v="2"/>
    <s v="PLAQUETTES"/>
    <x v="3"/>
    <n v="47.8"/>
  </r>
  <r>
    <d v="2025-04-12T10:08:00"/>
    <x v="0"/>
    <s v="Plaquettes d'ébauches rhombiques"/>
    <s v="U509351"/>
    <s v="DELIAT CHRISTOPHE"/>
    <n v="5"/>
    <x v="1"/>
    <x v="3"/>
    <s v="PLAQUETTES"/>
    <x v="3"/>
    <n v="39.799999999999997"/>
  </r>
  <r>
    <d v="2025-04-12T10:08:28"/>
    <x v="0"/>
    <s v="Plaquettes d'ébauches rhombiques"/>
    <s v="U509351"/>
    <s v="DELIAT CHRISTOPHE"/>
    <n v="5"/>
    <x v="1"/>
    <x v="0"/>
    <s v="PLAQUETTES"/>
    <x v="3"/>
    <n v="39.799999999999997"/>
  </r>
  <r>
    <d v="2025-04-12T10:08:46"/>
    <x v="3"/>
    <s v="Plaquettes d'ébauches carrées"/>
    <s v="U509351"/>
    <s v="DELIAT CHRISTOPHE"/>
    <n v="5"/>
    <x v="1"/>
    <x v="3"/>
    <s v="PLAQUETTES"/>
    <x v="3"/>
    <n v="39.799999999999997"/>
  </r>
  <r>
    <d v="2025-04-12T10:09:10"/>
    <x v="3"/>
    <s v="Plaquettes d'ébauches carrées"/>
    <s v="U509351"/>
    <s v="DELIAT CHRISTOPHE"/>
    <n v="5"/>
    <x v="1"/>
    <x v="0"/>
    <s v="PLAQUETTES"/>
    <x v="3"/>
    <n v="39.799999999999997"/>
  </r>
  <r>
    <d v="2025-04-12T10:09:35"/>
    <x v="0"/>
    <s v="Plaquettes d'ébauches rhombiques"/>
    <s v="U509351"/>
    <s v="DELIAT CHRISTOPHE"/>
    <n v="5"/>
    <x v="0"/>
    <x v="3"/>
    <s v="PLAQUETTES"/>
    <x v="0"/>
    <n v="39.799999999999997"/>
  </r>
  <r>
    <d v="2025-04-12T10:09:54"/>
    <x v="0"/>
    <s v="Plaquettes d'ébauches rhombiques"/>
    <s v="U509351"/>
    <s v="DELIAT CHRISTOPHE"/>
    <n v="5"/>
    <x v="0"/>
    <x v="0"/>
    <s v="PLAQUETTES"/>
    <x v="0"/>
    <n v="39.799999999999997"/>
  </r>
  <r>
    <d v="2025-04-12T10:10:14"/>
    <x v="3"/>
    <s v="Plaquettes d'ébauches carrées"/>
    <s v="U509351"/>
    <s v="DELIAT CHRISTOPHE"/>
    <n v="5"/>
    <x v="0"/>
    <x v="3"/>
    <s v="PLAQUETTES"/>
    <x v="0"/>
    <n v="39.799999999999997"/>
  </r>
  <r>
    <d v="2025-04-12T10:10:33"/>
    <x v="3"/>
    <s v="Plaquettes d'ébauches carrées"/>
    <s v="U509351"/>
    <s v="DELIAT CHRISTOPHE"/>
    <n v="5"/>
    <x v="0"/>
    <x v="0"/>
    <s v="PLAQUETTES"/>
    <x v="0"/>
    <n v="39.799999999999997"/>
  </r>
  <r>
    <d v="2025-04-12T13:49:59"/>
    <x v="3"/>
    <s v="Plaquettes d'ébauches carrées"/>
    <s v="U509351"/>
    <s v="DELIAT CHRISTOPHE"/>
    <n v="5"/>
    <x v="0"/>
    <x v="3"/>
    <s v="PLAQUETTES"/>
    <x v="3"/>
    <n v="39.799999999999997"/>
  </r>
  <r>
    <d v="2025-04-12T13:50:16"/>
    <x v="3"/>
    <s v="Plaquettes d'ébauches carrées"/>
    <s v="U509351"/>
    <s v="DELIAT CHRISTOPHE"/>
    <n v="5"/>
    <x v="1"/>
    <x v="3"/>
    <s v="PLAQUETTES"/>
    <x v="2"/>
    <n v="39.799999999999997"/>
  </r>
  <r>
    <d v="2025-04-12T13:50:38"/>
    <x v="2"/>
    <s v="Plaquettes de finition carrées"/>
    <s v="U509351"/>
    <s v="DELIAT CHRISTOPHE"/>
    <n v="5"/>
    <x v="0"/>
    <x v="2"/>
    <s v="PLAQUETTES"/>
    <x v="0"/>
    <n v="47.8"/>
  </r>
  <r>
    <d v="2025-04-12T13:50:54"/>
    <x v="2"/>
    <s v="Plaquettes de finition carrées"/>
    <s v="U509351"/>
    <s v="DELIAT CHRISTOPHE"/>
    <n v="5"/>
    <x v="1"/>
    <x v="2"/>
    <s v="PLAQUETTES"/>
    <x v="3"/>
    <n v="47.8"/>
  </r>
  <r>
    <d v="2025-04-13T17:15:11"/>
    <x v="3"/>
    <s v="Plaquettes d'ébauches carrées"/>
    <s v="10301115"/>
    <s v="BOUCHART LUDOVIC"/>
    <n v="5"/>
    <x v="0"/>
    <x v="3"/>
    <s v="PLAQUETTES"/>
    <x v="0"/>
    <n v="39.799999999999997"/>
  </r>
  <r>
    <d v="2025-04-13T17:15:25"/>
    <x v="0"/>
    <s v="Plaquettes d'ébauches rhombiques"/>
    <s v="10301115"/>
    <s v="BOUCHART LUDOVIC"/>
    <n v="5"/>
    <x v="0"/>
    <x v="3"/>
    <s v="PLAQUETTES"/>
    <x v="0"/>
    <n v="39.799999999999997"/>
  </r>
  <r>
    <d v="2025-04-13T17:15:38"/>
    <x v="4"/>
    <s v="Plaquettes de gorges"/>
    <s v="10301115"/>
    <s v="BOUCHART LUDOVIC"/>
    <n v="10"/>
    <x v="0"/>
    <x v="0"/>
    <s v="PLAQUETTES"/>
    <x v="0"/>
    <n v="188"/>
  </r>
  <r>
    <d v="2025-04-13T17:15:51"/>
    <x v="3"/>
    <s v="Plaquettes d'ébauches carrées"/>
    <s v="10301115"/>
    <s v="BOUCHART LUDOVIC"/>
    <n v="5"/>
    <x v="0"/>
    <x v="0"/>
    <s v="PLAQUETTES"/>
    <x v="0"/>
    <n v="39.799999999999997"/>
  </r>
  <r>
    <d v="2025-04-13T17:16:04"/>
    <x v="0"/>
    <s v="Plaquettes d'ébauches rhombiques"/>
    <s v="10301115"/>
    <s v="BOUCHART LUDOVIC"/>
    <n v="5"/>
    <x v="0"/>
    <x v="0"/>
    <s v="PLAQUETTES"/>
    <x v="0"/>
    <n v="39.799999999999997"/>
  </r>
  <r>
    <d v="2025-04-13T17:16:24"/>
    <x v="2"/>
    <s v="Plaquettes de finition carrées"/>
    <s v="10301115"/>
    <s v="BOUCHART LUDOVIC"/>
    <n v="5"/>
    <x v="0"/>
    <x v="2"/>
    <s v="PLAQUETTES"/>
    <x v="0"/>
    <n v="47.8"/>
  </r>
  <r>
    <d v="2025-04-13T17:16:40"/>
    <x v="3"/>
    <s v="Plaquettes d'ébauches carrées"/>
    <s v="10301115"/>
    <s v="BOUCHART LUDOVIC"/>
    <n v="5"/>
    <x v="1"/>
    <x v="3"/>
    <s v="PLAQUETTES"/>
    <x v="3"/>
    <n v="39.799999999999997"/>
  </r>
  <r>
    <d v="2025-04-13T17:16:53"/>
    <x v="0"/>
    <s v="Plaquettes d'ébauches rhombiques"/>
    <s v="10301115"/>
    <s v="BOUCHART LUDOVIC"/>
    <n v="5"/>
    <x v="1"/>
    <x v="3"/>
    <s v="PLAQUETTES"/>
    <x v="3"/>
    <n v="39.799999999999997"/>
  </r>
  <r>
    <d v="2025-04-13T17:17:07"/>
    <x v="3"/>
    <s v="Plaquettes d'ébauches carrées"/>
    <s v="10301115"/>
    <s v="BOUCHART LUDOVIC"/>
    <n v="5"/>
    <x v="1"/>
    <x v="0"/>
    <s v="PLAQUETTES"/>
    <x v="3"/>
    <n v="39.799999999999997"/>
  </r>
  <r>
    <d v="2025-04-13T17:17:19"/>
    <x v="0"/>
    <s v="Plaquettes d'ébauches rhombiques"/>
    <s v="10301115"/>
    <s v="BOUCHART LUDOVIC"/>
    <n v="5"/>
    <x v="1"/>
    <x v="0"/>
    <s v="PLAQUETTES"/>
    <x v="3"/>
    <n v="39.799999999999997"/>
  </r>
  <r>
    <d v="2025-04-13T17:17:37"/>
    <x v="2"/>
    <s v="Plaquettes de finition carrées"/>
    <s v="10301115"/>
    <s v="BOUCHART LUDOVIC"/>
    <n v="5"/>
    <x v="1"/>
    <x v="2"/>
    <s v="PLAQUETTES"/>
    <x v="3"/>
    <n v="47.8"/>
  </r>
  <r>
    <d v="2025-04-13T17:21:45"/>
    <x v="2"/>
    <s v="Plaquettes de finition carrées"/>
    <s v="U509351"/>
    <s v="DELIAT CHRISTOPHE"/>
    <n v="5"/>
    <x v="0"/>
    <x v="2"/>
    <s v="PLAQUETTES"/>
    <x v="0"/>
    <n v="47.8"/>
  </r>
  <r>
    <d v="2025-04-13T17:22:20"/>
    <x v="6"/>
    <s v="Plaquettes de finition triangulaires"/>
    <s v="U509351"/>
    <s v="DELIAT CHRISTOPHE"/>
    <n v="5"/>
    <x v="0"/>
    <x v="2"/>
    <s v="PLAQUETTES"/>
    <x v="3"/>
    <n v="48.7"/>
  </r>
  <r>
    <d v="2025-04-13T17:22:43"/>
    <x v="5"/>
    <s v="Plaquettes de finition"/>
    <s v="U509351"/>
    <s v="DELIAT CHRISTOPHE"/>
    <n v="5"/>
    <x v="0"/>
    <x v="2"/>
    <s v="PLAQUETTES"/>
    <x v="3"/>
    <n v="42.5"/>
  </r>
  <r>
    <d v="2025-04-13T17:23:29"/>
    <x v="2"/>
    <s v="Plaquettes de finition carrées"/>
    <s v="U509351"/>
    <s v="DELIAT CHRISTOPHE"/>
    <n v="5"/>
    <x v="1"/>
    <x v="2"/>
    <s v="PLAQUETTES"/>
    <x v="3"/>
    <n v="47.8"/>
  </r>
  <r>
    <d v="2025-04-14T11:55:32"/>
    <x v="3"/>
    <s v="Plaquettes d'ébauches carrées"/>
    <s v="16340494"/>
    <s v="BRIMUSSE AURELIE"/>
    <n v="5"/>
    <x v="1"/>
    <x v="3"/>
    <s v="PLAQUETTES"/>
    <x v="3"/>
    <n v="39.799999999999997"/>
  </r>
  <r>
    <d v="2025-04-14T11:55:45"/>
    <x v="0"/>
    <s v="Plaquettes d'ébauches rhombiques"/>
    <s v="16340494"/>
    <s v="BRIMUSSE AURELIE"/>
    <n v="5"/>
    <x v="1"/>
    <x v="3"/>
    <s v="PLAQUETTES"/>
    <x v="3"/>
    <n v="39.799999999999997"/>
  </r>
  <r>
    <d v="2025-04-14T14:08:20"/>
    <x v="7"/>
    <s v="Plaquettes VCGT21A52 SP4019"/>
    <s v="12824586"/>
    <s v="DASILVA FERNANDO"/>
    <n v="5"/>
    <x v="0"/>
    <x v="1"/>
    <s v="PLAQUETTES"/>
    <x v="1"/>
    <n v="60.9"/>
  </r>
  <r>
    <d v="2025-04-14T14:21:53"/>
    <x v="10"/>
    <s v="Plaquettes TPGX0902ZPRGD KC7315"/>
    <s v="SF51433"/>
    <s v="BONTEMS COLINE"/>
    <n v="10"/>
    <x v="0"/>
    <x v="1"/>
    <s v="PLAQUETTES"/>
    <x v="1"/>
    <n v="81.5"/>
  </r>
  <r>
    <d v="2025-04-14T22:08:18"/>
    <x v="3"/>
    <s v="Plaquettes d'ébauches carrées"/>
    <s v="31224"/>
    <s v="BIDOT MURIEL"/>
    <n v="5"/>
    <x v="0"/>
    <x v="3"/>
    <s v="PLAQUETTES"/>
    <x v="0"/>
    <n v="39.799999999999997"/>
  </r>
  <r>
    <d v="2025-04-14T22:08:33"/>
    <x v="3"/>
    <s v="Plaquettes d'ébauches carrées"/>
    <s v="31224"/>
    <s v="BIDOT MURIEL"/>
    <n v="5"/>
    <x v="0"/>
    <x v="3"/>
    <s v="PLAQUETTES"/>
    <x v="0"/>
    <n v="39.799999999999997"/>
  </r>
  <r>
    <d v="2025-04-14T22:08:53"/>
    <x v="2"/>
    <s v="Plaquettes de finition carrées"/>
    <s v="31224"/>
    <s v="BIDOT MURIEL"/>
    <n v="5"/>
    <x v="0"/>
    <x v="2"/>
    <s v="PLAQUETTES"/>
    <x v="0"/>
    <n v="47.8"/>
  </r>
  <r>
    <d v="2025-04-14T22:09:07"/>
    <x v="2"/>
    <s v="Plaquettes de finition carrées"/>
    <s v="31224"/>
    <s v="BIDOT MURIEL"/>
    <n v="5"/>
    <x v="0"/>
    <x v="2"/>
    <s v="PLAQUETTES"/>
    <x v="0"/>
    <n v="47.8"/>
  </r>
  <r>
    <d v="2025-04-14T22:09:18"/>
    <x v="2"/>
    <s v="Plaquettes de finition carrées"/>
    <s v="31224"/>
    <s v="BIDOT MURIEL"/>
    <n v="5"/>
    <x v="0"/>
    <x v="2"/>
    <s v="PLAQUETTES"/>
    <x v="0"/>
    <n v="47.8"/>
  </r>
  <r>
    <d v="2025-04-15T05:49:07"/>
    <x v="3"/>
    <s v="Plaquettes d'ébauches carrées"/>
    <s v="16340494"/>
    <s v="BRIMUSSE AURELIE"/>
    <n v="5"/>
    <x v="1"/>
    <x v="3"/>
    <s v="PLAQUETTES"/>
    <x v="3"/>
    <n v="39.799999999999997"/>
  </r>
  <r>
    <d v="2025-04-15T05:49:20"/>
    <x v="0"/>
    <s v="Plaquettes d'ébauches rhombiques"/>
    <s v="16340494"/>
    <s v="BRIMUSSE AURELIE"/>
    <n v="5"/>
    <x v="1"/>
    <x v="3"/>
    <s v="PLAQUETTES"/>
    <x v="3"/>
    <n v="39.799999999999997"/>
  </r>
  <r>
    <d v="2025-04-15T05:49:39"/>
    <x v="3"/>
    <s v="Plaquettes d'ébauches carrées"/>
    <s v="16340494"/>
    <s v="BRIMUSSE AURELIE"/>
    <n v="5"/>
    <x v="1"/>
    <x v="0"/>
    <s v="PLAQUETTES"/>
    <x v="3"/>
    <n v="39.799999999999997"/>
  </r>
  <r>
    <d v="2025-04-15T05:49:52"/>
    <x v="0"/>
    <s v="Plaquettes d'ébauches rhombiques"/>
    <s v="16340494"/>
    <s v="BRIMUSSE AURELIE"/>
    <n v="5"/>
    <x v="1"/>
    <x v="0"/>
    <s v="PLAQUETTES"/>
    <x v="3"/>
    <n v="39.799999999999997"/>
  </r>
  <r>
    <d v="2025-04-15T05:50:10"/>
    <x v="2"/>
    <s v="Plaquettes de finition carrées"/>
    <s v="16340494"/>
    <s v="BRIMUSSE AURELIE"/>
    <n v="5"/>
    <x v="1"/>
    <x v="2"/>
    <s v="PLAQUETTES"/>
    <x v="3"/>
    <n v="47.8"/>
  </r>
  <r>
    <d v="2025-04-15T13:53:36"/>
    <x v="3"/>
    <s v="Plaquettes d'ébauches carrées"/>
    <s v="090225"/>
    <s v="MEYER THOMAS"/>
    <n v="5"/>
    <x v="1"/>
    <x v="3"/>
    <s v="PLAQUETTES"/>
    <x v="3"/>
    <n v="39.799999999999997"/>
  </r>
  <r>
    <d v="2025-04-15T14:08:35"/>
    <x v="4"/>
    <s v="Plaquettes de gorges"/>
    <s v="090225"/>
    <s v="MEYER THOMAS"/>
    <n v="10"/>
    <x v="0"/>
    <x v="0"/>
    <s v="PLAQUETTES"/>
    <x v="0"/>
    <n v="188"/>
  </r>
  <r>
    <d v="2025-04-15T16:11:50"/>
    <x v="3"/>
    <s v="Plaquettes d'ébauches carrées"/>
    <s v="090225"/>
    <s v="MEYER THOMAS"/>
    <n v="5"/>
    <x v="0"/>
    <x v="3"/>
    <s v="PLAQUETTES"/>
    <x v="0"/>
    <n v="39.799999999999997"/>
  </r>
  <r>
    <d v="2025-04-15T22:05:08"/>
    <x v="5"/>
    <s v="Plaquettes de finition"/>
    <s v="070325"/>
    <s v="PEREIRA KEVIN"/>
    <n v="5"/>
    <x v="1"/>
    <x v="2"/>
    <s v="PLAQUETTES"/>
    <x v="3"/>
    <n v="42.5"/>
  </r>
  <r>
    <d v="2025-04-15T22:05:30"/>
    <x v="6"/>
    <s v="Plaquettes de finition triangulaires"/>
    <s v="070325"/>
    <s v="PEREIRA KEVIN"/>
    <n v="5"/>
    <x v="1"/>
    <x v="2"/>
    <s v="PLAQUETTES"/>
    <x v="3"/>
    <n v="48.7"/>
  </r>
  <r>
    <d v="2025-04-15T22:05:54"/>
    <x v="2"/>
    <s v="Plaquettes de finition carrées"/>
    <s v="070325"/>
    <s v="PEREIRA KEVIN"/>
    <n v="5"/>
    <x v="0"/>
    <x v="2"/>
    <s v="PLAQUETTES"/>
    <x v="0"/>
    <n v="47.8"/>
  </r>
  <r>
    <d v="2025-04-15T22:06:16"/>
    <x v="2"/>
    <s v="Plaquettes de finition carrées"/>
    <s v="070325"/>
    <s v="PEREIRA KEVIN"/>
    <n v="5"/>
    <x v="0"/>
    <x v="2"/>
    <s v="PLAQUETTES"/>
    <x v="0"/>
    <n v="47.8"/>
  </r>
  <r>
    <d v="2025-04-15T22:06:51"/>
    <x v="3"/>
    <s v="Plaquettes d'ébauches carrées"/>
    <s v="070325"/>
    <s v="PEREIRA KEVIN"/>
    <n v="5"/>
    <x v="1"/>
    <x v="0"/>
    <s v="PLAQUETTES"/>
    <x v="3"/>
    <n v="39.799999999999997"/>
  </r>
  <r>
    <d v="2025-04-15T22:31:38"/>
    <x v="3"/>
    <s v="Plaquettes d'ébauches carrées"/>
    <s v="31224"/>
    <s v="BIDOT MURIEL"/>
    <n v="5"/>
    <x v="0"/>
    <x v="3"/>
    <s v="PLAQUETTES"/>
    <x v="0"/>
    <n v="39.799999999999997"/>
  </r>
  <r>
    <d v="2025-04-15T22:31:52"/>
    <x v="3"/>
    <s v="Plaquettes d'ébauches carrées"/>
    <s v="31224"/>
    <s v="BIDOT MURIEL"/>
    <n v="5"/>
    <x v="0"/>
    <x v="3"/>
    <s v="PLAQUETTES"/>
    <x v="0"/>
    <n v="39.799999999999997"/>
  </r>
  <r>
    <d v="2025-04-15T22:32:05"/>
    <x v="0"/>
    <s v="Plaquettes d'ébauches rhombiques"/>
    <s v="31224"/>
    <s v="BIDOT MURIEL"/>
    <n v="5"/>
    <x v="0"/>
    <x v="3"/>
    <s v="PLAQUETTES"/>
    <x v="0"/>
    <n v="39.799999999999997"/>
  </r>
  <r>
    <d v="2025-04-15T22:32:17"/>
    <x v="4"/>
    <s v="Plaquettes de gorges"/>
    <s v="31224"/>
    <s v="BIDOT MURIEL"/>
    <n v="10"/>
    <x v="0"/>
    <x v="0"/>
    <s v="PLAQUETTES"/>
    <x v="0"/>
    <n v="188"/>
  </r>
  <r>
    <d v="2025-04-15T22:32:30"/>
    <x v="2"/>
    <s v="Plaquettes de finition carrées"/>
    <s v="31224"/>
    <s v="BIDOT MURIEL"/>
    <n v="5"/>
    <x v="0"/>
    <x v="2"/>
    <s v="PLAQUETTES"/>
    <x v="0"/>
    <n v="47.8"/>
  </r>
  <r>
    <d v="2025-04-16T00:30:19"/>
    <x v="2"/>
    <s v="Plaquettes de finition carrées"/>
    <s v="070325"/>
    <s v="PEREIRA KEVIN"/>
    <n v="5"/>
    <x v="1"/>
    <x v="2"/>
    <s v="PLAQUETTES"/>
    <x v="3"/>
    <n v="47.8"/>
  </r>
  <r>
    <d v="2025-04-16T05:51:24"/>
    <x v="3"/>
    <s v="Plaquettes d'ébauches carrées"/>
    <s v="16340494"/>
    <s v="BRIMUSSE AURELIE"/>
    <n v="5"/>
    <x v="1"/>
    <x v="3"/>
    <s v="PLAQUETTES"/>
    <x v="3"/>
    <n v="39.799999999999997"/>
  </r>
  <r>
    <d v="2025-04-16T05:51:39"/>
    <x v="0"/>
    <s v="Plaquettes d'ébauches rhombiques"/>
    <s v="16340494"/>
    <s v="BRIMUSSE AURELIE"/>
    <n v="5"/>
    <x v="1"/>
    <x v="3"/>
    <s v="PLAQUETTES"/>
    <x v="3"/>
    <n v="39.799999999999997"/>
  </r>
  <r>
    <d v="2025-04-16T05:51:54"/>
    <x v="3"/>
    <s v="Plaquettes d'ébauches carrées"/>
    <s v="16340494"/>
    <s v="BRIMUSSE AURELIE"/>
    <n v="5"/>
    <x v="1"/>
    <x v="0"/>
    <s v="PLAQUETTES"/>
    <x v="3"/>
    <n v="39.799999999999997"/>
  </r>
  <r>
    <d v="2025-04-16T05:52:08"/>
    <x v="0"/>
    <s v="Plaquettes d'ébauches rhombiques"/>
    <s v="16340494"/>
    <s v="BRIMUSSE AURELIE"/>
    <n v="5"/>
    <x v="1"/>
    <x v="0"/>
    <s v="PLAQUETTES"/>
    <x v="3"/>
    <n v="39.799999999999997"/>
  </r>
  <r>
    <d v="2025-04-16T17:03:40"/>
    <x v="3"/>
    <s v="Plaquettes d'ébauches carrées"/>
    <s v="090225"/>
    <s v="MEYER THOMAS"/>
    <n v="5"/>
    <x v="1"/>
    <x v="3"/>
    <s v="PLAQUETTES"/>
    <x v="3"/>
    <n v="39.799999999999997"/>
  </r>
  <r>
    <d v="2025-04-16T17:03:58"/>
    <x v="0"/>
    <s v="Plaquettes d'ébauches rhombiques"/>
    <s v="090225"/>
    <s v="MEYER THOMAS"/>
    <n v="5"/>
    <x v="1"/>
    <x v="3"/>
    <s v="PLAQUETTES"/>
    <x v="3"/>
    <n v="39.799999999999997"/>
  </r>
  <r>
    <d v="2025-04-16T17:04:15"/>
    <x v="4"/>
    <s v="Plaquettes de gorges"/>
    <s v="090225"/>
    <s v="MEYER THOMAS"/>
    <n v="10"/>
    <x v="0"/>
    <x v="0"/>
    <s v="PLAQUETTES"/>
    <x v="0"/>
    <n v="188"/>
  </r>
  <r>
    <d v="2025-04-16T17:04:31"/>
    <x v="0"/>
    <s v="Plaquettes d'ébauches rhombiques"/>
    <s v="090225"/>
    <s v="MEYER THOMAS"/>
    <n v="5"/>
    <x v="0"/>
    <x v="3"/>
    <s v="PLAQUETTES"/>
    <x v="0"/>
    <n v="39.799999999999997"/>
  </r>
  <r>
    <d v="2025-04-16T18:44:53"/>
    <x v="2"/>
    <s v="Plaquettes de finition carrées"/>
    <s v="7236310"/>
    <s v="OZYURT IREM"/>
    <n v="5"/>
    <x v="1"/>
    <x v="2"/>
    <s v="PLAQUETTES"/>
    <x v="3"/>
    <n v="47.8"/>
  </r>
  <r>
    <d v="2025-04-16T21:20:52"/>
    <x v="3"/>
    <s v="Plaquettes d'ébauches carrées"/>
    <s v="31224"/>
    <s v="BIDOT MURIEL"/>
    <n v="5"/>
    <x v="0"/>
    <x v="3"/>
    <s v="PLAQUETTES"/>
    <x v="0"/>
    <n v="39.799999999999997"/>
  </r>
  <r>
    <d v="2025-04-16T21:21:07"/>
    <x v="3"/>
    <s v="Plaquettes d'ébauches carrées"/>
    <s v="31224"/>
    <s v="BIDOT MURIEL"/>
    <n v="5"/>
    <x v="0"/>
    <x v="3"/>
    <s v="PLAQUETTES"/>
    <x v="0"/>
    <n v="39.799999999999997"/>
  </r>
  <r>
    <d v="2025-04-16T21:21:36"/>
    <x v="0"/>
    <s v="Plaquettes d'ébauches rhombiques"/>
    <s v="31224"/>
    <s v="BIDOT MURIEL"/>
    <n v="5"/>
    <x v="0"/>
    <x v="3"/>
    <s v="PLAQUETTES"/>
    <x v="0"/>
    <n v="39.799999999999997"/>
  </r>
  <r>
    <d v="2025-04-16T21:21:54"/>
    <x v="0"/>
    <s v="Plaquettes d'ébauches rhombiques"/>
    <s v="31224"/>
    <s v="BIDOT MURIEL"/>
    <n v="5"/>
    <x v="0"/>
    <x v="3"/>
    <s v="PLAQUETTES"/>
    <x v="0"/>
    <n v="39.799999999999997"/>
  </r>
  <r>
    <d v="2025-04-16T21:22:23"/>
    <x v="4"/>
    <s v="Plaquettes de gorges"/>
    <s v="31224"/>
    <s v="BIDOT MURIEL"/>
    <n v="10"/>
    <x v="0"/>
    <x v="0"/>
    <s v="PLAQUETTES"/>
    <x v="0"/>
    <n v="188"/>
  </r>
  <r>
    <d v="2025-04-16T21:22:39"/>
    <x v="2"/>
    <s v="Plaquettes de finition carrées"/>
    <s v="31224"/>
    <s v="BIDOT MURIEL"/>
    <n v="5"/>
    <x v="0"/>
    <x v="2"/>
    <s v="PLAQUETTES"/>
    <x v="0"/>
    <n v="47.8"/>
  </r>
  <r>
    <d v="2025-04-16T21:22:51"/>
    <x v="2"/>
    <s v="Plaquettes de finition carrées"/>
    <s v="31224"/>
    <s v="BIDOT MURIEL"/>
    <n v="5"/>
    <x v="0"/>
    <x v="2"/>
    <s v="PLAQUETTES"/>
    <x v="0"/>
    <n v="47.8"/>
  </r>
  <r>
    <d v="2025-04-16T21:23:02"/>
    <x v="2"/>
    <s v="Plaquettes de finition carrées"/>
    <s v="31224"/>
    <s v="BIDOT MURIEL"/>
    <n v="5"/>
    <x v="0"/>
    <x v="2"/>
    <s v="PLAQUETTES"/>
    <x v="0"/>
    <n v="47.8"/>
  </r>
  <r>
    <d v="2025-04-16T22:27:39"/>
    <x v="4"/>
    <s v="Plaquettes de gorges"/>
    <s v="070325"/>
    <s v="PEREIRA KEVIN"/>
    <n v="10"/>
    <x v="1"/>
    <x v="0"/>
    <s v="PLAQUETTES"/>
    <x v="2"/>
    <n v="188"/>
  </r>
  <r>
    <d v="2025-04-16T22:28:03"/>
    <x v="3"/>
    <s v="Plaquettes d'ébauches carrées"/>
    <s v="070325"/>
    <s v="PEREIRA KEVIN"/>
    <n v="5"/>
    <x v="1"/>
    <x v="0"/>
    <s v="PLAQUETTES"/>
    <x v="2"/>
    <n v="39.799999999999997"/>
  </r>
  <r>
    <d v="2025-04-16T22:28:23"/>
    <x v="3"/>
    <s v="Plaquettes d'ébauches carrées"/>
    <s v="070325"/>
    <s v="PEREIRA KEVIN"/>
    <n v="5"/>
    <x v="1"/>
    <x v="0"/>
    <s v="PLAQUETTES"/>
    <x v="2"/>
    <n v="39.799999999999997"/>
  </r>
  <r>
    <d v="2025-04-16T23:43:16"/>
    <x v="2"/>
    <s v="Plaquettes de finition carrées"/>
    <s v="070325"/>
    <s v="PEREIRA KEVIN"/>
    <n v="5"/>
    <x v="1"/>
    <x v="2"/>
    <s v="PLAQUETTES"/>
    <x v="2"/>
    <n v="47.8"/>
  </r>
  <r>
    <d v="2025-04-16T23:43:41"/>
    <x v="0"/>
    <s v="Plaquettes d'ébauches rhombiques"/>
    <s v="070325"/>
    <s v="PEREIRA KEVIN"/>
    <n v="5"/>
    <x v="1"/>
    <x v="2"/>
    <s v="PLAQUETTES"/>
    <x v="2"/>
    <n v="39.799999999999997"/>
  </r>
  <r>
    <d v="2025-04-17T06:40:21"/>
    <x v="3"/>
    <s v="Plaquettes d'ébauches carrées"/>
    <s v="16340494"/>
    <s v="BRIMUSSE AURELIE"/>
    <n v="5"/>
    <x v="1"/>
    <x v="3"/>
    <s v="PLAQUETTES"/>
    <x v="2"/>
    <n v="39.799999999999997"/>
  </r>
  <r>
    <d v="2025-04-17T06:40:36"/>
    <x v="0"/>
    <s v="Plaquettes d'ébauches rhombiques"/>
    <s v="16340494"/>
    <s v="BRIMUSSE AURELIE"/>
    <n v="5"/>
    <x v="1"/>
    <x v="3"/>
    <s v="PLAQUETTES"/>
    <x v="2"/>
    <n v="39.799999999999997"/>
  </r>
  <r>
    <d v="2025-04-17T06:40:54"/>
    <x v="0"/>
    <s v="Plaquettes d'ébauches rhombiques"/>
    <s v="16340494"/>
    <s v="BRIMUSSE AURELIE"/>
    <n v="5"/>
    <x v="1"/>
    <x v="0"/>
    <s v="PLAQUETTES"/>
    <x v="2"/>
    <n v="39.799999999999997"/>
  </r>
  <r>
    <d v="2025-04-17T07:53:03"/>
    <x v="6"/>
    <s v="Plaquettes de finition triangulaires"/>
    <s v="SE38185"/>
    <s v="PIERRE NICOLAS VENIAT"/>
    <n v="5"/>
    <x v="0"/>
    <x v="2"/>
    <s v="PLAQUETTES"/>
    <x v="3"/>
    <n v="48.7"/>
  </r>
  <r>
    <d v="2025-04-17T07:53:21"/>
    <x v="5"/>
    <s v="Plaquettes de finition"/>
    <s v="SE38185"/>
    <s v="PIERRE NICOLAS VENIAT"/>
    <n v="5"/>
    <x v="0"/>
    <x v="2"/>
    <s v="PLAQUETTES"/>
    <x v="3"/>
    <n v="42.5"/>
  </r>
  <r>
    <d v="2025-04-17T11:13:29"/>
    <x v="2"/>
    <s v="Plaquettes de finition carrées"/>
    <s v="18498233"/>
    <s v="ALVES ARTHUR"/>
    <n v="5"/>
    <x v="0"/>
    <x v="2"/>
    <s v="PLAQUETTES"/>
    <x v="3"/>
    <n v="47.8"/>
  </r>
  <r>
    <d v="2025-04-17T11:14:49"/>
    <x v="2"/>
    <s v="Plaquettes de finition carrées"/>
    <s v="18498233"/>
    <s v="ALVES ARTHUR"/>
    <n v="-5"/>
    <x v="0"/>
    <x v="2"/>
    <s v="PLAQUETTES"/>
    <x v="3"/>
    <n v="-47.8"/>
  </r>
  <r>
    <d v="2025-04-17T14:28:36"/>
    <x v="12"/>
    <s v="Rondelle fendue belleville OP30"/>
    <s v="1234SECOURS"/>
    <s v="SECOURS"/>
    <n v="1"/>
    <x v="1"/>
    <x v="1"/>
    <s v="DIVERS"/>
    <x v="1"/>
    <n v="0"/>
  </r>
  <r>
    <d v="2025-04-17T14:28:57"/>
    <x v="12"/>
    <s v="Rondelle fendue belleville OP30"/>
    <s v="1234SECOURS"/>
    <s v="SECOURS"/>
    <n v="-1"/>
    <x v="1"/>
    <x v="1"/>
    <s v="DIVERS"/>
    <x v="1"/>
    <n v="0"/>
  </r>
  <r>
    <d v="2025-04-17T20:39:51"/>
    <x v="0"/>
    <s v="Plaquettes d'ébauches rhombiques"/>
    <s v="090225"/>
    <s v="MEYER THOMAS"/>
    <n v="5"/>
    <x v="1"/>
    <x v="3"/>
    <s v="PLAQUETTES"/>
    <x v="2"/>
    <n v="39.799999999999997"/>
  </r>
  <r>
    <d v="2025-04-17T20:40:09"/>
    <x v="3"/>
    <s v="Plaquettes d'ébauches carrées"/>
    <s v="090225"/>
    <s v="MEYER THOMAS"/>
    <n v="5"/>
    <x v="1"/>
    <x v="3"/>
    <s v="PLAQUETTES"/>
    <x v="2"/>
    <n v="39.799999999999997"/>
  </r>
  <r>
    <d v="2025-04-17T20:40:26"/>
    <x v="4"/>
    <s v="Plaquettes de gorges"/>
    <s v="090225"/>
    <s v="MEYER THOMAS"/>
    <n v="10"/>
    <x v="1"/>
    <x v="0"/>
    <s v="PLAQUETTES"/>
    <x v="2"/>
    <n v="188"/>
  </r>
  <r>
    <d v="2025-04-17T22:28:50"/>
    <x v="3"/>
    <s v="Plaquettes d'ébauches carrées"/>
    <s v="31224"/>
    <s v="BIDOT MURIEL"/>
    <n v="5"/>
    <x v="0"/>
    <x v="3"/>
    <s v="PLAQUETTES"/>
    <x v="3"/>
    <n v="39.799999999999997"/>
  </r>
  <r>
    <d v="2025-04-17T22:29:05"/>
    <x v="3"/>
    <s v="Plaquettes d'ébauches carrées"/>
    <s v="31224"/>
    <s v="BIDOT MURIEL"/>
    <n v="5"/>
    <x v="0"/>
    <x v="3"/>
    <s v="PLAQUETTES"/>
    <x v="3"/>
    <n v="39.799999999999997"/>
  </r>
  <r>
    <d v="2025-04-17T22:29:30"/>
    <x v="0"/>
    <s v="Plaquettes d'ébauches rhombiques"/>
    <s v="31224"/>
    <s v="BIDOT MURIEL"/>
    <n v="5"/>
    <x v="0"/>
    <x v="3"/>
    <s v="PLAQUETTES"/>
    <x v="3"/>
    <n v="39.799999999999997"/>
  </r>
  <r>
    <d v="2025-04-17T22:29:57"/>
    <x v="5"/>
    <s v="Plaquettes de finition"/>
    <s v="31224"/>
    <s v="BIDOT MURIEL"/>
    <n v="5"/>
    <x v="0"/>
    <x v="2"/>
    <s v="PLAQUETTES"/>
    <x v="3"/>
    <n v="42.5"/>
  </r>
  <r>
    <d v="2025-04-17T22:30:11"/>
    <x v="5"/>
    <s v="Plaquettes de finition"/>
    <s v="31224"/>
    <s v="BIDOT MURIEL"/>
    <n v="5"/>
    <x v="0"/>
    <x v="2"/>
    <s v="PLAQUETTES"/>
    <x v="3"/>
    <n v="42.5"/>
  </r>
  <r>
    <d v="2025-04-17T22:30:38"/>
    <x v="2"/>
    <s v="Plaquettes de finition carrées"/>
    <s v="31224"/>
    <s v="BIDOT MURIEL"/>
    <n v="5"/>
    <x v="0"/>
    <x v="2"/>
    <s v="PLAQUETTES"/>
    <x v="3"/>
    <n v="47.8"/>
  </r>
  <r>
    <d v="2025-04-17T22:30:50"/>
    <x v="2"/>
    <s v="Plaquettes de finition carrées"/>
    <s v="31224"/>
    <s v="BIDOT MURIEL"/>
    <n v="5"/>
    <x v="0"/>
    <x v="2"/>
    <s v="PLAQUETTES"/>
    <x v="3"/>
    <n v="47.8"/>
  </r>
  <r>
    <d v="2025-04-17T22:31:05"/>
    <x v="6"/>
    <s v="Plaquettes de finition triangulaires"/>
    <s v="31224"/>
    <s v="BIDOT MURIEL"/>
    <n v="5"/>
    <x v="0"/>
    <x v="2"/>
    <s v="PLAQUETTES"/>
    <x v="3"/>
    <n v="48.7"/>
  </r>
  <r>
    <d v="2025-04-18T09:41:25"/>
    <x v="10"/>
    <s v="Plaquettes TPGX0902ZPRGD KC7315"/>
    <s v="12824586"/>
    <s v="DASILVA FERNANDO"/>
    <n v="10"/>
    <x v="1"/>
    <x v="1"/>
    <s v="PLAQUETTES"/>
    <x v="1"/>
    <n v="81.5"/>
  </r>
  <r>
    <d v="2025-04-18T17:51:04"/>
    <x v="4"/>
    <s v="Plaquettes de gorges"/>
    <s v="090225"/>
    <s v="MEYER THOMAS"/>
    <n v="10"/>
    <x v="1"/>
    <x v="0"/>
    <s v="PLAQUETTES"/>
    <x v="2"/>
    <n v="188"/>
  </r>
  <r>
    <d v="2025-04-18T17:51:21"/>
    <x v="3"/>
    <s v="Plaquettes d'ébauches carrées"/>
    <s v="090225"/>
    <s v="MEYER THOMAS"/>
    <n v="5"/>
    <x v="1"/>
    <x v="3"/>
    <s v="PLAQUETTES"/>
    <x v="2"/>
    <n v="39.799999999999997"/>
  </r>
  <r>
    <d v="2025-04-18T17:51:36"/>
    <x v="0"/>
    <s v="Plaquettes d'ébauches rhombiques"/>
    <s v="090225"/>
    <s v="MEYER THOMAS"/>
    <n v="5"/>
    <x v="1"/>
    <x v="3"/>
    <s v="PLAQUETTES"/>
    <x v="2"/>
    <n v="39.799999999999997"/>
  </r>
  <r>
    <d v="2025-04-18T21:49:41"/>
    <x v="3"/>
    <s v="Plaquettes d'ébauches carrées"/>
    <s v="31224"/>
    <s v="BIDOT MURIEL"/>
    <n v="5"/>
    <x v="0"/>
    <x v="3"/>
    <s v="PLAQUETTES"/>
    <x v="3"/>
    <n v="39.799999999999997"/>
  </r>
  <r>
    <d v="2025-04-18T21:50:03"/>
    <x v="0"/>
    <s v="Plaquettes d'ébauches rhombiques"/>
    <s v="31224"/>
    <s v="BIDOT MURIEL"/>
    <n v="5"/>
    <x v="0"/>
    <x v="3"/>
    <s v="PLAQUETTES"/>
    <x v="3"/>
    <n v="39.799999999999997"/>
  </r>
  <r>
    <d v="2025-04-18T21:50:19"/>
    <x v="2"/>
    <s v="Plaquettes de finition carrées"/>
    <s v="31224"/>
    <s v="BIDOT MURIEL"/>
    <n v="5"/>
    <x v="0"/>
    <x v="2"/>
    <s v="PLAQUETTES"/>
    <x v="3"/>
    <n v="47.8"/>
  </r>
  <r>
    <d v="2025-04-18T21:50:38"/>
    <x v="2"/>
    <s v="Plaquettes de finition carrées"/>
    <s v="31224"/>
    <s v="BIDOT MURIEL"/>
    <n v="5"/>
    <x v="0"/>
    <x v="2"/>
    <s v="PLAQUETTES"/>
    <x v="3"/>
    <n v="47.8"/>
  </r>
  <r>
    <d v="2025-04-19T05:19:54"/>
    <x v="3"/>
    <s v="Plaquettes d'ébauches carrées"/>
    <s v="U509351"/>
    <s v="DELIAT CHRISTOPHE"/>
    <n v="5"/>
    <x v="0"/>
    <x v="3"/>
    <s v="PLAQUETTES"/>
    <x v="3"/>
    <n v="39.799999999999997"/>
  </r>
  <r>
    <d v="2025-04-19T05:20:13"/>
    <x v="0"/>
    <s v="Plaquettes d'ébauches rhombiques"/>
    <s v="U509351"/>
    <s v="DELIAT CHRISTOPHE"/>
    <n v="5"/>
    <x v="0"/>
    <x v="3"/>
    <s v="PLAQUETTES"/>
    <x v="3"/>
    <n v="39.799999999999997"/>
  </r>
  <r>
    <d v="2025-04-19T05:20:33"/>
    <x v="3"/>
    <s v="Plaquettes d'ébauches carrées"/>
    <s v="U509351"/>
    <s v="DELIAT CHRISTOPHE"/>
    <n v="5"/>
    <x v="0"/>
    <x v="0"/>
    <s v="PLAQUETTES"/>
    <x v="3"/>
    <n v="39.799999999999997"/>
  </r>
  <r>
    <d v="2025-04-19T05:21:04"/>
    <x v="0"/>
    <s v="Plaquettes d'ébauches rhombiques"/>
    <s v="U509351"/>
    <s v="DELIAT CHRISTOPHE"/>
    <n v="5"/>
    <x v="0"/>
    <x v="0"/>
    <s v="PLAQUETTES"/>
    <x v="3"/>
    <n v="39.799999999999997"/>
  </r>
  <r>
    <d v="2025-04-19T05:21:20"/>
    <x v="3"/>
    <s v="Plaquettes d'ébauches carrées"/>
    <s v="U509351"/>
    <s v="DELIAT CHRISTOPHE"/>
    <n v="5"/>
    <x v="1"/>
    <x v="3"/>
    <s v="PLAQUETTES"/>
    <x v="2"/>
    <n v="39.799999999999997"/>
  </r>
  <r>
    <d v="2025-04-19T05:21:42"/>
    <x v="0"/>
    <s v="Plaquettes d'ébauches rhombiques"/>
    <s v="U509351"/>
    <s v="DELIAT CHRISTOPHE"/>
    <n v="5"/>
    <x v="1"/>
    <x v="3"/>
    <s v="PLAQUETTES"/>
    <x v="2"/>
    <n v="39.799999999999997"/>
  </r>
  <r>
    <d v="2025-04-19T05:22:13"/>
    <x v="3"/>
    <s v="Plaquettes d'ébauches carrées"/>
    <s v="U509351"/>
    <s v="DELIAT CHRISTOPHE"/>
    <n v="5"/>
    <x v="1"/>
    <x v="0"/>
    <s v="PLAQUETTES"/>
    <x v="2"/>
    <n v="39.799999999999997"/>
  </r>
  <r>
    <d v="2025-04-19T05:22:26"/>
    <x v="0"/>
    <s v="Plaquettes d'ébauches rhombiques"/>
    <s v="U509351"/>
    <s v="DELIAT CHRISTOPHE"/>
    <n v="5"/>
    <x v="1"/>
    <x v="0"/>
    <s v="PLAQUETTES"/>
    <x v="2"/>
    <n v="39.799999999999997"/>
  </r>
  <r>
    <d v="2025-04-19T05:22:45"/>
    <x v="2"/>
    <s v="Plaquettes de finition carrées"/>
    <s v="U509351"/>
    <s v="DELIAT CHRISTOPHE"/>
    <n v="5"/>
    <x v="1"/>
    <x v="2"/>
    <s v="PLAQUETTES"/>
    <x v="2"/>
    <n v="47.8"/>
  </r>
  <r>
    <d v="2025-04-19T05:23:03"/>
    <x v="2"/>
    <s v="Plaquettes de finition carrées"/>
    <s v="U509351"/>
    <s v="DELIAT CHRISTOPHE"/>
    <n v="5"/>
    <x v="0"/>
    <x v="2"/>
    <s v="PLAQUETTES"/>
    <x v="3"/>
    <n v="47.8"/>
  </r>
  <r>
    <d v="2025-04-19T05:23:23"/>
    <x v="6"/>
    <s v="Plaquettes de finition triangulaires"/>
    <s v="U509351"/>
    <s v="DELIAT CHRISTOPHE"/>
    <n v="5"/>
    <x v="0"/>
    <x v="2"/>
    <s v="PLAQUETTES"/>
    <x v="3"/>
    <n v="48.7"/>
  </r>
  <r>
    <d v="2025-04-19T05:23:38"/>
    <x v="5"/>
    <s v="Plaquettes de finition"/>
    <s v="U509351"/>
    <s v="DELIAT CHRISTOPHE"/>
    <n v="5"/>
    <x v="0"/>
    <x v="2"/>
    <s v="PLAQUETTES"/>
    <x v="3"/>
    <n v="42.5"/>
  </r>
  <r>
    <d v="2025-04-19T09:04:22"/>
    <x v="2"/>
    <s v="Plaquettes de finition carrées"/>
    <s v="10301115"/>
    <s v="BOUCHART LUDOVIC"/>
    <n v="5"/>
    <x v="0"/>
    <x v="2"/>
    <s v="PLAQUETTES"/>
    <x v="3"/>
    <n v="47.8"/>
  </r>
  <r>
    <d v="2025-04-19T09:04:44"/>
    <x v="2"/>
    <s v="Plaquettes de finition carrées"/>
    <s v="10301115"/>
    <s v="BOUCHART LUDOVIC"/>
    <n v="5"/>
    <x v="1"/>
    <x v="2"/>
    <s v="PLAQUETTES"/>
    <x v="2"/>
    <n v="47.8"/>
  </r>
  <r>
    <d v="2025-04-19T12:26:15"/>
    <x v="3"/>
    <s v="Plaquettes d'ébauches carrées"/>
    <s v="U509351"/>
    <s v="DELIAT CHRISTOPHE"/>
    <n v="5"/>
    <x v="1"/>
    <x v="3"/>
    <s v="PLAQUETTES"/>
    <x v="2"/>
    <n v="39.799999999999997"/>
  </r>
  <r>
    <d v="2025-04-19T12:26:46"/>
    <x v="3"/>
    <s v="Plaquettes d'ébauches carrées"/>
    <s v="U509351"/>
    <s v="DELIAT CHRISTOPHE"/>
    <n v="5"/>
    <x v="1"/>
    <x v="0"/>
    <s v="PLAQUETTES"/>
    <x v="2"/>
    <n v="39.799999999999997"/>
  </r>
  <r>
    <d v="2025-04-19T12:27:15"/>
    <x v="3"/>
    <s v="Plaquettes d'ébauches carrées"/>
    <s v="U509351"/>
    <s v="DELIAT CHRISTOPHE"/>
    <n v="5"/>
    <x v="0"/>
    <x v="3"/>
    <s v="PLAQUETTES"/>
    <x v="3"/>
    <n v="39.799999999999997"/>
  </r>
  <r>
    <d v="2025-04-19T12:27:26"/>
    <x v="4"/>
    <s v="Plaquettes de gorges"/>
    <s v="U509351"/>
    <s v="DELIAT CHRISTOPHE"/>
    <n v="10"/>
    <x v="1"/>
    <x v="0"/>
    <s v="PLAQUETTES"/>
    <x v="2"/>
    <n v="188"/>
  </r>
  <r>
    <d v="2025-04-20T20:58:42"/>
    <x v="3"/>
    <s v="Plaquettes d'ébauches carrées"/>
    <s v="10301115"/>
    <s v="BOUCHART LUDOVIC"/>
    <n v="5"/>
    <x v="0"/>
    <x v="3"/>
    <s v="PLAQUETTES"/>
    <x v="3"/>
    <n v="39.799999999999997"/>
  </r>
  <r>
    <d v="2025-04-20T20:58:54"/>
    <x v="0"/>
    <s v="Plaquettes d'ébauches rhombiques"/>
    <s v="10301115"/>
    <s v="BOUCHART LUDOVIC"/>
    <n v="5"/>
    <x v="0"/>
    <x v="3"/>
    <s v="PLAQUETTES"/>
    <x v="3"/>
    <n v="39.799999999999997"/>
  </r>
  <r>
    <d v="2025-04-20T20:59:09"/>
    <x v="3"/>
    <s v="Plaquettes d'ébauches carrées"/>
    <s v="10301115"/>
    <s v="BOUCHART LUDOVIC"/>
    <n v="5"/>
    <x v="0"/>
    <x v="0"/>
    <s v="PLAQUETTES"/>
    <x v="3"/>
    <n v="39.799999999999997"/>
  </r>
  <r>
    <d v="2025-04-20T20:59:23"/>
    <x v="0"/>
    <s v="Plaquettes d'ébauches rhombiques"/>
    <s v="10301115"/>
    <s v="BOUCHART LUDOVIC"/>
    <n v="5"/>
    <x v="0"/>
    <x v="0"/>
    <s v="PLAQUETTES"/>
    <x v="3"/>
    <n v="39.799999999999997"/>
  </r>
  <r>
    <d v="2025-04-20T20:59:43"/>
    <x v="2"/>
    <s v="Plaquettes de finition carrées"/>
    <s v="10301115"/>
    <s v="BOUCHART LUDOVIC"/>
    <n v="5"/>
    <x v="0"/>
    <x v="2"/>
    <s v="PLAQUETTES"/>
    <x v="3"/>
    <n v="47.8"/>
  </r>
  <r>
    <d v="2025-04-20T20:59:57"/>
    <x v="3"/>
    <s v="Plaquettes d'ébauches carrées"/>
    <s v="10301115"/>
    <s v="BOUCHART LUDOVIC"/>
    <n v="5"/>
    <x v="1"/>
    <x v="3"/>
    <s v="PLAQUETTES"/>
    <x v="2"/>
    <n v="39.799999999999997"/>
  </r>
  <r>
    <d v="2025-04-20T21:00:11"/>
    <x v="0"/>
    <s v="Plaquettes d'ébauches rhombiques"/>
    <s v="10301115"/>
    <s v="BOUCHART LUDOVIC"/>
    <n v="5"/>
    <x v="1"/>
    <x v="3"/>
    <s v="PLAQUETTES"/>
    <x v="2"/>
    <n v="39.799999999999997"/>
  </r>
  <r>
    <d v="2025-04-20T21:00:25"/>
    <x v="4"/>
    <s v="Plaquettes de gorges"/>
    <s v="10301115"/>
    <s v="BOUCHART LUDOVIC"/>
    <n v="10"/>
    <x v="1"/>
    <x v="0"/>
    <s v="PLAQUETTES"/>
    <x v="2"/>
    <n v="188"/>
  </r>
  <r>
    <d v="2025-04-20T21:00:41"/>
    <x v="3"/>
    <s v="Plaquettes d'ébauches carrées"/>
    <s v="10301115"/>
    <s v="BOUCHART LUDOVIC"/>
    <n v="5"/>
    <x v="1"/>
    <x v="0"/>
    <s v="PLAQUETTES"/>
    <x v="2"/>
    <n v="39.799999999999997"/>
  </r>
  <r>
    <d v="2025-04-20T21:01:00"/>
    <x v="0"/>
    <s v="Plaquettes d'ébauches rhombiques"/>
    <s v="10301115"/>
    <s v="BOUCHART LUDOVIC"/>
    <n v="5"/>
    <x v="1"/>
    <x v="0"/>
    <s v="PLAQUETTES"/>
    <x v="2"/>
    <n v="39.799999999999997"/>
  </r>
  <r>
    <d v="2025-04-20T21:01:17"/>
    <x v="2"/>
    <s v="Plaquettes de finition carrées"/>
    <s v="10301115"/>
    <s v="BOUCHART LUDOVIC"/>
    <n v="5"/>
    <x v="1"/>
    <x v="2"/>
    <s v="PLAQUETTES"/>
    <x v="2"/>
    <n v="47.8"/>
  </r>
  <r>
    <d v="2025-04-22T13:39:33"/>
    <x v="3"/>
    <s v="Plaquettes d'ébauches carrées"/>
    <s v="31224"/>
    <s v="BIDOT MURIEL"/>
    <n v="5"/>
    <x v="0"/>
    <x v="3"/>
    <s v="PLAQUETTES"/>
    <x v="3"/>
    <n v="39.799999999999997"/>
  </r>
  <r>
    <d v="2025-04-22T13:39:58"/>
    <x v="3"/>
    <s v="Plaquettes d'ébauches carrées"/>
    <s v="31224"/>
    <s v="BIDOT MURIEL"/>
    <n v="5"/>
    <x v="0"/>
    <x v="3"/>
    <s v="PLAQUETTES"/>
    <x v="3"/>
    <n v="39.799999999999997"/>
  </r>
  <r>
    <d v="2025-04-22T13:41:18"/>
    <x v="2"/>
    <s v="Plaquettes de finition carrées"/>
    <s v="31224"/>
    <s v="BIDOT MURIEL"/>
    <n v="5"/>
    <x v="0"/>
    <x v="2"/>
    <s v="PLAQUETTES"/>
    <x v="3"/>
    <n v="47.8"/>
  </r>
  <r>
    <d v="2025-04-22T13:41:34"/>
    <x v="2"/>
    <s v="Plaquettes de finition carrées"/>
    <s v="31224"/>
    <s v="BIDOT MURIEL"/>
    <n v="5"/>
    <x v="0"/>
    <x v="2"/>
    <s v="PLAQUETTES"/>
    <x v="3"/>
    <n v="47.8"/>
  </r>
  <r>
    <d v="2025-04-22T13:41:54"/>
    <x v="2"/>
    <s v="Plaquettes de finition carrées"/>
    <s v="31224"/>
    <s v="BIDOT MURIEL"/>
    <n v="5"/>
    <x v="0"/>
    <x v="2"/>
    <s v="PLAQUETTES"/>
    <x v="3"/>
    <n v="47.8"/>
  </r>
  <r>
    <d v="2025-04-23T13:13:35"/>
    <x v="3"/>
    <s v="Plaquettes d'ébauches carrées"/>
    <s v="070325"/>
    <s v="PEREIRA KEVIN"/>
    <n v="5"/>
    <x v="1"/>
    <x v="3"/>
    <s v="PLAQUETTES"/>
    <x v="2"/>
    <n v="39.799999999999997"/>
  </r>
  <r>
    <d v="2025-04-23T13:13:58"/>
    <x v="0"/>
    <s v="Plaquettes d'ébauches rhombiques"/>
    <s v="070325"/>
    <s v="PEREIRA KEVIN"/>
    <n v="5"/>
    <x v="1"/>
    <x v="3"/>
    <s v="PLAQUETTES"/>
    <x v="2"/>
    <n v="39.799999999999997"/>
  </r>
  <r>
    <d v="2025-04-23T13:14:25"/>
    <x v="2"/>
    <s v="Plaquettes de finition carrées"/>
    <s v="070325"/>
    <s v="PEREIRA KEVIN"/>
    <n v="5"/>
    <x v="0"/>
    <x v="2"/>
    <s v="PLAQUETTES"/>
    <x v="3"/>
    <n v="47.8"/>
  </r>
  <r>
    <d v="2025-04-23T13:34:45"/>
    <x v="3"/>
    <s v="Plaquettes d'ébauches carrées"/>
    <s v="31224"/>
    <s v="BIDOT MURIEL"/>
    <n v="5"/>
    <x v="0"/>
    <x v="3"/>
    <s v="PLAQUETTES"/>
    <x v="3"/>
    <n v="39.799999999999997"/>
  </r>
  <r>
    <d v="2025-04-23T13:34:59"/>
    <x v="0"/>
    <s v="Plaquettes d'ébauches rhombiques"/>
    <s v="31224"/>
    <s v="BIDOT MURIEL"/>
    <n v="5"/>
    <x v="0"/>
    <x v="3"/>
    <s v="PLAQUETTES"/>
    <x v="3"/>
    <n v="39.799999999999997"/>
  </r>
  <r>
    <d v="2025-04-23T13:35:14"/>
    <x v="2"/>
    <s v="Plaquettes de finition carrées"/>
    <s v="31224"/>
    <s v="BIDOT MURIEL"/>
    <n v="5"/>
    <x v="0"/>
    <x v="2"/>
    <s v="PLAQUETTES"/>
    <x v="3"/>
    <n v="47.8"/>
  </r>
  <r>
    <d v="2025-04-23T13:35:27"/>
    <x v="2"/>
    <s v="Plaquettes de finition carrées"/>
    <s v="31224"/>
    <s v="BIDOT MURIEL"/>
    <n v="5"/>
    <x v="0"/>
    <x v="2"/>
    <s v="PLAQUETTES"/>
    <x v="3"/>
    <n v="47.8"/>
  </r>
  <r>
    <d v="2025-04-23T13:35:41"/>
    <x v="2"/>
    <s v="Plaquettes de finition carrées"/>
    <s v="31224"/>
    <s v="BIDOT MURIEL"/>
    <n v="5"/>
    <x v="0"/>
    <x v="2"/>
    <s v="PLAQUETTES"/>
    <x v="3"/>
    <n v="47.8"/>
  </r>
  <r>
    <d v="2025-04-23T19:58:22"/>
    <x v="4"/>
    <s v="Plaquettes de gorges"/>
    <s v="31224"/>
    <s v="BIDOT MURIEL"/>
    <n v="10"/>
    <x v="1"/>
    <x v="0"/>
    <s v="PLAQUETTES"/>
    <x v="2"/>
    <n v="188"/>
  </r>
  <r>
    <d v="2025-04-23T22:07:11"/>
    <x v="3"/>
    <s v="Plaquettes d'ébauches carrées"/>
    <s v="16340494"/>
    <s v="BRIMUSSE AURELIE"/>
    <n v="5"/>
    <x v="1"/>
    <x v="0"/>
    <s v="PLAQUETTES"/>
    <x v="2"/>
    <n v="39.799999999999997"/>
  </r>
  <r>
    <d v="2025-04-23T22:07:27"/>
    <x v="0"/>
    <s v="Plaquettes d'ébauches rhombiques"/>
    <s v="16340494"/>
    <s v="BRIMUSSE AURELIE"/>
    <n v="5"/>
    <x v="1"/>
    <x v="0"/>
    <s v="PLAQUETTES"/>
    <x v="2"/>
    <n v="39.799999999999997"/>
  </r>
  <r>
    <d v="2025-04-23T22:07:42"/>
    <x v="2"/>
    <s v="Plaquettes de finition carrées"/>
    <s v="16340494"/>
    <s v="BRIMUSSE AURELIE"/>
    <n v="5"/>
    <x v="1"/>
    <x v="2"/>
    <s v="PLAQUETTES"/>
    <x v="2"/>
    <n v="47.8"/>
  </r>
  <r>
    <d v="2025-04-24T09:28:59"/>
    <x v="7"/>
    <s v="Plaquettes VCGT21A52 SP4019"/>
    <s v="12824586"/>
    <s v="DASILVA FERNANDO"/>
    <n v="5"/>
    <x v="1"/>
    <x v="1"/>
    <s v="PLAQUETTES"/>
    <x v="1"/>
    <n v="60.9"/>
  </r>
  <r>
    <d v="2025-04-24T10:24:22"/>
    <x v="3"/>
    <s v="Plaquettes d'ébauches carrées"/>
    <s v="090225"/>
    <s v="MEYER THOMAS"/>
    <n v="5"/>
    <x v="0"/>
    <x v="3"/>
    <s v="PLAQUETTES"/>
    <x v="3"/>
    <n v="39.799999999999997"/>
  </r>
  <r>
    <d v="2025-04-24T10:24:46"/>
    <x v="3"/>
    <s v="Plaquettes d'ébauches carrées"/>
    <s v="090225"/>
    <s v="MEYER THOMAS"/>
    <n v="5"/>
    <x v="1"/>
    <x v="3"/>
    <s v="PLAQUETTES"/>
    <x v="2"/>
    <n v="39.799999999999997"/>
  </r>
  <r>
    <d v="2025-04-24T10:25:05"/>
    <x v="3"/>
    <s v="Plaquettes d'ébauches carrées"/>
    <s v="090225"/>
    <s v="MEYER THOMAS"/>
    <n v="5"/>
    <x v="0"/>
    <x v="0"/>
    <s v="PLAQUETTES"/>
    <x v="3"/>
    <n v="39.799999999999997"/>
  </r>
  <r>
    <d v="2025-04-24T10:25:25"/>
    <x v="3"/>
    <s v="Plaquettes d'ébauches carrées"/>
    <s v="090225"/>
    <s v="MEYER THOMAS"/>
    <n v="5"/>
    <x v="1"/>
    <x v="0"/>
    <s v="PLAQUETTES"/>
    <x v="2"/>
    <n v="39.799999999999997"/>
  </r>
  <r>
    <d v="2025-04-24T10:26:53"/>
    <x v="4"/>
    <s v="Plaquettes de gorges"/>
    <s v="090225"/>
    <s v="MEYER THOMAS"/>
    <n v="10"/>
    <x v="1"/>
    <x v="0"/>
    <s v="PLAQUETTES"/>
    <x v="2"/>
    <n v="188"/>
  </r>
  <r>
    <d v="2025-04-24T13:34:30"/>
    <x v="3"/>
    <s v="Plaquettes d'ébauches carrées"/>
    <s v="31224"/>
    <s v="BIDOT MURIEL"/>
    <n v="5"/>
    <x v="0"/>
    <x v="3"/>
    <s v="PLAQUETTES"/>
    <x v="3"/>
    <n v="39.799999999999997"/>
  </r>
  <r>
    <d v="2025-04-24T13:34:45"/>
    <x v="0"/>
    <s v="Plaquettes d'ébauches rhombiques"/>
    <s v="31224"/>
    <s v="BIDOT MURIEL"/>
    <n v="5"/>
    <x v="0"/>
    <x v="3"/>
    <s v="PLAQUETTES"/>
    <x v="3"/>
    <n v="39.799999999999997"/>
  </r>
  <r>
    <d v="2025-04-24T13:34:59"/>
    <x v="2"/>
    <s v="Plaquettes de finition carrées"/>
    <s v="31224"/>
    <s v="BIDOT MURIEL"/>
    <n v="5"/>
    <x v="0"/>
    <x v="2"/>
    <s v="PLAQUETTES"/>
    <x v="3"/>
    <n v="47.8"/>
  </r>
  <r>
    <d v="2025-04-24T13:35:10"/>
    <x v="2"/>
    <s v="Plaquettes de finition carrées"/>
    <s v="31224"/>
    <s v="BIDOT MURIEL"/>
    <n v="5"/>
    <x v="0"/>
    <x v="2"/>
    <s v="PLAQUETTES"/>
    <x v="3"/>
    <n v="47.8"/>
  </r>
  <r>
    <d v="2025-04-25T07:49:21"/>
    <x v="2"/>
    <s v="Plaquettes de finition carrées"/>
    <s v="10301115"/>
    <s v="BOUCHART LUDOVIC"/>
    <n v="5"/>
    <x v="1"/>
    <x v="2"/>
    <s v="PLAQUETTES"/>
    <x v="2"/>
    <n v="47.8"/>
  </r>
  <r>
    <d v="2025-04-25T07:49:40"/>
    <x v="2"/>
    <s v="Plaquettes de finition carrées"/>
    <s v="10301115"/>
    <s v="BOUCHART LUDOVIC"/>
    <n v="5"/>
    <x v="0"/>
    <x v="2"/>
    <s v="PLAQUETTES"/>
    <x v="3"/>
    <n v="47.8"/>
  </r>
  <r>
    <d v="2025-04-25T07:50:04"/>
    <x v="3"/>
    <s v="Plaquettes d'ébauches carrées"/>
    <s v="10301115"/>
    <s v="BOUCHART LUDOVIC"/>
    <n v="5"/>
    <x v="1"/>
    <x v="3"/>
    <s v="PLAQUETTES"/>
    <x v="2"/>
    <n v="39.799999999999997"/>
  </r>
  <r>
    <d v="2025-04-25T07:50:23"/>
    <x v="0"/>
    <s v="Plaquettes d'ébauches rhombiques"/>
    <s v="10301115"/>
    <s v="BOUCHART LUDOVIC"/>
    <n v="5"/>
    <x v="1"/>
    <x v="3"/>
    <s v="PLAQUETTES"/>
    <x v="3"/>
    <n v="39.799999999999997"/>
  </r>
  <r>
    <d v="2025-04-25T07:50:41"/>
    <x v="4"/>
    <s v="Plaquettes de gorges"/>
    <s v="10301115"/>
    <s v="BOUCHART LUDOVIC"/>
    <n v="10"/>
    <x v="1"/>
    <x v="0"/>
    <s v="PLAQUETTES"/>
    <x v="2"/>
    <n v="188"/>
  </r>
  <r>
    <d v="2025-04-25T07:50:57"/>
    <x v="3"/>
    <s v="Plaquettes d'ébauches carrées"/>
    <s v="10301115"/>
    <s v="BOUCHART LUDOVIC"/>
    <n v="5"/>
    <x v="1"/>
    <x v="0"/>
    <s v="PLAQUETTES"/>
    <x v="2"/>
    <n v="39.799999999999997"/>
  </r>
  <r>
    <d v="2025-04-25T07:51:15"/>
    <x v="0"/>
    <s v="Plaquettes d'ébauches rhombiques"/>
    <s v="10301115"/>
    <s v="BOUCHART LUDOVIC"/>
    <n v="5"/>
    <x v="1"/>
    <x v="0"/>
    <s v="PLAQUETTES"/>
    <x v="2"/>
    <n v="39.799999999999997"/>
  </r>
  <r>
    <d v="2025-04-25T13:44:32"/>
    <x v="3"/>
    <s v="Plaquettes d'ébauches carrées"/>
    <s v="070325"/>
    <s v="PEREIRA KEVIN"/>
    <n v="5"/>
    <x v="0"/>
    <x v="3"/>
    <s v="PLAQUETTES"/>
    <x v="3"/>
    <n v="39.799999999999997"/>
  </r>
  <r>
    <d v="2025-04-25T13:44:46"/>
    <x v="0"/>
    <s v="Plaquettes d'ébauches rhombiques"/>
    <s v="070325"/>
    <s v="PEREIRA KEVIN"/>
    <n v="5"/>
    <x v="0"/>
    <x v="3"/>
    <s v="PLAQUETTES"/>
    <x v="3"/>
    <n v="39.799999999999997"/>
  </r>
  <r>
    <d v="2025-04-25T13:44:59"/>
    <x v="2"/>
    <s v="Plaquettes de finition carrées"/>
    <s v="070325"/>
    <s v="PEREIRA KEVIN"/>
    <n v="5"/>
    <x v="0"/>
    <x v="2"/>
    <s v="PLAQUETTES"/>
    <x v="3"/>
    <n v="47.8"/>
  </r>
  <r>
    <d v="2025-04-25T13:45:14"/>
    <x v="6"/>
    <s v="Plaquettes de finition triangulaires"/>
    <s v="070325"/>
    <s v="PEREIRA KEVIN"/>
    <n v="5"/>
    <x v="0"/>
    <x v="2"/>
    <s v="PLAQUETTES"/>
    <x v="3"/>
    <n v="48.7"/>
  </r>
  <r>
    <d v="2025-04-25T21:17:16"/>
    <x v="2"/>
    <s v="Plaquettes de finition carrées"/>
    <s v="SE38185"/>
    <s v="PIERRE NICOLAS VENIAT"/>
    <n v="5"/>
    <x v="1"/>
    <x v="2"/>
    <s v="PLAQUETTES"/>
    <x v="2"/>
    <n v="47.8"/>
  </r>
  <r>
    <d v="2025-04-26T01:09:21"/>
    <x v="4"/>
    <s v="Plaquettes de gorges"/>
    <s v="SE38185"/>
    <s v="PIERRE NICOLAS VENIAT"/>
    <n v="10"/>
    <x v="1"/>
    <x v="0"/>
    <s v="PLAQUETTES"/>
    <x v="2"/>
    <n v="188"/>
  </r>
  <r>
    <d v="2025-04-26T03:42:14"/>
    <x v="3"/>
    <s v="Plaquettes d'ébauches carrées"/>
    <s v="SC95213"/>
    <s v="RABET PAULINE"/>
    <n v="5"/>
    <x v="0"/>
    <x v="3"/>
    <s v="PLAQUETTES"/>
    <x v="3"/>
    <n v="39.799999999999997"/>
  </r>
  <r>
    <d v="2025-04-26T03:42:33"/>
    <x v="3"/>
    <s v="Plaquettes d'ébauches carrées"/>
    <s v="SC95213"/>
    <s v="RABET PAULINE"/>
    <n v="5"/>
    <x v="0"/>
    <x v="0"/>
    <s v="PLAQUETTES"/>
    <x v="3"/>
    <n v="39.799999999999997"/>
  </r>
  <r>
    <d v="2025-04-26T05:48:15"/>
    <x v="3"/>
    <s v="Plaquettes d'ébauches carrées"/>
    <s v="U509351"/>
    <s v="DELIAT CHRISTOPHE"/>
    <n v="5"/>
    <x v="0"/>
    <x v="3"/>
    <s v="PLAQUETTES"/>
    <x v="3"/>
    <n v="39.799999999999997"/>
  </r>
  <r>
    <d v="2025-04-26T05:48:37"/>
    <x v="0"/>
    <s v="Plaquettes d'ébauches rhombiques"/>
    <s v="U509351"/>
    <s v="DELIAT CHRISTOPHE"/>
    <n v="5"/>
    <x v="0"/>
    <x v="3"/>
    <s v="PLAQUETTES"/>
    <x v="3"/>
    <n v="39.799999999999997"/>
  </r>
  <r>
    <d v="2025-04-26T05:48:52"/>
    <x v="3"/>
    <s v="Plaquettes d'ébauches carrées"/>
    <s v="U509351"/>
    <s v="DELIAT CHRISTOPHE"/>
    <n v="5"/>
    <x v="0"/>
    <x v="0"/>
    <s v="PLAQUETTES"/>
    <x v="3"/>
    <n v="39.799999999999997"/>
  </r>
  <r>
    <d v="2025-04-26T05:49:09"/>
    <x v="0"/>
    <s v="Plaquettes d'ébauches rhombiques"/>
    <s v="U509351"/>
    <s v="DELIAT CHRISTOPHE"/>
    <n v="5"/>
    <x v="0"/>
    <x v="0"/>
    <s v="PLAQUETTES"/>
    <x v="3"/>
    <n v="39.799999999999997"/>
  </r>
  <r>
    <d v="2025-04-26T05:49:28"/>
    <x v="6"/>
    <s v="Plaquettes de finition triangulaires"/>
    <s v="U509351"/>
    <s v="DELIAT CHRISTOPHE"/>
    <n v="5"/>
    <x v="0"/>
    <x v="2"/>
    <s v="PLAQUETTES"/>
    <x v="3"/>
    <n v="48.7"/>
  </r>
  <r>
    <d v="2025-04-26T05:49:46"/>
    <x v="5"/>
    <s v="Plaquettes de finition"/>
    <s v="U509351"/>
    <s v="DELIAT CHRISTOPHE"/>
    <n v="5"/>
    <x v="0"/>
    <x v="2"/>
    <s v="PLAQUETTES"/>
    <x v="3"/>
    <n v="42.5"/>
  </r>
  <r>
    <d v="2025-04-26T05:50:01"/>
    <x v="2"/>
    <s v="Plaquettes de finition carrées"/>
    <s v="U509351"/>
    <s v="DELIAT CHRISTOPHE"/>
    <n v="5"/>
    <x v="0"/>
    <x v="2"/>
    <s v="PLAQUETTES"/>
    <x v="3"/>
    <n v="47.8"/>
  </r>
  <r>
    <d v="2025-04-26T05:50:13"/>
    <x v="2"/>
    <s v="Plaquettes de finition carrées"/>
    <s v="U509351"/>
    <s v="DELIAT CHRISTOPHE"/>
    <n v="5"/>
    <x v="0"/>
    <x v="2"/>
    <s v="PLAQUETTES"/>
    <x v="3"/>
    <n v="47.8"/>
  </r>
  <r>
    <d v="2025-04-27T17:34:13"/>
    <x v="3"/>
    <s v="Plaquettes d'ébauches carrées"/>
    <s v="U509351"/>
    <s v="DELIAT CHRISTOPHE"/>
    <n v="5"/>
    <x v="0"/>
    <x v="3"/>
    <s v="PLAQUETTES"/>
    <x v="3"/>
    <n v="39.799999999999997"/>
  </r>
  <r>
    <d v="2025-04-27T17:34:32"/>
    <x v="0"/>
    <s v="Plaquettes d'ébauches rhombiques"/>
    <s v="U509351"/>
    <s v="DELIAT CHRISTOPHE"/>
    <n v="5"/>
    <x v="0"/>
    <x v="3"/>
    <s v="PLAQUETTES"/>
    <x v="3"/>
    <n v="39.799999999999997"/>
  </r>
  <r>
    <d v="2025-04-27T17:34:45"/>
    <x v="3"/>
    <s v="Plaquettes d'ébauches carrées"/>
    <s v="U509351"/>
    <s v="DELIAT CHRISTOPHE"/>
    <n v="5"/>
    <x v="0"/>
    <x v="0"/>
    <s v="PLAQUETTES"/>
    <x v="3"/>
    <n v="39.799999999999997"/>
  </r>
  <r>
    <d v="2025-04-27T17:35:01"/>
    <x v="0"/>
    <s v="Plaquettes d'ébauches rhombiques"/>
    <s v="U509351"/>
    <s v="DELIAT CHRISTOPHE"/>
    <n v="5"/>
    <x v="0"/>
    <x v="0"/>
    <s v="PLAQUETTES"/>
    <x v="3"/>
    <n v="39.799999999999997"/>
  </r>
  <r>
    <d v="2025-04-27T17:35:15"/>
    <x v="2"/>
    <s v="Plaquettes de finition carrées"/>
    <s v="U509351"/>
    <s v="DELIAT CHRISTOPHE"/>
    <n v="5"/>
    <x v="0"/>
    <x v="2"/>
    <s v="PLAQUETTES"/>
    <x v="3"/>
    <n v="47.8"/>
  </r>
  <r>
    <d v="2025-04-28T05:29:14"/>
    <x v="2"/>
    <s v="Plaquettes de finition carrées"/>
    <s v="070325"/>
    <s v="PEREIRA KEVIN"/>
    <n v="5"/>
    <x v="1"/>
    <x v="2"/>
    <s v="PLAQUETTES"/>
    <x v="2"/>
    <n v="47.8"/>
  </r>
  <r>
    <d v="2025-04-28T07:23:05"/>
    <x v="3"/>
    <s v="Plaquettes d'ébauches carrées"/>
    <s v="070325"/>
    <s v="PEREIRA KEVIN"/>
    <n v="5"/>
    <x v="1"/>
    <x v="3"/>
    <s v="PLAQUETTES"/>
    <x v="2"/>
    <n v="39.799999999999997"/>
  </r>
  <r>
    <d v="2025-04-28T07:23:32"/>
    <x v="0"/>
    <s v="Plaquettes d'ébauches rhombiques"/>
    <s v="070325"/>
    <s v="PEREIRA KEVIN"/>
    <n v="5"/>
    <x v="1"/>
    <x v="3"/>
    <s v="PLAQUETTES"/>
    <x v="2"/>
    <n v="39.799999999999997"/>
  </r>
  <r>
    <d v="2025-04-28T11:41:39"/>
    <x v="4"/>
    <s v="Plaquettes de gorges"/>
    <s v="U505000"/>
    <s v="RECEVEUR BENOIT"/>
    <n v="10"/>
    <x v="1"/>
    <x v="0"/>
    <s v="PLAQUETTES"/>
    <x v="2"/>
    <n v="188"/>
  </r>
  <r>
    <d v="2025-04-28T11:41:53"/>
    <x v="4"/>
    <s v="Plaquettes de gorges"/>
    <s v="U505000"/>
    <s v="RECEVEUR BENOIT"/>
    <n v="10"/>
    <x v="0"/>
    <x v="0"/>
    <s v="PLAQUETTES"/>
    <x v="0"/>
    <n v="188"/>
  </r>
  <r>
    <d v="2025-04-28T18:17:04"/>
    <x v="2"/>
    <s v="Plaquettes de finition carrées"/>
    <s v="SE38185"/>
    <s v="PIERRE NICOLAS VENIAT"/>
    <n v="5"/>
    <x v="1"/>
    <x v="2"/>
    <s v="PLAQUETTES"/>
    <x v="2"/>
    <n v="47.8"/>
  </r>
  <r>
    <d v="2025-04-28T20:45:51"/>
    <x v="2"/>
    <s v="Plaquettes de finition carrées"/>
    <s v="SE38185"/>
    <s v="PIERRE NICOLAS VENIAT"/>
    <n v="5"/>
    <x v="1"/>
    <x v="2"/>
    <s v="PLAQUETTES"/>
    <x v="2"/>
    <n v="47.8"/>
  </r>
  <r>
    <d v="2025-04-28T20:46:14"/>
    <x v="3"/>
    <s v="Plaquettes d'ébauches carrées"/>
    <s v="SE38185"/>
    <s v="PIERRE NICOLAS VENIAT"/>
    <n v="5"/>
    <x v="1"/>
    <x v="0"/>
    <s v="PLAQUETTES"/>
    <x v="2"/>
    <n v="39.799999999999997"/>
  </r>
  <r>
    <d v="2025-04-28T20:46:33"/>
    <x v="0"/>
    <s v="Plaquettes d'ébauches rhombiques"/>
    <s v="SE38185"/>
    <s v="PIERRE NICOLAS VENIAT"/>
    <n v="5"/>
    <x v="1"/>
    <x v="0"/>
    <s v="PLAQUETTES"/>
    <x v="2"/>
    <n v="39.799999999999997"/>
  </r>
  <r>
    <d v="2025-04-28T20:46:56"/>
    <x v="3"/>
    <s v="Plaquettes d'ébauches carrées"/>
    <s v="SE38185"/>
    <s v="PIERRE NICOLAS VENIAT"/>
    <n v="5"/>
    <x v="1"/>
    <x v="3"/>
    <s v="PLAQUETTES"/>
    <x v="2"/>
    <n v="39.799999999999997"/>
  </r>
  <r>
    <d v="2025-04-28T20:47:11"/>
    <x v="0"/>
    <s v="Plaquettes d'ébauches rhombiques"/>
    <s v="SE38185"/>
    <s v="PIERRE NICOLAS VENIAT"/>
    <n v="5"/>
    <x v="1"/>
    <x v="3"/>
    <s v="PLAQUETTES"/>
    <x v="2"/>
    <n v="39.799999999999997"/>
  </r>
  <r>
    <d v="2025-04-29T03:34:31"/>
    <x v="4"/>
    <s v="Plaquettes de gorges"/>
    <s v="090225"/>
    <s v="MEYER THOMAS"/>
    <n v="10"/>
    <x v="0"/>
    <x v="0"/>
    <s v="PLAQUETTES"/>
    <x v="0"/>
    <n v="188"/>
  </r>
  <r>
    <d v="2025-04-29T08:23:01"/>
    <x v="2"/>
    <s v="Plaquettes de finition carrées"/>
    <s v="070325"/>
    <s v="PEREIRA KEVIN"/>
    <n v="5"/>
    <x v="0"/>
    <x v="2"/>
    <s v="PLAQUETTES"/>
    <x v="0"/>
    <n v="47.8"/>
  </r>
  <r>
    <d v="2025-04-29T08:23:25"/>
    <x v="3"/>
    <s v="Plaquettes d'ébauches carrées"/>
    <s v="070325"/>
    <s v="PEREIRA KEVIN"/>
    <n v="5"/>
    <x v="0"/>
    <x v="3"/>
    <s v="PLAQUETTES"/>
    <x v="0"/>
    <n v="39.799999999999997"/>
  </r>
  <r>
    <d v="2025-04-29T08:23:48"/>
    <x v="0"/>
    <s v="Plaquettes d'ébauches rhombiques"/>
    <s v="070325"/>
    <s v="PEREIRA KEVIN"/>
    <n v="5"/>
    <x v="0"/>
    <x v="3"/>
    <s v="PLAQUETTES"/>
    <x v="0"/>
    <n v="39.799999999999997"/>
  </r>
  <r>
    <d v="2025-04-29T08:34:38"/>
    <x v="10"/>
    <s v="Plaquettes TPGX0902ZPRGD KC7315"/>
    <s v="SF51433"/>
    <s v="BONTEMS COLINE"/>
    <n v="10"/>
    <x v="1"/>
    <x v="1"/>
    <s v="PLAQUETTES"/>
    <x v="1"/>
    <n v="81.5"/>
  </r>
  <r>
    <d v="2025-04-29T08:50:20"/>
    <x v="1"/>
    <s v="EMBOUT KENTIP D13.3"/>
    <s v="SF51433"/>
    <s v="BONTEMS COLINE"/>
    <n v="2"/>
    <x v="0"/>
    <x v="1"/>
    <s v="PLAQUETTES"/>
    <x v="1"/>
    <n v="93.9"/>
  </r>
  <r>
    <d v="2025-04-29T08:58:46"/>
    <x v="9"/>
    <s v="EMBOUT KENTIP D8.6"/>
    <s v="SF51433"/>
    <s v="BONTEMS COLINE"/>
    <n v="2"/>
    <x v="0"/>
    <x v="1"/>
    <s v="PLAQUETTES"/>
    <x v="1"/>
    <n v="100"/>
  </r>
  <r>
    <d v="2025-04-29T08:59:37"/>
    <x v="7"/>
    <s v="Plaquettes VCGT21A52 SP4019"/>
    <s v="SF51433"/>
    <s v="BONTEMS COLINE"/>
    <n v="5"/>
    <x v="0"/>
    <x v="1"/>
    <s v="PLAQUETTES"/>
    <x v="1"/>
    <n v="60.9"/>
  </r>
  <r>
    <d v="2025-04-29T09:29:57"/>
    <x v="2"/>
    <s v="Plaquettes de finition carrées"/>
    <s v="SG16371"/>
    <s v="MORISSE GUILLAUME"/>
    <n v="5"/>
    <x v="0"/>
    <x v="2"/>
    <s v="PLAQUETTES"/>
    <x v="3"/>
    <n v="47.8"/>
  </r>
  <r>
    <d v="2025-04-29T11:01:22"/>
    <x v="1"/>
    <s v="EMBOUT KENTIP D13.3"/>
    <s v="SF51433"/>
    <s v="BONTEMS COLINE"/>
    <n v="1"/>
    <x v="1"/>
    <x v="1"/>
    <s v="PLAQUETTES"/>
    <x v="1"/>
    <n v="46.95"/>
  </r>
  <r>
    <d v="2025-04-29T11:01:40"/>
    <x v="9"/>
    <s v="EMBOUT KENTIP D8.6"/>
    <s v="SF51433"/>
    <s v="BONTEMS COLINE"/>
    <n v="1"/>
    <x v="1"/>
    <x v="1"/>
    <s v="PLAQUETTES"/>
    <x v="1"/>
    <n v="50"/>
  </r>
  <r>
    <d v="2025-04-29T13:56:18"/>
    <x v="3"/>
    <s v="Plaquettes d'ébauches carrées"/>
    <s v="SD75051"/>
    <s v="COMBALUZIER LUCAS"/>
    <n v="5"/>
    <x v="0"/>
    <x v="0"/>
    <s v="PLAQUETTES"/>
    <x v="0"/>
    <n v="39.799999999999997"/>
  </r>
  <r>
    <d v="2025-04-29T13:56:47"/>
    <x v="0"/>
    <s v="Plaquettes d'ébauches rhombiques"/>
    <s v="SD75051"/>
    <s v="COMBALUZIER LUCAS"/>
    <n v="5"/>
    <x v="0"/>
    <x v="3"/>
    <s v="PLAQUETTES"/>
    <x v="0"/>
    <n v="39.799999999999997"/>
  </r>
  <r>
    <d v="2025-04-29T13:57:05"/>
    <x v="2"/>
    <s v="Plaquettes de finition carrées"/>
    <s v="SD75051"/>
    <s v="COMBALUZIER LUCAS"/>
    <n v="5"/>
    <x v="0"/>
    <x v="2"/>
    <s v="PLAQUETTES"/>
    <x v="0"/>
    <n v="47.8"/>
  </r>
  <r>
    <d v="2025-04-29T20:59:38"/>
    <x v="4"/>
    <s v="Plaquettes de gorges"/>
    <s v="090225"/>
    <s v="MEYER THOMAS"/>
    <n v="10"/>
    <x v="0"/>
    <x v="0"/>
    <s v="PLAQUETTES"/>
    <x v="0"/>
    <n v="188"/>
  </r>
  <r>
    <d v="2025-04-30T03:17:38"/>
    <x v="3"/>
    <s v="Plaquettes d'ébauches carrées"/>
    <s v="090225"/>
    <s v="MEYER THOMAS"/>
    <n v="5"/>
    <x v="0"/>
    <x v="3"/>
    <s v="PLAQUETTES"/>
    <x v="0"/>
    <n v="39.799999999999997"/>
  </r>
  <r>
    <d v="2025-04-30T03:18:00"/>
    <x v="0"/>
    <s v="Plaquettes d'ébauches rhombiques"/>
    <s v="090225"/>
    <s v="MEYER THOMAS"/>
    <n v="5"/>
    <x v="0"/>
    <x v="3"/>
    <s v="PLAQUETTES"/>
    <x v="0"/>
    <n v="39.799999999999997"/>
  </r>
  <r>
    <d v="2025-04-30T03:18:18"/>
    <x v="3"/>
    <s v="Plaquettes d'ébauches carrées"/>
    <s v="090225"/>
    <s v="MEYER THOMAS"/>
    <n v="5"/>
    <x v="0"/>
    <x v="0"/>
    <s v="PLAQUETTES"/>
    <x v="0"/>
    <n v="39.799999999999997"/>
  </r>
  <r>
    <d v="2025-04-30T03:18:42"/>
    <x v="0"/>
    <s v="Plaquettes d'ébauches rhombiques"/>
    <s v="090225"/>
    <s v="MEYER THOMAS"/>
    <n v="5"/>
    <x v="0"/>
    <x v="0"/>
    <s v="PLAQUETTES"/>
    <x v="0"/>
    <n v="39.799999999999997"/>
  </r>
  <r>
    <d v="2025-04-30T05:57:38"/>
    <x v="4"/>
    <s v="Plaquettes de gorges"/>
    <s v="U505000"/>
    <s v="RECEVEUR BENOIT"/>
    <n v="10"/>
    <x v="0"/>
    <x v="0"/>
    <s v="PLAQUETTES"/>
    <x v="0"/>
    <n v="188"/>
  </r>
  <r>
    <d v="2025-04-30T06:15:17"/>
    <x v="2"/>
    <s v="Plaquettes de finition carrées"/>
    <s v="070325"/>
    <s v="PEREIRA KEVIN"/>
    <n v="5"/>
    <x v="0"/>
    <x v="2"/>
    <s v="PLAQUETTES"/>
    <x v="0"/>
    <n v="47.8"/>
  </r>
  <r>
    <d v="2025-04-30T08:57:38"/>
    <x v="6"/>
    <s v="Plaquettes de finition triangulaires"/>
    <s v="070325"/>
    <s v="PEREIRA KEVIN"/>
    <n v="5"/>
    <x v="1"/>
    <x v="2"/>
    <s v="PLAQUETTES"/>
    <x v="3"/>
    <n v="48.7"/>
  </r>
  <r>
    <d v="2025-04-30T09:26:23"/>
    <x v="9"/>
    <s v="EMBOUT KENTIP D8.6"/>
    <s v="SF51433"/>
    <s v="BONTEMS COLINE"/>
    <n v="2"/>
    <x v="0"/>
    <x v="1"/>
    <s v="PLAQUETTES"/>
    <x v="1"/>
    <n v="100"/>
  </r>
  <r>
    <d v="2025-04-30T09:37:42"/>
    <x v="1"/>
    <s v="EMBOUT KENTIP D13.3"/>
    <s v="SF51433"/>
    <s v="BONTEMS COLINE"/>
    <n v="2"/>
    <x v="0"/>
    <x v="1"/>
    <s v="PLAQUETTES"/>
    <x v="1"/>
    <n v="93.9"/>
  </r>
  <r>
    <d v="2025-04-30T13:15:28"/>
    <x v="2"/>
    <s v="Plaquettes de finition carrées"/>
    <s v="SD75051"/>
    <s v="COMBALUZIER LUCAS"/>
    <n v="5"/>
    <x v="0"/>
    <x v="2"/>
    <s v="PLAQUETTES"/>
    <x v="0"/>
    <n v="47.8"/>
  </r>
  <r>
    <d v="2025-04-30T19:41:43"/>
    <x v="3"/>
    <s v="Plaquettes d'ébauches carrées"/>
    <s v="SC95213"/>
    <s v="RABET PAULINE"/>
    <n v="5"/>
    <x v="1"/>
    <x v="3"/>
    <s v="PLAQUETTES"/>
    <x v="3"/>
    <n v="39.799999999999997"/>
  </r>
  <r>
    <d v="2025-04-30T19:42:06"/>
    <x v="2"/>
    <s v="Plaquettes de finition carrées"/>
    <s v="SC95213"/>
    <s v="RABET PAULINE"/>
    <n v="5"/>
    <x v="1"/>
    <x v="2"/>
    <s v="PLAQUETTES"/>
    <x v="3"/>
    <n v="47.8"/>
  </r>
  <r>
    <d v="2025-05-01T00:30:45"/>
    <x v="3"/>
    <s v="Plaquettes d'ébauches carrées"/>
    <s v="090225"/>
    <s v="MEYER THOMAS"/>
    <n v="5"/>
    <x v="0"/>
    <x v="3"/>
    <s v="PLAQUETTES"/>
    <x v="0"/>
    <n v="39.799999999999997"/>
  </r>
  <r>
    <d v="2025-05-01T00:31:09"/>
    <x v="3"/>
    <s v="Plaquettes d'ébauches carrées"/>
    <s v="090225"/>
    <s v="MEYER THOMAS"/>
    <n v="5"/>
    <x v="0"/>
    <x v="0"/>
    <s v="PLAQUETTES"/>
    <x v="0"/>
    <n v="39.799999999999997"/>
  </r>
  <r>
    <d v="2025-05-01T00:31:33"/>
    <x v="4"/>
    <s v="Plaquettes de gorges"/>
    <s v="090225"/>
    <s v="MEYER THOMAS"/>
    <n v="10"/>
    <x v="0"/>
    <x v="0"/>
    <s v="PLAQUETTES"/>
    <x v="0"/>
    <n v="188"/>
  </r>
  <r>
    <d v="2025-05-02T06:46:23"/>
    <x v="0"/>
    <s v="Plaquettes d'ébauches rhombiques"/>
    <s v="U509351"/>
    <s v="DELIAT CHRISTOPHE"/>
    <n v="5"/>
    <x v="1"/>
    <x v="3"/>
    <s v="PLAQUETTES"/>
    <x v="3"/>
    <n v="39.799999999999997"/>
  </r>
  <r>
    <d v="2025-05-02T06:46:54"/>
    <x v="3"/>
    <s v="Plaquettes d'ébauches carrées"/>
    <s v="U509351"/>
    <s v="DELIAT CHRISTOPHE"/>
    <n v="5"/>
    <x v="1"/>
    <x v="3"/>
    <s v="PLAQUETTES"/>
    <x v="3"/>
    <n v="39.799999999999997"/>
  </r>
  <r>
    <d v="2025-05-02T06:47:12"/>
    <x v="0"/>
    <s v="Plaquettes d'ébauches rhombiques"/>
    <s v="U509351"/>
    <s v="DELIAT CHRISTOPHE"/>
    <n v="5"/>
    <x v="1"/>
    <x v="0"/>
    <s v="PLAQUETTES"/>
    <x v="3"/>
    <n v="39.799999999999997"/>
  </r>
  <r>
    <d v="2025-05-02T06:47:26"/>
    <x v="3"/>
    <s v="Plaquettes d'ébauches carrées"/>
    <s v="U509351"/>
    <s v="DELIAT CHRISTOPHE"/>
    <n v="5"/>
    <x v="1"/>
    <x v="0"/>
    <s v="PLAQUETTES"/>
    <x v="3"/>
    <n v="39.799999999999997"/>
  </r>
  <r>
    <d v="2025-05-02T06:47:58"/>
    <x v="0"/>
    <s v="Plaquettes d'ébauches rhombiques"/>
    <s v="U509351"/>
    <s v="DELIAT CHRISTOPHE"/>
    <n v="5"/>
    <x v="0"/>
    <x v="3"/>
    <s v="PLAQUETTES"/>
    <x v="0"/>
    <n v="39.799999999999997"/>
  </r>
  <r>
    <d v="2025-05-02T06:48:12"/>
    <x v="3"/>
    <s v="Plaquettes d'ébauches carrées"/>
    <s v="U509351"/>
    <s v="DELIAT CHRISTOPHE"/>
    <n v="5"/>
    <x v="0"/>
    <x v="3"/>
    <s v="PLAQUETTES"/>
    <x v="0"/>
    <n v="39.799999999999997"/>
  </r>
  <r>
    <d v="2025-05-02T06:48:30"/>
    <x v="3"/>
    <s v="Plaquettes d'ébauches carrées"/>
    <s v="U509351"/>
    <s v="DELIAT CHRISTOPHE"/>
    <n v="5"/>
    <x v="0"/>
    <x v="0"/>
    <s v="PLAQUETTES"/>
    <x v="0"/>
    <n v="39.799999999999997"/>
  </r>
  <r>
    <d v="2025-05-02T06:48:57"/>
    <x v="0"/>
    <s v="Plaquettes d'ébauches rhombiques"/>
    <s v="U509351"/>
    <s v="DELIAT CHRISTOPHE"/>
    <n v="5"/>
    <x v="0"/>
    <x v="0"/>
    <s v="PLAQUETTES"/>
    <x v="0"/>
    <n v="39.799999999999997"/>
  </r>
  <r>
    <d v="2025-05-02T08:02:23"/>
    <x v="9"/>
    <s v="EMBOUT KENTIP D8.6"/>
    <s v="SF51433"/>
    <s v="BONTEMS COLINE"/>
    <n v="2"/>
    <x v="0"/>
    <x v="1"/>
    <s v="PLAQUETTES"/>
    <x v="1"/>
    <n v="100"/>
  </r>
  <r>
    <d v="2025-05-02T08:02:43"/>
    <x v="7"/>
    <s v="Plaquettes VCGT21A52 SP4019"/>
    <s v="SF51433"/>
    <s v="BONTEMS COLINE"/>
    <n v="5"/>
    <x v="0"/>
    <x v="1"/>
    <s v="PLAQUETTES"/>
    <x v="1"/>
    <n v="60.9"/>
  </r>
  <r>
    <d v="2025-05-02T08:11:17"/>
    <x v="2"/>
    <s v="Plaquettes de finition carrées"/>
    <s v="U509351"/>
    <s v="DELIAT CHRISTOPHE"/>
    <n v="5"/>
    <x v="0"/>
    <x v="2"/>
    <s v="PLAQUETTES"/>
    <x v="3"/>
    <n v="47.8"/>
  </r>
  <r>
    <d v="2025-05-02T08:11:46"/>
    <x v="2"/>
    <s v="Plaquettes de finition carrées"/>
    <s v="U509351"/>
    <s v="DELIAT CHRISTOPHE"/>
    <n v="5"/>
    <x v="0"/>
    <x v="2"/>
    <s v="PLAQUETTES"/>
    <x v="0"/>
    <n v="47.8"/>
  </r>
  <r>
    <d v="2025-05-02T08:13:29"/>
    <x v="1"/>
    <s v="EMBOUT KENTIP D13.3"/>
    <s v="SF51433"/>
    <s v="BONTEMS COLINE"/>
    <n v="2"/>
    <x v="0"/>
    <x v="1"/>
    <s v="PLAQUETTES"/>
    <x v="1"/>
    <n v="93.9"/>
  </r>
  <r>
    <d v="2025-05-02T09:12:13"/>
    <x v="5"/>
    <s v="Plaquettes de finition"/>
    <s v="SF51433"/>
    <s v="BONTEMS COLINE"/>
    <n v="5"/>
    <x v="0"/>
    <x v="2"/>
    <s v="PLAQUETTES"/>
    <x v="3"/>
    <n v="42.5"/>
  </r>
  <r>
    <d v="2025-05-03T07:30:11"/>
    <x v="5"/>
    <s v="Plaquettes de finition"/>
    <s v="U080365"/>
    <s v="ALAVOINE SAMUEL"/>
    <n v="5"/>
    <x v="1"/>
    <x v="2"/>
    <s v="PLAQUETTES"/>
    <x v="3"/>
    <n v="42.5"/>
  </r>
  <r>
    <d v="2025-05-03T07:30:33"/>
    <x v="4"/>
    <s v="Plaquettes de gorges"/>
    <s v="U080365"/>
    <s v="ALAVOINE SAMUEL"/>
    <n v="10"/>
    <x v="0"/>
    <x v="0"/>
    <s v="PLAQUETTES"/>
    <x v="0"/>
    <n v="188"/>
  </r>
  <r>
    <d v="2025-05-03T07:31:23"/>
    <x v="2"/>
    <s v="Plaquettes de finition carrées"/>
    <s v="U080365"/>
    <s v="ALAVOINE SAMUEL"/>
    <n v="5"/>
    <x v="1"/>
    <x v="2"/>
    <s v="PLAQUETTES"/>
    <x v="3"/>
    <n v="47.8"/>
  </r>
  <r>
    <d v="2025-05-03T07:31:44"/>
    <x v="2"/>
    <s v="Plaquettes de finition carrées"/>
    <s v="U080365"/>
    <s v="ALAVOINE SAMUEL"/>
    <n v="5"/>
    <x v="0"/>
    <x v="2"/>
    <s v="PLAQUETTES"/>
    <x v="0"/>
    <n v="47.8"/>
  </r>
  <r>
    <d v="2025-05-04T17:28:13"/>
    <x v="3"/>
    <s v="Plaquettes d'ébauches carrées"/>
    <s v="10301115"/>
    <s v="BOUCHART LUDOVIC"/>
    <n v="5"/>
    <x v="0"/>
    <x v="3"/>
    <s v="PLAQUETTES"/>
    <x v="0"/>
    <n v="39.799999999999997"/>
  </r>
  <r>
    <d v="2025-05-04T17:28:28"/>
    <x v="0"/>
    <s v="Plaquettes d'ébauches rhombiques"/>
    <s v="10301115"/>
    <s v="BOUCHART LUDOVIC"/>
    <n v="5"/>
    <x v="0"/>
    <x v="3"/>
    <s v="PLAQUETTES"/>
    <x v="0"/>
    <n v="39.799999999999997"/>
  </r>
  <r>
    <d v="2025-05-04T17:28:41"/>
    <x v="4"/>
    <s v="Plaquettes de gorges"/>
    <s v="10301115"/>
    <s v="BOUCHART LUDOVIC"/>
    <n v="10"/>
    <x v="0"/>
    <x v="0"/>
    <s v="PLAQUETTES"/>
    <x v="0"/>
    <n v="188"/>
  </r>
  <r>
    <d v="2025-05-04T17:28:56"/>
    <x v="3"/>
    <s v="Plaquettes d'ébauches carrées"/>
    <s v="10301115"/>
    <s v="BOUCHART LUDOVIC"/>
    <n v="5"/>
    <x v="0"/>
    <x v="0"/>
    <s v="PLAQUETTES"/>
    <x v="0"/>
    <n v="39.799999999999997"/>
  </r>
  <r>
    <d v="2025-05-04T17:29:11"/>
    <x v="0"/>
    <s v="Plaquettes d'ébauches rhombiques"/>
    <s v="10301115"/>
    <s v="BOUCHART LUDOVIC"/>
    <n v="5"/>
    <x v="0"/>
    <x v="0"/>
    <s v="PLAQUETTES"/>
    <x v="0"/>
    <n v="39.799999999999997"/>
  </r>
  <r>
    <d v="2025-05-04T17:29:36"/>
    <x v="0"/>
    <s v="Plaquettes d'ébauches rhombiques"/>
    <s v="10301115"/>
    <s v="BOUCHART LUDOVIC"/>
    <n v="5"/>
    <x v="0"/>
    <x v="2"/>
    <s v="PLAQUETTES"/>
    <x v="0"/>
    <n v="39.799999999999997"/>
  </r>
  <r>
    <d v="2025-05-04T17:29:52"/>
    <x v="2"/>
    <s v="Plaquettes de finition carrées"/>
    <s v="10301115"/>
    <s v="BOUCHART LUDOVIC"/>
    <n v="5"/>
    <x v="0"/>
    <x v="2"/>
    <s v="PLAQUETTES"/>
    <x v="0"/>
    <n v="47.8"/>
  </r>
  <r>
    <d v="2025-05-04T17:30:06"/>
    <x v="3"/>
    <s v="Plaquettes d'ébauches carrées"/>
    <s v="10301115"/>
    <s v="BOUCHART LUDOVIC"/>
    <n v="5"/>
    <x v="1"/>
    <x v="3"/>
    <s v="PLAQUETTES"/>
    <x v="3"/>
    <n v="39.799999999999997"/>
  </r>
  <r>
    <d v="2025-05-04T17:30:23"/>
    <x v="0"/>
    <s v="Plaquettes d'ébauches rhombiques"/>
    <s v="10301115"/>
    <s v="BOUCHART LUDOVIC"/>
    <n v="5"/>
    <x v="1"/>
    <x v="3"/>
    <s v="PLAQUETTES"/>
    <x v="3"/>
    <n v="39.799999999999997"/>
  </r>
  <r>
    <d v="2025-05-04T17:30:39"/>
    <x v="3"/>
    <s v="Plaquettes d'ébauches carrées"/>
    <s v="10301115"/>
    <s v="BOUCHART LUDOVIC"/>
    <n v="5"/>
    <x v="1"/>
    <x v="0"/>
    <s v="PLAQUETTES"/>
    <x v="3"/>
    <n v="39.799999999999997"/>
  </r>
  <r>
    <d v="2025-05-04T17:30:54"/>
    <x v="0"/>
    <s v="Plaquettes d'ébauches rhombiques"/>
    <s v="10301115"/>
    <s v="BOUCHART LUDOVIC"/>
    <n v="5"/>
    <x v="1"/>
    <x v="0"/>
    <s v="PLAQUETTES"/>
    <x v="3"/>
    <n v="39.799999999999997"/>
  </r>
  <r>
    <d v="2025-05-04T17:31:09"/>
    <x v="5"/>
    <s v="Plaquettes de finition"/>
    <s v="10301115"/>
    <s v="BOUCHART LUDOVIC"/>
    <n v="5"/>
    <x v="1"/>
    <x v="2"/>
    <s v="PLAQUETTES"/>
    <x v="3"/>
    <n v="42.5"/>
  </r>
  <r>
    <d v="2025-05-04T17:31:21"/>
    <x v="6"/>
    <s v="Plaquettes de finition triangulaires"/>
    <s v="10301115"/>
    <s v="BOUCHART LUDOVIC"/>
    <n v="5"/>
    <x v="1"/>
    <x v="2"/>
    <s v="PLAQUETTES"/>
    <x v="3"/>
    <n v="48.7"/>
  </r>
  <r>
    <d v="2025-05-04T17:31:35"/>
    <x v="2"/>
    <s v="Plaquettes de finition carrées"/>
    <s v="10301115"/>
    <s v="BOUCHART LUDOVIC"/>
    <n v="5"/>
    <x v="1"/>
    <x v="2"/>
    <s v="PLAQUETTES"/>
    <x v="3"/>
    <n v="47.8"/>
  </r>
  <r>
    <d v="2025-05-05T07:01:05"/>
    <x v="2"/>
    <s v="Plaquettes de finition carrées"/>
    <s v="SD75051"/>
    <s v="COMBALUZIER LUCAS"/>
    <n v="5"/>
    <x v="0"/>
    <x v="2"/>
    <s v="PLAQUETTES"/>
    <x v="0"/>
    <n v="47.8"/>
  </r>
  <r>
    <d v="2025-05-05T07:01:31"/>
    <x v="3"/>
    <s v="Plaquettes d'ébauches carrées"/>
    <s v="SD75051"/>
    <s v="COMBALUZIER LUCAS"/>
    <n v="5"/>
    <x v="0"/>
    <x v="3"/>
    <s v="PLAQUETTES"/>
    <x v="0"/>
    <n v="39.799999999999997"/>
  </r>
  <r>
    <d v="2025-05-05T08:13:11"/>
    <x v="1"/>
    <s v="EMBOUT KENTIP D13.3"/>
    <s v="SF51433"/>
    <s v="BONTEMS COLINE"/>
    <n v="3"/>
    <x v="0"/>
    <x v="1"/>
    <s v="PLAQUETTES"/>
    <x v="1"/>
    <n v="140.85"/>
  </r>
  <r>
    <d v="2025-05-05T08:13:35"/>
    <x v="9"/>
    <s v="EMBOUT KENTIP D8.6"/>
    <s v="SF51433"/>
    <s v="BONTEMS COLINE"/>
    <n v="3"/>
    <x v="0"/>
    <x v="1"/>
    <s v="PLAQUETTES"/>
    <x v="1"/>
    <n v="150"/>
  </r>
  <r>
    <d v="2025-05-05T08:25:05"/>
    <x v="10"/>
    <s v="Plaquettes TPGX0902ZPRGD KC7315"/>
    <s v="SF51433"/>
    <s v="BONTEMS COLINE"/>
    <n v="10"/>
    <x v="0"/>
    <x v="1"/>
    <s v="PLAQUETTES"/>
    <x v="1"/>
    <n v="81.5"/>
  </r>
  <r>
    <d v="2025-05-05T12:17:35"/>
    <x v="3"/>
    <s v="Plaquettes d'ébauches carrées"/>
    <s v="SC95213"/>
    <s v="RABET PAULINE"/>
    <n v="5"/>
    <x v="1"/>
    <x v="0"/>
    <s v="PLAQUETTES"/>
    <x v="3"/>
    <n v="39.799999999999997"/>
  </r>
  <r>
    <d v="2025-05-05T12:17:53"/>
    <x v="3"/>
    <s v="Plaquettes d'ébauches carrées"/>
    <s v="SC95213"/>
    <s v="RABET PAULINE"/>
    <n v="5"/>
    <x v="1"/>
    <x v="3"/>
    <s v="PLAQUETTES"/>
    <x v="3"/>
    <n v="39.799999999999997"/>
  </r>
  <r>
    <d v="2025-05-05T12:18:18"/>
    <x v="2"/>
    <s v="Plaquettes de finition carrées"/>
    <s v="SC95213"/>
    <s v="RABET PAULINE"/>
    <n v="5"/>
    <x v="1"/>
    <x v="2"/>
    <s v="PLAQUETTES"/>
    <x v="3"/>
    <n v="47.8"/>
  </r>
  <r>
    <d v="2025-05-05T18:24:52"/>
    <x v="3"/>
    <s v="Plaquettes d'ébauches carrées"/>
    <s v="090225"/>
    <s v="MEYER THOMAS"/>
    <n v="5"/>
    <x v="0"/>
    <x v="3"/>
    <s v="PLAQUETTES"/>
    <x v="0"/>
    <n v="39.799999999999997"/>
  </r>
  <r>
    <d v="2025-05-05T18:25:10"/>
    <x v="0"/>
    <s v="Plaquettes d'ébauches rhombiques"/>
    <s v="090225"/>
    <s v="MEYER THOMAS"/>
    <n v="5"/>
    <x v="0"/>
    <x v="3"/>
    <s v="PLAQUETTES"/>
    <x v="0"/>
    <n v="39.799999999999997"/>
  </r>
  <r>
    <d v="2025-05-05T18:25:24"/>
    <x v="4"/>
    <s v="Plaquettes de gorges"/>
    <s v="090225"/>
    <s v="MEYER THOMAS"/>
    <n v="10"/>
    <x v="0"/>
    <x v="0"/>
    <s v="PLAQUETTES"/>
    <x v="0"/>
    <n v="188"/>
  </r>
  <r>
    <d v="2025-05-05T18:25:44"/>
    <x v="3"/>
    <s v="Plaquettes d'ébauches carrées"/>
    <s v="090225"/>
    <s v="MEYER THOMAS"/>
    <n v="5"/>
    <x v="1"/>
    <x v="3"/>
    <s v="PLAQUETTES"/>
    <x v="3"/>
    <n v="39.799999999999997"/>
  </r>
  <r>
    <d v="2025-05-05T18:26:05"/>
    <x v="0"/>
    <s v="Plaquettes d'ébauches rhombiques"/>
    <s v="090225"/>
    <s v="MEYER THOMAS"/>
    <n v="5"/>
    <x v="1"/>
    <x v="3"/>
    <s v="PLAQUETTES"/>
    <x v="3"/>
    <n v="39.799999999999997"/>
  </r>
  <r>
    <d v="2025-05-05T18:26:24"/>
    <x v="3"/>
    <s v="Plaquettes d'ébauches carrées"/>
    <s v="090225"/>
    <s v="MEYER THOMAS"/>
    <n v="5"/>
    <x v="0"/>
    <x v="0"/>
    <s v="PLAQUETTES"/>
    <x v="0"/>
    <n v="39.799999999999997"/>
  </r>
  <r>
    <d v="2025-05-05T18:27:07"/>
    <x v="0"/>
    <s v="Plaquettes d'ébauches rhombiques"/>
    <s v="090225"/>
    <s v="MEYER THOMAS"/>
    <n v="5"/>
    <x v="0"/>
    <x v="0"/>
    <s v="PLAQUETTES"/>
    <x v="0"/>
    <n v="39.799999999999997"/>
  </r>
  <r>
    <d v="2025-05-05T23:46:38"/>
    <x v="2"/>
    <s v="Plaquettes de finition carrées"/>
    <s v="070325"/>
    <s v="PEREIRA KEVIN"/>
    <n v="5"/>
    <x v="0"/>
    <x v="2"/>
    <s v="PLAQUETTES"/>
    <x v="0"/>
    <n v="47.8"/>
  </r>
  <r>
    <d v="2025-05-06T04:21:41"/>
    <x v="4"/>
    <s v="Plaquettes de gorges"/>
    <s v="U505000"/>
    <s v="RECEVEUR BENOIT"/>
    <n v="10"/>
    <x v="1"/>
    <x v="0"/>
    <s v="PLAQUETTES"/>
    <x v="2"/>
    <n v="188"/>
  </r>
  <r>
    <d v="2025-05-06T04:21:58"/>
    <x v="4"/>
    <s v="Plaquettes de gorges"/>
    <s v="U505000"/>
    <s v="RECEVEUR BENOIT"/>
    <n v="10"/>
    <x v="0"/>
    <x v="0"/>
    <s v="PLAQUETTES"/>
    <x v="0"/>
    <n v="188"/>
  </r>
  <r>
    <d v="2025-05-06T04:22:49"/>
    <x v="3"/>
    <s v="Plaquettes d'ébauches carrées"/>
    <s v="U505000"/>
    <s v="RECEVEUR BENOIT"/>
    <n v="5"/>
    <x v="1"/>
    <x v="0"/>
    <s v="PLAQUETTES"/>
    <x v="2"/>
    <n v="39.799999999999997"/>
  </r>
  <r>
    <d v="2025-05-06T05:50:52"/>
    <x v="2"/>
    <s v="Plaquettes de finition carrées"/>
    <s v="SD75051"/>
    <s v="COMBALUZIER LUCAS"/>
    <n v="5"/>
    <x v="0"/>
    <x v="2"/>
    <s v="PLAQUETTES"/>
    <x v="0"/>
    <n v="47.8"/>
  </r>
  <r>
    <d v="2025-05-06T05:56:23"/>
    <x v="2"/>
    <s v="Plaquettes de finition carrées"/>
    <s v="SC95213"/>
    <s v="RABET PAULINE"/>
    <n v="5"/>
    <x v="1"/>
    <x v="2"/>
    <s v="PLAQUETTES"/>
    <x v="2"/>
    <n v="47.8"/>
  </r>
  <r>
    <d v="2025-05-06T08:53:16"/>
    <x v="1"/>
    <s v="EMBOUT KENTIP D13.3"/>
    <s v="SF51433"/>
    <s v="BONTEMS COLINE"/>
    <n v="1"/>
    <x v="0"/>
    <x v="1"/>
    <s v="PLAQUETTES"/>
    <x v="1"/>
    <n v="46.95"/>
  </r>
  <r>
    <d v="2025-05-06T08:53:34"/>
    <x v="9"/>
    <s v="EMBOUT KENTIP D8.6"/>
    <s v="SF51433"/>
    <s v="BONTEMS COLINE"/>
    <n v="1"/>
    <x v="0"/>
    <x v="1"/>
    <s v="PLAQUETTES"/>
    <x v="1"/>
    <n v="50"/>
  </r>
  <r>
    <d v="2025-05-06T18:24:48"/>
    <x v="3"/>
    <s v="Plaquettes d'ébauches carrées"/>
    <s v="090225"/>
    <s v="MEYER THOMAS"/>
    <n v="5"/>
    <x v="1"/>
    <x v="3"/>
    <s v="PLAQUETTES"/>
    <x v="2"/>
    <n v="39.799999999999997"/>
  </r>
  <r>
    <d v="2025-05-06T18:25:17"/>
    <x v="0"/>
    <s v="Plaquettes d'ébauches rhombiques"/>
    <s v="090225"/>
    <s v="MEYER THOMAS"/>
    <n v="5"/>
    <x v="1"/>
    <x v="3"/>
    <s v="PLAQUETTES"/>
    <x v="2"/>
    <n v="39.799999999999997"/>
  </r>
  <r>
    <d v="2025-05-06T21:56:04"/>
    <x v="2"/>
    <s v="Plaquettes de finition carrées"/>
    <s v="070325"/>
    <s v="PEREIRA KEVIN"/>
    <n v="5"/>
    <x v="1"/>
    <x v="2"/>
    <s v="PLAQUETTES"/>
    <x v="2"/>
    <n v="47.8"/>
  </r>
  <r>
    <d v="2025-05-06T21:56:26"/>
    <x v="3"/>
    <s v="Plaquettes d'ébauches carrées"/>
    <s v="070325"/>
    <s v="PEREIRA KEVIN"/>
    <n v="5"/>
    <x v="1"/>
    <x v="0"/>
    <s v="PLAQUETTES"/>
    <x v="2"/>
    <n v="39.799999999999997"/>
  </r>
  <r>
    <d v="2025-05-07T03:57:34"/>
    <x v="2"/>
    <s v="Plaquettes de finition carrées"/>
    <s v="U505000"/>
    <s v="RECEVEUR BENOIT"/>
    <n v="5"/>
    <x v="0"/>
    <x v="2"/>
    <s v="PLAQUETTES"/>
    <x v="3"/>
    <n v="47.8"/>
  </r>
  <r>
    <d v="2025-05-07T03:58:01"/>
    <x v="2"/>
    <s v="Plaquettes de finition carrées"/>
    <s v="U505000"/>
    <s v="RECEVEUR BENOIT"/>
    <n v="5"/>
    <x v="0"/>
    <x v="2"/>
    <s v="PLAQUETTES"/>
    <x v="3"/>
    <n v="47.8"/>
  </r>
  <r>
    <d v="2025-05-07T06:05:25"/>
    <x v="3"/>
    <s v="Plaquettes d'ébauches carrées"/>
    <s v="SD75051"/>
    <s v="COMBALUZIER LUCAS"/>
    <n v="5"/>
    <x v="0"/>
    <x v="3"/>
    <s v="PLAQUETTES"/>
    <x v="3"/>
    <n v="39.799999999999997"/>
  </r>
  <r>
    <d v="2025-05-07T06:05:45"/>
    <x v="0"/>
    <s v="Plaquettes d'ébauches rhombiques"/>
    <s v="SD75051"/>
    <s v="COMBALUZIER LUCAS"/>
    <n v="5"/>
    <x v="0"/>
    <x v="3"/>
    <s v="PLAQUETTES"/>
    <x v="3"/>
    <n v="39.799999999999997"/>
  </r>
  <r>
    <d v="2025-05-07T08:15:14"/>
    <x v="3"/>
    <s v="Plaquettes d'ébauches carrées"/>
    <s v="SC95213"/>
    <s v="RABET PAULINE"/>
    <n v="5"/>
    <x v="1"/>
    <x v="3"/>
    <s v="PLAQUETTES"/>
    <x v="2"/>
    <n v="39.799999999999997"/>
  </r>
  <r>
    <d v="2025-05-07T08:15:36"/>
    <x v="3"/>
    <s v="Plaquettes d'ébauches carrées"/>
    <s v="SC95213"/>
    <s v="RABET PAULINE"/>
    <n v="5"/>
    <x v="1"/>
    <x v="0"/>
    <s v="PLAQUETTES"/>
    <x v="2"/>
    <n v="39.799999999999997"/>
  </r>
  <r>
    <d v="2025-05-07T09:43:48"/>
    <x v="1"/>
    <s v="EMBOUT KENTIP D13.3"/>
    <s v="SF51433"/>
    <s v="BONTEMS COLINE"/>
    <n v="3"/>
    <x v="0"/>
    <x v="1"/>
    <s v="PLAQUETTES"/>
    <x v="1"/>
    <n v="140.85"/>
  </r>
  <r>
    <d v="2025-05-07T09:44:05"/>
    <x v="9"/>
    <s v="EMBOUT KENTIP D8.6"/>
    <s v="SF51433"/>
    <s v="BONTEMS COLINE"/>
    <n v="2"/>
    <x v="0"/>
    <x v="1"/>
    <s v="PLAQUETTES"/>
    <x v="1"/>
    <n v="100"/>
  </r>
  <r>
    <d v="2025-05-07T10:11:39"/>
    <x v="9"/>
    <s v="EMBOUT KENTIP D8.6"/>
    <s v="18498233"/>
    <s v="ALVES ARTHUR"/>
    <n v="1"/>
    <x v="0"/>
    <x v="1"/>
    <s v="PLAQUETTES"/>
    <x v="1"/>
    <n v="50"/>
  </r>
  <r>
    <d v="2025-05-07T13:03:08"/>
    <x v="3"/>
    <s v="Plaquettes d'ébauches carrées"/>
    <s v="090225"/>
    <s v="MEYER THOMAS"/>
    <n v="5"/>
    <x v="1"/>
    <x v="3"/>
    <s v="PLAQUETTES"/>
    <x v="2"/>
    <n v="39.799999999999997"/>
  </r>
  <r>
    <d v="2025-05-07T13:03:31"/>
    <x v="0"/>
    <s v="Plaquettes d'ébauches rhombiques"/>
    <s v="090225"/>
    <s v="MEYER THOMAS"/>
    <n v="5"/>
    <x v="1"/>
    <x v="3"/>
    <s v="PLAQUETTES"/>
    <x v="2"/>
    <n v="39.799999999999997"/>
  </r>
  <r>
    <d v="2025-05-07T13:03:50"/>
    <x v="3"/>
    <s v="Plaquettes d'ébauches carrées"/>
    <s v="090225"/>
    <s v="MEYER THOMAS"/>
    <n v="5"/>
    <x v="0"/>
    <x v="3"/>
    <s v="PLAQUETTES"/>
    <x v="3"/>
    <n v="39.799999999999997"/>
  </r>
  <r>
    <d v="2025-05-07T13:04:09"/>
    <x v="0"/>
    <s v="Plaquettes d'ébauches rhombiques"/>
    <s v="090225"/>
    <s v="MEYER THOMAS"/>
    <n v="5"/>
    <x v="0"/>
    <x v="3"/>
    <s v="PLAQUETTES"/>
    <x v="3"/>
    <n v="39.799999999999997"/>
  </r>
  <r>
    <d v="2025-05-07T13:05:50"/>
    <x v="4"/>
    <s v="Plaquettes de gorges"/>
    <s v="090225"/>
    <s v="MEYER THOMAS"/>
    <n v="10"/>
    <x v="1"/>
    <x v="0"/>
    <s v="PLAQUETTES"/>
    <x v="2"/>
    <n v="188"/>
  </r>
  <r>
    <d v="2025-05-07T13:06:08"/>
    <x v="3"/>
    <s v="Plaquettes d'ébauches carrées"/>
    <s v="090225"/>
    <s v="MEYER THOMAS"/>
    <n v="5"/>
    <x v="1"/>
    <x v="0"/>
    <s v="PLAQUETTES"/>
    <x v="2"/>
    <n v="39.799999999999997"/>
  </r>
  <r>
    <d v="2025-05-07T13:06:28"/>
    <x v="0"/>
    <s v="Plaquettes d'ébauches rhombiques"/>
    <s v="090225"/>
    <s v="MEYER THOMAS"/>
    <n v="5"/>
    <x v="1"/>
    <x v="0"/>
    <s v="PLAQUETTES"/>
    <x v="2"/>
    <n v="39.799999999999997"/>
  </r>
  <r>
    <d v="2025-05-07T13:06:42"/>
    <x v="3"/>
    <s v="Plaquettes d'ébauches carrées"/>
    <s v="090225"/>
    <s v="MEYER THOMAS"/>
    <n v="5"/>
    <x v="0"/>
    <x v="0"/>
    <s v="PLAQUETTES"/>
    <x v="3"/>
    <n v="39.799999999999997"/>
  </r>
  <r>
    <d v="2025-05-07T13:07:10"/>
    <x v="0"/>
    <s v="Plaquettes d'ébauches rhombiques"/>
    <s v="090225"/>
    <s v="MEYER THOMAS"/>
    <n v="5"/>
    <x v="0"/>
    <x v="0"/>
    <s v="PLAQUETTES"/>
    <x v="3"/>
    <n v="39.799999999999997"/>
  </r>
  <r>
    <d v="2025-05-07T13:10:37"/>
    <x v="3"/>
    <s v="Plaquettes d'ébauches carrées"/>
    <s v="090225"/>
    <s v="MEYER THOMAS"/>
    <n v="5"/>
    <x v="0"/>
    <x v="0"/>
    <s v="PLAQUETTES"/>
    <x v="3"/>
    <n v="39.799999999999997"/>
  </r>
  <r>
    <d v="2025-05-07T21:33:52"/>
    <x v="6"/>
    <s v="Plaquettes de finition triangulaires"/>
    <s v="U505000"/>
    <s v="RECEVEUR BENOIT"/>
    <n v="5"/>
    <x v="0"/>
    <x v="2"/>
    <s v="PLAQUETTES"/>
    <x v="3"/>
    <n v="48.7"/>
  </r>
  <r>
    <d v="2025-05-07T21:34:08"/>
    <x v="2"/>
    <s v="Plaquettes de finition carrées"/>
    <s v="U505000"/>
    <s v="RECEVEUR BENOIT"/>
    <n v="5"/>
    <x v="0"/>
    <x v="2"/>
    <s v="PLAQUETTES"/>
    <x v="3"/>
    <n v="47.8"/>
  </r>
  <r>
    <d v="2025-05-07T21:34:31"/>
    <x v="2"/>
    <s v="Plaquettes de finition carrées"/>
    <s v="U505000"/>
    <s v="RECEVEUR BENOIT"/>
    <n v="5"/>
    <x v="1"/>
    <x v="2"/>
    <s v="PLAQUETTES"/>
    <x v="2"/>
    <n v="47.8"/>
  </r>
  <r>
    <d v="2025-05-08T04:07:12"/>
    <x v="2"/>
    <s v="Plaquettes de finition carrées"/>
    <s v="U505000"/>
    <s v="RECEVEUR BENOIT"/>
    <n v="5"/>
    <x v="0"/>
    <x v="2"/>
    <s v="PLAQUETTES"/>
    <x v="3"/>
    <n v="47.8"/>
  </r>
  <r>
    <d v="2025-05-08T08:57:52"/>
    <x v="3"/>
    <s v="Plaquettes d'ébauches carrées"/>
    <s v="SD75051"/>
    <s v="COMBALUZIER LUCAS"/>
    <n v="5"/>
    <x v="0"/>
    <x v="0"/>
    <s v="PLAQUETTES"/>
    <x v="3"/>
    <n v="39.799999999999997"/>
  </r>
  <r>
    <d v="2025-05-08T08:58:14"/>
    <x v="5"/>
    <s v="Plaquettes de finition"/>
    <s v="SD75051"/>
    <s v="COMBALUZIER LUCAS"/>
    <n v="5"/>
    <x v="0"/>
    <x v="2"/>
    <s v="PLAQUETTES"/>
    <x v="3"/>
    <n v="42.5"/>
  </r>
  <r>
    <d v="2025-05-08T08:58:38"/>
    <x v="2"/>
    <s v="Plaquettes de finition carrées"/>
    <s v="SD75051"/>
    <s v="COMBALUZIER LUCAS"/>
    <n v="5"/>
    <x v="0"/>
    <x v="2"/>
    <s v="PLAQUETTES"/>
    <x v="3"/>
    <n v="47.8"/>
  </r>
  <r>
    <d v="2025-05-08T11:01:35"/>
    <x v="9"/>
    <s v="EMBOUT KENTIP D8.6"/>
    <s v="SF51433"/>
    <s v="BONTEMS COLINE"/>
    <n v="2"/>
    <x v="0"/>
    <x v="1"/>
    <s v="PLAQUETTES"/>
    <x v="1"/>
    <n v="100"/>
  </r>
  <r>
    <d v="2025-05-08T11:02:01"/>
    <x v="1"/>
    <s v="EMBOUT KENTIP D13.3"/>
    <s v="SF51433"/>
    <s v="BONTEMS COLINE"/>
    <n v="2"/>
    <x v="0"/>
    <x v="1"/>
    <s v="PLAQUETTES"/>
    <x v="1"/>
    <n v="93.9"/>
  </r>
  <r>
    <d v="2025-05-08T11:47:33"/>
    <x v="4"/>
    <s v="Plaquettes de gorges"/>
    <s v="SC95213"/>
    <s v="RABET PAULINE"/>
    <n v="10"/>
    <x v="1"/>
    <x v="0"/>
    <s v="PLAQUETTES"/>
    <x v="2"/>
    <n v="188"/>
  </r>
  <r>
    <d v="2025-05-08T11:47:49"/>
    <x v="0"/>
    <s v="Plaquettes d'ébauches rhombiques"/>
    <s v="SC95213"/>
    <s v="RABET PAULINE"/>
    <n v="5"/>
    <x v="1"/>
    <x v="0"/>
    <s v="PLAQUETTES"/>
    <x v="2"/>
    <n v="39.799999999999997"/>
  </r>
  <r>
    <d v="2025-05-08T11:48:09"/>
    <x v="2"/>
    <s v="Plaquettes de finition carrées"/>
    <s v="SC95213"/>
    <s v="RABET PAULINE"/>
    <n v="5"/>
    <x v="1"/>
    <x v="2"/>
    <s v="PLAQUETTES"/>
    <x v="2"/>
    <n v="47.8"/>
  </r>
  <r>
    <d v="2025-05-08T19:03:14"/>
    <x v="3"/>
    <s v="Plaquettes d'ébauches carrées"/>
    <s v="090225"/>
    <s v="MEYER THOMAS"/>
    <n v="5"/>
    <x v="0"/>
    <x v="3"/>
    <s v="PLAQUETTES"/>
    <x v="3"/>
    <n v="39.799999999999997"/>
  </r>
  <r>
    <d v="2025-05-08T19:03:29"/>
    <x v="3"/>
    <s v="Plaquettes d'ébauches carrées"/>
    <s v="090225"/>
    <s v="MEYER THOMAS"/>
    <n v="5"/>
    <x v="0"/>
    <x v="0"/>
    <s v="PLAQUETTES"/>
    <x v="3"/>
    <n v="39.799999999999997"/>
  </r>
  <r>
    <d v="2025-05-08T19:03:44"/>
    <x v="3"/>
    <s v="Plaquettes d'ébauches carrées"/>
    <s v="090225"/>
    <s v="MEYER THOMAS"/>
    <n v="5"/>
    <x v="1"/>
    <x v="0"/>
    <s v="PLAQUETTES"/>
    <x v="2"/>
    <n v="39.799999999999997"/>
  </r>
  <r>
    <d v="2025-05-08T19:03:58"/>
    <x v="3"/>
    <s v="Plaquettes d'ébauches carrées"/>
    <s v="090225"/>
    <s v="MEYER THOMAS"/>
    <n v="5"/>
    <x v="1"/>
    <x v="3"/>
    <s v="PLAQUETTES"/>
    <x v="2"/>
    <n v="39.799999999999997"/>
  </r>
  <r>
    <d v="2025-05-08T21:54:59"/>
    <x v="0"/>
    <s v="Plaquettes d'ébauches rhombiques"/>
    <s v="31224"/>
    <s v="BIDOT MURIEL"/>
    <n v="5"/>
    <x v="0"/>
    <x v="3"/>
    <s v="PLAQUETTES"/>
    <x v="3"/>
    <n v="39.799999999999997"/>
  </r>
  <r>
    <d v="2025-05-08T21:55:17"/>
    <x v="2"/>
    <s v="Plaquettes de finition carrées"/>
    <s v="31224"/>
    <s v="BIDOT MURIEL"/>
    <n v="5"/>
    <x v="0"/>
    <x v="2"/>
    <s v="PLAQUETTES"/>
    <x v="3"/>
    <n v="47.8"/>
  </r>
  <r>
    <d v="2025-05-08T21:55:30"/>
    <x v="2"/>
    <s v="Plaquettes de finition carrées"/>
    <s v="31224"/>
    <s v="BIDOT MURIEL"/>
    <n v="5"/>
    <x v="0"/>
    <x v="2"/>
    <s v="PLAQUETTES"/>
    <x v="3"/>
    <n v="47.8"/>
  </r>
  <r>
    <d v="2025-05-09T05:39:54"/>
    <x v="3"/>
    <s v="Plaquettes d'ébauches carrées"/>
    <s v="U509351"/>
    <s v="DELIAT CHRISTOPHE"/>
    <n v="5"/>
    <x v="1"/>
    <x v="3"/>
    <s v="PLAQUETTES"/>
    <x v="2"/>
    <n v="39.799999999999997"/>
  </r>
  <r>
    <d v="2025-05-09T05:40:08"/>
    <x v="0"/>
    <s v="Plaquettes d'ébauches rhombiques"/>
    <s v="U509351"/>
    <s v="DELIAT CHRISTOPHE"/>
    <n v="5"/>
    <x v="1"/>
    <x v="3"/>
    <s v="PLAQUETTES"/>
    <x v="2"/>
    <n v="39.799999999999997"/>
  </r>
  <r>
    <d v="2025-05-09T05:40:34"/>
    <x v="0"/>
    <s v="Plaquettes d'ébauches rhombiques"/>
    <s v="U509351"/>
    <s v="DELIAT CHRISTOPHE"/>
    <n v="5"/>
    <x v="1"/>
    <x v="0"/>
    <s v="PLAQUETTES"/>
    <x v="2"/>
    <n v="39.799999999999997"/>
  </r>
  <r>
    <d v="2025-05-09T05:40:55"/>
    <x v="3"/>
    <s v="Plaquettes d'ébauches carrées"/>
    <s v="U509351"/>
    <s v="DELIAT CHRISTOPHE"/>
    <n v="5"/>
    <x v="1"/>
    <x v="0"/>
    <s v="PLAQUETTES"/>
    <x v="2"/>
    <n v="39.799999999999997"/>
  </r>
  <r>
    <d v="2025-05-09T05:41:16"/>
    <x v="4"/>
    <s v="Plaquettes de gorges"/>
    <s v="U509351"/>
    <s v="DELIAT CHRISTOPHE"/>
    <n v="10"/>
    <x v="1"/>
    <x v="0"/>
    <s v="PLAQUETTES"/>
    <x v="2"/>
    <n v="188"/>
  </r>
  <r>
    <d v="2025-05-09T05:41:39"/>
    <x v="3"/>
    <s v="Plaquettes d'ébauches carrées"/>
    <s v="U509351"/>
    <s v="DELIAT CHRISTOPHE"/>
    <n v="5"/>
    <x v="0"/>
    <x v="3"/>
    <s v="PLAQUETTES"/>
    <x v="3"/>
    <n v="39.799999999999997"/>
  </r>
  <r>
    <d v="2025-05-09T05:41:54"/>
    <x v="0"/>
    <s v="Plaquettes d'ébauches rhombiques"/>
    <s v="U509351"/>
    <s v="DELIAT CHRISTOPHE"/>
    <n v="5"/>
    <x v="0"/>
    <x v="3"/>
    <s v="PLAQUETTES"/>
    <x v="3"/>
    <n v="39.799999999999997"/>
  </r>
  <r>
    <d v="2025-05-09T05:42:24"/>
    <x v="3"/>
    <s v="Plaquettes d'ébauches carrées"/>
    <s v="U509351"/>
    <s v="DELIAT CHRISTOPHE"/>
    <n v="5"/>
    <x v="0"/>
    <x v="0"/>
    <s v="PLAQUETTES"/>
    <x v="3"/>
    <n v="39.799999999999997"/>
  </r>
  <r>
    <d v="2025-05-09T05:42:38"/>
    <x v="0"/>
    <s v="Plaquettes d'ébauches rhombiques"/>
    <s v="U509351"/>
    <s v="DELIAT CHRISTOPHE"/>
    <n v="5"/>
    <x v="0"/>
    <x v="0"/>
    <s v="PLAQUETTES"/>
    <x v="3"/>
    <n v="39.799999999999997"/>
  </r>
  <r>
    <d v="2025-05-09T07:04:29"/>
    <x v="5"/>
    <s v="Plaquettes de finition"/>
    <s v="10301115"/>
    <s v="BOUCHART LUDOVIC"/>
    <n v="5"/>
    <x v="0"/>
    <x v="2"/>
    <s v="PLAQUETTES"/>
    <x v="3"/>
    <n v="42.5"/>
  </r>
  <r>
    <d v="2025-05-09T07:04:44"/>
    <x v="6"/>
    <s v="Plaquettes de finition triangulaires"/>
    <s v="10301115"/>
    <s v="BOUCHART LUDOVIC"/>
    <n v="5"/>
    <x v="0"/>
    <x v="2"/>
    <s v="PLAQUETTES"/>
    <x v="3"/>
    <n v="48.7"/>
  </r>
  <r>
    <d v="2025-05-09T07:05:04"/>
    <x v="2"/>
    <s v="Plaquettes de finition carrées"/>
    <s v="10301115"/>
    <s v="BOUCHART LUDOVIC"/>
    <n v="5"/>
    <x v="0"/>
    <x v="2"/>
    <s v="PLAQUETTES"/>
    <x v="3"/>
    <n v="47.8"/>
  </r>
  <r>
    <d v="2025-05-09T07:05:23"/>
    <x v="2"/>
    <s v="Plaquettes de finition carrées"/>
    <s v="10301115"/>
    <s v="BOUCHART LUDOVIC"/>
    <n v="5"/>
    <x v="1"/>
    <x v="2"/>
    <s v="PLAQUETTES"/>
    <x v="2"/>
    <n v="47.8"/>
  </r>
  <r>
    <d v="2025-05-09T07:06:49"/>
    <x v="2"/>
    <s v="Plaquettes de finition carrées"/>
    <s v="10301115"/>
    <s v="BOUCHART LUDOVIC"/>
    <n v="5"/>
    <x v="1"/>
    <x v="2"/>
    <s v="PLAQUETTES"/>
    <x v="2"/>
    <n v="47.8"/>
  </r>
  <r>
    <d v="2025-05-09T09:56:27"/>
    <x v="3"/>
    <s v="Plaquettes d'ébauches carrées"/>
    <s v="SF51433"/>
    <s v="BONTEMS COLINE"/>
    <n v="5"/>
    <x v="0"/>
    <x v="3"/>
    <s v="PLAQUETTES"/>
    <x v="3"/>
    <n v="39.799999999999997"/>
  </r>
  <r>
    <d v="2025-05-09T11:38:57"/>
    <x v="1"/>
    <s v="EMBOUT KENTIP D13.3"/>
    <s v="SF51433"/>
    <s v="BONTEMS COLINE"/>
    <n v="1"/>
    <x v="0"/>
    <x v="1"/>
    <s v="PLAQUETTES"/>
    <x v="1"/>
    <n v="46.95"/>
  </r>
  <r>
    <d v="2025-05-09T11:39:57"/>
    <x v="9"/>
    <s v="EMBOUT KENTIP D8.6"/>
    <s v="SF51433"/>
    <s v="BONTEMS COLINE"/>
    <n v="1"/>
    <x v="1"/>
    <x v="1"/>
    <s v="PLAQUETTES"/>
    <x v="1"/>
    <n v="50"/>
  </r>
  <r>
    <d v="2025-05-09T21:42:47"/>
    <x v="3"/>
    <s v="Plaquettes d'ébauches carrées"/>
    <s v="31224"/>
    <s v="BIDOT MURIEL"/>
    <n v="5"/>
    <x v="0"/>
    <x v="3"/>
    <s v="PLAQUETTES"/>
    <x v="3"/>
    <n v="39.799999999999997"/>
  </r>
  <r>
    <d v="2025-05-09T21:43:05"/>
    <x v="0"/>
    <s v="Plaquettes d'ébauches rhombiques"/>
    <s v="31224"/>
    <s v="BIDOT MURIEL"/>
    <n v="5"/>
    <x v="0"/>
    <x v="3"/>
    <s v="PLAQUETTES"/>
    <x v="3"/>
    <n v="39.799999999999997"/>
  </r>
  <r>
    <d v="2025-05-09T21:43:20"/>
    <x v="2"/>
    <s v="Plaquettes de finition carrées"/>
    <s v="31224"/>
    <s v="BIDOT MURIEL"/>
    <n v="5"/>
    <x v="0"/>
    <x v="2"/>
    <s v="PLAQUETTES"/>
    <x v="3"/>
    <n v="47.8"/>
  </r>
  <r>
    <d v="2025-05-09T21:43:44"/>
    <x v="4"/>
    <s v="Plaquettes de gorges"/>
    <s v="31224"/>
    <s v="BIDOT MURIEL"/>
    <n v="10"/>
    <x v="1"/>
    <x v="0"/>
    <s v="PLAQUETTES"/>
    <x v="2"/>
    <n v="188"/>
  </r>
  <r>
    <d v="2025-05-09T21:45:10"/>
    <x v="4"/>
    <s v="Plaquettes de gorges"/>
    <s v="070325"/>
    <s v="PEREIRA KEVIN"/>
    <n v="10"/>
    <x v="1"/>
    <x v="0"/>
    <s v="PLAQUETTES"/>
    <x v="2"/>
    <n v="188"/>
  </r>
  <r>
    <d v="2025-05-09T21:45:29"/>
    <x v="0"/>
    <s v="Plaquettes d'ébauches rhombiques"/>
    <s v="070325"/>
    <s v="PEREIRA KEVIN"/>
    <n v="5"/>
    <x v="1"/>
    <x v="2"/>
    <s v="PLAQUETTES"/>
    <x v="2"/>
    <n v="39.799999999999997"/>
  </r>
  <r>
    <d v="2025-05-10T06:01:30"/>
    <x v="2"/>
    <s v="Plaquettes de finition carrées"/>
    <s v="10301115"/>
    <s v="BOUCHART LUDOVIC"/>
    <n v="5"/>
    <x v="0"/>
    <x v="2"/>
    <s v="PLAQUETTES"/>
    <x v="3"/>
    <n v="47.8"/>
  </r>
  <r>
    <d v="2025-05-10T06:01:48"/>
    <x v="2"/>
    <s v="Plaquettes de finition carrées"/>
    <s v="10301115"/>
    <s v="BOUCHART LUDOVIC"/>
    <n v="5"/>
    <x v="1"/>
    <x v="2"/>
    <s v="PLAQUETTES"/>
    <x v="2"/>
    <n v="47.8"/>
  </r>
  <r>
    <d v="2025-05-10T06:02:42"/>
    <x v="3"/>
    <s v="Plaquettes d'ébauches carrées"/>
    <s v="U509351"/>
    <s v="DELIAT CHRISTOPHE"/>
    <n v="5"/>
    <x v="0"/>
    <x v="3"/>
    <s v="PLAQUETTES"/>
    <x v="3"/>
    <n v="39.799999999999997"/>
  </r>
  <r>
    <d v="2025-05-10T06:02:58"/>
    <x v="0"/>
    <s v="Plaquettes d'ébauches rhombiques"/>
    <s v="U509351"/>
    <s v="DELIAT CHRISTOPHE"/>
    <n v="5"/>
    <x v="0"/>
    <x v="3"/>
    <s v="PLAQUETTES"/>
    <x v="3"/>
    <n v="39.799999999999997"/>
  </r>
  <r>
    <d v="2025-05-10T06:03:11"/>
    <x v="3"/>
    <s v="Plaquettes d'ébauches carrées"/>
    <s v="U509351"/>
    <s v="DELIAT CHRISTOPHE"/>
    <n v="5"/>
    <x v="0"/>
    <x v="0"/>
    <s v="PLAQUETTES"/>
    <x v="3"/>
    <n v="39.799999999999997"/>
  </r>
  <r>
    <d v="2025-05-10T06:03:32"/>
    <x v="0"/>
    <s v="Plaquettes d'ébauches rhombiques"/>
    <s v="U509351"/>
    <s v="DELIAT CHRISTOPHE"/>
    <n v="5"/>
    <x v="0"/>
    <x v="0"/>
    <s v="PLAQUETTES"/>
    <x v="3"/>
    <n v="39.799999999999997"/>
  </r>
  <r>
    <d v="2025-05-10T06:03:46"/>
    <x v="3"/>
    <s v="Plaquettes d'ébauches carrées"/>
    <s v="U509351"/>
    <s v="DELIAT CHRISTOPHE"/>
    <n v="5"/>
    <x v="1"/>
    <x v="3"/>
    <s v="PLAQUETTES"/>
    <x v="2"/>
    <n v="39.799999999999997"/>
  </r>
  <r>
    <d v="2025-05-10T06:04:01"/>
    <x v="0"/>
    <s v="Plaquettes d'ébauches rhombiques"/>
    <s v="U509351"/>
    <s v="DELIAT CHRISTOPHE"/>
    <n v="5"/>
    <x v="1"/>
    <x v="3"/>
    <s v="PLAQUETTES"/>
    <x v="2"/>
    <n v="39.799999999999997"/>
  </r>
  <r>
    <d v="2025-05-10T06:04:16"/>
    <x v="3"/>
    <s v="Plaquettes d'ébauches carrées"/>
    <s v="U509351"/>
    <s v="DELIAT CHRISTOPHE"/>
    <n v="5"/>
    <x v="1"/>
    <x v="0"/>
    <s v="PLAQUETTES"/>
    <x v="2"/>
    <n v="39.799999999999997"/>
  </r>
  <r>
    <d v="2025-05-10T06:09:29"/>
    <x v="0"/>
    <s v="Plaquettes d'ébauches rhombiques"/>
    <s v="U509351"/>
    <s v="DELIAT CHRISTOPHE"/>
    <n v="5"/>
    <x v="1"/>
    <x v="0"/>
    <s v="PLAQUETTES"/>
    <x v="2"/>
    <n v="39.799999999999997"/>
  </r>
  <r>
    <d v="2025-05-10T10:43:05"/>
    <x v="4"/>
    <s v="Plaquettes de gorges"/>
    <s v="U509351"/>
    <s v="DELIAT CHRISTOPHE"/>
    <n v="10"/>
    <x v="0"/>
    <x v="0"/>
    <s v="PLAQUETTES"/>
    <x v="4"/>
    <n v="188"/>
  </r>
  <r>
    <d v="2025-05-11T20:29:56"/>
    <x v="3"/>
    <s v="Plaquettes d'ébauches carrées"/>
    <s v="U509351"/>
    <s v="DELIAT CHRISTOPHE"/>
    <n v="5"/>
    <x v="0"/>
    <x v="3"/>
    <s v="PLAQUETTES"/>
    <x v="4"/>
    <n v="39.799999999999997"/>
  </r>
  <r>
    <d v="2025-05-11T20:30:16"/>
    <x v="0"/>
    <s v="Plaquettes d'ébauches rhombiques"/>
    <s v="U509351"/>
    <s v="DELIAT CHRISTOPHE"/>
    <n v="5"/>
    <x v="0"/>
    <x v="3"/>
    <s v="PLAQUETTES"/>
    <x v="4"/>
    <n v="39.799999999999997"/>
  </r>
  <r>
    <d v="2025-05-11T20:30:30"/>
    <x v="4"/>
    <s v="Plaquettes de gorges"/>
    <s v="U509351"/>
    <s v="DELIAT CHRISTOPHE"/>
    <n v="10"/>
    <x v="0"/>
    <x v="0"/>
    <s v="PLAQUETTES"/>
    <x v="4"/>
    <n v="188"/>
  </r>
  <r>
    <d v="2025-05-11T20:30:44"/>
    <x v="3"/>
    <s v="Plaquettes d'ébauches carrées"/>
    <s v="U509351"/>
    <s v="DELIAT CHRISTOPHE"/>
    <n v="5"/>
    <x v="0"/>
    <x v="0"/>
    <s v="PLAQUETTES"/>
    <x v="4"/>
    <n v="39.799999999999997"/>
  </r>
  <r>
    <d v="2025-05-11T20:31:05"/>
    <x v="0"/>
    <s v="Plaquettes d'ébauches rhombiques"/>
    <s v="U509351"/>
    <s v="DELIAT CHRISTOPHE"/>
    <n v="5"/>
    <x v="0"/>
    <x v="0"/>
    <s v="PLAQUETTES"/>
    <x v="4"/>
    <n v="39.799999999999997"/>
  </r>
  <r>
    <d v="2025-05-11T20:33:24"/>
    <x v="2"/>
    <s v="Plaquettes de finition carrées"/>
    <s v="10301115"/>
    <s v="BOUCHART LUDOVIC"/>
    <n v="5"/>
    <x v="0"/>
    <x v="2"/>
    <s v="PLAQUETTES"/>
    <x v="4"/>
    <n v="47.8"/>
  </r>
  <r>
    <d v="2025-05-11T20:33:44"/>
    <x v="0"/>
    <s v="Plaquettes d'ébauches rhombiques"/>
    <s v="10301115"/>
    <s v="BOUCHART LUDOVIC"/>
    <n v="5"/>
    <x v="1"/>
    <x v="3"/>
    <s v="PLAQUETTES"/>
    <x v="2"/>
    <n v="39.799999999999997"/>
  </r>
  <r>
    <d v="2025-05-11T20:34:02"/>
    <x v="3"/>
    <s v="Plaquettes d'ébauches carrées"/>
    <s v="10301115"/>
    <s v="BOUCHART LUDOVIC"/>
    <n v="5"/>
    <x v="1"/>
    <x v="3"/>
    <s v="PLAQUETTES"/>
    <x v="2"/>
    <n v="39.799999999999997"/>
  </r>
  <r>
    <d v="2025-05-11T20:34:22"/>
    <x v="0"/>
    <s v="Plaquettes d'ébauches rhombiques"/>
    <s v="10301115"/>
    <s v="BOUCHART LUDOVIC"/>
    <n v="5"/>
    <x v="1"/>
    <x v="0"/>
    <s v="PLAQUETTES"/>
    <x v="2"/>
    <n v="39.799999999999997"/>
  </r>
  <r>
    <d v="2025-05-11T20:34:37"/>
    <x v="4"/>
    <s v="Plaquettes de gorges"/>
    <s v="10301115"/>
    <s v="BOUCHART LUDOVIC"/>
    <n v="10"/>
    <x v="1"/>
    <x v="0"/>
    <s v="PLAQUETTES"/>
    <x v="2"/>
    <n v="188"/>
  </r>
  <r>
    <d v="2025-05-11T20:36:00"/>
    <x v="2"/>
    <s v="Plaquettes de finition carrées"/>
    <s v="10301115"/>
    <s v="BOUCHART LUDOVIC"/>
    <n v="5"/>
    <x v="1"/>
    <x v="2"/>
    <s v="PLAQUETTES"/>
    <x v="2"/>
    <n v="47.8"/>
  </r>
  <r>
    <d v="2025-05-12T02:44:52"/>
    <x v="3"/>
    <s v="Plaquettes d'ébauches carrées"/>
    <s v="U509351"/>
    <s v="DELIAT CHRISTOPHE"/>
    <n v="5"/>
    <x v="0"/>
    <x v="3"/>
    <s v="PLAQUETTES"/>
    <x v="4"/>
    <n v="39.799999999999997"/>
  </r>
  <r>
    <d v="2025-05-12T02:45:08"/>
    <x v="3"/>
    <s v="Plaquettes d'ébauches carrées"/>
    <s v="U509351"/>
    <s v="DELIAT CHRISTOPHE"/>
    <n v="5"/>
    <x v="1"/>
    <x v="3"/>
    <s v="PLAQUETTES"/>
    <x v="2"/>
    <n v="39.799999999999997"/>
  </r>
  <r>
    <d v="2025-05-12T08:36:28"/>
    <x v="10"/>
    <s v="Plaquettes TPGX0902ZPRGD KC7315"/>
    <s v="12824586"/>
    <s v="DASILVA FERNANDO"/>
    <n v="10"/>
    <x v="1"/>
    <x v="1"/>
    <s v="PLAQUETTES"/>
    <x v="1"/>
    <n v="81.5"/>
  </r>
  <r>
    <d v="2025-05-12T08:37:03"/>
    <x v="10"/>
    <s v="Plaquettes TPGX0902ZPRGD KC7315"/>
    <s v="12824586"/>
    <s v="DASILVA FERNANDO"/>
    <n v="10"/>
    <x v="1"/>
    <x v="1"/>
    <s v="PLAQUETTES"/>
    <x v="1"/>
    <n v="81.5"/>
  </r>
  <r>
    <d v="2025-05-12T08:37:43"/>
    <x v="7"/>
    <s v="Plaquettes VCGT21A52 SP4019"/>
    <s v="12824586"/>
    <s v="DASILVA FERNANDO"/>
    <n v="10"/>
    <x v="1"/>
    <x v="1"/>
    <s v="PLAQUETTES"/>
    <x v="1"/>
    <n v="121.8"/>
  </r>
  <r>
    <d v="2025-05-13T04:20:22"/>
    <x v="2"/>
    <s v="Plaquettes de finition carrées"/>
    <s v="16340494"/>
    <s v="BRIMUSSE AURELIE"/>
    <n v="5"/>
    <x v="1"/>
    <x v="2"/>
    <s v="PLAQUETTES"/>
    <x v="3"/>
    <n v="47.8"/>
  </r>
  <r>
    <d v="2025-05-13T13:40:26"/>
    <x v="6"/>
    <s v="Plaquettes de finition triangulaires"/>
    <s v="31224"/>
    <s v="BIDOT MURIEL"/>
    <n v="5"/>
    <x v="1"/>
    <x v="2"/>
    <s v="PLAQUETTES"/>
    <x v="3"/>
    <n v="48.7"/>
  </r>
  <r>
    <d v="2025-05-13T13:41:05"/>
    <x v="2"/>
    <s v="Plaquettes de finition carrées"/>
    <s v="31224"/>
    <s v="BIDOT MURIEL"/>
    <n v="5"/>
    <x v="1"/>
    <x v="2"/>
    <s v="PLAQUETTES"/>
    <x v="3"/>
    <n v="47.8"/>
  </r>
  <r>
    <d v="2025-05-13T13:41:42"/>
    <x v="2"/>
    <s v="Plaquettes de finition carrées"/>
    <s v="31224"/>
    <s v="BIDOT MURIEL"/>
    <n v="5"/>
    <x v="0"/>
    <x v="2"/>
    <s v="PLAQUETTES"/>
    <x v="4"/>
    <n v="47.8"/>
  </r>
  <r>
    <d v="2025-05-14T00:54:38"/>
    <x v="3"/>
    <s v="Plaquettes d'ébauches carrées"/>
    <s v="SD75051"/>
    <s v="COMBALUZIER LUCAS"/>
    <n v="5"/>
    <x v="0"/>
    <x v="0"/>
    <s v="PLAQUETTES"/>
    <x v="4"/>
    <n v="39.799999999999997"/>
  </r>
  <r>
    <d v="2025-05-14T01:46:38"/>
    <x v="3"/>
    <s v="Plaquettes d'ébauches carrées"/>
    <s v="16340494"/>
    <s v="BRIMUSSE AURELIE"/>
    <n v="5"/>
    <x v="1"/>
    <x v="3"/>
    <s v="PLAQUETTES"/>
    <x v="3"/>
    <n v="39.799999999999997"/>
  </r>
  <r>
    <d v="2025-05-14T01:46:59"/>
    <x v="0"/>
    <s v="Plaquettes d'ébauches rhombiques"/>
    <s v="16340494"/>
    <s v="BRIMUSSE AURELIE"/>
    <n v="5"/>
    <x v="1"/>
    <x v="3"/>
    <s v="PLAQUETTES"/>
    <x v="3"/>
    <n v="39.799999999999997"/>
  </r>
  <r>
    <d v="2025-05-14T01:47:13"/>
    <x v="3"/>
    <s v="Plaquettes d'ébauches carrées"/>
    <s v="16340494"/>
    <s v="BRIMUSSE AURELIE"/>
    <n v="5"/>
    <x v="1"/>
    <x v="0"/>
    <s v="PLAQUETTES"/>
    <x v="3"/>
    <n v="39.799999999999997"/>
  </r>
  <r>
    <d v="2025-05-14T01:47:27"/>
    <x v="0"/>
    <s v="Plaquettes d'ébauches rhombiques"/>
    <s v="16340494"/>
    <s v="BRIMUSSE AURELIE"/>
    <n v="5"/>
    <x v="1"/>
    <x v="0"/>
    <s v="PLAQUETTES"/>
    <x v="3"/>
    <n v="39.799999999999997"/>
  </r>
  <r>
    <d v="2025-05-14T01:47:42"/>
    <x v="2"/>
    <s v="Plaquettes de finition carrées"/>
    <s v="16340494"/>
    <s v="BRIMUSSE AURELIE"/>
    <n v="5"/>
    <x v="1"/>
    <x v="2"/>
    <s v="PLAQUETTES"/>
    <x v="3"/>
    <n v="47.8"/>
  </r>
  <r>
    <d v="2025-05-14T06:01:30"/>
    <x v="2"/>
    <s v="Plaquettes de finition carrées"/>
    <s v="7236310"/>
    <s v="OZYURT IREM"/>
    <n v="5"/>
    <x v="0"/>
    <x v="2"/>
    <s v="PLAQUETTES"/>
    <x v="4"/>
    <n v="47.8"/>
  </r>
  <r>
    <d v="2025-05-14T07:59:12"/>
    <x v="3"/>
    <s v="Plaquettes d'ébauches carrées"/>
    <s v="090225"/>
    <s v="MEYER THOMAS"/>
    <n v="5"/>
    <x v="1"/>
    <x v="3"/>
    <s v="PLAQUETTES"/>
    <x v="3"/>
    <n v="39.799999999999997"/>
  </r>
  <r>
    <d v="2025-05-14T11:07:05"/>
    <x v="9"/>
    <s v="EMBOUT KENTIP D8.6"/>
    <s v="12824586"/>
    <s v="DASILVA FERNANDO"/>
    <n v="1"/>
    <x v="1"/>
    <x v="1"/>
    <s v="PLAQUETTES"/>
    <x v="1"/>
    <n v="50"/>
  </r>
  <r>
    <d v="2025-05-14T13:36:40"/>
    <x v="2"/>
    <s v="Plaquettes de finition carrées"/>
    <s v="31224"/>
    <s v="BIDOT MURIEL"/>
    <n v="5"/>
    <x v="0"/>
    <x v="2"/>
    <s v="PLAQUETTES"/>
    <x v="4"/>
    <n v="47.8"/>
  </r>
  <r>
    <d v="2025-05-14T13:36:54"/>
    <x v="2"/>
    <s v="Plaquettes de finition carrées"/>
    <s v="31224"/>
    <s v="BIDOT MURIEL"/>
    <n v="5"/>
    <x v="0"/>
    <x v="2"/>
    <s v="PLAQUETTES"/>
    <x v="4"/>
    <n v="47.8"/>
  </r>
  <r>
    <d v="2025-05-14T13:37:06"/>
    <x v="2"/>
    <s v="Plaquettes de finition carrées"/>
    <s v="31224"/>
    <s v="BIDOT MURIEL"/>
    <n v="5"/>
    <x v="0"/>
    <x v="2"/>
    <s v="PLAQUETTES"/>
    <x v="4"/>
    <n v="47.8"/>
  </r>
  <r>
    <d v="2025-05-14T13:37:22"/>
    <x v="6"/>
    <s v="Plaquettes de finition triangulaires"/>
    <s v="31224"/>
    <s v="BIDOT MURIEL"/>
    <n v="5"/>
    <x v="1"/>
    <x v="2"/>
    <s v="PLAQUETTES"/>
    <x v="3"/>
    <n v="48.7"/>
  </r>
  <r>
    <d v="2025-05-14T20:41:35"/>
    <x v="3"/>
    <s v="Plaquettes d'ébauches carrées"/>
    <s v="SD75051"/>
    <s v="COMBALUZIER LUCAS"/>
    <n v="5"/>
    <x v="0"/>
    <x v="3"/>
    <s v="PLAQUETTES"/>
    <x v="4"/>
    <n v="39.799999999999997"/>
  </r>
  <r>
    <d v="2025-05-14T20:41:57"/>
    <x v="0"/>
    <s v="Plaquettes d'ébauches rhombiques"/>
    <s v="SD75051"/>
    <s v="COMBALUZIER LUCAS"/>
    <n v="5"/>
    <x v="0"/>
    <x v="3"/>
    <s v="PLAQUETTES"/>
    <x v="4"/>
    <n v="39.799999999999997"/>
  </r>
  <r>
    <d v="2025-05-14T20:42:15"/>
    <x v="4"/>
    <s v="Plaquettes de gorges"/>
    <s v="SD75051"/>
    <s v="COMBALUZIER LUCAS"/>
    <n v="10"/>
    <x v="0"/>
    <x v="0"/>
    <s v="PLAQUETTES"/>
    <x v="4"/>
    <n v="188"/>
  </r>
  <r>
    <d v="2025-05-14T20:42:52"/>
    <x v="0"/>
    <s v="Plaquettes d'ébauches rhombiques"/>
    <s v="SD75051"/>
    <s v="COMBALUZIER LUCAS"/>
    <n v="5"/>
    <x v="0"/>
    <x v="0"/>
    <s v="PLAQUETTES"/>
    <x v="4"/>
    <n v="39.799999999999997"/>
  </r>
  <r>
    <d v="2025-05-15T00:51:18"/>
    <x v="3"/>
    <s v="Plaquettes d'ébauches carrées"/>
    <s v="16340494"/>
    <s v="BRIMUSSE AURELIE"/>
    <n v="5"/>
    <x v="1"/>
    <x v="3"/>
    <s v="PLAQUETTES"/>
    <x v="3"/>
    <n v="39.799999999999997"/>
  </r>
  <r>
    <d v="2025-05-15T00:51:34"/>
    <x v="0"/>
    <s v="Plaquettes d'ébauches rhombiques"/>
    <s v="16340494"/>
    <s v="BRIMUSSE AURELIE"/>
    <n v="5"/>
    <x v="1"/>
    <x v="3"/>
    <s v="PLAQUETTES"/>
    <x v="3"/>
    <n v="39.799999999999997"/>
  </r>
  <r>
    <d v="2025-05-15T00:51:47"/>
    <x v="2"/>
    <s v="Plaquettes de finition carrées"/>
    <s v="16340494"/>
    <s v="BRIMUSSE AURELIE"/>
    <n v="5"/>
    <x v="1"/>
    <x v="2"/>
    <s v="PLAQUETTES"/>
    <x v="3"/>
    <n v="47.8"/>
  </r>
  <r>
    <d v="2025-05-15T05:26:07"/>
    <x v="3"/>
    <s v="Plaquettes d'ébauches carrées"/>
    <s v="090225"/>
    <s v="MEYER THOMAS"/>
    <n v="5"/>
    <x v="1"/>
    <x v="3"/>
    <s v="PLAQUETTES"/>
    <x v="3"/>
    <n v="39.799999999999997"/>
  </r>
  <r>
    <d v="2025-05-15T05:26:26"/>
    <x v="0"/>
    <s v="Plaquettes d'ébauches rhombiques"/>
    <s v="090225"/>
    <s v="MEYER THOMAS"/>
    <n v="5"/>
    <x v="1"/>
    <x v="3"/>
    <s v="PLAQUETTES"/>
    <x v="3"/>
    <n v="39.799999999999997"/>
  </r>
  <r>
    <d v="2025-05-15T05:26:49"/>
    <x v="3"/>
    <s v="Plaquettes d'ébauches carrées"/>
    <s v="090225"/>
    <s v="MEYER THOMAS"/>
    <n v="5"/>
    <x v="1"/>
    <x v="0"/>
    <s v="PLAQUETTES"/>
    <x v="3"/>
    <n v="39.799999999999997"/>
  </r>
  <r>
    <d v="2025-05-15T05:27:11"/>
    <x v="0"/>
    <s v="Plaquettes d'ébauches rhombiques"/>
    <s v="090225"/>
    <s v="MEYER THOMAS"/>
    <n v="5"/>
    <x v="1"/>
    <x v="0"/>
    <s v="PLAQUETTES"/>
    <x v="3"/>
    <n v="39.799999999999997"/>
  </r>
  <r>
    <d v="2025-05-15T10:57:02"/>
    <x v="9"/>
    <s v="EMBOUT KENTIP D8.6"/>
    <s v="12824586"/>
    <s v="DASILVA FERNANDO"/>
    <n v="1"/>
    <x v="0"/>
    <x v="1"/>
    <s v="PLAQUETTES"/>
    <x v="1"/>
    <n v="50"/>
  </r>
  <r>
    <d v="2025-05-15T20:01:03"/>
    <x v="2"/>
    <s v="Plaquettes de finition carrées"/>
    <s v="31224"/>
    <s v="BIDOT MURIEL"/>
    <n v="5"/>
    <x v="0"/>
    <x v="2"/>
    <s v="PLAQUETTES"/>
    <x v="4"/>
    <n v="47.8"/>
  </r>
  <r>
    <d v="2025-05-15T20:01:15"/>
    <x v="2"/>
    <s v="Plaquettes de finition carrées"/>
    <s v="31224"/>
    <s v="BIDOT MURIEL"/>
    <n v="5"/>
    <x v="0"/>
    <x v="2"/>
    <s v="PLAQUETTES"/>
    <x v="4"/>
    <n v="47.8"/>
  </r>
  <r>
    <d v="2025-05-15T23:02:56"/>
    <x v="3"/>
    <s v="Plaquettes d'ébauches carrées"/>
    <s v="SD75051"/>
    <s v="COMBALUZIER LUCAS"/>
    <n v="5"/>
    <x v="0"/>
    <x v="3"/>
    <s v="PLAQUETTES"/>
    <x v="4"/>
    <n v="39.799999999999997"/>
  </r>
  <r>
    <d v="2025-05-15T23:03:15"/>
    <x v="0"/>
    <s v="Plaquettes d'ébauches rhombiques"/>
    <s v="SD75051"/>
    <s v="COMBALUZIER LUCAS"/>
    <n v="5"/>
    <x v="0"/>
    <x v="0"/>
    <s v="PLAQUETTES"/>
    <x v="4"/>
    <n v="39.799999999999997"/>
  </r>
  <r>
    <d v="2025-05-15T23:17:04"/>
    <x v="4"/>
    <s v="Plaquettes de gorges"/>
    <s v="SD75051"/>
    <s v="COMBALUZIER LUCAS"/>
    <n v="10"/>
    <x v="0"/>
    <x v="0"/>
    <s v="PLAQUETTES"/>
    <x v="4"/>
    <n v="188"/>
  </r>
  <r>
    <d v="2025-05-16T03:35:49"/>
    <x v="2"/>
    <s v="Plaquettes de finition carrées"/>
    <s v="SE38185"/>
    <s v="PIERRE NICOLAS VENIAT"/>
    <n v="5"/>
    <x v="1"/>
    <x v="2"/>
    <s v="PLAQUETTES"/>
    <x v="3"/>
    <n v="47.8"/>
  </r>
  <r>
    <d v="2025-05-16T05:17:00"/>
    <x v="3"/>
    <s v="Plaquettes d'ébauches carrées"/>
    <s v="U509351"/>
    <s v="DELIAT CHRISTOPHE"/>
    <n v="5"/>
    <x v="0"/>
    <x v="3"/>
    <s v="PLAQUETTES"/>
    <x v="4"/>
    <n v="39.799999999999997"/>
  </r>
  <r>
    <d v="2025-05-16T05:17:21"/>
    <x v="0"/>
    <s v="Plaquettes d'ébauches rhombiques"/>
    <s v="U509351"/>
    <s v="DELIAT CHRISTOPHE"/>
    <n v="5"/>
    <x v="0"/>
    <x v="3"/>
    <s v="PLAQUETTES"/>
    <x v="4"/>
    <n v="39.799999999999997"/>
  </r>
  <r>
    <d v="2025-05-16T05:17:41"/>
    <x v="3"/>
    <s v="Plaquettes d'ébauches carrées"/>
    <s v="U509351"/>
    <s v="DELIAT CHRISTOPHE"/>
    <n v="5"/>
    <x v="0"/>
    <x v="0"/>
    <s v="PLAQUETTES"/>
    <x v="4"/>
    <n v="39.799999999999997"/>
  </r>
  <r>
    <d v="2025-05-16T05:18:00"/>
    <x v="0"/>
    <s v="Plaquettes d'ébauches rhombiques"/>
    <s v="U509351"/>
    <s v="DELIAT CHRISTOPHE"/>
    <n v="5"/>
    <x v="0"/>
    <x v="0"/>
    <s v="PLAQUETTES"/>
    <x v="4"/>
    <n v="39.799999999999997"/>
  </r>
  <r>
    <d v="2025-05-16T05:18:29"/>
    <x v="3"/>
    <s v="Plaquettes d'ébauches carrées"/>
    <s v="U509351"/>
    <s v="DELIAT CHRISTOPHE"/>
    <n v="5"/>
    <x v="1"/>
    <x v="3"/>
    <s v="PLAQUETTES"/>
    <x v="3"/>
    <n v="39.799999999999997"/>
  </r>
  <r>
    <d v="2025-05-16T05:18:44"/>
    <x v="0"/>
    <s v="Plaquettes d'ébauches rhombiques"/>
    <s v="U509351"/>
    <s v="DELIAT CHRISTOPHE"/>
    <n v="5"/>
    <x v="1"/>
    <x v="3"/>
    <s v="PLAQUETTES"/>
    <x v="3"/>
    <n v="39.799999999999997"/>
  </r>
  <r>
    <d v="2025-05-16T05:19:16"/>
    <x v="3"/>
    <s v="Plaquettes d'ébauches carrées"/>
    <s v="U509351"/>
    <s v="DELIAT CHRISTOPHE"/>
    <n v="5"/>
    <x v="1"/>
    <x v="0"/>
    <s v="PLAQUETTES"/>
    <x v="3"/>
    <n v="39.799999999999997"/>
  </r>
  <r>
    <d v="2025-05-16T05:19:29"/>
    <x v="0"/>
    <s v="Plaquettes d'ébauches rhombiques"/>
    <s v="U509351"/>
    <s v="DELIAT CHRISTOPHE"/>
    <n v="5"/>
    <x v="1"/>
    <x v="0"/>
    <s v="PLAQUETTES"/>
    <x v="3"/>
    <n v="39.799999999999997"/>
  </r>
  <r>
    <d v="2025-05-16T06:04:40"/>
    <x v="2"/>
    <s v="Plaquettes de finition carrées"/>
    <s v="10301115"/>
    <s v="BOUCHART LUDOVIC"/>
    <n v="5"/>
    <x v="0"/>
    <x v="2"/>
    <s v="PLAQUETTES"/>
    <x v="4"/>
    <n v="47.8"/>
  </r>
  <r>
    <d v="2025-05-16T06:04:54"/>
    <x v="6"/>
    <s v="Plaquettes de finition triangulaires"/>
    <s v="10301115"/>
    <s v="BOUCHART LUDOVIC"/>
    <n v="5"/>
    <x v="1"/>
    <x v="2"/>
    <s v="PLAQUETTES"/>
    <x v="3"/>
    <n v="48.7"/>
  </r>
  <r>
    <d v="2025-05-16T06:05:13"/>
    <x v="2"/>
    <s v="Plaquettes de finition carrées"/>
    <s v="10301115"/>
    <s v="BOUCHART LUDOVIC"/>
    <n v="5"/>
    <x v="1"/>
    <x v="2"/>
    <s v="PLAQUETTES"/>
    <x v="3"/>
    <n v="47.8"/>
  </r>
  <r>
    <d v="2025-05-16T10:34:30"/>
    <x v="9"/>
    <s v="EMBOUT KENTIP D8.6"/>
    <s v="12824586"/>
    <s v="DASILVA FERNANDO"/>
    <n v="1"/>
    <x v="1"/>
    <x v="1"/>
    <s v="PLAQUETTES"/>
    <x v="1"/>
    <n v="50"/>
  </r>
  <r>
    <d v="2025-05-16T21:20:08"/>
    <x v="3"/>
    <s v="Plaquettes d'ébauches carrées"/>
    <s v="SD75051"/>
    <s v="COMBALUZIER LUCAS"/>
    <n v="5"/>
    <x v="1"/>
    <x v="3"/>
    <s v="PLAQUETTES"/>
    <x v="3"/>
    <n v="39.799999999999997"/>
  </r>
  <r>
    <d v="2025-05-17T05:10:31"/>
    <x v="3"/>
    <s v="Plaquettes d'ébauches carrées"/>
    <s v="10301115"/>
    <s v="BOUCHART LUDOVIC"/>
    <n v="5"/>
    <x v="0"/>
    <x v="3"/>
    <s v="PLAQUETTES"/>
    <x v="4"/>
    <n v="39.799999999999997"/>
  </r>
  <r>
    <d v="2025-05-17T05:10:43"/>
    <x v="0"/>
    <s v="Plaquettes d'ébauches rhombiques"/>
    <s v="10301115"/>
    <s v="BOUCHART LUDOVIC"/>
    <n v="5"/>
    <x v="0"/>
    <x v="3"/>
    <s v="PLAQUETTES"/>
    <x v="4"/>
    <n v="39.799999999999997"/>
  </r>
  <r>
    <d v="2025-05-17T05:10:57"/>
    <x v="4"/>
    <s v="Plaquettes de gorges"/>
    <s v="10301115"/>
    <s v="BOUCHART LUDOVIC"/>
    <n v="10"/>
    <x v="0"/>
    <x v="0"/>
    <s v="PLAQUETTES"/>
    <x v="4"/>
    <n v="188"/>
  </r>
  <r>
    <d v="2025-05-17T05:11:12"/>
    <x v="3"/>
    <s v="Plaquettes d'ébauches carrées"/>
    <s v="10301115"/>
    <s v="BOUCHART LUDOVIC"/>
    <n v="5"/>
    <x v="0"/>
    <x v="0"/>
    <s v="PLAQUETTES"/>
    <x v="4"/>
    <n v="39.799999999999997"/>
  </r>
  <r>
    <d v="2025-05-17T05:11:28"/>
    <x v="0"/>
    <s v="Plaquettes d'ébauches rhombiques"/>
    <s v="10301115"/>
    <s v="BOUCHART LUDOVIC"/>
    <n v="5"/>
    <x v="0"/>
    <x v="0"/>
    <s v="PLAQUETTES"/>
    <x v="4"/>
    <n v="39.799999999999997"/>
  </r>
  <r>
    <d v="2025-05-17T05:11:50"/>
    <x v="2"/>
    <s v="Plaquettes de finition carrées"/>
    <s v="10301115"/>
    <s v="BOUCHART LUDOVIC"/>
    <n v="5"/>
    <x v="0"/>
    <x v="2"/>
    <s v="PLAQUETTES"/>
    <x v="4"/>
    <n v="47.8"/>
  </r>
  <r>
    <d v="2025-05-17T05:12:09"/>
    <x v="3"/>
    <s v="Plaquettes d'ébauches carrées"/>
    <s v="10301115"/>
    <s v="BOUCHART LUDOVIC"/>
    <n v="5"/>
    <x v="1"/>
    <x v="3"/>
    <s v="PLAQUETTES"/>
    <x v="3"/>
    <n v="39.799999999999997"/>
  </r>
  <r>
    <d v="2025-05-17T05:12:24"/>
    <x v="0"/>
    <s v="Plaquettes d'ébauches rhombiques"/>
    <s v="10301115"/>
    <s v="BOUCHART LUDOVIC"/>
    <n v="5"/>
    <x v="1"/>
    <x v="3"/>
    <s v="PLAQUETTES"/>
    <x v="3"/>
    <n v="39.799999999999997"/>
  </r>
  <r>
    <d v="2025-05-17T05:12:39"/>
    <x v="3"/>
    <s v="Plaquettes d'ébauches carrées"/>
    <s v="10301115"/>
    <s v="BOUCHART LUDOVIC"/>
    <n v="5"/>
    <x v="1"/>
    <x v="0"/>
    <s v="PLAQUETTES"/>
    <x v="3"/>
    <n v="39.799999999999997"/>
  </r>
  <r>
    <d v="2025-05-17T05:12:55"/>
    <x v="0"/>
    <s v="Plaquettes d'ébauches rhombiques"/>
    <s v="10301115"/>
    <s v="BOUCHART LUDOVIC"/>
    <n v="5"/>
    <x v="1"/>
    <x v="0"/>
    <s v="PLAQUETTES"/>
    <x v="3"/>
    <n v="39.799999999999997"/>
  </r>
  <r>
    <d v="2025-05-17T05:13:18"/>
    <x v="5"/>
    <s v="Plaquettes de finition"/>
    <s v="10301115"/>
    <s v="BOUCHART LUDOVIC"/>
    <n v="5"/>
    <x v="1"/>
    <x v="2"/>
    <s v="PLAQUETTES"/>
    <x v="3"/>
    <n v="42.5"/>
  </r>
  <r>
    <d v="2025-05-17T05:13:31"/>
    <x v="6"/>
    <s v="Plaquettes de finition triangulaires"/>
    <s v="10301115"/>
    <s v="BOUCHART LUDOVIC"/>
    <n v="5"/>
    <x v="1"/>
    <x v="2"/>
    <s v="PLAQUETTES"/>
    <x v="3"/>
    <n v="48.7"/>
  </r>
  <r>
    <d v="2025-05-17T05:13:48"/>
    <x v="2"/>
    <s v="Plaquettes de finition carrées"/>
    <s v="10301115"/>
    <s v="BOUCHART LUDOVIC"/>
    <n v="5"/>
    <x v="1"/>
    <x v="2"/>
    <s v="PLAQUETTES"/>
    <x v="3"/>
    <n v="47.8"/>
  </r>
  <r>
    <d v="2025-05-17T05:14:17"/>
    <x v="2"/>
    <s v="Plaquettes de finition carrées"/>
    <s v="10301115"/>
    <s v="BOUCHART LUDOVIC"/>
    <n v="5"/>
    <x v="1"/>
    <x v="2"/>
    <s v="PLAQUETTES"/>
    <x v="3"/>
    <n v="47.8"/>
  </r>
  <r>
    <d v="2025-05-17T08:19:27"/>
    <x v="3"/>
    <s v="Plaquettes d'ébauches carrées"/>
    <s v="U509351"/>
    <s v="DELIAT CHRISTOPHE"/>
    <n v="5"/>
    <x v="0"/>
    <x v="3"/>
    <s v="PLAQUETTES"/>
    <x v="4"/>
    <n v="39.799999999999997"/>
  </r>
  <r>
    <d v="2025-05-17T08:19:48"/>
    <x v="3"/>
    <s v="Plaquettes d'ébauches carrées"/>
    <s v="U509351"/>
    <s v="DELIAT CHRISTOPHE"/>
    <n v="5"/>
    <x v="1"/>
    <x v="3"/>
    <s v="PLAQUETTES"/>
    <x v="3"/>
    <n v="39.799999999999997"/>
  </r>
  <r>
    <d v="2025-05-17T08:20:09"/>
    <x v="3"/>
    <s v="Plaquettes d'ébauches carrées"/>
    <s v="U509351"/>
    <s v="DELIAT CHRISTOPHE"/>
    <n v="5"/>
    <x v="1"/>
    <x v="0"/>
    <s v="PLAQUETTES"/>
    <x v="3"/>
    <n v="39.799999999999997"/>
  </r>
  <r>
    <d v="2025-05-17T08:20:28"/>
    <x v="0"/>
    <s v="Plaquettes d'ébauches rhombiques"/>
    <s v="U509351"/>
    <s v="DELIAT CHRISTOPHE"/>
    <n v="5"/>
    <x v="1"/>
    <x v="0"/>
    <s v="PLAQUETTES"/>
    <x v="3"/>
    <n v="39.799999999999997"/>
  </r>
  <r>
    <d v="2025-05-17T12:24:15"/>
    <x v="3"/>
    <s v="Plaquettes d'ébauches carrées"/>
    <s v="U509351"/>
    <s v="DELIAT CHRISTOPHE"/>
    <n v="5"/>
    <x v="1"/>
    <x v="3"/>
    <s v="PLAQUETTES"/>
    <x v="3"/>
    <n v="39.799999999999997"/>
  </r>
  <r>
    <d v="2025-05-17T12:24:31"/>
    <x v="0"/>
    <s v="Plaquettes d'ébauches rhombiques"/>
    <s v="U509351"/>
    <s v="DELIAT CHRISTOPHE"/>
    <n v="5"/>
    <x v="1"/>
    <x v="3"/>
    <s v="PLAQUETTES"/>
    <x v="3"/>
    <n v="39.799999999999997"/>
  </r>
  <r>
    <d v="2025-05-17T12:24:52"/>
    <x v="3"/>
    <s v="Plaquettes d'ébauches carrées"/>
    <s v="U509351"/>
    <s v="DELIAT CHRISTOPHE"/>
    <n v="5"/>
    <x v="1"/>
    <x v="0"/>
    <s v="PLAQUETTES"/>
    <x v="3"/>
    <n v="39.799999999999997"/>
  </r>
  <r>
    <d v="2025-05-18T21:26:05"/>
    <x v="3"/>
    <s v="Plaquettes d'ébauches carrées"/>
    <s v="10301115"/>
    <s v="BOUCHART LUDOVIC"/>
    <n v="5"/>
    <x v="0"/>
    <x v="3"/>
    <s v="PLAQUETTES"/>
    <x v="0"/>
    <n v="39.799999999999997"/>
  </r>
  <r>
    <d v="2025-05-18T21:26:19"/>
    <x v="0"/>
    <s v="Plaquettes d'ébauches rhombiques"/>
    <s v="10301115"/>
    <s v="BOUCHART LUDOVIC"/>
    <n v="5"/>
    <x v="0"/>
    <x v="3"/>
    <s v="PLAQUETTES"/>
    <x v="0"/>
    <n v="39.799999999999997"/>
  </r>
  <r>
    <d v="2025-05-18T21:26:34"/>
    <x v="4"/>
    <s v="Plaquettes de gorges"/>
    <s v="10301115"/>
    <s v="BOUCHART LUDOVIC"/>
    <n v="10"/>
    <x v="0"/>
    <x v="0"/>
    <s v="PLAQUETTES"/>
    <x v="0"/>
    <n v="188"/>
  </r>
  <r>
    <d v="2025-05-18T21:26:50"/>
    <x v="3"/>
    <s v="Plaquettes d'ébauches carrées"/>
    <s v="10301115"/>
    <s v="BOUCHART LUDOVIC"/>
    <n v="5"/>
    <x v="0"/>
    <x v="0"/>
    <s v="PLAQUETTES"/>
    <x v="0"/>
    <n v="39.799999999999997"/>
  </r>
  <r>
    <d v="2025-05-18T21:27:02"/>
    <x v="0"/>
    <s v="Plaquettes d'ébauches rhombiques"/>
    <s v="10301115"/>
    <s v="BOUCHART LUDOVIC"/>
    <n v="5"/>
    <x v="0"/>
    <x v="0"/>
    <s v="PLAQUETTES"/>
    <x v="0"/>
    <n v="39.799999999999997"/>
  </r>
  <r>
    <d v="2025-05-18T21:27:28"/>
    <x v="2"/>
    <s v="Plaquettes de finition carrées"/>
    <s v="10301115"/>
    <s v="BOUCHART LUDOVIC"/>
    <n v="5"/>
    <x v="0"/>
    <x v="2"/>
    <s v="PLAQUETTES"/>
    <x v="0"/>
    <n v="47.8"/>
  </r>
  <r>
    <d v="2025-05-18T21:27:45"/>
    <x v="3"/>
    <s v="Plaquettes d'ébauches carrées"/>
    <s v="10301115"/>
    <s v="BOUCHART LUDOVIC"/>
    <n v="5"/>
    <x v="1"/>
    <x v="3"/>
    <s v="PLAQUETTES"/>
    <x v="3"/>
    <n v="39.799999999999997"/>
  </r>
  <r>
    <d v="2025-05-18T21:27:59"/>
    <x v="0"/>
    <s v="Plaquettes d'ébauches rhombiques"/>
    <s v="10301115"/>
    <s v="BOUCHART LUDOVIC"/>
    <n v="5"/>
    <x v="1"/>
    <x v="3"/>
    <s v="PLAQUETTES"/>
    <x v="3"/>
    <n v="39.799999999999997"/>
  </r>
  <r>
    <d v="2025-05-18T21:28:16"/>
    <x v="3"/>
    <s v="Plaquettes d'ébauches carrées"/>
    <s v="10301115"/>
    <s v="BOUCHART LUDOVIC"/>
    <n v="5"/>
    <x v="1"/>
    <x v="0"/>
    <s v="PLAQUETTES"/>
    <x v="3"/>
    <n v="39.799999999999997"/>
  </r>
  <r>
    <d v="2025-05-18T21:28:28"/>
    <x v="0"/>
    <s v="Plaquettes d'ébauches rhombiques"/>
    <s v="10301115"/>
    <s v="BOUCHART LUDOVIC"/>
    <n v="5"/>
    <x v="1"/>
    <x v="0"/>
    <s v="PLAQUETTES"/>
    <x v="3"/>
    <n v="39.799999999999997"/>
  </r>
  <r>
    <d v="2025-05-18T21:28:43"/>
    <x v="5"/>
    <s v="Plaquettes de finition"/>
    <s v="10301115"/>
    <s v="BOUCHART LUDOVIC"/>
    <n v="5"/>
    <x v="1"/>
    <x v="2"/>
    <s v="PLAQUETTES"/>
    <x v="3"/>
    <n v="42.5"/>
  </r>
  <r>
    <d v="2025-05-18T21:28:55"/>
    <x v="6"/>
    <s v="Plaquettes de finition triangulaires"/>
    <s v="10301115"/>
    <s v="BOUCHART LUDOVIC"/>
    <n v="5"/>
    <x v="1"/>
    <x v="2"/>
    <s v="PLAQUETTES"/>
    <x v="3"/>
    <n v="48.7"/>
  </r>
  <r>
    <d v="2025-05-18T21:29:08"/>
    <x v="2"/>
    <s v="Plaquettes de finition carrées"/>
    <s v="10301115"/>
    <s v="BOUCHART LUDOVIC"/>
    <n v="5"/>
    <x v="1"/>
    <x v="2"/>
    <s v="PLAQUETTES"/>
    <x v="3"/>
    <n v="47.8"/>
  </r>
  <r>
    <d v="2025-05-19T08:41:02"/>
    <x v="10"/>
    <s v="Plaquettes TPGX0902ZPRGD KC7315"/>
    <s v="SF51433"/>
    <s v="BONTEMS COLINE"/>
    <n v="10"/>
    <x v="0"/>
    <x v="1"/>
    <s v="PLAQUETTES"/>
    <x v="1"/>
    <n v="81.5"/>
  </r>
  <r>
    <d v="2025-05-19T13:42:00"/>
    <x v="2"/>
    <s v="Plaquettes de finition carrées"/>
    <s v="SE38185"/>
    <s v="PIERRE NICOLAS VENIAT"/>
    <n v="5"/>
    <x v="1"/>
    <x v="2"/>
    <s v="PLAQUETTES"/>
    <x v="3"/>
    <n v="47.8"/>
  </r>
  <r>
    <d v="2025-05-19T14:18:46"/>
    <x v="9"/>
    <s v="EMBOUT KENTIP D8.6"/>
    <s v="12824586"/>
    <s v="DASILVA FERNANDO"/>
    <n v="1"/>
    <x v="1"/>
    <x v="1"/>
    <s v="PLAQUETTES"/>
    <x v="1"/>
    <n v="50"/>
  </r>
  <r>
    <d v="2025-05-20T06:42:20"/>
    <x v="2"/>
    <s v="Plaquettes de finition carrées"/>
    <s v="070325"/>
    <s v="PEREIRA KEVIN"/>
    <n v="5"/>
    <x v="0"/>
    <x v="2"/>
    <s v="PLAQUETTES"/>
    <x v="0"/>
    <n v="47.8"/>
  </r>
  <r>
    <d v="2025-05-20T06:42:35"/>
    <x v="2"/>
    <s v="Plaquettes de finition carrées"/>
    <s v="070325"/>
    <s v="PEREIRA KEVIN"/>
    <n v="5"/>
    <x v="0"/>
    <x v="2"/>
    <s v="PLAQUETTES"/>
    <x v="0"/>
    <n v="47.8"/>
  </r>
  <r>
    <d v="2025-05-20T12:11:51"/>
    <x v="2"/>
    <s v="Plaquettes de finition carrées"/>
    <s v="070325"/>
    <s v="PEREIRA KEVIN"/>
    <n v="5"/>
    <x v="1"/>
    <x v="2"/>
    <s v="PLAQUETTES"/>
    <x v="2"/>
    <n v="47.8"/>
  </r>
  <r>
    <d v="2025-05-20T12:12:10"/>
    <x v="0"/>
    <s v="Plaquettes d'ébauches rhombiques"/>
    <s v="070325"/>
    <s v="PEREIRA KEVIN"/>
    <n v="5"/>
    <x v="1"/>
    <x v="2"/>
    <s v="PLAQUETTES"/>
    <x v="2"/>
    <n v="39.799999999999997"/>
  </r>
  <r>
    <d v="2025-05-20T14:09:16"/>
    <x v="9"/>
    <s v="EMBOUT KENTIP D8.6"/>
    <s v="12824586"/>
    <s v="DASILVA FERNANDO"/>
    <n v="2"/>
    <x v="1"/>
    <x v="1"/>
    <s v="PLAQUETTES"/>
    <x v="1"/>
    <n v="100"/>
  </r>
  <r>
    <d v="2025-05-20T14:10:00"/>
    <x v="7"/>
    <s v="Plaquettes VCGT21A52 SP4019"/>
    <s v="12824586"/>
    <s v="DASILVA FERNANDO"/>
    <n v="5"/>
    <x v="1"/>
    <x v="1"/>
    <s v="PLAQUETTES"/>
    <x v="1"/>
    <n v="60.9"/>
  </r>
  <r>
    <d v="2025-05-20T14:10:19"/>
    <x v="10"/>
    <s v="Plaquettes TPGX0902ZPRGD KC7315"/>
    <s v="12824586"/>
    <s v="DASILVA FERNANDO"/>
    <n v="10"/>
    <x v="1"/>
    <x v="1"/>
    <s v="PLAQUETTES"/>
    <x v="1"/>
    <n v="81.5"/>
  </r>
  <r>
    <d v="2025-05-20T20:36:35"/>
    <x v="4"/>
    <s v="Plaquettes de gorges"/>
    <s v="SC95213"/>
    <s v="RABET PAULINE"/>
    <n v="10"/>
    <x v="0"/>
    <x v="0"/>
    <s v="PLAQUETTES"/>
    <x v="0"/>
    <n v="188"/>
  </r>
  <r>
    <d v="2025-05-20T20:38:40"/>
    <x v="0"/>
    <s v="Plaquettes d'ébauches rhombiques"/>
    <s v="SE38185"/>
    <s v="PIERRE NICOLAS VENIAT"/>
    <n v="5"/>
    <x v="1"/>
    <x v="2"/>
    <s v="PLAQUETTES"/>
    <x v="2"/>
    <n v="39.799999999999997"/>
  </r>
  <r>
    <d v="2025-05-20T20:38:58"/>
    <x v="4"/>
    <s v="Plaquettes de gorges"/>
    <s v="SE38185"/>
    <s v="PIERRE NICOLAS VENIAT"/>
    <n v="10"/>
    <x v="1"/>
    <x v="0"/>
    <s v="PLAQUETTES"/>
    <x v="2"/>
    <n v="188"/>
  </r>
  <r>
    <d v="2025-05-20T20:39:17"/>
    <x v="3"/>
    <s v="Plaquettes d'ébauches carrées"/>
    <s v="SE38185"/>
    <s v="PIERRE NICOLAS VENIAT"/>
    <n v="5"/>
    <x v="1"/>
    <x v="3"/>
    <s v="PLAQUETTES"/>
    <x v="2"/>
    <n v="39.799999999999997"/>
  </r>
  <r>
    <d v="2025-05-21T06:59:37"/>
    <x v="2"/>
    <s v="Plaquettes de finition carrées"/>
    <s v="070325"/>
    <s v="PEREIRA KEVIN"/>
    <n v="5"/>
    <x v="0"/>
    <x v="2"/>
    <s v="PLAQUETTES"/>
    <x v="3"/>
    <n v="47.8"/>
  </r>
  <r>
    <d v="2025-05-21T06:59:59"/>
    <x v="3"/>
    <s v="Plaquettes d'ébauches carrées"/>
    <s v="070325"/>
    <s v="PEREIRA KEVIN"/>
    <n v="5"/>
    <x v="0"/>
    <x v="3"/>
    <s v="PLAQUETTES"/>
    <x v="3"/>
    <n v="39.799999999999997"/>
  </r>
  <r>
    <d v="2025-05-21T07:00:15"/>
    <x v="2"/>
    <s v="Plaquettes de finition carrées"/>
    <s v="070325"/>
    <s v="PEREIRA KEVIN"/>
    <n v="5"/>
    <x v="1"/>
    <x v="2"/>
    <s v="PLAQUETTES"/>
    <x v="2"/>
    <n v="47.8"/>
  </r>
  <r>
    <d v="2025-05-21T10:22:21"/>
    <x v="12"/>
    <s v="Rondelle fendue belleville OP30"/>
    <s v="U532976"/>
    <s v="LEFORT XAVIER"/>
    <n v="1"/>
    <x v="1"/>
    <x v="1"/>
    <s v="DIVERS"/>
    <x v="1"/>
    <n v="0"/>
  </r>
  <r>
    <d v="2025-05-21T15:04:17"/>
    <x v="9"/>
    <s v="EMBOUT KENTIP D8.6"/>
    <s v="12824586"/>
    <s v="DASILVA FERNANDO"/>
    <n v="2"/>
    <x v="1"/>
    <x v="1"/>
    <s v="PLAQUETTES"/>
    <x v="1"/>
    <n v="100"/>
  </r>
  <r>
    <d v="2025-05-21T20:40:29"/>
    <x v="2"/>
    <s v="Plaquettes de finition carrées"/>
    <s v="SC95213"/>
    <s v="RABET PAULINE"/>
    <n v="5"/>
    <x v="0"/>
    <x v="2"/>
    <s v="PLAQUETTES"/>
    <x v="3"/>
    <n v="47.8"/>
  </r>
  <r>
    <d v="2025-05-21T20:40:48"/>
    <x v="3"/>
    <s v="Plaquettes d'ébauches carrées"/>
    <s v="SC95213"/>
    <s v="RABET PAULINE"/>
    <n v="5"/>
    <x v="0"/>
    <x v="0"/>
    <s v="PLAQUETTES"/>
    <x v="3"/>
    <n v="39.799999999999997"/>
  </r>
  <r>
    <d v="2025-05-21T20:41:04"/>
    <x v="3"/>
    <s v="Plaquettes d'ébauches carrées"/>
    <s v="SC95213"/>
    <s v="RABET PAULINE"/>
    <n v="5"/>
    <x v="0"/>
    <x v="3"/>
    <s v="PLAQUETTES"/>
    <x v="3"/>
    <n v="39.799999999999997"/>
  </r>
  <r>
    <d v="2025-05-22T01:08:40"/>
    <x v="4"/>
    <s v="Plaquettes de gorges"/>
    <s v="U561365"/>
    <s v="BALLY BENOIT"/>
    <n v="10"/>
    <x v="1"/>
    <x v="0"/>
    <s v="PLAQUETTES"/>
    <x v="2"/>
    <n v="188"/>
  </r>
  <r>
    <d v="2025-05-22T03:48:16"/>
    <x v="2"/>
    <s v="Plaquettes de finition carrées"/>
    <s v="7236310"/>
    <s v="OZYURT IREM"/>
    <n v="5"/>
    <x v="0"/>
    <x v="2"/>
    <s v="PLAQUETTES"/>
    <x v="3"/>
    <n v="47.8"/>
  </r>
  <r>
    <d v="2025-05-22T05:40:54"/>
    <x v="2"/>
    <s v="Plaquettes de finition carrées"/>
    <s v="070325"/>
    <s v="PEREIRA KEVIN"/>
    <n v="5"/>
    <x v="1"/>
    <x v="2"/>
    <s v="PLAQUETTES"/>
    <x v="2"/>
    <n v="47.8"/>
  </r>
  <r>
    <d v="2025-05-22T05:41:18"/>
    <x v="2"/>
    <s v="Plaquettes de finition carrées"/>
    <s v="070325"/>
    <s v="PEREIRA KEVIN"/>
    <n v="5"/>
    <x v="0"/>
    <x v="2"/>
    <s v="PLAQUETTES"/>
    <x v="3"/>
    <n v="47.8"/>
  </r>
  <r>
    <d v="2025-05-22T05:41:38"/>
    <x v="6"/>
    <s v="Plaquettes de finition triangulaires"/>
    <s v="070325"/>
    <s v="PEREIRA KEVIN"/>
    <n v="5"/>
    <x v="0"/>
    <x v="2"/>
    <s v="PLAQUETTES"/>
    <x v="3"/>
    <n v="48.7"/>
  </r>
  <r>
    <d v="2025-05-22T05:41:59"/>
    <x v="3"/>
    <s v="Plaquettes d'ébauches carrées"/>
    <s v="070325"/>
    <s v="PEREIRA KEVIN"/>
    <n v="5"/>
    <x v="1"/>
    <x v="3"/>
    <s v="PLAQUETTES"/>
    <x v="2"/>
    <n v="39.799999999999997"/>
  </r>
  <r>
    <d v="2025-05-22T05:42:20"/>
    <x v="3"/>
    <s v="Plaquettes d'ébauches carrées"/>
    <s v="070325"/>
    <s v="PEREIRA KEVIN"/>
    <n v="5"/>
    <x v="0"/>
    <x v="3"/>
    <s v="PLAQUETTES"/>
    <x v="3"/>
    <n v="39.799999999999997"/>
  </r>
  <r>
    <d v="2025-05-22T05:58:36"/>
    <x v="3"/>
    <s v="Plaquettes d'ébauches carrées"/>
    <s v="31224"/>
    <s v="BIDOT MURIEL"/>
    <n v="5"/>
    <x v="0"/>
    <x v="3"/>
    <s v="PLAQUETTES"/>
    <x v="3"/>
    <n v="39.799999999999997"/>
  </r>
  <r>
    <d v="2025-05-22T05:58:49"/>
    <x v="0"/>
    <s v="Plaquettes d'ébauches rhombiques"/>
    <s v="31224"/>
    <s v="BIDOT MURIEL"/>
    <n v="5"/>
    <x v="0"/>
    <x v="3"/>
    <s v="PLAQUETTES"/>
    <x v="3"/>
    <n v="39.799999999999997"/>
  </r>
  <r>
    <d v="2025-05-22T05:59:03"/>
    <x v="0"/>
    <s v="Plaquettes d'ébauches rhombiques"/>
    <s v="31224"/>
    <s v="BIDOT MURIEL"/>
    <n v="5"/>
    <x v="0"/>
    <x v="3"/>
    <s v="PLAQUETTES"/>
    <x v="3"/>
    <n v="39.799999999999997"/>
  </r>
  <r>
    <d v="2025-05-22T05:59:19"/>
    <x v="2"/>
    <s v="Plaquettes de finition carrées"/>
    <s v="31224"/>
    <s v="BIDOT MURIEL"/>
    <n v="5"/>
    <x v="0"/>
    <x v="2"/>
    <s v="PLAQUETTES"/>
    <x v="3"/>
    <n v="47.8"/>
  </r>
  <r>
    <d v="2025-05-22T07:51:11"/>
    <x v="3"/>
    <s v="Plaquettes d'ébauches carrées"/>
    <s v="12824586"/>
    <s v="DASILVA FERNANDO"/>
    <n v="5"/>
    <x v="0"/>
    <x v="3"/>
    <s v="PLAQUETTES"/>
    <x v="4"/>
    <n v="39.799999999999997"/>
  </r>
  <r>
    <d v="2025-05-22T11:06:44"/>
    <x v="9"/>
    <s v="EMBOUT KENTIP D8.6"/>
    <s v="12824586"/>
    <s v="DASILVA FERNANDO"/>
    <n v="1"/>
    <x v="1"/>
    <x v="1"/>
    <s v="PLAQUETTES"/>
    <x v="1"/>
    <n v="50"/>
  </r>
  <r>
    <d v="2025-05-22T11:07:26"/>
    <x v="9"/>
    <s v="EMBOUT KENTIP D8.6"/>
    <s v="12824586"/>
    <s v="DASILVA FERNANDO"/>
    <n v="1"/>
    <x v="1"/>
    <x v="1"/>
    <s v="PLAQUETTES"/>
    <x v="1"/>
    <n v="50"/>
  </r>
  <r>
    <d v="2025-05-22T20:44:37"/>
    <x v="3"/>
    <s v="Plaquettes d'ébauches carrées"/>
    <s v="SC95213"/>
    <s v="RABET PAULINE"/>
    <n v="5"/>
    <x v="0"/>
    <x v="3"/>
    <s v="PLAQUETTES"/>
    <x v="3"/>
    <n v="39.799999999999997"/>
  </r>
  <r>
    <d v="2025-05-23T01:24:35"/>
    <x v="3"/>
    <s v="Plaquettes d'ébauches carrées"/>
    <s v="090225"/>
    <s v="MEYER THOMAS"/>
    <n v="5"/>
    <x v="0"/>
    <x v="3"/>
    <s v="PLAQUETTES"/>
    <x v="3"/>
    <n v="39.799999999999997"/>
  </r>
  <r>
    <d v="2025-05-23T01:24:56"/>
    <x v="0"/>
    <s v="Plaquettes d'ébauches rhombiques"/>
    <s v="090225"/>
    <s v="MEYER THOMAS"/>
    <n v="5"/>
    <x v="0"/>
    <x v="3"/>
    <s v="PLAQUETTES"/>
    <x v="3"/>
    <n v="39.799999999999997"/>
  </r>
  <r>
    <d v="2025-05-23T01:25:13"/>
    <x v="3"/>
    <s v="Plaquettes d'ébauches carrées"/>
    <s v="090225"/>
    <s v="MEYER THOMAS"/>
    <n v="5"/>
    <x v="0"/>
    <x v="0"/>
    <s v="PLAQUETTES"/>
    <x v="3"/>
    <n v="39.799999999999997"/>
  </r>
  <r>
    <d v="2025-05-23T01:25:29"/>
    <x v="0"/>
    <s v="Plaquettes d'ébauches rhombiques"/>
    <s v="090225"/>
    <s v="MEYER THOMAS"/>
    <n v="5"/>
    <x v="0"/>
    <x v="0"/>
    <s v="PLAQUETTES"/>
    <x v="3"/>
    <n v="39.799999999999997"/>
  </r>
  <r>
    <d v="2025-05-23T01:25:45"/>
    <x v="3"/>
    <s v="Plaquettes d'ébauches carrées"/>
    <s v="090225"/>
    <s v="MEYER THOMAS"/>
    <n v="5"/>
    <x v="1"/>
    <x v="3"/>
    <s v="PLAQUETTES"/>
    <x v="2"/>
    <n v="39.799999999999997"/>
  </r>
  <r>
    <d v="2025-05-23T01:26:06"/>
    <x v="0"/>
    <s v="Plaquettes d'ébauches rhombiques"/>
    <s v="090225"/>
    <s v="MEYER THOMAS"/>
    <n v="5"/>
    <x v="1"/>
    <x v="3"/>
    <s v="PLAQUETTES"/>
    <x v="2"/>
    <n v="39.799999999999997"/>
  </r>
  <r>
    <d v="2025-05-23T01:26:20"/>
    <x v="3"/>
    <s v="Plaquettes d'ébauches carrées"/>
    <s v="090225"/>
    <s v="MEYER THOMAS"/>
    <n v="5"/>
    <x v="1"/>
    <x v="0"/>
    <s v="PLAQUETTES"/>
    <x v="2"/>
    <n v="39.799999999999997"/>
  </r>
  <r>
    <d v="2025-05-23T01:26:34"/>
    <x v="0"/>
    <s v="Plaquettes d'ébauches rhombiques"/>
    <s v="090225"/>
    <s v="MEYER THOMAS"/>
    <n v="5"/>
    <x v="1"/>
    <x v="0"/>
    <s v="PLAQUETTES"/>
    <x v="2"/>
    <n v="39.799999999999997"/>
  </r>
  <r>
    <d v="2025-05-23T01:26:53"/>
    <x v="4"/>
    <s v="Plaquettes de gorges"/>
    <s v="090225"/>
    <s v="MEYER THOMAS"/>
    <n v="10"/>
    <x v="1"/>
    <x v="0"/>
    <s v="PLAQUETTES"/>
    <x v="2"/>
    <n v="188"/>
  </r>
  <r>
    <d v="2025-05-23T05:37:21"/>
    <x v="5"/>
    <s v="Plaquettes de finition"/>
    <s v="10301115"/>
    <s v="BOUCHART LUDOVIC"/>
    <n v="5"/>
    <x v="0"/>
    <x v="2"/>
    <s v="PLAQUETTES"/>
    <x v="3"/>
    <n v="42.5"/>
  </r>
  <r>
    <d v="2025-05-23T05:37:33"/>
    <x v="6"/>
    <s v="Plaquettes de finition triangulaires"/>
    <s v="10301115"/>
    <s v="BOUCHART LUDOVIC"/>
    <n v="5"/>
    <x v="0"/>
    <x v="2"/>
    <s v="PLAQUETTES"/>
    <x v="3"/>
    <n v="48.7"/>
  </r>
  <r>
    <d v="2025-05-23T05:37:48"/>
    <x v="2"/>
    <s v="Plaquettes de finition carrées"/>
    <s v="10301115"/>
    <s v="BOUCHART LUDOVIC"/>
    <n v="5"/>
    <x v="0"/>
    <x v="2"/>
    <s v="PLAQUETTES"/>
    <x v="3"/>
    <n v="47.8"/>
  </r>
  <r>
    <d v="2025-05-23T05:38:13"/>
    <x v="2"/>
    <s v="Plaquettes de finition carrées"/>
    <s v="10301115"/>
    <s v="BOUCHART LUDOVIC"/>
    <n v="5"/>
    <x v="1"/>
    <x v="2"/>
    <s v="PLAQUETTES"/>
    <x v="2"/>
    <n v="47.8"/>
  </r>
  <r>
    <d v="2025-05-23T07:27:16"/>
    <x v="3"/>
    <s v="Plaquettes d'ébauches carrées"/>
    <s v="U509351"/>
    <s v="DELIAT CHRISTOPHE"/>
    <n v="5"/>
    <x v="0"/>
    <x v="3"/>
    <s v="PLAQUETTES"/>
    <x v="3"/>
    <n v="39.799999999999997"/>
  </r>
  <r>
    <d v="2025-05-23T07:27:40"/>
    <x v="0"/>
    <s v="Plaquettes d'ébauches rhombiques"/>
    <s v="U509351"/>
    <s v="DELIAT CHRISTOPHE"/>
    <n v="5"/>
    <x v="0"/>
    <x v="3"/>
    <s v="PLAQUETTES"/>
    <x v="3"/>
    <n v="39.799999999999997"/>
  </r>
  <r>
    <d v="2025-05-23T07:28:19"/>
    <x v="3"/>
    <s v="Plaquettes d'ébauches carrées"/>
    <s v="U509351"/>
    <s v="DELIAT CHRISTOPHE"/>
    <n v="5"/>
    <x v="0"/>
    <x v="0"/>
    <s v="PLAQUETTES"/>
    <x v="3"/>
    <n v="39.799999999999997"/>
  </r>
  <r>
    <d v="2025-05-23T07:29:56"/>
    <x v="0"/>
    <s v="Plaquettes d'ébauches rhombiques"/>
    <s v="U509351"/>
    <s v="DELIAT CHRISTOPHE"/>
    <n v="5"/>
    <x v="0"/>
    <x v="0"/>
    <s v="PLAQUETTES"/>
    <x v="3"/>
    <n v="39.799999999999997"/>
  </r>
  <r>
    <d v="2025-05-23T07:30:53"/>
    <x v="3"/>
    <s v="Plaquettes d'ébauches carrées"/>
    <s v="U509351"/>
    <s v="DELIAT CHRISTOPHE"/>
    <n v="5"/>
    <x v="1"/>
    <x v="3"/>
    <s v="PLAQUETTES"/>
    <x v="2"/>
    <n v="39.799999999999997"/>
  </r>
  <r>
    <d v="2025-05-23T07:31:13"/>
    <x v="0"/>
    <s v="Plaquettes d'ébauches rhombiques"/>
    <s v="U509351"/>
    <s v="DELIAT CHRISTOPHE"/>
    <n v="5"/>
    <x v="1"/>
    <x v="3"/>
    <s v="PLAQUETTES"/>
    <x v="2"/>
    <n v="39.799999999999997"/>
  </r>
  <r>
    <d v="2025-05-23T07:32:41"/>
    <x v="3"/>
    <s v="Plaquettes d'ébauches carrées"/>
    <s v="U509351"/>
    <s v="DELIAT CHRISTOPHE"/>
    <n v="5"/>
    <x v="1"/>
    <x v="0"/>
    <s v="PLAQUETTES"/>
    <x v="2"/>
    <n v="39.799999999999997"/>
  </r>
  <r>
    <d v="2025-05-23T07:33:14"/>
    <x v="0"/>
    <s v="Plaquettes d'ébauches rhombiques"/>
    <s v="U509351"/>
    <s v="DELIAT CHRISTOPHE"/>
    <n v="5"/>
    <x v="1"/>
    <x v="0"/>
    <s v="PLAQUETTES"/>
    <x v="2"/>
    <n v="39.799999999999997"/>
  </r>
  <r>
    <d v="2025-05-23T11:10:04"/>
    <x v="9"/>
    <s v="EMBOUT KENTIP D8.6"/>
    <s v="12824586"/>
    <s v="DASILVA FERNANDO"/>
    <n v="1"/>
    <x v="1"/>
    <x v="1"/>
    <s v="PLAQUETTES"/>
    <x v="1"/>
    <n v="50"/>
  </r>
  <r>
    <d v="2025-05-23T11:12:00"/>
    <x v="7"/>
    <s v="Plaquettes VCGT21A52 SP4019"/>
    <s v="12824586"/>
    <s v="DASILVA FERNANDO"/>
    <n v="5"/>
    <x v="1"/>
    <x v="1"/>
    <s v="PLAQUETTES"/>
    <x v="1"/>
    <n v="60.9"/>
  </r>
  <r>
    <d v="2025-05-23T13:39:14"/>
    <x v="2"/>
    <s v="Plaquettes de finition carrées"/>
    <s v="SE38185"/>
    <s v="PIERRE NICOLAS VENIAT"/>
    <n v="5"/>
    <x v="1"/>
    <x v="2"/>
    <s v="PLAQUETTES"/>
    <x v="2"/>
    <n v="47.8"/>
  </r>
  <r>
    <d v="2025-05-23T17:21:19"/>
    <x v="2"/>
    <s v="Plaquettes de finition carrées"/>
    <s v="SC95213"/>
    <s v="RABET PAULINE"/>
    <n v="5"/>
    <x v="0"/>
    <x v="2"/>
    <s v="PLAQUETTES"/>
    <x v="3"/>
    <n v="47.8"/>
  </r>
  <r>
    <d v="2025-05-23T23:48:39"/>
    <x v="3"/>
    <s v="Plaquettes d'ébauches carrées"/>
    <s v="090225"/>
    <s v="MEYER THOMAS"/>
    <n v="5"/>
    <x v="0"/>
    <x v="3"/>
    <s v="PLAQUETTES"/>
    <x v="3"/>
    <n v="39.799999999999997"/>
  </r>
  <r>
    <d v="2025-05-23T23:48:52"/>
    <x v="0"/>
    <s v="Plaquettes d'ébauches rhombiques"/>
    <s v="090225"/>
    <s v="MEYER THOMAS"/>
    <n v="5"/>
    <x v="0"/>
    <x v="3"/>
    <s v="PLAQUETTES"/>
    <x v="3"/>
    <n v="39.799999999999997"/>
  </r>
  <r>
    <d v="2025-05-23T23:49:06"/>
    <x v="3"/>
    <s v="Plaquettes d'ébauches carrées"/>
    <s v="090225"/>
    <s v="MEYER THOMAS"/>
    <n v="5"/>
    <x v="0"/>
    <x v="0"/>
    <s v="PLAQUETTES"/>
    <x v="3"/>
    <n v="39.799999999999997"/>
  </r>
  <r>
    <d v="2025-05-23T23:49:22"/>
    <x v="0"/>
    <s v="Plaquettes d'ébauches rhombiques"/>
    <s v="090225"/>
    <s v="MEYER THOMAS"/>
    <n v="5"/>
    <x v="0"/>
    <x v="0"/>
    <s v="PLAQUETTES"/>
    <x v="3"/>
    <n v="39.799999999999997"/>
  </r>
  <r>
    <d v="2025-05-24T05:14:50"/>
    <x v="3"/>
    <s v="Plaquettes d'ébauches carrées"/>
    <s v="10301115"/>
    <s v="BOUCHART LUDOVIC"/>
    <n v="5"/>
    <x v="0"/>
    <x v="3"/>
    <s v="PLAQUETTES"/>
    <x v="3"/>
    <n v="39.799999999999997"/>
  </r>
  <r>
    <d v="2025-05-24T05:15:03"/>
    <x v="0"/>
    <s v="Plaquettes d'ébauches rhombiques"/>
    <s v="10301115"/>
    <s v="BOUCHART LUDOVIC"/>
    <n v="5"/>
    <x v="0"/>
    <x v="3"/>
    <s v="PLAQUETTES"/>
    <x v="3"/>
    <n v="39.799999999999997"/>
  </r>
  <r>
    <d v="2025-05-24T05:15:18"/>
    <x v="3"/>
    <s v="Plaquettes d'ébauches carrées"/>
    <s v="10301115"/>
    <s v="BOUCHART LUDOVIC"/>
    <n v="5"/>
    <x v="0"/>
    <x v="0"/>
    <s v="PLAQUETTES"/>
    <x v="3"/>
    <n v="39.799999999999997"/>
  </r>
  <r>
    <d v="2025-05-24T05:15:31"/>
    <x v="0"/>
    <s v="Plaquettes d'ébauches rhombiques"/>
    <s v="10301115"/>
    <s v="BOUCHART LUDOVIC"/>
    <n v="5"/>
    <x v="0"/>
    <x v="0"/>
    <s v="PLAQUETTES"/>
    <x v="3"/>
    <n v="39.799999999999997"/>
  </r>
  <r>
    <d v="2025-05-24T05:15:45"/>
    <x v="5"/>
    <s v="Plaquettes de finition"/>
    <s v="10301115"/>
    <s v="BOUCHART LUDOVIC"/>
    <n v="5"/>
    <x v="0"/>
    <x v="2"/>
    <s v="PLAQUETTES"/>
    <x v="3"/>
    <n v="42.5"/>
  </r>
  <r>
    <d v="2025-05-24T05:15:58"/>
    <x v="6"/>
    <s v="Plaquettes de finition triangulaires"/>
    <s v="10301115"/>
    <s v="BOUCHART LUDOVIC"/>
    <n v="5"/>
    <x v="0"/>
    <x v="2"/>
    <s v="PLAQUETTES"/>
    <x v="3"/>
    <n v="48.7"/>
  </r>
  <r>
    <d v="2025-05-24T05:16:13"/>
    <x v="2"/>
    <s v="Plaquettes de finition carrées"/>
    <s v="10301115"/>
    <s v="BOUCHART LUDOVIC"/>
    <n v="5"/>
    <x v="0"/>
    <x v="2"/>
    <s v="PLAQUETTES"/>
    <x v="3"/>
    <n v="47.8"/>
  </r>
  <r>
    <d v="2025-05-24T05:16:32"/>
    <x v="3"/>
    <s v="Plaquettes d'ébauches carrées"/>
    <s v="10301115"/>
    <s v="BOUCHART LUDOVIC"/>
    <n v="5"/>
    <x v="1"/>
    <x v="3"/>
    <s v="PLAQUETTES"/>
    <x v="2"/>
    <n v="39.799999999999997"/>
  </r>
  <r>
    <d v="2025-05-24T05:16:46"/>
    <x v="0"/>
    <s v="Plaquettes d'ébauches rhombiques"/>
    <s v="10301115"/>
    <s v="BOUCHART LUDOVIC"/>
    <n v="5"/>
    <x v="1"/>
    <x v="3"/>
    <s v="PLAQUETTES"/>
    <x v="2"/>
    <n v="39.799999999999997"/>
  </r>
  <r>
    <d v="2025-05-24T05:17:01"/>
    <x v="4"/>
    <s v="Plaquettes de gorges"/>
    <s v="10301115"/>
    <s v="BOUCHART LUDOVIC"/>
    <n v="10"/>
    <x v="1"/>
    <x v="0"/>
    <s v="PLAQUETTES"/>
    <x v="2"/>
    <n v="188"/>
  </r>
  <r>
    <d v="2025-05-24T05:17:17"/>
    <x v="3"/>
    <s v="Plaquettes d'ébauches carrées"/>
    <s v="10301115"/>
    <s v="BOUCHART LUDOVIC"/>
    <n v="5"/>
    <x v="1"/>
    <x v="0"/>
    <s v="PLAQUETTES"/>
    <x v="2"/>
    <n v="39.799999999999997"/>
  </r>
  <r>
    <d v="2025-05-24T05:17:32"/>
    <x v="0"/>
    <s v="Plaquettes d'ébauches rhombiques"/>
    <s v="10301115"/>
    <s v="BOUCHART LUDOVIC"/>
    <n v="5"/>
    <x v="1"/>
    <x v="0"/>
    <s v="PLAQUETTES"/>
    <x v="2"/>
    <n v="39.799999999999997"/>
  </r>
  <r>
    <d v="2025-05-24T05:17:49"/>
    <x v="0"/>
    <s v="Plaquettes d'ébauches rhombiques"/>
    <s v="10301115"/>
    <s v="BOUCHART LUDOVIC"/>
    <n v="5"/>
    <x v="1"/>
    <x v="2"/>
    <s v="PLAQUETTES"/>
    <x v="2"/>
    <n v="39.799999999999997"/>
  </r>
  <r>
    <d v="2025-05-24T05:18:03"/>
    <x v="2"/>
    <s v="Plaquettes de finition carrées"/>
    <s v="10301115"/>
    <s v="BOUCHART LUDOVIC"/>
    <n v="5"/>
    <x v="1"/>
    <x v="2"/>
    <s v="PLAQUETTES"/>
    <x v="2"/>
    <n v="47.8"/>
  </r>
  <r>
    <d v="2025-05-25T17:09:43"/>
    <x v="3"/>
    <s v="Plaquettes d'ébauches carrées"/>
    <s v="10301115"/>
    <s v="BOUCHART LUDOVIC"/>
    <n v="5"/>
    <x v="0"/>
    <x v="3"/>
    <s v="PLAQUETTES"/>
    <x v="3"/>
    <n v="39.799999999999997"/>
  </r>
  <r>
    <d v="2025-05-25T17:09:58"/>
    <x v="0"/>
    <s v="Plaquettes d'ébauches rhombiques"/>
    <s v="10301115"/>
    <s v="BOUCHART LUDOVIC"/>
    <n v="5"/>
    <x v="0"/>
    <x v="3"/>
    <s v="PLAQUETTES"/>
    <x v="3"/>
    <n v="39.799999999999997"/>
  </r>
  <r>
    <d v="2025-05-25T17:10:12"/>
    <x v="3"/>
    <s v="Plaquettes d'ébauches carrées"/>
    <s v="10301115"/>
    <s v="BOUCHART LUDOVIC"/>
    <n v="5"/>
    <x v="0"/>
    <x v="0"/>
    <s v="PLAQUETTES"/>
    <x v="3"/>
    <n v="39.799999999999997"/>
  </r>
  <r>
    <d v="2025-05-25T17:10:24"/>
    <x v="0"/>
    <s v="Plaquettes d'ébauches rhombiques"/>
    <s v="10301115"/>
    <s v="BOUCHART LUDOVIC"/>
    <n v="5"/>
    <x v="0"/>
    <x v="0"/>
    <s v="PLAQUETTES"/>
    <x v="3"/>
    <n v="39.799999999999997"/>
  </r>
  <r>
    <d v="2025-05-25T17:10:39"/>
    <x v="5"/>
    <s v="Plaquettes de finition"/>
    <s v="10301115"/>
    <s v="BOUCHART LUDOVIC"/>
    <n v="5"/>
    <x v="0"/>
    <x v="2"/>
    <s v="PLAQUETTES"/>
    <x v="3"/>
    <n v="42.5"/>
  </r>
  <r>
    <d v="2025-05-25T17:10:53"/>
    <x v="6"/>
    <s v="Plaquettes de finition triangulaires"/>
    <s v="10301115"/>
    <s v="BOUCHART LUDOVIC"/>
    <n v="5"/>
    <x v="0"/>
    <x v="2"/>
    <s v="PLAQUETTES"/>
    <x v="3"/>
    <n v="48.7"/>
  </r>
  <r>
    <d v="2025-05-25T17:11:12"/>
    <x v="2"/>
    <s v="Plaquettes de finition carrées"/>
    <s v="10301115"/>
    <s v="BOUCHART LUDOVIC"/>
    <n v="5"/>
    <x v="0"/>
    <x v="2"/>
    <s v="PLAQUETTES"/>
    <x v="3"/>
    <n v="47.8"/>
  </r>
  <r>
    <d v="2025-05-25T17:11:57"/>
    <x v="3"/>
    <s v="Plaquettes d'ébauches carrées"/>
    <s v="10301115"/>
    <s v="BOUCHART LUDOVIC"/>
    <n v="5"/>
    <x v="1"/>
    <x v="3"/>
    <s v="PLAQUETTES"/>
    <x v="2"/>
    <n v="39.799999999999997"/>
  </r>
  <r>
    <d v="2025-05-25T17:12:17"/>
    <x v="0"/>
    <s v="Plaquettes d'ébauches rhombiques"/>
    <s v="10301115"/>
    <s v="BOUCHART LUDOVIC"/>
    <n v="5"/>
    <x v="1"/>
    <x v="3"/>
    <s v="PLAQUETTES"/>
    <x v="2"/>
    <n v="39.799999999999997"/>
  </r>
  <r>
    <d v="2025-05-25T17:12:38"/>
    <x v="4"/>
    <s v="Plaquettes de gorges"/>
    <s v="10301115"/>
    <s v="BOUCHART LUDOVIC"/>
    <n v="10"/>
    <x v="1"/>
    <x v="0"/>
    <s v="PLAQUETTES"/>
    <x v="2"/>
    <n v="188"/>
  </r>
  <r>
    <d v="2025-05-25T17:12:55"/>
    <x v="3"/>
    <s v="Plaquettes d'ébauches carrées"/>
    <s v="10301115"/>
    <s v="BOUCHART LUDOVIC"/>
    <n v="5"/>
    <x v="1"/>
    <x v="0"/>
    <s v="PLAQUETTES"/>
    <x v="2"/>
    <n v="39.799999999999997"/>
  </r>
  <r>
    <d v="2025-05-25T17:13:11"/>
    <x v="0"/>
    <s v="Plaquettes d'ébauches rhombiques"/>
    <s v="10301115"/>
    <s v="BOUCHART LUDOVIC"/>
    <n v="5"/>
    <x v="1"/>
    <x v="0"/>
    <s v="PLAQUETTES"/>
    <x v="2"/>
    <n v="39.799999999999997"/>
  </r>
  <r>
    <d v="2025-05-25T17:13:33"/>
    <x v="0"/>
    <s v="Plaquettes d'ébauches rhombiques"/>
    <s v="10301115"/>
    <s v="BOUCHART LUDOVIC"/>
    <n v="5"/>
    <x v="1"/>
    <x v="2"/>
    <s v="PLAQUETTES"/>
    <x v="2"/>
    <n v="39.799999999999997"/>
  </r>
  <r>
    <d v="2025-05-25T17:13:46"/>
    <x v="2"/>
    <s v="Plaquettes de finition carrées"/>
    <s v="10301115"/>
    <s v="BOUCHART LUDOVIC"/>
    <n v="5"/>
    <x v="1"/>
    <x v="2"/>
    <s v="PLAQUETTES"/>
    <x v="2"/>
    <n v="47.8"/>
  </r>
  <r>
    <d v="2025-05-26T05:57:23"/>
    <x v="2"/>
    <s v="Plaquettes de finition carrées"/>
    <s v="SD75051"/>
    <s v="COMBALUZIER LUCAS"/>
    <n v="5"/>
    <x v="1"/>
    <x v="2"/>
    <s v="PLAQUETTES"/>
    <x v="2"/>
    <n v="47.8"/>
  </r>
  <r>
    <d v="2025-05-26T08:04:25"/>
    <x v="9"/>
    <s v="EMBOUT KENTIP D8.6"/>
    <s v="SF51433"/>
    <s v="BONTEMS COLINE"/>
    <n v="3"/>
    <x v="0"/>
    <x v="1"/>
    <s v="PLAQUETTES"/>
    <x v="1"/>
    <n v="150"/>
  </r>
  <r>
    <d v="2025-05-26T08:04:42"/>
    <x v="7"/>
    <s v="Plaquettes VCGT21A52 SP4019"/>
    <s v="SF51433"/>
    <s v="BONTEMS COLINE"/>
    <n v="5"/>
    <x v="0"/>
    <x v="1"/>
    <s v="PLAQUETTES"/>
    <x v="1"/>
    <n v="60.9"/>
  </r>
  <r>
    <d v="2025-05-26T08:28:24"/>
    <x v="1"/>
    <s v="EMBOUT KENTIP D13.3"/>
    <s v="SF51433"/>
    <s v="BONTEMS COLINE"/>
    <n v="3"/>
    <x v="0"/>
    <x v="1"/>
    <s v="PLAQUETTES"/>
    <x v="1"/>
    <n v="140.85"/>
  </r>
  <r>
    <d v="2025-05-26T08:31:23"/>
    <x v="1"/>
    <s v="EMBOUT KENTIP D13.3"/>
    <s v="SF51433"/>
    <s v="BONTEMS COLINE"/>
    <n v="1"/>
    <x v="0"/>
    <x v="1"/>
    <s v="PLAQUETTES"/>
    <x v="1"/>
    <n v="46.95"/>
  </r>
  <r>
    <d v="2025-05-26T22:02:21"/>
    <x v="2"/>
    <s v="Plaquettes de finition carrées"/>
    <s v="31224"/>
    <s v="BIDOT MURIEL"/>
    <n v="5"/>
    <x v="0"/>
    <x v="2"/>
    <s v="PLAQUETTES"/>
    <x v="0"/>
    <n v="47.8"/>
  </r>
  <r>
    <d v="2025-05-26T22:02:36"/>
    <x v="2"/>
    <s v="Plaquettes de finition carrées"/>
    <s v="31224"/>
    <s v="BIDOT MURIEL"/>
    <n v="5"/>
    <x v="0"/>
    <x v="2"/>
    <s v="PLAQUETTES"/>
    <x v="0"/>
    <n v="47.8"/>
  </r>
  <r>
    <d v="2025-05-26T22:02:51"/>
    <x v="2"/>
    <s v="Plaquettes de finition carrées"/>
    <s v="31224"/>
    <s v="BIDOT MURIEL"/>
    <n v="5"/>
    <x v="0"/>
    <x v="2"/>
    <s v="PLAQUETTES"/>
    <x v="0"/>
    <n v="47.8"/>
  </r>
  <r>
    <d v="2025-05-26T23:56:13"/>
    <x v="2"/>
    <s v="Plaquettes de finition carrées"/>
    <s v="070325"/>
    <s v="PEREIRA KEVIN"/>
    <n v="5"/>
    <x v="1"/>
    <x v="2"/>
    <s v="PLAQUETTES"/>
    <x v="3"/>
    <n v="47.8"/>
  </r>
  <r>
    <d v="2025-05-26T23:56:35"/>
    <x v="0"/>
    <s v="Plaquettes d'ébauches rhombiques"/>
    <s v="070325"/>
    <s v="PEREIRA KEVIN"/>
    <n v="5"/>
    <x v="1"/>
    <x v="3"/>
    <s v="PLAQUETTES"/>
    <x v="3"/>
    <n v="39.799999999999997"/>
  </r>
  <r>
    <d v="2025-05-27T05:41:03"/>
    <x v="4"/>
    <s v="Plaquettes de gorges"/>
    <s v="SD75051"/>
    <s v="COMBALUZIER LUCAS"/>
    <n v="10"/>
    <x v="0"/>
    <x v="0"/>
    <s v="PLAQUETTES"/>
    <x v="0"/>
    <n v="188"/>
  </r>
  <r>
    <d v="2025-05-27T08:03:07"/>
    <x v="9"/>
    <s v="EMBOUT KENTIP D8.6"/>
    <s v="SF51433"/>
    <s v="BONTEMS COLINE"/>
    <n v="2"/>
    <x v="0"/>
    <x v="1"/>
    <s v="PLAQUETTES"/>
    <x v="1"/>
    <n v="100"/>
  </r>
  <r>
    <d v="2025-05-27T08:42:01"/>
    <x v="10"/>
    <s v="Plaquettes TPGX0902ZPRGD KC7315"/>
    <s v="SF51433"/>
    <s v="BONTEMS COLINE"/>
    <n v="10"/>
    <x v="0"/>
    <x v="1"/>
    <s v="PLAQUETTES"/>
    <x v="1"/>
    <n v="81.5"/>
  </r>
  <r>
    <d v="2025-05-27T08:50:19"/>
    <x v="1"/>
    <s v="EMBOUT KENTIP D13.3"/>
    <s v="SF51433"/>
    <s v="BONTEMS COLINE"/>
    <n v="2"/>
    <x v="0"/>
    <x v="1"/>
    <s v="PLAQUETTES"/>
    <x v="1"/>
    <n v="93.9"/>
  </r>
  <r>
    <d v="2025-05-27T09:05:53"/>
    <x v="1"/>
    <s v="EMBOUT KENTIP D13.3"/>
    <s v="SF51433"/>
    <s v="BONTEMS COLINE"/>
    <n v="1"/>
    <x v="0"/>
    <x v="1"/>
    <s v="PLAQUETTES"/>
    <x v="1"/>
    <n v="46.95"/>
  </r>
  <r>
    <d v="2025-05-27T19:14:05"/>
    <x v="3"/>
    <s v="Plaquettes d'ébauches carrées"/>
    <s v="090225"/>
    <s v="MEYER THOMAS"/>
    <n v="5"/>
    <x v="0"/>
    <x v="3"/>
    <s v="PLAQUETTES"/>
    <x v="0"/>
    <n v="39.799999999999997"/>
  </r>
  <r>
    <d v="2025-05-28T00:34:30"/>
    <x v="3"/>
    <s v="Plaquettes d'ébauches carrées"/>
    <s v="31224"/>
    <s v="BIDOT MURIEL"/>
    <n v="5"/>
    <x v="0"/>
    <x v="3"/>
    <s v="PLAQUETTES"/>
    <x v="0"/>
    <n v="39.799999999999997"/>
  </r>
  <r>
    <d v="2025-05-28T00:34:45"/>
    <x v="3"/>
    <s v="Plaquettes d'ébauches carrées"/>
    <s v="31224"/>
    <s v="BIDOT MURIEL"/>
    <n v="5"/>
    <x v="0"/>
    <x v="3"/>
    <s v="PLAQUETTES"/>
    <x v="0"/>
    <n v="39.799999999999997"/>
  </r>
  <r>
    <d v="2025-05-28T00:35:03"/>
    <x v="4"/>
    <s v="Plaquettes de gorges"/>
    <s v="31224"/>
    <s v="BIDOT MURIEL"/>
    <n v="10"/>
    <x v="0"/>
    <x v="0"/>
    <s v="PLAQUETTES"/>
    <x v="0"/>
    <n v="188"/>
  </r>
  <r>
    <d v="2025-05-28T00:35:18"/>
    <x v="2"/>
    <s v="Plaquettes de finition carrées"/>
    <s v="31224"/>
    <s v="BIDOT MURIEL"/>
    <n v="5"/>
    <x v="0"/>
    <x v="2"/>
    <s v="PLAQUETTES"/>
    <x v="0"/>
    <n v="47.8"/>
  </r>
  <r>
    <d v="2025-05-28T00:35:31"/>
    <x v="2"/>
    <s v="Plaquettes de finition carrées"/>
    <s v="31224"/>
    <s v="BIDOT MURIEL"/>
    <n v="5"/>
    <x v="0"/>
    <x v="2"/>
    <s v="PLAQUETTES"/>
    <x v="0"/>
    <n v="47.8"/>
  </r>
  <r>
    <d v="2025-05-28T00:35:43"/>
    <x v="2"/>
    <s v="Plaquettes de finition carrées"/>
    <s v="31224"/>
    <s v="BIDOT MURIEL"/>
    <n v="5"/>
    <x v="0"/>
    <x v="2"/>
    <s v="PLAQUETTES"/>
    <x v="0"/>
    <n v="47.8"/>
  </r>
  <r>
    <d v="2025-05-28T07:49:09"/>
    <x v="3"/>
    <s v="Plaquettes d'ébauches carrées"/>
    <s v="SD75051"/>
    <s v="COMBALUZIER LUCAS"/>
    <n v="5"/>
    <x v="1"/>
    <x v="3"/>
    <s v="PLAQUETTES"/>
    <x v="3"/>
    <n v="39.799999999999997"/>
  </r>
  <r>
    <d v="2025-05-28T07:49:33"/>
    <x v="3"/>
    <s v="Plaquettes d'ébauches carrées"/>
    <s v="SD75051"/>
    <s v="COMBALUZIER LUCAS"/>
    <n v="5"/>
    <x v="0"/>
    <x v="0"/>
    <s v="PLAQUETTES"/>
    <x v="0"/>
    <n v="39.799999999999997"/>
  </r>
  <r>
    <d v="2025-05-28T10:00:39"/>
    <x v="9"/>
    <s v="EMBOUT KENTIP D8.6"/>
    <s v="SF51433"/>
    <s v="BONTEMS COLINE"/>
    <n v="1"/>
    <x v="0"/>
    <x v="1"/>
    <s v="PLAQUETTES"/>
    <x v="1"/>
    <n v="50"/>
  </r>
  <r>
    <d v="2025-05-28T10:01:48"/>
    <x v="9"/>
    <s v="EMBOUT KENTIP D8.6"/>
    <s v="SF51433"/>
    <s v="BONTEMS COLINE"/>
    <n v="2"/>
    <x v="0"/>
    <x v="1"/>
    <s v="PLAQUETTES"/>
    <x v="1"/>
    <n v="100"/>
  </r>
  <r>
    <d v="2025-05-28T10:05:41"/>
    <x v="9"/>
    <s v="EMBOUT KENTIP D8.6"/>
    <s v="SF51433"/>
    <s v="BONTEMS COLINE"/>
    <n v="1"/>
    <x v="0"/>
    <x v="1"/>
    <s v="PLAQUETTES"/>
    <x v="1"/>
    <n v="50"/>
  </r>
  <r>
    <d v="2025-05-28T10:13:52"/>
    <x v="1"/>
    <s v="EMBOUT KENTIP D13.3"/>
    <s v="SF51433"/>
    <s v="BONTEMS COLINE"/>
    <n v="1"/>
    <x v="0"/>
    <x v="1"/>
    <s v="PLAQUETTES"/>
    <x v="1"/>
    <n v="46.95"/>
  </r>
  <r>
    <d v="2025-05-28T10:21:52"/>
    <x v="9"/>
    <s v="EMBOUT KENTIP D8.6"/>
    <s v="SF51433"/>
    <s v="BONTEMS COLINE"/>
    <n v="1"/>
    <x v="1"/>
    <x v="1"/>
    <s v="PLAQUETTES"/>
    <x v="1"/>
    <n v="50"/>
  </r>
  <r>
    <d v="2025-05-28T20:51:30"/>
    <x v="3"/>
    <s v="Plaquettes d'ébauches carrées"/>
    <s v="090225"/>
    <s v="MEYER THOMAS"/>
    <n v="5"/>
    <x v="0"/>
    <x v="3"/>
    <s v="PLAQUETTES"/>
    <x v="0"/>
    <n v="39.799999999999997"/>
  </r>
  <r>
    <d v="2025-05-28T20:51:42"/>
    <x v="3"/>
    <s v="Plaquettes d'ébauches carrées"/>
    <s v="090225"/>
    <s v="MEYER THOMAS"/>
    <n v="5"/>
    <x v="1"/>
    <x v="3"/>
    <s v="PLAQUETTES"/>
    <x v="3"/>
    <n v="39.799999999999997"/>
  </r>
  <r>
    <d v="2025-05-28T20:52:03"/>
    <x v="3"/>
    <s v="Plaquettes d'ébauches carrées"/>
    <s v="090225"/>
    <s v="MEYER THOMAS"/>
    <n v="5"/>
    <x v="0"/>
    <x v="0"/>
    <s v="PLAQUETTES"/>
    <x v="0"/>
    <n v="39.799999999999997"/>
  </r>
  <r>
    <d v="2025-05-28T21:47:19"/>
    <x v="2"/>
    <s v="Plaquettes de finition carrées"/>
    <s v="070325"/>
    <s v="PEREIRA KEVIN"/>
    <n v="5"/>
    <x v="1"/>
    <x v="2"/>
    <s v="PLAQUETTES"/>
    <x v="3"/>
    <n v="47.8"/>
  </r>
  <r>
    <d v="2025-05-28T21:47:43"/>
    <x v="4"/>
    <s v="Plaquettes de gorges"/>
    <s v="070325"/>
    <s v="PEREIRA KEVIN"/>
    <n v="10"/>
    <x v="0"/>
    <x v="0"/>
    <s v="PLAQUETTES"/>
    <x v="0"/>
    <n v="188"/>
  </r>
  <r>
    <d v="2025-05-28T21:48:02"/>
    <x v="3"/>
    <s v="Plaquettes d'ébauches carrées"/>
    <s v="070325"/>
    <s v="PEREIRA KEVIN"/>
    <n v="5"/>
    <x v="0"/>
    <x v="3"/>
    <s v="PLAQUETTES"/>
    <x v="0"/>
    <n v="39.799999999999997"/>
  </r>
  <r>
    <d v="2025-05-28T22:00:15"/>
    <x v="2"/>
    <s v="Plaquettes de finition carrées"/>
    <s v="31224"/>
    <s v="BIDOT MURIEL"/>
    <n v="5"/>
    <x v="0"/>
    <x v="2"/>
    <s v="PLAQUETTES"/>
    <x v="0"/>
    <n v="47.8"/>
  </r>
  <r>
    <d v="2025-05-28T22:00:33"/>
    <x v="2"/>
    <s v="Plaquettes de finition carrées"/>
    <s v="31224"/>
    <s v="BIDOT MURIEL"/>
    <n v="5"/>
    <x v="0"/>
    <x v="2"/>
    <s v="PLAQUETTES"/>
    <x v="0"/>
    <n v="47.8"/>
  </r>
  <r>
    <d v="2025-05-29T01:44:01"/>
    <x v="2"/>
    <s v="Plaquettes de finition carrées"/>
    <s v="070325"/>
    <s v="PEREIRA KEVIN"/>
    <n v="5"/>
    <x v="1"/>
    <x v="2"/>
    <s v="PLAQUETTES"/>
    <x v="3"/>
    <n v="47.8"/>
  </r>
  <r>
    <d v="2025-05-29T13:58:19"/>
    <x v="9"/>
    <s v="EMBOUT KENTIP D8.6"/>
    <s v="18498233"/>
    <s v="ALVES ARTHUR"/>
    <n v="3"/>
    <x v="0"/>
    <x v="1"/>
    <s v="PLAQUETTES"/>
    <x v="1"/>
    <n v="150"/>
  </r>
  <r>
    <d v="2025-05-30T05:15:18"/>
    <x v="3"/>
    <s v="Plaquettes d'ébauches carrées"/>
    <s v="U509351"/>
    <s v="DELIAT CHRISTOPHE"/>
    <n v="5"/>
    <x v="0"/>
    <x v="3"/>
    <s v="PLAQUETTES"/>
    <x v="0"/>
    <n v="39.799999999999997"/>
  </r>
  <r>
    <d v="2025-05-30T05:15:31"/>
    <x v="0"/>
    <s v="Plaquettes d'ébauches rhombiques"/>
    <s v="U509351"/>
    <s v="DELIAT CHRISTOPHE"/>
    <n v="5"/>
    <x v="0"/>
    <x v="3"/>
    <s v="PLAQUETTES"/>
    <x v="0"/>
    <n v="39.799999999999997"/>
  </r>
  <r>
    <d v="2025-05-30T05:15:52"/>
    <x v="4"/>
    <s v="Plaquettes de gorges"/>
    <s v="U509351"/>
    <s v="DELIAT CHRISTOPHE"/>
    <n v="10"/>
    <x v="0"/>
    <x v="0"/>
    <s v="PLAQUETTES"/>
    <x v="0"/>
    <n v="188"/>
  </r>
  <r>
    <d v="2025-05-30T05:16:10"/>
    <x v="3"/>
    <s v="Plaquettes d'ébauches carrées"/>
    <s v="U509351"/>
    <s v="DELIAT CHRISTOPHE"/>
    <n v="5"/>
    <x v="0"/>
    <x v="0"/>
    <s v="PLAQUETTES"/>
    <x v="0"/>
    <n v="39.799999999999997"/>
  </r>
  <r>
    <d v="2025-05-30T05:16:23"/>
    <x v="0"/>
    <s v="Plaquettes d'ébauches rhombiques"/>
    <s v="U509351"/>
    <s v="DELIAT CHRISTOPHE"/>
    <n v="5"/>
    <x v="0"/>
    <x v="0"/>
    <s v="PLAQUETTES"/>
    <x v="0"/>
    <n v="39.799999999999997"/>
  </r>
  <r>
    <d v="2025-05-30T05:16:43"/>
    <x v="3"/>
    <s v="Plaquettes d'ébauches carrées"/>
    <s v="U509351"/>
    <s v="DELIAT CHRISTOPHE"/>
    <n v="5"/>
    <x v="1"/>
    <x v="3"/>
    <s v="PLAQUETTES"/>
    <x v="3"/>
    <n v="39.799999999999997"/>
  </r>
  <r>
    <d v="2025-05-30T05:16:56"/>
    <x v="0"/>
    <s v="Plaquettes d'ébauches rhombiques"/>
    <s v="U509351"/>
    <s v="DELIAT CHRISTOPHE"/>
    <n v="5"/>
    <x v="1"/>
    <x v="3"/>
    <s v="PLAQUETTES"/>
    <x v="3"/>
    <n v="39.799999999999997"/>
  </r>
  <r>
    <d v="2025-05-30T05:17:15"/>
    <x v="3"/>
    <s v="Plaquettes d'ébauches carrées"/>
    <s v="U509351"/>
    <s v="DELIAT CHRISTOPHE"/>
    <n v="5"/>
    <x v="1"/>
    <x v="0"/>
    <s v="PLAQUETTES"/>
    <x v="3"/>
    <n v="39.799999999999997"/>
  </r>
  <r>
    <d v="2025-05-30T05:17:29"/>
    <x v="0"/>
    <s v="Plaquettes d'ébauches rhombiques"/>
    <s v="U509351"/>
    <s v="DELIAT CHRISTOPHE"/>
    <n v="5"/>
    <x v="1"/>
    <x v="0"/>
    <s v="PLAQUETTES"/>
    <x v="3"/>
    <n v="39.799999999999997"/>
  </r>
  <r>
    <d v="2025-05-30T08:32:18"/>
    <x v="2"/>
    <s v="Plaquettes de finition carrées"/>
    <s v="U080365"/>
    <s v="ALAVOINE SAMUEL"/>
    <n v="5"/>
    <x v="1"/>
    <x v="2"/>
    <s v="PLAQUETTES"/>
    <x v="3"/>
    <n v="47.8"/>
  </r>
  <r>
    <d v="2025-05-30T12:36:09"/>
    <x v="3"/>
    <s v="Plaquettes d'ébauches carrées"/>
    <s v="U509351"/>
    <s v="DELIAT CHRISTOPHE"/>
    <n v="5"/>
    <x v="1"/>
    <x v="3"/>
    <s v="PLAQUETTES"/>
    <x v="3"/>
    <n v="39.799999999999997"/>
  </r>
  <r>
    <d v="2025-05-30T12:36:22"/>
    <x v="3"/>
    <s v="Plaquettes d'ébauches carrées"/>
    <s v="U509351"/>
    <s v="DELIAT CHRISTOPHE"/>
    <n v="5"/>
    <x v="1"/>
    <x v="0"/>
    <s v="PLAQUETTES"/>
    <x v="3"/>
    <n v="39.799999999999997"/>
  </r>
  <r>
    <d v="2025-05-30T12:36:37"/>
    <x v="3"/>
    <s v="Plaquettes d'ébauches carrées"/>
    <s v="U509351"/>
    <s v="DELIAT CHRISTOPHE"/>
    <n v="5"/>
    <x v="0"/>
    <x v="3"/>
    <s v="PLAQUETTES"/>
    <x v="0"/>
    <n v="39.799999999999997"/>
  </r>
  <r>
    <d v="2025-05-30T18:24:31"/>
    <x v="2"/>
    <s v="Plaquettes de finition carrées"/>
    <s v="7236310"/>
    <s v="OZYURT IREM"/>
    <n v="5"/>
    <x v="1"/>
    <x v="2"/>
    <s v="PLAQUETTES"/>
    <x v="3"/>
    <n v="47.8"/>
  </r>
  <r>
    <d v="2025-05-31T02:50:32"/>
    <x v="2"/>
    <s v="Plaquettes de finition carrées"/>
    <s v="070325"/>
    <s v="PEREIRA KEVIN"/>
    <n v="5"/>
    <x v="1"/>
    <x v="2"/>
    <s v="PLAQUETTES"/>
    <x v="3"/>
    <n v="47.8"/>
  </r>
  <r>
    <d v="2025-05-31T02:50:54"/>
    <x v="6"/>
    <s v="Plaquettes de finition triangulaires"/>
    <s v="070325"/>
    <s v="PEREIRA KEVIN"/>
    <n v="5"/>
    <x v="1"/>
    <x v="2"/>
    <s v="PLAQUETTES"/>
    <x v="3"/>
    <n v="48.7"/>
  </r>
  <r>
    <d v="2025-05-31T05:35:17"/>
    <x v="2"/>
    <s v="Plaquettes de finition carrées"/>
    <s v="10301115"/>
    <s v="BOUCHART LUDOVIC"/>
    <n v="5"/>
    <x v="0"/>
    <x v="2"/>
    <s v="PLAQUETTES"/>
    <x v="0"/>
    <n v="47.8"/>
  </r>
  <r>
    <d v="2025-05-31T05:35:33"/>
    <x v="2"/>
    <s v="Plaquettes de finition carrées"/>
    <s v="10301115"/>
    <s v="BOUCHART LUDOVIC"/>
    <n v="5"/>
    <x v="0"/>
    <x v="2"/>
    <s v="PLAQUETTES"/>
    <x v="0"/>
    <n v="47.8"/>
  </r>
  <r>
    <d v="2025-05-31T05:36:00"/>
    <x v="5"/>
    <s v="Plaquettes de finition"/>
    <s v="10301115"/>
    <s v="BOUCHART LUDOVIC"/>
    <n v="5"/>
    <x v="1"/>
    <x v="2"/>
    <s v="PLAQUETTES"/>
    <x v="3"/>
    <n v="42.5"/>
  </r>
  <r>
    <d v="2025-05-31T05:36:14"/>
    <x v="6"/>
    <s v="Plaquettes de finition triangulaires"/>
    <s v="10301115"/>
    <s v="BOUCHART LUDOVIC"/>
    <n v="5"/>
    <x v="1"/>
    <x v="2"/>
    <s v="PLAQUETTES"/>
    <x v="3"/>
    <n v="48.7"/>
  </r>
  <r>
    <d v="2025-05-31T05:36:31"/>
    <x v="2"/>
    <s v="Plaquettes de finition carrées"/>
    <s v="10301115"/>
    <s v="BOUCHART LUDOVIC"/>
    <n v="5"/>
    <x v="1"/>
    <x v="2"/>
    <s v="PLAQUETTES"/>
    <x v="3"/>
    <n v="47.8"/>
  </r>
  <r>
    <d v="2025-05-31T05:36:46"/>
    <x v="2"/>
    <s v="Plaquettes de finition carrées"/>
    <s v="10301115"/>
    <s v="BOUCHART LUDOVIC"/>
    <n v="5"/>
    <x v="1"/>
    <x v="2"/>
    <s v="PLAQUETTES"/>
    <x v="3"/>
    <n v="47.8"/>
  </r>
  <r>
    <d v="2025-05-31T06:08:18"/>
    <x v="3"/>
    <s v="Plaquettes d'ébauches carrées"/>
    <s v="U509351"/>
    <s v="DELIAT CHRISTOPHE"/>
    <n v="5"/>
    <x v="0"/>
    <x v="3"/>
    <s v="PLAQUETTES"/>
    <x v="0"/>
    <n v="39.799999999999997"/>
  </r>
  <r>
    <d v="2025-05-31T06:08:47"/>
    <x v="3"/>
    <s v="Plaquettes d'ébauches carrées"/>
    <s v="U509351"/>
    <s v="DELIAT CHRISTOPHE"/>
    <n v="5"/>
    <x v="0"/>
    <x v="0"/>
    <s v="PLAQUETTES"/>
    <x v="0"/>
    <n v="39.799999999999997"/>
  </r>
  <r>
    <d v="2025-05-31T06:09:16"/>
    <x v="0"/>
    <s v="Plaquettes d'ébauches rhombiques"/>
    <s v="U509351"/>
    <s v="DELIAT CHRISTOPHE"/>
    <n v="5"/>
    <x v="0"/>
    <x v="3"/>
    <s v="PLAQUETTES"/>
    <x v="0"/>
    <n v="39.799999999999997"/>
  </r>
  <r>
    <d v="2025-05-31T06:09:32"/>
    <x v="0"/>
    <s v="Plaquettes d'ébauches rhombiques"/>
    <s v="U509351"/>
    <s v="DELIAT CHRISTOPHE"/>
    <n v="5"/>
    <x v="0"/>
    <x v="0"/>
    <s v="PLAQUETTES"/>
    <x v="0"/>
    <n v="39.799999999999997"/>
  </r>
  <r>
    <d v="2025-05-31T06:09:46"/>
    <x v="4"/>
    <s v="Plaquettes de gorges"/>
    <s v="U509351"/>
    <s v="DELIAT CHRISTOPHE"/>
    <n v="10"/>
    <x v="0"/>
    <x v="0"/>
    <s v="PLAQUETTES"/>
    <x v="0"/>
    <n v="188"/>
  </r>
  <r>
    <d v="2025-05-31T06:10:09"/>
    <x v="3"/>
    <s v="Plaquettes d'ébauches carrées"/>
    <s v="U509351"/>
    <s v="DELIAT CHRISTOPHE"/>
    <n v="5"/>
    <x v="1"/>
    <x v="3"/>
    <s v="PLAQUETTES"/>
    <x v="3"/>
    <n v="39.799999999999997"/>
  </r>
  <r>
    <d v="2025-05-31T06:10:25"/>
    <x v="0"/>
    <s v="Plaquettes d'ébauches rhombiques"/>
    <s v="U509351"/>
    <s v="DELIAT CHRISTOPHE"/>
    <n v="5"/>
    <x v="1"/>
    <x v="3"/>
    <s v="PLAQUETTES"/>
    <x v="3"/>
    <n v="39.799999999999997"/>
  </r>
  <r>
    <d v="2025-05-31T06:10:38"/>
    <x v="3"/>
    <s v="Plaquettes d'ébauches carrées"/>
    <s v="U509351"/>
    <s v="DELIAT CHRISTOPHE"/>
    <n v="5"/>
    <x v="1"/>
    <x v="0"/>
    <s v="PLAQUETTES"/>
    <x v="3"/>
    <n v="39.799999999999997"/>
  </r>
  <r>
    <d v="2025-05-31T06:10:51"/>
    <x v="0"/>
    <s v="Plaquettes d'ébauches rhombiques"/>
    <s v="U509351"/>
    <s v="DELIAT CHRISTOPHE"/>
    <n v="5"/>
    <x v="1"/>
    <x v="0"/>
    <s v="PLAQUETTES"/>
    <x v="3"/>
    <n v="39.799999999999997"/>
  </r>
  <r>
    <d v="2025-05-31T08:05:10"/>
    <x v="3"/>
    <s v="Plaquettes d'ébauches carrées"/>
    <s v="U509351"/>
    <s v="DELIAT CHRISTOPHE"/>
    <n v="5"/>
    <x v="1"/>
    <x v="3"/>
    <s v="PLAQUETTES"/>
    <x v="3"/>
    <n v="39.799999999999997"/>
  </r>
  <r>
    <d v="2025-05-31T08:05:24"/>
    <x v="0"/>
    <s v="Plaquettes d'ébauches rhombiques"/>
    <s v="U509351"/>
    <s v="DELIAT CHRISTOPHE"/>
    <n v="5"/>
    <x v="1"/>
    <x v="3"/>
    <s v="PLAQUETTES"/>
    <x v="3"/>
    <n v="39.799999999999997"/>
  </r>
  <r>
    <d v="2025-06-01T17:33:24"/>
    <x v="3"/>
    <s v="Plaquettes d'ébauches carrées"/>
    <s v="10301115"/>
    <s v="BOUCHART LUDOVIC"/>
    <n v="5"/>
    <x v="0"/>
    <x v="3"/>
    <s v="PLAQUETTES"/>
    <x v="0"/>
    <n v="39.799999999999997"/>
  </r>
  <r>
    <d v="2025-06-01T17:33:36"/>
    <x v="0"/>
    <s v="Plaquettes d'ébauches rhombiques"/>
    <s v="10301115"/>
    <s v="BOUCHART LUDOVIC"/>
    <n v="5"/>
    <x v="0"/>
    <x v="3"/>
    <s v="PLAQUETTES"/>
    <x v="0"/>
    <n v="39.799999999999997"/>
  </r>
  <r>
    <d v="2025-06-01T17:33:50"/>
    <x v="4"/>
    <s v="Plaquettes de gorges"/>
    <s v="10301115"/>
    <s v="BOUCHART LUDOVIC"/>
    <n v="10"/>
    <x v="0"/>
    <x v="0"/>
    <s v="PLAQUETTES"/>
    <x v="0"/>
    <n v="188"/>
  </r>
  <r>
    <d v="2025-06-01T17:34:03"/>
    <x v="3"/>
    <s v="Plaquettes d'ébauches carrées"/>
    <s v="10301115"/>
    <s v="BOUCHART LUDOVIC"/>
    <n v="5"/>
    <x v="0"/>
    <x v="0"/>
    <s v="PLAQUETTES"/>
    <x v="0"/>
    <n v="39.799999999999997"/>
  </r>
  <r>
    <d v="2025-06-01T17:34:18"/>
    <x v="0"/>
    <s v="Plaquettes d'ébauches rhombiques"/>
    <s v="10301115"/>
    <s v="BOUCHART LUDOVIC"/>
    <n v="5"/>
    <x v="0"/>
    <x v="0"/>
    <s v="PLAQUETTES"/>
    <x v="0"/>
    <n v="39.799999999999997"/>
  </r>
  <r>
    <d v="2025-06-01T17:34:33"/>
    <x v="2"/>
    <s v="Plaquettes de finition carrées"/>
    <s v="10301115"/>
    <s v="BOUCHART LUDOVIC"/>
    <n v="5"/>
    <x v="0"/>
    <x v="2"/>
    <s v="PLAQUETTES"/>
    <x v="0"/>
    <n v="47.8"/>
  </r>
  <r>
    <d v="2025-06-01T17:34:47"/>
    <x v="3"/>
    <s v="Plaquettes d'ébauches carrées"/>
    <s v="10301115"/>
    <s v="BOUCHART LUDOVIC"/>
    <n v="5"/>
    <x v="1"/>
    <x v="3"/>
    <s v="PLAQUETTES"/>
    <x v="3"/>
    <n v="39.799999999999997"/>
  </r>
  <r>
    <d v="2025-06-01T17:35:01"/>
    <x v="0"/>
    <s v="Plaquettes d'ébauches rhombiques"/>
    <s v="10301115"/>
    <s v="BOUCHART LUDOVIC"/>
    <n v="5"/>
    <x v="1"/>
    <x v="3"/>
    <s v="PLAQUETTES"/>
    <x v="3"/>
    <n v="39.799999999999997"/>
  </r>
  <r>
    <d v="2025-06-01T17:35:15"/>
    <x v="3"/>
    <s v="Plaquettes d'ébauches carrées"/>
    <s v="10301115"/>
    <s v="BOUCHART LUDOVIC"/>
    <n v="5"/>
    <x v="1"/>
    <x v="0"/>
    <s v="PLAQUETTES"/>
    <x v="3"/>
    <n v="39.799999999999997"/>
  </r>
  <r>
    <d v="2025-06-01T17:35:27"/>
    <x v="0"/>
    <s v="Plaquettes d'ébauches rhombiques"/>
    <s v="10301115"/>
    <s v="BOUCHART LUDOVIC"/>
    <n v="5"/>
    <x v="1"/>
    <x v="0"/>
    <s v="PLAQUETTES"/>
    <x v="3"/>
    <n v="39.799999999999997"/>
  </r>
  <r>
    <d v="2025-06-01T17:35:42"/>
    <x v="5"/>
    <s v="Plaquettes de finition"/>
    <s v="10301115"/>
    <s v="BOUCHART LUDOVIC"/>
    <n v="5"/>
    <x v="1"/>
    <x v="2"/>
    <s v="PLAQUETTES"/>
    <x v="3"/>
    <n v="42.5"/>
  </r>
  <r>
    <d v="2025-06-01T17:35:53"/>
    <x v="6"/>
    <s v="Plaquettes de finition triangulaires"/>
    <s v="10301115"/>
    <s v="BOUCHART LUDOVIC"/>
    <n v="5"/>
    <x v="1"/>
    <x v="2"/>
    <s v="PLAQUETTES"/>
    <x v="3"/>
    <n v="48.7"/>
  </r>
  <r>
    <d v="2025-06-01T17:36:07"/>
    <x v="2"/>
    <s v="Plaquettes de finition carrées"/>
    <s v="10301115"/>
    <s v="BOUCHART LUDOVIC"/>
    <n v="5"/>
    <x v="1"/>
    <x v="2"/>
    <s v="PLAQUETTES"/>
    <x v="3"/>
    <n v="47.8"/>
  </r>
  <r>
    <d v="2025-06-02T14:32:08"/>
    <x v="9"/>
    <s v="EMBOUT KENTIP D8.6"/>
    <s v="12824586"/>
    <s v="DASILVA FERNANDO"/>
    <n v="5"/>
    <x v="1"/>
    <x v="1"/>
    <s v="PLAQUETTES"/>
    <x v="1"/>
    <n v="250"/>
  </r>
  <r>
    <d v="2025-06-03T04:10:28"/>
    <x v="2"/>
    <s v="Plaquettes de finition carrées"/>
    <s v="SC95213"/>
    <s v="RABET PAULINE"/>
    <n v="5"/>
    <x v="0"/>
    <x v="2"/>
    <s v="PLAQUETTES"/>
    <x v="4"/>
    <n v="47.8"/>
  </r>
  <r>
    <d v="2025-06-03T04:10:53"/>
    <x v="4"/>
    <s v="Plaquettes de gorges"/>
    <s v="SC95213"/>
    <s v="RABET PAULINE"/>
    <n v="10"/>
    <x v="0"/>
    <x v="0"/>
    <s v="PLAQUETTES"/>
    <x v="4"/>
    <n v="188"/>
  </r>
  <r>
    <d v="2025-06-03T11:33:44"/>
    <x v="9"/>
    <s v="EMBOUT KENTIP D8.6"/>
    <s v="12824586"/>
    <s v="DASILVA FERNANDO"/>
    <n v="1"/>
    <x v="1"/>
    <x v="1"/>
    <s v="PLAQUETTES"/>
    <x v="1"/>
    <n v="50"/>
  </r>
  <r>
    <d v="2025-06-03T11:50:37"/>
    <x v="3"/>
    <s v="Plaquettes d'ébauches carrées"/>
    <s v="090225"/>
    <s v="MEYER THOMAS"/>
    <n v="5"/>
    <x v="0"/>
    <x v="3"/>
    <s v="PLAQUETTES"/>
    <x v="4"/>
    <n v="39.799999999999997"/>
  </r>
  <r>
    <d v="2025-06-03T11:50:50"/>
    <x v="3"/>
    <s v="Plaquettes d'ébauches carrées"/>
    <s v="090225"/>
    <s v="MEYER THOMAS"/>
    <n v="5"/>
    <x v="0"/>
    <x v="0"/>
    <s v="PLAQUETTES"/>
    <x v="4"/>
    <n v="39.799999999999997"/>
  </r>
  <r>
    <d v="2025-06-03T11:51:16"/>
    <x v="0"/>
    <s v="Plaquettes d'ébauches rhombiques"/>
    <s v="090225"/>
    <s v="MEYER THOMAS"/>
    <n v="5"/>
    <x v="0"/>
    <x v="0"/>
    <s v="PLAQUETTES"/>
    <x v="4"/>
    <n v="39.799999999999997"/>
  </r>
  <r>
    <d v="2025-06-03T11:51:30"/>
    <x v="3"/>
    <s v="Plaquettes d'ébauches carrées"/>
    <s v="090225"/>
    <s v="MEYER THOMAS"/>
    <n v="5"/>
    <x v="1"/>
    <x v="3"/>
    <s v="PLAQUETTES"/>
    <x v="3"/>
    <n v="39.799999999999997"/>
  </r>
  <r>
    <d v="2025-06-03T11:51:46"/>
    <x v="3"/>
    <s v="Plaquettes d'ébauches carrées"/>
    <s v="090225"/>
    <s v="MEYER THOMAS"/>
    <n v="5"/>
    <x v="1"/>
    <x v="0"/>
    <s v="PLAQUETTES"/>
    <x v="3"/>
    <n v="39.799999999999997"/>
  </r>
  <r>
    <d v="2025-06-03T11:51:57"/>
    <x v="0"/>
    <s v="Plaquettes d'ébauches rhombiques"/>
    <s v="090225"/>
    <s v="MEYER THOMAS"/>
    <n v="5"/>
    <x v="1"/>
    <x v="0"/>
    <s v="PLAQUETTES"/>
    <x v="3"/>
    <n v="39.799999999999997"/>
  </r>
  <r>
    <d v="2025-06-03T15:09:32"/>
    <x v="2"/>
    <s v="Plaquettes de finition carrées"/>
    <s v="31224"/>
    <s v="BIDOT MURIEL"/>
    <n v="5"/>
    <x v="0"/>
    <x v="2"/>
    <s v="PLAQUETTES"/>
    <x v="4"/>
    <n v="47.8"/>
  </r>
  <r>
    <d v="2025-06-03T15:09:43"/>
    <x v="2"/>
    <s v="Plaquettes de finition carrées"/>
    <s v="31224"/>
    <s v="BIDOT MURIEL"/>
    <n v="5"/>
    <x v="0"/>
    <x v="2"/>
    <s v="PLAQUETTES"/>
    <x v="4"/>
    <n v="47.8"/>
  </r>
  <r>
    <d v="2025-06-03T17:29:28"/>
    <x v="2"/>
    <s v="Plaquettes de finition carrées"/>
    <s v="070325"/>
    <s v="PEREIRA KEVIN"/>
    <n v="5"/>
    <x v="1"/>
    <x v="2"/>
    <s v="PLAQUETTES"/>
    <x v="3"/>
    <n v="47.8"/>
  </r>
  <r>
    <d v="2025-06-04T07:44:54"/>
    <x v="4"/>
    <s v="Plaquettes de gorges"/>
    <s v="090225"/>
    <s v="MEYER THOMAS"/>
    <n v="10"/>
    <x v="0"/>
    <x v="0"/>
    <s v="PLAQUETTES"/>
    <x v="4"/>
    <n v="188"/>
  </r>
  <r>
    <d v="2025-06-04T07:45:09"/>
    <x v="3"/>
    <s v="Plaquettes d'ébauches carrées"/>
    <s v="090225"/>
    <s v="MEYER THOMAS"/>
    <n v="5"/>
    <x v="0"/>
    <x v="3"/>
    <s v="PLAQUETTES"/>
    <x v="4"/>
    <n v="39.799999999999997"/>
  </r>
  <r>
    <d v="2025-06-04T08:02:29"/>
    <x v="10"/>
    <s v="Plaquettes TPGX0902ZPRGD KC7315"/>
    <s v="SF51433"/>
    <s v="BONTEMS COLINE"/>
    <n v="10"/>
    <x v="0"/>
    <x v="1"/>
    <s v="PLAQUETTES"/>
    <x v="1"/>
    <n v="81.5"/>
  </r>
  <r>
    <d v="2025-06-04T09:12:54"/>
    <x v="2"/>
    <s v="Plaquettes de finition carrées"/>
    <s v="7236310"/>
    <s v="OZYURT IREM"/>
    <n v="5"/>
    <x v="0"/>
    <x v="2"/>
    <s v="PLAQUETTES"/>
    <x v="4"/>
    <n v="47.8"/>
  </r>
  <r>
    <d v="2025-06-04T10:20:16"/>
    <x v="3"/>
    <s v="Plaquettes d'ébauches carrées"/>
    <s v="12824586"/>
    <s v="DASILVA FERNANDO"/>
    <n v="5"/>
    <x v="1"/>
    <x v="3"/>
    <s v="PLAQUETTES"/>
    <x v="2"/>
    <n v="39.799999999999997"/>
  </r>
  <r>
    <d v="2025-06-04T16:25:00"/>
    <x v="2"/>
    <s v="Plaquettes de finition carrées"/>
    <s v="31224"/>
    <s v="BIDOT MURIEL"/>
    <n v="5"/>
    <x v="0"/>
    <x v="2"/>
    <s v="PLAQUETTES"/>
    <x v="3"/>
    <n v="47.8"/>
  </r>
  <r>
    <d v="2025-06-04T16:25:13"/>
    <x v="2"/>
    <s v="Plaquettes de finition carrées"/>
    <s v="31224"/>
    <s v="BIDOT MURIEL"/>
    <n v="5"/>
    <x v="0"/>
    <x v="2"/>
    <s v="PLAQUETTES"/>
    <x v="3"/>
    <n v="47.8"/>
  </r>
  <r>
    <d v="2025-06-04T16:25:30"/>
    <x v="3"/>
    <s v="Plaquettes d'ébauches carrées"/>
    <s v="31224"/>
    <s v="BIDOT MURIEL"/>
    <n v="5"/>
    <x v="0"/>
    <x v="3"/>
    <s v="PLAQUETTES"/>
    <x v="3"/>
    <n v="39.799999999999997"/>
  </r>
  <r>
    <d v="2025-06-04T20:26:52"/>
    <x v="4"/>
    <s v="Plaquettes de gorges"/>
    <s v="070325"/>
    <s v="PEREIRA KEVIN"/>
    <n v="10"/>
    <x v="1"/>
    <x v="0"/>
    <s v="PLAQUETTES"/>
    <x v="2"/>
    <n v="188"/>
  </r>
  <r>
    <d v="2025-06-05T01:18:26"/>
    <x v="2"/>
    <s v="Plaquettes de finition carrées"/>
    <s v="SE38185"/>
    <s v="PIERRE NICOLAS VENIAT"/>
    <n v="5"/>
    <x v="1"/>
    <x v="2"/>
    <s v="PLAQUETTES"/>
    <x v="2"/>
    <n v="47.8"/>
  </r>
  <r>
    <d v="2025-06-05T01:18:45"/>
    <x v="2"/>
    <s v="Plaquettes de finition carrées"/>
    <s v="SE38185"/>
    <s v="PIERRE NICOLAS VENIAT"/>
    <n v="5"/>
    <x v="1"/>
    <x v="2"/>
    <s v="PLAQUETTES"/>
    <x v="2"/>
    <n v="47.8"/>
  </r>
  <r>
    <d v="2025-06-05T06:44:12"/>
    <x v="3"/>
    <s v="Plaquettes d'ébauches carrées"/>
    <s v="090225"/>
    <s v="MEYER THOMAS"/>
    <n v="5"/>
    <x v="0"/>
    <x v="3"/>
    <s v="PLAQUETTES"/>
    <x v="3"/>
    <n v="39.799999999999997"/>
  </r>
  <r>
    <d v="2025-06-05T06:44:30"/>
    <x v="3"/>
    <s v="Plaquettes d'ébauches carrées"/>
    <s v="090225"/>
    <s v="MEYER THOMAS"/>
    <n v="5"/>
    <x v="1"/>
    <x v="3"/>
    <s v="PLAQUETTES"/>
    <x v="2"/>
    <n v="39.799999999999997"/>
  </r>
  <r>
    <d v="2025-06-05T11:22:10"/>
    <x v="3"/>
    <s v="Plaquettes d'ébauches carrées"/>
    <s v="090225"/>
    <s v="MEYER THOMAS"/>
    <n v="5"/>
    <x v="0"/>
    <x v="3"/>
    <s v="PLAQUETTES"/>
    <x v="3"/>
    <n v="39.799999999999997"/>
  </r>
  <r>
    <d v="2025-06-05T11:22:25"/>
    <x v="3"/>
    <s v="Plaquettes d'ébauches carrées"/>
    <s v="090225"/>
    <s v="MEYER THOMAS"/>
    <n v="5"/>
    <x v="0"/>
    <x v="0"/>
    <s v="PLAQUETTES"/>
    <x v="3"/>
    <n v="39.799999999999997"/>
  </r>
  <r>
    <d v="2025-06-05T11:22:37"/>
    <x v="3"/>
    <s v="Plaquettes d'ébauches carrées"/>
    <s v="090225"/>
    <s v="MEYER THOMAS"/>
    <n v="5"/>
    <x v="1"/>
    <x v="3"/>
    <s v="PLAQUETTES"/>
    <x v="2"/>
    <n v="39.799999999999997"/>
  </r>
  <r>
    <d v="2025-06-05T11:22:52"/>
    <x v="3"/>
    <s v="Plaquettes d'ébauches carrées"/>
    <s v="090225"/>
    <s v="MEYER THOMAS"/>
    <n v="5"/>
    <x v="1"/>
    <x v="0"/>
    <s v="PLAQUETTES"/>
    <x v="2"/>
    <n v="39.799999999999997"/>
  </r>
  <r>
    <d v="2025-06-05T14:53:29"/>
    <x v="3"/>
    <s v="Plaquettes d'ébauches carrées"/>
    <s v="31224"/>
    <s v="BIDOT MURIEL"/>
    <n v="5"/>
    <x v="0"/>
    <x v="3"/>
    <s v="PLAQUETTES"/>
    <x v="3"/>
    <n v="39.799999999999997"/>
  </r>
  <r>
    <d v="2025-06-05T14:53:49"/>
    <x v="0"/>
    <s v="Plaquettes d'ébauches rhombiques"/>
    <s v="31224"/>
    <s v="BIDOT MURIEL"/>
    <n v="5"/>
    <x v="0"/>
    <x v="3"/>
    <s v="PLAQUETTES"/>
    <x v="3"/>
    <n v="39.799999999999997"/>
  </r>
  <r>
    <d v="2025-06-05T14:54:04"/>
    <x v="2"/>
    <s v="Plaquettes de finition carrées"/>
    <s v="31224"/>
    <s v="BIDOT MURIEL"/>
    <n v="5"/>
    <x v="0"/>
    <x v="2"/>
    <s v="PLAQUETTES"/>
    <x v="3"/>
    <n v="47.8"/>
  </r>
  <r>
    <d v="2025-06-05T14:54:15"/>
    <x v="2"/>
    <s v="Plaquettes de finition carrées"/>
    <s v="31224"/>
    <s v="BIDOT MURIEL"/>
    <n v="5"/>
    <x v="0"/>
    <x v="2"/>
    <s v="PLAQUETTES"/>
    <x v="3"/>
    <n v="47.8"/>
  </r>
  <r>
    <d v="2025-06-05T15:02:05"/>
    <x v="4"/>
    <s v="Plaquettes de gorges"/>
    <s v="070325"/>
    <s v="PEREIRA KEVIN"/>
    <n v="10"/>
    <x v="1"/>
    <x v="0"/>
    <s v="PLAQUETTES"/>
    <x v="2"/>
    <n v="188"/>
  </r>
  <r>
    <d v="2025-06-05T21:23:36"/>
    <x v="2"/>
    <s v="Plaquettes de finition carrées"/>
    <s v="SE38185"/>
    <s v="PIERRE NICOLAS VENIAT"/>
    <n v="5"/>
    <x v="1"/>
    <x v="2"/>
    <s v="PLAQUETTES"/>
    <x v="2"/>
    <n v="47.8"/>
  </r>
  <r>
    <d v="2025-06-06T02:53:16"/>
    <x v="4"/>
    <s v="Plaquettes de gorges"/>
    <s v="SE38185"/>
    <s v="PIERRE NICOLAS VENIAT"/>
    <n v="10"/>
    <x v="1"/>
    <x v="0"/>
    <s v="PLAQUETTES"/>
    <x v="2"/>
    <n v="188"/>
  </r>
  <r>
    <d v="2025-06-06T05:08:41"/>
    <x v="3"/>
    <s v="Plaquettes d'ébauches carrées"/>
    <s v="10301115"/>
    <s v="BOUCHART LUDOVIC"/>
    <n v="5"/>
    <x v="0"/>
    <x v="3"/>
    <s v="PLAQUETTES"/>
    <x v="3"/>
    <n v="39.799999999999997"/>
  </r>
  <r>
    <d v="2025-06-06T05:08:53"/>
    <x v="0"/>
    <s v="Plaquettes d'ébauches rhombiques"/>
    <s v="10301115"/>
    <s v="BOUCHART LUDOVIC"/>
    <n v="5"/>
    <x v="0"/>
    <x v="3"/>
    <s v="PLAQUETTES"/>
    <x v="3"/>
    <n v="39.799999999999997"/>
  </r>
  <r>
    <d v="2025-06-06T05:09:07"/>
    <x v="3"/>
    <s v="Plaquettes d'ébauches carrées"/>
    <s v="10301115"/>
    <s v="BOUCHART LUDOVIC"/>
    <n v="5"/>
    <x v="0"/>
    <x v="0"/>
    <s v="PLAQUETTES"/>
    <x v="3"/>
    <n v="39.799999999999997"/>
  </r>
  <r>
    <d v="2025-06-06T05:09:21"/>
    <x v="0"/>
    <s v="Plaquettes d'ébauches rhombiques"/>
    <s v="10301115"/>
    <s v="BOUCHART LUDOVIC"/>
    <n v="5"/>
    <x v="0"/>
    <x v="0"/>
    <s v="PLAQUETTES"/>
    <x v="3"/>
    <n v="39.799999999999997"/>
  </r>
  <r>
    <d v="2025-06-06T05:09:35"/>
    <x v="5"/>
    <s v="Plaquettes de finition"/>
    <s v="10301115"/>
    <s v="BOUCHART LUDOVIC"/>
    <n v="5"/>
    <x v="0"/>
    <x v="2"/>
    <s v="PLAQUETTES"/>
    <x v="3"/>
    <n v="42.5"/>
  </r>
  <r>
    <d v="2025-06-06T05:09:49"/>
    <x v="6"/>
    <s v="Plaquettes de finition triangulaires"/>
    <s v="10301115"/>
    <s v="BOUCHART LUDOVIC"/>
    <n v="5"/>
    <x v="0"/>
    <x v="2"/>
    <s v="PLAQUETTES"/>
    <x v="3"/>
    <n v="48.7"/>
  </r>
  <r>
    <d v="2025-06-06T05:10:04"/>
    <x v="2"/>
    <s v="Plaquettes de finition carrées"/>
    <s v="10301115"/>
    <s v="BOUCHART LUDOVIC"/>
    <n v="5"/>
    <x v="0"/>
    <x v="2"/>
    <s v="PLAQUETTES"/>
    <x v="3"/>
    <n v="47.8"/>
  </r>
  <r>
    <d v="2025-06-06T05:10:18"/>
    <x v="3"/>
    <s v="Plaquettes d'ébauches carrées"/>
    <s v="10301115"/>
    <s v="BOUCHART LUDOVIC"/>
    <n v="5"/>
    <x v="1"/>
    <x v="3"/>
    <s v="PLAQUETTES"/>
    <x v="2"/>
    <n v="39.799999999999997"/>
  </r>
  <r>
    <d v="2025-06-06T05:10:31"/>
    <x v="0"/>
    <s v="Plaquettes d'ébauches rhombiques"/>
    <s v="10301115"/>
    <s v="BOUCHART LUDOVIC"/>
    <n v="5"/>
    <x v="1"/>
    <x v="3"/>
    <s v="PLAQUETTES"/>
    <x v="2"/>
    <n v="39.799999999999997"/>
  </r>
  <r>
    <d v="2025-06-06T05:10:44"/>
    <x v="4"/>
    <s v="Plaquettes de gorges"/>
    <s v="10301115"/>
    <s v="BOUCHART LUDOVIC"/>
    <n v="10"/>
    <x v="1"/>
    <x v="0"/>
    <s v="PLAQUETTES"/>
    <x v="2"/>
    <n v="188"/>
  </r>
  <r>
    <d v="2025-06-06T05:10:58"/>
    <x v="3"/>
    <s v="Plaquettes d'ébauches carrées"/>
    <s v="10301115"/>
    <s v="BOUCHART LUDOVIC"/>
    <n v="5"/>
    <x v="1"/>
    <x v="0"/>
    <s v="PLAQUETTES"/>
    <x v="2"/>
    <n v="39.799999999999997"/>
  </r>
  <r>
    <d v="2025-06-06T05:11:12"/>
    <x v="0"/>
    <s v="Plaquettes d'ébauches rhombiques"/>
    <s v="10301115"/>
    <s v="BOUCHART LUDOVIC"/>
    <n v="5"/>
    <x v="1"/>
    <x v="0"/>
    <s v="PLAQUETTES"/>
    <x v="2"/>
    <n v="39.799999999999997"/>
  </r>
  <r>
    <d v="2025-06-06T05:11:27"/>
    <x v="2"/>
    <s v="Plaquettes de finition carrées"/>
    <s v="10301115"/>
    <s v="BOUCHART LUDOVIC"/>
    <n v="5"/>
    <x v="1"/>
    <x v="2"/>
    <s v="PLAQUETTES"/>
    <x v="2"/>
    <n v="47.8"/>
  </r>
  <r>
    <d v="2025-06-06T15:54:35"/>
    <x v="10"/>
    <s v="Plaquettes TPGX0902ZPRGD KC7315"/>
    <s v="SF51433"/>
    <s v="BONTEMS COLINE"/>
    <n v="10"/>
    <x v="0"/>
    <x v="1"/>
    <s v="PLAQUETTES"/>
    <x v="1"/>
    <n v="81.5"/>
  </r>
  <r>
    <d v="2025-06-07T05:22:28"/>
    <x v="3"/>
    <s v="Plaquettes d'ébauches carrées"/>
    <s v="10301115"/>
    <s v="BOUCHART LUDOVIC"/>
    <n v="5"/>
    <x v="0"/>
    <x v="3"/>
    <s v="PLAQUETTES"/>
    <x v="3"/>
    <n v="39.799999999999997"/>
  </r>
  <r>
    <d v="2025-06-07T05:22:40"/>
    <x v="0"/>
    <s v="Plaquettes d'ébauches rhombiques"/>
    <s v="10301115"/>
    <s v="BOUCHART LUDOVIC"/>
    <n v="5"/>
    <x v="0"/>
    <x v="3"/>
    <s v="PLAQUETTES"/>
    <x v="3"/>
    <n v="39.799999999999997"/>
  </r>
  <r>
    <d v="2025-06-07T05:22:57"/>
    <x v="3"/>
    <s v="Plaquettes d'ébauches carrées"/>
    <s v="10301115"/>
    <s v="BOUCHART LUDOVIC"/>
    <n v="5"/>
    <x v="0"/>
    <x v="0"/>
    <s v="PLAQUETTES"/>
    <x v="3"/>
    <n v="39.799999999999997"/>
  </r>
  <r>
    <d v="2025-06-07T05:23:10"/>
    <x v="0"/>
    <s v="Plaquettes d'ébauches rhombiques"/>
    <s v="10301115"/>
    <s v="BOUCHART LUDOVIC"/>
    <n v="5"/>
    <x v="0"/>
    <x v="0"/>
    <s v="PLAQUETTES"/>
    <x v="3"/>
    <n v="39.799999999999997"/>
  </r>
  <r>
    <d v="2025-06-07T05:23:24"/>
    <x v="5"/>
    <s v="Plaquettes de finition"/>
    <s v="10301115"/>
    <s v="BOUCHART LUDOVIC"/>
    <n v="5"/>
    <x v="0"/>
    <x v="2"/>
    <s v="PLAQUETTES"/>
    <x v="3"/>
    <n v="42.5"/>
  </r>
  <r>
    <d v="2025-06-07T05:23:35"/>
    <x v="6"/>
    <s v="Plaquettes de finition triangulaires"/>
    <s v="10301115"/>
    <s v="BOUCHART LUDOVIC"/>
    <n v="5"/>
    <x v="0"/>
    <x v="2"/>
    <s v="PLAQUETTES"/>
    <x v="3"/>
    <n v="48.7"/>
  </r>
  <r>
    <d v="2025-06-07T05:23:48"/>
    <x v="2"/>
    <s v="Plaquettes de finition carrées"/>
    <s v="10301115"/>
    <s v="BOUCHART LUDOVIC"/>
    <n v="5"/>
    <x v="0"/>
    <x v="2"/>
    <s v="PLAQUETTES"/>
    <x v="3"/>
    <n v="47.8"/>
  </r>
  <r>
    <d v="2025-06-07T05:24:04"/>
    <x v="3"/>
    <s v="Plaquettes d'ébauches carrées"/>
    <s v="10301115"/>
    <s v="BOUCHART LUDOVIC"/>
    <n v="5"/>
    <x v="1"/>
    <x v="3"/>
    <s v="PLAQUETTES"/>
    <x v="2"/>
    <n v="39.799999999999997"/>
  </r>
  <r>
    <d v="2025-06-07T05:24:17"/>
    <x v="0"/>
    <s v="Plaquettes d'ébauches rhombiques"/>
    <s v="10301115"/>
    <s v="BOUCHART LUDOVIC"/>
    <n v="5"/>
    <x v="1"/>
    <x v="3"/>
    <s v="PLAQUETTES"/>
    <x v="2"/>
    <n v="39.799999999999997"/>
  </r>
  <r>
    <d v="2025-06-07T05:24:33"/>
    <x v="4"/>
    <s v="Plaquettes de gorges"/>
    <s v="10301115"/>
    <s v="BOUCHART LUDOVIC"/>
    <n v="10"/>
    <x v="1"/>
    <x v="0"/>
    <s v="PLAQUETTES"/>
    <x v="2"/>
    <n v="188"/>
  </r>
  <r>
    <d v="2025-06-07T05:24:49"/>
    <x v="3"/>
    <s v="Plaquettes d'ébauches carrées"/>
    <s v="10301115"/>
    <s v="BOUCHART LUDOVIC"/>
    <n v="5"/>
    <x v="1"/>
    <x v="0"/>
    <s v="PLAQUETTES"/>
    <x v="2"/>
    <n v="39.799999999999997"/>
  </r>
  <r>
    <d v="2025-06-07T05:25:06"/>
    <x v="0"/>
    <s v="Plaquettes d'ébauches rhombiques"/>
    <s v="10301115"/>
    <s v="BOUCHART LUDOVIC"/>
    <n v="5"/>
    <x v="1"/>
    <x v="0"/>
    <s v="PLAQUETTES"/>
    <x v="2"/>
    <n v="39.799999999999997"/>
  </r>
  <r>
    <d v="2025-06-07T05:25:22"/>
    <x v="2"/>
    <s v="Plaquettes de finition carrées"/>
    <s v="10301115"/>
    <s v="BOUCHART LUDOVIC"/>
    <n v="5"/>
    <x v="1"/>
    <x v="2"/>
    <s v="PLAQUETTES"/>
    <x v="2"/>
    <n v="47.8"/>
  </r>
  <r>
    <d v="2025-06-09T00:38:57"/>
    <x v="3"/>
    <s v="Plaquettes d'ébauches carrées"/>
    <s v="10301115"/>
    <s v="BOUCHART LUDOVIC"/>
    <n v="5"/>
    <x v="0"/>
    <x v="3"/>
    <s v="PLAQUETTES"/>
    <x v="0"/>
    <n v="39.799999999999997"/>
  </r>
  <r>
    <d v="2025-06-09T00:39:08"/>
    <x v="0"/>
    <s v="Plaquettes d'ébauches rhombiques"/>
    <s v="10301115"/>
    <s v="BOUCHART LUDOVIC"/>
    <n v="5"/>
    <x v="0"/>
    <x v="3"/>
    <s v="PLAQUETTES"/>
    <x v="0"/>
    <n v="39.799999999999997"/>
  </r>
  <r>
    <d v="2025-06-09T00:39:24"/>
    <x v="3"/>
    <s v="Plaquettes d'ébauches carrées"/>
    <s v="10301115"/>
    <s v="BOUCHART LUDOVIC"/>
    <n v="5"/>
    <x v="0"/>
    <x v="0"/>
    <s v="PLAQUETTES"/>
    <x v="0"/>
    <n v="39.799999999999997"/>
  </r>
  <r>
    <d v="2025-06-09T00:39:36"/>
    <x v="0"/>
    <s v="Plaquettes d'ébauches rhombiques"/>
    <s v="10301115"/>
    <s v="BOUCHART LUDOVIC"/>
    <n v="5"/>
    <x v="0"/>
    <x v="0"/>
    <s v="PLAQUETTES"/>
    <x v="0"/>
    <n v="39.799999999999997"/>
  </r>
  <r>
    <d v="2025-06-09T00:39:51"/>
    <x v="2"/>
    <s v="Plaquettes de finition carrées"/>
    <s v="10301115"/>
    <s v="BOUCHART LUDOVIC"/>
    <n v="5"/>
    <x v="0"/>
    <x v="2"/>
    <s v="PLAQUETTES"/>
    <x v="0"/>
    <n v="47.8"/>
  </r>
  <r>
    <d v="2025-06-09T00:40:06"/>
    <x v="3"/>
    <s v="Plaquettes d'ébauches carrées"/>
    <s v="10301115"/>
    <s v="BOUCHART LUDOVIC"/>
    <n v="5"/>
    <x v="1"/>
    <x v="3"/>
    <s v="PLAQUETTES"/>
    <x v="3"/>
    <n v="39.799999999999997"/>
  </r>
  <r>
    <d v="2025-06-09T00:40:17"/>
    <x v="0"/>
    <s v="Plaquettes d'ébauches rhombiques"/>
    <s v="10301115"/>
    <s v="BOUCHART LUDOVIC"/>
    <n v="5"/>
    <x v="1"/>
    <x v="3"/>
    <s v="PLAQUETTES"/>
    <x v="3"/>
    <n v="39.799999999999997"/>
  </r>
  <r>
    <d v="2025-06-09T00:40:30"/>
    <x v="3"/>
    <s v="Plaquettes d'ébauches carrées"/>
    <s v="10301115"/>
    <s v="BOUCHART LUDOVIC"/>
    <n v="5"/>
    <x v="1"/>
    <x v="0"/>
    <s v="PLAQUETTES"/>
    <x v="3"/>
    <n v="39.799999999999997"/>
  </r>
  <r>
    <d v="2025-06-09T00:40:42"/>
    <x v="0"/>
    <s v="Plaquettes d'ébauches rhombiques"/>
    <s v="10301115"/>
    <s v="BOUCHART LUDOVIC"/>
    <n v="5"/>
    <x v="1"/>
    <x v="0"/>
    <s v="PLAQUETTES"/>
    <x v="3"/>
    <n v="39.799999999999997"/>
  </r>
  <r>
    <d v="2025-06-09T00:40:59"/>
    <x v="2"/>
    <s v="Plaquettes de finition carrées"/>
    <s v="10301115"/>
    <s v="BOUCHART LUDOVIC"/>
    <n v="5"/>
    <x v="1"/>
    <x v="2"/>
    <s v="PLAQUETTES"/>
    <x v="3"/>
    <n v="47.8"/>
  </r>
  <r>
    <d v="2025-06-10T06:04:17"/>
    <x v="2"/>
    <s v="Plaquettes de finition carrées"/>
    <s v="070325"/>
    <s v="PEREIRA KEVIN"/>
    <n v="5"/>
    <x v="0"/>
    <x v="2"/>
    <s v="PLAQUETTES"/>
    <x v="0"/>
    <n v="47.8"/>
  </r>
  <r>
    <d v="2025-06-10T06:04:35"/>
    <x v="2"/>
    <s v="Plaquettes de finition carrées"/>
    <s v="070325"/>
    <s v="PEREIRA KEVIN"/>
    <n v="5"/>
    <x v="1"/>
    <x v="2"/>
    <s v="PLAQUETTES"/>
    <x v="2"/>
    <n v="47.8"/>
  </r>
  <r>
    <d v="2025-06-10T06:04:50"/>
    <x v="4"/>
    <s v="Plaquettes de gorges"/>
    <s v="070325"/>
    <s v="PEREIRA KEVIN"/>
    <n v="10"/>
    <x v="1"/>
    <x v="0"/>
    <s v="PLAQUETTES"/>
    <x v="2"/>
    <n v="188"/>
  </r>
  <r>
    <d v="2025-06-10T06:05:08"/>
    <x v="3"/>
    <s v="Plaquettes d'ébauches carrées"/>
    <s v="070325"/>
    <s v="PEREIRA KEVIN"/>
    <n v="5"/>
    <x v="1"/>
    <x v="3"/>
    <s v="PLAQUETTES"/>
    <x v="2"/>
    <n v="39.799999999999997"/>
  </r>
  <r>
    <d v="2025-06-10T10:59:52"/>
    <x v="4"/>
    <s v="Plaquettes de gorges"/>
    <s v="31224"/>
    <s v="BIDOT MURIEL"/>
    <n v="10"/>
    <x v="0"/>
    <x v="0"/>
    <s v="PLAQUETTES"/>
    <x v="0"/>
    <n v="188"/>
  </r>
  <r>
    <d v="2025-06-10T11:00:07"/>
    <x v="3"/>
    <s v="Plaquettes d'ébauches carrées"/>
    <s v="31224"/>
    <s v="BIDOT MURIEL"/>
    <n v="5"/>
    <x v="0"/>
    <x v="0"/>
    <s v="PLAQUETTES"/>
    <x v="0"/>
    <n v="39.799999999999997"/>
  </r>
  <r>
    <d v="2025-06-10T23:54:01"/>
    <x v="3"/>
    <s v="Plaquettes d'ébauches carrées"/>
    <s v="090225"/>
    <s v="MEYER THOMAS"/>
    <n v="5"/>
    <x v="0"/>
    <x v="3"/>
    <s v="PLAQUETTES"/>
    <x v="0"/>
    <n v="39.799999999999997"/>
  </r>
  <r>
    <d v="2025-06-10T23:54:15"/>
    <x v="3"/>
    <s v="Plaquettes d'ébauches carrées"/>
    <s v="090225"/>
    <s v="MEYER THOMAS"/>
    <n v="5"/>
    <x v="1"/>
    <x v="3"/>
    <s v="PLAQUETTES"/>
    <x v="3"/>
    <n v="39.799999999999997"/>
  </r>
  <r>
    <d v="2025-06-10T23:54:30"/>
    <x v="3"/>
    <s v="Plaquettes d'ébauches carrées"/>
    <s v="090225"/>
    <s v="MEYER THOMAS"/>
    <n v="5"/>
    <x v="0"/>
    <x v="0"/>
    <s v="PLAQUETTES"/>
    <x v="0"/>
    <n v="39.799999999999997"/>
  </r>
  <r>
    <d v="2025-06-11T00:34:58"/>
    <x v="2"/>
    <s v="Plaquettes de finition carrées"/>
    <s v="7236310"/>
    <s v="OZYURT IREM"/>
    <n v="5"/>
    <x v="1"/>
    <x v="2"/>
    <s v="PLAQUETTES"/>
    <x v="3"/>
    <n v="47.8"/>
  </r>
  <r>
    <d v="2025-06-11T05:40:08"/>
    <x v="3"/>
    <s v="Plaquettes d'ébauches carrées"/>
    <s v="070325"/>
    <s v="PEREIRA KEVIN"/>
    <n v="5"/>
    <x v="1"/>
    <x v="0"/>
    <s v="PLAQUETTES"/>
    <x v="3"/>
    <n v="39.799999999999997"/>
  </r>
  <r>
    <d v="2025-06-11T05:40:31"/>
    <x v="0"/>
    <s v="Plaquettes d'ébauches rhombiques"/>
    <s v="070325"/>
    <s v="PEREIRA KEVIN"/>
    <n v="5"/>
    <x v="1"/>
    <x v="3"/>
    <s v="PLAQUETTES"/>
    <x v="3"/>
    <n v="39.799999999999997"/>
  </r>
  <r>
    <d v="2025-06-11T05:40:51"/>
    <x v="3"/>
    <s v="Plaquettes d'ébauches carrées"/>
    <s v="070325"/>
    <s v="PEREIRA KEVIN"/>
    <n v="5"/>
    <x v="1"/>
    <x v="3"/>
    <s v="PLAQUETTES"/>
    <x v="3"/>
    <n v="39.799999999999997"/>
  </r>
  <r>
    <d v="2025-06-11T05:41:12"/>
    <x v="2"/>
    <s v="Plaquettes de finition carrées"/>
    <s v="070325"/>
    <s v="PEREIRA KEVIN"/>
    <n v="5"/>
    <x v="1"/>
    <x v="2"/>
    <s v="PLAQUETTES"/>
    <x v="3"/>
    <n v="47.8"/>
  </r>
  <r>
    <d v="2025-06-11T06:06:37"/>
    <x v="3"/>
    <s v="Plaquettes d'ébauches carrées"/>
    <s v="31224"/>
    <s v="BIDOT MURIEL"/>
    <n v="5"/>
    <x v="0"/>
    <x v="3"/>
    <s v="PLAQUETTES"/>
    <x v="0"/>
    <n v="39.799999999999997"/>
  </r>
  <r>
    <d v="2025-06-11T06:06:53"/>
    <x v="0"/>
    <s v="Plaquettes d'ébauches rhombiques"/>
    <s v="31224"/>
    <s v="BIDOT MURIEL"/>
    <n v="5"/>
    <x v="0"/>
    <x v="3"/>
    <s v="PLAQUETTES"/>
    <x v="0"/>
    <n v="39.799999999999997"/>
  </r>
  <r>
    <d v="2025-06-11T06:07:07"/>
    <x v="0"/>
    <s v="Plaquettes d'ébauches rhombiques"/>
    <s v="31224"/>
    <s v="BIDOT MURIEL"/>
    <n v="5"/>
    <x v="0"/>
    <x v="3"/>
    <s v="PLAQUETTES"/>
    <x v="0"/>
    <n v="39.799999999999997"/>
  </r>
  <r>
    <d v="2025-06-11T06:07:23"/>
    <x v="4"/>
    <s v="Plaquettes de gorges"/>
    <s v="31224"/>
    <s v="BIDOT MURIEL"/>
    <n v="10"/>
    <x v="0"/>
    <x v="0"/>
    <s v="PLAQUETTES"/>
    <x v="0"/>
    <n v="188"/>
  </r>
  <r>
    <d v="2025-06-11T06:07:37"/>
    <x v="2"/>
    <s v="Plaquettes de finition carrées"/>
    <s v="31224"/>
    <s v="BIDOT MURIEL"/>
    <n v="5"/>
    <x v="0"/>
    <x v="2"/>
    <s v="PLAQUETTES"/>
    <x v="0"/>
    <n v="47.8"/>
  </r>
  <r>
    <d v="2025-06-11T06:07:49"/>
    <x v="2"/>
    <s v="Plaquettes de finition carrées"/>
    <s v="31224"/>
    <s v="BIDOT MURIEL"/>
    <n v="5"/>
    <x v="0"/>
    <x v="2"/>
    <s v="PLAQUETTES"/>
    <x v="0"/>
    <n v="47.8"/>
  </r>
  <r>
    <d v="2025-06-11T11:42:14"/>
    <x v="1"/>
    <s v="EMBOUT KENTIP D13.3"/>
    <s v="12824586"/>
    <s v="DASILVA FERNANDO"/>
    <n v="1"/>
    <x v="1"/>
    <x v="1"/>
    <s v="PLAQUETTES"/>
    <x v="1"/>
    <n v="46.95"/>
  </r>
  <r>
    <d v="2025-06-11T17:24:06"/>
    <x v="2"/>
    <s v="Plaquettes de finition carrées"/>
    <s v="SE38185"/>
    <s v="PIERRE NICOLAS VENIAT"/>
    <n v="5"/>
    <x v="1"/>
    <x v="2"/>
    <s v="PLAQUETTES"/>
    <x v="3"/>
    <n v="47.8"/>
  </r>
  <r>
    <d v="2025-06-11T20:25:41"/>
    <x v="0"/>
    <s v="Plaquettes d'ébauches rhombiques"/>
    <s v="SE38185"/>
    <s v="PIERRE NICOLAS VENIAT"/>
    <n v="5"/>
    <x v="1"/>
    <x v="3"/>
    <s v="PLAQUETTES"/>
    <x v="3"/>
    <n v="39.799999999999997"/>
  </r>
  <r>
    <d v="2025-06-12T03:26:26"/>
    <x v="2"/>
    <s v="Plaquettes de finition carrées"/>
    <s v="7236310"/>
    <s v="OZYURT IREM"/>
    <n v="5"/>
    <x v="1"/>
    <x v="2"/>
    <s v="PLAQUETTES"/>
    <x v="3"/>
    <n v="47.8"/>
  </r>
  <r>
    <d v="2025-06-12T04:24:56"/>
    <x v="0"/>
    <s v="Plaquettes d'ébauches rhombiques"/>
    <s v="090225"/>
    <s v="MEYER THOMAS"/>
    <n v="5"/>
    <x v="1"/>
    <x v="3"/>
    <s v="PLAQUETTES"/>
    <x v="3"/>
    <n v="39.799999999999997"/>
  </r>
  <r>
    <d v="2025-06-12T04:25:13"/>
    <x v="3"/>
    <s v="Plaquettes d'ébauches carrées"/>
    <s v="090225"/>
    <s v="MEYER THOMAS"/>
    <n v="5"/>
    <x v="1"/>
    <x v="3"/>
    <s v="PLAQUETTES"/>
    <x v="3"/>
    <n v="39.799999999999997"/>
  </r>
  <r>
    <d v="2025-06-12T05:27:43"/>
    <x v="2"/>
    <s v="Plaquettes de finition carrées"/>
    <s v="070325"/>
    <s v="PEREIRA KEVIN"/>
    <n v="5"/>
    <x v="1"/>
    <x v="2"/>
    <s v="PLAQUETTES"/>
    <x v="3"/>
    <n v="47.8"/>
  </r>
  <r>
    <d v="2025-06-12T05:27:59"/>
    <x v="6"/>
    <s v="Plaquettes de finition triangulaires"/>
    <s v="070325"/>
    <s v="PEREIRA KEVIN"/>
    <n v="5"/>
    <x v="1"/>
    <x v="2"/>
    <s v="PLAQUETTES"/>
    <x v="3"/>
    <n v="48.7"/>
  </r>
  <r>
    <d v="2025-06-12T08:06:27"/>
    <x v="3"/>
    <s v="Plaquettes d'ébauches carrées"/>
    <s v="31224"/>
    <s v="BIDOT MURIEL"/>
    <n v="5"/>
    <x v="0"/>
    <x v="3"/>
    <s v="PLAQUETTES"/>
    <x v="0"/>
    <n v="39.799999999999997"/>
  </r>
  <r>
    <d v="2025-06-12T08:06:47"/>
    <x v="3"/>
    <s v="Plaquettes d'ébauches carrées"/>
    <s v="31224"/>
    <s v="BIDOT MURIEL"/>
    <n v="5"/>
    <x v="0"/>
    <x v="3"/>
    <s v="PLAQUETTES"/>
    <x v="0"/>
    <n v="39.799999999999997"/>
  </r>
  <r>
    <d v="2025-06-12T08:07:06"/>
    <x v="0"/>
    <s v="Plaquettes d'ébauches rhombiques"/>
    <s v="31224"/>
    <s v="BIDOT MURIEL"/>
    <n v="5"/>
    <x v="0"/>
    <x v="3"/>
    <s v="PLAQUETTES"/>
    <x v="0"/>
    <n v="39.799999999999997"/>
  </r>
  <r>
    <d v="2025-06-12T08:07:18"/>
    <x v="4"/>
    <s v="Plaquettes de gorges"/>
    <s v="31224"/>
    <s v="BIDOT MURIEL"/>
    <n v="10"/>
    <x v="0"/>
    <x v="0"/>
    <s v="PLAQUETTES"/>
    <x v="0"/>
    <n v="188"/>
  </r>
  <r>
    <d v="2025-06-12T08:07:32"/>
    <x v="2"/>
    <s v="Plaquettes de finition carrées"/>
    <s v="31224"/>
    <s v="BIDOT MURIEL"/>
    <n v="5"/>
    <x v="0"/>
    <x v="2"/>
    <s v="PLAQUETTES"/>
    <x v="0"/>
    <n v="47.8"/>
  </r>
  <r>
    <d v="2025-06-12T13:41:13"/>
    <x v="12"/>
    <s v="Rondelle fendue belleville OP30"/>
    <s v="SE38185"/>
    <s v="PIERRE NICOLAS VENIAT"/>
    <n v="1"/>
    <x v="0"/>
    <x v="1"/>
    <s v="DIVERS"/>
    <x v="1"/>
    <n v="0"/>
  </r>
  <r>
    <d v="2025-06-13T01:59:32"/>
    <x v="3"/>
    <s v="Plaquettes d'ébauches carrées"/>
    <s v="090225"/>
    <s v="MEYER THOMAS"/>
    <n v="5"/>
    <x v="1"/>
    <x v="3"/>
    <s v="PLAQUETTES"/>
    <x v="3"/>
    <n v="39.799999999999997"/>
  </r>
  <r>
    <d v="2025-06-13T01:59:42"/>
    <x v="3"/>
    <s v="Plaquettes d'ébauches carrées"/>
    <s v="090225"/>
    <s v="MEYER THOMAS"/>
    <n v="5"/>
    <x v="1"/>
    <x v="0"/>
    <s v="PLAQUETTES"/>
    <x v="3"/>
    <n v="39.799999999999997"/>
  </r>
  <r>
    <d v="2025-06-13T01:59:56"/>
    <x v="3"/>
    <s v="Plaquettes d'ébauches carrées"/>
    <s v="090225"/>
    <s v="MEYER THOMAS"/>
    <n v="5"/>
    <x v="0"/>
    <x v="3"/>
    <s v="PLAQUETTES"/>
    <x v="0"/>
    <n v="39.799999999999997"/>
  </r>
  <r>
    <d v="2025-06-13T02:46:14"/>
    <x v="2"/>
    <s v="Plaquettes de finition carrées"/>
    <s v="7236310"/>
    <s v="OZYURT IREM"/>
    <n v="5"/>
    <x v="1"/>
    <x v="2"/>
    <s v="PLAQUETTES"/>
    <x v="3"/>
    <n v="47.8"/>
  </r>
  <r>
    <d v="2025-06-13T05:16:20"/>
    <x v="3"/>
    <s v="Plaquettes d'ébauches carrées"/>
    <s v="10301115"/>
    <s v="BOUCHART LUDOVIC"/>
    <n v="5"/>
    <x v="0"/>
    <x v="3"/>
    <s v="PLAQUETTES"/>
    <x v="0"/>
    <n v="39.799999999999997"/>
  </r>
  <r>
    <d v="2025-06-13T05:16:32"/>
    <x v="0"/>
    <s v="Plaquettes d'ébauches rhombiques"/>
    <s v="10301115"/>
    <s v="BOUCHART LUDOVIC"/>
    <n v="5"/>
    <x v="0"/>
    <x v="3"/>
    <s v="PLAQUETTES"/>
    <x v="0"/>
    <n v="39.799999999999997"/>
  </r>
  <r>
    <d v="2025-06-13T05:16:48"/>
    <x v="4"/>
    <s v="Plaquettes de gorges"/>
    <s v="10301115"/>
    <s v="BOUCHART LUDOVIC"/>
    <n v="10"/>
    <x v="0"/>
    <x v="0"/>
    <s v="PLAQUETTES"/>
    <x v="0"/>
    <n v="188"/>
  </r>
  <r>
    <d v="2025-06-13T05:17:01"/>
    <x v="3"/>
    <s v="Plaquettes d'ébauches carrées"/>
    <s v="10301115"/>
    <s v="BOUCHART LUDOVIC"/>
    <n v="5"/>
    <x v="0"/>
    <x v="0"/>
    <s v="PLAQUETTES"/>
    <x v="0"/>
    <n v="39.799999999999997"/>
  </r>
  <r>
    <d v="2025-06-13T05:17:14"/>
    <x v="0"/>
    <s v="Plaquettes d'ébauches rhombiques"/>
    <s v="10301115"/>
    <s v="BOUCHART LUDOVIC"/>
    <n v="5"/>
    <x v="0"/>
    <x v="0"/>
    <s v="PLAQUETTES"/>
    <x v="0"/>
    <n v="39.799999999999997"/>
  </r>
  <r>
    <d v="2025-06-13T05:17:30"/>
    <x v="0"/>
    <s v="Plaquettes d'ébauches rhombiques"/>
    <s v="10301115"/>
    <s v="BOUCHART LUDOVIC"/>
    <n v="5"/>
    <x v="0"/>
    <x v="2"/>
    <s v="PLAQUETTES"/>
    <x v="0"/>
    <n v="39.799999999999997"/>
  </r>
  <r>
    <d v="2025-06-13T05:17:46"/>
    <x v="2"/>
    <s v="Plaquettes de finition carrées"/>
    <s v="10301115"/>
    <s v="BOUCHART LUDOVIC"/>
    <n v="5"/>
    <x v="0"/>
    <x v="2"/>
    <s v="PLAQUETTES"/>
    <x v="0"/>
    <n v="47.8"/>
  </r>
  <r>
    <d v="2025-06-13T05:18:06"/>
    <x v="3"/>
    <s v="Plaquettes d'ébauches carrées"/>
    <s v="10301115"/>
    <s v="BOUCHART LUDOVIC"/>
    <n v="5"/>
    <x v="1"/>
    <x v="3"/>
    <s v="PLAQUETTES"/>
    <x v="3"/>
    <n v="39.799999999999997"/>
  </r>
  <r>
    <d v="2025-06-13T05:18:20"/>
    <x v="3"/>
    <s v="Plaquettes d'ébauches carrées"/>
    <s v="10301115"/>
    <s v="BOUCHART LUDOVIC"/>
    <n v="5"/>
    <x v="1"/>
    <x v="0"/>
    <s v="PLAQUETTES"/>
    <x v="3"/>
    <n v="39.799999999999997"/>
  </r>
  <r>
    <d v="2025-06-13T05:18:33"/>
    <x v="0"/>
    <s v="Plaquettes d'ébauches rhombiques"/>
    <s v="10301115"/>
    <s v="BOUCHART LUDOVIC"/>
    <n v="5"/>
    <x v="1"/>
    <x v="0"/>
    <s v="PLAQUETTES"/>
    <x v="3"/>
    <n v="39.799999999999997"/>
  </r>
  <r>
    <d v="2025-06-13T05:18:57"/>
    <x v="5"/>
    <s v="Plaquettes de finition"/>
    <s v="10301115"/>
    <s v="BOUCHART LUDOVIC"/>
    <n v="5"/>
    <x v="1"/>
    <x v="2"/>
    <s v="PLAQUETTES"/>
    <x v="3"/>
    <n v="42.5"/>
  </r>
  <r>
    <d v="2025-06-13T05:19:11"/>
    <x v="6"/>
    <s v="Plaquettes de finition triangulaires"/>
    <s v="10301115"/>
    <s v="BOUCHART LUDOVIC"/>
    <n v="5"/>
    <x v="1"/>
    <x v="2"/>
    <s v="PLAQUETTES"/>
    <x v="3"/>
    <n v="48.7"/>
  </r>
  <r>
    <d v="2025-06-13T05:19:43"/>
    <x v="2"/>
    <s v="Plaquettes de finition carrées"/>
    <s v="10301115"/>
    <s v="BOUCHART LUDOVIC"/>
    <n v="5"/>
    <x v="1"/>
    <x v="2"/>
    <s v="PLAQUETTES"/>
    <x v="3"/>
    <n v="47.8"/>
  </r>
  <r>
    <d v="2025-06-13T22:35:52"/>
    <x v="2"/>
    <s v="Plaquettes de finition carrées"/>
    <s v="7236310"/>
    <s v="OZYURT IREM"/>
    <n v="5"/>
    <x v="1"/>
    <x v="2"/>
    <s v="PLAQUETTES"/>
    <x v="3"/>
    <n v="47.8"/>
  </r>
  <r>
    <d v="2025-06-14T05:33:16"/>
    <x v="3"/>
    <s v="Plaquettes d'ébauches carrées"/>
    <s v="U509351"/>
    <s v="DELIAT CHRISTOPHE"/>
    <n v="5"/>
    <x v="0"/>
    <x v="3"/>
    <s v="PLAQUETTES"/>
    <x v="0"/>
    <n v="39.799999999999997"/>
  </r>
  <r>
    <d v="2025-06-14T05:33:34"/>
    <x v="0"/>
    <s v="Plaquettes d'ébauches rhombiques"/>
    <s v="U509351"/>
    <s v="DELIAT CHRISTOPHE"/>
    <n v="5"/>
    <x v="0"/>
    <x v="3"/>
    <s v="PLAQUETTES"/>
    <x v="0"/>
    <n v="39.799999999999997"/>
  </r>
  <r>
    <d v="2025-06-14T05:33:59"/>
    <x v="4"/>
    <s v="Plaquettes de gorges"/>
    <s v="U509351"/>
    <s v="DELIAT CHRISTOPHE"/>
    <n v="10"/>
    <x v="0"/>
    <x v="0"/>
    <s v="PLAQUETTES"/>
    <x v="0"/>
    <n v="188"/>
  </r>
  <r>
    <d v="2025-06-14T05:34:18"/>
    <x v="3"/>
    <s v="Plaquettes d'ébauches carrées"/>
    <s v="U509351"/>
    <s v="DELIAT CHRISTOPHE"/>
    <n v="5"/>
    <x v="0"/>
    <x v="0"/>
    <s v="PLAQUETTES"/>
    <x v="0"/>
    <n v="39.799999999999997"/>
  </r>
  <r>
    <d v="2025-06-14T05:34:33"/>
    <x v="0"/>
    <s v="Plaquettes d'ébauches rhombiques"/>
    <s v="U509351"/>
    <s v="DELIAT CHRISTOPHE"/>
    <n v="5"/>
    <x v="0"/>
    <x v="0"/>
    <s v="PLAQUETTES"/>
    <x v="0"/>
    <n v="39.799999999999997"/>
  </r>
  <r>
    <d v="2025-06-14T05:35:02"/>
    <x v="3"/>
    <s v="Plaquettes d'ébauches carrées"/>
    <s v="U509351"/>
    <s v="DELIAT CHRISTOPHE"/>
    <n v="5"/>
    <x v="1"/>
    <x v="3"/>
    <s v="PLAQUETTES"/>
    <x v="3"/>
    <n v="39.799999999999997"/>
  </r>
  <r>
    <d v="2025-06-14T05:35:22"/>
    <x v="0"/>
    <s v="Plaquettes d'ébauches rhombiques"/>
    <s v="U509351"/>
    <s v="DELIAT CHRISTOPHE"/>
    <n v="5"/>
    <x v="1"/>
    <x v="3"/>
    <s v="PLAQUETTES"/>
    <x v="3"/>
    <n v="39.799999999999997"/>
  </r>
  <r>
    <d v="2025-06-14T05:38:41"/>
    <x v="3"/>
    <s v="Plaquettes d'ébauches carrées"/>
    <s v="U509351"/>
    <s v="DELIAT CHRISTOPHE"/>
    <n v="5"/>
    <x v="1"/>
    <x v="0"/>
    <s v="PLAQUETTES"/>
    <x v="3"/>
    <n v="39.799999999999997"/>
  </r>
  <r>
    <d v="2025-06-14T05:39:21"/>
    <x v="0"/>
    <s v="Plaquettes d'ébauches rhombiques"/>
    <s v="U509351"/>
    <s v="DELIAT CHRISTOPHE"/>
    <n v="5"/>
    <x v="1"/>
    <x v="0"/>
    <s v="PLAQUETTES"/>
    <x v="3"/>
    <n v="39.799999999999997"/>
  </r>
  <r>
    <d v="2025-06-14T05:39:37"/>
    <x v="2"/>
    <s v="Plaquettes de finition carrées"/>
    <s v="U509351"/>
    <s v="DELIAT CHRISTOPHE"/>
    <n v="5"/>
    <x v="0"/>
    <x v="2"/>
    <s v="PLAQUETTES"/>
    <x v="0"/>
    <n v="47.8"/>
  </r>
  <r>
    <d v="2025-06-14T05:39:57"/>
    <x v="2"/>
    <s v="Plaquettes de finition carrées"/>
    <s v="U509351"/>
    <s v="DELIAT CHRISTOPHE"/>
    <n v="5"/>
    <x v="1"/>
    <x v="2"/>
    <s v="PLAQUETTES"/>
    <x v="3"/>
    <n v="47.8"/>
  </r>
  <r>
    <d v="2025-06-14T05:48:22"/>
    <x v="2"/>
    <s v="Plaquettes de finition carrées"/>
    <s v="U509351"/>
    <s v="DELIAT CHRISTOPHE"/>
    <n v="5"/>
    <x v="0"/>
    <x v="2"/>
    <s v="PLAQUETTES"/>
    <x v="0"/>
    <n v="47.8"/>
  </r>
  <r>
    <d v="2025-06-14T05:48:38"/>
    <x v="2"/>
    <s v="Plaquettes de finition carrées"/>
    <s v="U509351"/>
    <s v="DELIAT CHRISTOPHE"/>
    <n v="5"/>
    <x v="1"/>
    <x v="2"/>
    <s v="PLAQUETTES"/>
    <x v="3"/>
    <n v="47.8"/>
  </r>
  <r>
    <d v="2025-06-14T05:48:53"/>
    <x v="6"/>
    <s v="Plaquettes de finition triangulaires"/>
    <s v="U509351"/>
    <s v="DELIAT CHRISTOPHE"/>
    <n v="5"/>
    <x v="1"/>
    <x v="2"/>
    <s v="PLAQUETTES"/>
    <x v="3"/>
    <n v="48.7"/>
  </r>
  <r>
    <d v="2025-06-14T05:49:13"/>
    <x v="5"/>
    <s v="Plaquettes de finition"/>
    <s v="U509351"/>
    <s v="DELIAT CHRISTOPHE"/>
    <n v="5"/>
    <x v="1"/>
    <x v="2"/>
    <s v="PLAQUETTES"/>
    <x v="3"/>
    <n v="42.5"/>
  </r>
  <r>
    <d v="2025-06-15T17:29:47"/>
    <x v="3"/>
    <s v="Plaquettes d'ébauches carrées"/>
    <s v="10301115"/>
    <s v="BOUCHART LUDOVIC"/>
    <n v="5"/>
    <x v="0"/>
    <x v="3"/>
    <s v="PLAQUETTES"/>
    <x v="0"/>
    <n v="39.799999999999997"/>
  </r>
  <r>
    <d v="2025-06-15T17:29:59"/>
    <x v="0"/>
    <s v="Plaquettes d'ébauches rhombiques"/>
    <s v="10301115"/>
    <s v="BOUCHART LUDOVIC"/>
    <n v="5"/>
    <x v="0"/>
    <x v="3"/>
    <s v="PLAQUETTES"/>
    <x v="0"/>
    <n v="39.799999999999997"/>
  </r>
  <r>
    <d v="2025-06-15T17:30:18"/>
    <x v="3"/>
    <s v="Plaquettes d'ébauches carrées"/>
    <s v="10301115"/>
    <s v="BOUCHART LUDOVIC"/>
    <n v="5"/>
    <x v="0"/>
    <x v="0"/>
    <s v="PLAQUETTES"/>
    <x v="0"/>
    <n v="39.799999999999997"/>
  </r>
  <r>
    <d v="2025-06-15T17:30:29"/>
    <x v="4"/>
    <s v="Plaquettes de gorges"/>
    <s v="10301115"/>
    <s v="BOUCHART LUDOVIC"/>
    <n v="10"/>
    <x v="0"/>
    <x v="0"/>
    <s v="PLAQUETTES"/>
    <x v="0"/>
    <n v="188"/>
  </r>
  <r>
    <d v="2025-06-15T17:30:42"/>
    <x v="0"/>
    <s v="Plaquettes d'ébauches rhombiques"/>
    <s v="10301115"/>
    <s v="BOUCHART LUDOVIC"/>
    <n v="5"/>
    <x v="0"/>
    <x v="0"/>
    <s v="PLAQUETTES"/>
    <x v="0"/>
    <n v="39.799999999999997"/>
  </r>
  <r>
    <d v="2025-06-15T17:31:01"/>
    <x v="2"/>
    <s v="Plaquettes de finition carrées"/>
    <s v="10301115"/>
    <s v="BOUCHART LUDOVIC"/>
    <n v="5"/>
    <x v="0"/>
    <x v="2"/>
    <s v="PLAQUETTES"/>
    <x v="0"/>
    <n v="47.8"/>
  </r>
  <r>
    <d v="2025-06-15T17:31:17"/>
    <x v="3"/>
    <s v="Plaquettes d'ébauches carrées"/>
    <s v="10301115"/>
    <s v="BOUCHART LUDOVIC"/>
    <n v="5"/>
    <x v="1"/>
    <x v="3"/>
    <s v="PLAQUETTES"/>
    <x v="3"/>
    <n v="39.799999999999997"/>
  </r>
  <r>
    <d v="2025-06-15T17:31:30"/>
    <x v="0"/>
    <s v="Plaquettes d'ébauches rhombiques"/>
    <s v="10301115"/>
    <s v="BOUCHART LUDOVIC"/>
    <n v="5"/>
    <x v="1"/>
    <x v="3"/>
    <s v="PLAQUETTES"/>
    <x v="3"/>
    <n v="39.799999999999997"/>
  </r>
  <r>
    <d v="2025-06-15T17:31:44"/>
    <x v="3"/>
    <s v="Plaquettes d'ébauches carrées"/>
    <s v="10301115"/>
    <s v="BOUCHART LUDOVIC"/>
    <n v="5"/>
    <x v="1"/>
    <x v="0"/>
    <s v="PLAQUETTES"/>
    <x v="3"/>
    <n v="39.799999999999997"/>
  </r>
  <r>
    <d v="2025-06-15T17:31:56"/>
    <x v="0"/>
    <s v="Plaquettes d'ébauches rhombiques"/>
    <s v="10301115"/>
    <s v="BOUCHART LUDOVIC"/>
    <n v="5"/>
    <x v="1"/>
    <x v="0"/>
    <s v="PLAQUETTES"/>
    <x v="3"/>
    <n v="39.799999999999997"/>
  </r>
  <r>
    <d v="2025-06-15T17:32:10"/>
    <x v="2"/>
    <s v="Plaquettes de finition carrées"/>
    <s v="10301115"/>
    <s v="BOUCHART LUDOVIC"/>
    <n v="5"/>
    <x v="1"/>
    <x v="2"/>
    <s v="PLAQUETTES"/>
    <x v="3"/>
    <n v="47.8"/>
  </r>
  <r>
    <d v="2025-06-17T06:56:12"/>
    <x v="2"/>
    <s v="Plaquettes de finition carrées"/>
    <s v="SE38185"/>
    <s v="PIERRE NICOLAS VENIAT"/>
    <n v="5"/>
    <x v="1"/>
    <x v="2"/>
    <s v="PLAQUETTES"/>
    <x v="3"/>
    <n v="47.8"/>
  </r>
  <r>
    <d v="2025-06-17T09:24:19"/>
    <x v="3"/>
    <s v="Plaquettes d'ébauches carrées"/>
    <s v="12824586"/>
    <s v="DASILVA FERNANDO"/>
    <n v="5"/>
    <x v="1"/>
    <x v="3"/>
    <s v="PLAQUETTES"/>
    <x v="2"/>
    <n v="39.799999999999997"/>
  </r>
  <r>
    <d v="2025-06-17T21:54:59"/>
    <x v="2"/>
    <s v="Plaquettes de finition carrées"/>
    <s v="070325"/>
    <s v="PEREIRA KEVIN"/>
    <n v="5"/>
    <x v="1"/>
    <x v="2"/>
    <s v="PLAQUETTES"/>
    <x v="2"/>
    <n v="47.8"/>
  </r>
  <r>
    <d v="2025-06-17T21:55:15"/>
    <x v="3"/>
    <s v="Plaquettes d'ébauches carrées"/>
    <s v="070325"/>
    <s v="PEREIRA KEVIN"/>
    <n v="5"/>
    <x v="1"/>
    <x v="3"/>
    <s v="PLAQUETTES"/>
    <x v="2"/>
    <n v="39.799999999999997"/>
  </r>
  <r>
    <d v="2025-06-17T21:55:28"/>
    <x v="2"/>
    <s v="Plaquettes de finition carrées"/>
    <s v="070325"/>
    <s v="PEREIRA KEVIN"/>
    <n v="5"/>
    <x v="0"/>
    <x v="2"/>
    <s v="PLAQUETTES"/>
    <x v="0"/>
    <n v="47.8"/>
  </r>
  <r>
    <d v="2025-06-17T22:13:12"/>
    <x v="3"/>
    <s v="Plaquettes d'ébauches carrées"/>
    <s v="31224"/>
    <s v="BIDOT MURIEL"/>
    <n v="5"/>
    <x v="0"/>
    <x v="3"/>
    <s v="PLAQUETTES"/>
    <x v="0"/>
    <n v="39.799999999999997"/>
  </r>
  <r>
    <d v="2025-06-17T22:13:27"/>
    <x v="2"/>
    <s v="Plaquettes de finition carrées"/>
    <s v="31224"/>
    <s v="BIDOT MURIEL"/>
    <n v="5"/>
    <x v="0"/>
    <x v="2"/>
    <s v="PLAQUETTES"/>
    <x v="0"/>
    <n v="47.8"/>
  </r>
  <r>
    <d v="2025-06-17T22:13:43"/>
    <x v="4"/>
    <s v="Plaquettes de gorges"/>
    <s v="31224"/>
    <s v="BIDOT MURIEL"/>
    <n v="10"/>
    <x v="0"/>
    <x v="0"/>
    <s v="PLAQUETTES"/>
    <x v="0"/>
    <n v="188"/>
  </r>
  <r>
    <d v="2025-06-18T05:16:31"/>
    <x v="2"/>
    <s v="Plaquettes de finition carrées"/>
    <s v="SE38185"/>
    <s v="PIERRE NICOLAS VENIAT"/>
    <n v="5"/>
    <x v="1"/>
    <x v="2"/>
    <s v="PLAQUETTES"/>
    <x v="2"/>
    <n v="47.8"/>
  </r>
  <r>
    <d v="2025-06-19T17:32:34"/>
    <x v="3"/>
    <s v="Plaquettes d'ébauches carrées"/>
    <s v="090225"/>
    <s v="MEYER THOMAS"/>
    <n v="5"/>
    <x v="1"/>
    <x v="3"/>
    <s v="PLAQUETTES"/>
    <x v="2"/>
    <n v="39.799999999999997"/>
  </r>
  <r>
    <d v="2025-06-19T17:32:50"/>
    <x v="4"/>
    <s v="Plaquettes de gorges"/>
    <s v="090225"/>
    <s v="MEYER THOMAS"/>
    <n v="10"/>
    <x v="1"/>
    <x v="0"/>
    <s v="PLAQUETTES"/>
    <x v="2"/>
    <n v="188"/>
  </r>
  <r>
    <d v="2025-06-19T17:33:07"/>
    <x v="3"/>
    <s v="Plaquettes d'ébauches carrées"/>
    <s v="090225"/>
    <s v="MEYER THOMAS"/>
    <n v="5"/>
    <x v="1"/>
    <x v="0"/>
    <s v="PLAQUETTES"/>
    <x v="2"/>
    <n v="39.799999999999997"/>
  </r>
  <r>
    <d v="2025-06-19T17:33:29"/>
    <x v="3"/>
    <s v="Plaquettes d'ébauches carrées"/>
    <s v="090225"/>
    <s v="MEYER THOMAS"/>
    <n v="5"/>
    <x v="1"/>
    <x v="3"/>
    <s v="PLAQUETTES"/>
    <x v="2"/>
    <n v="39.799999999999997"/>
  </r>
  <r>
    <d v="2025-06-20T06:03:37"/>
    <x v="3"/>
    <s v="Plaquettes d'ébauches carrées"/>
    <s v="10301115"/>
    <s v="BOUCHART LUDOVIC"/>
    <n v="5"/>
    <x v="1"/>
    <x v="3"/>
    <s v="PLAQUETTES"/>
    <x v="2"/>
    <n v="39.799999999999997"/>
  </r>
  <r>
    <d v="2025-06-20T06:03:50"/>
    <x v="0"/>
    <s v="Plaquettes d'ébauches rhombiques"/>
    <s v="10301115"/>
    <s v="BOUCHART LUDOVIC"/>
    <n v="5"/>
    <x v="1"/>
    <x v="3"/>
    <s v="PLAQUETTES"/>
    <x v="2"/>
    <n v="39.799999999999997"/>
  </r>
  <r>
    <d v="2025-06-20T06:04:04"/>
    <x v="4"/>
    <s v="Plaquettes de gorges"/>
    <s v="10301115"/>
    <s v="BOUCHART LUDOVIC"/>
    <n v="10"/>
    <x v="1"/>
    <x v="0"/>
    <s v="PLAQUETTES"/>
    <x v="2"/>
    <n v="188"/>
  </r>
  <r>
    <d v="2025-06-20T06:04:18"/>
    <x v="3"/>
    <s v="Plaquettes d'ébauches carrées"/>
    <s v="10301115"/>
    <s v="BOUCHART LUDOVIC"/>
    <n v="5"/>
    <x v="1"/>
    <x v="0"/>
    <s v="PLAQUETTES"/>
    <x v="2"/>
    <n v="39.799999999999997"/>
  </r>
  <r>
    <d v="2025-06-20T06:04:32"/>
    <x v="0"/>
    <s v="Plaquettes d'ébauches rhombiques"/>
    <s v="10301115"/>
    <s v="BOUCHART LUDOVIC"/>
    <n v="5"/>
    <x v="1"/>
    <x v="0"/>
    <s v="PLAQUETTES"/>
    <x v="2"/>
    <n v="39.799999999999997"/>
  </r>
  <r>
    <d v="2025-06-20T06:04:55"/>
    <x v="2"/>
    <s v="Plaquettes de finition carrées"/>
    <s v="10301115"/>
    <s v="BOUCHART LUDOVIC"/>
    <n v="5"/>
    <x v="1"/>
    <x v="2"/>
    <s v="PLAQUETTES"/>
    <x v="2"/>
    <n v="47.8"/>
  </r>
  <r>
    <d v="2025-06-20T22:35:24"/>
    <x v="2"/>
    <s v="Plaquettes de finition carrées"/>
    <s v="31224"/>
    <s v="BIDOT MURIEL"/>
    <n v="5"/>
    <x v="0"/>
    <x v="2"/>
    <s v="PLAQUETTES"/>
    <x v="0"/>
    <n v="47.8"/>
  </r>
  <r>
    <d v="2025-06-20T22:35:37"/>
    <x v="2"/>
    <s v="Plaquettes de finition carrées"/>
    <s v="31224"/>
    <s v="BIDOT MURIEL"/>
    <n v="5"/>
    <x v="1"/>
    <x v="2"/>
    <s v="PLAQUETTES"/>
    <x v="2"/>
    <n v="47.8"/>
  </r>
  <r>
    <d v="2025-06-21T10:07:19"/>
    <x v="3"/>
    <s v="Plaquettes d'ébauches carrées"/>
    <s v="10301115"/>
    <s v="BOUCHART LUDOVIC"/>
    <n v="5"/>
    <x v="0"/>
    <x v="3"/>
    <s v="PLAQUETTES"/>
    <x v="0"/>
    <n v="39.799999999999997"/>
  </r>
  <r>
    <d v="2025-06-21T10:07:38"/>
    <x v="0"/>
    <s v="Plaquettes d'ébauches rhombiques"/>
    <s v="10301115"/>
    <s v="BOUCHART LUDOVIC"/>
    <n v="5"/>
    <x v="0"/>
    <x v="3"/>
    <s v="PLAQUETTES"/>
    <x v="0"/>
    <n v="39.799999999999997"/>
  </r>
  <r>
    <d v="2025-06-21T10:08:57"/>
    <x v="4"/>
    <s v="Plaquettes de gorges"/>
    <s v="10301115"/>
    <s v="BOUCHART LUDOVIC"/>
    <n v="10"/>
    <x v="0"/>
    <x v="0"/>
    <s v="PLAQUETTES"/>
    <x v="0"/>
    <n v="188"/>
  </r>
  <r>
    <d v="2025-06-21T10:09:20"/>
    <x v="3"/>
    <s v="Plaquettes d'ébauches carrées"/>
    <s v="10301115"/>
    <s v="BOUCHART LUDOVIC"/>
    <n v="5"/>
    <x v="0"/>
    <x v="0"/>
    <s v="PLAQUETTES"/>
    <x v="0"/>
    <n v="39.799999999999997"/>
  </r>
  <r>
    <d v="2025-06-21T10:09:36"/>
    <x v="0"/>
    <s v="Plaquettes d'ébauches rhombiques"/>
    <s v="10301115"/>
    <s v="BOUCHART LUDOVIC"/>
    <n v="5"/>
    <x v="0"/>
    <x v="0"/>
    <s v="PLAQUETTES"/>
    <x v="0"/>
    <n v="39.799999999999997"/>
  </r>
  <r>
    <d v="2025-06-21T10:09:57"/>
    <x v="2"/>
    <s v="Plaquettes de finition carrées"/>
    <s v="10301115"/>
    <s v="BOUCHART LUDOVIC"/>
    <n v="5"/>
    <x v="0"/>
    <x v="2"/>
    <s v="PLAQUETTES"/>
    <x v="0"/>
    <n v="47.8"/>
  </r>
  <r>
    <d v="2025-06-21T10:10:14"/>
    <x v="3"/>
    <s v="Plaquettes d'ébauches carrées"/>
    <s v="10301115"/>
    <s v="BOUCHART LUDOVIC"/>
    <n v="5"/>
    <x v="1"/>
    <x v="3"/>
    <s v="PLAQUETTES"/>
    <x v="2"/>
    <n v="39.799999999999997"/>
  </r>
  <r>
    <d v="2025-06-21T10:10:28"/>
    <x v="0"/>
    <s v="Plaquettes d'ébauches rhombiques"/>
    <s v="10301115"/>
    <s v="BOUCHART LUDOVIC"/>
    <n v="5"/>
    <x v="1"/>
    <x v="3"/>
    <s v="PLAQUETTES"/>
    <x v="2"/>
    <n v="39.799999999999997"/>
  </r>
  <r>
    <d v="2025-06-21T10:10:46"/>
    <x v="4"/>
    <s v="Plaquettes de gorges"/>
    <s v="10301115"/>
    <s v="BOUCHART LUDOVIC"/>
    <n v="10"/>
    <x v="1"/>
    <x v="0"/>
    <s v="PLAQUETTES"/>
    <x v="2"/>
    <n v="188"/>
  </r>
  <r>
    <d v="2025-06-21T10:11:03"/>
    <x v="3"/>
    <s v="Plaquettes d'ébauches carrées"/>
    <s v="10301115"/>
    <s v="BOUCHART LUDOVIC"/>
    <n v="5"/>
    <x v="1"/>
    <x v="0"/>
    <s v="PLAQUETTES"/>
    <x v="2"/>
    <n v="39.799999999999997"/>
  </r>
  <r>
    <d v="2025-06-21T10:11:21"/>
    <x v="0"/>
    <s v="Plaquettes d'ébauches rhombiques"/>
    <s v="10301115"/>
    <s v="BOUCHART LUDOVIC"/>
    <n v="5"/>
    <x v="1"/>
    <x v="0"/>
    <s v="PLAQUETTES"/>
    <x v="2"/>
    <n v="39.799999999999997"/>
  </r>
  <r>
    <d v="2025-06-21T10:11:39"/>
    <x v="2"/>
    <s v="Plaquettes de finition carrées"/>
    <s v="10301115"/>
    <s v="BOUCHART LUDOVIC"/>
    <n v="5"/>
    <x v="1"/>
    <x v="2"/>
    <s v="PLAQUETTES"/>
    <x v="2"/>
    <n v="47.8"/>
  </r>
  <r>
    <d v="2025-06-22T20:37:10"/>
    <x v="3"/>
    <s v="Plaquettes d'ébauches carrées"/>
    <s v="10301115"/>
    <s v="BOUCHART LUDOVIC"/>
    <n v="5"/>
    <x v="0"/>
    <x v="3"/>
    <s v="PLAQUETTES"/>
    <x v="0"/>
    <n v="39.799999999999997"/>
  </r>
  <r>
    <d v="2025-06-22T20:37:23"/>
    <x v="0"/>
    <s v="Plaquettes d'ébauches rhombiques"/>
    <s v="10301115"/>
    <s v="BOUCHART LUDOVIC"/>
    <n v="5"/>
    <x v="0"/>
    <x v="3"/>
    <s v="PLAQUETTES"/>
    <x v="0"/>
    <n v="39.799999999999997"/>
  </r>
  <r>
    <d v="2025-06-22T20:37:37"/>
    <x v="3"/>
    <s v="Plaquettes d'ébauches carrées"/>
    <s v="10301115"/>
    <s v="BOUCHART LUDOVIC"/>
    <n v="5"/>
    <x v="0"/>
    <x v="0"/>
    <s v="PLAQUETTES"/>
    <x v="0"/>
    <n v="39.799999999999997"/>
  </r>
  <r>
    <d v="2025-06-22T20:37:53"/>
    <x v="0"/>
    <s v="Plaquettes d'ébauches rhombiques"/>
    <s v="10301115"/>
    <s v="BOUCHART LUDOVIC"/>
    <n v="5"/>
    <x v="0"/>
    <x v="0"/>
    <s v="PLAQUETTES"/>
    <x v="0"/>
    <n v="39.799999999999997"/>
  </r>
  <r>
    <d v="2025-06-22T20:38:10"/>
    <x v="2"/>
    <s v="Plaquettes de finition carrées"/>
    <s v="10301115"/>
    <s v="BOUCHART LUDOVIC"/>
    <n v="5"/>
    <x v="0"/>
    <x v="2"/>
    <s v="PLAQUETTES"/>
    <x v="0"/>
    <n v="47.8"/>
  </r>
  <r>
    <d v="2025-06-24T16:53:49"/>
    <x v="4"/>
    <s v="Plaquettes de gorges"/>
    <s v="31224"/>
    <s v="BIDOT MURIEL"/>
    <n v="10"/>
    <x v="0"/>
    <x v="0"/>
    <s v="PLAQUETTES"/>
    <x v="0"/>
    <n v="188"/>
  </r>
  <r>
    <d v="2025-06-25T03:09:34"/>
    <x v="2"/>
    <s v="Plaquettes de finition carrées"/>
    <s v="SC95213"/>
    <s v="RABET PAULINE"/>
    <n v="5"/>
    <x v="0"/>
    <x v="2"/>
    <s v="PLAQUETTES"/>
    <x v="0"/>
    <n v="47.8"/>
  </r>
  <r>
    <d v="2025-06-25T13:17:01"/>
    <x v="2"/>
    <s v="Plaquettes de finition carrées"/>
    <s v="31224"/>
    <s v="BIDOT MURIEL"/>
    <n v="5"/>
    <x v="0"/>
    <x v="2"/>
    <s v="PLAQUETTES"/>
    <x v="0"/>
    <n v="47.8"/>
  </r>
  <r>
    <d v="2025-06-25T13:17:14"/>
    <x v="4"/>
    <s v="Plaquettes de gorges"/>
    <s v="31224"/>
    <s v="BIDOT MURIEL"/>
    <n v="10"/>
    <x v="0"/>
    <x v="0"/>
    <s v="PLAQUETTES"/>
    <x v="0"/>
    <n v="188"/>
  </r>
  <r>
    <d v="2025-06-25T16:12:12"/>
    <x v="4"/>
    <s v="Plaquettes de gorges"/>
    <s v="SE08251"/>
    <s v="FAYET AYMERIC"/>
    <n v="10"/>
    <x v="1"/>
    <x v="0"/>
    <s v="PLAQUETTES"/>
    <x v="2"/>
    <n v="188"/>
  </r>
  <r>
    <d v="2025-06-27T14:48:51"/>
    <x v="4"/>
    <s v="Plaquettes de gorges"/>
    <s v="070325"/>
    <s v="PEREIRA KEVIN"/>
    <n v="10"/>
    <x v="0"/>
    <x v="0"/>
    <s v="PLAQUETTES"/>
    <x v="0"/>
    <n v="188"/>
  </r>
  <r>
    <d v="2025-06-27T14:49:10"/>
    <x v="3"/>
    <s v="Plaquettes d'ébauches carrées"/>
    <s v="070325"/>
    <s v="PEREIRA KEVIN"/>
    <n v="5"/>
    <x v="1"/>
    <x v="3"/>
    <s v="PLAQUETTES"/>
    <x v="2"/>
    <n v="39.799999999999997"/>
  </r>
  <r>
    <d v="2025-06-27T16:32:32"/>
    <x v="2"/>
    <s v="Plaquettes de finition carrées"/>
    <s v="31224"/>
    <s v="BIDOT MURIEL"/>
    <n v="5"/>
    <x v="0"/>
    <x v="2"/>
    <s v="PLAQUETTES"/>
    <x v="0"/>
    <n v="47.8"/>
  </r>
  <r>
    <d v="2025-06-27T16:32:49"/>
    <x v="2"/>
    <s v="Plaquettes de finition carrées"/>
    <s v="31224"/>
    <s v="BIDOT MURIEL"/>
    <n v="5"/>
    <x v="0"/>
    <x v="2"/>
    <s v="PLAQUETTES"/>
    <x v="0"/>
    <n v="47.8"/>
  </r>
  <r>
    <d v="2025-06-27T21:19:51"/>
    <x v="4"/>
    <s v="Plaquettes de gorges"/>
    <s v="SD75051"/>
    <s v="COMBALUZIER LUCAS"/>
    <n v="10"/>
    <x v="0"/>
    <x v="0"/>
    <s v="PLAQUETTES"/>
    <x v="0"/>
    <n v="188"/>
  </r>
  <r>
    <d v="2025-06-28T06:21:34"/>
    <x v="3"/>
    <s v="Plaquettes d'ébauches carrées"/>
    <s v="10301115"/>
    <s v="BOUCHART LUDOVIC"/>
    <n v="5"/>
    <x v="0"/>
    <x v="3"/>
    <s v="PLAQUETTES"/>
    <x v="0"/>
    <n v="39.799999999999997"/>
  </r>
  <r>
    <d v="2025-06-28T06:21:50"/>
    <x v="0"/>
    <s v="Plaquettes d'ébauches rhombiques"/>
    <s v="10301115"/>
    <s v="BOUCHART LUDOVIC"/>
    <n v="5"/>
    <x v="0"/>
    <x v="3"/>
    <s v="PLAQUETTES"/>
    <x v="0"/>
    <n v="39.799999999999997"/>
  </r>
  <r>
    <d v="2025-06-28T06:22:08"/>
    <x v="4"/>
    <s v="Plaquettes de gorges"/>
    <s v="10301115"/>
    <s v="BOUCHART LUDOVIC"/>
    <n v="10"/>
    <x v="0"/>
    <x v="0"/>
    <s v="PLAQUETTES"/>
    <x v="0"/>
    <n v="188"/>
  </r>
  <r>
    <d v="2025-06-28T06:22:23"/>
    <x v="3"/>
    <s v="Plaquettes d'ébauches carrées"/>
    <s v="10301115"/>
    <s v="BOUCHART LUDOVIC"/>
    <n v="5"/>
    <x v="0"/>
    <x v="0"/>
    <s v="PLAQUETTES"/>
    <x v="0"/>
    <n v="39.799999999999997"/>
  </r>
  <r>
    <d v="2025-06-28T06:22:38"/>
    <x v="0"/>
    <s v="Plaquettes d'ébauches rhombiques"/>
    <s v="10301115"/>
    <s v="BOUCHART LUDOVIC"/>
    <n v="5"/>
    <x v="0"/>
    <x v="0"/>
    <s v="PLAQUETTES"/>
    <x v="0"/>
    <n v="39.799999999999997"/>
  </r>
  <r>
    <d v="2025-06-28T06:23:04"/>
    <x v="2"/>
    <s v="Plaquettes de finition carrées"/>
    <s v="10301115"/>
    <s v="BOUCHART LUDOVIC"/>
    <n v="5"/>
    <x v="0"/>
    <x v="2"/>
    <s v="PLAQUETTES"/>
    <x v="0"/>
    <n v="47.8"/>
  </r>
  <r>
    <d v="2025-06-29T17:42:36"/>
    <x v="3"/>
    <s v="Plaquettes d'ébauches carrées"/>
    <s v="10301115"/>
    <s v="BOUCHART LUDOVIC"/>
    <n v="5"/>
    <x v="0"/>
    <x v="3"/>
    <s v="PLAQUETTES"/>
    <x v="0"/>
    <n v="39.799999999999997"/>
  </r>
  <r>
    <d v="2025-06-29T17:42:49"/>
    <x v="0"/>
    <s v="Plaquettes d'ébauches rhombiques"/>
    <s v="10301115"/>
    <s v="BOUCHART LUDOVIC"/>
    <n v="5"/>
    <x v="0"/>
    <x v="3"/>
    <s v="PLAQUETTES"/>
    <x v="0"/>
    <n v="39.799999999999997"/>
  </r>
  <r>
    <d v="2025-06-29T17:43:05"/>
    <x v="4"/>
    <s v="Plaquettes de gorges"/>
    <s v="10301115"/>
    <s v="BOUCHART LUDOVIC"/>
    <n v="10"/>
    <x v="0"/>
    <x v="0"/>
    <s v="PLAQUETTES"/>
    <x v="0"/>
    <n v="188"/>
  </r>
  <r>
    <d v="2025-06-29T17:43:23"/>
    <x v="3"/>
    <s v="Plaquettes d'ébauches carrées"/>
    <s v="10301115"/>
    <s v="BOUCHART LUDOVIC"/>
    <n v="5"/>
    <x v="0"/>
    <x v="0"/>
    <s v="PLAQUETTES"/>
    <x v="0"/>
    <n v="39.799999999999997"/>
  </r>
  <r>
    <d v="2025-06-29T17:43:38"/>
    <x v="0"/>
    <s v="Plaquettes d'ébauches rhombiques"/>
    <s v="10301115"/>
    <s v="BOUCHART LUDOVIC"/>
    <n v="5"/>
    <x v="0"/>
    <x v="0"/>
    <s v="PLAQUETTES"/>
    <x v="0"/>
    <n v="39.799999999999997"/>
  </r>
  <r>
    <d v="2025-06-29T17:43:59"/>
    <x v="2"/>
    <s v="Plaquettes de finition carrées"/>
    <s v="10301115"/>
    <s v="BOUCHART LUDOVIC"/>
    <n v="5"/>
    <x v="0"/>
    <x v="2"/>
    <s v="PLAQUETTES"/>
    <x v="0"/>
    <n v="47.8"/>
  </r>
  <r>
    <d v="2025-06-29T17:44:15"/>
    <x v="3"/>
    <s v="Plaquettes d'ébauches carrées"/>
    <s v="10301115"/>
    <s v="BOUCHART LUDOVIC"/>
    <n v="5"/>
    <x v="1"/>
    <x v="3"/>
    <s v="PLAQUETTES"/>
    <x v="2"/>
    <n v="39.799999999999997"/>
  </r>
  <r>
    <d v="2025-06-29T17:44:27"/>
    <x v="0"/>
    <s v="Plaquettes d'ébauches rhombiques"/>
    <s v="10301115"/>
    <s v="BOUCHART LUDOVIC"/>
    <n v="5"/>
    <x v="1"/>
    <x v="3"/>
    <s v="PLAQUETTES"/>
    <x v="2"/>
    <n v="39.799999999999997"/>
  </r>
  <r>
    <d v="2025-06-29T17:44:44"/>
    <x v="3"/>
    <s v="Plaquettes d'ébauches carrées"/>
    <s v="10301115"/>
    <s v="BOUCHART LUDOVIC"/>
    <n v="5"/>
    <x v="1"/>
    <x v="0"/>
    <s v="PLAQUETTES"/>
    <x v="2"/>
    <n v="39.799999999999997"/>
  </r>
  <r>
    <d v="2025-06-29T17:44:55"/>
    <x v="4"/>
    <s v="Plaquettes de gorges"/>
    <s v="10301115"/>
    <s v="BOUCHART LUDOVIC"/>
    <n v="10"/>
    <x v="1"/>
    <x v="0"/>
    <s v="PLAQUETTES"/>
    <x v="2"/>
    <n v="188"/>
  </r>
  <r>
    <d v="2025-06-29T17:45:09"/>
    <x v="0"/>
    <s v="Plaquettes d'ébauches rhombiques"/>
    <s v="10301115"/>
    <s v="BOUCHART LUDOVIC"/>
    <n v="5"/>
    <x v="1"/>
    <x v="0"/>
    <s v="PLAQUETTES"/>
    <x v="2"/>
    <n v="39.799999999999997"/>
  </r>
  <r>
    <d v="2025-06-29T17:45:29"/>
    <x v="2"/>
    <s v="Plaquettes de finition carrées"/>
    <s v="10301115"/>
    <s v="BOUCHART LUDOVIC"/>
    <n v="5"/>
    <x v="1"/>
    <x v="2"/>
    <s v="PLAQUETTES"/>
    <x v="2"/>
    <n v="47.8"/>
  </r>
  <r>
    <d v="2025-06-30T11:50:56"/>
    <x v="2"/>
    <s v="Plaquettes de finition carrées"/>
    <s v="070325"/>
    <s v="PEREIRA KEVIN"/>
    <n v="5"/>
    <x v="1"/>
    <x v="2"/>
    <s v="PLAQUETTES"/>
    <x v="2"/>
    <n v="47.8"/>
  </r>
  <r>
    <d v="2025-07-02T06:43:47"/>
    <x v="3"/>
    <s v="Plaquettes d'ébauches carrées"/>
    <s v="31224"/>
    <s v="BIDOT MURIEL"/>
    <n v="5"/>
    <x v="0"/>
    <x v="3"/>
    <s v="PLAQUETTES"/>
    <x v="0"/>
    <n v="39.799999999999997"/>
  </r>
  <r>
    <d v="2025-07-02T06:44:02"/>
    <x v="3"/>
    <s v="Plaquettes d'ébauches carrées"/>
    <s v="31224"/>
    <s v="BIDOT MURIEL"/>
    <n v="5"/>
    <x v="0"/>
    <x v="3"/>
    <s v="PLAQUETTES"/>
    <x v="0"/>
    <n v="39.799999999999997"/>
  </r>
  <r>
    <d v="2025-07-02T06:44:21"/>
    <x v="0"/>
    <s v="Plaquettes d'ébauches rhombiques"/>
    <s v="31224"/>
    <s v="BIDOT MURIEL"/>
    <n v="5"/>
    <x v="0"/>
    <x v="0"/>
    <s v="PLAQUETTES"/>
    <x v="0"/>
    <n v="39.799999999999997"/>
  </r>
  <r>
    <d v="2025-07-02T06:44:37"/>
    <x v="0"/>
    <s v="Plaquettes d'ébauches rhombiques"/>
    <s v="31224"/>
    <s v="BIDOT MURIEL"/>
    <n v="5"/>
    <x v="0"/>
    <x v="0"/>
    <s v="PLAQUETTES"/>
    <x v="0"/>
    <n v="39.799999999999997"/>
  </r>
  <r>
    <d v="2025-07-02T06:44:49"/>
    <x v="4"/>
    <s v="Plaquettes de gorges"/>
    <s v="31224"/>
    <s v="BIDOT MURIEL"/>
    <n v="10"/>
    <x v="0"/>
    <x v="0"/>
    <s v="PLAQUETTES"/>
    <x v="0"/>
    <n v="188"/>
  </r>
  <r>
    <d v="2025-07-02T06:45:04"/>
    <x v="2"/>
    <s v="Plaquettes de finition carrées"/>
    <s v="31224"/>
    <s v="BIDOT MURIEL"/>
    <n v="5"/>
    <x v="0"/>
    <x v="2"/>
    <s v="PLAQUETTES"/>
    <x v="0"/>
    <n v="47.8"/>
  </r>
  <r>
    <d v="2025-07-02T06:45:17"/>
    <x v="2"/>
    <s v="Plaquettes de finition carrées"/>
    <s v="31224"/>
    <s v="BIDOT MURIEL"/>
    <n v="5"/>
    <x v="0"/>
    <x v="2"/>
    <s v="PLAQUETTES"/>
    <x v="0"/>
    <n v="47.8"/>
  </r>
  <r>
    <d v="2025-07-02T08:07:47"/>
    <x v="3"/>
    <s v="Plaquettes d'ébauches carrées"/>
    <s v="12824586"/>
    <s v="DASILVA FERNANDO"/>
    <n v="5"/>
    <x v="1"/>
    <x v="3"/>
    <s v="PLAQUETTES"/>
    <x v="2"/>
    <n v="39.799999999999997"/>
  </r>
  <r>
    <d v="2025-07-02T10:22:10"/>
    <x v="10"/>
    <s v="Plaquettes TPGX0902ZPRGD KC7315"/>
    <s v="12824586"/>
    <s v="DASILVA FERNANDO"/>
    <n v="10"/>
    <x v="1"/>
    <x v="1"/>
    <s v="PLAQUETTES"/>
    <x v="1"/>
    <n v="81.5"/>
  </r>
  <r>
    <d v="2025-07-03T01:45:39"/>
    <x v="0"/>
    <s v="Plaquettes d'ébauches rhombiques"/>
    <s v="090225"/>
    <s v="MEYER THOMAS"/>
    <n v="5"/>
    <x v="0"/>
    <x v="3"/>
    <s v="PLAQUETTES"/>
    <x v="0"/>
    <n v="39.799999999999997"/>
  </r>
  <r>
    <d v="2025-07-03T01:45:58"/>
    <x v="3"/>
    <s v="Plaquettes d'ébauches carrées"/>
    <s v="090225"/>
    <s v="MEYER THOMAS"/>
    <n v="5"/>
    <x v="0"/>
    <x v="3"/>
    <s v="PLAQUETTES"/>
    <x v="0"/>
    <n v="39.799999999999997"/>
  </r>
  <r>
    <d v="2025-07-03T01:46:15"/>
    <x v="3"/>
    <s v="Plaquettes d'ébauches carrées"/>
    <s v="090225"/>
    <s v="MEYER THOMAS"/>
    <n v="5"/>
    <x v="1"/>
    <x v="3"/>
    <s v="PLAQUETTES"/>
    <x v="2"/>
    <n v="39.799999999999997"/>
  </r>
  <r>
    <d v="2025-07-03T01:46:28"/>
    <x v="4"/>
    <s v="Plaquettes de gorges"/>
    <s v="090225"/>
    <s v="MEYER THOMAS"/>
    <n v="10"/>
    <x v="1"/>
    <x v="0"/>
    <s v="PLAQUETTES"/>
    <x v="2"/>
    <n v="188"/>
  </r>
  <r>
    <d v="2025-07-03T01:46:43"/>
    <x v="4"/>
    <s v="Plaquettes de gorges"/>
    <s v="090225"/>
    <s v="MEYER THOMAS"/>
    <n v="10"/>
    <x v="0"/>
    <x v="0"/>
    <s v="PLAQUETTES"/>
    <x v="0"/>
    <n v="188"/>
  </r>
  <r>
    <d v="2025-07-03T03:27:02"/>
    <x v="2"/>
    <s v="Plaquettes de finition carrées"/>
    <s v="7236310"/>
    <s v="OZYURT IREM"/>
    <n v="5"/>
    <x v="0"/>
    <x v="2"/>
    <s v="PLAQUETTES"/>
    <x v="0"/>
    <n v="47.8"/>
  </r>
  <r>
    <d v="2025-07-03T05:19:03"/>
    <x v="3"/>
    <s v="Plaquettes d'ébauches carrées"/>
    <s v="070325"/>
    <s v="PEREIRA KEVIN"/>
    <n v="5"/>
    <x v="1"/>
    <x v="0"/>
    <s v="PLAQUETTES"/>
    <x v="2"/>
    <n v="39.799999999999997"/>
  </r>
  <r>
    <d v="2025-07-03T05:19:23"/>
    <x v="2"/>
    <s v="Plaquettes de finition carrées"/>
    <s v="070325"/>
    <s v="PEREIRA KEVIN"/>
    <n v="5"/>
    <x v="1"/>
    <x v="2"/>
    <s v="PLAQUETTES"/>
    <x v="2"/>
    <n v="47.8"/>
  </r>
  <r>
    <d v="2025-07-03T05:19:45"/>
    <x v="2"/>
    <s v="Plaquettes de finition carrées"/>
    <s v="070325"/>
    <s v="PEREIRA KEVIN"/>
    <n v="5"/>
    <x v="0"/>
    <x v="2"/>
    <s v="PLAQUETTES"/>
    <x v="0"/>
    <n v="47.8"/>
  </r>
  <r>
    <d v="2025-07-04T04:27:56"/>
    <x v="3"/>
    <s v="Plaquettes d'ébauches carrées"/>
    <s v="090225"/>
    <s v="MEYER THOMAS"/>
    <n v="5"/>
    <x v="1"/>
    <x v="3"/>
    <s v="PLAQUETTES"/>
    <x v="2"/>
    <n v="39.799999999999997"/>
  </r>
  <r>
    <d v="2025-07-04T04:28:11"/>
    <x v="0"/>
    <s v="Plaquettes d'ébauches rhombiques"/>
    <s v="090225"/>
    <s v="MEYER THOMAS"/>
    <n v="5"/>
    <x v="1"/>
    <x v="3"/>
    <s v="PLAQUETTES"/>
    <x v="2"/>
    <n v="39.799999999999997"/>
  </r>
  <r>
    <d v="2025-07-04T04:28:24"/>
    <x v="3"/>
    <s v="Plaquettes d'ébauches carrées"/>
    <s v="090225"/>
    <s v="MEYER THOMAS"/>
    <n v="5"/>
    <x v="0"/>
    <x v="3"/>
    <s v="PLAQUETTES"/>
    <x v="4"/>
    <n v="39.799999999999997"/>
  </r>
  <r>
    <d v="2025-07-04T04:28:47"/>
    <x v="0"/>
    <s v="Plaquettes d'ébauches rhombiques"/>
    <s v="090225"/>
    <s v="MEYER THOMAS"/>
    <n v="5"/>
    <x v="0"/>
    <x v="3"/>
    <s v="PLAQUETTES"/>
    <x v="4"/>
    <n v="39.799999999999997"/>
  </r>
  <r>
    <d v="2025-07-04T04:29:01"/>
    <x v="4"/>
    <s v="Plaquettes de gorges"/>
    <s v="090225"/>
    <s v="MEYER THOMAS"/>
    <n v="10"/>
    <x v="0"/>
    <x v="0"/>
    <s v="PLAQUETTES"/>
    <x v="4"/>
    <n v="188"/>
  </r>
  <r>
    <d v="2025-07-04T04:29:14"/>
    <x v="4"/>
    <s v="Plaquettes de gorges"/>
    <s v="090225"/>
    <s v="MEYER THOMAS"/>
    <n v="10"/>
    <x v="1"/>
    <x v="0"/>
    <s v="PLAQUETTES"/>
    <x v="2"/>
    <n v="188"/>
  </r>
  <r>
    <d v="2025-07-04T04:29:28"/>
    <x v="3"/>
    <s v="Plaquettes d'ébauches carrées"/>
    <s v="090225"/>
    <s v="MEYER THOMAS"/>
    <n v="5"/>
    <x v="1"/>
    <x v="0"/>
    <s v="PLAQUETTES"/>
    <x v="2"/>
    <n v="39.799999999999997"/>
  </r>
  <r>
    <d v="2025-07-04T04:29:43"/>
    <x v="0"/>
    <s v="Plaquettes d'ébauches rhombiques"/>
    <s v="090225"/>
    <s v="MEYER THOMAS"/>
    <n v="5"/>
    <x v="1"/>
    <x v="0"/>
    <s v="PLAQUETTES"/>
    <x v="2"/>
    <n v="39.799999999999997"/>
  </r>
  <r>
    <d v="2025-07-04T05:20:13"/>
    <x v="3"/>
    <s v="Plaquettes d'ébauches carrées"/>
    <s v="10301115"/>
    <s v="BOUCHART LUDOVIC"/>
    <n v="5"/>
    <x v="0"/>
    <x v="3"/>
    <s v="PLAQUETTES"/>
    <x v="4"/>
    <n v="39.799999999999997"/>
  </r>
  <r>
    <d v="2025-07-04T05:20:28"/>
    <x v="0"/>
    <s v="Plaquettes d'ébauches rhombiques"/>
    <s v="10301115"/>
    <s v="BOUCHART LUDOVIC"/>
    <n v="5"/>
    <x v="0"/>
    <x v="3"/>
    <s v="PLAQUETTES"/>
    <x v="4"/>
    <n v="39.799999999999997"/>
  </r>
  <r>
    <d v="2025-07-04T05:20:42"/>
    <x v="4"/>
    <s v="Plaquettes de gorges"/>
    <s v="10301115"/>
    <s v="BOUCHART LUDOVIC"/>
    <n v="10"/>
    <x v="0"/>
    <x v="0"/>
    <s v="PLAQUETTES"/>
    <x v="4"/>
    <n v="188"/>
  </r>
  <r>
    <d v="2025-07-04T05:20:58"/>
    <x v="3"/>
    <s v="Plaquettes d'ébauches carrées"/>
    <s v="10301115"/>
    <s v="BOUCHART LUDOVIC"/>
    <n v="5"/>
    <x v="0"/>
    <x v="0"/>
    <s v="PLAQUETTES"/>
    <x v="4"/>
    <n v="39.799999999999997"/>
  </r>
  <r>
    <d v="2025-07-04T05:21:13"/>
    <x v="0"/>
    <s v="Plaquettes d'ébauches rhombiques"/>
    <s v="10301115"/>
    <s v="BOUCHART LUDOVIC"/>
    <n v="5"/>
    <x v="0"/>
    <x v="0"/>
    <s v="PLAQUETTES"/>
    <x v="4"/>
    <n v="39.799999999999997"/>
  </r>
  <r>
    <d v="2025-07-04T05:21:36"/>
    <x v="2"/>
    <s v="Plaquettes de finition carrées"/>
    <s v="10301115"/>
    <s v="BOUCHART LUDOVIC"/>
    <n v="5"/>
    <x v="0"/>
    <x v="2"/>
    <s v="PLAQUETTES"/>
    <x v="4"/>
    <n v="47.8"/>
  </r>
  <r>
    <d v="2025-07-04T05:21:56"/>
    <x v="3"/>
    <s v="Plaquettes d'ébauches carrées"/>
    <s v="10301115"/>
    <s v="BOUCHART LUDOVIC"/>
    <n v="5"/>
    <x v="1"/>
    <x v="3"/>
    <s v="PLAQUETTES"/>
    <x v="2"/>
    <n v="39.799999999999997"/>
  </r>
  <r>
    <d v="2025-07-04T05:22:09"/>
    <x v="0"/>
    <s v="Plaquettes d'ébauches rhombiques"/>
    <s v="10301115"/>
    <s v="BOUCHART LUDOVIC"/>
    <n v="5"/>
    <x v="1"/>
    <x v="3"/>
    <s v="PLAQUETTES"/>
    <x v="2"/>
    <n v="39.799999999999997"/>
  </r>
  <r>
    <d v="2025-07-04T05:22:26"/>
    <x v="4"/>
    <s v="Plaquettes de gorges"/>
    <s v="10301115"/>
    <s v="BOUCHART LUDOVIC"/>
    <n v="10"/>
    <x v="1"/>
    <x v="0"/>
    <s v="PLAQUETTES"/>
    <x v="2"/>
    <n v="188"/>
  </r>
  <r>
    <d v="2025-07-04T05:22:40"/>
    <x v="3"/>
    <s v="Plaquettes d'ébauches carrées"/>
    <s v="10301115"/>
    <s v="BOUCHART LUDOVIC"/>
    <n v="5"/>
    <x v="1"/>
    <x v="0"/>
    <s v="PLAQUETTES"/>
    <x v="2"/>
    <n v="39.799999999999997"/>
  </r>
  <r>
    <d v="2025-07-04T05:22:57"/>
    <x v="0"/>
    <s v="Plaquettes d'ébauches rhombiques"/>
    <s v="10301115"/>
    <s v="BOUCHART LUDOVIC"/>
    <n v="5"/>
    <x v="1"/>
    <x v="0"/>
    <s v="PLAQUETTES"/>
    <x v="2"/>
    <n v="39.799999999999997"/>
  </r>
  <r>
    <d v="2025-07-04T05:23:18"/>
    <x v="2"/>
    <s v="Plaquettes de finition carrées"/>
    <s v="10301115"/>
    <s v="BOUCHART LUDOVIC"/>
    <n v="5"/>
    <x v="1"/>
    <x v="2"/>
    <s v="PLAQUETTES"/>
    <x v="2"/>
    <n v="47.8"/>
  </r>
  <r>
    <d v="2025-07-04T09:30:15"/>
    <x v="10"/>
    <s v="Plaquettes TPGX0902ZPRGD KC7315"/>
    <s v="12824586"/>
    <s v="DASILVA FERNANDO"/>
    <n v="10"/>
    <x v="1"/>
    <x v="1"/>
    <s v="PLAQUETTES"/>
    <x v="1"/>
    <n v="81.5"/>
  </r>
  <r>
    <d v="2025-07-05T00:48:36"/>
    <x v="2"/>
    <s v="Plaquettes de finition carrées"/>
    <s v="7236310"/>
    <s v="OZYURT IREM"/>
    <n v="5"/>
    <x v="0"/>
    <x v="2"/>
    <s v="PLAQUETTES"/>
    <x v="0"/>
    <n v="47.8"/>
  </r>
  <r>
    <d v="2025-07-05T00:48:56"/>
    <x v="2"/>
    <s v="Plaquettes de finition carrées"/>
    <s v="7236310"/>
    <s v="OZYURT IREM"/>
    <n v="5"/>
    <x v="1"/>
    <x v="2"/>
    <s v="PLAQUETTES"/>
    <x v="2"/>
    <n v="47.8"/>
  </r>
  <r>
    <d v="2025-07-05T05:13:56"/>
    <x v="3"/>
    <s v="Plaquettes d'ébauches carrées"/>
    <s v="10301115"/>
    <s v="BOUCHART LUDOVIC"/>
    <n v="5"/>
    <x v="0"/>
    <x v="3"/>
    <s v="PLAQUETTES"/>
    <x v="0"/>
    <n v="39.799999999999997"/>
  </r>
  <r>
    <d v="2025-07-05T05:14:13"/>
    <x v="0"/>
    <s v="Plaquettes d'ébauches rhombiques"/>
    <s v="10301115"/>
    <s v="BOUCHART LUDOVIC"/>
    <n v="5"/>
    <x v="0"/>
    <x v="3"/>
    <s v="PLAQUETTES"/>
    <x v="0"/>
    <n v="39.799999999999997"/>
  </r>
  <r>
    <d v="2025-07-05T05:14:33"/>
    <x v="4"/>
    <s v="Plaquettes de gorges"/>
    <s v="10301115"/>
    <s v="BOUCHART LUDOVIC"/>
    <n v="10"/>
    <x v="0"/>
    <x v="0"/>
    <s v="PLAQUETTES"/>
    <x v="0"/>
    <n v="188"/>
  </r>
  <r>
    <d v="2025-07-05T05:14:55"/>
    <x v="3"/>
    <s v="Plaquettes d'ébauches carrées"/>
    <s v="10301115"/>
    <s v="BOUCHART LUDOVIC"/>
    <n v="5"/>
    <x v="0"/>
    <x v="0"/>
    <s v="PLAQUETTES"/>
    <x v="0"/>
    <n v="39.799999999999997"/>
  </r>
  <r>
    <d v="2025-07-05T05:15:19"/>
    <x v="0"/>
    <s v="Plaquettes d'ébauches rhombiques"/>
    <s v="10301115"/>
    <s v="BOUCHART LUDOVIC"/>
    <n v="5"/>
    <x v="0"/>
    <x v="0"/>
    <s v="PLAQUETTES"/>
    <x v="0"/>
    <n v="39.799999999999997"/>
  </r>
  <r>
    <d v="2025-07-05T05:15:46"/>
    <x v="2"/>
    <s v="Plaquettes de finition carrées"/>
    <s v="10301115"/>
    <s v="BOUCHART LUDOVIC"/>
    <n v="5"/>
    <x v="0"/>
    <x v="2"/>
    <s v="PLAQUETTES"/>
    <x v="0"/>
    <n v="47.8"/>
  </r>
  <r>
    <d v="2025-07-05T05:16:06"/>
    <x v="3"/>
    <s v="Plaquettes d'ébauches carrées"/>
    <s v="10301115"/>
    <s v="BOUCHART LUDOVIC"/>
    <n v="5"/>
    <x v="1"/>
    <x v="3"/>
    <s v="PLAQUETTES"/>
    <x v="2"/>
    <n v="39.799999999999997"/>
  </r>
  <r>
    <d v="2025-07-05T05:16:21"/>
    <x v="3"/>
    <s v="Plaquettes d'ébauches carrées"/>
    <s v="10301115"/>
    <s v="BOUCHART LUDOVIC"/>
    <n v="5"/>
    <x v="1"/>
    <x v="3"/>
    <s v="PLAQUETTES"/>
    <x v="2"/>
    <n v="39.799999999999997"/>
  </r>
  <r>
    <d v="2025-07-05T05:16:44"/>
    <x v="0"/>
    <s v="Plaquettes d'ébauches rhombiques"/>
    <s v="10301115"/>
    <s v="BOUCHART LUDOVIC"/>
    <n v="5"/>
    <x v="1"/>
    <x v="3"/>
    <s v="PLAQUETTES"/>
    <x v="2"/>
    <n v="39.799999999999997"/>
  </r>
  <r>
    <d v="2025-07-05T05:17:16"/>
    <x v="0"/>
    <s v="Plaquettes d'ébauches rhombiques"/>
    <s v="10301115"/>
    <s v="BOUCHART LUDOVIC"/>
    <n v="5"/>
    <x v="1"/>
    <x v="0"/>
    <s v="PLAQUETTES"/>
    <x v="2"/>
    <n v="39.799999999999997"/>
  </r>
  <r>
    <d v="2025-07-05T05:17:32"/>
    <x v="4"/>
    <s v="Plaquettes de gorges"/>
    <s v="10301115"/>
    <s v="BOUCHART LUDOVIC"/>
    <n v="10"/>
    <x v="1"/>
    <x v="0"/>
    <s v="PLAQUETTES"/>
    <x v="2"/>
    <n v="188"/>
  </r>
  <r>
    <d v="2025-07-05T05:18:09"/>
    <x v="2"/>
    <s v="Plaquettes de finition carrées"/>
    <s v="10301115"/>
    <s v="BOUCHART LUDOVIC"/>
    <n v="5"/>
    <x v="1"/>
    <x v="2"/>
    <s v="PLAQUETTES"/>
    <x v="2"/>
    <n v="47.8"/>
  </r>
  <r>
    <d v="2025-07-05T07:50:04"/>
    <x v="2"/>
    <s v="Plaquettes de finition carrées"/>
    <s v="10301115"/>
    <s v="BOUCHART LUDOVIC"/>
    <n v="5"/>
    <x v="0"/>
    <x v="2"/>
    <s v="PLAQUETTES"/>
    <x v="0"/>
    <n v="47.8"/>
  </r>
  <r>
    <d v="2025-07-05T07:50:23"/>
    <x v="2"/>
    <s v="Plaquettes de finition carrées"/>
    <s v="10301115"/>
    <s v="BOUCHART LUDOVIC"/>
    <n v="5"/>
    <x v="1"/>
    <x v="2"/>
    <s v="PLAQUETTES"/>
    <x v="2"/>
    <n v="47.8"/>
  </r>
  <r>
    <d v="2025-07-06T18:08:52"/>
    <x v="3"/>
    <s v="Plaquettes d'ébauches carrées"/>
    <s v="10301115"/>
    <s v="BOUCHART LUDOVIC"/>
    <n v="5"/>
    <x v="0"/>
    <x v="3"/>
    <s v="PLAQUETTES"/>
    <x v="0"/>
    <n v="39.799999999999997"/>
  </r>
  <r>
    <d v="2025-07-06T18:09:06"/>
    <x v="0"/>
    <s v="Plaquettes d'ébauches rhombiques"/>
    <s v="10301115"/>
    <s v="BOUCHART LUDOVIC"/>
    <n v="5"/>
    <x v="0"/>
    <x v="3"/>
    <s v="PLAQUETTES"/>
    <x v="0"/>
    <n v="39.799999999999997"/>
  </r>
  <r>
    <d v="2025-07-06T18:09:28"/>
    <x v="3"/>
    <s v="Plaquettes d'ébauches carrées"/>
    <s v="10301115"/>
    <s v="BOUCHART LUDOVIC"/>
    <n v="5"/>
    <x v="0"/>
    <x v="3"/>
    <s v="PLAQUETTES"/>
    <x v="0"/>
    <n v="39.799999999999997"/>
  </r>
  <r>
    <d v="2025-07-06T18:09:45"/>
    <x v="0"/>
    <s v="Plaquettes d'ébauches rhombiques"/>
    <s v="10301115"/>
    <s v="BOUCHART LUDOVIC"/>
    <n v="5"/>
    <x v="0"/>
    <x v="0"/>
    <s v="PLAQUETTES"/>
    <x v="0"/>
    <n v="39.799999999999997"/>
  </r>
  <r>
    <d v="2025-07-06T18:10:09"/>
    <x v="2"/>
    <s v="Plaquettes de finition carrées"/>
    <s v="10301115"/>
    <s v="BOUCHART LUDOVIC"/>
    <n v="5"/>
    <x v="0"/>
    <x v="2"/>
    <s v="PLAQUETTES"/>
    <x v="0"/>
    <n v="47.8"/>
  </r>
  <r>
    <d v="2025-07-06T18:10:28"/>
    <x v="3"/>
    <s v="Plaquettes d'ébauches carrées"/>
    <s v="10301115"/>
    <s v="BOUCHART LUDOVIC"/>
    <n v="5"/>
    <x v="1"/>
    <x v="3"/>
    <s v="PLAQUETTES"/>
    <x v="2"/>
    <n v="39.799999999999997"/>
  </r>
  <r>
    <d v="2025-07-06T18:10:45"/>
    <x v="0"/>
    <s v="Plaquettes d'ébauches rhombiques"/>
    <s v="10301115"/>
    <s v="BOUCHART LUDOVIC"/>
    <n v="5"/>
    <x v="1"/>
    <x v="3"/>
    <s v="PLAQUETTES"/>
    <x v="2"/>
    <n v="39.799999999999997"/>
  </r>
  <r>
    <d v="2025-07-06T18:11:03"/>
    <x v="3"/>
    <s v="Plaquettes d'ébauches carrées"/>
    <s v="10301115"/>
    <s v="BOUCHART LUDOVIC"/>
    <n v="5"/>
    <x v="1"/>
    <x v="0"/>
    <s v="PLAQUETTES"/>
    <x v="2"/>
    <n v="39.799999999999997"/>
  </r>
  <r>
    <d v="2025-07-06T18:11:21"/>
    <x v="0"/>
    <s v="Plaquettes d'ébauches rhombiques"/>
    <s v="10301115"/>
    <s v="BOUCHART LUDOVIC"/>
    <n v="5"/>
    <x v="1"/>
    <x v="0"/>
    <s v="PLAQUETTES"/>
    <x v="2"/>
    <n v="39.799999999999997"/>
  </r>
  <r>
    <d v="2025-07-06T18:11:37"/>
    <x v="2"/>
    <s v="Plaquettes de finition carrées"/>
    <s v="10301115"/>
    <s v="BOUCHART LUDOVIC"/>
    <n v="5"/>
    <x v="1"/>
    <x v="2"/>
    <s v="PLAQUETTES"/>
    <x v="2"/>
    <n v="47.8"/>
  </r>
  <r>
    <d v="2025-07-07T10:42:18"/>
    <x v="1"/>
    <s v="EMBOUT KENTIP D13.3"/>
    <s v="SF51433"/>
    <s v="BONTEMS COLINE"/>
    <n v="2"/>
    <x v="0"/>
    <x v="1"/>
    <s v="PLAQUETTES"/>
    <x v="1"/>
    <n v="93.9"/>
  </r>
  <r>
    <d v="2025-07-07T10:42:32"/>
    <x v="9"/>
    <s v="EMBOUT KENTIP D8.6"/>
    <s v="SF51433"/>
    <s v="BONTEMS COLINE"/>
    <n v="2"/>
    <x v="0"/>
    <x v="1"/>
    <s v="PLAQUETTES"/>
    <x v="1"/>
    <n v="100"/>
  </r>
  <r>
    <d v="2025-07-07T21:57:25"/>
    <x v="3"/>
    <s v="Plaquettes d'ébauches carrées"/>
    <s v="31224"/>
    <s v="BIDOT MURIEL"/>
    <n v="5"/>
    <x v="0"/>
    <x v="3"/>
    <s v="PLAQUETTES"/>
    <x v="0"/>
    <n v="39.799999999999997"/>
  </r>
  <r>
    <d v="2025-07-07T21:57:49"/>
    <x v="2"/>
    <s v="Plaquettes de finition carrées"/>
    <s v="31224"/>
    <s v="BIDOT MURIEL"/>
    <n v="5"/>
    <x v="0"/>
    <x v="2"/>
    <s v="PLAQUETTES"/>
    <x v="0"/>
    <n v="47.8"/>
  </r>
  <r>
    <d v="2025-07-08T09:46:31"/>
    <x v="9"/>
    <s v="EMBOUT KENTIP D8.6"/>
    <s v="020824"/>
    <s v="DASILVA AFONSO RENAUD"/>
    <n v="1"/>
    <x v="1"/>
    <x v="1"/>
    <s v="PLAQUETTES"/>
    <x v="1"/>
    <n v="50"/>
  </r>
  <r>
    <d v="2025-07-08T09:47:04"/>
    <x v="1"/>
    <s v="EMBOUT KENTIP D13.3"/>
    <s v="020824"/>
    <s v="DASILVA AFONSO RENAUD"/>
    <n v="1"/>
    <x v="1"/>
    <x v="1"/>
    <s v="PLAQUETTES"/>
    <x v="1"/>
    <n v="46.95"/>
  </r>
  <r>
    <d v="2025-07-08T09:51:33"/>
    <x v="7"/>
    <s v="Plaquettes VCGT21A52 SP4019"/>
    <s v="020824"/>
    <s v="DASILVA AFONSO RENAUD"/>
    <n v="5"/>
    <x v="1"/>
    <x v="1"/>
    <s v="PLAQUETTES"/>
    <x v="1"/>
    <n v="60.9"/>
  </r>
  <r>
    <d v="2025-07-08T18:05:41"/>
    <x v="4"/>
    <s v="Plaquettes de gorges"/>
    <s v="090225"/>
    <s v="MEYER THOMAS"/>
    <n v="10"/>
    <x v="0"/>
    <x v="0"/>
    <s v="PLAQUETTES"/>
    <x v="4"/>
    <n v="188"/>
  </r>
  <r>
    <d v="2025-07-08T18:06:07"/>
    <x v="3"/>
    <s v="Plaquettes d'ébauches carrées"/>
    <s v="090225"/>
    <s v="MEYER THOMAS"/>
    <n v="5"/>
    <x v="0"/>
    <x v="0"/>
    <s v="PLAQUETTES"/>
    <x v="4"/>
    <n v="39.799999999999997"/>
  </r>
  <r>
    <d v="2025-07-08T22:27:07"/>
    <x v="3"/>
    <s v="Plaquettes d'ébauches carrées"/>
    <s v="31224"/>
    <s v="BIDOT MURIEL"/>
    <n v="5"/>
    <x v="0"/>
    <x v="3"/>
    <s v="PLAQUETTES"/>
    <x v="4"/>
    <n v="39.799999999999997"/>
  </r>
  <r>
    <d v="2025-07-08T22:27:31"/>
    <x v="2"/>
    <s v="Plaquettes de finition carrées"/>
    <s v="31224"/>
    <s v="BIDOT MURIEL"/>
    <n v="5"/>
    <x v="0"/>
    <x v="2"/>
    <s v="PLAQUETTES"/>
    <x v="4"/>
    <n v="47.8"/>
  </r>
  <r>
    <d v="2025-07-09T03:51:08"/>
    <x v="2"/>
    <s v="Plaquettes de finition carrées"/>
    <s v="070325"/>
    <s v="PEREIRA KEVIN"/>
    <n v="5"/>
    <x v="1"/>
    <x v="2"/>
    <s v="PLAQUETTES"/>
    <x v="3"/>
    <n v="47.8"/>
  </r>
  <r>
    <d v="2025-07-09T13:59:41"/>
    <x v="10"/>
    <s v="Plaquettes TPGX0902ZPRGD KC7315"/>
    <s v="12824586"/>
    <s v="DASILVA FERNANDO"/>
    <n v="10"/>
    <x v="1"/>
    <x v="1"/>
    <s v="PLAQUETTES"/>
    <x v="1"/>
    <n v="81.5"/>
  </r>
  <r>
    <d v="2025-07-09T20:16:52"/>
    <x v="2"/>
    <s v="Plaquettes de finition carrées"/>
    <s v="7236310"/>
    <s v="OZYURT IREM"/>
    <n v="5"/>
    <x v="0"/>
    <x v="2"/>
    <s v="PLAQUETTES"/>
    <x v="4"/>
    <n v="47.8"/>
  </r>
  <r>
    <d v="2025-07-09T20:17:13"/>
    <x v="2"/>
    <s v="Plaquettes de finition carrées"/>
    <s v="7236310"/>
    <s v="OZYURT IREM"/>
    <n v="5"/>
    <x v="1"/>
    <x v="2"/>
    <s v="PLAQUETTES"/>
    <x v="3"/>
    <n v="47.8"/>
  </r>
  <r>
    <d v="2025-07-09T22:10:12"/>
    <x v="2"/>
    <s v="Plaquettes de finition carrées"/>
    <s v="31224"/>
    <s v="BIDOT MURIEL"/>
    <n v="5"/>
    <x v="0"/>
    <x v="2"/>
    <s v="PLAQUETTES"/>
    <x v="4"/>
    <n v="47.8"/>
  </r>
  <r>
    <d v="2025-07-09T22:10:26"/>
    <x v="2"/>
    <s v="Plaquettes de finition carrées"/>
    <s v="31224"/>
    <s v="BIDOT MURIEL"/>
    <n v="5"/>
    <x v="0"/>
    <x v="2"/>
    <s v="PLAQUETTES"/>
    <x v="4"/>
    <n v="47.8"/>
  </r>
  <r>
    <d v="2025-07-09T22:10:41"/>
    <x v="3"/>
    <s v="Plaquettes d'ébauches carrées"/>
    <s v="31224"/>
    <s v="BIDOT MURIEL"/>
    <n v="5"/>
    <x v="0"/>
    <x v="3"/>
    <s v="PLAQUETTES"/>
    <x v="4"/>
    <n v="39.799999999999997"/>
  </r>
  <r>
    <d v="2025-07-09T22:10:58"/>
    <x v="3"/>
    <s v="Plaquettes d'ébauches carrées"/>
    <s v="31224"/>
    <s v="BIDOT MURIEL"/>
    <n v="5"/>
    <x v="0"/>
    <x v="0"/>
    <s v="PLAQUETTES"/>
    <x v="4"/>
    <n v="39.799999999999997"/>
  </r>
  <r>
    <d v="2025-07-09T22:11:15"/>
    <x v="4"/>
    <s v="Plaquettes de gorges"/>
    <s v="31224"/>
    <s v="BIDOT MURIEL"/>
    <n v="10"/>
    <x v="0"/>
    <x v="0"/>
    <s v="PLAQUETTES"/>
    <x v="4"/>
    <n v="188"/>
  </r>
  <r>
    <d v="2025-07-09T23:42:48"/>
    <x v="6"/>
    <s v="Plaquettes de finition triangulaires"/>
    <s v="070325"/>
    <s v="PEREIRA KEVIN"/>
    <n v="5"/>
    <x v="1"/>
    <x v="2"/>
    <s v="PLAQUETTES"/>
    <x v="3"/>
    <n v="48.7"/>
  </r>
  <r>
    <d v="2025-07-09T23:43:18"/>
    <x v="0"/>
    <s v="Plaquettes d'ébauches rhombiques"/>
    <s v="070325"/>
    <s v="PEREIRA KEVIN"/>
    <n v="5"/>
    <x v="1"/>
    <x v="2"/>
    <s v="PLAQUETTES"/>
    <x v="2"/>
    <n v="39.799999999999997"/>
  </r>
  <r>
    <d v="2025-07-09T23:43:37"/>
    <x v="2"/>
    <s v="Plaquettes de finition carrées"/>
    <s v="070325"/>
    <s v="PEREIRA KEVIN"/>
    <n v="5"/>
    <x v="1"/>
    <x v="2"/>
    <s v="PLAQUETTES"/>
    <x v="3"/>
    <n v="47.8"/>
  </r>
  <r>
    <d v="2025-07-09T23:43:54"/>
    <x v="3"/>
    <s v="Plaquettes d'ébauches carrées"/>
    <s v="070325"/>
    <s v="PEREIRA KEVIN"/>
    <n v="5"/>
    <x v="1"/>
    <x v="3"/>
    <s v="PLAQUETTES"/>
    <x v="3"/>
    <n v="39.799999999999997"/>
  </r>
  <r>
    <d v="2025-07-09T23:44:09"/>
    <x v="3"/>
    <s v="Plaquettes d'ébauches carrées"/>
    <s v="070325"/>
    <s v="PEREIRA KEVIN"/>
    <n v="5"/>
    <x v="1"/>
    <x v="0"/>
    <s v="PLAQUETTES"/>
    <x v="3"/>
    <n v="39.799999999999997"/>
  </r>
  <r>
    <d v="2025-07-10T20:16:57"/>
    <x v="3"/>
    <s v="Plaquettes d'ébauches carrées"/>
    <s v="090225"/>
    <s v="MEYER THOMAS"/>
    <n v="5"/>
    <x v="1"/>
    <x v="3"/>
    <s v="PLAQUETTES"/>
    <x v="3"/>
    <n v="39.799999999999997"/>
  </r>
  <r>
    <d v="2025-07-10T20:17:20"/>
    <x v="4"/>
    <s v="Plaquettes de gorges"/>
    <s v="090225"/>
    <s v="MEYER THOMAS"/>
    <n v="10"/>
    <x v="0"/>
    <x v="0"/>
    <s v="PLAQUETTES"/>
    <x v="4"/>
    <n v="188"/>
  </r>
  <r>
    <d v="2025-07-10T20:17:35"/>
    <x v="3"/>
    <s v="Plaquettes d'ébauches carrées"/>
    <s v="090225"/>
    <s v="MEYER THOMAS"/>
    <n v="5"/>
    <x v="0"/>
    <x v="3"/>
    <s v="PLAQUETTES"/>
    <x v="4"/>
    <n v="39.799999999999997"/>
  </r>
  <r>
    <d v="2025-07-10T23:30:54"/>
    <x v="3"/>
    <s v="Plaquettes d'ébauches carrées"/>
    <s v="31224"/>
    <s v="BIDOT MURIEL"/>
    <n v="5"/>
    <x v="0"/>
    <x v="0"/>
    <s v="PLAQUETTES"/>
    <x v="4"/>
    <n v="39.799999999999997"/>
  </r>
  <r>
    <d v="2025-07-10T23:31:10"/>
    <x v="0"/>
    <s v="Plaquettes d'ébauches rhombiques"/>
    <s v="31224"/>
    <s v="BIDOT MURIEL"/>
    <n v="5"/>
    <x v="0"/>
    <x v="0"/>
    <s v="PLAQUETTES"/>
    <x v="4"/>
    <n v="39.799999999999997"/>
  </r>
  <r>
    <d v="2025-07-10T23:31:23"/>
    <x v="2"/>
    <s v="Plaquettes de finition carrées"/>
    <s v="31224"/>
    <s v="BIDOT MURIEL"/>
    <n v="5"/>
    <x v="0"/>
    <x v="2"/>
    <s v="PLAQUETTES"/>
    <x v="4"/>
    <n v="47.8"/>
  </r>
  <r>
    <d v="2025-07-11T06:36:39"/>
    <x v="2"/>
    <s v="Plaquettes de finition carrées"/>
    <s v="10301115"/>
    <s v="BOUCHART LUDOVIC"/>
    <n v="5"/>
    <x v="0"/>
    <x v="2"/>
    <s v="PLAQUETTES"/>
    <x v="4"/>
    <n v="47.8"/>
  </r>
  <r>
    <d v="2025-07-11T06:45:26"/>
    <x v="6"/>
    <s v="Plaquettes de finition triangulaires"/>
    <s v="10301115"/>
    <s v="BOUCHART LUDOVIC"/>
    <n v="5"/>
    <x v="1"/>
    <x v="2"/>
    <s v="PLAQUETTES"/>
    <x v="3"/>
    <n v="48.7"/>
  </r>
  <r>
    <d v="2025-07-11T06:45:45"/>
    <x v="5"/>
    <s v="Plaquettes de finition"/>
    <s v="10301115"/>
    <s v="BOUCHART LUDOVIC"/>
    <n v="5"/>
    <x v="1"/>
    <x v="2"/>
    <s v="PLAQUETTES"/>
    <x v="3"/>
    <n v="42.5"/>
  </r>
  <r>
    <d v="2025-07-11T06:46:03"/>
    <x v="2"/>
    <s v="Plaquettes de finition carrées"/>
    <s v="10301115"/>
    <s v="BOUCHART LUDOVIC"/>
    <n v="5"/>
    <x v="1"/>
    <x v="2"/>
    <s v="PLAQUETTES"/>
    <x v="3"/>
    <n v="47.8"/>
  </r>
  <r>
    <d v="2025-07-11T21:47:14"/>
    <x v="3"/>
    <s v="Plaquettes d'ébauches carrées"/>
    <s v="31224"/>
    <s v="BIDOT MURIEL"/>
    <n v="5"/>
    <x v="0"/>
    <x v="3"/>
    <s v="PLAQUETTES"/>
    <x v="0"/>
    <n v="39.799999999999997"/>
  </r>
  <r>
    <d v="2025-07-11T21:48:11"/>
    <x v="3"/>
    <s v="Plaquettes d'ébauches carrées"/>
    <s v="31224"/>
    <s v="BIDOT MURIEL"/>
    <n v="5"/>
    <x v="0"/>
    <x v="3"/>
    <s v="PLAQUETTES"/>
    <x v="0"/>
    <n v="39.799999999999997"/>
  </r>
  <r>
    <d v="2025-07-11T21:48:35"/>
    <x v="0"/>
    <s v="Plaquettes d'ébauches rhombiques"/>
    <s v="31224"/>
    <s v="BIDOT MURIEL"/>
    <n v="5"/>
    <x v="0"/>
    <x v="3"/>
    <s v="PLAQUETTES"/>
    <x v="0"/>
    <n v="39.799999999999997"/>
  </r>
  <r>
    <d v="2025-07-11T21:48:55"/>
    <x v="0"/>
    <s v="Plaquettes d'ébauches rhombiques"/>
    <s v="31224"/>
    <s v="BIDOT MURIEL"/>
    <n v="5"/>
    <x v="0"/>
    <x v="0"/>
    <s v="PLAQUETTES"/>
    <x v="0"/>
    <n v="39.799999999999997"/>
  </r>
  <r>
    <d v="2025-07-11T21:49:16"/>
    <x v="4"/>
    <s v="Plaquettes de gorges"/>
    <s v="31224"/>
    <s v="BIDOT MURIEL"/>
    <n v="10"/>
    <x v="0"/>
    <x v="0"/>
    <s v="PLAQUETTES"/>
    <x v="0"/>
    <n v="188"/>
  </r>
  <r>
    <d v="2025-07-11T21:49:32"/>
    <x v="2"/>
    <s v="Plaquettes de finition carrées"/>
    <s v="31224"/>
    <s v="BIDOT MURIEL"/>
    <n v="5"/>
    <x v="0"/>
    <x v="2"/>
    <s v="PLAQUETTES"/>
    <x v="0"/>
    <n v="47.8"/>
  </r>
  <r>
    <d v="2025-07-12T05:24:52"/>
    <x v="3"/>
    <s v="Plaquettes d'ébauches carrées"/>
    <s v="10301115"/>
    <s v="BOUCHART LUDOVIC"/>
    <n v="5"/>
    <x v="0"/>
    <x v="3"/>
    <s v="PLAQUETTES"/>
    <x v="0"/>
    <n v="39.799999999999997"/>
  </r>
  <r>
    <d v="2025-07-12T05:25:04"/>
    <x v="0"/>
    <s v="Plaquettes d'ébauches rhombiques"/>
    <s v="10301115"/>
    <s v="BOUCHART LUDOVIC"/>
    <n v="5"/>
    <x v="0"/>
    <x v="3"/>
    <s v="PLAQUETTES"/>
    <x v="0"/>
    <n v="39.799999999999997"/>
  </r>
  <r>
    <d v="2025-07-12T05:25:23"/>
    <x v="4"/>
    <s v="Plaquettes de gorges"/>
    <s v="10301115"/>
    <s v="BOUCHART LUDOVIC"/>
    <n v="10"/>
    <x v="0"/>
    <x v="0"/>
    <s v="PLAQUETTES"/>
    <x v="0"/>
    <n v="188"/>
  </r>
  <r>
    <d v="2025-07-12T05:25:39"/>
    <x v="3"/>
    <s v="Plaquettes d'ébauches carrées"/>
    <s v="10301115"/>
    <s v="BOUCHART LUDOVIC"/>
    <n v="5"/>
    <x v="0"/>
    <x v="0"/>
    <s v="PLAQUETTES"/>
    <x v="0"/>
    <n v="39.799999999999997"/>
  </r>
  <r>
    <d v="2025-07-12T05:25:55"/>
    <x v="0"/>
    <s v="Plaquettes d'ébauches rhombiques"/>
    <s v="10301115"/>
    <s v="BOUCHART LUDOVIC"/>
    <n v="5"/>
    <x v="0"/>
    <x v="0"/>
    <s v="PLAQUETTES"/>
    <x v="0"/>
    <n v="39.799999999999997"/>
  </r>
  <r>
    <d v="2025-07-12T05:26:19"/>
    <x v="2"/>
    <s v="Plaquettes de finition carrées"/>
    <s v="10301115"/>
    <s v="BOUCHART LUDOVIC"/>
    <n v="5"/>
    <x v="0"/>
    <x v="2"/>
    <s v="PLAQUETTES"/>
    <x v="0"/>
    <n v="47.8"/>
  </r>
  <r>
    <d v="2025-07-12T05:26:39"/>
    <x v="3"/>
    <s v="Plaquettes d'ébauches carrées"/>
    <s v="10301115"/>
    <s v="BOUCHART LUDOVIC"/>
    <n v="5"/>
    <x v="1"/>
    <x v="3"/>
    <s v="PLAQUETTES"/>
    <x v="3"/>
    <n v="39.799999999999997"/>
  </r>
  <r>
    <d v="2025-07-12T05:26:59"/>
    <x v="0"/>
    <s v="Plaquettes d'ébauches rhombiques"/>
    <s v="10301115"/>
    <s v="BOUCHART LUDOVIC"/>
    <n v="5"/>
    <x v="1"/>
    <x v="3"/>
    <s v="PLAQUETTES"/>
    <x v="3"/>
    <n v="39.799999999999997"/>
  </r>
  <r>
    <d v="2025-07-12T05:27:19"/>
    <x v="3"/>
    <s v="Plaquettes d'ébauches carrées"/>
    <s v="10301115"/>
    <s v="BOUCHART LUDOVIC"/>
    <n v="5"/>
    <x v="1"/>
    <x v="0"/>
    <s v="PLAQUETTES"/>
    <x v="3"/>
    <n v="39.799999999999997"/>
  </r>
  <r>
    <d v="2025-07-12T05:27:36"/>
    <x v="0"/>
    <s v="Plaquettes d'ébauches rhombiques"/>
    <s v="10301115"/>
    <s v="BOUCHART LUDOVIC"/>
    <n v="5"/>
    <x v="1"/>
    <x v="0"/>
    <s v="PLAQUETTES"/>
    <x v="3"/>
    <n v="39.799999999999997"/>
  </r>
  <r>
    <d v="2025-07-12T05:27:57"/>
    <x v="5"/>
    <s v="Plaquettes de finition"/>
    <s v="10301115"/>
    <s v="BOUCHART LUDOVIC"/>
    <n v="5"/>
    <x v="1"/>
    <x v="2"/>
    <s v="PLAQUETTES"/>
    <x v="3"/>
    <n v="42.5"/>
  </r>
  <r>
    <d v="2025-07-12T05:28:11"/>
    <x v="6"/>
    <s v="Plaquettes de finition triangulaires"/>
    <s v="10301115"/>
    <s v="BOUCHART LUDOVIC"/>
    <n v="5"/>
    <x v="1"/>
    <x v="2"/>
    <s v="PLAQUETTES"/>
    <x v="3"/>
    <n v="48.7"/>
  </r>
  <r>
    <d v="2025-07-12T05:28:26"/>
    <x v="2"/>
    <s v="Plaquettes de finition carrées"/>
    <s v="10301115"/>
    <s v="BOUCHART LUDOVIC"/>
    <n v="5"/>
    <x v="1"/>
    <x v="2"/>
    <s v="PLAQUETTES"/>
    <x v="3"/>
    <n v="47.8"/>
  </r>
  <r>
    <d v="2025-07-13T19:24:18"/>
    <x v="2"/>
    <s v="Plaquettes de finition carrées"/>
    <s v="10301115"/>
    <s v="BOUCHART LUDOVIC"/>
    <n v="5"/>
    <x v="0"/>
    <x v="2"/>
    <s v="PLAQUETTES"/>
    <x v="4"/>
    <n v="47.8"/>
  </r>
  <r>
    <d v="2025-07-13T19:24:39"/>
    <x v="2"/>
    <s v="Plaquettes de finition carrées"/>
    <s v="10301115"/>
    <s v="BOUCHART LUDOVIC"/>
    <n v="5"/>
    <x v="1"/>
    <x v="2"/>
    <s v="PLAQUETTES"/>
    <x v="3"/>
    <n v="47.8"/>
  </r>
  <r>
    <d v="2025-07-15T13:28:42"/>
    <x v="3"/>
    <s v="Plaquettes d'ébauches carrées"/>
    <s v="31224"/>
    <s v="BIDOT MURIEL"/>
    <n v="5"/>
    <x v="0"/>
    <x v="3"/>
    <s v="PLAQUETTES"/>
    <x v="4"/>
    <n v="39.799999999999997"/>
  </r>
  <r>
    <d v="2025-07-15T13:28:56"/>
    <x v="3"/>
    <s v="Plaquettes d'ébauches carrées"/>
    <s v="31224"/>
    <s v="BIDOT MURIEL"/>
    <n v="5"/>
    <x v="0"/>
    <x v="3"/>
    <s v="PLAQUETTES"/>
    <x v="4"/>
    <n v="39.799999999999997"/>
  </r>
  <r>
    <d v="2025-07-15T13:29:09"/>
    <x v="3"/>
    <s v="Plaquettes d'ébauches carrées"/>
    <s v="31224"/>
    <s v="BIDOT MURIEL"/>
    <n v="5"/>
    <x v="0"/>
    <x v="3"/>
    <s v="PLAQUETTES"/>
    <x v="4"/>
    <n v="39.799999999999997"/>
  </r>
  <r>
    <d v="2025-07-15T13:29:21"/>
    <x v="2"/>
    <s v="Plaquettes de finition carrées"/>
    <s v="31224"/>
    <s v="BIDOT MURIEL"/>
    <n v="5"/>
    <x v="0"/>
    <x v="2"/>
    <s v="PLAQUETTES"/>
    <x v="4"/>
    <n v="47.8"/>
  </r>
  <r>
    <d v="2025-07-15T13:29:34"/>
    <x v="2"/>
    <s v="Plaquettes de finition carrées"/>
    <s v="31224"/>
    <s v="BIDOT MURIEL"/>
    <n v="5"/>
    <x v="0"/>
    <x v="2"/>
    <s v="PLAQUETTES"/>
    <x v="4"/>
    <n v="47.8"/>
  </r>
  <r>
    <d v="2025-07-15T13:29:47"/>
    <x v="4"/>
    <s v="Plaquettes de gorges"/>
    <s v="31224"/>
    <s v="BIDOT MURIEL"/>
    <n v="10"/>
    <x v="0"/>
    <x v="0"/>
    <s v="PLAQUETTES"/>
    <x v="4"/>
    <n v="188"/>
  </r>
  <r>
    <d v="2025-07-15T14:02:34"/>
    <x v="3"/>
    <s v="Plaquettes d'ébauches carrées"/>
    <s v="070325"/>
    <s v="PEREIRA KEVIN"/>
    <n v="5"/>
    <x v="1"/>
    <x v="3"/>
    <s v="PLAQUETTES"/>
    <x v="3"/>
    <n v="39.799999999999997"/>
  </r>
  <r>
    <d v="2025-07-15T14:02:50"/>
    <x v="3"/>
    <s v="Plaquettes d'ébauches carrées"/>
    <s v="070325"/>
    <s v="PEREIRA KEVIN"/>
    <n v="5"/>
    <x v="1"/>
    <x v="0"/>
    <s v="PLAQUETTES"/>
    <x v="3"/>
    <n v="39.799999999999997"/>
  </r>
  <r>
    <d v="2025-07-15T14:03:09"/>
    <x v="0"/>
    <s v="Plaquettes d'ébauches rhombiques"/>
    <s v="070325"/>
    <s v="PEREIRA KEVIN"/>
    <n v="5"/>
    <x v="1"/>
    <x v="3"/>
    <s v="PLAQUETTES"/>
    <x v="3"/>
    <n v="39.799999999999997"/>
  </r>
  <r>
    <d v="2025-07-15T15:59:30"/>
    <x v="3"/>
    <s v="Plaquettes d'ébauches carrées"/>
    <s v="12824586"/>
    <s v="DASILVA FERNANDO"/>
    <n v="5"/>
    <x v="1"/>
    <x v="3"/>
    <s v="PLAQUETTES"/>
    <x v="2"/>
    <n v="39.799999999999997"/>
  </r>
  <r>
    <d v="2025-07-16T09:33:05"/>
    <x v="3"/>
    <s v="Plaquettes d'ébauches carrées"/>
    <s v="12824586"/>
    <s v="DASILVA FERNANDO"/>
    <n v="5"/>
    <x v="1"/>
    <x v="3"/>
    <s v="PLAQUETTES"/>
    <x v="2"/>
    <n v="39.799999999999997"/>
  </r>
  <r>
    <d v="2025-07-16T13:14:42"/>
    <x v="4"/>
    <s v="Plaquettes de gorges"/>
    <s v="31224"/>
    <s v="BIDOT MURIEL"/>
    <n v="10"/>
    <x v="0"/>
    <x v="0"/>
    <s v="PLAQUETTES"/>
    <x v="0"/>
    <n v="188"/>
  </r>
  <r>
    <d v="2025-07-16T13:48:15"/>
    <x v="3"/>
    <s v="Plaquettes d'ébauches carrées"/>
    <s v="070325"/>
    <s v="PEREIRA KEVIN"/>
    <n v="5"/>
    <x v="1"/>
    <x v="3"/>
    <s v="PLAQUETTES"/>
    <x v="3"/>
    <n v="39.799999999999997"/>
  </r>
  <r>
    <d v="2025-07-16T13:48:38"/>
    <x v="2"/>
    <s v="Plaquettes de finition carrées"/>
    <s v="070325"/>
    <s v="PEREIRA KEVIN"/>
    <n v="5"/>
    <x v="1"/>
    <x v="2"/>
    <s v="PLAQUETTES"/>
    <x v="3"/>
    <n v="47.8"/>
  </r>
  <r>
    <d v="2025-07-16T14:09:51"/>
    <x v="3"/>
    <s v="Plaquettes d'ébauches carrées"/>
    <s v="31224"/>
    <s v="BIDOT MURIEL"/>
    <n v="5"/>
    <x v="0"/>
    <x v="3"/>
    <s v="PLAQUETTES"/>
    <x v="0"/>
    <n v="39.799999999999997"/>
  </r>
  <r>
    <d v="2025-07-16T14:10:09"/>
    <x v="3"/>
    <s v="Plaquettes d'ébauches carrées"/>
    <s v="31224"/>
    <s v="BIDOT MURIEL"/>
    <n v="5"/>
    <x v="0"/>
    <x v="3"/>
    <s v="PLAQUETTES"/>
    <x v="0"/>
    <n v="39.799999999999997"/>
  </r>
  <r>
    <d v="2025-07-16T14:10:28"/>
    <x v="0"/>
    <s v="Plaquettes d'ébauches rhombiques"/>
    <s v="31224"/>
    <s v="BIDOT MURIEL"/>
    <n v="5"/>
    <x v="0"/>
    <x v="3"/>
    <s v="PLAQUETTES"/>
    <x v="0"/>
    <n v="39.799999999999997"/>
  </r>
  <r>
    <d v="2025-07-16T14:10:44"/>
    <x v="3"/>
    <s v="Plaquettes d'ébauches carrées"/>
    <s v="31224"/>
    <s v="BIDOT MURIEL"/>
    <n v="5"/>
    <x v="0"/>
    <x v="0"/>
    <s v="PLAQUETTES"/>
    <x v="0"/>
    <n v="39.799999999999997"/>
  </r>
  <r>
    <d v="2025-07-16T14:11:08"/>
    <x v="0"/>
    <s v="Plaquettes d'ébauches rhombiques"/>
    <s v="31224"/>
    <s v="BIDOT MURIEL"/>
    <n v="5"/>
    <x v="0"/>
    <x v="0"/>
    <s v="PLAQUETTES"/>
    <x v="0"/>
    <n v="39.799999999999997"/>
  </r>
  <r>
    <d v="2025-07-16T14:11:21"/>
    <x v="2"/>
    <s v="Plaquettes de finition carrées"/>
    <s v="31224"/>
    <s v="BIDOT MURIEL"/>
    <n v="5"/>
    <x v="0"/>
    <x v="2"/>
    <s v="PLAQUETTES"/>
    <x v="0"/>
    <n v="47.8"/>
  </r>
  <r>
    <d v="2025-07-16T14:11:39"/>
    <x v="2"/>
    <s v="Plaquettes de finition carrées"/>
    <s v="31224"/>
    <s v="BIDOT MURIEL"/>
    <n v="5"/>
    <x v="0"/>
    <x v="2"/>
    <s v="PLAQUETTES"/>
    <x v="0"/>
    <n v="47.8"/>
  </r>
  <r>
    <d v="2025-07-17T04:25:40"/>
    <x v="4"/>
    <s v="Plaquettes de gorges"/>
    <s v="SC95213"/>
    <s v="RABET PAULINE"/>
    <n v="10"/>
    <x v="0"/>
    <x v="0"/>
    <s v="PLAQUETTES"/>
    <x v="0"/>
    <n v="188"/>
  </r>
  <r>
    <d v="2025-07-17T04:26:06"/>
    <x v="3"/>
    <s v="Plaquettes d'ébauches carrées"/>
    <s v="SC95213"/>
    <s v="RABET PAULINE"/>
    <n v="5"/>
    <x v="1"/>
    <x v="0"/>
    <s v="PLAQUETTES"/>
    <x v="3"/>
    <n v="39.799999999999997"/>
  </r>
  <r>
    <d v="2025-07-17T04:26:34"/>
    <x v="0"/>
    <s v="Plaquettes d'ébauches rhombiques"/>
    <s v="SC95213"/>
    <s v="RABET PAULINE"/>
    <n v="5"/>
    <x v="1"/>
    <x v="0"/>
    <s v="PLAQUETTES"/>
    <x v="2"/>
    <n v="39.799999999999997"/>
  </r>
  <r>
    <d v="2025-07-17T08:22:28"/>
    <x v="3"/>
    <s v="Plaquettes d'ébauches carrées"/>
    <s v="12824586"/>
    <s v="DASILVA FERNANDO"/>
    <n v="5"/>
    <x v="1"/>
    <x v="3"/>
    <s v="PLAQUETTES"/>
    <x v="2"/>
    <n v="39.799999999999997"/>
  </r>
  <r>
    <d v="2025-07-17T14:42:27"/>
    <x v="3"/>
    <s v="Plaquettes d'ébauches carrées"/>
    <s v="31224"/>
    <s v="BIDOT MURIEL"/>
    <n v="5"/>
    <x v="0"/>
    <x v="3"/>
    <s v="PLAQUETTES"/>
    <x v="4"/>
    <n v="39.799999999999997"/>
  </r>
  <r>
    <d v="2025-07-17T14:42:41"/>
    <x v="3"/>
    <s v="Plaquettes d'ébauches carrées"/>
    <s v="31224"/>
    <s v="BIDOT MURIEL"/>
    <n v="5"/>
    <x v="0"/>
    <x v="3"/>
    <s v="PLAQUETTES"/>
    <x v="4"/>
    <n v="39.799999999999997"/>
  </r>
  <r>
    <d v="2025-07-17T14:42:56"/>
    <x v="0"/>
    <s v="Plaquettes d'ébauches rhombiques"/>
    <s v="31224"/>
    <s v="BIDOT MURIEL"/>
    <n v="5"/>
    <x v="0"/>
    <x v="3"/>
    <s v="PLAQUETTES"/>
    <x v="4"/>
    <n v="39.799999999999997"/>
  </r>
  <r>
    <d v="2025-07-17T14:43:13"/>
    <x v="0"/>
    <s v="Plaquettes d'ébauches rhombiques"/>
    <s v="31224"/>
    <s v="BIDOT MURIEL"/>
    <n v="5"/>
    <x v="0"/>
    <x v="3"/>
    <s v="PLAQUETTES"/>
    <x v="4"/>
    <n v="39.799999999999997"/>
  </r>
  <r>
    <d v="2025-07-17T14:43:29"/>
    <x v="4"/>
    <s v="Plaquettes de gorges"/>
    <s v="31224"/>
    <s v="BIDOT MURIEL"/>
    <n v="10"/>
    <x v="0"/>
    <x v="0"/>
    <s v="PLAQUETTES"/>
    <x v="4"/>
    <n v="188"/>
  </r>
  <r>
    <d v="2025-07-17T14:43:47"/>
    <x v="2"/>
    <s v="Plaquettes de finition carrées"/>
    <s v="31224"/>
    <s v="BIDOT MURIEL"/>
    <n v="5"/>
    <x v="0"/>
    <x v="2"/>
    <s v="PLAQUETTES"/>
    <x v="4"/>
    <n v="47.8"/>
  </r>
  <r>
    <d v="2025-07-17T14:44:00"/>
    <x v="2"/>
    <s v="Plaquettes de finition carrées"/>
    <s v="31224"/>
    <s v="BIDOT MURIEL"/>
    <n v="5"/>
    <x v="0"/>
    <x v="2"/>
    <s v="PLAQUETTES"/>
    <x v="4"/>
    <n v="47.8"/>
  </r>
  <r>
    <d v="2025-07-18T05:13:46"/>
    <x v="3"/>
    <s v="Plaquettes d'ébauches carrées"/>
    <s v="10301115"/>
    <s v="BOUCHART LUDOVIC"/>
    <n v="5"/>
    <x v="0"/>
    <x v="3"/>
    <s v="PLAQUETTES"/>
    <x v="3"/>
    <n v="39.799999999999997"/>
  </r>
  <r>
    <d v="2025-07-18T05:14:37"/>
    <x v="0"/>
    <s v="Plaquettes d'ébauches rhombiques"/>
    <s v="10301115"/>
    <s v="BOUCHART LUDOVIC"/>
    <n v="5"/>
    <x v="0"/>
    <x v="3"/>
    <s v="PLAQUETTES"/>
    <x v="4"/>
    <n v="39.799999999999997"/>
  </r>
  <r>
    <d v="2025-07-18T05:14:53"/>
    <x v="4"/>
    <s v="Plaquettes de gorges"/>
    <s v="10301115"/>
    <s v="BOUCHART LUDOVIC"/>
    <n v="10"/>
    <x v="0"/>
    <x v="0"/>
    <s v="PLAQUETTES"/>
    <x v="4"/>
    <n v="188"/>
  </r>
  <r>
    <d v="2025-07-18T05:15:12"/>
    <x v="3"/>
    <s v="Plaquettes d'ébauches carrées"/>
    <s v="10301115"/>
    <s v="BOUCHART LUDOVIC"/>
    <n v="5"/>
    <x v="0"/>
    <x v="0"/>
    <s v="PLAQUETTES"/>
    <x v="4"/>
    <n v="39.799999999999997"/>
  </r>
  <r>
    <d v="2025-07-18T05:15:28"/>
    <x v="0"/>
    <s v="Plaquettes d'ébauches rhombiques"/>
    <s v="10301115"/>
    <s v="BOUCHART LUDOVIC"/>
    <n v="5"/>
    <x v="0"/>
    <x v="0"/>
    <s v="PLAQUETTES"/>
    <x v="4"/>
    <n v="39.799999999999997"/>
  </r>
  <r>
    <d v="2025-07-18T05:15:45"/>
    <x v="2"/>
    <s v="Plaquettes de finition carrées"/>
    <s v="10301115"/>
    <s v="BOUCHART LUDOVIC"/>
    <n v="5"/>
    <x v="0"/>
    <x v="2"/>
    <s v="PLAQUETTES"/>
    <x v="4"/>
    <n v="47.8"/>
  </r>
  <r>
    <d v="2025-07-18T05:16:01"/>
    <x v="3"/>
    <s v="Plaquettes d'ébauches carrées"/>
    <s v="10301115"/>
    <s v="BOUCHART LUDOVIC"/>
    <n v="5"/>
    <x v="1"/>
    <x v="3"/>
    <s v="PLAQUETTES"/>
    <x v="3"/>
    <n v="39.799999999999997"/>
  </r>
  <r>
    <d v="2025-07-18T05:16:13"/>
    <x v="0"/>
    <s v="Plaquettes d'ébauches rhombiques"/>
    <s v="10301115"/>
    <s v="BOUCHART LUDOVIC"/>
    <n v="5"/>
    <x v="1"/>
    <x v="3"/>
    <s v="PLAQUETTES"/>
    <x v="3"/>
    <n v="39.799999999999997"/>
  </r>
  <r>
    <d v="2025-07-18T05:16:29"/>
    <x v="3"/>
    <s v="Plaquettes d'ébauches carrées"/>
    <s v="10301115"/>
    <s v="BOUCHART LUDOVIC"/>
    <n v="5"/>
    <x v="1"/>
    <x v="0"/>
    <s v="PLAQUETTES"/>
    <x v="3"/>
    <n v="39.799999999999997"/>
  </r>
  <r>
    <d v="2025-07-18T05:16:43"/>
    <x v="0"/>
    <s v="Plaquettes d'ébauches rhombiques"/>
    <s v="10301115"/>
    <s v="BOUCHART LUDOVIC"/>
    <n v="5"/>
    <x v="1"/>
    <x v="0"/>
    <s v="PLAQUETTES"/>
    <x v="3"/>
    <n v="39.799999999999997"/>
  </r>
  <r>
    <d v="2025-07-18T05:17:37"/>
    <x v="5"/>
    <s v="Plaquettes de finition"/>
    <s v="10301115"/>
    <s v="BOUCHART LUDOVIC"/>
    <n v="5"/>
    <x v="1"/>
    <x v="2"/>
    <s v="PLAQUETTES"/>
    <x v="3"/>
    <n v="42.5"/>
  </r>
  <r>
    <d v="2025-07-18T05:17:52"/>
    <x v="6"/>
    <s v="Plaquettes de finition triangulaires"/>
    <s v="10301115"/>
    <s v="BOUCHART LUDOVIC"/>
    <n v="5"/>
    <x v="1"/>
    <x v="2"/>
    <s v="PLAQUETTES"/>
    <x v="3"/>
    <n v="48.7"/>
  </r>
  <r>
    <d v="2025-07-18T05:18:08"/>
    <x v="2"/>
    <s v="Plaquettes de finition carrées"/>
    <s v="10301115"/>
    <s v="BOUCHART LUDOVIC"/>
    <n v="5"/>
    <x v="1"/>
    <x v="2"/>
    <s v="PLAQUETTES"/>
    <x v="3"/>
    <n v="47.8"/>
  </r>
  <r>
    <d v="2025-07-18T08:26:55"/>
    <x v="3"/>
    <s v="Plaquettes d'ébauches carrées"/>
    <s v="U509351"/>
    <s v="DELIAT CHRISTOPHE"/>
    <n v="5"/>
    <x v="0"/>
    <x v="3"/>
    <s v="PLAQUETTES"/>
    <x v="4"/>
    <n v="39.799999999999997"/>
  </r>
  <r>
    <d v="2025-07-18T08:27:13"/>
    <x v="3"/>
    <s v="Plaquettes d'ébauches carrées"/>
    <s v="U509351"/>
    <s v="DELIAT CHRISTOPHE"/>
    <n v="5"/>
    <x v="0"/>
    <x v="0"/>
    <s v="PLAQUETTES"/>
    <x v="4"/>
    <n v="39.799999999999997"/>
  </r>
  <r>
    <d v="2025-07-18T08:27:29"/>
    <x v="3"/>
    <s v="Plaquettes d'ébauches carrées"/>
    <s v="U509351"/>
    <s v="DELIAT CHRISTOPHE"/>
    <n v="5"/>
    <x v="1"/>
    <x v="3"/>
    <s v="PLAQUETTES"/>
    <x v="3"/>
    <n v="39.799999999999997"/>
  </r>
  <r>
    <d v="2025-07-18T08:27:52"/>
    <x v="3"/>
    <s v="Plaquettes d'ébauches carrées"/>
    <s v="U509351"/>
    <s v="DELIAT CHRISTOPHE"/>
    <n v="5"/>
    <x v="1"/>
    <x v="0"/>
    <s v="PLAQUETTES"/>
    <x v="3"/>
    <n v="39.799999999999997"/>
  </r>
  <r>
    <d v="2025-07-18T08:28:19"/>
    <x v="0"/>
    <s v="Plaquettes d'ébauches rhombiques"/>
    <s v="U509351"/>
    <s v="DELIAT CHRISTOPHE"/>
    <n v="5"/>
    <x v="0"/>
    <x v="0"/>
    <s v="PLAQUETTES"/>
    <x v="4"/>
    <n v="39.799999999999997"/>
  </r>
  <r>
    <d v="2025-07-18T21:17:35"/>
    <x v="0"/>
    <s v="Plaquettes d'ébauches rhombiques"/>
    <s v="SD75051"/>
    <s v="COMBALUZIER LUCAS"/>
    <n v="5"/>
    <x v="0"/>
    <x v="2"/>
    <s v="PLAQUETTES"/>
    <x v="0"/>
    <n v="39.799999999999997"/>
  </r>
  <r>
    <d v="2025-07-18T21:17:58"/>
    <x v="0"/>
    <s v="Plaquettes d'ébauches rhombiques"/>
    <s v="SD75051"/>
    <s v="COMBALUZIER LUCAS"/>
    <n v="5"/>
    <x v="0"/>
    <x v="3"/>
    <s v="PLAQUETTES"/>
    <x v="0"/>
    <n v="39.799999999999997"/>
  </r>
  <r>
    <d v="2025-07-18T21:27:26"/>
    <x v="4"/>
    <s v="Plaquettes de gorges"/>
    <s v="SD75051"/>
    <s v="COMBALUZIER LUCAS"/>
    <n v="10"/>
    <x v="0"/>
    <x v="0"/>
    <s v="PLAQUETTES"/>
    <x v="0"/>
    <n v="188"/>
  </r>
  <r>
    <d v="2025-07-19T07:15:02"/>
    <x v="3"/>
    <s v="Plaquettes d'ébauches carrées"/>
    <s v="10301115"/>
    <s v="BOUCHART LUDOVIC"/>
    <n v="5"/>
    <x v="0"/>
    <x v="3"/>
    <s v="PLAQUETTES"/>
    <x v="0"/>
    <n v="39.799999999999997"/>
  </r>
  <r>
    <d v="2025-07-19T07:15:19"/>
    <x v="0"/>
    <s v="Plaquettes d'ébauches rhombiques"/>
    <s v="10301115"/>
    <s v="BOUCHART LUDOVIC"/>
    <n v="5"/>
    <x v="0"/>
    <x v="3"/>
    <s v="PLAQUETTES"/>
    <x v="0"/>
    <n v="39.799999999999997"/>
  </r>
  <r>
    <d v="2025-07-19T07:15:38"/>
    <x v="4"/>
    <s v="Plaquettes de gorges"/>
    <s v="10301115"/>
    <s v="BOUCHART LUDOVIC"/>
    <n v="10"/>
    <x v="0"/>
    <x v="0"/>
    <s v="PLAQUETTES"/>
    <x v="0"/>
    <n v="188"/>
  </r>
  <r>
    <d v="2025-07-19T07:16:10"/>
    <x v="3"/>
    <s v="Plaquettes d'ébauches carrées"/>
    <s v="10301115"/>
    <s v="BOUCHART LUDOVIC"/>
    <n v="5"/>
    <x v="0"/>
    <x v="0"/>
    <s v="PLAQUETTES"/>
    <x v="0"/>
    <n v="39.799999999999997"/>
  </r>
  <r>
    <d v="2025-07-19T07:16:26"/>
    <x v="0"/>
    <s v="Plaquettes d'ébauches rhombiques"/>
    <s v="10301115"/>
    <s v="BOUCHART LUDOVIC"/>
    <n v="5"/>
    <x v="0"/>
    <x v="0"/>
    <s v="PLAQUETTES"/>
    <x v="0"/>
    <n v="39.799999999999997"/>
  </r>
  <r>
    <d v="2025-07-19T07:16:43"/>
    <x v="2"/>
    <s v="Plaquettes de finition carrées"/>
    <s v="10301115"/>
    <s v="BOUCHART LUDOVIC"/>
    <n v="5"/>
    <x v="0"/>
    <x v="2"/>
    <s v="PLAQUETTES"/>
    <x v="0"/>
    <n v="47.8"/>
  </r>
  <r>
    <d v="2025-07-19T07:17:04"/>
    <x v="3"/>
    <s v="Plaquettes d'ébauches carrées"/>
    <s v="10301115"/>
    <s v="BOUCHART LUDOVIC"/>
    <n v="5"/>
    <x v="1"/>
    <x v="3"/>
    <s v="PLAQUETTES"/>
    <x v="3"/>
    <n v="39.799999999999997"/>
  </r>
  <r>
    <d v="2025-07-19T07:17:19"/>
    <x v="0"/>
    <s v="Plaquettes d'ébauches rhombiques"/>
    <s v="10301115"/>
    <s v="BOUCHART LUDOVIC"/>
    <n v="5"/>
    <x v="1"/>
    <x v="3"/>
    <s v="PLAQUETTES"/>
    <x v="3"/>
    <n v="39.799999999999997"/>
  </r>
  <r>
    <d v="2025-07-19T07:17:40"/>
    <x v="3"/>
    <s v="Plaquettes d'ébauches carrées"/>
    <s v="10301115"/>
    <s v="BOUCHART LUDOVIC"/>
    <n v="5"/>
    <x v="1"/>
    <x v="0"/>
    <s v="PLAQUETTES"/>
    <x v="3"/>
    <n v="39.799999999999997"/>
  </r>
  <r>
    <d v="2025-07-19T07:17:54"/>
    <x v="0"/>
    <s v="Plaquettes d'ébauches rhombiques"/>
    <s v="10301115"/>
    <s v="BOUCHART LUDOVIC"/>
    <n v="5"/>
    <x v="1"/>
    <x v="0"/>
    <s v="PLAQUETTES"/>
    <x v="3"/>
    <n v="39.799999999999997"/>
  </r>
  <r>
    <d v="2025-07-19T07:18:19"/>
    <x v="2"/>
    <s v="Plaquettes de finition carrées"/>
    <s v="10301115"/>
    <s v="BOUCHART LUDOVIC"/>
    <n v="5"/>
    <x v="1"/>
    <x v="2"/>
    <s v="PLAQUETTES"/>
    <x v="3"/>
    <n v="47.8"/>
  </r>
  <r>
    <d v="2025-07-20T17:39:14"/>
    <x v="3"/>
    <s v="Plaquettes d'ébauches carrées"/>
    <s v="10301115"/>
    <s v="BOUCHART LUDOVIC"/>
    <n v="5"/>
    <x v="0"/>
    <x v="3"/>
    <s v="PLAQUETTES"/>
    <x v="0"/>
    <n v="39.799999999999997"/>
  </r>
  <r>
    <d v="2025-07-20T17:39:28"/>
    <x v="0"/>
    <s v="Plaquettes d'ébauches rhombiques"/>
    <s v="10301115"/>
    <s v="BOUCHART LUDOVIC"/>
    <n v="5"/>
    <x v="0"/>
    <x v="3"/>
    <s v="PLAQUETTES"/>
    <x v="0"/>
    <n v="39.799999999999997"/>
  </r>
  <r>
    <d v="2025-07-20T17:39:44"/>
    <x v="3"/>
    <s v="Plaquettes d'ébauches carrées"/>
    <s v="10301115"/>
    <s v="BOUCHART LUDOVIC"/>
    <n v="5"/>
    <x v="0"/>
    <x v="0"/>
    <s v="PLAQUETTES"/>
    <x v="0"/>
    <n v="39.799999999999997"/>
  </r>
  <r>
    <d v="2025-07-20T17:40:05"/>
    <x v="0"/>
    <s v="Plaquettes d'ébauches rhombiques"/>
    <s v="10301115"/>
    <s v="BOUCHART LUDOVIC"/>
    <n v="5"/>
    <x v="0"/>
    <x v="0"/>
    <s v="PLAQUETTES"/>
    <x v="0"/>
    <n v="39.799999999999997"/>
  </r>
  <r>
    <d v="2025-07-20T17:40:18"/>
    <x v="2"/>
    <s v="Plaquettes de finition carrées"/>
    <s v="10301115"/>
    <s v="BOUCHART LUDOVIC"/>
    <n v="5"/>
    <x v="0"/>
    <x v="2"/>
    <s v="PLAQUETTES"/>
    <x v="0"/>
    <n v="47.8"/>
  </r>
  <r>
    <d v="2025-07-21T11:45:12"/>
    <x v="10"/>
    <s v="Plaquettes TPGX0902ZPRGD KC7315"/>
    <s v="12824586"/>
    <s v="DASILVA FERNANDO"/>
    <n v="10"/>
    <x v="1"/>
    <x v="1"/>
    <s v="PLAQUETTES"/>
    <x v="1"/>
    <n v="81.5"/>
  </r>
  <r>
    <d v="2025-07-22T05:16:58"/>
    <x v="2"/>
    <s v="Plaquettes de finition carrées"/>
    <s v="31224"/>
    <s v="BIDOT MURIEL"/>
    <n v="5"/>
    <x v="0"/>
    <x v="2"/>
    <s v="PLAQUETTES"/>
    <x v="0"/>
    <n v="47.8"/>
  </r>
  <r>
    <d v="2025-07-22T05:17:11"/>
    <x v="2"/>
    <s v="Plaquettes de finition carrées"/>
    <s v="31224"/>
    <s v="BIDOT MURIEL"/>
    <n v="5"/>
    <x v="0"/>
    <x v="2"/>
    <s v="PLAQUETTES"/>
    <x v="0"/>
    <n v="47.8"/>
  </r>
  <r>
    <d v="2025-07-22T11:26:13"/>
    <x v="10"/>
    <s v="Plaquettes TPGX0902ZPRGD KC7315"/>
    <s v="12824586"/>
    <s v="DASILVA FERNANDO"/>
    <n v="10"/>
    <x v="1"/>
    <x v="1"/>
    <s v="PLAQUETTES"/>
    <x v="1"/>
    <n v="81.5"/>
  </r>
  <r>
    <d v="2025-07-22T11:27:16"/>
    <x v="10"/>
    <s v="Plaquettes TPGX0902ZPRGD KC7315"/>
    <s v="12824586"/>
    <s v="DASILVA FERNANDO"/>
    <n v="-10"/>
    <x v="1"/>
    <x v="1"/>
    <s v="PLAQUETTES"/>
    <x v="1"/>
    <n v="-81.5"/>
  </r>
  <r>
    <d v="2025-07-23T00:19:01"/>
    <x v="2"/>
    <s v="Plaquettes de finition carrées"/>
    <s v="7236310"/>
    <s v="OZYURT IREM"/>
    <n v="5"/>
    <x v="0"/>
    <x v="2"/>
    <s v="PLAQUETTES"/>
    <x v="0"/>
    <n v="47.8"/>
  </r>
  <r>
    <d v="2025-07-23T00:19:34"/>
    <x v="2"/>
    <s v="Plaquettes de finition carrées"/>
    <s v="7236310"/>
    <s v="OZYURT IREM"/>
    <n v="5"/>
    <x v="1"/>
    <x v="2"/>
    <s v="PLAQUETTES"/>
    <x v="3"/>
    <n v="47.8"/>
  </r>
  <r>
    <d v="2025-07-23T04:37:17"/>
    <x v="4"/>
    <s v="Plaquettes de gorges"/>
    <s v="090225"/>
    <s v="MEYER THOMAS"/>
    <n v="10"/>
    <x v="0"/>
    <x v="0"/>
    <s v="PLAQUETTES"/>
    <x v="0"/>
    <n v="188"/>
  </r>
  <r>
    <d v="2025-07-23T04:37:38"/>
    <x v="3"/>
    <s v="Plaquettes d'ébauches carrées"/>
    <s v="090225"/>
    <s v="MEYER THOMAS"/>
    <n v="5"/>
    <x v="1"/>
    <x v="3"/>
    <s v="PLAQUETTES"/>
    <x v="3"/>
    <n v="39.799999999999997"/>
  </r>
  <r>
    <d v="2025-07-23T05:30:56"/>
    <x v="2"/>
    <s v="Plaquettes de finition carrées"/>
    <s v="31224"/>
    <s v="BIDOT MURIEL"/>
    <n v="5"/>
    <x v="0"/>
    <x v="2"/>
    <s v="PLAQUETTES"/>
    <x v="0"/>
    <n v="47.8"/>
  </r>
  <r>
    <d v="2025-07-23T05:31:14"/>
    <x v="2"/>
    <s v="Plaquettes de finition carrées"/>
    <s v="31224"/>
    <s v="BIDOT MURIEL"/>
    <n v="5"/>
    <x v="0"/>
    <x v="2"/>
    <s v="PLAQUETTES"/>
    <x v="0"/>
    <n v="47.8"/>
  </r>
  <r>
    <d v="2025-07-23T05:31:30"/>
    <x v="3"/>
    <s v="Plaquettes d'ébauches carrées"/>
    <s v="31224"/>
    <s v="BIDOT MURIEL"/>
    <n v="5"/>
    <x v="0"/>
    <x v="3"/>
    <s v="PLAQUETTES"/>
    <x v="0"/>
    <n v="39.799999999999997"/>
  </r>
  <r>
    <d v="2025-07-23T05:56:27"/>
    <x v="2"/>
    <s v="Plaquettes de finition carrées"/>
    <s v="070325"/>
    <s v="PEREIRA KEVIN"/>
    <n v="5"/>
    <x v="1"/>
    <x v="2"/>
    <s v="PLAQUETTES"/>
    <x v="3"/>
    <n v="47.8"/>
  </r>
  <r>
    <d v="2025-07-23T05:56:44"/>
    <x v="6"/>
    <s v="Plaquettes de finition triangulaires"/>
    <s v="070325"/>
    <s v="PEREIRA KEVIN"/>
    <n v="5"/>
    <x v="1"/>
    <x v="2"/>
    <s v="PLAQUETTES"/>
    <x v="3"/>
    <n v="48.7"/>
  </r>
  <r>
    <d v="2025-07-23T20:27:39"/>
    <x v="3"/>
    <s v="Plaquettes d'ébauches carrées"/>
    <s v="SC95213"/>
    <s v="RABET PAULINE"/>
    <n v="5"/>
    <x v="1"/>
    <x v="3"/>
    <s v="PLAQUETTES"/>
    <x v="3"/>
    <n v="39.799999999999997"/>
  </r>
  <r>
    <d v="2025-07-23T20:27:58"/>
    <x v="2"/>
    <s v="Plaquettes de finition carrées"/>
    <s v="SC95213"/>
    <s v="RABET PAULINE"/>
    <n v="5"/>
    <x v="1"/>
    <x v="2"/>
    <s v="PLAQUETTES"/>
    <x v="3"/>
    <n v="47.8"/>
  </r>
  <r>
    <d v="2025-07-23T20:28:15"/>
    <x v="3"/>
    <s v="Plaquettes d'ébauches carrées"/>
    <s v="SC95213"/>
    <s v="RABET PAULINE"/>
    <n v="5"/>
    <x v="1"/>
    <x v="0"/>
    <s v="PLAQUETTES"/>
    <x v="3"/>
    <n v="39.799999999999997"/>
  </r>
  <r>
    <d v="2025-07-23T20:28:35"/>
    <x v="0"/>
    <s v="Plaquettes d'ébauches rhombiques"/>
    <s v="SC95213"/>
    <s v="RABET PAULINE"/>
    <n v="5"/>
    <x v="1"/>
    <x v="3"/>
    <s v="PLAQUETTES"/>
    <x v="3"/>
    <n v="39.799999999999997"/>
  </r>
  <r>
    <d v="2025-07-24T04:36:23"/>
    <x v="3"/>
    <s v="Plaquettes d'ébauches carrées"/>
    <s v="090225"/>
    <s v="MEYER THOMAS"/>
    <n v="5"/>
    <x v="0"/>
    <x v="3"/>
    <s v="PLAQUETTES"/>
    <x v="0"/>
    <n v="39.799999999999997"/>
  </r>
  <r>
    <d v="2025-07-24T04:36:36"/>
    <x v="3"/>
    <s v="Plaquettes d'ébauches carrées"/>
    <s v="090225"/>
    <s v="MEYER THOMAS"/>
    <n v="5"/>
    <x v="1"/>
    <x v="3"/>
    <s v="PLAQUETTES"/>
    <x v="3"/>
    <n v="39.799999999999997"/>
  </r>
  <r>
    <d v="2025-07-24T04:36:47"/>
    <x v="4"/>
    <s v="Plaquettes de gorges"/>
    <s v="090225"/>
    <s v="MEYER THOMAS"/>
    <n v="10"/>
    <x v="0"/>
    <x v="0"/>
    <s v="PLAQUETTES"/>
    <x v="0"/>
    <n v="188"/>
  </r>
  <r>
    <d v="2025-07-24T04:37:17"/>
    <x v="3"/>
    <s v="Plaquettes d'ébauches carrées"/>
    <s v="090225"/>
    <s v="MEYER THOMAS"/>
    <n v="5"/>
    <x v="0"/>
    <x v="0"/>
    <s v="PLAQUETTES"/>
    <x v="0"/>
    <n v="39.799999999999997"/>
  </r>
  <r>
    <d v="2025-07-24T06:14:00"/>
    <x v="6"/>
    <s v="Plaquettes de finition triangulaires"/>
    <s v="070325"/>
    <s v="PEREIRA KEVIN"/>
    <n v="5"/>
    <x v="1"/>
    <x v="2"/>
    <s v="PLAQUETTES"/>
    <x v="3"/>
    <n v="48.7"/>
  </r>
  <r>
    <d v="2025-07-24T06:14:14"/>
    <x v="2"/>
    <s v="Plaquettes de finition carrées"/>
    <s v="070325"/>
    <s v="PEREIRA KEVIN"/>
    <n v="5"/>
    <x v="1"/>
    <x v="2"/>
    <s v="PLAQUETTES"/>
    <x v="3"/>
    <n v="47.8"/>
  </r>
  <r>
    <d v="2025-07-24T18:17:34"/>
    <x v="2"/>
    <s v="Plaquettes de finition carrées"/>
    <s v="SC95213"/>
    <s v="RABET PAULINE"/>
    <n v="5"/>
    <x v="1"/>
    <x v="2"/>
    <s v="PLAQUETTES"/>
    <x v="3"/>
    <n v="47.8"/>
  </r>
  <r>
    <d v="2025-07-25T04:26:41"/>
    <x v="5"/>
    <s v="Plaquettes de finition"/>
    <s v="7236310"/>
    <s v="OZYURT IREM"/>
    <n v="5"/>
    <x v="1"/>
    <x v="2"/>
    <s v="PLAQUETTES"/>
    <x v="3"/>
    <n v="42.5"/>
  </r>
  <r>
    <d v="2025-07-25T04:38:22"/>
    <x v="3"/>
    <s v="Plaquettes d'ébauches carrées"/>
    <s v="090225"/>
    <s v="MEYER THOMAS"/>
    <n v="5"/>
    <x v="0"/>
    <x v="3"/>
    <s v="PLAQUETTES"/>
    <x v="0"/>
    <n v="39.799999999999997"/>
  </r>
  <r>
    <d v="2025-07-25T04:38:32"/>
    <x v="3"/>
    <s v="Plaquettes d'ébauches carrées"/>
    <s v="090225"/>
    <s v="MEYER THOMAS"/>
    <n v="5"/>
    <x v="1"/>
    <x v="3"/>
    <s v="PLAQUETTES"/>
    <x v="3"/>
    <n v="39.799999999999997"/>
  </r>
  <r>
    <d v="2025-07-25T04:38:44"/>
    <x v="3"/>
    <s v="Plaquettes d'ébauches carrées"/>
    <s v="090225"/>
    <s v="MEYER THOMAS"/>
    <n v="5"/>
    <x v="0"/>
    <x v="0"/>
    <s v="PLAQUETTES"/>
    <x v="0"/>
    <n v="39.799999999999997"/>
  </r>
  <r>
    <d v="2025-07-25T04:38:56"/>
    <x v="3"/>
    <s v="Plaquettes d'ébauches carrées"/>
    <s v="090225"/>
    <s v="MEYER THOMAS"/>
    <n v="5"/>
    <x v="1"/>
    <x v="0"/>
    <s v="PLAQUETTES"/>
    <x v="3"/>
    <n v="39.799999999999997"/>
  </r>
  <r>
    <d v="2025-07-25T04:41:17"/>
    <x v="0"/>
    <s v="Plaquettes d'ébauches rhombiques"/>
    <s v="090225"/>
    <s v="MEYER THOMAS"/>
    <n v="5"/>
    <x v="1"/>
    <x v="0"/>
    <s v="PLAQUETTES"/>
    <x v="3"/>
    <n v="39.799999999999997"/>
  </r>
  <r>
    <d v="2025-07-25T04:41:31"/>
    <x v="0"/>
    <s v="Plaquettes d'ébauches rhombiques"/>
    <s v="090225"/>
    <s v="MEYER THOMAS"/>
    <n v="5"/>
    <x v="1"/>
    <x v="3"/>
    <s v="PLAQUETTES"/>
    <x v="3"/>
    <n v="39.799999999999997"/>
  </r>
  <r>
    <d v="2025-07-25T04:41:47"/>
    <x v="4"/>
    <s v="Plaquettes de gorges"/>
    <s v="090225"/>
    <s v="MEYER THOMAS"/>
    <n v="10"/>
    <x v="0"/>
    <x v="0"/>
    <s v="PLAQUETTES"/>
    <x v="0"/>
    <n v="188"/>
  </r>
  <r>
    <d v="2025-07-25T05:17:52"/>
    <x v="3"/>
    <s v="Plaquettes d'ébauches carrées"/>
    <s v="10301115"/>
    <s v="BOUCHART LUDOVIC"/>
    <n v="5"/>
    <x v="0"/>
    <x v="3"/>
    <s v="PLAQUETTES"/>
    <x v="0"/>
    <n v="39.799999999999997"/>
  </r>
  <r>
    <d v="2025-07-25T05:18:06"/>
    <x v="0"/>
    <s v="Plaquettes d'ébauches rhombiques"/>
    <s v="10301115"/>
    <s v="BOUCHART LUDOVIC"/>
    <n v="5"/>
    <x v="0"/>
    <x v="3"/>
    <s v="PLAQUETTES"/>
    <x v="0"/>
    <n v="39.799999999999997"/>
  </r>
  <r>
    <d v="2025-07-25T05:18:20"/>
    <x v="4"/>
    <s v="Plaquettes de gorges"/>
    <s v="10301115"/>
    <s v="BOUCHART LUDOVIC"/>
    <n v="10"/>
    <x v="0"/>
    <x v="0"/>
    <s v="PLAQUETTES"/>
    <x v="0"/>
    <n v="188"/>
  </r>
  <r>
    <d v="2025-07-25T05:18:35"/>
    <x v="3"/>
    <s v="Plaquettes d'ébauches carrées"/>
    <s v="10301115"/>
    <s v="BOUCHART LUDOVIC"/>
    <n v="5"/>
    <x v="0"/>
    <x v="0"/>
    <s v="PLAQUETTES"/>
    <x v="0"/>
    <n v="39.799999999999997"/>
  </r>
  <r>
    <d v="2025-07-25T05:18:51"/>
    <x v="0"/>
    <s v="Plaquettes d'ébauches rhombiques"/>
    <s v="10301115"/>
    <s v="BOUCHART LUDOVIC"/>
    <n v="5"/>
    <x v="0"/>
    <x v="0"/>
    <s v="PLAQUETTES"/>
    <x v="0"/>
    <n v="39.799999999999997"/>
  </r>
  <r>
    <d v="2025-07-25T05:19:10"/>
    <x v="2"/>
    <s v="Plaquettes de finition carrées"/>
    <s v="10301115"/>
    <s v="BOUCHART LUDOVIC"/>
    <n v="5"/>
    <x v="0"/>
    <x v="2"/>
    <s v="PLAQUETTES"/>
    <x v="0"/>
    <n v="47.8"/>
  </r>
  <r>
    <d v="2025-07-25T05:19:27"/>
    <x v="3"/>
    <s v="Plaquettes d'ébauches carrées"/>
    <s v="10301115"/>
    <s v="BOUCHART LUDOVIC"/>
    <n v="5"/>
    <x v="1"/>
    <x v="3"/>
    <s v="PLAQUETTES"/>
    <x v="3"/>
    <n v="39.799999999999997"/>
  </r>
  <r>
    <d v="2025-07-25T05:19:42"/>
    <x v="0"/>
    <s v="Plaquettes d'ébauches rhombiques"/>
    <s v="10301115"/>
    <s v="BOUCHART LUDOVIC"/>
    <n v="5"/>
    <x v="1"/>
    <x v="3"/>
    <s v="PLAQUETTES"/>
    <x v="3"/>
    <n v="39.799999999999997"/>
  </r>
  <r>
    <d v="2025-07-25T05:20:02"/>
    <x v="3"/>
    <s v="Plaquettes d'ébauches carrées"/>
    <s v="10301115"/>
    <s v="BOUCHART LUDOVIC"/>
    <n v="5"/>
    <x v="1"/>
    <x v="0"/>
    <s v="PLAQUETTES"/>
    <x v="3"/>
    <n v="39.799999999999997"/>
  </r>
  <r>
    <d v="2025-07-25T05:20:20"/>
    <x v="0"/>
    <s v="Plaquettes d'ébauches rhombiques"/>
    <s v="10301115"/>
    <s v="BOUCHART LUDOVIC"/>
    <n v="5"/>
    <x v="1"/>
    <x v="0"/>
    <s v="PLAQUETTES"/>
    <x v="3"/>
    <n v="39.799999999999997"/>
  </r>
  <r>
    <d v="2025-07-25T05:20:37"/>
    <x v="5"/>
    <s v="Plaquettes de finition"/>
    <s v="10301115"/>
    <s v="BOUCHART LUDOVIC"/>
    <n v="5"/>
    <x v="1"/>
    <x v="2"/>
    <s v="PLAQUETTES"/>
    <x v="3"/>
    <n v="42.5"/>
  </r>
  <r>
    <d v="2025-07-25T05:20:52"/>
    <x v="6"/>
    <s v="Plaquettes de finition triangulaires"/>
    <s v="10301115"/>
    <s v="BOUCHART LUDOVIC"/>
    <n v="5"/>
    <x v="1"/>
    <x v="2"/>
    <s v="PLAQUETTES"/>
    <x v="3"/>
    <n v="48.7"/>
  </r>
  <r>
    <d v="2025-07-25T05:21:06"/>
    <x v="2"/>
    <s v="Plaquettes de finition carrées"/>
    <s v="10301115"/>
    <s v="BOUCHART LUDOVIC"/>
    <n v="5"/>
    <x v="1"/>
    <x v="2"/>
    <s v="PLAQUETTES"/>
    <x v="3"/>
    <n v="47.8"/>
  </r>
  <r>
    <d v="2025-07-25T13:37:26"/>
    <x v="11"/>
    <s v="Plaquettes finition positives"/>
    <s v="12824586"/>
    <s v="DASILVA FERNANDO"/>
    <n v="10"/>
    <x v="1"/>
    <x v="2"/>
    <s v="PLAQUETTES"/>
    <x v="3"/>
    <n v="95.6"/>
  </r>
  <r>
    <d v="2025-07-25T21:46:08"/>
    <x v="2"/>
    <s v="Plaquettes de finition carrées"/>
    <s v="7236310"/>
    <s v="OZYURT IREM"/>
    <n v="5"/>
    <x v="0"/>
    <x v="2"/>
    <s v="PLAQUETTES"/>
    <x v="0"/>
    <n v="47.8"/>
  </r>
  <r>
    <d v="2025-07-25T21:46:23"/>
    <x v="2"/>
    <s v="Plaquettes de finition carrées"/>
    <s v="7236310"/>
    <s v="OZYURT IREM"/>
    <n v="5"/>
    <x v="1"/>
    <x v="2"/>
    <s v="PLAQUETTES"/>
    <x v="3"/>
    <n v="47.8"/>
  </r>
  <r>
    <d v="2025-07-26T09:43:42"/>
    <x v="3"/>
    <s v="Plaquettes d'ébauches carrées"/>
    <s v="10301115"/>
    <s v="BOUCHART LUDOVIC"/>
    <n v="5"/>
    <x v="0"/>
    <x v="3"/>
    <s v="PLAQUETTES"/>
    <x v="4"/>
    <n v="39.799999999999997"/>
  </r>
  <r>
    <d v="2025-07-26T09:43:56"/>
    <x v="0"/>
    <s v="Plaquettes d'ébauches rhombiques"/>
    <s v="10301115"/>
    <s v="BOUCHART LUDOVIC"/>
    <n v="5"/>
    <x v="0"/>
    <x v="3"/>
    <s v="PLAQUETTES"/>
    <x v="4"/>
    <n v="39.799999999999997"/>
  </r>
  <r>
    <d v="2025-07-26T09:44:19"/>
    <x v="4"/>
    <s v="Plaquettes de gorges"/>
    <s v="10301115"/>
    <s v="BOUCHART LUDOVIC"/>
    <n v="10"/>
    <x v="0"/>
    <x v="0"/>
    <s v="PLAQUETTES"/>
    <x v="4"/>
    <n v="188"/>
  </r>
  <r>
    <d v="2025-07-26T09:44:44"/>
    <x v="3"/>
    <s v="Plaquettes d'ébauches carrées"/>
    <s v="10301115"/>
    <s v="BOUCHART LUDOVIC"/>
    <n v="5"/>
    <x v="0"/>
    <x v="0"/>
    <s v="PLAQUETTES"/>
    <x v="4"/>
    <n v="39.799999999999997"/>
  </r>
  <r>
    <d v="2025-07-26T09:45:00"/>
    <x v="0"/>
    <s v="Plaquettes d'ébauches rhombiques"/>
    <s v="10301115"/>
    <s v="BOUCHART LUDOVIC"/>
    <n v="5"/>
    <x v="0"/>
    <x v="0"/>
    <s v="PLAQUETTES"/>
    <x v="4"/>
    <n v="39.799999999999997"/>
  </r>
  <r>
    <d v="2025-07-26T09:45:21"/>
    <x v="2"/>
    <s v="Plaquettes de finition carrées"/>
    <s v="10301115"/>
    <s v="BOUCHART LUDOVIC"/>
    <n v="5"/>
    <x v="0"/>
    <x v="2"/>
    <s v="PLAQUETTES"/>
    <x v="4"/>
    <n v="47.8"/>
  </r>
  <r>
    <d v="2025-07-26T09:45:38"/>
    <x v="2"/>
    <s v="Plaquettes de finition carrées"/>
    <s v="10301115"/>
    <s v="BOUCHART LUDOVIC"/>
    <n v="5"/>
    <x v="0"/>
    <x v="2"/>
    <s v="PLAQUETTES"/>
    <x v="4"/>
    <n v="47.8"/>
  </r>
  <r>
    <d v="2025-07-26T09:45:55"/>
    <x v="3"/>
    <s v="Plaquettes d'ébauches carrées"/>
    <s v="10301115"/>
    <s v="BOUCHART LUDOVIC"/>
    <n v="5"/>
    <x v="1"/>
    <x v="3"/>
    <s v="PLAQUETTES"/>
    <x v="3"/>
    <n v="39.799999999999997"/>
  </r>
  <r>
    <d v="2025-07-26T09:46:09"/>
    <x v="0"/>
    <s v="Plaquettes d'ébauches rhombiques"/>
    <s v="10301115"/>
    <s v="BOUCHART LUDOVIC"/>
    <n v="5"/>
    <x v="1"/>
    <x v="3"/>
    <s v="PLAQUETTES"/>
    <x v="3"/>
    <n v="39.799999999999997"/>
  </r>
  <r>
    <d v="2025-07-26T09:46:25"/>
    <x v="3"/>
    <s v="Plaquettes d'ébauches carrées"/>
    <s v="10301115"/>
    <s v="BOUCHART LUDOVIC"/>
    <n v="5"/>
    <x v="1"/>
    <x v="0"/>
    <s v="PLAQUETTES"/>
    <x v="3"/>
    <n v="39.799999999999997"/>
  </r>
  <r>
    <d v="2025-07-26T09:46:38"/>
    <x v="0"/>
    <s v="Plaquettes d'ébauches rhombiques"/>
    <s v="10301115"/>
    <s v="BOUCHART LUDOVIC"/>
    <n v="5"/>
    <x v="1"/>
    <x v="0"/>
    <s v="PLAQUETTES"/>
    <x v="3"/>
    <n v="39.799999999999997"/>
  </r>
  <r>
    <d v="2025-07-26T09:47:01"/>
    <x v="5"/>
    <s v="Plaquettes de finition"/>
    <s v="10301115"/>
    <s v="BOUCHART LUDOVIC"/>
    <n v="5"/>
    <x v="1"/>
    <x v="2"/>
    <s v="PLAQUETTES"/>
    <x v="3"/>
    <n v="42.5"/>
  </r>
  <r>
    <d v="2025-07-26T09:47:16"/>
    <x v="6"/>
    <s v="Plaquettes de finition triangulaires"/>
    <s v="10301115"/>
    <s v="BOUCHART LUDOVIC"/>
    <n v="5"/>
    <x v="1"/>
    <x v="2"/>
    <s v="PLAQUETTES"/>
    <x v="3"/>
    <n v="48.7"/>
  </r>
  <r>
    <d v="2025-07-26T09:47:31"/>
    <x v="2"/>
    <s v="Plaquettes de finition carrées"/>
    <s v="10301115"/>
    <s v="BOUCHART LUDOVIC"/>
    <n v="5"/>
    <x v="1"/>
    <x v="2"/>
    <s v="PLAQUETTES"/>
    <x v="3"/>
    <n v="47.8"/>
  </r>
  <r>
    <d v="2025-07-26T09:47:47"/>
    <x v="2"/>
    <s v="Plaquettes de finition carrées"/>
    <s v="10301115"/>
    <s v="BOUCHART LUDOVIC"/>
    <n v="5"/>
    <x v="1"/>
    <x v="2"/>
    <s v="PLAQUETTES"/>
    <x v="3"/>
    <n v="47.8"/>
  </r>
  <r>
    <d v="2025-07-27T21:21:10"/>
    <x v="3"/>
    <s v="Plaquettes d'ébauches carrées"/>
    <s v="10301115"/>
    <s v="BOUCHART LUDOVIC"/>
    <n v="5"/>
    <x v="0"/>
    <x v="3"/>
    <s v="PLAQUETTES"/>
    <x v="4"/>
    <n v="39.799999999999997"/>
  </r>
  <r>
    <d v="2025-07-27T21:21:23"/>
    <x v="0"/>
    <s v="Plaquettes d'ébauches rhombiques"/>
    <s v="10301115"/>
    <s v="BOUCHART LUDOVIC"/>
    <n v="5"/>
    <x v="0"/>
    <x v="3"/>
    <s v="PLAQUETTES"/>
    <x v="4"/>
    <n v="39.799999999999997"/>
  </r>
  <r>
    <d v="2025-07-27T21:21:37"/>
    <x v="3"/>
    <s v="Plaquettes d'ébauches carrées"/>
    <s v="10301115"/>
    <s v="BOUCHART LUDOVIC"/>
    <n v="5"/>
    <x v="0"/>
    <x v="0"/>
    <s v="PLAQUETTES"/>
    <x v="4"/>
    <n v="39.799999999999997"/>
  </r>
  <r>
    <d v="2025-07-27T21:21:48"/>
    <x v="0"/>
    <s v="Plaquettes d'ébauches rhombiques"/>
    <s v="10301115"/>
    <s v="BOUCHART LUDOVIC"/>
    <n v="5"/>
    <x v="0"/>
    <x v="0"/>
    <s v="PLAQUETTES"/>
    <x v="4"/>
    <n v="39.799999999999997"/>
  </r>
  <r>
    <d v="2025-07-27T21:22:07"/>
    <x v="2"/>
    <s v="Plaquettes de finition carrées"/>
    <s v="10301115"/>
    <s v="BOUCHART LUDOVIC"/>
    <n v="5"/>
    <x v="0"/>
    <x v="2"/>
    <s v="PLAQUETTES"/>
    <x v="4"/>
    <n v="47.8"/>
  </r>
  <r>
    <d v="2025-07-27T21:22:25"/>
    <x v="3"/>
    <s v="Plaquettes d'ébauches carrées"/>
    <s v="10301115"/>
    <s v="BOUCHART LUDOVIC"/>
    <n v="5"/>
    <x v="1"/>
    <x v="3"/>
    <s v="PLAQUETTES"/>
    <x v="3"/>
    <n v="39.799999999999997"/>
  </r>
  <r>
    <d v="2025-07-27T21:22:37"/>
    <x v="0"/>
    <s v="Plaquettes d'ébauches rhombiques"/>
    <s v="10301115"/>
    <s v="BOUCHART LUDOVIC"/>
    <n v="5"/>
    <x v="1"/>
    <x v="3"/>
    <s v="PLAQUETTES"/>
    <x v="3"/>
    <n v="39.799999999999997"/>
  </r>
  <r>
    <d v="2025-07-27T21:22:53"/>
    <x v="3"/>
    <s v="Plaquettes d'ébauches carrées"/>
    <s v="10301115"/>
    <s v="BOUCHART LUDOVIC"/>
    <n v="5"/>
    <x v="1"/>
    <x v="0"/>
    <s v="PLAQUETTES"/>
    <x v="3"/>
    <n v="39.799999999999997"/>
  </r>
  <r>
    <d v="2025-07-27T21:23:07"/>
    <x v="0"/>
    <s v="Plaquettes d'ébauches rhombiques"/>
    <s v="10301115"/>
    <s v="BOUCHART LUDOVIC"/>
    <n v="5"/>
    <x v="1"/>
    <x v="0"/>
    <s v="PLAQUETTES"/>
    <x v="3"/>
    <n v="39.799999999999997"/>
  </r>
  <r>
    <d v="2025-07-27T21:23:26"/>
    <x v="2"/>
    <s v="Plaquettes de finition carrées"/>
    <s v="10301115"/>
    <s v="BOUCHART LUDOVIC"/>
    <n v="5"/>
    <x v="1"/>
    <x v="2"/>
    <s v="PLAQUETTES"/>
    <x v="3"/>
    <n v="47.8"/>
  </r>
  <r>
    <d v="2025-07-28T08:16:05"/>
    <x v="9"/>
    <s v="EMBOUT KENTIP D8.6"/>
    <s v="SF51433"/>
    <s v="BONTEMS COLINE"/>
    <n v="2"/>
    <x v="0"/>
    <x v="1"/>
    <s v="PLAQUETTES"/>
    <x v="1"/>
    <n v="100"/>
  </r>
  <r>
    <d v="2025-07-28T09:44:55"/>
    <x v="1"/>
    <s v="EMBOUT KENTIP D13.3"/>
    <s v="020824"/>
    <s v="DASILVA AFONSO RENAUD"/>
    <n v="6"/>
    <x v="0"/>
    <x v="1"/>
    <s v="PLAQUETTES"/>
    <x v="1"/>
    <n v="281.7"/>
  </r>
  <r>
    <d v="2025-07-29T08:40:39"/>
    <x v="3"/>
    <s v="Plaquettes d'ébauches carrées"/>
    <s v="020824"/>
    <s v="DASILVA AFONSO RENAUD"/>
    <n v="5"/>
    <x v="1"/>
    <x v="3"/>
    <s v="PLAQUETTES"/>
    <x v="3"/>
    <n v="39.799999999999997"/>
  </r>
  <r>
    <d v="2025-07-30T05:22:12"/>
    <x v="3"/>
    <s v="Plaquettes d'ébauches carrées"/>
    <s v="31224"/>
    <s v="BIDOT MURIEL"/>
    <n v="5"/>
    <x v="1"/>
    <x v="3"/>
    <s v="PLAQUETTES"/>
    <x v="3"/>
    <n v="39.799999999999997"/>
  </r>
  <r>
    <d v="2025-07-30T05:22:26"/>
    <x v="3"/>
    <s v="Plaquettes d'ébauches carrées"/>
    <s v="31224"/>
    <s v="BIDOT MURIEL"/>
    <n v="5"/>
    <x v="1"/>
    <x v="3"/>
    <s v="PLAQUETTES"/>
    <x v="3"/>
    <n v="39.799999999999997"/>
  </r>
  <r>
    <d v="2025-07-30T05:22:42"/>
    <x v="3"/>
    <s v="Plaquettes d'ébauches carrées"/>
    <s v="31224"/>
    <s v="BIDOT MURIEL"/>
    <n v="5"/>
    <x v="1"/>
    <x v="3"/>
    <s v="PLAQUETTES"/>
    <x v="3"/>
    <n v="39.799999999999997"/>
  </r>
  <r>
    <d v="2025-07-30T05:23:04"/>
    <x v="2"/>
    <s v="Plaquettes de finition carrées"/>
    <s v="31224"/>
    <s v="BIDOT MURIEL"/>
    <n v="5"/>
    <x v="1"/>
    <x v="2"/>
    <s v="PLAQUETTES"/>
    <x v="3"/>
    <n v="47.8"/>
  </r>
  <r>
    <d v="2025-07-30T05:23:21"/>
    <x v="2"/>
    <s v="Plaquettes de finition carrées"/>
    <s v="31224"/>
    <s v="BIDOT MURIEL"/>
    <n v="5"/>
    <x v="1"/>
    <x v="2"/>
    <s v="PLAQUETTES"/>
    <x v="3"/>
    <n v="47.8"/>
  </r>
  <r>
    <d v="2025-07-30T05:23:37"/>
    <x v="6"/>
    <s v="Plaquettes de finition triangulaires"/>
    <s v="31224"/>
    <s v="BIDOT MURIEL"/>
    <n v="5"/>
    <x v="1"/>
    <x v="2"/>
    <s v="PLAQUETTES"/>
    <x v="3"/>
    <n v="48.7"/>
  </r>
  <r>
    <d v="2025-08-07T13:41:06"/>
    <x v="6"/>
    <s v="Plaquettes de finition triangulaires"/>
    <s v="SF51433"/>
    <s v="BONTEMS COLINE"/>
    <n v="5"/>
    <x v="0"/>
    <x v="2"/>
    <s v="PLAQUETTES"/>
    <x v="3"/>
    <n v="48.7"/>
  </r>
  <r>
    <d v="2025-08-07T13:41:23"/>
    <x v="6"/>
    <s v="Plaquettes de finition triangulaires"/>
    <s v="SF51433"/>
    <s v="BONTEMS COLINE"/>
    <n v="-5"/>
    <x v="0"/>
    <x v="2"/>
    <s v="PLAQUETTES"/>
    <x v="3"/>
    <n v="-48.7"/>
  </r>
  <r>
    <d v="2025-08-07T16:02:02"/>
    <x v="1"/>
    <s v="EMBOUT KENTIP D13.3"/>
    <s v="020824"/>
    <s v="DASILVA AFONSO RENAUD"/>
    <n v="1"/>
    <x v="0"/>
    <x v="1"/>
    <s v="PLAQUETTES"/>
    <x v="1"/>
    <n v="46.95"/>
  </r>
  <r>
    <d v="2025-08-18T06:01:40"/>
    <x v="3"/>
    <s v="Plaquettes d'ébauches carrées"/>
    <s v="SC95213"/>
    <s v="RABET PAULINE"/>
    <n v="5"/>
    <x v="0"/>
    <x v="3"/>
    <s v="PLAQUETTES"/>
    <x v="4"/>
    <n v="39.799999999999997"/>
  </r>
  <r>
    <d v="2025-08-18T15:25:39"/>
    <x v="2"/>
    <s v="Plaquettes de finition carrées"/>
    <s v="070325"/>
    <s v="PEREIRA KEVIN"/>
    <n v="5"/>
    <x v="1"/>
    <x v="2"/>
    <s v="PLAQUETTES"/>
    <x v="3"/>
    <n v="47.8"/>
  </r>
  <r>
    <d v="2025-08-18T17:32:39"/>
    <x v="3"/>
    <s v="Plaquettes d'ébauches carrées"/>
    <s v="070325"/>
    <s v="PEREIRA KEVIN"/>
    <n v="5"/>
    <x v="1"/>
    <x v="3"/>
    <s v="PLAQUETTES"/>
    <x v="3"/>
    <n v="39.799999999999997"/>
  </r>
  <r>
    <d v="2025-08-18T17:33:09"/>
    <x v="3"/>
    <s v="Plaquettes d'ébauches carrées"/>
    <s v="070325"/>
    <s v="PEREIRA KEVIN"/>
    <n v="5"/>
    <x v="1"/>
    <x v="0"/>
    <s v="PLAQUETTES"/>
    <x v="3"/>
    <n v="39.799999999999997"/>
  </r>
  <r>
    <d v="2025-08-18T17:33:34"/>
    <x v="2"/>
    <s v="Plaquettes de finition carrées"/>
    <s v="070325"/>
    <s v="PEREIRA KEVIN"/>
    <n v="5"/>
    <x v="0"/>
    <x v="2"/>
    <s v="PLAQUETTES"/>
    <x v="4"/>
    <n v="47.8"/>
  </r>
  <r>
    <d v="2025-08-18T17:33:56"/>
    <x v="3"/>
    <s v="Plaquettes d'ébauches carrées"/>
    <s v="070325"/>
    <s v="PEREIRA KEVIN"/>
    <n v="5"/>
    <x v="0"/>
    <x v="0"/>
    <s v="PLAQUETTES"/>
    <x v="4"/>
    <n v="39.799999999999997"/>
  </r>
  <r>
    <d v="2025-08-19T03:20:49"/>
    <x v="3"/>
    <s v="Plaquettes d'ébauches carrées"/>
    <s v="090225"/>
    <s v="MEYER THOMAS"/>
    <n v="5"/>
    <x v="0"/>
    <x v="0"/>
    <s v="PLAQUETTES"/>
    <x v="4"/>
    <n v="39.799999999999997"/>
  </r>
  <r>
    <d v="2025-08-19T03:21:09"/>
    <x v="0"/>
    <s v="Plaquettes d'ébauches rhombiques"/>
    <s v="090225"/>
    <s v="MEYER THOMAS"/>
    <n v="5"/>
    <x v="0"/>
    <x v="0"/>
    <s v="PLAQUETTES"/>
    <x v="4"/>
    <n v="39.799999999999997"/>
  </r>
  <r>
    <d v="2025-08-19T03:21:29"/>
    <x v="3"/>
    <s v="Plaquettes d'ébauches carrées"/>
    <s v="090225"/>
    <s v="MEYER THOMAS"/>
    <n v="5"/>
    <x v="1"/>
    <x v="3"/>
    <s v="PLAQUETTES"/>
    <x v="3"/>
    <n v="39.799999999999997"/>
  </r>
  <r>
    <d v="2025-08-19T03:21:45"/>
    <x v="0"/>
    <s v="Plaquettes d'ébauches rhombiques"/>
    <s v="090225"/>
    <s v="MEYER THOMAS"/>
    <n v="5"/>
    <x v="1"/>
    <x v="3"/>
    <s v="PLAQUETTES"/>
    <x v="3"/>
    <n v="39.799999999999997"/>
  </r>
  <r>
    <d v="2025-08-19T03:22:04"/>
    <x v="3"/>
    <s v="Plaquettes d'ébauches carrées"/>
    <s v="090225"/>
    <s v="MEYER THOMAS"/>
    <n v="5"/>
    <x v="1"/>
    <x v="0"/>
    <s v="PLAQUETTES"/>
    <x v="3"/>
    <n v="39.799999999999997"/>
  </r>
  <r>
    <d v="2025-08-19T03:22:30"/>
    <x v="0"/>
    <s v="Plaquettes d'ébauches rhombiques"/>
    <s v="090225"/>
    <s v="MEYER THOMAS"/>
    <n v="5"/>
    <x v="1"/>
    <x v="0"/>
    <s v="PLAQUETTES"/>
    <x v="3"/>
    <n v="39.799999999999997"/>
  </r>
  <r>
    <d v="2025-08-19T12:19:37"/>
    <x v="2"/>
    <s v="Plaquettes de finition carrées"/>
    <s v="SC95213"/>
    <s v="RABET PAULINE"/>
    <n v="5"/>
    <x v="1"/>
    <x v="2"/>
    <s v="PLAQUETTES"/>
    <x v="3"/>
    <n v="47.8"/>
  </r>
  <r>
    <d v="2025-08-19T12:19:54"/>
    <x v="2"/>
    <s v="Plaquettes de finition carrées"/>
    <s v="SC95213"/>
    <s v="RABET PAULINE"/>
    <n v="5"/>
    <x v="0"/>
    <x v="2"/>
    <s v="PLAQUETTES"/>
    <x v="4"/>
    <n v="47.8"/>
  </r>
  <r>
    <d v="2025-08-20T00:08:42"/>
    <x v="2"/>
    <s v="Plaquettes de finition carrées"/>
    <s v="7236310"/>
    <s v="OZYURT IREM"/>
    <n v="5"/>
    <x v="0"/>
    <x v="2"/>
    <s v="PLAQUETTES"/>
    <x v="3"/>
    <n v="47.8"/>
  </r>
  <r>
    <d v="2025-08-20T00:09:09"/>
    <x v="2"/>
    <s v="Plaquettes de finition carrées"/>
    <s v="7236310"/>
    <s v="OZYURT IREM"/>
    <n v="5"/>
    <x v="0"/>
    <x v="2"/>
    <s v="PLAQUETTES"/>
    <x v="4"/>
    <n v="47.8"/>
  </r>
  <r>
    <d v="2025-08-20T04:14:50"/>
    <x v="6"/>
    <s v="Plaquettes de finition triangulaires"/>
    <s v="7236310"/>
    <s v="OZYURT IREM"/>
    <n v="5"/>
    <x v="1"/>
    <x v="2"/>
    <s v="PLAQUETTES"/>
    <x v="3"/>
    <n v="48.7"/>
  </r>
  <r>
    <d v="2025-08-20T05:58:16"/>
    <x v="3"/>
    <s v="Plaquettes d'ébauches carrées"/>
    <s v="SC95213"/>
    <s v="RABET PAULINE"/>
    <n v="5"/>
    <x v="1"/>
    <x v="3"/>
    <s v="PLAQUETTES"/>
    <x v="3"/>
    <n v="39.799999999999997"/>
  </r>
  <r>
    <d v="2025-08-20T05:58:40"/>
    <x v="0"/>
    <s v="Plaquettes d'ébauches rhombiques"/>
    <s v="SC95213"/>
    <s v="RABET PAULINE"/>
    <n v="5"/>
    <x v="1"/>
    <x v="3"/>
    <s v="PLAQUETTES"/>
    <x v="3"/>
    <n v="39.799999999999997"/>
  </r>
  <r>
    <d v="2025-08-20T05:59:09"/>
    <x v="3"/>
    <s v="Plaquettes d'ébauches carrées"/>
    <s v="SC95213"/>
    <s v="RABET PAULINE"/>
    <n v="5"/>
    <x v="1"/>
    <x v="0"/>
    <s v="PLAQUETTES"/>
    <x v="3"/>
    <n v="39.799999999999997"/>
  </r>
  <r>
    <d v="2025-08-20T05:59:28"/>
    <x v="0"/>
    <s v="Plaquettes d'ébauches rhombiques"/>
    <s v="SC95213"/>
    <s v="RABET PAULINE"/>
    <n v="5"/>
    <x v="1"/>
    <x v="0"/>
    <s v="PLAQUETTES"/>
    <x v="3"/>
    <n v="39.799999999999997"/>
  </r>
  <r>
    <d v="2025-08-20T06:00:15"/>
    <x v="2"/>
    <s v="Plaquettes de finition carrées"/>
    <s v="SC95213"/>
    <s v="RABET PAULINE"/>
    <n v="5"/>
    <x v="1"/>
    <x v="2"/>
    <s v="PLAQUETTES"/>
    <x v="3"/>
    <n v="47.8"/>
  </r>
  <r>
    <d v="2025-08-21T01:34:03"/>
    <x v="3"/>
    <s v="Plaquettes d'ébauches carrées"/>
    <s v="090225"/>
    <s v="MEYER THOMAS"/>
    <n v="5"/>
    <x v="1"/>
    <x v="3"/>
    <s v="PLAQUETTES"/>
    <x v="3"/>
    <n v="39.799999999999997"/>
  </r>
  <r>
    <d v="2025-08-21T01:34:16"/>
    <x v="0"/>
    <s v="Plaquettes d'ébauches rhombiques"/>
    <s v="090225"/>
    <s v="MEYER THOMAS"/>
    <n v="5"/>
    <x v="1"/>
    <x v="3"/>
    <s v="PLAQUETTES"/>
    <x v="3"/>
    <n v="39.799999999999997"/>
  </r>
  <r>
    <d v="2025-08-21T01:34:32"/>
    <x v="3"/>
    <s v="Plaquettes d'ébauches carrées"/>
    <s v="090225"/>
    <s v="MEYER THOMAS"/>
    <n v="5"/>
    <x v="1"/>
    <x v="0"/>
    <s v="PLAQUETTES"/>
    <x v="3"/>
    <n v="39.799999999999997"/>
  </r>
  <r>
    <d v="2025-08-21T01:34:45"/>
    <x v="0"/>
    <s v="Plaquettes d'ébauches rhombiques"/>
    <s v="090225"/>
    <s v="MEYER THOMAS"/>
    <n v="5"/>
    <x v="1"/>
    <x v="0"/>
    <s v="PLAQUETTES"/>
    <x v="3"/>
    <n v="39.799999999999997"/>
  </r>
  <r>
    <d v="2025-08-21T12:26:48"/>
    <x v="4"/>
    <s v="Plaquettes de gorges"/>
    <s v="SC95213"/>
    <s v="RABET PAULINE"/>
    <n v="10"/>
    <x v="0"/>
    <x v="0"/>
    <s v="PLAQUETTES"/>
    <x v="0"/>
    <n v="188"/>
  </r>
  <r>
    <d v="2025-08-21T13:54:29"/>
    <x v="0"/>
    <s v="Plaquettes d'ébauches rhombiques"/>
    <s v="070325"/>
    <s v="PEREIRA KEVIN"/>
    <n v="5"/>
    <x v="0"/>
    <x v="2"/>
    <s v="PLAQUETTES"/>
    <x v="0"/>
    <n v="39.799999999999997"/>
  </r>
  <r>
    <d v="2025-08-21T13:54:42"/>
    <x v="2"/>
    <s v="Plaquettes de finition carrées"/>
    <s v="070325"/>
    <s v="PEREIRA KEVIN"/>
    <n v="5"/>
    <x v="0"/>
    <x v="2"/>
    <s v="PLAQUETTES"/>
    <x v="0"/>
    <n v="47.8"/>
  </r>
  <r>
    <d v="2025-08-21T13:54:54"/>
    <x v="5"/>
    <s v="Plaquettes de finition"/>
    <s v="070325"/>
    <s v="PEREIRA KEVIN"/>
    <n v="5"/>
    <x v="1"/>
    <x v="2"/>
    <s v="PLAQUETTES"/>
    <x v="3"/>
    <n v="42.5"/>
  </r>
  <r>
    <d v="2025-08-21T13:55:19"/>
    <x v="2"/>
    <s v="Plaquettes de finition carrées"/>
    <s v="070325"/>
    <s v="PEREIRA KEVIN"/>
    <n v="5"/>
    <x v="1"/>
    <x v="2"/>
    <s v="PLAQUETTES"/>
    <x v="3"/>
    <n v="47.8"/>
  </r>
  <r>
    <d v="2025-08-21T16:43:42"/>
    <x v="3"/>
    <s v="Plaquettes d'ébauches carrées"/>
    <s v="070325"/>
    <s v="PEREIRA KEVIN"/>
    <n v="5"/>
    <x v="1"/>
    <x v="3"/>
    <s v="PLAQUETTES"/>
    <x v="3"/>
    <n v="39.799999999999997"/>
  </r>
  <r>
    <d v="2025-08-21T16:43:56"/>
    <x v="3"/>
    <s v="Plaquettes d'ébauches carrées"/>
    <s v="070325"/>
    <s v="PEREIRA KEVIN"/>
    <n v="5"/>
    <x v="0"/>
    <x v="3"/>
    <s v="PLAQUETTES"/>
    <x v="0"/>
    <n v="39.799999999999997"/>
  </r>
  <r>
    <d v="2025-08-22T06:03:51"/>
    <x v="3"/>
    <s v="Plaquettes d'ébauches carrées"/>
    <s v="10301115"/>
    <s v="BOUCHART LUDOVIC"/>
    <n v="5"/>
    <x v="0"/>
    <x v="3"/>
    <s v="PLAQUETTES"/>
    <x v="0"/>
    <n v="39.799999999999997"/>
  </r>
  <r>
    <d v="2025-08-22T06:04:05"/>
    <x v="0"/>
    <s v="Plaquettes d'ébauches rhombiques"/>
    <s v="10301115"/>
    <s v="BOUCHART LUDOVIC"/>
    <n v="5"/>
    <x v="0"/>
    <x v="3"/>
    <s v="PLAQUETTES"/>
    <x v="0"/>
    <n v="39.799999999999997"/>
  </r>
  <r>
    <d v="2025-08-22T06:04:20"/>
    <x v="3"/>
    <s v="Plaquettes d'ébauches carrées"/>
    <s v="10301115"/>
    <s v="BOUCHART LUDOVIC"/>
    <n v="5"/>
    <x v="0"/>
    <x v="0"/>
    <s v="PLAQUETTES"/>
    <x v="0"/>
    <n v="39.799999999999997"/>
  </r>
  <r>
    <d v="2025-08-22T06:04:33"/>
    <x v="0"/>
    <s v="Plaquettes d'ébauches rhombiques"/>
    <s v="10301115"/>
    <s v="BOUCHART LUDOVIC"/>
    <n v="5"/>
    <x v="0"/>
    <x v="0"/>
    <s v="PLAQUETTES"/>
    <x v="0"/>
    <n v="39.799999999999997"/>
  </r>
  <r>
    <d v="2025-08-22T06:04:51"/>
    <x v="2"/>
    <s v="Plaquettes de finition carrées"/>
    <s v="10301115"/>
    <s v="BOUCHART LUDOVIC"/>
    <n v="5"/>
    <x v="0"/>
    <x v="2"/>
    <s v="PLAQUETTES"/>
    <x v="0"/>
    <n v="47.8"/>
  </r>
  <r>
    <d v="2025-08-22T06:05:08"/>
    <x v="3"/>
    <s v="Plaquettes d'ébauches carrées"/>
    <s v="10301115"/>
    <s v="BOUCHART LUDOVIC"/>
    <n v="5"/>
    <x v="1"/>
    <x v="3"/>
    <s v="PLAQUETTES"/>
    <x v="3"/>
    <n v="39.799999999999997"/>
  </r>
  <r>
    <d v="2025-08-22T06:05:25"/>
    <x v="0"/>
    <s v="Plaquettes d'ébauches rhombiques"/>
    <s v="10301115"/>
    <s v="BOUCHART LUDOVIC"/>
    <n v="5"/>
    <x v="1"/>
    <x v="3"/>
    <s v="PLAQUETTES"/>
    <x v="3"/>
    <n v="39.799999999999997"/>
  </r>
  <r>
    <d v="2025-08-22T06:05:43"/>
    <x v="3"/>
    <s v="Plaquettes d'ébauches carrées"/>
    <s v="10301115"/>
    <s v="BOUCHART LUDOVIC"/>
    <n v="5"/>
    <x v="1"/>
    <x v="0"/>
    <s v="PLAQUETTES"/>
    <x v="3"/>
    <n v="39.799999999999997"/>
  </r>
  <r>
    <d v="2025-08-22T06:05:58"/>
    <x v="0"/>
    <s v="Plaquettes d'ébauches rhombiques"/>
    <s v="10301115"/>
    <s v="BOUCHART LUDOVIC"/>
    <n v="5"/>
    <x v="1"/>
    <x v="0"/>
    <s v="PLAQUETTES"/>
    <x v="3"/>
    <n v="39.799999999999997"/>
  </r>
  <r>
    <d v="2025-08-22T06:06:16"/>
    <x v="5"/>
    <s v="Plaquettes de finition"/>
    <s v="10301115"/>
    <s v="BOUCHART LUDOVIC"/>
    <n v="5"/>
    <x v="1"/>
    <x v="2"/>
    <s v="PLAQUETTES"/>
    <x v="3"/>
    <n v="42.5"/>
  </r>
  <r>
    <d v="2025-08-22T06:06:29"/>
    <x v="6"/>
    <s v="Plaquettes de finition triangulaires"/>
    <s v="10301115"/>
    <s v="BOUCHART LUDOVIC"/>
    <n v="5"/>
    <x v="1"/>
    <x v="2"/>
    <s v="PLAQUETTES"/>
    <x v="3"/>
    <n v="48.7"/>
  </r>
  <r>
    <d v="2025-08-22T06:06:44"/>
    <x v="2"/>
    <s v="Plaquettes de finition carrées"/>
    <s v="10301115"/>
    <s v="BOUCHART LUDOVIC"/>
    <n v="5"/>
    <x v="1"/>
    <x v="2"/>
    <s v="PLAQUETTES"/>
    <x v="3"/>
    <n v="47.8"/>
  </r>
  <r>
    <d v="2025-08-23T05:14:16"/>
    <x v="3"/>
    <s v="Plaquettes d'ébauches carrées"/>
    <s v="10301115"/>
    <s v="BOUCHART LUDOVIC"/>
    <n v="5"/>
    <x v="0"/>
    <x v="3"/>
    <s v="PLAQUETTES"/>
    <x v="0"/>
    <n v="39.799999999999997"/>
  </r>
  <r>
    <d v="2025-08-23T05:14:31"/>
    <x v="0"/>
    <s v="Plaquettes d'ébauches rhombiques"/>
    <s v="10301115"/>
    <s v="BOUCHART LUDOVIC"/>
    <n v="5"/>
    <x v="0"/>
    <x v="3"/>
    <s v="PLAQUETTES"/>
    <x v="0"/>
    <n v="39.799999999999997"/>
  </r>
  <r>
    <d v="2025-08-23T05:14:48"/>
    <x v="4"/>
    <s v="Plaquettes de gorges"/>
    <s v="10301115"/>
    <s v="BOUCHART LUDOVIC"/>
    <n v="10"/>
    <x v="0"/>
    <x v="0"/>
    <s v="PLAQUETTES"/>
    <x v="0"/>
    <n v="188"/>
  </r>
  <r>
    <d v="2025-08-23T05:15:04"/>
    <x v="3"/>
    <s v="Plaquettes d'ébauches carrées"/>
    <s v="10301115"/>
    <s v="BOUCHART LUDOVIC"/>
    <n v="5"/>
    <x v="0"/>
    <x v="0"/>
    <s v="PLAQUETTES"/>
    <x v="0"/>
    <n v="39.799999999999997"/>
  </r>
  <r>
    <d v="2025-08-23T05:15:17"/>
    <x v="0"/>
    <s v="Plaquettes d'ébauches rhombiques"/>
    <s v="10301115"/>
    <s v="BOUCHART LUDOVIC"/>
    <n v="5"/>
    <x v="0"/>
    <x v="0"/>
    <s v="PLAQUETTES"/>
    <x v="0"/>
    <n v="39.799999999999997"/>
  </r>
  <r>
    <d v="2025-08-23T05:15:34"/>
    <x v="2"/>
    <s v="Plaquettes de finition carrées"/>
    <s v="10301115"/>
    <s v="BOUCHART LUDOVIC"/>
    <n v="5"/>
    <x v="0"/>
    <x v="2"/>
    <s v="PLAQUETTES"/>
    <x v="0"/>
    <n v="47.8"/>
  </r>
  <r>
    <d v="2025-08-23T05:15:52"/>
    <x v="3"/>
    <s v="Plaquettes d'ébauches carrées"/>
    <s v="10301115"/>
    <s v="BOUCHART LUDOVIC"/>
    <n v="5"/>
    <x v="1"/>
    <x v="3"/>
    <s v="PLAQUETTES"/>
    <x v="3"/>
    <n v="39.799999999999997"/>
  </r>
  <r>
    <d v="2025-08-23T05:16:09"/>
    <x v="0"/>
    <s v="Plaquettes d'ébauches rhombiques"/>
    <s v="10301115"/>
    <s v="BOUCHART LUDOVIC"/>
    <n v="5"/>
    <x v="1"/>
    <x v="3"/>
    <s v="PLAQUETTES"/>
    <x v="3"/>
    <n v="39.799999999999997"/>
  </r>
  <r>
    <d v="2025-08-23T05:16:30"/>
    <x v="3"/>
    <s v="Plaquettes d'ébauches carrées"/>
    <s v="10301115"/>
    <s v="BOUCHART LUDOVIC"/>
    <n v="5"/>
    <x v="1"/>
    <x v="0"/>
    <s v="PLAQUETTES"/>
    <x v="3"/>
    <n v="39.799999999999997"/>
  </r>
  <r>
    <d v="2025-08-23T05:16:45"/>
    <x v="0"/>
    <s v="Plaquettes d'ébauches rhombiques"/>
    <s v="10301115"/>
    <s v="BOUCHART LUDOVIC"/>
    <n v="5"/>
    <x v="1"/>
    <x v="0"/>
    <s v="PLAQUETTES"/>
    <x v="3"/>
    <n v="39.799999999999997"/>
  </r>
  <r>
    <d v="2025-08-23T05:17:03"/>
    <x v="5"/>
    <s v="Plaquettes de finition"/>
    <s v="10301115"/>
    <s v="BOUCHART LUDOVIC"/>
    <n v="5"/>
    <x v="1"/>
    <x v="2"/>
    <s v="PLAQUETTES"/>
    <x v="3"/>
    <n v="42.5"/>
  </r>
  <r>
    <d v="2025-08-23T05:17:18"/>
    <x v="6"/>
    <s v="Plaquettes de finition triangulaires"/>
    <s v="10301115"/>
    <s v="BOUCHART LUDOVIC"/>
    <n v="5"/>
    <x v="1"/>
    <x v="2"/>
    <s v="PLAQUETTES"/>
    <x v="3"/>
    <n v="48.7"/>
  </r>
  <r>
    <d v="2025-08-23T05:17:36"/>
    <x v="2"/>
    <s v="Plaquettes de finition carrées"/>
    <s v="10301115"/>
    <s v="BOUCHART LUDOVIC"/>
    <n v="5"/>
    <x v="1"/>
    <x v="2"/>
    <s v="PLAQUETTES"/>
    <x v="3"/>
    <n v="47.8"/>
  </r>
  <r>
    <d v="2025-08-24T17:39:03"/>
    <x v="3"/>
    <s v="Plaquettes d'ébauches carrées"/>
    <s v="10301115"/>
    <s v="BOUCHART LUDOVIC"/>
    <n v="5"/>
    <x v="0"/>
    <x v="3"/>
    <s v="PLAQUETTES"/>
    <x v="0"/>
    <n v="39.799999999999997"/>
  </r>
  <r>
    <d v="2025-08-24T17:39:17"/>
    <x v="0"/>
    <s v="Plaquettes d'ébauches rhombiques"/>
    <s v="10301115"/>
    <s v="BOUCHART LUDOVIC"/>
    <n v="5"/>
    <x v="0"/>
    <x v="3"/>
    <s v="PLAQUETTES"/>
    <x v="0"/>
    <n v="39.799999999999997"/>
  </r>
  <r>
    <d v="2025-08-24T17:39:33"/>
    <x v="3"/>
    <s v="Plaquettes d'ébauches carrées"/>
    <s v="10301115"/>
    <s v="BOUCHART LUDOVIC"/>
    <n v="5"/>
    <x v="0"/>
    <x v="0"/>
    <s v="PLAQUETTES"/>
    <x v="0"/>
    <n v="39.799999999999997"/>
  </r>
  <r>
    <d v="2025-08-24T17:39:48"/>
    <x v="3"/>
    <s v="Plaquettes d'ébauches carrées"/>
    <s v="10301115"/>
    <s v="BOUCHART LUDOVIC"/>
    <n v="5"/>
    <x v="0"/>
    <x v="0"/>
    <s v="PLAQUETTES"/>
    <x v="0"/>
    <n v="39.799999999999997"/>
  </r>
  <r>
    <d v="2025-08-24T17:40:01"/>
    <x v="0"/>
    <s v="Plaquettes d'ébauches rhombiques"/>
    <s v="10301115"/>
    <s v="BOUCHART LUDOVIC"/>
    <n v="5"/>
    <x v="0"/>
    <x v="0"/>
    <s v="PLAQUETTES"/>
    <x v="0"/>
    <n v="39.799999999999997"/>
  </r>
  <r>
    <d v="2025-08-24T17:40:21"/>
    <x v="2"/>
    <s v="Plaquettes de finition carrées"/>
    <s v="10301115"/>
    <s v="BOUCHART LUDOVIC"/>
    <n v="5"/>
    <x v="0"/>
    <x v="2"/>
    <s v="PLAQUETTES"/>
    <x v="0"/>
    <n v="47.8"/>
  </r>
  <r>
    <d v="2025-08-24T17:40:37"/>
    <x v="3"/>
    <s v="Plaquettes d'ébauches carrées"/>
    <s v="10301115"/>
    <s v="BOUCHART LUDOVIC"/>
    <n v="5"/>
    <x v="1"/>
    <x v="3"/>
    <s v="PLAQUETTES"/>
    <x v="3"/>
    <n v="39.799999999999997"/>
  </r>
  <r>
    <d v="2025-08-24T17:40:52"/>
    <x v="0"/>
    <s v="Plaquettes d'ébauches rhombiques"/>
    <s v="10301115"/>
    <s v="BOUCHART LUDOVIC"/>
    <n v="5"/>
    <x v="1"/>
    <x v="3"/>
    <s v="PLAQUETTES"/>
    <x v="3"/>
    <n v="39.799999999999997"/>
  </r>
  <r>
    <d v="2025-08-24T17:41:08"/>
    <x v="3"/>
    <s v="Plaquettes d'ébauches carrées"/>
    <s v="10301115"/>
    <s v="BOUCHART LUDOVIC"/>
    <n v="5"/>
    <x v="1"/>
    <x v="0"/>
    <s v="PLAQUETTES"/>
    <x v="3"/>
    <n v="39.799999999999997"/>
  </r>
  <r>
    <d v="2025-08-24T17:41:22"/>
    <x v="0"/>
    <s v="Plaquettes d'ébauches rhombiques"/>
    <s v="10301115"/>
    <s v="BOUCHART LUDOVIC"/>
    <n v="5"/>
    <x v="1"/>
    <x v="0"/>
    <s v="PLAQUETTES"/>
    <x v="3"/>
    <n v="39.799999999999997"/>
  </r>
  <r>
    <d v="2025-08-24T17:41:39"/>
    <x v="2"/>
    <s v="Plaquettes de finition carrées"/>
    <s v="10301115"/>
    <s v="BOUCHART LUDOVIC"/>
    <n v="5"/>
    <x v="1"/>
    <x v="2"/>
    <s v="PLAQUETTES"/>
    <x v="3"/>
    <n v="47.8"/>
  </r>
  <r>
    <d v="2025-08-24T17:41:51"/>
    <x v="2"/>
    <s v="Plaquettes de finition carrées"/>
    <s v="10301115"/>
    <s v="BOUCHART LUDOVIC"/>
    <n v="5"/>
    <x v="1"/>
    <x v="2"/>
    <s v="PLAQUETTES"/>
    <x v="3"/>
    <n v="47.8"/>
  </r>
  <r>
    <d v="2025-08-25T21:46:28"/>
    <x v="2"/>
    <s v="Plaquettes de finition carrées"/>
    <s v="7236310"/>
    <s v="OZYURT IREM"/>
    <n v="5"/>
    <x v="0"/>
    <x v="2"/>
    <s v="PLAQUETTES"/>
    <x v="0"/>
    <n v="47.8"/>
  </r>
  <r>
    <d v="2025-08-25T21:46:43"/>
    <x v="2"/>
    <s v="Plaquettes de finition carrées"/>
    <s v="7236310"/>
    <s v="OZYURT IREM"/>
    <n v="5"/>
    <x v="1"/>
    <x v="2"/>
    <s v="PLAQUETTES"/>
    <x v="3"/>
    <n v="47.8"/>
  </r>
  <r>
    <d v="2025-08-26T02:38:06"/>
    <x v="4"/>
    <s v="Plaquettes de gorges"/>
    <s v="090225"/>
    <s v="MEYER THOMAS"/>
    <n v="10"/>
    <x v="0"/>
    <x v="0"/>
    <s v="PLAQUETTES"/>
    <x v="0"/>
    <n v="188"/>
  </r>
  <r>
    <d v="2025-08-26T05:19:50"/>
    <x v="3"/>
    <s v="Plaquettes d'ébauches carrées"/>
    <s v="31224"/>
    <s v="BIDOT MURIEL"/>
    <n v="5"/>
    <x v="0"/>
    <x v="3"/>
    <s v="PLAQUETTES"/>
    <x v="0"/>
    <n v="39.799999999999997"/>
  </r>
  <r>
    <d v="2025-08-26T05:20:09"/>
    <x v="3"/>
    <s v="Plaquettes d'ébauches carrées"/>
    <s v="31224"/>
    <s v="BIDOT MURIEL"/>
    <n v="5"/>
    <x v="0"/>
    <x v="3"/>
    <s v="PLAQUETTES"/>
    <x v="0"/>
    <n v="39.799999999999997"/>
  </r>
  <r>
    <d v="2025-08-26T05:20:24"/>
    <x v="2"/>
    <s v="Plaquettes de finition carrées"/>
    <s v="31224"/>
    <s v="BIDOT MURIEL"/>
    <n v="5"/>
    <x v="0"/>
    <x v="2"/>
    <s v="PLAQUETTES"/>
    <x v="0"/>
    <n v="47.8"/>
  </r>
  <r>
    <d v="2025-08-26T05:20:43"/>
    <x v="2"/>
    <s v="Plaquettes de finition carrées"/>
    <s v="31224"/>
    <s v="BIDOT MURIEL"/>
    <n v="5"/>
    <x v="0"/>
    <x v="2"/>
    <s v="PLAQUETTES"/>
    <x v="0"/>
    <n v="47.8"/>
  </r>
  <r>
    <d v="2025-08-26T06:17:19"/>
    <x v="3"/>
    <s v="Plaquettes d'ébauches carrées"/>
    <s v="070325"/>
    <s v="PEREIRA KEVIN"/>
    <n v="5"/>
    <x v="1"/>
    <x v="3"/>
    <s v="PLAQUETTES"/>
    <x v="3"/>
    <n v="39.799999999999997"/>
  </r>
  <r>
    <d v="2025-08-26T06:17:35"/>
    <x v="3"/>
    <s v="Plaquettes d'ébauches carrées"/>
    <s v="070325"/>
    <s v="PEREIRA KEVIN"/>
    <n v="5"/>
    <x v="1"/>
    <x v="0"/>
    <s v="PLAQUETTES"/>
    <x v="3"/>
    <n v="39.799999999999997"/>
  </r>
  <r>
    <d v="2025-08-26T06:17:50"/>
    <x v="2"/>
    <s v="Plaquettes de finition carrées"/>
    <s v="070325"/>
    <s v="PEREIRA KEVIN"/>
    <n v="5"/>
    <x v="1"/>
    <x v="2"/>
    <s v="PLAQUETTES"/>
    <x v="3"/>
    <n v="47.8"/>
  </r>
  <r>
    <d v="2025-08-26T09:17:45"/>
    <x v="3"/>
    <s v="Plaquettes d'ébauches carrées"/>
    <s v="12824586"/>
    <s v="DASILVA FERNANDO"/>
    <n v="5"/>
    <x v="0"/>
    <x v="3"/>
    <s v="PLAQUETTES"/>
    <x v="0"/>
    <n v="39.799999999999997"/>
  </r>
  <r>
    <d v="2025-08-27T04:25:36"/>
    <x v="3"/>
    <s v="Plaquettes d'ébauches carrées"/>
    <s v="090225"/>
    <s v="MEYER THOMAS"/>
    <n v="5"/>
    <x v="1"/>
    <x v="3"/>
    <s v="PLAQUETTES"/>
    <x v="3"/>
    <n v="39.799999999999997"/>
  </r>
  <r>
    <d v="2025-08-27T04:25:51"/>
    <x v="3"/>
    <s v="Plaquettes d'ébauches carrées"/>
    <s v="090225"/>
    <s v="MEYER THOMAS"/>
    <n v="5"/>
    <x v="0"/>
    <x v="3"/>
    <s v="PLAQUETTES"/>
    <x v="3"/>
    <n v="39.799999999999997"/>
  </r>
  <r>
    <d v="2025-08-27T04:26:04"/>
    <x v="0"/>
    <s v="Plaquettes d'ébauches rhombiques"/>
    <s v="090225"/>
    <s v="MEYER THOMAS"/>
    <n v="5"/>
    <x v="1"/>
    <x v="3"/>
    <s v="PLAQUETTES"/>
    <x v="3"/>
    <n v="39.799999999999997"/>
  </r>
  <r>
    <d v="2025-08-27T04:26:18"/>
    <x v="3"/>
    <s v="Plaquettes d'ébauches carrées"/>
    <s v="090225"/>
    <s v="MEYER THOMAS"/>
    <n v="5"/>
    <x v="1"/>
    <x v="0"/>
    <s v="PLAQUETTES"/>
    <x v="3"/>
    <n v="39.799999999999997"/>
  </r>
  <r>
    <d v="2025-08-27T04:26:36"/>
    <x v="0"/>
    <s v="Plaquettes d'ébauches rhombiques"/>
    <s v="090225"/>
    <s v="MEYER THOMAS"/>
    <n v="5"/>
    <x v="1"/>
    <x v="0"/>
    <s v="PLAQUETTES"/>
    <x v="3"/>
    <n v="39.799999999999997"/>
  </r>
  <r>
    <d v="2025-08-27T04:26:49"/>
    <x v="3"/>
    <s v="Plaquettes d'ébauches carrées"/>
    <s v="090225"/>
    <s v="MEYER THOMAS"/>
    <n v="5"/>
    <x v="0"/>
    <x v="0"/>
    <s v="PLAQUETTES"/>
    <x v="3"/>
    <n v="39.799999999999997"/>
  </r>
  <r>
    <d v="2025-08-27T04:27:05"/>
    <x v="0"/>
    <s v="Plaquettes d'ébauches rhombiques"/>
    <s v="090225"/>
    <s v="MEYER THOMAS"/>
    <n v="5"/>
    <x v="0"/>
    <x v="0"/>
    <s v="PLAQUETTES"/>
    <x v="3"/>
    <n v="39.799999999999997"/>
  </r>
  <r>
    <d v="2025-08-27T05:42:50"/>
    <x v="6"/>
    <s v="Plaquettes de finition triangulaires"/>
    <s v="070325"/>
    <s v="PEREIRA KEVIN"/>
    <n v="5"/>
    <x v="1"/>
    <x v="2"/>
    <s v="PLAQUETTES"/>
    <x v="3"/>
    <n v="48.7"/>
  </r>
  <r>
    <d v="2025-08-27T05:43:07"/>
    <x v="2"/>
    <s v="Plaquettes de finition carrées"/>
    <s v="070325"/>
    <s v="PEREIRA KEVIN"/>
    <n v="5"/>
    <x v="1"/>
    <x v="2"/>
    <s v="PLAQUETTES"/>
    <x v="3"/>
    <n v="47.8"/>
  </r>
  <r>
    <d v="2025-08-27T05:43:23"/>
    <x v="5"/>
    <s v="Plaquettes de finition"/>
    <s v="070325"/>
    <s v="PEREIRA KEVIN"/>
    <n v="5"/>
    <x v="0"/>
    <x v="2"/>
    <s v="PLAQUETTES"/>
    <x v="3"/>
    <n v="42.5"/>
  </r>
  <r>
    <d v="2025-08-27T05:43:41"/>
    <x v="6"/>
    <s v="Plaquettes de finition triangulaires"/>
    <s v="070325"/>
    <s v="PEREIRA KEVIN"/>
    <n v="5"/>
    <x v="0"/>
    <x v="2"/>
    <s v="PLAQUETTES"/>
    <x v="3"/>
    <n v="48.7"/>
  </r>
  <r>
    <d v="2025-08-27T05:43:59"/>
    <x v="2"/>
    <s v="Plaquettes de finition carrées"/>
    <s v="070325"/>
    <s v="PEREIRA KEVIN"/>
    <n v="5"/>
    <x v="0"/>
    <x v="2"/>
    <s v="PLAQUETTES"/>
    <x v="3"/>
    <n v="47.8"/>
  </r>
  <r>
    <d v="2025-08-27T20:30:52"/>
    <x v="3"/>
    <s v="Plaquettes d'ébauches carrées"/>
    <s v="SC95213"/>
    <s v="RABET PAULINE"/>
    <n v="5"/>
    <x v="1"/>
    <x v="3"/>
    <s v="PLAQUETTES"/>
    <x v="3"/>
    <n v="39.799999999999997"/>
  </r>
  <r>
    <d v="2025-08-27T20:31:11"/>
    <x v="0"/>
    <s v="Plaquettes d'ébauches rhombiques"/>
    <s v="SC95213"/>
    <s v="RABET PAULINE"/>
    <n v="5"/>
    <x v="1"/>
    <x v="3"/>
    <s v="PLAQUETTES"/>
    <x v="3"/>
    <n v="39.799999999999997"/>
  </r>
  <r>
    <d v="2025-08-27T20:31:27"/>
    <x v="3"/>
    <s v="Plaquettes d'ébauches carrées"/>
    <s v="SC95213"/>
    <s v="RABET PAULINE"/>
    <n v="5"/>
    <x v="1"/>
    <x v="0"/>
    <s v="PLAQUETTES"/>
    <x v="3"/>
    <n v="39.799999999999997"/>
  </r>
  <r>
    <d v="2025-08-27T20:31:43"/>
    <x v="2"/>
    <s v="Plaquettes de finition carrées"/>
    <s v="SC95213"/>
    <s v="RABET PAULINE"/>
    <n v="5"/>
    <x v="1"/>
    <x v="2"/>
    <s v="PLAQUETTES"/>
    <x v="3"/>
    <n v="47.8"/>
  </r>
  <r>
    <d v="2025-08-28T01:36:39"/>
    <x v="2"/>
    <s v="Plaquettes de finition carrées"/>
    <s v="7236310"/>
    <s v="OZYURT IREM"/>
    <n v="5"/>
    <x v="0"/>
    <x v="2"/>
    <s v="PLAQUETTES"/>
    <x v="3"/>
    <n v="47.8"/>
  </r>
  <r>
    <d v="2025-08-28T05:20:12"/>
    <x v="3"/>
    <s v="Plaquettes d'ébauches carrées"/>
    <s v="31224"/>
    <s v="BIDOT MURIEL"/>
    <n v="5"/>
    <x v="0"/>
    <x v="3"/>
    <s v="PLAQUETTES"/>
    <x v="3"/>
    <n v="39.799999999999997"/>
  </r>
  <r>
    <d v="2025-08-28T05:20:35"/>
    <x v="3"/>
    <s v="Plaquettes d'ébauches carrées"/>
    <s v="31224"/>
    <s v="BIDOT MURIEL"/>
    <n v="5"/>
    <x v="0"/>
    <x v="3"/>
    <s v="PLAQUETTES"/>
    <x v="3"/>
    <n v="39.799999999999997"/>
  </r>
  <r>
    <d v="2025-08-28T05:21:01"/>
    <x v="0"/>
    <s v="Plaquettes d'ébauches rhombiques"/>
    <s v="31224"/>
    <s v="BIDOT MURIEL"/>
    <n v="5"/>
    <x v="0"/>
    <x v="3"/>
    <s v="PLAQUETTES"/>
    <x v="3"/>
    <n v="39.799999999999997"/>
  </r>
  <r>
    <d v="2025-08-28T05:21:20"/>
    <x v="0"/>
    <s v="Plaquettes d'ébauches rhombiques"/>
    <s v="31224"/>
    <s v="BIDOT MURIEL"/>
    <n v="5"/>
    <x v="0"/>
    <x v="3"/>
    <s v="PLAQUETTES"/>
    <x v="3"/>
    <n v="39.799999999999997"/>
  </r>
  <r>
    <d v="2025-08-28T05:21:37"/>
    <x v="5"/>
    <s v="Plaquettes de finition"/>
    <s v="31224"/>
    <s v="BIDOT MURIEL"/>
    <n v="5"/>
    <x v="0"/>
    <x v="2"/>
    <s v="PLAQUETTES"/>
    <x v="3"/>
    <n v="42.5"/>
  </r>
  <r>
    <d v="2025-08-28T05:21:55"/>
    <x v="6"/>
    <s v="Plaquettes de finition triangulaires"/>
    <s v="31224"/>
    <s v="BIDOT MURIEL"/>
    <n v="5"/>
    <x v="0"/>
    <x v="2"/>
    <s v="PLAQUETTES"/>
    <x v="3"/>
    <n v="48.7"/>
  </r>
  <r>
    <d v="2025-08-28T05:24:11"/>
    <x v="2"/>
    <s v="Plaquettes de finition carrées"/>
    <s v="31224"/>
    <s v="BIDOT MURIEL"/>
    <n v="5"/>
    <x v="0"/>
    <x v="2"/>
    <s v="PLAQUETTES"/>
    <x v="3"/>
    <n v="47.8"/>
  </r>
  <r>
    <d v="2025-08-28T05:24:26"/>
    <x v="2"/>
    <s v="Plaquettes de finition carrées"/>
    <s v="31224"/>
    <s v="BIDOT MURIEL"/>
    <n v="5"/>
    <x v="0"/>
    <x v="2"/>
    <s v="PLAQUETTES"/>
    <x v="3"/>
    <n v="47.8"/>
  </r>
  <r>
    <d v="2025-08-28T08:49:44"/>
    <x v="2"/>
    <s v="Plaquettes de finition carrées"/>
    <s v="31224"/>
    <s v="BIDOT MURIEL"/>
    <n v="5"/>
    <x v="0"/>
    <x v="2"/>
    <s v="PLAQUETTES"/>
    <x v="3"/>
    <n v="47.8"/>
  </r>
  <r>
    <d v="2025-08-28T14:16:38"/>
    <x v="3"/>
    <s v="Plaquettes d'ébauches carrées"/>
    <s v="SE08251"/>
    <s v="FAYET AYMERIC"/>
    <n v="5"/>
    <x v="0"/>
    <x v="3"/>
    <s v="PLAQUETTES"/>
    <x v="3"/>
    <n v="39.799999999999997"/>
  </r>
  <r>
    <d v="2025-08-28T14:17:00"/>
    <x v="3"/>
    <s v="Plaquettes d'ébauches carrées"/>
    <s v="SE08251"/>
    <s v="FAYET AYMERIC"/>
    <n v="5"/>
    <x v="0"/>
    <x v="0"/>
    <s v="PLAQUETTES"/>
    <x v="3"/>
    <n v="39.799999999999997"/>
  </r>
  <r>
    <d v="2025-08-28T14:17:15"/>
    <x v="0"/>
    <s v="Plaquettes d'ébauches rhombiques"/>
    <s v="SE08251"/>
    <s v="FAYET AYMERIC"/>
    <n v="5"/>
    <x v="0"/>
    <x v="3"/>
    <s v="PLAQUETTES"/>
    <x v="3"/>
    <n v="39.799999999999997"/>
  </r>
  <r>
    <d v="2025-08-28T14:17:43"/>
    <x v="0"/>
    <s v="Plaquettes d'ébauches rhombiques"/>
    <s v="SE08251"/>
    <s v="FAYET AYMERIC"/>
    <n v="5"/>
    <x v="0"/>
    <x v="0"/>
    <s v="PLAQUETTES"/>
    <x v="3"/>
    <n v="39.799999999999997"/>
  </r>
  <r>
    <d v="2025-08-28T14:19:33"/>
    <x v="0"/>
    <s v="Plaquettes d'ébauches rhombiques"/>
    <s v="SE08251"/>
    <s v="FAYET AYMERIC"/>
    <n v="-5"/>
    <x v="0"/>
    <x v="0"/>
    <s v="PLAQUETTES"/>
    <x v="3"/>
    <n v="-39.799999999999997"/>
  </r>
  <r>
    <d v="2025-08-28T19:59:23"/>
    <x v="3"/>
    <s v="Plaquettes d'ébauches carrées"/>
    <s v="SE08251"/>
    <s v="FAYET AYMERIC"/>
    <n v="5"/>
    <x v="1"/>
    <x v="3"/>
    <s v="PLAQUETTES"/>
    <x v="3"/>
    <n v="39.799999999999997"/>
  </r>
  <r>
    <d v="2025-08-28T19:59:41"/>
    <x v="3"/>
    <s v="Plaquettes d'ébauches carrées"/>
    <s v="SE08251"/>
    <s v="FAYET AYMERIC"/>
    <n v="5"/>
    <x v="1"/>
    <x v="3"/>
    <s v="PLAQUETTES"/>
    <x v="3"/>
    <n v="39.799999999999997"/>
  </r>
  <r>
    <d v="2025-08-28T19:59:56"/>
    <x v="0"/>
    <s v="Plaquettes d'ébauches rhombiques"/>
    <s v="SE08251"/>
    <s v="FAYET AYMERIC"/>
    <n v="5"/>
    <x v="1"/>
    <x v="3"/>
    <s v="PLAQUETTES"/>
    <x v="3"/>
    <n v="39.799999999999997"/>
  </r>
  <r>
    <d v="2025-08-28T20:00:14"/>
    <x v="0"/>
    <s v="Plaquettes d'ébauches rhombiques"/>
    <s v="SE08251"/>
    <s v="FAYET AYMERIC"/>
    <n v="5"/>
    <x v="1"/>
    <x v="0"/>
    <s v="PLAQUETTES"/>
    <x v="3"/>
    <n v="39.799999999999997"/>
  </r>
  <r>
    <d v="2025-08-28T20:00:30"/>
    <x v="2"/>
    <s v="Plaquettes de finition carrées"/>
    <s v="SE08251"/>
    <s v="FAYET AYMERIC"/>
    <n v="5"/>
    <x v="1"/>
    <x v="2"/>
    <s v="PLAQUETTES"/>
    <x v="3"/>
    <n v="47.8"/>
  </r>
  <r>
    <d v="2025-08-28T20:00:45"/>
    <x v="2"/>
    <s v="Plaquettes de finition carrées"/>
    <s v="SE08251"/>
    <s v="FAYET AYMERIC"/>
    <n v="5"/>
    <x v="0"/>
    <x v="2"/>
    <s v="PLAQUETTES"/>
    <x v="3"/>
    <n v="47.8"/>
  </r>
  <r>
    <d v="2025-08-29T04:15:39"/>
    <x v="3"/>
    <s v="Plaquettes d'ébauches carrées"/>
    <s v="090225"/>
    <s v="MEYER THOMAS"/>
    <n v="5"/>
    <x v="0"/>
    <x v="3"/>
    <s v="PLAQUETTES"/>
    <x v="3"/>
    <n v="39.799999999999997"/>
  </r>
  <r>
    <d v="2025-08-29T04:15:58"/>
    <x v="0"/>
    <s v="Plaquettes d'ébauches rhombiques"/>
    <s v="090225"/>
    <s v="MEYER THOMAS"/>
    <n v="5"/>
    <x v="0"/>
    <x v="3"/>
    <s v="PLAQUETTES"/>
    <x v="3"/>
    <n v="39.799999999999997"/>
  </r>
  <r>
    <d v="2025-08-29T04:16:15"/>
    <x v="3"/>
    <s v="Plaquettes d'ébauches carrées"/>
    <s v="090225"/>
    <s v="MEYER THOMAS"/>
    <n v="5"/>
    <x v="0"/>
    <x v="0"/>
    <s v="PLAQUETTES"/>
    <x v="3"/>
    <n v="39.799999999999997"/>
  </r>
  <r>
    <d v="2025-08-29T04:16:27"/>
    <x v="0"/>
    <s v="Plaquettes d'ébauches rhombiques"/>
    <s v="090225"/>
    <s v="MEYER THOMAS"/>
    <n v="5"/>
    <x v="0"/>
    <x v="0"/>
    <s v="PLAQUETTES"/>
    <x v="3"/>
    <n v="39.799999999999997"/>
  </r>
  <r>
    <d v="2025-08-29T04:16:45"/>
    <x v="3"/>
    <s v="Plaquettes d'ébauches carrées"/>
    <s v="090225"/>
    <s v="MEYER THOMAS"/>
    <n v="5"/>
    <x v="1"/>
    <x v="3"/>
    <s v="PLAQUETTES"/>
    <x v="3"/>
    <n v="39.799999999999997"/>
  </r>
  <r>
    <d v="2025-08-29T04:17:00"/>
    <x v="0"/>
    <s v="Plaquettes d'ébauches rhombiques"/>
    <s v="090225"/>
    <s v="MEYER THOMAS"/>
    <n v="5"/>
    <x v="1"/>
    <x v="3"/>
    <s v="PLAQUETTES"/>
    <x v="3"/>
    <n v="39.799999999999997"/>
  </r>
  <r>
    <d v="2025-08-29T04:17:13"/>
    <x v="3"/>
    <s v="Plaquettes d'ébauches carrées"/>
    <s v="090225"/>
    <s v="MEYER THOMAS"/>
    <n v="5"/>
    <x v="1"/>
    <x v="0"/>
    <s v="PLAQUETTES"/>
    <x v="3"/>
    <n v="39.799999999999997"/>
  </r>
  <r>
    <d v="2025-08-29T04:17:29"/>
    <x v="0"/>
    <s v="Plaquettes d'ébauches rhombiques"/>
    <s v="090225"/>
    <s v="MEYER THOMAS"/>
    <n v="5"/>
    <x v="1"/>
    <x v="0"/>
    <s v="PLAQUETTES"/>
    <x v="3"/>
    <n v="39.799999999999997"/>
  </r>
  <r>
    <d v="2025-08-29T05:36:52"/>
    <x v="3"/>
    <s v="Plaquettes d'ébauches carrées"/>
    <s v="10301115"/>
    <s v="BOUCHART LUDOVIC"/>
    <n v="5"/>
    <x v="0"/>
    <x v="3"/>
    <s v="PLAQUETTES"/>
    <x v="3"/>
    <n v="39.799999999999997"/>
  </r>
  <r>
    <d v="2025-08-29T05:37:04"/>
    <x v="0"/>
    <s v="Plaquettes d'ébauches rhombiques"/>
    <s v="10301115"/>
    <s v="BOUCHART LUDOVIC"/>
    <n v="5"/>
    <x v="0"/>
    <x v="3"/>
    <s v="PLAQUETTES"/>
    <x v="3"/>
    <n v="39.799999999999997"/>
  </r>
  <r>
    <d v="2025-08-29T05:37:18"/>
    <x v="3"/>
    <s v="Plaquettes d'ébauches carrées"/>
    <s v="10301115"/>
    <s v="BOUCHART LUDOVIC"/>
    <n v="5"/>
    <x v="0"/>
    <x v="0"/>
    <s v="PLAQUETTES"/>
    <x v="3"/>
    <n v="39.799999999999997"/>
  </r>
  <r>
    <d v="2025-08-29T05:37:31"/>
    <x v="0"/>
    <s v="Plaquettes d'ébauches rhombiques"/>
    <s v="10301115"/>
    <s v="BOUCHART LUDOVIC"/>
    <n v="5"/>
    <x v="0"/>
    <x v="0"/>
    <s v="PLAQUETTES"/>
    <x v="3"/>
    <n v="39.799999999999997"/>
  </r>
  <r>
    <d v="2025-08-29T05:37:46"/>
    <x v="5"/>
    <s v="Plaquettes de finition"/>
    <s v="10301115"/>
    <s v="BOUCHART LUDOVIC"/>
    <n v="5"/>
    <x v="0"/>
    <x v="2"/>
    <s v="PLAQUETTES"/>
    <x v="3"/>
    <n v="42.5"/>
  </r>
  <r>
    <d v="2025-08-29T05:38:02"/>
    <x v="6"/>
    <s v="Plaquettes de finition triangulaires"/>
    <s v="10301115"/>
    <s v="BOUCHART LUDOVIC"/>
    <n v="5"/>
    <x v="0"/>
    <x v="2"/>
    <s v="PLAQUETTES"/>
    <x v="3"/>
    <n v="48.7"/>
  </r>
  <r>
    <d v="2025-08-29T05:38:15"/>
    <x v="2"/>
    <s v="Plaquettes de finition carrées"/>
    <s v="10301115"/>
    <s v="BOUCHART LUDOVIC"/>
    <n v="5"/>
    <x v="0"/>
    <x v="2"/>
    <s v="PLAQUETTES"/>
    <x v="3"/>
    <n v="47.8"/>
  </r>
  <r>
    <d v="2025-08-29T05:38:31"/>
    <x v="3"/>
    <s v="Plaquettes d'ébauches carrées"/>
    <s v="10301115"/>
    <s v="BOUCHART LUDOVIC"/>
    <n v="5"/>
    <x v="1"/>
    <x v="3"/>
    <s v="PLAQUETTES"/>
    <x v="3"/>
    <n v="39.799999999999997"/>
  </r>
  <r>
    <d v="2025-08-29T05:38:43"/>
    <x v="0"/>
    <s v="Plaquettes d'ébauches rhombiques"/>
    <s v="10301115"/>
    <s v="BOUCHART LUDOVIC"/>
    <n v="5"/>
    <x v="1"/>
    <x v="3"/>
    <s v="PLAQUETTES"/>
    <x v="3"/>
    <n v="39.799999999999997"/>
  </r>
  <r>
    <d v="2025-08-29T05:38:59"/>
    <x v="3"/>
    <s v="Plaquettes d'ébauches carrées"/>
    <s v="10301115"/>
    <s v="BOUCHART LUDOVIC"/>
    <n v="5"/>
    <x v="1"/>
    <x v="0"/>
    <s v="PLAQUETTES"/>
    <x v="3"/>
    <n v="39.799999999999997"/>
  </r>
  <r>
    <d v="2025-08-29T05:39:11"/>
    <x v="0"/>
    <s v="Plaquettes d'ébauches rhombiques"/>
    <s v="10301115"/>
    <s v="BOUCHART LUDOVIC"/>
    <n v="5"/>
    <x v="1"/>
    <x v="0"/>
    <s v="PLAQUETTES"/>
    <x v="3"/>
    <n v="39.799999999999997"/>
  </r>
  <r>
    <d v="2025-08-29T05:39:29"/>
    <x v="5"/>
    <s v="Plaquettes de finition"/>
    <s v="10301115"/>
    <s v="BOUCHART LUDOVIC"/>
    <n v="5"/>
    <x v="1"/>
    <x v="2"/>
    <s v="PLAQUETTES"/>
    <x v="3"/>
    <n v="42.5"/>
  </r>
  <r>
    <d v="2025-08-29T05:39:41"/>
    <x v="6"/>
    <s v="Plaquettes de finition triangulaires"/>
    <s v="10301115"/>
    <s v="BOUCHART LUDOVIC"/>
    <n v="5"/>
    <x v="1"/>
    <x v="2"/>
    <s v="PLAQUETTES"/>
    <x v="3"/>
    <n v="48.7"/>
  </r>
  <r>
    <d v="2025-08-29T05:39:53"/>
    <x v="2"/>
    <s v="Plaquettes de finition carrées"/>
    <s v="10301115"/>
    <s v="BOUCHART LUDOVIC"/>
    <n v="5"/>
    <x v="1"/>
    <x v="2"/>
    <s v="PLAQUETTES"/>
    <x v="3"/>
    <n v="47.8"/>
  </r>
  <r>
    <d v="2025-08-29T16:07:36"/>
    <x v="2"/>
    <s v="Plaquettes de finition carrées"/>
    <s v="SC95213"/>
    <s v="RABET PAULINE"/>
    <n v="5"/>
    <x v="1"/>
    <x v="2"/>
    <s v="PLAQUETTES"/>
    <x v="3"/>
    <n v="47.8"/>
  </r>
  <r>
    <d v="2025-08-29T16:07:50"/>
    <x v="3"/>
    <s v="Plaquettes d'ébauches carrées"/>
    <s v="SC95213"/>
    <s v="RABET PAULINE"/>
    <n v="5"/>
    <x v="1"/>
    <x v="3"/>
    <s v="PLAQUETTES"/>
    <x v="3"/>
    <n v="39.799999999999997"/>
  </r>
  <r>
    <d v="2025-08-29T22:19:14"/>
    <x v="2"/>
    <s v="Plaquettes de finition carrées"/>
    <s v="7236310"/>
    <s v="OZYURT IREM"/>
    <n v="5"/>
    <x v="0"/>
    <x v="2"/>
    <s v="PLAQUETTES"/>
    <x v="3"/>
    <n v="47.8"/>
  </r>
  <r>
    <d v="2025-08-29T22:19:34"/>
    <x v="2"/>
    <s v="Plaquettes de finition carrées"/>
    <s v="7236310"/>
    <s v="OZYURT IREM"/>
    <n v="5"/>
    <x v="1"/>
    <x v="2"/>
    <s v="PLAQUETTES"/>
    <x v="3"/>
    <n v="47.8"/>
  </r>
  <r>
    <d v="2025-08-30T03:52:00"/>
    <x v="3"/>
    <s v="Plaquettes d'ébauches carrées"/>
    <s v="090225"/>
    <s v="MEYER THOMAS"/>
    <n v="5"/>
    <x v="1"/>
    <x v="3"/>
    <s v="PLAQUETTES"/>
    <x v="3"/>
    <n v="39.799999999999997"/>
  </r>
  <r>
    <d v="2025-08-30T03:52:12"/>
    <x v="0"/>
    <s v="Plaquettes d'ébauches rhombiques"/>
    <s v="090225"/>
    <s v="MEYER THOMAS"/>
    <n v="5"/>
    <x v="1"/>
    <x v="3"/>
    <s v="PLAQUETTES"/>
    <x v="3"/>
    <n v="39.799999999999997"/>
  </r>
  <r>
    <d v="2025-08-30T03:52:26"/>
    <x v="3"/>
    <s v="Plaquettes d'ébauches carrées"/>
    <s v="090225"/>
    <s v="MEYER THOMAS"/>
    <n v="5"/>
    <x v="0"/>
    <x v="3"/>
    <s v="PLAQUETTES"/>
    <x v="3"/>
    <n v="39.799999999999997"/>
  </r>
  <r>
    <d v="2025-08-30T03:52:39"/>
    <x v="3"/>
    <s v="Plaquettes d'ébauches carrées"/>
    <s v="090225"/>
    <s v="MEYER THOMAS"/>
    <n v="5"/>
    <x v="1"/>
    <x v="0"/>
    <s v="PLAQUETTES"/>
    <x v="3"/>
    <n v="39.799999999999997"/>
  </r>
  <r>
    <d v="2025-08-30T05:12:19"/>
    <x v="3"/>
    <s v="Plaquettes d'ébauches carrées"/>
    <s v="10301115"/>
    <s v="BOUCHART LUDOVIC"/>
    <n v="5"/>
    <x v="0"/>
    <x v="3"/>
    <s v="PLAQUETTES"/>
    <x v="3"/>
    <n v="39.799999999999997"/>
  </r>
  <r>
    <d v="2025-08-30T05:12:31"/>
    <x v="0"/>
    <s v="Plaquettes d'ébauches rhombiques"/>
    <s v="10301115"/>
    <s v="BOUCHART LUDOVIC"/>
    <n v="5"/>
    <x v="0"/>
    <x v="3"/>
    <s v="PLAQUETTES"/>
    <x v="3"/>
    <n v="39.799999999999997"/>
  </r>
  <r>
    <d v="2025-08-30T05:12:49"/>
    <x v="3"/>
    <s v="Plaquettes d'ébauches carrées"/>
    <s v="10301115"/>
    <s v="BOUCHART LUDOVIC"/>
    <n v="5"/>
    <x v="0"/>
    <x v="0"/>
    <s v="PLAQUETTES"/>
    <x v="3"/>
    <n v="39.799999999999997"/>
  </r>
  <r>
    <d v="2025-08-30T05:13:01"/>
    <x v="0"/>
    <s v="Plaquettes d'ébauches rhombiques"/>
    <s v="10301115"/>
    <s v="BOUCHART LUDOVIC"/>
    <n v="5"/>
    <x v="0"/>
    <x v="0"/>
    <s v="PLAQUETTES"/>
    <x v="3"/>
    <n v="39.799999999999997"/>
  </r>
  <r>
    <d v="2025-08-30T05:13:19"/>
    <x v="5"/>
    <s v="Plaquettes de finition"/>
    <s v="10301115"/>
    <s v="BOUCHART LUDOVIC"/>
    <n v="5"/>
    <x v="0"/>
    <x v="2"/>
    <s v="PLAQUETTES"/>
    <x v="3"/>
    <n v="42.5"/>
  </r>
  <r>
    <d v="2025-08-30T05:13:31"/>
    <x v="6"/>
    <s v="Plaquettes de finition triangulaires"/>
    <s v="10301115"/>
    <s v="BOUCHART LUDOVIC"/>
    <n v="5"/>
    <x v="0"/>
    <x v="2"/>
    <s v="PLAQUETTES"/>
    <x v="3"/>
    <n v="48.7"/>
  </r>
  <r>
    <d v="2025-08-30T05:13:45"/>
    <x v="2"/>
    <s v="Plaquettes de finition carrées"/>
    <s v="10301115"/>
    <s v="BOUCHART LUDOVIC"/>
    <n v="5"/>
    <x v="0"/>
    <x v="2"/>
    <s v="PLAQUETTES"/>
    <x v="3"/>
    <n v="47.8"/>
  </r>
  <r>
    <d v="2025-08-30T05:14:00"/>
    <x v="2"/>
    <s v="Plaquettes de finition carrées"/>
    <s v="10301115"/>
    <s v="BOUCHART LUDOVIC"/>
    <n v="5"/>
    <x v="0"/>
    <x v="2"/>
    <s v="PLAQUETTES"/>
    <x v="3"/>
    <n v="47.8"/>
  </r>
  <r>
    <d v="2025-08-30T05:14:20"/>
    <x v="3"/>
    <s v="Plaquettes d'ébauches carrées"/>
    <s v="10301115"/>
    <s v="BOUCHART LUDOVIC"/>
    <n v="5"/>
    <x v="1"/>
    <x v="3"/>
    <s v="PLAQUETTES"/>
    <x v="3"/>
    <n v="39.799999999999997"/>
  </r>
  <r>
    <d v="2025-08-30T05:14:34"/>
    <x v="0"/>
    <s v="Plaquettes d'ébauches rhombiques"/>
    <s v="10301115"/>
    <s v="BOUCHART LUDOVIC"/>
    <n v="5"/>
    <x v="1"/>
    <x v="3"/>
    <s v="PLAQUETTES"/>
    <x v="3"/>
    <n v="39.799999999999997"/>
  </r>
  <r>
    <d v="2025-08-30T05:14:48"/>
    <x v="3"/>
    <s v="Plaquettes d'ébauches carrées"/>
    <s v="10301115"/>
    <s v="BOUCHART LUDOVIC"/>
    <n v="5"/>
    <x v="1"/>
    <x v="0"/>
    <s v="PLAQUETTES"/>
    <x v="3"/>
    <n v="39.799999999999997"/>
  </r>
  <r>
    <d v="2025-08-30T05:15:01"/>
    <x v="0"/>
    <s v="Plaquettes d'ébauches rhombiques"/>
    <s v="10301115"/>
    <s v="BOUCHART LUDOVIC"/>
    <n v="5"/>
    <x v="1"/>
    <x v="0"/>
    <s v="PLAQUETTES"/>
    <x v="3"/>
    <n v="39.799999999999997"/>
  </r>
  <r>
    <d v="2025-08-30T05:15:18"/>
    <x v="5"/>
    <s v="Plaquettes de finition"/>
    <s v="10301115"/>
    <s v="BOUCHART LUDOVIC"/>
    <n v="5"/>
    <x v="1"/>
    <x v="2"/>
    <s v="PLAQUETTES"/>
    <x v="3"/>
    <n v="42.5"/>
  </r>
  <r>
    <d v="2025-08-30T05:15:33"/>
    <x v="6"/>
    <s v="Plaquettes de finition triangulaires"/>
    <s v="10301115"/>
    <s v="BOUCHART LUDOVIC"/>
    <n v="5"/>
    <x v="1"/>
    <x v="2"/>
    <s v="PLAQUETTES"/>
    <x v="3"/>
    <n v="48.7"/>
  </r>
  <r>
    <d v="2025-08-30T05:15:52"/>
    <x v="2"/>
    <s v="Plaquettes de finition carrées"/>
    <s v="10301115"/>
    <s v="BOUCHART LUDOVIC"/>
    <n v="5"/>
    <x v="1"/>
    <x v="2"/>
    <s v="PLAQUETTES"/>
    <x v="3"/>
    <n v="47.8"/>
  </r>
  <r>
    <d v="2025-08-30T05:16:05"/>
    <x v="2"/>
    <s v="Plaquettes de finition carrées"/>
    <s v="10301115"/>
    <s v="BOUCHART LUDOVIC"/>
    <n v="5"/>
    <x v="1"/>
    <x v="2"/>
    <s v="PLAQUETTES"/>
    <x v="3"/>
    <n v="47.8"/>
  </r>
  <r>
    <d v="2025-08-31T08:46:05"/>
    <x v="3"/>
    <s v="Plaquettes d'ébauches carrées"/>
    <s v="31224"/>
    <s v="BIDOT MURIEL"/>
    <n v="5"/>
    <x v="0"/>
    <x v="3"/>
    <s v="PLAQUETTES"/>
    <x v="3"/>
    <n v="39.799999999999997"/>
  </r>
  <r>
    <d v="2025-08-31T08:46:22"/>
    <x v="3"/>
    <s v="Plaquettes d'ébauches carrées"/>
    <s v="31224"/>
    <s v="BIDOT MURIEL"/>
    <n v="5"/>
    <x v="0"/>
    <x v="3"/>
    <s v="PLAQUETTES"/>
    <x v="3"/>
    <n v="39.799999999999997"/>
  </r>
  <r>
    <d v="2025-08-31T08:46:41"/>
    <x v="2"/>
    <s v="Plaquettes de finition carrées"/>
    <s v="31224"/>
    <s v="BIDOT MURIEL"/>
    <n v="5"/>
    <x v="0"/>
    <x v="2"/>
    <s v="PLAQUETTES"/>
    <x v="3"/>
    <n v="47.8"/>
  </r>
  <r>
    <d v="2025-08-31T08:46:54"/>
    <x v="2"/>
    <s v="Plaquettes de finition carrées"/>
    <s v="31224"/>
    <s v="BIDOT MURIEL"/>
    <n v="5"/>
    <x v="0"/>
    <x v="2"/>
    <s v="PLAQUETTES"/>
    <x v="3"/>
    <n v="47.8"/>
  </r>
  <r>
    <d v="2025-08-31T17:26:15"/>
    <x v="3"/>
    <s v="Plaquettes d'ébauches carrées"/>
    <s v="10301115"/>
    <s v="BOUCHART LUDOVIC"/>
    <n v="5"/>
    <x v="0"/>
    <x v="3"/>
    <s v="PLAQUETTES"/>
    <x v="3"/>
    <n v="39.799999999999997"/>
  </r>
  <r>
    <d v="2025-08-31T17:26:26"/>
    <x v="0"/>
    <s v="Plaquettes d'ébauches rhombiques"/>
    <s v="10301115"/>
    <s v="BOUCHART LUDOVIC"/>
    <n v="5"/>
    <x v="0"/>
    <x v="3"/>
    <s v="PLAQUETTES"/>
    <x v="3"/>
    <n v="39.799999999999997"/>
  </r>
  <r>
    <d v="2025-08-31T17:26:40"/>
    <x v="3"/>
    <s v="Plaquettes d'ébauches carrées"/>
    <s v="10301115"/>
    <s v="BOUCHART LUDOVIC"/>
    <n v="5"/>
    <x v="0"/>
    <x v="0"/>
    <s v="PLAQUETTES"/>
    <x v="3"/>
    <n v="39.799999999999997"/>
  </r>
  <r>
    <d v="2025-08-31T17:26:53"/>
    <x v="0"/>
    <s v="Plaquettes d'ébauches rhombiques"/>
    <s v="10301115"/>
    <s v="BOUCHART LUDOVIC"/>
    <n v="5"/>
    <x v="0"/>
    <x v="0"/>
    <s v="PLAQUETTES"/>
    <x v="3"/>
    <n v="39.799999999999997"/>
  </r>
  <r>
    <d v="2025-08-31T17:27:09"/>
    <x v="2"/>
    <s v="Plaquettes de finition carrées"/>
    <s v="10301115"/>
    <s v="BOUCHART LUDOVIC"/>
    <n v="5"/>
    <x v="0"/>
    <x v="2"/>
    <s v="PLAQUETTES"/>
    <x v="3"/>
    <n v="47.8"/>
  </r>
  <r>
    <d v="2025-08-31T17:27:22"/>
    <x v="2"/>
    <s v="Plaquettes de finition carrées"/>
    <s v="10301115"/>
    <s v="BOUCHART LUDOVIC"/>
    <n v="5"/>
    <x v="0"/>
    <x v="2"/>
    <s v="PLAQUETTES"/>
    <x v="3"/>
    <n v="47.8"/>
  </r>
  <r>
    <d v="2025-08-31T17:27:37"/>
    <x v="3"/>
    <s v="Plaquettes d'ébauches carrées"/>
    <s v="10301115"/>
    <s v="BOUCHART LUDOVIC"/>
    <n v="5"/>
    <x v="1"/>
    <x v="3"/>
    <s v="PLAQUETTES"/>
    <x v="3"/>
    <n v="39.799999999999997"/>
  </r>
  <r>
    <d v="2025-08-31T17:27:53"/>
    <x v="0"/>
    <s v="Plaquettes d'ébauches rhombiques"/>
    <s v="10301115"/>
    <s v="BOUCHART LUDOVIC"/>
    <n v="5"/>
    <x v="1"/>
    <x v="3"/>
    <s v="PLAQUETTES"/>
    <x v="3"/>
    <n v="39.799999999999997"/>
  </r>
  <r>
    <d v="2025-08-31T17:28:06"/>
    <x v="3"/>
    <s v="Plaquettes d'ébauches carrées"/>
    <s v="10301115"/>
    <s v="BOUCHART LUDOVIC"/>
    <n v="5"/>
    <x v="1"/>
    <x v="0"/>
    <s v="PLAQUETTES"/>
    <x v="3"/>
    <n v="39.799999999999997"/>
  </r>
  <r>
    <d v="2025-08-31T17:28:21"/>
    <x v="0"/>
    <s v="Plaquettes d'ébauches rhombiques"/>
    <s v="10301115"/>
    <s v="BOUCHART LUDOVIC"/>
    <n v="5"/>
    <x v="1"/>
    <x v="0"/>
    <s v="PLAQUETTES"/>
    <x v="3"/>
    <n v="39.799999999999997"/>
  </r>
  <r>
    <d v="2025-08-31T17:28:38"/>
    <x v="2"/>
    <s v="Plaquettes de finition carrées"/>
    <s v="10301115"/>
    <s v="BOUCHART LUDOVIC"/>
    <n v="5"/>
    <x v="1"/>
    <x v="2"/>
    <s v="PLAQUETTES"/>
    <x v="3"/>
    <n v="47.8"/>
  </r>
  <r>
    <d v="2025-08-31T17:28:51"/>
    <x v="2"/>
    <s v="Plaquettes de finition carrées"/>
    <s v="10301115"/>
    <s v="BOUCHART LUDOVIC"/>
    <n v="5"/>
    <x v="1"/>
    <x v="2"/>
    <s v="PLAQUETTES"/>
    <x v="3"/>
    <n v="47.8"/>
  </r>
  <r>
    <d v="2025-09-01T14:02:04"/>
    <x v="3"/>
    <s v="Plaquettes d'ébauches carrées"/>
    <s v="31224"/>
    <s v="BIDOT MURIEL"/>
    <n v="5"/>
    <x v="0"/>
    <x v="3"/>
    <s v="PLAQUETTES"/>
    <x v="3"/>
    <n v="39.799999999999997"/>
  </r>
  <r>
    <d v="2025-09-01T14:02:23"/>
    <x v="3"/>
    <s v="Plaquettes d'ébauches carrées"/>
    <s v="31224"/>
    <s v="BIDOT MURIEL"/>
    <n v="5"/>
    <x v="0"/>
    <x v="3"/>
    <s v="PLAQUETTES"/>
    <x v="3"/>
    <n v="39.799999999999997"/>
  </r>
  <r>
    <d v="2025-09-01T14:02:38"/>
    <x v="3"/>
    <s v="Plaquettes d'ébauches carrées"/>
    <s v="31224"/>
    <s v="BIDOT MURIEL"/>
    <n v="5"/>
    <x v="0"/>
    <x v="3"/>
    <s v="PLAQUETTES"/>
    <x v="3"/>
    <n v="39.799999999999997"/>
  </r>
  <r>
    <d v="2025-09-01T14:02:58"/>
    <x v="0"/>
    <s v="Plaquettes d'ébauches rhombiques"/>
    <s v="31224"/>
    <s v="BIDOT MURIEL"/>
    <n v="5"/>
    <x v="0"/>
    <x v="3"/>
    <s v="PLAQUETTES"/>
    <x v="3"/>
    <n v="39.799999999999997"/>
  </r>
  <r>
    <d v="2025-09-01T14:03:14"/>
    <x v="0"/>
    <s v="Plaquettes d'ébauches rhombiques"/>
    <s v="31224"/>
    <s v="BIDOT MURIEL"/>
    <n v="5"/>
    <x v="0"/>
    <x v="3"/>
    <s v="PLAQUETTES"/>
    <x v="3"/>
    <n v="39.799999999999997"/>
  </r>
  <r>
    <d v="2025-09-01T14:03:36"/>
    <x v="2"/>
    <s v="Plaquettes de finition carrées"/>
    <s v="31224"/>
    <s v="BIDOT MURIEL"/>
    <n v="5"/>
    <x v="0"/>
    <x v="2"/>
    <s v="PLAQUETTES"/>
    <x v="3"/>
    <n v="47.8"/>
  </r>
  <r>
    <d v="2025-09-01T14:03:52"/>
    <x v="2"/>
    <s v="Plaquettes de finition carrées"/>
    <s v="31224"/>
    <s v="BIDOT MURIEL"/>
    <n v="5"/>
    <x v="0"/>
    <x v="2"/>
    <s v="PLAQUETTES"/>
    <x v="3"/>
    <n v="47.8"/>
  </r>
  <r>
    <d v="2025-09-01T14:04:06"/>
    <x v="2"/>
    <s v="Plaquettes de finition carrées"/>
    <s v="31224"/>
    <s v="BIDOT MURIEL"/>
    <n v="5"/>
    <x v="0"/>
    <x v="2"/>
    <s v="PLAQUETTES"/>
    <x v="3"/>
    <n v="47.8"/>
  </r>
  <r>
    <d v="2025-09-01T21:12:55"/>
    <x v="3"/>
    <s v="Plaquettes d'ébauches carrées"/>
    <s v="090225"/>
    <s v="MEYER THOMAS"/>
    <n v="5"/>
    <x v="1"/>
    <x v="3"/>
    <s v="PLAQUETTES"/>
    <x v="3"/>
    <n v="39.799999999999997"/>
  </r>
  <r>
    <d v="2025-09-01T21:13:10"/>
    <x v="0"/>
    <s v="Plaquettes d'ébauches rhombiques"/>
    <s v="090225"/>
    <s v="MEYER THOMAS"/>
    <n v="5"/>
    <x v="1"/>
    <x v="3"/>
    <s v="PLAQUETTES"/>
    <x v="3"/>
    <n v="39.799999999999997"/>
  </r>
  <r>
    <d v="2025-09-01T21:13:25"/>
    <x v="3"/>
    <s v="Plaquettes d'ébauches carrées"/>
    <s v="090225"/>
    <s v="MEYER THOMAS"/>
    <n v="5"/>
    <x v="0"/>
    <x v="3"/>
    <s v="PLAQUETTES"/>
    <x v="3"/>
    <n v="39.799999999999997"/>
  </r>
  <r>
    <d v="2025-09-01T21:13:52"/>
    <x v="0"/>
    <s v="Plaquettes d'ébauches rhombiques"/>
    <s v="090225"/>
    <s v="MEYER THOMAS"/>
    <n v="5"/>
    <x v="0"/>
    <x v="3"/>
    <s v="PLAQUETTES"/>
    <x v="3"/>
    <n v="39.799999999999997"/>
  </r>
  <r>
    <d v="2025-09-01T21:14:10"/>
    <x v="3"/>
    <s v="Plaquettes d'ébauches carrées"/>
    <s v="090225"/>
    <s v="MEYER THOMAS"/>
    <n v="5"/>
    <x v="1"/>
    <x v="0"/>
    <s v="PLAQUETTES"/>
    <x v="3"/>
    <n v="39.799999999999997"/>
  </r>
  <r>
    <d v="2025-09-01T21:14:30"/>
    <x v="0"/>
    <s v="Plaquettes d'ébauches rhombiques"/>
    <s v="090225"/>
    <s v="MEYER THOMAS"/>
    <n v="5"/>
    <x v="1"/>
    <x v="0"/>
    <s v="PLAQUETTES"/>
    <x v="3"/>
    <n v="39.799999999999997"/>
  </r>
  <r>
    <d v="2025-09-02T04:18:57"/>
    <x v="3"/>
    <s v="Plaquettes d'ébauches carrées"/>
    <s v="090225"/>
    <s v="MEYER THOMAS"/>
    <n v="5"/>
    <x v="0"/>
    <x v="3"/>
    <s v="PLAQUETTES"/>
    <x v="3"/>
    <n v="39.799999999999997"/>
  </r>
  <r>
    <d v="2025-09-02T04:19:21"/>
    <x v="3"/>
    <s v="Plaquettes d'ébauches carrées"/>
    <s v="090225"/>
    <s v="MEYER THOMAS"/>
    <n v="5"/>
    <x v="1"/>
    <x v="3"/>
    <s v="PLAQUETTES"/>
    <x v="3"/>
    <n v="39.799999999999997"/>
  </r>
  <r>
    <d v="2025-09-02T04:19:34"/>
    <x v="3"/>
    <s v="Plaquettes d'ébauches carrées"/>
    <s v="090225"/>
    <s v="MEYER THOMAS"/>
    <n v="5"/>
    <x v="1"/>
    <x v="0"/>
    <s v="PLAQUETTES"/>
    <x v="3"/>
    <n v="39.799999999999997"/>
  </r>
  <r>
    <d v="2025-09-02T04:19:49"/>
    <x v="3"/>
    <s v="Plaquettes d'ébauches carrées"/>
    <s v="090225"/>
    <s v="MEYER THOMAS"/>
    <n v="5"/>
    <x v="0"/>
    <x v="0"/>
    <s v="PLAQUETTES"/>
    <x v="3"/>
    <n v="39.799999999999997"/>
  </r>
  <r>
    <d v="2025-09-02T06:26:32"/>
    <x v="2"/>
    <s v="Plaquettes de finition carrées"/>
    <s v="SC95213"/>
    <s v="RABET PAULINE"/>
    <n v="5"/>
    <x v="1"/>
    <x v="2"/>
    <s v="PLAQUETTES"/>
    <x v="3"/>
    <n v="47.8"/>
  </r>
  <r>
    <d v="2025-09-02T11:09:46"/>
    <x v="2"/>
    <s v="Plaquettes de finition carrées"/>
    <s v="SC95213"/>
    <s v="RABET PAULINE"/>
    <n v="5"/>
    <x v="1"/>
    <x v="2"/>
    <s v="PLAQUETTES"/>
    <x v="3"/>
    <n v="47.8"/>
  </r>
  <r>
    <d v="2025-09-02T13:20:09"/>
    <x v="5"/>
    <s v="Plaquettes de finition"/>
    <s v="070325"/>
    <s v="PEREIRA KEVIN"/>
    <n v="5"/>
    <x v="1"/>
    <x v="2"/>
    <s v="PLAQUETTES"/>
    <x v="3"/>
    <n v="42.5"/>
  </r>
  <r>
    <d v="2025-09-02T13:20:24"/>
    <x v="6"/>
    <s v="Plaquettes de finition triangulaires"/>
    <s v="070325"/>
    <s v="PEREIRA KEVIN"/>
    <n v="5"/>
    <x v="1"/>
    <x v="2"/>
    <s v="PLAQUETTES"/>
    <x v="3"/>
    <n v="48.7"/>
  </r>
  <r>
    <d v="2025-09-02T13:20:46"/>
    <x v="2"/>
    <s v="Plaquettes de finition carrées"/>
    <s v="070325"/>
    <s v="PEREIRA KEVIN"/>
    <n v="5"/>
    <x v="1"/>
    <x v="2"/>
    <s v="PLAQUETTES"/>
    <x v="3"/>
    <n v="47.8"/>
  </r>
  <r>
    <d v="2025-09-02T13:21:00"/>
    <x v="3"/>
    <s v="Plaquettes d'ébauches carrées"/>
    <s v="070325"/>
    <s v="PEREIRA KEVIN"/>
    <n v="5"/>
    <x v="1"/>
    <x v="3"/>
    <s v="PLAQUETTES"/>
    <x v="3"/>
    <n v="39.799999999999997"/>
  </r>
  <r>
    <d v="2025-09-02T13:21:15"/>
    <x v="0"/>
    <s v="Plaquettes d'ébauches rhombiques"/>
    <s v="070325"/>
    <s v="PEREIRA KEVIN"/>
    <n v="5"/>
    <x v="1"/>
    <x v="3"/>
    <s v="PLAQUETTES"/>
    <x v="3"/>
    <n v="39.799999999999997"/>
  </r>
  <r>
    <d v="2025-09-02T14:34:01"/>
    <x v="3"/>
    <s v="Plaquettes d'ébauches carrées"/>
    <s v="31224"/>
    <s v="BIDOT MURIEL"/>
    <n v="5"/>
    <x v="0"/>
    <x v="3"/>
    <s v="PLAQUETTES"/>
    <x v="0"/>
    <n v="39.799999999999997"/>
  </r>
  <r>
    <d v="2025-09-02T14:34:15"/>
    <x v="3"/>
    <s v="Plaquettes d'ébauches carrées"/>
    <s v="31224"/>
    <s v="BIDOT MURIEL"/>
    <n v="5"/>
    <x v="0"/>
    <x v="3"/>
    <s v="PLAQUETTES"/>
    <x v="0"/>
    <n v="39.799999999999997"/>
  </r>
  <r>
    <d v="2025-09-02T14:34:33"/>
    <x v="4"/>
    <s v="Plaquettes de gorges"/>
    <s v="31224"/>
    <s v="BIDOT MURIEL"/>
    <n v="10"/>
    <x v="0"/>
    <x v="0"/>
    <s v="PLAQUETTES"/>
    <x v="0"/>
    <n v="188"/>
  </r>
  <r>
    <d v="2025-09-02T14:34:58"/>
    <x v="3"/>
    <s v="Plaquettes d'ébauches carrées"/>
    <s v="31224"/>
    <s v="BIDOT MURIEL"/>
    <n v="5"/>
    <x v="0"/>
    <x v="0"/>
    <s v="PLAQUETTES"/>
    <x v="0"/>
    <n v="39.799999999999997"/>
  </r>
  <r>
    <d v="2025-09-02T14:35:19"/>
    <x v="0"/>
    <s v="Plaquettes d'ébauches rhombiques"/>
    <s v="31224"/>
    <s v="BIDOT MURIEL"/>
    <n v="5"/>
    <x v="0"/>
    <x v="0"/>
    <s v="PLAQUETTES"/>
    <x v="0"/>
    <n v="39.799999999999997"/>
  </r>
  <r>
    <d v="2025-09-02T14:35:33"/>
    <x v="0"/>
    <s v="Plaquettes d'ébauches rhombiques"/>
    <s v="31224"/>
    <s v="BIDOT MURIEL"/>
    <n v="5"/>
    <x v="0"/>
    <x v="0"/>
    <s v="PLAQUETTES"/>
    <x v="0"/>
    <n v="39.799999999999997"/>
  </r>
  <r>
    <d v="2025-09-02T14:35:48"/>
    <x v="2"/>
    <s v="Plaquettes de finition carrées"/>
    <s v="31224"/>
    <s v="BIDOT MURIEL"/>
    <n v="5"/>
    <x v="0"/>
    <x v="2"/>
    <s v="PLAQUETTES"/>
    <x v="0"/>
    <n v="47.8"/>
  </r>
  <r>
    <d v="2025-09-02T14:36:01"/>
    <x v="2"/>
    <s v="Plaquettes de finition carrées"/>
    <s v="31224"/>
    <s v="BIDOT MURIEL"/>
    <n v="5"/>
    <x v="0"/>
    <x v="2"/>
    <s v="PLAQUETTES"/>
    <x v="0"/>
    <n v="47.8"/>
  </r>
  <r>
    <d v="2025-09-03T02:34:21"/>
    <x v="2"/>
    <s v="Plaquettes de finition carrées"/>
    <s v="7236310"/>
    <s v="OZYURT IREM"/>
    <n v="5"/>
    <x v="0"/>
    <x v="2"/>
    <s v="PLAQUETTES"/>
    <x v="0"/>
    <n v="47.8"/>
  </r>
  <r>
    <d v="2025-09-03T02:34:37"/>
    <x v="2"/>
    <s v="Plaquettes de finition carrées"/>
    <s v="7236310"/>
    <s v="OZYURT IREM"/>
    <n v="5"/>
    <x v="1"/>
    <x v="2"/>
    <s v="PLAQUETTES"/>
    <x v="3"/>
    <n v="47.8"/>
  </r>
  <r>
    <d v="2025-09-03T03:05:35"/>
    <x v="3"/>
    <s v="Plaquettes d'ébauches carrées"/>
    <s v="090225"/>
    <s v="MEYER THOMAS"/>
    <n v="5"/>
    <x v="0"/>
    <x v="3"/>
    <s v="PLAQUETTES"/>
    <x v="0"/>
    <n v="39.799999999999997"/>
  </r>
  <r>
    <d v="2025-09-03T03:05:50"/>
    <x v="3"/>
    <s v="Plaquettes d'ébauches carrées"/>
    <s v="090225"/>
    <s v="MEYER THOMAS"/>
    <n v="5"/>
    <x v="0"/>
    <x v="0"/>
    <s v="PLAQUETTES"/>
    <x v="0"/>
    <n v="39.799999999999997"/>
  </r>
  <r>
    <d v="2025-09-03T03:06:05"/>
    <x v="3"/>
    <s v="Plaquettes d'ébauches carrées"/>
    <s v="090225"/>
    <s v="MEYER THOMAS"/>
    <n v="5"/>
    <x v="1"/>
    <x v="3"/>
    <s v="PLAQUETTES"/>
    <x v="3"/>
    <n v="39.799999999999997"/>
  </r>
  <r>
    <d v="2025-09-03T03:06:21"/>
    <x v="3"/>
    <s v="Plaquettes d'ébauches carrées"/>
    <s v="090225"/>
    <s v="MEYER THOMAS"/>
    <n v="5"/>
    <x v="1"/>
    <x v="0"/>
    <s v="PLAQUETTES"/>
    <x v="3"/>
    <n v="39.799999999999997"/>
  </r>
  <r>
    <d v="2025-09-03T13:28:49"/>
    <x v="6"/>
    <s v="Plaquettes de finition triangulaires"/>
    <s v="070325"/>
    <s v="PEREIRA KEVIN"/>
    <n v="5"/>
    <x v="1"/>
    <x v="2"/>
    <s v="PLAQUETTES"/>
    <x v="3"/>
    <n v="48.7"/>
  </r>
  <r>
    <d v="2025-09-03T13:29:03"/>
    <x v="2"/>
    <s v="Plaquettes de finition carrées"/>
    <s v="070325"/>
    <s v="PEREIRA KEVIN"/>
    <n v="5"/>
    <x v="1"/>
    <x v="2"/>
    <s v="PLAQUETTES"/>
    <x v="3"/>
    <n v="47.8"/>
  </r>
  <r>
    <d v="2025-09-04T00:05:42"/>
    <x v="3"/>
    <s v="Plaquettes d'ébauches carrées"/>
    <s v="U561365"/>
    <s v="BALLY BENOIT"/>
    <n v="5"/>
    <x v="0"/>
    <x v="3"/>
    <s v="PLAQUETTES"/>
    <x v="3"/>
    <n v="39.799999999999997"/>
  </r>
  <r>
    <d v="2025-09-04T00:06:01"/>
    <x v="0"/>
    <s v="Plaquettes d'ébauches rhombiques"/>
    <s v="U561365"/>
    <s v="BALLY BENOIT"/>
    <n v="5"/>
    <x v="0"/>
    <x v="3"/>
    <s v="PLAQUETTES"/>
    <x v="3"/>
    <n v="39.799999999999997"/>
  </r>
  <r>
    <d v="2025-09-04T00:06:24"/>
    <x v="3"/>
    <s v="Plaquettes d'ébauches carrées"/>
    <s v="U561365"/>
    <s v="BALLY BENOIT"/>
    <n v="5"/>
    <x v="1"/>
    <x v="3"/>
    <s v="PLAQUETTES"/>
    <x v="3"/>
    <n v="39.799999999999997"/>
  </r>
  <r>
    <d v="2025-09-04T00:06:52"/>
    <x v="4"/>
    <s v="Plaquettes de gorges"/>
    <s v="U561365"/>
    <s v="BALLY BENOIT"/>
    <n v="10"/>
    <x v="0"/>
    <x v="0"/>
    <s v="PLAQUETTES"/>
    <x v="0"/>
    <n v="188"/>
  </r>
  <r>
    <d v="2025-09-04T08:41:09"/>
    <x v="2"/>
    <s v="Plaquettes de finition carrées"/>
    <s v="SE08251"/>
    <s v="FAYET AYMERIC"/>
    <n v="5"/>
    <x v="0"/>
    <x v="2"/>
    <s v="PLAQUETTES"/>
    <x v="0"/>
    <n v="47.8"/>
  </r>
  <r>
    <d v="2025-09-04T08:41:34"/>
    <x v="3"/>
    <s v="Plaquettes d'ébauches carrées"/>
    <s v="SE08251"/>
    <s v="FAYET AYMERIC"/>
    <n v="5"/>
    <x v="1"/>
    <x v="3"/>
    <s v="PLAQUETTES"/>
    <x v="3"/>
    <n v="39.799999999999997"/>
  </r>
  <r>
    <d v="2025-09-04T08:41:49"/>
    <x v="0"/>
    <s v="Plaquettes d'ébauches rhombiques"/>
    <s v="SE08251"/>
    <s v="FAYET AYMERIC"/>
    <n v="5"/>
    <x v="1"/>
    <x v="3"/>
    <s v="PLAQUETTES"/>
    <x v="3"/>
    <n v="39.799999999999997"/>
  </r>
  <r>
    <d v="2025-09-04T08:42:13"/>
    <x v="3"/>
    <s v="Plaquettes d'ébauches carrées"/>
    <s v="SE08251"/>
    <s v="FAYET AYMERIC"/>
    <n v="5"/>
    <x v="1"/>
    <x v="0"/>
    <s v="PLAQUETTES"/>
    <x v="3"/>
    <n v="39.799999999999997"/>
  </r>
  <r>
    <d v="2025-09-04T08:42:34"/>
    <x v="0"/>
    <s v="Plaquettes d'ébauches rhombiques"/>
    <s v="SE08251"/>
    <s v="FAYET AYMERIC"/>
    <n v="5"/>
    <x v="1"/>
    <x v="0"/>
    <s v="PLAQUETTES"/>
    <x v="3"/>
    <n v="39.799999999999997"/>
  </r>
  <r>
    <d v="2025-09-04T13:21:05"/>
    <x v="3"/>
    <s v="Plaquettes d'ébauches carrées"/>
    <s v="31224"/>
    <s v="BIDOT MURIEL"/>
    <n v="5"/>
    <x v="0"/>
    <x v="3"/>
    <s v="PLAQUETTES"/>
    <x v="0"/>
    <n v="39.799999999999997"/>
  </r>
  <r>
    <d v="2025-09-04T13:21:24"/>
    <x v="3"/>
    <s v="Plaquettes d'ébauches carrées"/>
    <s v="31224"/>
    <s v="BIDOT MURIEL"/>
    <n v="5"/>
    <x v="0"/>
    <x v="3"/>
    <s v="PLAQUETTES"/>
    <x v="0"/>
    <n v="39.799999999999997"/>
  </r>
  <r>
    <d v="2025-09-04T13:21:49"/>
    <x v="0"/>
    <s v="Plaquettes d'ébauches rhombiques"/>
    <s v="31224"/>
    <s v="BIDOT MURIEL"/>
    <n v="5"/>
    <x v="0"/>
    <x v="0"/>
    <s v="PLAQUETTES"/>
    <x v="0"/>
    <n v="39.799999999999997"/>
  </r>
  <r>
    <d v="2025-09-04T13:22:08"/>
    <x v="0"/>
    <s v="Plaquettes d'ébauches rhombiques"/>
    <s v="31224"/>
    <s v="BIDOT MURIEL"/>
    <n v="5"/>
    <x v="0"/>
    <x v="0"/>
    <s v="PLAQUETTES"/>
    <x v="0"/>
    <n v="39.799999999999997"/>
  </r>
  <r>
    <d v="2025-09-04T13:22:26"/>
    <x v="2"/>
    <s v="Plaquettes de finition carrées"/>
    <s v="31224"/>
    <s v="BIDOT MURIEL"/>
    <n v="5"/>
    <x v="0"/>
    <x v="2"/>
    <s v="PLAQUETTES"/>
    <x v="0"/>
    <n v="47.8"/>
  </r>
  <r>
    <d v="2025-09-04T13:22:43"/>
    <x v="2"/>
    <s v="Plaquettes de finition carrées"/>
    <s v="31224"/>
    <s v="BIDOT MURIEL"/>
    <n v="5"/>
    <x v="0"/>
    <x v="2"/>
    <s v="PLAQUETTES"/>
    <x v="0"/>
    <n v="47.8"/>
  </r>
  <r>
    <d v="2025-09-04T14:59:27"/>
    <x v="2"/>
    <s v="Plaquettes de finition carrées"/>
    <s v="070325"/>
    <s v="PEREIRA KEVIN"/>
    <n v="5"/>
    <x v="1"/>
    <x v="2"/>
    <s v="PLAQUETTES"/>
    <x v="3"/>
    <n v="47.8"/>
  </r>
  <r>
    <d v="2025-09-04T14:59:41"/>
    <x v="2"/>
    <s v="Plaquettes de finition carrées"/>
    <s v="070325"/>
    <s v="PEREIRA KEVIN"/>
    <n v="5"/>
    <x v="1"/>
    <x v="2"/>
    <s v="PLAQUETTES"/>
    <x v="3"/>
    <n v="47.8"/>
  </r>
  <r>
    <d v="2025-09-04T14:59:56"/>
    <x v="6"/>
    <s v="Plaquettes de finition triangulaires"/>
    <s v="070325"/>
    <s v="PEREIRA KEVIN"/>
    <n v="5"/>
    <x v="1"/>
    <x v="2"/>
    <s v="PLAQUETTES"/>
    <x v="3"/>
    <n v="48.7"/>
  </r>
  <r>
    <d v="2025-09-05T05:07:56"/>
    <x v="0"/>
    <s v="Plaquettes d'ébauches rhombiques"/>
    <s v="U080365"/>
    <s v="ALAVOINE SAMUEL"/>
    <n v="5"/>
    <x v="0"/>
    <x v="3"/>
    <s v="PLAQUETTES"/>
    <x v="0"/>
    <n v="39.799999999999997"/>
  </r>
  <r>
    <d v="2025-09-05T05:08:23"/>
    <x v="3"/>
    <s v="Plaquettes d'ébauches carrées"/>
    <s v="U080365"/>
    <s v="ALAVOINE SAMUEL"/>
    <n v="5"/>
    <x v="0"/>
    <x v="3"/>
    <s v="PLAQUETTES"/>
    <x v="0"/>
    <n v="39.799999999999997"/>
  </r>
  <r>
    <d v="2025-09-05T05:08:54"/>
    <x v="0"/>
    <s v="Plaquettes d'ébauches rhombiques"/>
    <s v="U080365"/>
    <s v="ALAVOINE SAMUEL"/>
    <n v="5"/>
    <x v="1"/>
    <x v="3"/>
    <s v="PLAQUETTES"/>
    <x v="3"/>
    <n v="39.799999999999997"/>
  </r>
  <r>
    <d v="2025-09-05T05:09:22"/>
    <x v="3"/>
    <s v="Plaquettes d'ébauches carrées"/>
    <s v="U080365"/>
    <s v="ALAVOINE SAMUEL"/>
    <n v="5"/>
    <x v="1"/>
    <x v="3"/>
    <s v="PLAQUETTES"/>
    <x v="3"/>
    <n v="39.799999999999997"/>
  </r>
  <r>
    <d v="2025-09-05T06:03:14"/>
    <x v="3"/>
    <s v="Plaquettes d'ébauches carrées"/>
    <s v="10301115"/>
    <s v="BOUCHART LUDOVIC"/>
    <n v="5"/>
    <x v="0"/>
    <x v="3"/>
    <s v="PLAQUETTES"/>
    <x v="0"/>
    <n v="39.799999999999997"/>
  </r>
  <r>
    <d v="2025-09-05T06:03:32"/>
    <x v="0"/>
    <s v="Plaquettes d'ébauches rhombiques"/>
    <s v="10301115"/>
    <s v="BOUCHART LUDOVIC"/>
    <n v="5"/>
    <x v="0"/>
    <x v="3"/>
    <s v="PLAQUETTES"/>
    <x v="0"/>
    <n v="39.799999999999997"/>
  </r>
  <r>
    <d v="2025-09-05T06:03:48"/>
    <x v="4"/>
    <s v="Plaquettes de gorges"/>
    <s v="10301115"/>
    <s v="BOUCHART LUDOVIC"/>
    <n v="10"/>
    <x v="0"/>
    <x v="0"/>
    <s v="PLAQUETTES"/>
    <x v="0"/>
    <n v="188"/>
  </r>
  <r>
    <d v="2025-09-05T06:04:01"/>
    <x v="3"/>
    <s v="Plaquettes d'ébauches carrées"/>
    <s v="10301115"/>
    <s v="BOUCHART LUDOVIC"/>
    <n v="5"/>
    <x v="0"/>
    <x v="0"/>
    <s v="PLAQUETTES"/>
    <x v="0"/>
    <n v="39.799999999999997"/>
  </r>
  <r>
    <d v="2025-09-05T06:04:15"/>
    <x v="0"/>
    <s v="Plaquettes d'ébauches rhombiques"/>
    <s v="10301115"/>
    <s v="BOUCHART LUDOVIC"/>
    <n v="5"/>
    <x v="0"/>
    <x v="0"/>
    <s v="PLAQUETTES"/>
    <x v="0"/>
    <n v="39.799999999999997"/>
  </r>
  <r>
    <d v="2025-09-05T06:04:37"/>
    <x v="2"/>
    <s v="Plaquettes de finition carrées"/>
    <s v="10301115"/>
    <s v="BOUCHART LUDOVIC"/>
    <n v="5"/>
    <x v="0"/>
    <x v="2"/>
    <s v="PLAQUETTES"/>
    <x v="0"/>
    <n v="47.8"/>
  </r>
  <r>
    <d v="2025-09-05T06:04:56"/>
    <x v="3"/>
    <s v="Plaquettes d'ébauches carrées"/>
    <s v="10301115"/>
    <s v="BOUCHART LUDOVIC"/>
    <n v="5"/>
    <x v="1"/>
    <x v="3"/>
    <s v="PLAQUETTES"/>
    <x v="3"/>
    <n v="39.799999999999997"/>
  </r>
  <r>
    <d v="2025-09-05T06:05:10"/>
    <x v="0"/>
    <s v="Plaquettes d'ébauches rhombiques"/>
    <s v="10301115"/>
    <s v="BOUCHART LUDOVIC"/>
    <n v="5"/>
    <x v="1"/>
    <x v="3"/>
    <s v="PLAQUETTES"/>
    <x v="3"/>
    <n v="39.799999999999997"/>
  </r>
  <r>
    <d v="2025-09-05T06:05:28"/>
    <x v="3"/>
    <s v="Plaquettes d'ébauches carrées"/>
    <s v="10301115"/>
    <s v="BOUCHART LUDOVIC"/>
    <n v="5"/>
    <x v="1"/>
    <x v="0"/>
    <s v="PLAQUETTES"/>
    <x v="3"/>
    <n v="39.799999999999997"/>
  </r>
  <r>
    <d v="2025-09-05T06:05:41"/>
    <x v="0"/>
    <s v="Plaquettes d'ébauches rhombiques"/>
    <s v="10301115"/>
    <s v="BOUCHART LUDOVIC"/>
    <n v="5"/>
    <x v="1"/>
    <x v="0"/>
    <s v="PLAQUETTES"/>
    <x v="3"/>
    <n v="39.799999999999997"/>
  </r>
  <r>
    <d v="2025-09-05T06:06:00"/>
    <x v="6"/>
    <s v="Plaquettes de finition triangulaires"/>
    <s v="10301115"/>
    <s v="BOUCHART LUDOVIC"/>
    <n v="5"/>
    <x v="1"/>
    <x v="2"/>
    <s v="PLAQUETTES"/>
    <x v="3"/>
    <n v="48.7"/>
  </r>
  <r>
    <d v="2025-09-05T06:06:14"/>
    <x v="2"/>
    <s v="Plaquettes de finition carrées"/>
    <s v="10301115"/>
    <s v="BOUCHART LUDOVIC"/>
    <n v="5"/>
    <x v="1"/>
    <x v="2"/>
    <s v="PLAQUETTES"/>
    <x v="3"/>
    <n v="47.8"/>
  </r>
  <r>
    <d v="2025-09-05T20:15:40"/>
    <x v="2"/>
    <s v="Plaquettes de finition carrées"/>
    <s v="070325"/>
    <s v="PEREIRA KEVIN"/>
    <n v="5"/>
    <x v="1"/>
    <x v="2"/>
    <s v="PLAQUETTES"/>
    <x v="3"/>
    <n v="47.8"/>
  </r>
  <r>
    <d v="2025-09-05T20:15:54"/>
    <x v="2"/>
    <s v="Plaquettes de finition carrées"/>
    <s v="070325"/>
    <s v="PEREIRA KEVIN"/>
    <n v="5"/>
    <x v="1"/>
    <x v="2"/>
    <s v="PLAQUETTES"/>
    <x v="3"/>
    <n v="47.8"/>
  </r>
  <r>
    <d v="2025-09-05T20:16:07"/>
    <x v="2"/>
    <s v="Plaquettes de finition carrées"/>
    <s v="070325"/>
    <s v="PEREIRA KEVIN"/>
    <n v="5"/>
    <x v="0"/>
    <x v="2"/>
    <s v="PLAQUETTES"/>
    <x v="0"/>
    <n v="47.8"/>
  </r>
  <r>
    <d v="2025-09-06T05:09:02"/>
    <x v="3"/>
    <s v="Plaquettes d'ébauches carrées"/>
    <s v="10301115"/>
    <s v="BOUCHART LUDOVIC"/>
    <n v="5"/>
    <x v="0"/>
    <x v="3"/>
    <s v="PLAQUETTES"/>
    <x v="0"/>
    <n v="39.799999999999997"/>
  </r>
  <r>
    <d v="2025-09-06T05:09:12"/>
    <x v="0"/>
    <s v="Plaquettes d'ébauches rhombiques"/>
    <s v="10301115"/>
    <s v="BOUCHART LUDOVIC"/>
    <n v="5"/>
    <x v="0"/>
    <x v="3"/>
    <s v="PLAQUETTES"/>
    <x v="0"/>
    <n v="39.799999999999997"/>
  </r>
  <r>
    <d v="2025-09-06T05:09:27"/>
    <x v="4"/>
    <s v="Plaquettes de gorges"/>
    <s v="10301115"/>
    <s v="BOUCHART LUDOVIC"/>
    <n v="10"/>
    <x v="0"/>
    <x v="0"/>
    <s v="PLAQUETTES"/>
    <x v="0"/>
    <n v="188"/>
  </r>
  <r>
    <d v="2025-09-06T05:09:43"/>
    <x v="3"/>
    <s v="Plaquettes d'ébauches carrées"/>
    <s v="10301115"/>
    <s v="BOUCHART LUDOVIC"/>
    <n v="5"/>
    <x v="0"/>
    <x v="0"/>
    <s v="PLAQUETTES"/>
    <x v="0"/>
    <n v="39.799999999999997"/>
  </r>
  <r>
    <d v="2025-09-06T05:09:56"/>
    <x v="0"/>
    <s v="Plaquettes d'ébauches rhombiques"/>
    <s v="10301115"/>
    <s v="BOUCHART LUDOVIC"/>
    <n v="5"/>
    <x v="0"/>
    <x v="0"/>
    <s v="PLAQUETTES"/>
    <x v="0"/>
    <n v="39.799999999999997"/>
  </r>
  <r>
    <d v="2025-09-06T05:10:13"/>
    <x v="2"/>
    <s v="Plaquettes de finition carrées"/>
    <s v="10301115"/>
    <s v="BOUCHART LUDOVIC"/>
    <n v="5"/>
    <x v="0"/>
    <x v="2"/>
    <s v="PLAQUETTES"/>
    <x v="0"/>
    <n v="47.8"/>
  </r>
  <r>
    <d v="2025-09-06T05:10:31"/>
    <x v="3"/>
    <s v="Plaquettes d'ébauches carrées"/>
    <s v="10301115"/>
    <s v="BOUCHART LUDOVIC"/>
    <n v="5"/>
    <x v="1"/>
    <x v="3"/>
    <s v="PLAQUETTES"/>
    <x v="3"/>
    <n v="39.799999999999997"/>
  </r>
  <r>
    <d v="2025-09-06T05:10:46"/>
    <x v="0"/>
    <s v="Plaquettes d'ébauches rhombiques"/>
    <s v="10301115"/>
    <s v="BOUCHART LUDOVIC"/>
    <n v="5"/>
    <x v="1"/>
    <x v="3"/>
    <s v="PLAQUETTES"/>
    <x v="3"/>
    <n v="39.799999999999997"/>
  </r>
  <r>
    <d v="2025-09-06T05:11:04"/>
    <x v="3"/>
    <s v="Plaquettes d'ébauches carrées"/>
    <s v="10301115"/>
    <s v="BOUCHART LUDOVIC"/>
    <n v="5"/>
    <x v="1"/>
    <x v="0"/>
    <s v="PLAQUETTES"/>
    <x v="3"/>
    <n v="39.799999999999997"/>
  </r>
  <r>
    <d v="2025-09-06T05:11:17"/>
    <x v="0"/>
    <s v="Plaquettes d'ébauches rhombiques"/>
    <s v="10301115"/>
    <s v="BOUCHART LUDOVIC"/>
    <n v="5"/>
    <x v="1"/>
    <x v="0"/>
    <s v="PLAQUETTES"/>
    <x v="3"/>
    <n v="39.799999999999997"/>
  </r>
  <r>
    <d v="2025-09-06T05:11:35"/>
    <x v="5"/>
    <s v="Plaquettes de finition"/>
    <s v="10301115"/>
    <s v="BOUCHART LUDOVIC"/>
    <n v="5"/>
    <x v="1"/>
    <x v="2"/>
    <s v="PLAQUETTES"/>
    <x v="3"/>
    <n v="42.5"/>
  </r>
  <r>
    <d v="2025-09-06T05:11:48"/>
    <x v="6"/>
    <s v="Plaquettes de finition triangulaires"/>
    <s v="10301115"/>
    <s v="BOUCHART LUDOVIC"/>
    <n v="5"/>
    <x v="1"/>
    <x v="2"/>
    <s v="PLAQUETTES"/>
    <x v="3"/>
    <n v="48.7"/>
  </r>
  <r>
    <d v="2025-09-06T05:12:01"/>
    <x v="2"/>
    <s v="Plaquettes de finition carrées"/>
    <s v="10301115"/>
    <s v="BOUCHART LUDOVIC"/>
    <n v="5"/>
    <x v="1"/>
    <x v="2"/>
    <s v="PLAQUETTES"/>
    <x v="3"/>
    <n v="47.8"/>
  </r>
  <r>
    <d v="2025-09-07T19:23:59"/>
    <x v="3"/>
    <s v="Plaquettes d'ébauches carrées"/>
    <s v="10301115"/>
    <s v="BOUCHART LUDOVIC"/>
    <n v="5"/>
    <x v="0"/>
    <x v="3"/>
    <s v="PLAQUETTES"/>
    <x v="0"/>
    <n v="39.799999999999997"/>
  </r>
  <r>
    <d v="2025-09-07T19:24:11"/>
    <x v="0"/>
    <s v="Plaquettes d'ébauches rhombiques"/>
    <s v="10301115"/>
    <s v="BOUCHART LUDOVIC"/>
    <n v="5"/>
    <x v="0"/>
    <x v="3"/>
    <s v="PLAQUETTES"/>
    <x v="0"/>
    <n v="39.799999999999997"/>
  </r>
  <r>
    <d v="2025-09-07T19:24:25"/>
    <x v="4"/>
    <s v="Plaquettes de gorges"/>
    <s v="10301115"/>
    <s v="BOUCHART LUDOVIC"/>
    <n v="10"/>
    <x v="0"/>
    <x v="0"/>
    <s v="PLAQUETTES"/>
    <x v="0"/>
    <n v="188"/>
  </r>
  <r>
    <d v="2025-09-07T19:24:36"/>
    <x v="3"/>
    <s v="Plaquettes d'ébauches carrées"/>
    <s v="10301115"/>
    <s v="BOUCHART LUDOVIC"/>
    <n v="5"/>
    <x v="0"/>
    <x v="0"/>
    <s v="PLAQUETTES"/>
    <x v="0"/>
    <n v="39.799999999999997"/>
  </r>
  <r>
    <d v="2025-09-07T19:24:48"/>
    <x v="0"/>
    <s v="Plaquettes d'ébauches rhombiques"/>
    <s v="10301115"/>
    <s v="BOUCHART LUDOVIC"/>
    <n v="5"/>
    <x v="0"/>
    <x v="0"/>
    <s v="PLAQUETTES"/>
    <x v="0"/>
    <n v="39.799999999999997"/>
  </r>
  <r>
    <d v="2025-09-07T19:25:12"/>
    <x v="2"/>
    <s v="Plaquettes de finition carrées"/>
    <s v="10301115"/>
    <s v="BOUCHART LUDOVIC"/>
    <n v="5"/>
    <x v="0"/>
    <x v="2"/>
    <s v="PLAQUETTES"/>
    <x v="0"/>
    <n v="47.8"/>
  </r>
  <r>
    <d v="2025-09-07T19:25:26"/>
    <x v="2"/>
    <s v="Plaquettes de finition carrées"/>
    <s v="10301115"/>
    <s v="BOUCHART LUDOVIC"/>
    <n v="5"/>
    <x v="0"/>
    <x v="2"/>
    <s v="PLAQUETTES"/>
    <x v="0"/>
    <n v="47.8"/>
  </r>
  <r>
    <d v="2025-09-07T19:25:42"/>
    <x v="3"/>
    <s v="Plaquettes d'ébauches carrées"/>
    <s v="10301115"/>
    <s v="BOUCHART LUDOVIC"/>
    <n v="5"/>
    <x v="1"/>
    <x v="3"/>
    <s v="PLAQUETTES"/>
    <x v="3"/>
    <n v="39.799999999999997"/>
  </r>
  <r>
    <d v="2025-09-07T19:25:54"/>
    <x v="0"/>
    <s v="Plaquettes d'ébauches rhombiques"/>
    <s v="10301115"/>
    <s v="BOUCHART LUDOVIC"/>
    <n v="5"/>
    <x v="1"/>
    <x v="3"/>
    <s v="PLAQUETTES"/>
    <x v="3"/>
    <n v="39.799999999999997"/>
  </r>
  <r>
    <d v="2025-09-07T19:26:09"/>
    <x v="3"/>
    <s v="Plaquettes d'ébauches carrées"/>
    <s v="10301115"/>
    <s v="BOUCHART LUDOVIC"/>
    <n v="5"/>
    <x v="1"/>
    <x v="0"/>
    <s v="PLAQUETTES"/>
    <x v="3"/>
    <n v="39.799999999999997"/>
  </r>
  <r>
    <d v="2025-09-07T19:26:23"/>
    <x v="0"/>
    <s v="Plaquettes d'ébauches rhombiques"/>
    <s v="10301115"/>
    <s v="BOUCHART LUDOVIC"/>
    <n v="5"/>
    <x v="1"/>
    <x v="0"/>
    <s v="PLAQUETTES"/>
    <x v="3"/>
    <n v="39.799999999999997"/>
  </r>
  <r>
    <d v="2025-09-07T19:26:42"/>
    <x v="6"/>
    <s v="Plaquettes de finition triangulaires"/>
    <s v="10301115"/>
    <s v="BOUCHART LUDOVIC"/>
    <n v="5"/>
    <x v="1"/>
    <x v="2"/>
    <s v="PLAQUETTES"/>
    <x v="3"/>
    <n v="48.7"/>
  </r>
  <r>
    <d v="2025-09-07T19:26:54"/>
    <x v="2"/>
    <s v="Plaquettes de finition carrées"/>
    <s v="10301115"/>
    <s v="BOUCHART LUDOVIC"/>
    <n v="5"/>
    <x v="1"/>
    <x v="2"/>
    <s v="PLAQUETTES"/>
    <x v="3"/>
    <n v="47.8"/>
  </r>
  <r>
    <d v="2025-09-07T19:27:07"/>
    <x v="2"/>
    <s v="Plaquettes de finition carrées"/>
    <s v="10301115"/>
    <s v="BOUCHART LUDOVIC"/>
    <n v="5"/>
    <x v="1"/>
    <x v="2"/>
    <s v="PLAQUETTES"/>
    <x v="3"/>
    <n v="47.8"/>
  </r>
  <r>
    <d v="2025-09-08T15:40:46"/>
    <x v="2"/>
    <s v="Plaquettes de finition carrées"/>
    <s v="SE08251"/>
    <s v="FAYET AYMERIC"/>
    <n v="5"/>
    <x v="1"/>
    <x v="2"/>
    <s v="PLAQUETTES"/>
    <x v="3"/>
    <n v="47.8"/>
  </r>
  <r>
    <d v="2025-09-08T15:41:01"/>
    <x v="2"/>
    <s v="Plaquettes de finition carrées"/>
    <s v="SE08251"/>
    <s v="FAYET AYMERIC"/>
    <n v="5"/>
    <x v="0"/>
    <x v="2"/>
    <s v="PLAQUETTES"/>
    <x v="0"/>
    <n v="47.8"/>
  </r>
  <r>
    <d v="2025-09-08T15:41:20"/>
    <x v="3"/>
    <s v="Plaquettes d'ébauches carrées"/>
    <s v="SE08251"/>
    <s v="FAYET AYMERIC"/>
    <n v="5"/>
    <x v="1"/>
    <x v="3"/>
    <s v="PLAQUETTES"/>
    <x v="3"/>
    <n v="39.799999999999997"/>
  </r>
  <r>
    <d v="2025-09-08T21:39:25"/>
    <x v="0"/>
    <s v="Plaquettes d'ébauches rhombiques"/>
    <s v="090225"/>
    <s v="MEYER THOMAS"/>
    <n v="5"/>
    <x v="1"/>
    <x v="3"/>
    <s v="PLAQUETTES"/>
    <x v="3"/>
    <n v="39.799999999999997"/>
  </r>
  <r>
    <d v="2025-09-08T21:39:35"/>
    <x v="3"/>
    <s v="Plaquettes d'ébauches carrées"/>
    <s v="090225"/>
    <s v="MEYER THOMAS"/>
    <n v="5"/>
    <x v="1"/>
    <x v="3"/>
    <s v="PLAQUETTES"/>
    <x v="3"/>
    <n v="39.799999999999997"/>
  </r>
  <r>
    <d v="2025-09-08T22:26:20"/>
    <x v="2"/>
    <s v="Plaquettes de finition carrées"/>
    <s v="7236310"/>
    <s v="OZYURT IREM"/>
    <n v="5"/>
    <x v="1"/>
    <x v="2"/>
    <s v="PLAQUETTES"/>
    <x v="3"/>
    <n v="47.8"/>
  </r>
  <r>
    <d v="2025-09-09T05:23:13"/>
    <x v="2"/>
    <s v="Plaquettes de finition carrées"/>
    <s v="070325"/>
    <s v="PEREIRA KEVIN"/>
    <n v="5"/>
    <x v="1"/>
    <x v="2"/>
    <s v="PLAQUETTES"/>
    <x v="3"/>
    <n v="47.8"/>
  </r>
  <r>
    <d v="2025-09-09T05:23:27"/>
    <x v="5"/>
    <s v="Plaquettes de finition"/>
    <s v="070325"/>
    <s v="PEREIRA KEVIN"/>
    <n v="5"/>
    <x v="0"/>
    <x v="2"/>
    <s v="PLAQUETTES"/>
    <x v="3"/>
    <n v="42.5"/>
  </r>
  <r>
    <d v="2025-09-09T05:23:43"/>
    <x v="0"/>
    <s v="Plaquettes d'ébauches rhombiques"/>
    <s v="070325"/>
    <s v="PEREIRA KEVIN"/>
    <n v="5"/>
    <x v="1"/>
    <x v="3"/>
    <s v="PLAQUETTES"/>
    <x v="3"/>
    <n v="39.799999999999997"/>
  </r>
  <r>
    <d v="2025-09-09T05:23:57"/>
    <x v="3"/>
    <s v="Plaquettes d'ébauches carrées"/>
    <s v="070325"/>
    <s v="PEREIRA KEVIN"/>
    <n v="5"/>
    <x v="1"/>
    <x v="3"/>
    <s v="PLAQUETTES"/>
    <x v="3"/>
    <n v="39.799999999999997"/>
  </r>
  <r>
    <d v="2025-09-09T05:24:11"/>
    <x v="3"/>
    <s v="Plaquettes d'ébauches carrées"/>
    <s v="070325"/>
    <s v="PEREIRA KEVIN"/>
    <n v="5"/>
    <x v="1"/>
    <x v="0"/>
    <s v="PLAQUETTES"/>
    <x v="3"/>
    <n v="39.799999999999997"/>
  </r>
  <r>
    <d v="2025-09-09T05:24:30"/>
    <x v="2"/>
    <s v="Plaquettes de finition carrées"/>
    <s v="070325"/>
    <s v="PEREIRA KEVIN"/>
    <n v="5"/>
    <x v="0"/>
    <x v="2"/>
    <s v="PLAQUETTES"/>
    <x v="0"/>
    <n v="47.8"/>
  </r>
  <r>
    <d v="2025-09-09T09:26:10"/>
    <x v="3"/>
    <s v="Plaquettes d'ébauches carrées"/>
    <s v="31224"/>
    <s v="BIDOT MURIEL"/>
    <n v="5"/>
    <x v="0"/>
    <x v="3"/>
    <s v="PLAQUETTES"/>
    <x v="0"/>
    <n v="39.799999999999997"/>
  </r>
  <r>
    <d v="2025-09-09T09:26:26"/>
    <x v="3"/>
    <s v="Plaquettes d'ébauches carrées"/>
    <s v="31224"/>
    <s v="BIDOT MURIEL"/>
    <n v="5"/>
    <x v="0"/>
    <x v="3"/>
    <s v="PLAQUETTES"/>
    <x v="0"/>
    <n v="39.799999999999997"/>
  </r>
  <r>
    <d v="2025-09-09T14:03:48"/>
    <x v="0"/>
    <s v="Plaquettes d'ébauches rhombiques"/>
    <s v="SC95213"/>
    <s v="RABET PAULINE"/>
    <n v="5"/>
    <x v="1"/>
    <x v="2"/>
    <s v="PLAQUETTES"/>
    <x v="2"/>
    <n v="39.799999999999997"/>
  </r>
  <r>
    <d v="2025-09-09T14:04:05"/>
    <x v="2"/>
    <s v="Plaquettes de finition carrées"/>
    <s v="SC95213"/>
    <s v="RABET PAULINE"/>
    <n v="5"/>
    <x v="1"/>
    <x v="2"/>
    <s v="PLAQUETTES"/>
    <x v="3"/>
    <n v="47.8"/>
  </r>
  <r>
    <d v="2025-09-09T23:43:13"/>
    <x v="2"/>
    <s v="Plaquettes de finition carrées"/>
    <s v="7236310"/>
    <s v="OZYURT IREM"/>
    <n v="5"/>
    <x v="1"/>
    <x v="2"/>
    <s v="PLAQUETTES"/>
    <x v="3"/>
    <n v="47.8"/>
  </r>
  <r>
    <d v="2025-09-10T01:45:56"/>
    <x v="3"/>
    <s v="Plaquettes d'ébauches carrées"/>
    <s v="090225"/>
    <s v="MEYER THOMAS"/>
    <n v="5"/>
    <x v="1"/>
    <x v="3"/>
    <s v="PLAQUETTES"/>
    <x v="3"/>
    <n v="39.799999999999997"/>
  </r>
  <r>
    <d v="2025-09-10T01:46:11"/>
    <x v="3"/>
    <s v="Plaquettes d'ébauches carrées"/>
    <s v="090225"/>
    <s v="MEYER THOMAS"/>
    <n v="5"/>
    <x v="1"/>
    <x v="0"/>
    <s v="PLAQUETTES"/>
    <x v="3"/>
    <n v="39.799999999999997"/>
  </r>
  <r>
    <d v="2025-09-10T01:46:24"/>
    <x v="3"/>
    <s v="Plaquettes d'ébauches carrées"/>
    <s v="090225"/>
    <s v="MEYER THOMAS"/>
    <n v="5"/>
    <x v="1"/>
    <x v="3"/>
    <s v="PLAQUETTES"/>
    <x v="3"/>
    <n v="39.799999999999997"/>
  </r>
  <r>
    <d v="2025-09-10T01:46:39"/>
    <x v="3"/>
    <s v="Plaquettes d'ébauches carrées"/>
    <s v="090225"/>
    <s v="MEYER THOMAS"/>
    <n v="5"/>
    <x v="1"/>
    <x v="0"/>
    <s v="PLAQUETTES"/>
    <x v="3"/>
    <n v="39.799999999999997"/>
  </r>
  <r>
    <d v="2025-09-10T02:38:06"/>
    <x v="2"/>
    <s v="Plaquettes de finition carrées"/>
    <s v="7236310"/>
    <s v="OZYURT IREM"/>
    <n v="5"/>
    <x v="0"/>
    <x v="2"/>
    <s v="PLAQUETTES"/>
    <x v="0"/>
    <n v="47.8"/>
  </r>
  <r>
    <d v="2025-09-10T05:35:41"/>
    <x v="2"/>
    <s v="Plaquettes de finition carrées"/>
    <s v="070325"/>
    <s v="PEREIRA KEVIN"/>
    <n v="5"/>
    <x v="1"/>
    <x v="2"/>
    <s v="PLAQUETTES"/>
    <x v="3"/>
    <n v="47.8"/>
  </r>
  <r>
    <d v="2025-09-10T05:35:53"/>
    <x v="2"/>
    <s v="Plaquettes de finition carrées"/>
    <s v="070325"/>
    <s v="PEREIRA KEVIN"/>
    <n v="5"/>
    <x v="1"/>
    <x v="2"/>
    <s v="PLAQUETTES"/>
    <x v="3"/>
    <n v="47.8"/>
  </r>
  <r>
    <d v="2025-09-10T05:48:36"/>
    <x v="4"/>
    <s v="Plaquettes de gorges"/>
    <s v="31224"/>
    <s v="BIDOT MURIEL"/>
    <n v="10"/>
    <x v="0"/>
    <x v="0"/>
    <s v="PLAQUETTES"/>
    <x v="0"/>
    <n v="188"/>
  </r>
  <r>
    <d v="2025-09-10T06:16:45"/>
    <x v="3"/>
    <s v="Plaquettes d'ébauches carrées"/>
    <s v="31224"/>
    <s v="BIDOT MURIEL"/>
    <n v="5"/>
    <x v="0"/>
    <x v="3"/>
    <s v="PLAQUETTES"/>
    <x v="0"/>
    <n v="39.799999999999997"/>
  </r>
  <r>
    <d v="2025-09-10T06:17:00"/>
    <x v="3"/>
    <s v="Plaquettes d'ébauches carrées"/>
    <s v="31224"/>
    <s v="BIDOT MURIEL"/>
    <n v="5"/>
    <x v="0"/>
    <x v="3"/>
    <s v="PLAQUETTES"/>
    <x v="0"/>
    <n v="39.799999999999997"/>
  </r>
  <r>
    <d v="2025-09-10T06:17:12"/>
    <x v="3"/>
    <s v="Plaquettes d'ébauches carrées"/>
    <s v="31224"/>
    <s v="BIDOT MURIEL"/>
    <n v="5"/>
    <x v="0"/>
    <x v="3"/>
    <s v="PLAQUETTES"/>
    <x v="0"/>
    <n v="39.799999999999997"/>
  </r>
  <r>
    <d v="2025-09-10T06:17:26"/>
    <x v="0"/>
    <s v="Plaquettes d'ébauches rhombiques"/>
    <s v="31224"/>
    <s v="BIDOT MURIEL"/>
    <n v="5"/>
    <x v="0"/>
    <x v="0"/>
    <s v="PLAQUETTES"/>
    <x v="0"/>
    <n v="39.799999999999997"/>
  </r>
  <r>
    <d v="2025-09-10T06:17:39"/>
    <x v="0"/>
    <s v="Plaquettes d'ébauches rhombiques"/>
    <s v="31224"/>
    <s v="BIDOT MURIEL"/>
    <n v="5"/>
    <x v="0"/>
    <x v="0"/>
    <s v="PLAQUETTES"/>
    <x v="0"/>
    <n v="39.799999999999997"/>
  </r>
  <r>
    <d v="2025-09-10T06:17:53"/>
    <x v="0"/>
    <s v="Plaquettes d'ébauches rhombiques"/>
    <s v="31224"/>
    <s v="BIDOT MURIEL"/>
    <n v="5"/>
    <x v="0"/>
    <x v="0"/>
    <s v="PLAQUETTES"/>
    <x v="0"/>
    <n v="39.799999999999997"/>
  </r>
  <r>
    <d v="2025-09-10T06:18:13"/>
    <x v="2"/>
    <s v="Plaquettes de finition carrées"/>
    <s v="31224"/>
    <s v="BIDOT MURIEL"/>
    <n v="5"/>
    <x v="0"/>
    <x v="2"/>
    <s v="PLAQUETTES"/>
    <x v="0"/>
    <n v="47.8"/>
  </r>
  <r>
    <d v="2025-09-10T06:18:31"/>
    <x v="2"/>
    <s v="Plaquettes de finition carrées"/>
    <s v="31224"/>
    <s v="BIDOT MURIEL"/>
    <n v="5"/>
    <x v="0"/>
    <x v="2"/>
    <s v="PLAQUETTES"/>
    <x v="0"/>
    <n v="47.8"/>
  </r>
  <r>
    <d v="2025-09-10T13:53:03"/>
    <x v="0"/>
    <s v="Plaquettes d'ébauches rhombiques"/>
    <s v="SE08251"/>
    <s v="FAYET AYMERIC"/>
    <n v="5"/>
    <x v="0"/>
    <x v="3"/>
    <s v="PLAQUETTES"/>
    <x v="0"/>
    <n v="39.799999999999997"/>
  </r>
  <r>
    <d v="2025-09-10T13:53:24"/>
    <x v="0"/>
    <s v="Plaquettes d'ébauches rhombiques"/>
    <s v="SE08251"/>
    <s v="FAYET AYMERIC"/>
    <n v="5"/>
    <x v="1"/>
    <x v="3"/>
    <s v="PLAQUETTES"/>
    <x v="3"/>
    <n v="39.799999999999997"/>
  </r>
  <r>
    <d v="2025-09-10T16:52:14"/>
    <x v="3"/>
    <s v="Plaquettes d'ébauches carrées"/>
    <s v="SE08251"/>
    <s v="FAYET AYMERIC"/>
    <n v="5"/>
    <x v="1"/>
    <x v="3"/>
    <s v="PLAQUETTES"/>
    <x v="3"/>
    <n v="39.799999999999997"/>
  </r>
  <r>
    <d v="2025-09-11T01:08:00"/>
    <x v="2"/>
    <s v="Plaquettes de finition carrées"/>
    <s v="7236310"/>
    <s v="OZYURT IREM"/>
    <n v="5"/>
    <x v="0"/>
    <x v="2"/>
    <s v="PLAQUETTES"/>
    <x v="0"/>
    <n v="47.8"/>
  </r>
  <r>
    <d v="2025-09-11T01:08:49"/>
    <x v="2"/>
    <s v="Plaquettes de finition carrées"/>
    <s v="7236310"/>
    <s v="OZYURT IREM"/>
    <n v="5"/>
    <x v="1"/>
    <x v="2"/>
    <s v="PLAQUETTES"/>
    <x v="3"/>
    <n v="47.8"/>
  </r>
  <r>
    <d v="2025-09-11T04:08:38"/>
    <x v="3"/>
    <s v="Plaquettes d'ébauches carrées"/>
    <s v="U561365"/>
    <s v="BALLY BENOIT"/>
    <n v="5"/>
    <x v="0"/>
    <x v="3"/>
    <s v="PLAQUETTES"/>
    <x v="0"/>
    <n v="39.799999999999997"/>
  </r>
  <r>
    <d v="2025-09-11T04:08:50"/>
    <x v="3"/>
    <s v="Plaquettes d'ébauches carrées"/>
    <s v="U561365"/>
    <s v="BALLY BENOIT"/>
    <n v="5"/>
    <x v="0"/>
    <x v="0"/>
    <s v="PLAQUETTES"/>
    <x v="0"/>
    <n v="39.799999999999997"/>
  </r>
  <r>
    <d v="2025-09-11T04:09:02"/>
    <x v="3"/>
    <s v="Plaquettes d'ébauches carrées"/>
    <s v="U561365"/>
    <s v="BALLY BENOIT"/>
    <n v="5"/>
    <x v="1"/>
    <x v="3"/>
    <s v="PLAQUETTES"/>
    <x v="3"/>
    <n v="39.799999999999997"/>
  </r>
  <r>
    <d v="2025-09-11T04:09:18"/>
    <x v="3"/>
    <s v="Plaquettes d'ébauches carrées"/>
    <s v="U561365"/>
    <s v="BALLY BENOIT"/>
    <n v="5"/>
    <x v="1"/>
    <x v="0"/>
    <s v="PLAQUETTES"/>
    <x v="3"/>
    <n v="39.799999999999997"/>
  </r>
  <r>
    <d v="2025-09-11T04:09:31"/>
    <x v="0"/>
    <s v="Plaquettes d'ébauches rhombiques"/>
    <s v="U561365"/>
    <s v="BALLY BENOIT"/>
    <n v="5"/>
    <x v="1"/>
    <x v="3"/>
    <s v="PLAQUETTES"/>
    <x v="3"/>
    <n v="39.799999999999997"/>
  </r>
  <r>
    <d v="2025-09-11T04:09:45"/>
    <x v="0"/>
    <s v="Plaquettes d'ébauches rhombiques"/>
    <s v="U561365"/>
    <s v="BALLY BENOIT"/>
    <n v="5"/>
    <x v="1"/>
    <x v="0"/>
    <s v="PLAQUETTES"/>
    <x v="3"/>
    <n v="39.799999999999997"/>
  </r>
  <r>
    <d v="2025-09-11T05:19:35"/>
    <x v="4"/>
    <s v="Plaquettes de gorges"/>
    <s v="31224"/>
    <s v="BIDOT MURIEL"/>
    <n v="10"/>
    <x v="0"/>
    <x v="0"/>
    <s v="PLAQUETTES"/>
    <x v="0"/>
    <n v="188"/>
  </r>
  <r>
    <d v="2025-09-11T13:24:21"/>
    <x v="2"/>
    <s v="Plaquettes de finition carrées"/>
    <s v="SE08251"/>
    <s v="FAYET AYMERIC"/>
    <n v="5"/>
    <x v="1"/>
    <x v="2"/>
    <s v="PLAQUETTES"/>
    <x v="3"/>
    <n v="47.8"/>
  </r>
  <r>
    <d v="2025-09-11T13:24:38"/>
    <x v="2"/>
    <s v="Plaquettes de finition carrées"/>
    <s v="SE08251"/>
    <s v="FAYET AYMERIC"/>
    <n v="5"/>
    <x v="0"/>
    <x v="2"/>
    <s v="PLAQUETTES"/>
    <x v="3"/>
    <n v="47.8"/>
  </r>
  <r>
    <d v="2025-09-11T13:24:57"/>
    <x v="6"/>
    <s v="Plaquettes de finition triangulaires"/>
    <s v="SE08251"/>
    <s v="FAYET AYMERIC"/>
    <n v="5"/>
    <x v="1"/>
    <x v="2"/>
    <s v="PLAQUETTES"/>
    <x v="3"/>
    <n v="48.7"/>
  </r>
  <r>
    <d v="2025-09-11T13:25:24"/>
    <x v="3"/>
    <s v="Plaquettes d'ébauches carrées"/>
    <s v="SE08251"/>
    <s v="FAYET AYMERIC"/>
    <n v="5"/>
    <x v="1"/>
    <x v="3"/>
    <s v="PLAQUETTES"/>
    <x v="3"/>
    <n v="39.799999999999997"/>
  </r>
  <r>
    <d v="2025-09-11T13:25:45"/>
    <x v="3"/>
    <s v="Plaquettes d'ébauches carrées"/>
    <s v="SE08251"/>
    <s v="FAYET AYMERIC"/>
    <n v="5"/>
    <x v="1"/>
    <x v="3"/>
    <s v="PLAQUETTES"/>
    <x v="3"/>
    <n v="39.799999999999997"/>
  </r>
  <r>
    <d v="2025-09-11T13:26:02"/>
    <x v="0"/>
    <s v="Plaquettes d'ébauches rhombiques"/>
    <s v="SE08251"/>
    <s v="FAYET AYMERIC"/>
    <n v="5"/>
    <x v="0"/>
    <x v="3"/>
    <s v="PLAQUETTES"/>
    <x v="0"/>
    <n v="39.799999999999997"/>
  </r>
  <r>
    <d v="2025-09-11T13:26:16"/>
    <x v="4"/>
    <s v="Plaquettes de gorges"/>
    <s v="SE08251"/>
    <s v="FAYET AYMERIC"/>
    <n v="10"/>
    <x v="0"/>
    <x v="0"/>
    <s v="PLAQUETTES"/>
    <x v="0"/>
    <n v="188"/>
  </r>
  <r>
    <d v="2025-09-11T23:06:39"/>
    <x v="2"/>
    <s v="Plaquettes de finition carrées"/>
    <s v="7236310"/>
    <s v="OZYURT IREM"/>
    <n v="5"/>
    <x v="0"/>
    <x v="2"/>
    <s v="PLAQUETTES"/>
    <x v="0"/>
    <n v="47.8"/>
  </r>
  <r>
    <d v="2025-09-11T23:07:02"/>
    <x v="2"/>
    <s v="Plaquettes de finition carrées"/>
    <s v="7236310"/>
    <s v="OZYURT IREM"/>
    <n v="5"/>
    <x v="1"/>
    <x v="2"/>
    <s v="PLAQUETTES"/>
    <x v="3"/>
    <n v="47.8"/>
  </r>
  <r>
    <d v="2025-09-12T00:22:25"/>
    <x v="3"/>
    <s v="Plaquettes d'ébauches carrées"/>
    <s v="090225"/>
    <s v="MEYER THOMAS"/>
    <n v="5"/>
    <x v="1"/>
    <x v="3"/>
    <s v="PLAQUETTES"/>
    <x v="3"/>
    <n v="39.799999999999997"/>
  </r>
  <r>
    <d v="2025-09-12T00:22:39"/>
    <x v="0"/>
    <s v="Plaquettes d'ébauches rhombiques"/>
    <s v="090225"/>
    <s v="MEYER THOMAS"/>
    <n v="5"/>
    <x v="1"/>
    <x v="3"/>
    <s v="PLAQUETTES"/>
    <x v="3"/>
    <n v="39.799999999999997"/>
  </r>
  <r>
    <d v="2025-09-12T00:22:56"/>
    <x v="3"/>
    <s v="Plaquettes d'ébauches carrées"/>
    <s v="090225"/>
    <s v="MEYER THOMAS"/>
    <n v="5"/>
    <x v="1"/>
    <x v="0"/>
    <s v="PLAQUETTES"/>
    <x v="3"/>
    <n v="39.799999999999997"/>
  </r>
  <r>
    <d v="2025-09-12T00:23:12"/>
    <x v="0"/>
    <s v="Plaquettes d'ébauches rhombiques"/>
    <s v="090225"/>
    <s v="MEYER THOMAS"/>
    <n v="5"/>
    <x v="1"/>
    <x v="0"/>
    <s v="PLAQUETTES"/>
    <x v="3"/>
    <n v="39.799999999999997"/>
  </r>
  <r>
    <d v="2025-09-12T00:23:27"/>
    <x v="3"/>
    <s v="Plaquettes d'ébauches carrées"/>
    <s v="090225"/>
    <s v="MEYER THOMAS"/>
    <n v="5"/>
    <x v="0"/>
    <x v="3"/>
    <s v="PLAQUETTES"/>
    <x v="0"/>
    <n v="39.799999999999997"/>
  </r>
  <r>
    <d v="2025-09-12T00:23:43"/>
    <x v="0"/>
    <s v="Plaquettes d'ébauches rhombiques"/>
    <s v="090225"/>
    <s v="MEYER THOMAS"/>
    <n v="5"/>
    <x v="0"/>
    <x v="3"/>
    <s v="PLAQUETTES"/>
    <x v="0"/>
    <n v="39.799999999999997"/>
  </r>
  <r>
    <d v="2025-09-12T00:24:03"/>
    <x v="3"/>
    <s v="Plaquettes d'ébauches carrées"/>
    <s v="090225"/>
    <s v="MEYER THOMAS"/>
    <n v="5"/>
    <x v="0"/>
    <x v="0"/>
    <s v="PLAQUETTES"/>
    <x v="0"/>
    <n v="39.799999999999997"/>
  </r>
  <r>
    <d v="2025-09-12T00:24:17"/>
    <x v="0"/>
    <s v="Plaquettes d'ébauches rhombiques"/>
    <s v="090225"/>
    <s v="MEYER THOMAS"/>
    <n v="5"/>
    <x v="0"/>
    <x v="0"/>
    <s v="PLAQUETTES"/>
    <x v="0"/>
    <n v="39.799999999999997"/>
  </r>
  <r>
    <d v="2025-09-12T05:08:59"/>
    <x v="0"/>
    <s v="Plaquettes d'ébauches rhombiques"/>
    <s v="10301115"/>
    <s v="BOUCHART LUDOVIC"/>
    <n v="5"/>
    <x v="0"/>
    <x v="3"/>
    <s v="PLAQUETTES"/>
    <x v="4"/>
    <n v="39.799999999999997"/>
  </r>
  <r>
    <d v="2025-09-12T05:09:14"/>
    <x v="0"/>
    <s v="Plaquettes d'ébauches rhombiques"/>
    <s v="10301115"/>
    <s v="BOUCHART LUDOVIC"/>
    <n v="5"/>
    <x v="0"/>
    <x v="3"/>
    <s v="PLAQUETTES"/>
    <x v="0"/>
    <n v="39.799999999999997"/>
  </r>
  <r>
    <d v="2025-09-12T05:09:27"/>
    <x v="4"/>
    <s v="Plaquettes de gorges"/>
    <s v="10301115"/>
    <s v="BOUCHART LUDOVIC"/>
    <n v="10"/>
    <x v="0"/>
    <x v="0"/>
    <s v="PLAQUETTES"/>
    <x v="0"/>
    <n v="188"/>
  </r>
  <r>
    <d v="2025-09-12T05:09:40"/>
    <x v="3"/>
    <s v="Plaquettes d'ébauches carrées"/>
    <s v="10301115"/>
    <s v="BOUCHART LUDOVIC"/>
    <n v="5"/>
    <x v="0"/>
    <x v="0"/>
    <s v="PLAQUETTES"/>
    <x v="0"/>
    <n v="39.799999999999997"/>
  </r>
  <r>
    <d v="2025-09-12T05:09:53"/>
    <x v="0"/>
    <s v="Plaquettes d'ébauches rhombiques"/>
    <s v="10301115"/>
    <s v="BOUCHART LUDOVIC"/>
    <n v="5"/>
    <x v="0"/>
    <x v="0"/>
    <s v="PLAQUETTES"/>
    <x v="0"/>
    <n v="39.799999999999997"/>
  </r>
  <r>
    <d v="2025-09-12T05:10:13"/>
    <x v="2"/>
    <s v="Plaquettes de finition carrées"/>
    <s v="10301115"/>
    <s v="BOUCHART LUDOVIC"/>
    <n v="5"/>
    <x v="0"/>
    <x v="2"/>
    <s v="PLAQUETTES"/>
    <x v="0"/>
    <n v="47.8"/>
  </r>
  <r>
    <d v="2025-09-12T05:10:27"/>
    <x v="3"/>
    <s v="Plaquettes d'ébauches carrées"/>
    <s v="10301115"/>
    <s v="BOUCHART LUDOVIC"/>
    <n v="5"/>
    <x v="1"/>
    <x v="3"/>
    <s v="PLAQUETTES"/>
    <x v="3"/>
    <n v="39.799999999999997"/>
  </r>
  <r>
    <d v="2025-09-12T05:10:42"/>
    <x v="0"/>
    <s v="Plaquettes d'ébauches rhombiques"/>
    <s v="10301115"/>
    <s v="BOUCHART LUDOVIC"/>
    <n v="5"/>
    <x v="0"/>
    <x v="3"/>
    <s v="PLAQUETTES"/>
    <x v="3"/>
    <n v="39.799999999999997"/>
  </r>
  <r>
    <d v="2025-09-12T05:10:59"/>
    <x v="3"/>
    <s v="Plaquettes d'ébauches carrées"/>
    <s v="10301115"/>
    <s v="BOUCHART LUDOVIC"/>
    <n v="5"/>
    <x v="1"/>
    <x v="0"/>
    <s v="PLAQUETTES"/>
    <x v="3"/>
    <n v="39.799999999999997"/>
  </r>
  <r>
    <d v="2025-09-12T05:11:13"/>
    <x v="0"/>
    <s v="Plaquettes d'ébauches rhombiques"/>
    <s v="10301115"/>
    <s v="BOUCHART LUDOVIC"/>
    <n v="5"/>
    <x v="1"/>
    <x v="0"/>
    <s v="PLAQUETTES"/>
    <x v="3"/>
    <n v="39.799999999999997"/>
  </r>
  <r>
    <d v="2025-09-12T05:11:30"/>
    <x v="5"/>
    <s v="Plaquettes de finition"/>
    <s v="10301115"/>
    <s v="BOUCHART LUDOVIC"/>
    <n v="5"/>
    <x v="1"/>
    <x v="2"/>
    <s v="PLAQUETTES"/>
    <x v="3"/>
    <n v="42.5"/>
  </r>
  <r>
    <d v="2025-09-12T05:11:44"/>
    <x v="6"/>
    <s v="Plaquettes de finition triangulaires"/>
    <s v="10301115"/>
    <s v="BOUCHART LUDOVIC"/>
    <n v="5"/>
    <x v="1"/>
    <x v="2"/>
    <s v="PLAQUETTES"/>
    <x v="3"/>
    <n v="48.7"/>
  </r>
  <r>
    <d v="2025-09-12T05:11:58"/>
    <x v="2"/>
    <s v="Plaquettes de finition carrées"/>
    <s v="10301115"/>
    <s v="BOUCHART LUDOVIC"/>
    <n v="5"/>
    <x v="1"/>
    <x v="2"/>
    <s v="PLAQUETTES"/>
    <x v="3"/>
    <n v="47.8"/>
  </r>
  <r>
    <d v="2025-09-12T05:12:14"/>
    <x v="2"/>
    <s v="Plaquettes de finition carrées"/>
    <s v="10301115"/>
    <s v="BOUCHART LUDOVIC"/>
    <n v="5"/>
    <x v="1"/>
    <x v="2"/>
    <s v="PLAQUETTES"/>
    <x v="3"/>
    <n v="47.8"/>
  </r>
  <r>
    <d v="2025-09-12T15:59:03"/>
    <x v="2"/>
    <s v="Plaquettes de finition carrées"/>
    <s v="SE08251"/>
    <s v="FAYET AYMERIC"/>
    <n v="5"/>
    <x v="1"/>
    <x v="2"/>
    <s v="PLAQUETTES"/>
    <x v="3"/>
    <n v="47.8"/>
  </r>
  <r>
    <d v="2025-09-12T15:59:24"/>
    <x v="6"/>
    <s v="Plaquettes de finition triangulaires"/>
    <s v="SE08251"/>
    <s v="FAYET AYMERIC"/>
    <n v="5"/>
    <x v="1"/>
    <x v="2"/>
    <s v="PLAQUETTES"/>
    <x v="3"/>
    <n v="48.7"/>
  </r>
  <r>
    <d v="2025-09-13T03:24:58"/>
    <x v="3"/>
    <s v="Plaquettes d'ébauches carrées"/>
    <s v="090225"/>
    <s v="MEYER THOMAS"/>
    <n v="5"/>
    <x v="1"/>
    <x v="3"/>
    <s v="PLAQUETTES"/>
    <x v="3"/>
    <n v="39.799999999999997"/>
  </r>
  <r>
    <d v="2025-09-13T03:25:25"/>
    <x v="0"/>
    <s v="Plaquettes d'ébauches rhombiques"/>
    <s v="090225"/>
    <s v="MEYER THOMAS"/>
    <n v="5"/>
    <x v="1"/>
    <x v="3"/>
    <s v="PLAQUETTES"/>
    <x v="3"/>
    <n v="39.799999999999997"/>
  </r>
  <r>
    <d v="2025-09-13T03:25:41"/>
    <x v="3"/>
    <s v="Plaquettes d'ébauches carrées"/>
    <s v="090225"/>
    <s v="MEYER THOMAS"/>
    <n v="5"/>
    <x v="1"/>
    <x v="0"/>
    <s v="PLAQUETTES"/>
    <x v="3"/>
    <n v="39.799999999999997"/>
  </r>
  <r>
    <d v="2025-09-13T03:25:56"/>
    <x v="0"/>
    <s v="Plaquettes d'ébauches rhombiques"/>
    <s v="090225"/>
    <s v="MEYER THOMAS"/>
    <n v="5"/>
    <x v="1"/>
    <x v="0"/>
    <s v="PLAQUETTES"/>
    <x v="3"/>
    <n v="39.799999999999997"/>
  </r>
  <r>
    <d v="2025-09-13T04:48:01"/>
    <x v="2"/>
    <s v="Plaquettes de finition carrées"/>
    <s v="7236310"/>
    <s v="OZYURT IREM"/>
    <n v="5"/>
    <x v="0"/>
    <x v="2"/>
    <s v="PLAQUETTES"/>
    <x v="0"/>
    <n v="47.8"/>
  </r>
  <r>
    <d v="2025-09-13T05:13:38"/>
    <x v="3"/>
    <s v="Plaquettes d'ébauches carrées"/>
    <s v="U080365"/>
    <s v="ALAVOINE SAMUEL"/>
    <n v="5"/>
    <x v="1"/>
    <x v="3"/>
    <s v="PLAQUETTES"/>
    <x v="3"/>
    <n v="39.799999999999997"/>
  </r>
  <r>
    <d v="2025-09-13T05:14:10"/>
    <x v="0"/>
    <s v="Plaquettes d'ébauches rhombiques"/>
    <s v="U080365"/>
    <s v="ALAVOINE SAMUEL"/>
    <n v="5"/>
    <x v="1"/>
    <x v="3"/>
    <s v="PLAQUETTES"/>
    <x v="3"/>
    <n v="39.799999999999997"/>
  </r>
  <r>
    <d v="2025-09-13T05:14:40"/>
    <x v="0"/>
    <s v="Plaquettes d'ébauches rhombiques"/>
    <s v="U080365"/>
    <s v="ALAVOINE SAMUEL"/>
    <n v="5"/>
    <x v="0"/>
    <x v="3"/>
    <s v="PLAQUETTES"/>
    <x v="0"/>
    <n v="39.799999999999997"/>
  </r>
  <r>
    <d v="2025-09-13T05:27:42"/>
    <x v="2"/>
    <s v="Plaquettes de finition carrées"/>
    <s v="10301115"/>
    <s v="BOUCHART LUDOVIC"/>
    <n v="5"/>
    <x v="0"/>
    <x v="2"/>
    <s v="PLAQUETTES"/>
    <x v="0"/>
    <n v="47.8"/>
  </r>
  <r>
    <d v="2025-09-13T05:27:56"/>
    <x v="2"/>
    <s v="Plaquettes de finition carrées"/>
    <s v="10301115"/>
    <s v="BOUCHART LUDOVIC"/>
    <n v="5"/>
    <x v="0"/>
    <x v="2"/>
    <s v="PLAQUETTES"/>
    <x v="0"/>
    <n v="47.8"/>
  </r>
  <r>
    <d v="2025-09-13T05:28:11"/>
    <x v="5"/>
    <s v="Plaquettes de finition"/>
    <s v="10301115"/>
    <s v="BOUCHART LUDOVIC"/>
    <n v="5"/>
    <x v="1"/>
    <x v="2"/>
    <s v="PLAQUETTES"/>
    <x v="3"/>
    <n v="42.5"/>
  </r>
  <r>
    <d v="2025-09-13T05:28:23"/>
    <x v="6"/>
    <s v="Plaquettes de finition triangulaires"/>
    <s v="10301115"/>
    <s v="BOUCHART LUDOVIC"/>
    <n v="5"/>
    <x v="1"/>
    <x v="2"/>
    <s v="PLAQUETTES"/>
    <x v="3"/>
    <n v="48.7"/>
  </r>
  <r>
    <d v="2025-09-13T05:28:38"/>
    <x v="2"/>
    <s v="Plaquettes de finition carrées"/>
    <s v="10301115"/>
    <s v="BOUCHART LUDOVIC"/>
    <n v="5"/>
    <x v="1"/>
    <x v="2"/>
    <s v="PLAQUETTES"/>
    <x v="3"/>
    <n v="47.8"/>
  </r>
  <r>
    <d v="2025-09-13T05:28:53"/>
    <x v="2"/>
    <s v="Plaquettes de finition carrées"/>
    <s v="10301115"/>
    <s v="BOUCHART LUDOVIC"/>
    <n v="5"/>
    <x v="1"/>
    <x v="2"/>
    <s v="PLAQUETTES"/>
    <x v="3"/>
    <n v="47.8"/>
  </r>
  <r>
    <d v="2025-09-14T17:41:20"/>
    <x v="4"/>
    <s v="Plaquettes de gorges"/>
    <s v="U080365"/>
    <s v="ALAVOINE SAMUEL"/>
    <n v="10"/>
    <x v="0"/>
    <x v="0"/>
    <s v="PLAQUETTES"/>
    <x v="0"/>
    <n v="188"/>
  </r>
  <r>
    <d v="2025-09-14T17:41:44"/>
    <x v="3"/>
    <s v="Plaquettes d'ébauches carrées"/>
    <s v="U080365"/>
    <s v="ALAVOINE SAMUEL"/>
    <n v="5"/>
    <x v="0"/>
    <x v="3"/>
    <s v="PLAQUETTES"/>
    <x v="0"/>
    <n v="39.799999999999997"/>
  </r>
  <r>
    <d v="2025-09-14T17:42:37"/>
    <x v="3"/>
    <s v="Plaquettes d'ébauches carrées"/>
    <s v="U080365"/>
    <s v="ALAVOINE SAMUEL"/>
    <n v="5"/>
    <x v="1"/>
    <x v="0"/>
    <s v="PLAQUETTES"/>
    <x v="3"/>
    <n v="39.799999999999997"/>
  </r>
  <r>
    <d v="2025-09-14T17:43:14"/>
    <x v="3"/>
    <s v="Plaquettes d'ébauches carrées"/>
    <s v="U080365"/>
    <s v="ALAVOINE SAMUEL"/>
    <n v="5"/>
    <x v="1"/>
    <x v="3"/>
    <s v="PLAQUETTES"/>
    <x v="3"/>
    <n v="39.799999999999997"/>
  </r>
  <r>
    <d v="2025-09-14T18:02:33"/>
    <x v="2"/>
    <s v="Plaquettes de finition carrées"/>
    <s v="10301115"/>
    <s v="BOUCHART LUDOVIC"/>
    <n v="5"/>
    <x v="0"/>
    <x v="2"/>
    <s v="PLAQUETTES"/>
    <x v="0"/>
    <n v="47.8"/>
  </r>
  <r>
    <d v="2025-09-14T18:02:47"/>
    <x v="5"/>
    <s v="Plaquettes de finition"/>
    <s v="10301115"/>
    <s v="BOUCHART LUDOVIC"/>
    <n v="5"/>
    <x v="1"/>
    <x v="2"/>
    <s v="PLAQUETTES"/>
    <x v="3"/>
    <n v="42.5"/>
  </r>
  <r>
    <d v="2025-09-14T18:03:00"/>
    <x v="6"/>
    <s v="Plaquettes de finition triangulaires"/>
    <s v="10301115"/>
    <s v="BOUCHART LUDOVIC"/>
    <n v="5"/>
    <x v="1"/>
    <x v="2"/>
    <s v="PLAQUETTES"/>
    <x v="3"/>
    <n v="48.7"/>
  </r>
  <r>
    <d v="2025-09-14T18:03:12"/>
    <x v="2"/>
    <s v="Plaquettes de finition carrées"/>
    <s v="10301115"/>
    <s v="BOUCHART LUDOVIC"/>
    <n v="5"/>
    <x v="1"/>
    <x v="2"/>
    <s v="PLAQUETTES"/>
    <x v="3"/>
    <n v="47.8"/>
  </r>
  <r>
    <d v="2025-09-14T18:03:26"/>
    <x v="2"/>
    <s v="Plaquettes de finition carrées"/>
    <s v="10301115"/>
    <s v="BOUCHART LUDOVIC"/>
    <n v="5"/>
    <x v="1"/>
    <x v="2"/>
    <s v="PLAQUETTES"/>
    <x v="3"/>
    <n v="47.8"/>
  </r>
  <r>
    <d v="2025-09-14T20:32:42"/>
    <x v="3"/>
    <s v="Plaquettes d'ébauches carrées"/>
    <s v="U080365"/>
    <s v="ALAVOINE SAMUEL"/>
    <n v="5"/>
    <x v="0"/>
    <x v="3"/>
    <s v="PLAQUETTES"/>
    <x v="3"/>
    <n v="39.799999999999997"/>
  </r>
  <r>
    <d v="2025-09-14T20:33:11"/>
    <x v="3"/>
    <s v="Plaquettes d'ébauches carrées"/>
    <s v="U080365"/>
    <s v="ALAVOINE SAMUEL"/>
    <n v="5"/>
    <x v="0"/>
    <x v="3"/>
    <s v="PLAQUETTES"/>
    <x v="0"/>
    <n v="39.799999999999997"/>
  </r>
  <r>
    <d v="2025-09-14T20:33:37"/>
    <x v="3"/>
    <s v="Plaquettes d'ébauches carrées"/>
    <s v="U080365"/>
    <s v="ALAVOINE SAMUEL"/>
    <n v="5"/>
    <x v="1"/>
    <x v="3"/>
    <s v="PLAQUETTES"/>
    <x v="3"/>
    <n v="39.799999999999997"/>
  </r>
  <r>
    <d v="2025-09-15T09:38:44"/>
    <x v="3"/>
    <s v="Plaquettes d'ébauches carrées"/>
    <s v="SE08251"/>
    <s v="FAYET AYMERIC"/>
    <n v="5"/>
    <x v="1"/>
    <x v="0"/>
    <s v="PLAQUETTES"/>
    <x v="3"/>
    <n v="39.799999999999997"/>
  </r>
  <r>
    <d v="2025-09-15T09:39:00"/>
    <x v="0"/>
    <s v="Plaquettes d'ébauches rhombiques"/>
    <s v="SE08251"/>
    <s v="FAYET AYMERIC"/>
    <n v="5"/>
    <x v="1"/>
    <x v="0"/>
    <s v="PLAQUETTES"/>
    <x v="3"/>
    <n v="39.799999999999997"/>
  </r>
  <r>
    <d v="2025-09-15T13:15:18"/>
    <x v="3"/>
    <s v="Plaquettes d'ébauches carrées"/>
    <s v="31224"/>
    <s v="BIDOT MURIEL"/>
    <n v="5"/>
    <x v="0"/>
    <x v="3"/>
    <s v="PLAQUETTES"/>
    <x v="0"/>
    <n v="39.799999999999997"/>
  </r>
  <r>
    <d v="2025-09-15T13:15:32"/>
    <x v="3"/>
    <s v="Plaquettes d'ébauches carrées"/>
    <s v="31224"/>
    <s v="BIDOT MURIEL"/>
    <n v="5"/>
    <x v="0"/>
    <x v="3"/>
    <s v="PLAQUETTES"/>
    <x v="0"/>
    <n v="39.799999999999997"/>
  </r>
  <r>
    <d v="2025-09-15T13:15:45"/>
    <x v="0"/>
    <s v="Plaquettes d'ébauches rhombiques"/>
    <s v="31224"/>
    <s v="BIDOT MURIEL"/>
    <n v="5"/>
    <x v="0"/>
    <x v="3"/>
    <s v="PLAQUETTES"/>
    <x v="0"/>
    <n v="39.799999999999997"/>
  </r>
  <r>
    <d v="2025-09-15T13:15:57"/>
    <x v="0"/>
    <s v="Plaquettes d'ébauches rhombiques"/>
    <s v="31224"/>
    <s v="BIDOT MURIEL"/>
    <n v="5"/>
    <x v="0"/>
    <x v="3"/>
    <s v="PLAQUETTES"/>
    <x v="0"/>
    <n v="39.799999999999997"/>
  </r>
  <r>
    <d v="2025-09-15T13:16:14"/>
    <x v="4"/>
    <s v="Plaquettes de gorges"/>
    <s v="31224"/>
    <s v="BIDOT MURIEL"/>
    <n v="10"/>
    <x v="0"/>
    <x v="0"/>
    <s v="PLAQUETTES"/>
    <x v="0"/>
    <n v="188"/>
  </r>
  <r>
    <d v="2025-09-15T13:16:35"/>
    <x v="2"/>
    <s v="Plaquettes de finition carrées"/>
    <s v="31224"/>
    <s v="BIDOT MURIEL"/>
    <n v="5"/>
    <x v="0"/>
    <x v="2"/>
    <s v="PLAQUETTES"/>
    <x v="0"/>
    <n v="47.8"/>
  </r>
  <r>
    <d v="2025-09-15T13:16:50"/>
    <x v="2"/>
    <s v="Plaquettes de finition carrées"/>
    <s v="31224"/>
    <s v="BIDOT MURIEL"/>
    <n v="5"/>
    <x v="0"/>
    <x v="2"/>
    <s v="PLAQUETTES"/>
    <x v="0"/>
    <n v="47.8"/>
  </r>
  <r>
    <d v="2025-09-15T14:59:47"/>
    <x v="2"/>
    <s v="Plaquettes de finition carrées"/>
    <s v="070325"/>
    <s v="PEREIRA KEVIN"/>
    <n v="5"/>
    <x v="1"/>
    <x v="2"/>
    <s v="PLAQUETTES"/>
    <x v="3"/>
    <n v="47.8"/>
  </r>
  <r>
    <d v="2025-09-15T15:00:02"/>
    <x v="3"/>
    <s v="Plaquettes d'ébauches carrées"/>
    <s v="070325"/>
    <s v="PEREIRA KEVIN"/>
    <n v="5"/>
    <x v="1"/>
    <x v="3"/>
    <s v="PLAQUETTES"/>
    <x v="3"/>
    <n v="39.799999999999997"/>
  </r>
  <r>
    <d v="2025-09-15T15:00:16"/>
    <x v="3"/>
    <s v="Plaquettes d'ébauches carrées"/>
    <s v="070325"/>
    <s v="PEREIRA KEVIN"/>
    <n v="5"/>
    <x v="1"/>
    <x v="0"/>
    <s v="PLAQUETTES"/>
    <x v="3"/>
    <n v="39.799999999999997"/>
  </r>
  <r>
    <d v="2025-09-15T15:00:31"/>
    <x v="2"/>
    <s v="Plaquettes de finition carrées"/>
    <s v="070325"/>
    <s v="PEREIRA KEVIN"/>
    <n v="5"/>
    <x v="1"/>
    <x v="2"/>
    <s v="PLAQUETTES"/>
    <x v="3"/>
    <n v="47.8"/>
  </r>
  <r>
    <d v="2025-09-16T03:15:52"/>
    <x v="3"/>
    <s v="Plaquettes d'ébauches carrées"/>
    <s v="090225"/>
    <s v="MEYER THOMAS"/>
    <n v="5"/>
    <x v="1"/>
    <x v="3"/>
    <s v="PLAQUETTES"/>
    <x v="3"/>
    <n v="39.799999999999997"/>
  </r>
  <r>
    <d v="2025-09-16T03:16:10"/>
    <x v="0"/>
    <s v="Plaquettes d'ébauches rhombiques"/>
    <s v="090225"/>
    <s v="MEYER THOMAS"/>
    <n v="5"/>
    <x v="1"/>
    <x v="3"/>
    <s v="PLAQUETTES"/>
    <x v="3"/>
    <n v="39.799999999999997"/>
  </r>
  <r>
    <d v="2025-09-16T03:16:34"/>
    <x v="3"/>
    <s v="Plaquettes d'ébauches carrées"/>
    <s v="090225"/>
    <s v="MEYER THOMAS"/>
    <n v="5"/>
    <x v="0"/>
    <x v="3"/>
    <s v="PLAQUETTES"/>
    <x v="0"/>
    <n v="39.799999999999997"/>
  </r>
  <r>
    <d v="2025-09-16T03:16:50"/>
    <x v="0"/>
    <s v="Plaquettes d'ébauches rhombiques"/>
    <s v="090225"/>
    <s v="MEYER THOMAS"/>
    <n v="5"/>
    <x v="0"/>
    <x v="3"/>
    <s v="PLAQUETTES"/>
    <x v="0"/>
    <n v="39.799999999999997"/>
  </r>
  <r>
    <d v="2025-09-16T03:17:09"/>
    <x v="0"/>
    <s v="Plaquettes d'ébauches rhombiques"/>
    <s v="090225"/>
    <s v="MEYER THOMAS"/>
    <n v="5"/>
    <x v="1"/>
    <x v="0"/>
    <s v="PLAQUETTES"/>
    <x v="3"/>
    <n v="39.799999999999997"/>
  </r>
  <r>
    <d v="2025-09-16T03:17:25"/>
    <x v="3"/>
    <s v="Plaquettes d'ébauches carrées"/>
    <s v="090225"/>
    <s v="MEYER THOMAS"/>
    <n v="5"/>
    <x v="1"/>
    <x v="0"/>
    <s v="PLAQUETTES"/>
    <x v="3"/>
    <n v="39.799999999999997"/>
  </r>
  <r>
    <d v="2025-09-16T06:04:20"/>
    <x v="2"/>
    <s v="Plaquettes de finition carrées"/>
    <s v="SE08251"/>
    <s v="FAYET AYMERIC"/>
    <n v="5"/>
    <x v="1"/>
    <x v="2"/>
    <s v="PLAQUETTES"/>
    <x v="3"/>
    <n v="47.8"/>
  </r>
  <r>
    <d v="2025-09-16T06:04:34"/>
    <x v="2"/>
    <s v="Plaquettes de finition carrées"/>
    <s v="SE08251"/>
    <s v="FAYET AYMERIC"/>
    <n v="5"/>
    <x v="0"/>
    <x v="2"/>
    <s v="PLAQUETTES"/>
    <x v="0"/>
    <n v="47.8"/>
  </r>
  <r>
    <d v="2025-09-16T07:29:39"/>
    <x v="4"/>
    <s v="Plaquettes de gorges"/>
    <s v="SE08251"/>
    <s v="FAYET AYMERIC"/>
    <n v="10"/>
    <x v="0"/>
    <x v="0"/>
    <s v="PLAQUETTES"/>
    <x v="0"/>
    <n v="188"/>
  </r>
  <r>
    <d v="2025-09-16T08:59:59"/>
    <x v="10"/>
    <s v="Plaquettes TPGX0902ZPRGD KC7315"/>
    <s v="12824586"/>
    <s v="DASILVA FERNANDO"/>
    <n v="10"/>
    <x v="0"/>
    <x v="1"/>
    <s v="PLAQUETTES"/>
    <x v="1"/>
    <n v="81.5"/>
  </r>
  <r>
    <d v="2025-09-16T11:08:39"/>
    <x v="0"/>
    <s v="Plaquettes d'ébauches rhombiques"/>
    <s v="SE08251"/>
    <s v="FAYET AYMERIC"/>
    <n v="5"/>
    <x v="1"/>
    <x v="3"/>
    <s v="PLAQUETTES"/>
    <x v="3"/>
    <n v="39.799999999999997"/>
  </r>
  <r>
    <d v="2025-09-16T11:08:58"/>
    <x v="3"/>
    <s v="Plaquettes d'ébauches carrées"/>
    <s v="SE08251"/>
    <s v="FAYET AYMERIC"/>
    <n v="5"/>
    <x v="1"/>
    <x v="3"/>
    <s v="PLAQUETTES"/>
    <x v="3"/>
    <n v="39.799999999999997"/>
  </r>
  <r>
    <d v="2025-09-16T13:12:34"/>
    <x v="3"/>
    <s v="Plaquettes d'ébauches carrées"/>
    <s v="31224"/>
    <s v="BIDOT MURIEL"/>
    <n v="5"/>
    <x v="0"/>
    <x v="3"/>
    <s v="PLAQUETTES"/>
    <x v="0"/>
    <n v="39.799999999999997"/>
  </r>
  <r>
    <d v="2025-09-16T13:12:47"/>
    <x v="3"/>
    <s v="Plaquettes d'ébauches carrées"/>
    <s v="31224"/>
    <s v="BIDOT MURIEL"/>
    <n v="5"/>
    <x v="0"/>
    <x v="3"/>
    <s v="PLAQUETTES"/>
    <x v="0"/>
    <n v="39.799999999999997"/>
  </r>
  <r>
    <d v="2025-09-16T13:13:08"/>
    <x v="0"/>
    <s v="Plaquettes d'ébauches rhombiques"/>
    <s v="31224"/>
    <s v="BIDOT MURIEL"/>
    <n v="5"/>
    <x v="0"/>
    <x v="3"/>
    <s v="PLAQUETTES"/>
    <x v="0"/>
    <n v="39.799999999999997"/>
  </r>
  <r>
    <d v="2025-09-16T13:13:23"/>
    <x v="0"/>
    <s v="Plaquettes d'ébauches rhombiques"/>
    <s v="31224"/>
    <s v="BIDOT MURIEL"/>
    <n v="5"/>
    <x v="0"/>
    <x v="3"/>
    <s v="PLAQUETTES"/>
    <x v="0"/>
    <n v="39.799999999999997"/>
  </r>
  <r>
    <d v="2025-09-16T13:13:36"/>
    <x v="4"/>
    <s v="Plaquettes de gorges"/>
    <s v="31224"/>
    <s v="BIDOT MURIEL"/>
    <n v="10"/>
    <x v="0"/>
    <x v="0"/>
    <s v="PLAQUETTES"/>
    <x v="0"/>
    <n v="188"/>
  </r>
  <r>
    <d v="2025-09-16T13:13:50"/>
    <x v="2"/>
    <s v="Plaquettes de finition carrées"/>
    <s v="31224"/>
    <s v="BIDOT MURIEL"/>
    <n v="5"/>
    <x v="0"/>
    <x v="2"/>
    <s v="PLAQUETTES"/>
    <x v="0"/>
    <n v="47.8"/>
  </r>
  <r>
    <d v="2025-09-16T13:14:01"/>
    <x v="2"/>
    <s v="Plaquettes de finition carrées"/>
    <s v="31224"/>
    <s v="BIDOT MURIEL"/>
    <n v="5"/>
    <x v="0"/>
    <x v="2"/>
    <s v="PLAQUETTES"/>
    <x v="0"/>
    <n v="47.8"/>
  </r>
  <r>
    <d v="2025-09-16T13:14:12"/>
    <x v="2"/>
    <s v="Plaquettes de finition carrées"/>
    <s v="31224"/>
    <s v="BIDOT MURIEL"/>
    <n v="5"/>
    <x v="0"/>
    <x v="2"/>
    <s v="PLAQUETTES"/>
    <x v="0"/>
    <n v="47.8"/>
  </r>
  <r>
    <d v="2025-09-16T13:31:30"/>
    <x v="3"/>
    <s v="Plaquettes d'ébauches carrées"/>
    <s v="070325"/>
    <s v="PEREIRA KEVIN"/>
    <n v="5"/>
    <x v="1"/>
    <x v="3"/>
    <s v="PLAQUETTES"/>
    <x v="3"/>
    <n v="39.799999999999997"/>
  </r>
  <r>
    <d v="2025-09-16T13:31:43"/>
    <x v="3"/>
    <s v="Plaquettes d'ébauches carrées"/>
    <s v="070325"/>
    <s v="PEREIRA KEVIN"/>
    <n v="5"/>
    <x v="1"/>
    <x v="0"/>
    <s v="PLAQUETTES"/>
    <x v="3"/>
    <n v="39.799999999999997"/>
  </r>
  <r>
    <d v="2025-09-16T13:31:57"/>
    <x v="2"/>
    <s v="Plaquettes de finition carrées"/>
    <s v="070325"/>
    <s v="PEREIRA KEVIN"/>
    <n v="5"/>
    <x v="1"/>
    <x v="2"/>
    <s v="PLAQUETTES"/>
    <x v="3"/>
    <n v="47.8"/>
  </r>
  <r>
    <d v="2025-09-16T13:32:09"/>
    <x v="0"/>
    <s v="Plaquettes d'ébauches rhombiques"/>
    <s v="070325"/>
    <s v="PEREIRA KEVIN"/>
    <n v="5"/>
    <x v="1"/>
    <x v="0"/>
    <s v="PLAQUETTES"/>
    <x v="3"/>
    <n v="39.799999999999997"/>
  </r>
  <r>
    <d v="2025-09-17T05:19:02"/>
    <x v="3"/>
    <s v="Plaquettes d'ébauches carrées"/>
    <s v="SC95213"/>
    <s v="RABET PAULINE"/>
    <n v="5"/>
    <x v="1"/>
    <x v="3"/>
    <s v="PLAQUETTES"/>
    <x v="3"/>
    <n v="39.799999999999997"/>
  </r>
  <r>
    <d v="2025-09-17T05:19:23"/>
    <x v="0"/>
    <s v="Plaquettes d'ébauches rhombiques"/>
    <s v="SC95213"/>
    <s v="RABET PAULINE"/>
    <n v="5"/>
    <x v="1"/>
    <x v="3"/>
    <s v="PLAQUETTES"/>
    <x v="3"/>
    <n v="39.799999999999997"/>
  </r>
  <r>
    <d v="2025-09-17T05:19:39"/>
    <x v="3"/>
    <s v="Plaquettes d'ébauches carrées"/>
    <s v="SC95213"/>
    <s v="RABET PAULINE"/>
    <n v="5"/>
    <x v="1"/>
    <x v="0"/>
    <s v="PLAQUETTES"/>
    <x v="3"/>
    <n v="39.799999999999997"/>
  </r>
  <r>
    <d v="2025-09-17T05:19:56"/>
    <x v="0"/>
    <s v="Plaquettes d'ébauches rhombiques"/>
    <s v="SC95213"/>
    <s v="RABET PAULINE"/>
    <n v="5"/>
    <x v="1"/>
    <x v="0"/>
    <s v="PLAQUETTES"/>
    <x v="3"/>
    <n v="39.799999999999997"/>
  </r>
  <r>
    <d v="2025-09-17T07:45:06"/>
    <x v="3"/>
    <s v="Plaquettes d'ébauches carrées"/>
    <s v="SE08251"/>
    <s v="FAYET AYMERIC"/>
    <n v="5"/>
    <x v="0"/>
    <x v="3"/>
    <s v="PLAQUETTES"/>
    <x v="0"/>
    <n v="39.799999999999997"/>
  </r>
  <r>
    <d v="2025-09-17T07:45:23"/>
    <x v="3"/>
    <s v="Plaquettes d'ébauches carrées"/>
    <s v="SE08251"/>
    <s v="FAYET AYMERIC"/>
    <n v="5"/>
    <x v="0"/>
    <x v="0"/>
    <s v="PLAQUETTES"/>
    <x v="0"/>
    <n v="39.799999999999997"/>
  </r>
  <r>
    <d v="2025-09-17T07:45:36"/>
    <x v="4"/>
    <s v="Plaquettes de gorges"/>
    <s v="SE08251"/>
    <s v="FAYET AYMERIC"/>
    <n v="10"/>
    <x v="0"/>
    <x v="0"/>
    <s v="PLAQUETTES"/>
    <x v="0"/>
    <n v="188"/>
  </r>
  <r>
    <d v="2025-09-17T07:45:51"/>
    <x v="2"/>
    <s v="Plaquettes de finition carrées"/>
    <s v="SE08251"/>
    <s v="FAYET AYMERIC"/>
    <n v="5"/>
    <x v="0"/>
    <x v="2"/>
    <s v="PLAQUETTES"/>
    <x v="0"/>
    <n v="47.8"/>
  </r>
  <r>
    <d v="2025-09-17T09:31:44"/>
    <x v="2"/>
    <s v="Plaquettes de finition carrées"/>
    <s v="SE08251"/>
    <s v="FAYET AYMERIC"/>
    <n v="5"/>
    <x v="1"/>
    <x v="2"/>
    <s v="PLAQUETTES"/>
    <x v="3"/>
    <n v="47.8"/>
  </r>
  <r>
    <d v="2025-09-17T09:32:09"/>
    <x v="6"/>
    <s v="Plaquettes de finition triangulaires"/>
    <s v="SE08251"/>
    <s v="FAYET AYMERIC"/>
    <n v="5"/>
    <x v="1"/>
    <x v="2"/>
    <s v="PLAQUETTES"/>
    <x v="3"/>
    <n v="48.7"/>
  </r>
  <r>
    <d v="2025-09-17T09:32:24"/>
    <x v="5"/>
    <s v="Plaquettes de finition"/>
    <s v="SE08251"/>
    <s v="FAYET AYMERIC"/>
    <n v="5"/>
    <x v="1"/>
    <x v="2"/>
    <s v="PLAQUETTES"/>
    <x v="3"/>
    <n v="42.5"/>
  </r>
  <r>
    <d v="2025-09-17T09:32:39"/>
    <x v="3"/>
    <s v="Plaquettes d'ébauches carrées"/>
    <s v="SE08251"/>
    <s v="FAYET AYMERIC"/>
    <n v="5"/>
    <x v="1"/>
    <x v="3"/>
    <s v="PLAQUETTES"/>
    <x v="3"/>
    <n v="39.799999999999997"/>
  </r>
  <r>
    <d v="2025-09-17T09:32:54"/>
    <x v="0"/>
    <s v="Plaquettes d'ébauches rhombiques"/>
    <s v="SE08251"/>
    <s v="FAYET AYMERIC"/>
    <n v="5"/>
    <x v="1"/>
    <x v="3"/>
    <s v="PLAQUETTES"/>
    <x v="3"/>
    <n v="39.799999999999997"/>
  </r>
  <r>
    <d v="2025-09-17T13:37:33"/>
    <x v="2"/>
    <s v="Plaquettes de finition carrées"/>
    <s v="31224"/>
    <s v="BIDOT MURIEL"/>
    <n v="5"/>
    <x v="0"/>
    <x v="2"/>
    <s v="PLAQUETTES"/>
    <x v="0"/>
    <n v="47.8"/>
  </r>
  <r>
    <d v="2025-09-17T16:22:56"/>
    <x v="2"/>
    <s v="Plaquettes de finition carrées"/>
    <s v="070325"/>
    <s v="PEREIRA KEVIN"/>
    <n v="5"/>
    <x v="1"/>
    <x v="2"/>
    <s v="PLAQUETTES"/>
    <x v="3"/>
    <n v="47.8"/>
  </r>
  <r>
    <d v="2025-09-17T16:23:07"/>
    <x v="2"/>
    <s v="Plaquettes de finition carrées"/>
    <s v="070325"/>
    <s v="PEREIRA KEVIN"/>
    <n v="5"/>
    <x v="1"/>
    <x v="2"/>
    <s v="PLAQUETTES"/>
    <x v="3"/>
    <n v="47.8"/>
  </r>
  <r>
    <d v="2025-09-17T16:23:21"/>
    <x v="3"/>
    <s v="Plaquettes d'ébauches carrées"/>
    <s v="070325"/>
    <s v="PEREIRA KEVIN"/>
    <n v="5"/>
    <x v="1"/>
    <x v="0"/>
    <s v="PLAQUETTES"/>
    <x v="3"/>
    <n v="39.799999999999997"/>
  </r>
  <r>
    <d v="2025-09-17T16:23:39"/>
    <x v="3"/>
    <s v="Plaquettes d'ébauches carrées"/>
    <s v="070325"/>
    <s v="PEREIRA KEVIN"/>
    <n v="5"/>
    <x v="1"/>
    <x v="3"/>
    <s v="PLAQUETTES"/>
    <x v="3"/>
    <n v="39.799999999999997"/>
  </r>
  <r>
    <d v="2025-09-17T18:51:00"/>
    <x v="3"/>
    <s v="Plaquettes d'ébauches carrées"/>
    <s v="31224"/>
    <s v="BIDOT MURIEL"/>
    <n v="5"/>
    <x v="0"/>
    <x v="3"/>
    <s v="PLAQUETTES"/>
    <x v="3"/>
    <n v="39.799999999999997"/>
  </r>
  <r>
    <d v="2025-09-17T18:51:14"/>
    <x v="3"/>
    <s v="Plaquettes d'ébauches carrées"/>
    <s v="31224"/>
    <s v="BIDOT MURIEL"/>
    <n v="5"/>
    <x v="0"/>
    <x v="3"/>
    <s v="PLAQUETTES"/>
    <x v="3"/>
    <n v="39.799999999999997"/>
  </r>
  <r>
    <d v="2025-09-17T18:51:31"/>
    <x v="6"/>
    <s v="Plaquettes de finition triangulaires"/>
    <s v="31224"/>
    <s v="BIDOT MURIEL"/>
    <n v="5"/>
    <x v="0"/>
    <x v="2"/>
    <s v="PLAQUETTES"/>
    <x v="3"/>
    <n v="48.7"/>
  </r>
  <r>
    <d v="2025-09-17T18:51:45"/>
    <x v="2"/>
    <s v="Plaquettes de finition carrées"/>
    <s v="31224"/>
    <s v="BIDOT MURIEL"/>
    <n v="5"/>
    <x v="0"/>
    <x v="2"/>
    <s v="PLAQUETTES"/>
    <x v="3"/>
    <n v="47.8"/>
  </r>
  <r>
    <d v="2025-09-17T18:52:00"/>
    <x v="5"/>
    <s v="Plaquettes de finition"/>
    <s v="31224"/>
    <s v="BIDOT MURIEL"/>
    <n v="5"/>
    <x v="0"/>
    <x v="2"/>
    <s v="PLAQUETTES"/>
    <x v="3"/>
    <n v="42.5"/>
  </r>
  <r>
    <d v="2025-09-18T03:51:26"/>
    <x v="2"/>
    <s v="Plaquettes de finition carrées"/>
    <s v="7236310"/>
    <s v="OZYURT IREM"/>
    <n v="5"/>
    <x v="1"/>
    <x v="2"/>
    <s v="PLAQUETTES"/>
    <x v="3"/>
    <n v="47.8"/>
  </r>
  <r>
    <d v="2025-09-18T08:36:28"/>
    <x v="3"/>
    <s v="Plaquettes d'ébauches carrées"/>
    <s v="12824586"/>
    <s v="DASILVA FERNANDO"/>
    <n v="5"/>
    <x v="1"/>
    <x v="3"/>
    <s v="PLAQUETTES"/>
    <x v="3"/>
    <n v="39.799999999999997"/>
  </r>
  <r>
    <d v="2025-09-18T13:25:06"/>
    <x v="3"/>
    <s v="Plaquettes d'ébauches carrées"/>
    <s v="31224"/>
    <s v="BIDOT MURIEL"/>
    <n v="5"/>
    <x v="0"/>
    <x v="3"/>
    <s v="PLAQUETTES"/>
    <x v="3"/>
    <n v="39.799999999999997"/>
  </r>
  <r>
    <d v="2025-09-18T13:25:19"/>
    <x v="3"/>
    <s v="Plaquettes d'ébauches carrées"/>
    <s v="31224"/>
    <s v="BIDOT MURIEL"/>
    <n v="5"/>
    <x v="0"/>
    <x v="3"/>
    <s v="PLAQUETTES"/>
    <x v="3"/>
    <n v="39.799999999999997"/>
  </r>
  <r>
    <d v="2025-09-18T13:25:41"/>
    <x v="3"/>
    <s v="Plaquettes d'ébauches carrées"/>
    <s v="31224"/>
    <s v="BIDOT MURIEL"/>
    <n v="5"/>
    <x v="0"/>
    <x v="3"/>
    <s v="PLAQUETTES"/>
    <x v="3"/>
    <n v="39.799999999999997"/>
  </r>
  <r>
    <d v="2025-09-18T13:25:56"/>
    <x v="0"/>
    <s v="Plaquettes d'ébauches rhombiques"/>
    <s v="31224"/>
    <s v="BIDOT MURIEL"/>
    <n v="5"/>
    <x v="0"/>
    <x v="0"/>
    <s v="PLAQUETTES"/>
    <x v="3"/>
    <n v="39.799999999999997"/>
  </r>
  <r>
    <d v="2025-09-18T13:26:22"/>
    <x v="0"/>
    <s v="Plaquettes d'ébauches rhombiques"/>
    <s v="31224"/>
    <s v="BIDOT MURIEL"/>
    <n v="5"/>
    <x v="0"/>
    <x v="0"/>
    <s v="PLAQUETTES"/>
    <x v="3"/>
    <n v="39.799999999999997"/>
  </r>
  <r>
    <d v="2025-09-18T13:26:41"/>
    <x v="0"/>
    <s v="Plaquettes d'ébauches rhombiques"/>
    <s v="31224"/>
    <s v="BIDOT MURIEL"/>
    <n v="5"/>
    <x v="0"/>
    <x v="0"/>
    <s v="PLAQUETTES"/>
    <x v="3"/>
    <n v="39.799999999999997"/>
  </r>
  <r>
    <d v="2025-09-18T13:26:59"/>
    <x v="6"/>
    <s v="Plaquettes de finition triangulaires"/>
    <s v="31224"/>
    <s v="BIDOT MURIEL"/>
    <n v="5"/>
    <x v="0"/>
    <x v="2"/>
    <s v="PLAQUETTES"/>
    <x v="3"/>
    <n v="48.7"/>
  </r>
  <r>
    <d v="2025-09-18T13:27:15"/>
    <x v="2"/>
    <s v="Plaquettes de finition carrées"/>
    <s v="31224"/>
    <s v="BIDOT MURIEL"/>
    <n v="5"/>
    <x v="0"/>
    <x v="2"/>
    <s v="PLAQUETTES"/>
    <x v="3"/>
    <n v="47.8"/>
  </r>
  <r>
    <d v="2025-09-18T13:27:27"/>
    <x v="2"/>
    <s v="Plaquettes de finition carrées"/>
    <s v="31224"/>
    <s v="BIDOT MURIEL"/>
    <n v="5"/>
    <x v="0"/>
    <x v="2"/>
    <s v="PLAQUETTES"/>
    <x v="3"/>
    <n v="47.8"/>
  </r>
  <r>
    <d v="2025-09-18T13:28:53"/>
    <x v="3"/>
    <s v="Plaquettes d'ébauches carrées"/>
    <s v="070325"/>
    <s v="PEREIRA KEVIN"/>
    <n v="5"/>
    <x v="1"/>
    <x v="3"/>
    <s v="PLAQUETTES"/>
    <x v="3"/>
    <n v="39.799999999999997"/>
  </r>
  <r>
    <d v="2025-09-18T13:29:10"/>
    <x v="0"/>
    <s v="Plaquettes d'ébauches rhombiques"/>
    <s v="070325"/>
    <s v="PEREIRA KEVIN"/>
    <n v="5"/>
    <x v="1"/>
    <x v="3"/>
    <s v="PLAQUETTES"/>
    <x v="3"/>
    <n v="39.799999999999997"/>
  </r>
  <r>
    <d v="2025-09-18T13:29:23"/>
    <x v="3"/>
    <s v="Plaquettes d'ébauches carrées"/>
    <s v="070325"/>
    <s v="PEREIRA KEVIN"/>
    <n v="5"/>
    <x v="1"/>
    <x v="0"/>
    <s v="PLAQUETTES"/>
    <x v="3"/>
    <n v="39.799999999999997"/>
  </r>
  <r>
    <d v="2025-09-18T13:29:39"/>
    <x v="2"/>
    <s v="Plaquettes de finition carrées"/>
    <s v="070325"/>
    <s v="PEREIRA KEVIN"/>
    <n v="5"/>
    <x v="1"/>
    <x v="2"/>
    <s v="PLAQUETTES"/>
    <x v="3"/>
    <n v="47.8"/>
  </r>
  <r>
    <d v="2025-09-18T13:29:55"/>
    <x v="2"/>
    <s v="Plaquettes de finition carrées"/>
    <s v="070325"/>
    <s v="PEREIRA KEVIN"/>
    <n v="5"/>
    <x v="1"/>
    <x v="2"/>
    <s v="PLAQUETTES"/>
    <x v="3"/>
    <n v="47.8"/>
  </r>
  <r>
    <d v="2025-09-18T13:30:09"/>
    <x v="6"/>
    <s v="Plaquettes de finition triangulaires"/>
    <s v="070325"/>
    <s v="PEREIRA KEVIN"/>
    <n v="5"/>
    <x v="1"/>
    <x v="2"/>
    <s v="PLAQUETTES"/>
    <x v="3"/>
    <n v="48.7"/>
  </r>
  <r>
    <d v="2025-09-19T02:50:38"/>
    <x v="3"/>
    <s v="Plaquettes d'ébauches carrées"/>
    <s v="090225"/>
    <s v="MEYER THOMAS"/>
    <n v="5"/>
    <x v="1"/>
    <x v="3"/>
    <s v="PLAQUETTES"/>
    <x v="3"/>
    <n v="39.799999999999997"/>
  </r>
  <r>
    <d v="2025-09-19T02:50:50"/>
    <x v="3"/>
    <s v="Plaquettes d'ébauches carrées"/>
    <s v="090225"/>
    <s v="MEYER THOMAS"/>
    <n v="5"/>
    <x v="0"/>
    <x v="3"/>
    <s v="PLAQUETTES"/>
    <x v="3"/>
    <n v="39.799999999999997"/>
  </r>
  <r>
    <d v="2025-09-19T02:51:03"/>
    <x v="3"/>
    <s v="Plaquettes d'ébauches carrées"/>
    <s v="090225"/>
    <s v="MEYER THOMAS"/>
    <n v="5"/>
    <x v="1"/>
    <x v="0"/>
    <s v="PLAQUETTES"/>
    <x v="3"/>
    <n v="39.799999999999997"/>
  </r>
  <r>
    <d v="2025-09-19T02:51:16"/>
    <x v="3"/>
    <s v="Plaquettes d'ébauches carrées"/>
    <s v="090225"/>
    <s v="MEYER THOMAS"/>
    <n v="5"/>
    <x v="0"/>
    <x v="0"/>
    <s v="PLAQUETTES"/>
    <x v="3"/>
    <n v="39.799999999999997"/>
  </r>
  <r>
    <d v="2025-09-19T02:51:42"/>
    <x v="0"/>
    <s v="Plaquettes d'ébauches rhombiques"/>
    <s v="090225"/>
    <s v="MEYER THOMAS"/>
    <n v="5"/>
    <x v="1"/>
    <x v="3"/>
    <s v="PLAQUETTES"/>
    <x v="3"/>
    <n v="39.799999999999997"/>
  </r>
  <r>
    <d v="2025-09-19T02:52:00"/>
    <x v="0"/>
    <s v="Plaquettes d'ébauches rhombiques"/>
    <s v="090225"/>
    <s v="MEYER THOMAS"/>
    <n v="5"/>
    <x v="1"/>
    <x v="0"/>
    <s v="PLAQUETTES"/>
    <x v="3"/>
    <n v="39.799999999999997"/>
  </r>
  <r>
    <d v="2025-09-19T02:52:21"/>
    <x v="0"/>
    <s v="Plaquettes d'ébauches rhombiques"/>
    <s v="090225"/>
    <s v="MEYER THOMAS"/>
    <n v="5"/>
    <x v="0"/>
    <x v="3"/>
    <s v="PLAQUETTES"/>
    <x v="3"/>
    <n v="39.799999999999997"/>
  </r>
  <r>
    <d v="2025-09-19T02:52:38"/>
    <x v="0"/>
    <s v="Plaquettes d'ébauches rhombiques"/>
    <s v="090225"/>
    <s v="MEYER THOMAS"/>
    <n v="5"/>
    <x v="0"/>
    <x v="0"/>
    <s v="PLAQUETTES"/>
    <x v="3"/>
    <n v="39.799999999999997"/>
  </r>
  <r>
    <d v="2025-09-19T05:47:54"/>
    <x v="5"/>
    <s v="Plaquettes de finition"/>
    <s v="10301115"/>
    <s v="BOUCHART LUDOVIC"/>
    <n v="5"/>
    <x v="0"/>
    <x v="2"/>
    <s v="PLAQUETTES"/>
    <x v="3"/>
    <n v="42.5"/>
  </r>
  <r>
    <d v="2025-09-19T05:48:06"/>
    <x v="6"/>
    <s v="Plaquettes de finition triangulaires"/>
    <s v="10301115"/>
    <s v="BOUCHART LUDOVIC"/>
    <n v="5"/>
    <x v="0"/>
    <x v="2"/>
    <s v="PLAQUETTES"/>
    <x v="3"/>
    <n v="48.7"/>
  </r>
  <r>
    <d v="2025-09-19T05:48:19"/>
    <x v="2"/>
    <s v="Plaquettes de finition carrées"/>
    <s v="10301115"/>
    <s v="BOUCHART LUDOVIC"/>
    <n v="5"/>
    <x v="0"/>
    <x v="2"/>
    <s v="PLAQUETTES"/>
    <x v="3"/>
    <n v="47.8"/>
  </r>
  <r>
    <d v="2025-09-19T05:48:42"/>
    <x v="2"/>
    <s v="Plaquettes de finition carrées"/>
    <s v="10301115"/>
    <s v="BOUCHART LUDOVIC"/>
    <n v="5"/>
    <x v="0"/>
    <x v="2"/>
    <s v="PLAQUETTES"/>
    <x v="3"/>
    <n v="47.8"/>
  </r>
  <r>
    <d v="2025-09-19T05:48:55"/>
    <x v="5"/>
    <s v="Plaquettes de finition"/>
    <s v="10301115"/>
    <s v="BOUCHART LUDOVIC"/>
    <n v="5"/>
    <x v="1"/>
    <x v="2"/>
    <s v="PLAQUETTES"/>
    <x v="3"/>
    <n v="42.5"/>
  </r>
  <r>
    <d v="2025-09-19T05:49:07"/>
    <x v="6"/>
    <s v="Plaquettes de finition triangulaires"/>
    <s v="10301115"/>
    <s v="BOUCHART LUDOVIC"/>
    <n v="5"/>
    <x v="1"/>
    <x v="2"/>
    <s v="PLAQUETTES"/>
    <x v="3"/>
    <n v="48.7"/>
  </r>
  <r>
    <d v="2025-09-19T05:49:25"/>
    <x v="2"/>
    <s v="Plaquettes de finition carrées"/>
    <s v="10301115"/>
    <s v="BOUCHART LUDOVIC"/>
    <n v="5"/>
    <x v="1"/>
    <x v="2"/>
    <s v="PLAQUETTES"/>
    <x v="3"/>
    <n v="47.8"/>
  </r>
  <r>
    <d v="2025-09-19T05:49:41"/>
    <x v="2"/>
    <s v="Plaquettes de finition carrées"/>
    <s v="10301115"/>
    <s v="BOUCHART LUDOVIC"/>
    <n v="5"/>
    <x v="1"/>
    <x v="2"/>
    <s v="PLAQUETTES"/>
    <x v="3"/>
    <n v="47.8"/>
  </r>
  <r>
    <d v="2025-09-19T08:54:00"/>
    <x v="3"/>
    <s v="Plaquettes d'ébauches carrées"/>
    <s v="U080365"/>
    <s v="ALAVOINE SAMUEL"/>
    <n v="5"/>
    <x v="1"/>
    <x v="3"/>
    <s v="PLAQUETTES"/>
    <x v="3"/>
    <n v="39.799999999999997"/>
  </r>
  <r>
    <d v="2025-09-19T08:55:03"/>
    <x v="0"/>
    <s v="Plaquettes d'ébauches rhombiques"/>
    <s v="U080365"/>
    <s v="ALAVOINE SAMUEL"/>
    <n v="5"/>
    <x v="0"/>
    <x v="3"/>
    <s v="PLAQUETTES"/>
    <x v="3"/>
    <n v="39.799999999999997"/>
  </r>
  <r>
    <d v="2025-09-19T08:55:38"/>
    <x v="3"/>
    <s v="Plaquettes d'ébauches carrées"/>
    <s v="U080365"/>
    <s v="ALAVOINE SAMUEL"/>
    <n v="5"/>
    <x v="1"/>
    <x v="3"/>
    <s v="PLAQUETTES"/>
    <x v="3"/>
    <n v="39.799999999999997"/>
  </r>
  <r>
    <d v="2025-09-19T10:09:03"/>
    <x v="3"/>
    <s v="Plaquettes d'ébauches carrées"/>
    <s v="U080365"/>
    <s v="ALAVOINE SAMUEL"/>
    <n v="5"/>
    <x v="1"/>
    <x v="0"/>
    <s v="PLAQUETTES"/>
    <x v="3"/>
    <n v="39.799999999999997"/>
  </r>
  <r>
    <d v="2025-09-19T11:13:01"/>
    <x v="9"/>
    <s v="EMBOUT KENTIP D8.6"/>
    <s v="12824586"/>
    <s v="DASILVA FERNANDO"/>
    <n v="1"/>
    <x v="0"/>
    <x v="1"/>
    <s v="PLAQUETTES"/>
    <x v="1"/>
    <n v="50"/>
  </r>
  <r>
    <d v="2025-09-19T13:25:30"/>
    <x v="3"/>
    <s v="Plaquettes d'ébauches carrées"/>
    <s v="31224"/>
    <s v="BIDOT MURIEL"/>
    <n v="5"/>
    <x v="0"/>
    <x v="3"/>
    <s v="PLAQUETTES"/>
    <x v="3"/>
    <n v="39.799999999999997"/>
  </r>
  <r>
    <d v="2025-09-19T13:25:44"/>
    <x v="3"/>
    <s v="Plaquettes d'ébauches carrées"/>
    <s v="31224"/>
    <s v="BIDOT MURIEL"/>
    <n v="5"/>
    <x v="0"/>
    <x v="3"/>
    <s v="PLAQUETTES"/>
    <x v="3"/>
    <n v="39.799999999999997"/>
  </r>
  <r>
    <d v="2025-09-19T13:26:01"/>
    <x v="3"/>
    <s v="Plaquettes d'ébauches carrées"/>
    <s v="31224"/>
    <s v="BIDOT MURIEL"/>
    <n v="5"/>
    <x v="0"/>
    <x v="3"/>
    <s v="PLAQUETTES"/>
    <x v="3"/>
    <n v="39.799999999999997"/>
  </r>
  <r>
    <d v="2025-09-19T13:26:19"/>
    <x v="0"/>
    <s v="Plaquettes d'ébauches rhombiques"/>
    <s v="31224"/>
    <s v="BIDOT MURIEL"/>
    <n v="5"/>
    <x v="0"/>
    <x v="0"/>
    <s v="PLAQUETTES"/>
    <x v="3"/>
    <n v="39.799999999999997"/>
  </r>
  <r>
    <d v="2025-09-19T13:26:35"/>
    <x v="0"/>
    <s v="Plaquettes d'ébauches rhombiques"/>
    <s v="31224"/>
    <s v="BIDOT MURIEL"/>
    <n v="5"/>
    <x v="0"/>
    <x v="0"/>
    <s v="PLAQUETTES"/>
    <x v="3"/>
    <n v="39.799999999999997"/>
  </r>
  <r>
    <d v="2025-09-19T13:26:51"/>
    <x v="0"/>
    <s v="Plaquettes d'ébauches rhombiques"/>
    <s v="31224"/>
    <s v="BIDOT MURIEL"/>
    <n v="5"/>
    <x v="0"/>
    <x v="0"/>
    <s v="PLAQUETTES"/>
    <x v="3"/>
    <n v="39.799999999999997"/>
  </r>
  <r>
    <d v="2025-09-20T00:35:00"/>
    <x v="2"/>
    <s v="Plaquettes de finition carrées"/>
    <s v="7236310"/>
    <s v="OZYURT IREM"/>
    <n v="5"/>
    <x v="1"/>
    <x v="2"/>
    <s v="PLAQUETTES"/>
    <x v="3"/>
    <n v="47.8"/>
  </r>
  <r>
    <d v="2025-09-20T05:09:17"/>
    <x v="3"/>
    <s v="Plaquettes d'ébauches carrées"/>
    <s v="U080365"/>
    <s v="ALAVOINE SAMUEL"/>
    <n v="5"/>
    <x v="1"/>
    <x v="3"/>
    <s v="PLAQUETTES"/>
    <x v="3"/>
    <n v="39.799999999999997"/>
  </r>
  <r>
    <d v="2025-09-20T05:09:44"/>
    <x v="3"/>
    <s v="Plaquettes d'ébauches carrées"/>
    <s v="U080365"/>
    <s v="ALAVOINE SAMUEL"/>
    <n v="5"/>
    <x v="0"/>
    <x v="3"/>
    <s v="PLAQUETTES"/>
    <x v="3"/>
    <n v="39.799999999999997"/>
  </r>
  <r>
    <d v="2025-09-20T05:10:10"/>
    <x v="0"/>
    <s v="Plaquettes d'ébauches rhombiques"/>
    <s v="U080365"/>
    <s v="ALAVOINE SAMUEL"/>
    <n v="5"/>
    <x v="1"/>
    <x v="3"/>
    <s v="PLAQUETTES"/>
    <x v="3"/>
    <n v="39.799999999999997"/>
  </r>
  <r>
    <d v="2025-09-20T05:10:46"/>
    <x v="0"/>
    <s v="Plaquettes d'ébauches rhombiques"/>
    <s v="U080365"/>
    <s v="ALAVOINE SAMUEL"/>
    <n v="5"/>
    <x v="0"/>
    <x v="0"/>
    <s v="PLAQUETTES"/>
    <x v="3"/>
    <n v="39.799999999999997"/>
  </r>
  <r>
    <d v="2025-09-20T05:35:56"/>
    <x v="2"/>
    <s v="Plaquettes de finition carrées"/>
    <s v="10301115"/>
    <s v="BOUCHART LUDOVIC"/>
    <n v="5"/>
    <x v="0"/>
    <x v="2"/>
    <s v="PLAQUETTES"/>
    <x v="3"/>
    <n v="47.8"/>
  </r>
  <r>
    <d v="2025-09-20T05:36:11"/>
    <x v="2"/>
    <s v="Plaquettes de finition carrées"/>
    <s v="10301115"/>
    <s v="BOUCHART LUDOVIC"/>
    <n v="5"/>
    <x v="0"/>
    <x v="2"/>
    <s v="PLAQUETTES"/>
    <x v="3"/>
    <n v="47.8"/>
  </r>
  <r>
    <d v="2025-09-20T08:53:43"/>
    <x v="3"/>
    <s v="Plaquettes d'ébauches carrées"/>
    <s v="U080365"/>
    <s v="ALAVOINE SAMUEL"/>
    <n v="5"/>
    <x v="1"/>
    <x v="0"/>
    <s v="PLAQUETTES"/>
    <x v="3"/>
    <n v="39.799999999999997"/>
  </r>
  <r>
    <d v="2025-09-20T08:54:13"/>
    <x v="0"/>
    <s v="Plaquettes d'ébauches rhombiques"/>
    <s v="U080365"/>
    <s v="ALAVOINE SAMUEL"/>
    <n v="5"/>
    <x v="1"/>
    <x v="0"/>
    <s v="PLAQUETTES"/>
    <x v="3"/>
    <n v="39.799999999999997"/>
  </r>
  <r>
    <d v="2025-09-20T08:54:44"/>
    <x v="3"/>
    <s v="Plaquettes d'ébauches carrées"/>
    <s v="U080365"/>
    <s v="ALAVOINE SAMUEL"/>
    <n v="5"/>
    <x v="0"/>
    <x v="0"/>
    <s v="PLAQUETTES"/>
    <x v="3"/>
    <n v="39.799999999999997"/>
  </r>
  <r>
    <d v="2025-09-21T17:20:20"/>
    <x v="2"/>
    <s v="Plaquettes de finition carrées"/>
    <s v="10301115"/>
    <s v="BOUCHART LUDOVIC"/>
    <n v="5"/>
    <x v="0"/>
    <x v="2"/>
    <s v="PLAQUETTES"/>
    <x v="3"/>
    <n v="47.8"/>
  </r>
  <r>
    <d v="2025-09-21T17:20:33"/>
    <x v="2"/>
    <s v="Plaquettes de finition carrées"/>
    <s v="10301115"/>
    <s v="BOUCHART LUDOVIC"/>
    <n v="5"/>
    <x v="0"/>
    <x v="2"/>
    <s v="PLAQUETTES"/>
    <x v="3"/>
    <n v="47.8"/>
  </r>
  <r>
    <d v="2025-09-21T17:20:46"/>
    <x v="5"/>
    <s v="Plaquettes de finition"/>
    <s v="10301115"/>
    <s v="BOUCHART LUDOVIC"/>
    <n v="5"/>
    <x v="1"/>
    <x v="2"/>
    <s v="PLAQUETTES"/>
    <x v="3"/>
    <n v="42.5"/>
  </r>
  <r>
    <d v="2025-09-21T17:20:59"/>
    <x v="6"/>
    <s v="Plaquettes de finition triangulaires"/>
    <s v="10301115"/>
    <s v="BOUCHART LUDOVIC"/>
    <n v="5"/>
    <x v="1"/>
    <x v="2"/>
    <s v="PLAQUETTES"/>
    <x v="3"/>
    <n v="48.7"/>
  </r>
  <r>
    <d v="2025-09-21T17:21:15"/>
    <x v="2"/>
    <s v="Plaquettes de finition carrées"/>
    <s v="10301115"/>
    <s v="BOUCHART LUDOVIC"/>
    <n v="5"/>
    <x v="1"/>
    <x v="2"/>
    <s v="PLAQUETTES"/>
    <x v="3"/>
    <n v="47.8"/>
  </r>
  <r>
    <d v="2025-09-21T22:21:31"/>
    <x v="3"/>
    <s v="Plaquettes d'ébauches carrées"/>
    <s v="U080365"/>
    <s v="ALAVOINE SAMUEL"/>
    <n v="5"/>
    <x v="0"/>
    <x v="3"/>
    <s v="PLAQUETTES"/>
    <x v="3"/>
    <n v="39.799999999999997"/>
  </r>
  <r>
    <d v="2025-09-21T22:21:54"/>
    <x v="3"/>
    <s v="Plaquettes d'ébauches carrées"/>
    <s v="U080365"/>
    <s v="ALAVOINE SAMUEL"/>
    <n v="5"/>
    <x v="0"/>
    <x v="3"/>
    <s v="PLAQUETTES"/>
    <x v="3"/>
    <n v="39.799999999999997"/>
  </r>
  <r>
    <d v="2025-09-22T00:43:53"/>
    <x v="3"/>
    <s v="Plaquettes d'ébauches carrées"/>
    <s v="U080365"/>
    <s v="ALAVOINE SAMUEL"/>
    <n v="5"/>
    <x v="1"/>
    <x v="0"/>
    <s v="PLAQUETTES"/>
    <x v="3"/>
    <n v="39.799999999999997"/>
  </r>
  <r>
    <d v="2025-09-22T00:44:28"/>
    <x v="0"/>
    <s v="Plaquettes d'ébauches rhombiques"/>
    <s v="U080365"/>
    <s v="ALAVOINE SAMUEL"/>
    <n v="5"/>
    <x v="1"/>
    <x v="0"/>
    <s v="PLAQUETTES"/>
    <x v="3"/>
    <n v="39.799999999999997"/>
  </r>
  <r>
    <d v="2025-09-22T00:44:49"/>
    <x v="3"/>
    <s v="Plaquettes d'ébauches carrées"/>
    <s v="U080365"/>
    <s v="ALAVOINE SAMUEL"/>
    <n v="5"/>
    <x v="0"/>
    <x v="0"/>
    <s v="PLAQUETTES"/>
    <x v="3"/>
    <n v="39.799999999999997"/>
  </r>
  <r>
    <d v="2025-09-22T00:45:08"/>
    <x v="0"/>
    <s v="Plaquettes d'ébauches rhombiques"/>
    <s v="U080365"/>
    <s v="ALAVOINE SAMUEL"/>
    <n v="5"/>
    <x v="0"/>
    <x v="0"/>
    <s v="PLAQUETTES"/>
    <x v="3"/>
    <n v="39.799999999999997"/>
  </r>
  <r>
    <d v="2025-09-22T03:26:52"/>
    <x v="2"/>
    <s v="Plaquettes de finition carrées"/>
    <s v="10301115"/>
    <s v="BOUCHART LUDOVIC"/>
    <n v="5"/>
    <x v="0"/>
    <x v="2"/>
    <s v="PLAQUETTES"/>
    <x v="3"/>
    <n v="47.8"/>
  </r>
  <r>
    <d v="2025-09-22T03:27:08"/>
    <x v="2"/>
    <s v="Plaquettes de finition carrées"/>
    <s v="10301115"/>
    <s v="BOUCHART LUDOVIC"/>
    <n v="5"/>
    <x v="1"/>
    <x v="2"/>
    <s v="PLAQUETTES"/>
    <x v="3"/>
    <n v="47.8"/>
  </r>
  <r>
    <d v="2025-09-22T05:57:29"/>
    <x v="3"/>
    <s v="Plaquettes d'ébauches carrées"/>
    <s v="31224"/>
    <s v="BIDOT MURIEL"/>
    <n v="5"/>
    <x v="1"/>
    <x v="3"/>
    <s v="PLAQUETTES"/>
    <x v="3"/>
    <n v="39.799999999999997"/>
  </r>
  <r>
    <d v="2025-09-22T05:57:45"/>
    <x v="3"/>
    <s v="Plaquettes d'ébauches carrées"/>
    <s v="31224"/>
    <s v="BIDOT MURIEL"/>
    <n v="5"/>
    <x v="1"/>
    <x v="3"/>
    <s v="PLAQUETTES"/>
    <x v="3"/>
    <n v="39.799999999999997"/>
  </r>
  <r>
    <d v="2025-09-22T05:57:57"/>
    <x v="3"/>
    <s v="Plaquettes d'ébauches carrées"/>
    <s v="31224"/>
    <s v="BIDOT MURIEL"/>
    <n v="5"/>
    <x v="1"/>
    <x v="3"/>
    <s v="PLAQUETTES"/>
    <x v="3"/>
    <n v="39.799999999999997"/>
  </r>
  <r>
    <d v="2025-09-22T05:58:10"/>
    <x v="3"/>
    <s v="Plaquettes d'ébauches carrées"/>
    <s v="31224"/>
    <s v="BIDOT MURIEL"/>
    <n v="5"/>
    <x v="1"/>
    <x v="3"/>
    <s v="PLAQUETTES"/>
    <x v="3"/>
    <n v="39.799999999999997"/>
  </r>
  <r>
    <d v="2025-09-22T05:58:23"/>
    <x v="0"/>
    <s v="Plaquettes d'ébauches rhombiques"/>
    <s v="31224"/>
    <s v="BIDOT MURIEL"/>
    <n v="5"/>
    <x v="1"/>
    <x v="3"/>
    <s v="PLAQUETTES"/>
    <x v="3"/>
    <n v="39.799999999999997"/>
  </r>
  <r>
    <d v="2025-09-22T05:58:35"/>
    <x v="0"/>
    <s v="Plaquettes d'ébauches rhombiques"/>
    <s v="31224"/>
    <s v="BIDOT MURIEL"/>
    <n v="5"/>
    <x v="1"/>
    <x v="3"/>
    <s v="PLAQUETTES"/>
    <x v="3"/>
    <n v="39.799999999999997"/>
  </r>
  <r>
    <d v="2025-09-22T05:58:50"/>
    <x v="2"/>
    <s v="Plaquettes de finition carrées"/>
    <s v="31224"/>
    <s v="BIDOT MURIEL"/>
    <n v="5"/>
    <x v="1"/>
    <x v="2"/>
    <s v="PLAQUETTES"/>
    <x v="3"/>
    <n v="47.8"/>
  </r>
  <r>
    <d v="2025-09-22T05:59:04"/>
    <x v="2"/>
    <s v="Plaquettes de finition carrées"/>
    <s v="31224"/>
    <s v="BIDOT MURIEL"/>
    <n v="5"/>
    <x v="1"/>
    <x v="2"/>
    <s v="PLAQUETTES"/>
    <x v="3"/>
    <n v="47.8"/>
  </r>
  <r>
    <d v="2025-09-22T05:59:23"/>
    <x v="6"/>
    <s v="Plaquettes de finition triangulaires"/>
    <s v="31224"/>
    <s v="BIDOT MURIEL"/>
    <n v="5"/>
    <x v="1"/>
    <x v="2"/>
    <s v="PLAQUETTES"/>
    <x v="3"/>
    <n v="48.7"/>
  </r>
  <r>
    <d v="2025-09-22T16:03:00"/>
    <x v="3"/>
    <s v="Plaquettes d'ébauches carrées"/>
    <s v="040E47C25C7780"/>
    <s v="PARINGAUX CARROLANE"/>
    <n v="5"/>
    <x v="1"/>
    <x v="0"/>
    <s v="PLAQUETTES"/>
    <x v="3"/>
    <n v="39.799999999999997"/>
  </r>
  <r>
    <d v="2025-09-22T16:03:24"/>
    <x v="0"/>
    <s v="Plaquettes d'ébauches rhombiques"/>
    <s v="040E47C25C7780"/>
    <s v="PARINGAUX CARROLANE"/>
    <n v="5"/>
    <x v="1"/>
    <x v="0"/>
    <s v="PLAQUETTES"/>
    <x v="3"/>
    <n v="39.799999999999997"/>
  </r>
  <r>
    <d v="2025-09-22T20:13:51"/>
    <x v="3"/>
    <s v="Plaquettes d'ébauches carrées"/>
    <s v="SC95213"/>
    <s v="RABET PAULINE"/>
    <n v="5"/>
    <x v="1"/>
    <x v="3"/>
    <s v="PLAQUETTES"/>
    <x v="3"/>
    <n v="39.799999999999997"/>
  </r>
  <r>
    <d v="2025-09-22T20:14:12"/>
    <x v="3"/>
    <s v="Plaquettes d'ébauches carrées"/>
    <s v="SC95213"/>
    <s v="RABET PAULINE"/>
    <n v="5"/>
    <x v="0"/>
    <x v="3"/>
    <s v="PLAQUETTES"/>
    <x v="3"/>
    <n v="39.799999999999997"/>
  </r>
  <r>
    <d v="2025-09-22T20:14:38"/>
    <x v="0"/>
    <s v="Plaquettes d'ébauches rhombiques"/>
    <s v="SC95213"/>
    <s v="RABET PAULINE"/>
    <n v="5"/>
    <x v="1"/>
    <x v="3"/>
    <s v="PLAQUETTES"/>
    <x v="3"/>
    <n v="39.799999999999997"/>
  </r>
  <r>
    <d v="2025-09-22T20:14:56"/>
    <x v="0"/>
    <s v="Plaquettes d'ébauches rhombiques"/>
    <s v="SC95213"/>
    <s v="RABET PAULINE"/>
    <n v="5"/>
    <x v="0"/>
    <x v="3"/>
    <s v="PLAQUETTES"/>
    <x v="3"/>
    <n v="39.799999999999997"/>
  </r>
  <r>
    <d v="2025-09-22T22:27:06"/>
    <x v="2"/>
    <s v="Plaquettes de finition carrées"/>
    <s v="7236310"/>
    <s v="OZYURT IREM"/>
    <n v="5"/>
    <x v="0"/>
    <x v="2"/>
    <s v="PLAQUETTES"/>
    <x v="3"/>
    <n v="47.8"/>
  </r>
  <r>
    <d v="2025-09-22T22:27:35"/>
    <x v="2"/>
    <s v="Plaquettes de finition carrées"/>
    <s v="7236310"/>
    <s v="OZYURT IREM"/>
    <n v="5"/>
    <x v="1"/>
    <x v="2"/>
    <s v="PLAQUETTES"/>
    <x v="3"/>
    <n v="47.8"/>
  </r>
  <r>
    <d v="2025-09-23T05:12:55"/>
    <x v="3"/>
    <s v="Plaquettes d'ébauches carrées"/>
    <s v="31224"/>
    <s v="BIDOT MURIEL"/>
    <n v="5"/>
    <x v="1"/>
    <x v="3"/>
    <s v="PLAQUETTES"/>
    <x v="3"/>
    <n v="39.799999999999997"/>
  </r>
  <r>
    <d v="2025-09-23T05:13:07"/>
    <x v="3"/>
    <s v="Plaquettes d'ébauches carrées"/>
    <s v="31224"/>
    <s v="BIDOT MURIEL"/>
    <n v="5"/>
    <x v="1"/>
    <x v="3"/>
    <s v="PLAQUETTES"/>
    <x v="3"/>
    <n v="39.799999999999997"/>
  </r>
  <r>
    <d v="2025-09-23T05:13:24"/>
    <x v="3"/>
    <s v="Plaquettes d'ébauches carrées"/>
    <s v="31224"/>
    <s v="BIDOT MURIEL"/>
    <n v="5"/>
    <x v="0"/>
    <x v="3"/>
    <s v="PLAQUETTES"/>
    <x v="3"/>
    <n v="39.799999999999997"/>
  </r>
  <r>
    <d v="2025-09-23T05:13:37"/>
    <x v="0"/>
    <s v="Plaquettes d'ébauches rhombiques"/>
    <s v="31224"/>
    <s v="BIDOT MURIEL"/>
    <n v="5"/>
    <x v="1"/>
    <x v="0"/>
    <s v="PLAQUETTES"/>
    <x v="3"/>
    <n v="39.799999999999997"/>
  </r>
  <r>
    <d v="2025-09-23T05:13:49"/>
    <x v="0"/>
    <s v="Plaquettes d'ébauches rhombiques"/>
    <s v="31224"/>
    <s v="BIDOT MURIEL"/>
    <n v="5"/>
    <x v="1"/>
    <x v="0"/>
    <s v="PLAQUETTES"/>
    <x v="3"/>
    <n v="39.799999999999997"/>
  </r>
  <r>
    <d v="2025-09-23T05:14:04"/>
    <x v="0"/>
    <s v="Plaquettes d'ébauches rhombiques"/>
    <s v="31224"/>
    <s v="BIDOT MURIEL"/>
    <n v="5"/>
    <x v="1"/>
    <x v="0"/>
    <s v="PLAQUETTES"/>
    <x v="3"/>
    <n v="39.799999999999997"/>
  </r>
  <r>
    <d v="2025-09-23T05:14:18"/>
    <x v="2"/>
    <s v="Plaquettes de finition carrées"/>
    <s v="31224"/>
    <s v="BIDOT MURIEL"/>
    <n v="5"/>
    <x v="1"/>
    <x v="2"/>
    <s v="PLAQUETTES"/>
    <x v="3"/>
    <n v="47.8"/>
  </r>
  <r>
    <d v="2025-09-23T05:14:31"/>
    <x v="2"/>
    <s v="Plaquettes de finition carrées"/>
    <s v="31224"/>
    <s v="BIDOT MURIEL"/>
    <n v="5"/>
    <x v="1"/>
    <x v="2"/>
    <s v="PLAQUETTES"/>
    <x v="3"/>
    <n v="47.8"/>
  </r>
  <r>
    <d v="2025-09-23T06:00:42"/>
    <x v="3"/>
    <s v="Plaquettes d'ébauches carrées"/>
    <s v="070325"/>
    <s v="PEREIRA KEVIN"/>
    <n v="5"/>
    <x v="0"/>
    <x v="3"/>
    <s v="PLAQUETTES"/>
    <x v="3"/>
    <n v="39.799999999999997"/>
  </r>
  <r>
    <d v="2025-09-23T06:00:56"/>
    <x v="3"/>
    <s v="Plaquettes d'ébauches carrées"/>
    <s v="070325"/>
    <s v="PEREIRA KEVIN"/>
    <n v="5"/>
    <x v="0"/>
    <x v="0"/>
    <s v="PLAQUETTES"/>
    <x v="3"/>
    <n v="39.799999999999997"/>
  </r>
  <r>
    <d v="2025-09-23T06:01:10"/>
    <x v="6"/>
    <s v="Plaquettes de finition triangulaires"/>
    <s v="070325"/>
    <s v="PEREIRA KEVIN"/>
    <n v="5"/>
    <x v="0"/>
    <x v="2"/>
    <s v="PLAQUETTES"/>
    <x v="3"/>
    <n v="48.7"/>
  </r>
  <r>
    <d v="2025-09-23T06:01:25"/>
    <x v="2"/>
    <s v="Plaquettes de finition carrées"/>
    <s v="070325"/>
    <s v="PEREIRA KEVIN"/>
    <n v="5"/>
    <x v="0"/>
    <x v="2"/>
    <s v="PLAQUETTES"/>
    <x v="3"/>
    <n v="47.8"/>
  </r>
  <r>
    <d v="2025-09-23T08:45:43"/>
    <x v="3"/>
    <s v="Plaquettes d'ébauches carrées"/>
    <s v="31224"/>
    <s v="BIDOT MURIEL"/>
    <n v="5"/>
    <x v="1"/>
    <x v="3"/>
    <s v="PLAQUETTES"/>
    <x v="3"/>
    <n v="39.799999999999997"/>
  </r>
  <r>
    <d v="2025-09-23T08:46:01"/>
    <x v="5"/>
    <s v="Plaquettes de finition"/>
    <s v="31224"/>
    <s v="BIDOT MURIEL"/>
    <n v="5"/>
    <x v="1"/>
    <x v="2"/>
    <s v="PLAQUETTES"/>
    <x v="3"/>
    <n v="42.5"/>
  </r>
  <r>
    <d v="2025-09-23T08:46:16"/>
    <x v="6"/>
    <s v="Plaquettes de finition triangulaires"/>
    <s v="31224"/>
    <s v="BIDOT MURIEL"/>
    <n v="5"/>
    <x v="1"/>
    <x v="2"/>
    <s v="PLAQUETTES"/>
    <x v="3"/>
    <n v="48.7"/>
  </r>
  <r>
    <d v="2025-09-23T11:05:03"/>
    <x v="3"/>
    <s v="Plaquettes d'ébauches carrées"/>
    <s v="12824586"/>
    <s v="DASILVA FERNANDO"/>
    <n v="5"/>
    <x v="0"/>
    <x v="3"/>
    <s v="PLAQUETTES"/>
    <x v="4"/>
    <n v="39.799999999999997"/>
  </r>
  <r>
    <d v="2025-09-23T17:21:27"/>
    <x v="3"/>
    <s v="Plaquettes d'ébauches carrées"/>
    <s v="SC95213"/>
    <s v="RABET PAULINE"/>
    <n v="5"/>
    <x v="0"/>
    <x v="3"/>
    <s v="PLAQUETTES"/>
    <x v="3"/>
    <n v="39.799999999999997"/>
  </r>
  <r>
    <d v="2025-09-23T17:21:44"/>
    <x v="0"/>
    <s v="Plaquettes d'ébauches rhombiques"/>
    <s v="SC95213"/>
    <s v="RABET PAULINE"/>
    <n v="5"/>
    <x v="0"/>
    <x v="3"/>
    <s v="PLAQUETTES"/>
    <x v="3"/>
    <n v="39.799999999999997"/>
  </r>
  <r>
    <d v="2025-09-24T07:26:55"/>
    <x v="3"/>
    <s v="Plaquettes d'ébauches carrées"/>
    <s v="12824586"/>
    <s v="DASILVA FERNANDO"/>
    <n v="15"/>
    <x v="1"/>
    <x v="3"/>
    <s v="PLAQUETTES"/>
    <x v="3"/>
    <n v="119.4"/>
  </r>
  <r>
    <d v="2025-09-24T07:27:34"/>
    <x v="0"/>
    <s v="Plaquettes d'ébauches rhombiques"/>
    <s v="12824586"/>
    <s v="DASILVA FERNANDO"/>
    <n v="15"/>
    <x v="1"/>
    <x v="3"/>
    <s v="PLAQUETTES"/>
    <x v="3"/>
    <n v="119.4"/>
  </r>
  <r>
    <d v="2025-09-24T07:28:22"/>
    <x v="2"/>
    <s v="Plaquettes de finition carrées"/>
    <s v="12824586"/>
    <s v="DASILVA FERNANDO"/>
    <n v="15"/>
    <x v="1"/>
    <x v="2"/>
    <s v="PLAQUETTES"/>
    <x v="3"/>
    <n v="143.4"/>
  </r>
  <r>
    <d v="2025-09-24T07:29:51"/>
    <x v="3"/>
    <s v="Plaquettes d'ébauches carrées"/>
    <s v="12824586"/>
    <s v="DASILVA FERNANDO"/>
    <n v="10"/>
    <x v="1"/>
    <x v="3"/>
    <s v="PLAQUETTES"/>
    <x v="3"/>
    <n v="79.599999999999994"/>
  </r>
  <r>
    <d v="2025-09-24T07:30:14"/>
    <x v="0"/>
    <s v="Plaquettes d'ébauches rhombiques"/>
    <s v="12824586"/>
    <s v="DASILVA FERNANDO"/>
    <n v="10"/>
    <x v="1"/>
    <x v="3"/>
    <s v="PLAQUETTES"/>
    <x v="3"/>
    <n v="79.599999999999994"/>
  </r>
  <r>
    <d v="2025-09-24T13:19:06"/>
    <x v="3"/>
    <s v="Plaquettes d'ébauches carrées"/>
    <s v="040E47C25C7780"/>
    <s v="PARINGAUX CARROLANE"/>
    <n v="5"/>
    <x v="0"/>
    <x v="3"/>
    <s v="PLAQUETTES"/>
    <x v="3"/>
    <n v="39.799999999999997"/>
  </r>
  <r>
    <d v="2025-09-24T13:19:24"/>
    <x v="3"/>
    <s v="Plaquettes d'ébauches carrées"/>
    <s v="040E47C25C7780"/>
    <s v="PARINGAUX CARROLANE"/>
    <n v="5"/>
    <x v="0"/>
    <x v="3"/>
    <s v="PLAQUETTES"/>
    <x v="3"/>
    <n v="39.799999999999997"/>
  </r>
  <r>
    <d v="2025-09-24T13:20:40"/>
    <x v="0"/>
    <s v="Plaquettes d'ébauches rhombiques"/>
    <s v="040E47C25C7780"/>
    <s v="PARINGAUX CARROLANE"/>
    <n v="5"/>
    <x v="0"/>
    <x v="0"/>
    <s v="PLAQUETTES"/>
    <x v="3"/>
    <n v="39.799999999999997"/>
  </r>
  <r>
    <d v="2025-09-24T13:50:38"/>
    <x v="5"/>
    <s v="Plaquettes de finition"/>
    <s v="040E47C25C7780"/>
    <s v="PARINGAUX CARROLANE"/>
    <n v="5"/>
    <x v="0"/>
    <x v="2"/>
    <s v="PLAQUETTES"/>
    <x v="3"/>
    <n v="42.5"/>
  </r>
  <r>
    <d v="2025-09-24T14:14:01"/>
    <x v="3"/>
    <s v="Plaquettes d'ébauches carrées"/>
    <s v="12824586"/>
    <s v="DASILVA FERNANDO"/>
    <n v="5"/>
    <x v="0"/>
    <x v="3"/>
    <s v="PLAQUETTES"/>
    <x v="4"/>
    <n v="39.799999999999997"/>
  </r>
  <r>
    <d v="2025-09-24T14:50:42"/>
    <x v="3"/>
    <s v="Plaquettes d'ébauches carrées"/>
    <s v="040E47C25C7780"/>
    <s v="PARINGAUX CARROLANE"/>
    <n v="5"/>
    <x v="0"/>
    <x v="0"/>
    <s v="PLAQUETTES"/>
    <x v="3"/>
    <n v="39.799999999999997"/>
  </r>
  <r>
    <d v="2025-09-24T14:51:00"/>
    <x v="0"/>
    <s v="Plaquettes d'ébauches rhombiques"/>
    <s v="040E47C25C7780"/>
    <s v="PARINGAUX CARROLANE"/>
    <n v="5"/>
    <x v="0"/>
    <x v="0"/>
    <s v="PLAQUETTES"/>
    <x v="3"/>
    <n v="39.799999999999997"/>
  </r>
  <r>
    <d v="2025-09-24T15:36:12"/>
    <x v="2"/>
    <s v="Plaquettes de finition carrées"/>
    <s v="SE38185"/>
    <s v="PIERRE NICOLAS VENIAT"/>
    <n v="5"/>
    <x v="1"/>
    <x v="2"/>
    <s v="PLAQUETTES"/>
    <x v="3"/>
    <n v="47.8"/>
  </r>
  <r>
    <d v="2025-09-24T15:36:28"/>
    <x v="0"/>
    <s v="Plaquettes d'ébauches rhombiques"/>
    <s v="SE38185"/>
    <s v="PIERRE NICOLAS VENIAT"/>
    <n v="5"/>
    <x v="1"/>
    <x v="0"/>
    <s v="PLAQUETTES"/>
    <x v="3"/>
    <n v="39.799999999999997"/>
  </r>
  <r>
    <d v="2025-09-24T15:36:47"/>
    <x v="3"/>
    <s v="Plaquettes d'ébauches carrées"/>
    <s v="SE38185"/>
    <s v="PIERRE NICOLAS VENIAT"/>
    <n v="5"/>
    <x v="1"/>
    <x v="0"/>
    <s v="PLAQUETTES"/>
    <x v="3"/>
    <n v="39.799999999999997"/>
  </r>
  <r>
    <d v="2025-09-24T15:37:05"/>
    <x v="3"/>
    <s v="Plaquettes d'ébauches carrées"/>
    <s v="SE38185"/>
    <s v="PIERRE NICOLAS VENIAT"/>
    <n v="5"/>
    <x v="1"/>
    <x v="3"/>
    <s v="PLAQUETTES"/>
    <x v="3"/>
    <n v="39.799999999999997"/>
  </r>
  <r>
    <d v="2025-09-24T15:37:22"/>
    <x v="0"/>
    <s v="Plaquettes d'ébauches rhombiques"/>
    <s v="SE38185"/>
    <s v="PIERRE NICOLAS VENIAT"/>
    <n v="5"/>
    <x v="1"/>
    <x v="3"/>
    <s v="PLAQUETTES"/>
    <x v="3"/>
    <n v="39.799999999999997"/>
  </r>
  <r>
    <d v="2025-09-24T19:18:06"/>
    <x v="5"/>
    <s v="Plaquettes de finition"/>
    <s v="040E47C25C7780"/>
    <s v="PARINGAUX CARROLANE"/>
    <n v="5"/>
    <x v="1"/>
    <x v="2"/>
    <s v="PLAQUETTES"/>
    <x v="3"/>
    <n v="42.5"/>
  </r>
  <r>
    <d v="2025-09-24T19:18:20"/>
    <x v="6"/>
    <s v="Plaquettes de finition triangulaires"/>
    <s v="040E47C25C7780"/>
    <s v="PARINGAUX CARROLANE"/>
    <n v="5"/>
    <x v="1"/>
    <x v="2"/>
    <s v="PLAQUETTES"/>
    <x v="3"/>
    <n v="48.7"/>
  </r>
  <r>
    <d v="2025-09-24T19:18:37"/>
    <x v="2"/>
    <s v="Plaquettes de finition carrées"/>
    <s v="040E47C25C7780"/>
    <s v="PARINGAUX CARROLANE"/>
    <n v="5"/>
    <x v="1"/>
    <x v="2"/>
    <s v="PLAQUETTES"/>
    <x v="3"/>
    <n v="47.8"/>
  </r>
  <r>
    <d v="2025-09-24T19:19:01"/>
    <x v="2"/>
    <s v="Plaquettes de finition carrées"/>
    <s v="040E47C25C7780"/>
    <s v="PARINGAUX CARROLANE"/>
    <n v="5"/>
    <x v="0"/>
    <x v="2"/>
    <s v="PLAQUETTES"/>
    <x v="3"/>
    <n v="47.8"/>
  </r>
  <r>
    <d v="2025-09-24T23:14:16"/>
    <x v="3"/>
    <s v="Plaquettes d'ébauches carrées"/>
    <s v="090225"/>
    <s v="MEYER THOMAS"/>
    <n v="5"/>
    <x v="1"/>
    <x v="3"/>
    <s v="PLAQUETTES"/>
    <x v="3"/>
    <n v="39.799999999999997"/>
  </r>
  <r>
    <d v="2025-09-25T05:06:40"/>
    <x v="2"/>
    <s v="Plaquettes de finition carrées"/>
    <s v="31224"/>
    <s v="BIDOT MURIEL"/>
    <n v="5"/>
    <x v="1"/>
    <x v="2"/>
    <s v="PLAQUETTES"/>
    <x v="3"/>
    <n v="47.8"/>
  </r>
  <r>
    <d v="2025-09-25T05:07:03"/>
    <x v="2"/>
    <s v="Plaquettes de finition carrées"/>
    <s v="31224"/>
    <s v="BIDOT MURIEL"/>
    <n v="5"/>
    <x v="1"/>
    <x v="2"/>
    <s v="PLAQUETTES"/>
    <x v="3"/>
    <n v="47.8"/>
  </r>
  <r>
    <d v="2025-09-25T14:08:37"/>
    <x v="3"/>
    <s v="Plaquettes d'ébauches carrées"/>
    <s v="040E47C25C7780"/>
    <s v="PARINGAUX CARROLANE"/>
    <n v="5"/>
    <x v="1"/>
    <x v="3"/>
    <s v="PLAQUETTES"/>
    <x v="3"/>
    <n v="39.799999999999997"/>
  </r>
  <r>
    <d v="2025-09-25T14:09:06"/>
    <x v="0"/>
    <s v="Plaquettes d'ébauches rhombiques"/>
    <s v="040E47C25C7780"/>
    <s v="PARINGAUX CARROLANE"/>
    <n v="5"/>
    <x v="1"/>
    <x v="3"/>
    <s v="PLAQUETTES"/>
    <x v="3"/>
    <n v="39.799999999999997"/>
  </r>
  <r>
    <d v="2025-09-25T14:09:26"/>
    <x v="2"/>
    <s v="Plaquettes de finition carrées"/>
    <s v="040E47C25C7780"/>
    <s v="PARINGAUX CARROLANE"/>
    <n v="5"/>
    <x v="1"/>
    <x v="2"/>
    <s v="PLAQUETTES"/>
    <x v="3"/>
    <n v="47.8"/>
  </r>
  <r>
    <d v="2025-09-25T21:42:00"/>
    <x v="2"/>
    <s v="Plaquettes de finition carrées"/>
    <s v="7236310"/>
    <s v="OZYURT IREM"/>
    <n v="5"/>
    <x v="1"/>
    <x v="2"/>
    <s v="PLAQUETTES"/>
    <x v="3"/>
    <n v="47.8"/>
  </r>
  <r>
    <d v="2025-09-25T21:42:17"/>
    <x v="2"/>
    <s v="Plaquettes de finition carrées"/>
    <s v="7236310"/>
    <s v="OZYURT IREM"/>
    <n v="5"/>
    <x v="0"/>
    <x v="2"/>
    <s v="PLAQUETTES"/>
    <x v="3"/>
    <n v="47.8"/>
  </r>
  <r>
    <d v="2025-09-25T21:48:40"/>
    <x v="3"/>
    <s v="Plaquettes d'ébauches carrées"/>
    <s v="090225"/>
    <s v="MEYER THOMAS"/>
    <n v="5"/>
    <x v="1"/>
    <x v="3"/>
    <s v="PLAQUETTES"/>
    <x v="3"/>
    <n v="39.799999999999997"/>
  </r>
  <r>
    <d v="2025-09-25T21:48:51"/>
    <x v="3"/>
    <s v="Plaquettes d'ébauches carrées"/>
    <s v="090225"/>
    <s v="MEYER THOMAS"/>
    <n v="5"/>
    <x v="1"/>
    <x v="3"/>
    <s v="PLAQUETTES"/>
    <x v="3"/>
    <n v="39.799999999999997"/>
  </r>
  <r>
    <d v="2025-09-25T21:49:05"/>
    <x v="3"/>
    <s v="Plaquettes d'ébauches carrées"/>
    <s v="090225"/>
    <s v="MEYER THOMAS"/>
    <n v="5"/>
    <x v="1"/>
    <x v="0"/>
    <s v="PLAQUETTES"/>
    <x v="3"/>
    <n v="39.799999999999997"/>
  </r>
  <r>
    <d v="2025-09-25T21:49:15"/>
    <x v="3"/>
    <s v="Plaquettes d'ébauches carrées"/>
    <s v="090225"/>
    <s v="MEYER THOMAS"/>
    <n v="5"/>
    <x v="1"/>
    <x v="0"/>
    <s v="PLAQUETTES"/>
    <x v="3"/>
    <n v="39.799999999999997"/>
  </r>
  <r>
    <d v="2025-09-25T21:49:34"/>
    <x v="0"/>
    <s v="Plaquettes d'ébauches rhombiques"/>
    <s v="090225"/>
    <s v="MEYER THOMAS"/>
    <n v="5"/>
    <x v="1"/>
    <x v="3"/>
    <s v="PLAQUETTES"/>
    <x v="3"/>
    <n v="39.799999999999997"/>
  </r>
  <r>
    <d v="2025-09-25T21:49:47"/>
    <x v="0"/>
    <s v="Plaquettes d'ébauches rhombiques"/>
    <s v="090225"/>
    <s v="MEYER THOMAS"/>
    <n v="5"/>
    <x v="1"/>
    <x v="3"/>
    <s v="PLAQUETTES"/>
    <x v="3"/>
    <n v="39.799999999999997"/>
  </r>
  <r>
    <d v="2025-09-25T21:50:01"/>
    <x v="0"/>
    <s v="Plaquettes d'ébauches rhombiques"/>
    <s v="090225"/>
    <s v="MEYER THOMAS"/>
    <n v="5"/>
    <x v="1"/>
    <x v="0"/>
    <s v="PLAQUETTES"/>
    <x v="3"/>
    <n v="39.799999999999997"/>
  </r>
  <r>
    <d v="2025-09-25T21:50:15"/>
    <x v="0"/>
    <s v="Plaquettes d'ébauches rhombiques"/>
    <s v="090225"/>
    <s v="MEYER THOMAS"/>
    <n v="5"/>
    <x v="1"/>
    <x v="0"/>
    <s v="PLAQUETTES"/>
    <x v="3"/>
    <n v="39.799999999999997"/>
  </r>
  <r>
    <d v="2025-09-25T21:50:28"/>
    <x v="3"/>
    <s v="Plaquettes d'ébauches carrées"/>
    <s v="090225"/>
    <s v="MEYER THOMAS"/>
    <n v="5"/>
    <x v="0"/>
    <x v="3"/>
    <s v="PLAQUETTES"/>
    <x v="3"/>
    <n v="39.799999999999997"/>
  </r>
  <r>
    <d v="2025-09-25T21:50:47"/>
    <x v="3"/>
    <s v="Plaquettes d'ébauches carrées"/>
    <s v="090225"/>
    <s v="MEYER THOMAS"/>
    <n v="5"/>
    <x v="0"/>
    <x v="3"/>
    <s v="PLAQUETTES"/>
    <x v="3"/>
    <n v="39.799999999999997"/>
  </r>
  <r>
    <d v="2025-09-25T21:51:07"/>
    <x v="3"/>
    <s v="Plaquettes d'ébauches carrées"/>
    <s v="090225"/>
    <s v="MEYER THOMAS"/>
    <n v="5"/>
    <x v="0"/>
    <x v="0"/>
    <s v="PLAQUETTES"/>
    <x v="3"/>
    <n v="39.799999999999997"/>
  </r>
  <r>
    <d v="2025-09-25T21:51:24"/>
    <x v="0"/>
    <s v="Plaquettes d'ébauches rhombiques"/>
    <s v="090225"/>
    <s v="MEYER THOMAS"/>
    <n v="5"/>
    <x v="0"/>
    <x v="0"/>
    <s v="PLAQUETTES"/>
    <x v="3"/>
    <n v="39.799999999999997"/>
  </r>
  <r>
    <d v="2025-09-25T21:51:37"/>
    <x v="0"/>
    <s v="Plaquettes d'ébauches rhombiques"/>
    <s v="090225"/>
    <s v="MEYER THOMAS"/>
    <n v="5"/>
    <x v="0"/>
    <x v="0"/>
    <s v="PLAQUETTES"/>
    <x v="3"/>
    <n v="39.799999999999997"/>
  </r>
  <r>
    <d v="2025-09-25T21:51:53"/>
    <x v="0"/>
    <s v="Plaquettes d'ébauches rhombiques"/>
    <s v="090225"/>
    <s v="MEYER THOMAS"/>
    <n v="5"/>
    <x v="0"/>
    <x v="3"/>
    <s v="PLAQUETTES"/>
    <x v="3"/>
    <n v="39.799999999999997"/>
  </r>
  <r>
    <d v="2025-09-26T05:38:55"/>
    <x v="5"/>
    <s v="Plaquettes de finition"/>
    <s v="10301115"/>
    <s v="BOUCHART LUDOVIC"/>
    <n v="5"/>
    <x v="0"/>
    <x v="2"/>
    <s v="PLAQUETTES"/>
    <x v="3"/>
    <n v="42.5"/>
  </r>
  <r>
    <d v="2025-09-26T05:39:06"/>
    <x v="6"/>
    <s v="Plaquettes de finition triangulaires"/>
    <s v="10301115"/>
    <s v="BOUCHART LUDOVIC"/>
    <n v="5"/>
    <x v="0"/>
    <x v="2"/>
    <s v="PLAQUETTES"/>
    <x v="3"/>
    <n v="48.7"/>
  </r>
  <r>
    <d v="2025-09-26T05:39:20"/>
    <x v="2"/>
    <s v="Plaquettes de finition carrées"/>
    <s v="10301115"/>
    <s v="BOUCHART LUDOVIC"/>
    <n v="5"/>
    <x v="0"/>
    <x v="2"/>
    <s v="PLAQUETTES"/>
    <x v="3"/>
    <n v="47.8"/>
  </r>
  <r>
    <d v="2025-09-26T05:39:33"/>
    <x v="2"/>
    <s v="Plaquettes de finition carrées"/>
    <s v="10301115"/>
    <s v="BOUCHART LUDOVIC"/>
    <n v="5"/>
    <x v="0"/>
    <x v="2"/>
    <s v="PLAQUETTES"/>
    <x v="3"/>
    <n v="47.8"/>
  </r>
  <r>
    <d v="2025-09-26T05:39:48"/>
    <x v="5"/>
    <s v="Plaquettes de finition"/>
    <s v="10301115"/>
    <s v="BOUCHART LUDOVIC"/>
    <n v="5"/>
    <x v="1"/>
    <x v="2"/>
    <s v="PLAQUETTES"/>
    <x v="3"/>
    <n v="42.5"/>
  </r>
  <r>
    <d v="2025-09-26T05:40:02"/>
    <x v="6"/>
    <s v="Plaquettes de finition triangulaires"/>
    <s v="10301115"/>
    <s v="BOUCHART LUDOVIC"/>
    <n v="5"/>
    <x v="1"/>
    <x v="2"/>
    <s v="PLAQUETTES"/>
    <x v="3"/>
    <n v="48.7"/>
  </r>
  <r>
    <d v="2025-09-26T05:40:16"/>
    <x v="2"/>
    <s v="Plaquettes de finition carrées"/>
    <s v="10301115"/>
    <s v="BOUCHART LUDOVIC"/>
    <n v="5"/>
    <x v="1"/>
    <x v="2"/>
    <s v="PLAQUETTES"/>
    <x v="3"/>
    <n v="47.8"/>
  </r>
  <r>
    <d v="2025-09-26T05:40:29"/>
    <x v="2"/>
    <s v="Plaquettes de finition carrées"/>
    <s v="10301115"/>
    <s v="BOUCHART LUDOVIC"/>
    <n v="5"/>
    <x v="1"/>
    <x v="2"/>
    <s v="PLAQUETTES"/>
    <x v="3"/>
    <n v="47.8"/>
  </r>
  <r>
    <d v="2025-09-26T08:57:30"/>
    <x v="3"/>
    <s v="Plaquettes d'ébauches carrées"/>
    <s v="U080365"/>
    <s v="ALAVOINE SAMUEL"/>
    <n v="5"/>
    <x v="0"/>
    <x v="3"/>
    <s v="PLAQUETTES"/>
    <x v="3"/>
    <n v="39.799999999999997"/>
  </r>
  <r>
    <d v="2025-09-26T08:57:52"/>
    <x v="3"/>
    <s v="Plaquettes d'ébauches carrées"/>
    <s v="U080365"/>
    <s v="ALAVOINE SAMUEL"/>
    <n v="5"/>
    <x v="0"/>
    <x v="3"/>
    <s v="PLAQUETTES"/>
    <x v="3"/>
    <n v="39.799999999999997"/>
  </r>
  <r>
    <d v="2025-09-26T08:58:17"/>
    <x v="3"/>
    <s v="Plaquettes d'ébauches carrées"/>
    <s v="U080365"/>
    <s v="ALAVOINE SAMUEL"/>
    <n v="5"/>
    <x v="1"/>
    <x v="3"/>
    <s v="PLAQUETTES"/>
    <x v="3"/>
    <n v="39.799999999999997"/>
  </r>
  <r>
    <d v="2025-09-26T13:21:55"/>
    <x v="0"/>
    <s v="Plaquettes d'ébauches rhombiques"/>
    <s v="040E47C25C7780"/>
    <s v="PARINGAUX CARROLANE"/>
    <n v="5"/>
    <x v="1"/>
    <x v="0"/>
    <s v="PLAQUETTES"/>
    <x v="3"/>
    <n v="39.799999999999997"/>
  </r>
  <r>
    <d v="2025-09-26T15:00:24"/>
    <x v="10"/>
    <s v="Plaquettes TPGX0902ZPRGD KC7315"/>
    <s v="12824586"/>
    <s v="DASILVA FERNANDO"/>
    <n v="10"/>
    <x v="0"/>
    <x v="1"/>
    <s v="PLAQUETTES"/>
    <x v="1"/>
    <n v="81.5"/>
  </r>
  <r>
    <d v="2025-09-26T16:29:32"/>
    <x v="3"/>
    <s v="Plaquettes d'ébauches carrées"/>
    <s v="040E47C25C7780"/>
    <s v="PARINGAUX CARROLANE"/>
    <n v="5"/>
    <x v="1"/>
    <x v="3"/>
    <s v="PLAQUETTES"/>
    <x v="3"/>
    <n v="39.799999999999997"/>
  </r>
  <r>
    <d v="2025-09-26T16:29:46"/>
    <x v="3"/>
    <s v="Plaquettes d'ébauches carrées"/>
    <s v="040E47C25C7780"/>
    <s v="PARINGAUX CARROLANE"/>
    <n v="5"/>
    <x v="1"/>
    <x v="0"/>
    <s v="PLAQUETTES"/>
    <x v="3"/>
    <n v="39.799999999999997"/>
  </r>
  <r>
    <d v="2025-09-26T16:30:16"/>
    <x v="2"/>
    <s v="Plaquettes de finition carrées"/>
    <s v="040E47C25C7780"/>
    <s v="PARINGAUX CARROLANE"/>
    <n v="5"/>
    <x v="1"/>
    <x v="2"/>
    <s v="PLAQUETTES"/>
    <x v="3"/>
    <n v="47.8"/>
  </r>
  <r>
    <d v="2025-09-27T03:30:29"/>
    <x v="3"/>
    <s v="Plaquettes d'ébauches carrées"/>
    <s v="090225"/>
    <s v="MEYER THOMAS"/>
    <n v="5"/>
    <x v="1"/>
    <x v="3"/>
    <s v="PLAQUETTES"/>
    <x v="3"/>
    <n v="39.799999999999997"/>
  </r>
  <r>
    <d v="2025-09-27T03:30:42"/>
    <x v="0"/>
    <s v="Plaquettes d'ébauches rhombiques"/>
    <s v="090225"/>
    <s v="MEYER THOMAS"/>
    <n v="5"/>
    <x v="1"/>
    <x v="3"/>
    <s v="PLAQUETTES"/>
    <x v="3"/>
    <n v="39.799999999999997"/>
  </r>
  <r>
    <d v="2025-09-27T03:30:56"/>
    <x v="3"/>
    <s v="Plaquettes d'ébauches carrées"/>
    <s v="090225"/>
    <s v="MEYER THOMAS"/>
    <n v="5"/>
    <x v="0"/>
    <x v="3"/>
    <s v="PLAQUETTES"/>
    <x v="3"/>
    <n v="39.799999999999997"/>
  </r>
  <r>
    <d v="2025-09-27T03:31:08"/>
    <x v="0"/>
    <s v="Plaquettes d'ébauches rhombiques"/>
    <s v="090225"/>
    <s v="MEYER THOMAS"/>
    <n v="5"/>
    <x v="0"/>
    <x v="3"/>
    <s v="PLAQUETTES"/>
    <x v="3"/>
    <n v="39.799999999999997"/>
  </r>
  <r>
    <d v="2025-09-27T03:31:22"/>
    <x v="3"/>
    <s v="Plaquettes d'ébauches carrées"/>
    <s v="090225"/>
    <s v="MEYER THOMAS"/>
    <n v="5"/>
    <x v="0"/>
    <x v="0"/>
    <s v="PLAQUETTES"/>
    <x v="3"/>
    <n v="39.799999999999997"/>
  </r>
  <r>
    <d v="2025-09-27T03:31:48"/>
    <x v="0"/>
    <s v="Plaquettes d'ébauches rhombiques"/>
    <s v="090225"/>
    <s v="MEYER THOMAS"/>
    <n v="5"/>
    <x v="0"/>
    <x v="0"/>
    <s v="PLAQUETTES"/>
    <x v="3"/>
    <n v="39.799999999999997"/>
  </r>
  <r>
    <d v="2025-09-27T05:21:35"/>
    <x v="5"/>
    <s v="Plaquettes de finition"/>
    <s v="10301115"/>
    <s v="BOUCHART LUDOVIC"/>
    <n v="5"/>
    <x v="0"/>
    <x v="2"/>
    <s v="PLAQUETTES"/>
    <x v="3"/>
    <n v="42.5"/>
  </r>
  <r>
    <d v="2025-09-27T05:21:48"/>
    <x v="6"/>
    <s v="Plaquettes de finition triangulaires"/>
    <s v="10301115"/>
    <s v="BOUCHART LUDOVIC"/>
    <n v="5"/>
    <x v="0"/>
    <x v="2"/>
    <s v="PLAQUETTES"/>
    <x v="3"/>
    <n v="48.7"/>
  </r>
  <r>
    <d v="2025-09-27T05:22:01"/>
    <x v="2"/>
    <s v="Plaquettes de finition carrées"/>
    <s v="10301115"/>
    <s v="BOUCHART LUDOVIC"/>
    <n v="5"/>
    <x v="0"/>
    <x v="2"/>
    <s v="PLAQUETTES"/>
    <x v="3"/>
    <n v="47.8"/>
  </r>
  <r>
    <d v="2025-09-27T05:22:20"/>
    <x v="2"/>
    <s v="Plaquettes de finition carrées"/>
    <s v="10301115"/>
    <s v="BOUCHART LUDOVIC"/>
    <n v="5"/>
    <x v="0"/>
    <x v="2"/>
    <s v="PLAQUETTES"/>
    <x v="3"/>
    <n v="47.8"/>
  </r>
  <r>
    <d v="2025-09-27T05:22:33"/>
    <x v="5"/>
    <s v="Plaquettes de finition"/>
    <s v="10301115"/>
    <s v="BOUCHART LUDOVIC"/>
    <n v="5"/>
    <x v="1"/>
    <x v="2"/>
    <s v="PLAQUETTES"/>
    <x v="3"/>
    <n v="42.5"/>
  </r>
  <r>
    <d v="2025-09-27T05:22:48"/>
    <x v="6"/>
    <s v="Plaquettes de finition triangulaires"/>
    <s v="10301115"/>
    <s v="BOUCHART LUDOVIC"/>
    <n v="5"/>
    <x v="1"/>
    <x v="2"/>
    <s v="PLAQUETTES"/>
    <x v="3"/>
    <n v="48.7"/>
  </r>
  <r>
    <d v="2025-09-27T05:25:47"/>
    <x v="3"/>
    <s v="Plaquettes d'ébauches carrées"/>
    <s v="U080365"/>
    <s v="ALAVOINE SAMUEL"/>
    <n v="5"/>
    <x v="0"/>
    <x v="3"/>
    <s v="PLAQUETTES"/>
    <x v="3"/>
    <n v="39.799999999999997"/>
  </r>
  <r>
    <d v="2025-09-27T05:26:05"/>
    <x v="3"/>
    <s v="Plaquettes d'ébauches carrées"/>
    <s v="U080365"/>
    <s v="ALAVOINE SAMUEL"/>
    <n v="5"/>
    <x v="1"/>
    <x v="3"/>
    <s v="PLAQUETTES"/>
    <x v="3"/>
    <n v="39.799999999999997"/>
  </r>
  <r>
    <d v="2025-09-27T05:26:22"/>
    <x v="3"/>
    <s v="Plaquettes d'ébauches carrées"/>
    <s v="U080365"/>
    <s v="ALAVOINE SAMUEL"/>
    <n v="5"/>
    <x v="1"/>
    <x v="3"/>
    <s v="PLAQUETTES"/>
    <x v="3"/>
    <n v="39.799999999999997"/>
  </r>
  <r>
    <d v="2025-09-27T05:26:40"/>
    <x v="3"/>
    <s v="Plaquettes d'ébauches carrées"/>
    <s v="U080365"/>
    <s v="ALAVOINE SAMUEL"/>
    <n v="5"/>
    <x v="1"/>
    <x v="3"/>
    <s v="PLAQUETTES"/>
    <x v="3"/>
    <n v="39.799999999999997"/>
  </r>
  <r>
    <d v="2025-09-27T05:26:56"/>
    <x v="0"/>
    <s v="Plaquettes d'ébauches rhombiques"/>
    <s v="U080365"/>
    <s v="ALAVOINE SAMUEL"/>
    <n v="5"/>
    <x v="1"/>
    <x v="3"/>
    <s v="PLAQUETTES"/>
    <x v="3"/>
    <n v="39.799999999999997"/>
  </r>
  <r>
    <d v="2025-09-27T05:27:10"/>
    <x v="0"/>
    <s v="Plaquettes d'ébauches rhombiques"/>
    <s v="U080365"/>
    <s v="ALAVOINE SAMUEL"/>
    <n v="5"/>
    <x v="1"/>
    <x v="3"/>
    <s v="PLAQUETTES"/>
    <x v="3"/>
    <n v="39.799999999999997"/>
  </r>
  <r>
    <d v="2025-09-27T05:27:29"/>
    <x v="0"/>
    <s v="Plaquettes d'ébauches rhombiques"/>
    <s v="U080365"/>
    <s v="ALAVOINE SAMUEL"/>
    <n v="5"/>
    <x v="0"/>
    <x v="0"/>
    <s v="PLAQUETTES"/>
    <x v="3"/>
    <n v="39.799999999999997"/>
  </r>
  <r>
    <d v="2025-09-27T11:10:49"/>
    <x v="2"/>
    <s v="Plaquettes de finition carrées"/>
    <s v="10301115"/>
    <s v="BOUCHART LUDOVIC"/>
    <n v="5"/>
    <x v="0"/>
    <x v="2"/>
    <s v="PLAQUETTES"/>
    <x v="3"/>
    <n v="47.8"/>
  </r>
  <r>
    <d v="2025-09-27T11:11:03"/>
    <x v="2"/>
    <s v="Plaquettes de finition carrées"/>
    <s v="10301115"/>
    <s v="BOUCHART LUDOVIC"/>
    <n v="5"/>
    <x v="1"/>
    <x v="2"/>
    <s v="PLAQUETTES"/>
    <x v="3"/>
    <n v="47.8"/>
  </r>
  <r>
    <d v="2025-09-27T11:11:19"/>
    <x v="2"/>
    <s v="Plaquettes de finition carrées"/>
    <s v="10301115"/>
    <s v="BOUCHART LUDOVIC"/>
    <n v="5"/>
    <x v="1"/>
    <x v="2"/>
    <s v="PLAQUETTES"/>
    <x v="3"/>
    <n v="47.8"/>
  </r>
  <r>
    <d v="2025-09-28T18:38:10"/>
    <x v="2"/>
    <s v="Plaquettes de finition carrées"/>
    <s v="10301115"/>
    <s v="BOUCHART LUDOVIC"/>
    <n v="5"/>
    <x v="0"/>
    <x v="2"/>
    <s v="PLAQUETTES"/>
    <x v="3"/>
    <n v="47.8"/>
  </r>
  <r>
    <d v="2025-09-28T18:38:21"/>
    <x v="2"/>
    <s v="Plaquettes de finition carrées"/>
    <s v="10301115"/>
    <s v="BOUCHART LUDOVIC"/>
    <n v="5"/>
    <x v="0"/>
    <x v="2"/>
    <s v="PLAQUETTES"/>
    <x v="3"/>
    <n v="47.8"/>
  </r>
  <r>
    <d v="2025-09-28T18:38:32"/>
    <x v="5"/>
    <s v="Plaquettes de finition"/>
    <s v="10301115"/>
    <s v="BOUCHART LUDOVIC"/>
    <n v="5"/>
    <x v="1"/>
    <x v="2"/>
    <s v="PLAQUETTES"/>
    <x v="3"/>
    <n v="42.5"/>
  </r>
  <r>
    <d v="2025-09-28T18:38:44"/>
    <x v="6"/>
    <s v="Plaquettes de finition triangulaires"/>
    <s v="10301115"/>
    <s v="BOUCHART LUDOVIC"/>
    <n v="5"/>
    <x v="1"/>
    <x v="2"/>
    <s v="PLAQUETTES"/>
    <x v="3"/>
    <n v="48.7"/>
  </r>
  <r>
    <d v="2025-09-28T18:38:57"/>
    <x v="2"/>
    <s v="Plaquettes de finition carrées"/>
    <s v="10301115"/>
    <s v="BOUCHART LUDOVIC"/>
    <n v="5"/>
    <x v="1"/>
    <x v="2"/>
    <s v="PLAQUETTES"/>
    <x v="3"/>
    <n v="47.8"/>
  </r>
  <r>
    <d v="2025-09-28T18:39:09"/>
    <x v="2"/>
    <s v="Plaquettes de finition carrées"/>
    <s v="10301115"/>
    <s v="BOUCHART LUDOVIC"/>
    <n v="5"/>
    <x v="1"/>
    <x v="2"/>
    <s v="PLAQUETTES"/>
    <x v="3"/>
    <n v="47.8"/>
  </r>
  <r>
    <d v="2025-09-28T20:22:21"/>
    <x v="3"/>
    <s v="Plaquettes d'ébauches carrées"/>
    <s v="U080365"/>
    <s v="ALAVOINE SAMUEL"/>
    <n v="5"/>
    <x v="0"/>
    <x v="3"/>
    <s v="PLAQUETTES"/>
    <x v="3"/>
    <n v="39.799999999999997"/>
  </r>
  <r>
    <d v="2025-09-28T20:22:35"/>
    <x v="0"/>
    <s v="Plaquettes d'ébauches rhombiques"/>
    <s v="U080365"/>
    <s v="ALAVOINE SAMUEL"/>
    <n v="5"/>
    <x v="0"/>
    <x v="3"/>
    <s v="PLAQUETTES"/>
    <x v="3"/>
    <n v="39.799999999999997"/>
  </r>
  <r>
    <d v="2025-09-28T20:22:47"/>
    <x v="3"/>
    <s v="Plaquettes d'ébauches carrées"/>
    <s v="U080365"/>
    <s v="ALAVOINE SAMUEL"/>
    <n v="5"/>
    <x v="1"/>
    <x v="3"/>
    <s v="PLAQUETTES"/>
    <x v="3"/>
    <n v="39.799999999999997"/>
  </r>
  <r>
    <d v="2025-09-28T20:23:02"/>
    <x v="0"/>
    <s v="Plaquettes d'ébauches rhombiques"/>
    <s v="U080365"/>
    <s v="ALAVOINE SAMUEL"/>
    <n v="5"/>
    <x v="1"/>
    <x v="3"/>
    <s v="PLAQUETTES"/>
    <x v="3"/>
    <n v="39.799999999999997"/>
  </r>
  <r>
    <d v="2025-09-28T20:23:20"/>
    <x v="3"/>
    <s v="Plaquettes d'ébauches carrées"/>
    <s v="U080365"/>
    <s v="ALAVOINE SAMUEL"/>
    <n v="5"/>
    <x v="0"/>
    <x v="0"/>
    <s v="PLAQUETTES"/>
    <x v="3"/>
    <n v="39.799999999999997"/>
  </r>
  <r>
    <d v="2025-09-28T20:23:39"/>
    <x v="0"/>
    <s v="Plaquettes d'ébauches rhombiques"/>
    <s v="U080365"/>
    <s v="ALAVOINE SAMUEL"/>
    <n v="5"/>
    <x v="0"/>
    <x v="0"/>
    <s v="PLAQUETTES"/>
    <x v="3"/>
    <n v="39.799999999999997"/>
  </r>
  <r>
    <d v="2025-09-28T20:23:54"/>
    <x v="3"/>
    <s v="Plaquettes d'ébauches carrées"/>
    <s v="U080365"/>
    <s v="ALAVOINE SAMUEL"/>
    <n v="5"/>
    <x v="1"/>
    <x v="0"/>
    <s v="PLAQUETTES"/>
    <x v="3"/>
    <n v="39.799999999999997"/>
  </r>
  <r>
    <d v="2025-09-28T20:24:13"/>
    <x v="0"/>
    <s v="Plaquettes d'ébauches rhombiques"/>
    <s v="U080365"/>
    <s v="ALAVOINE SAMUEL"/>
    <n v="5"/>
    <x v="1"/>
    <x v="0"/>
    <s v="PLAQUETTES"/>
    <x v="3"/>
    <n v="39.799999999999997"/>
  </r>
  <r>
    <d v="2025-09-29T06:54:29"/>
    <x v="3"/>
    <s v="Plaquettes d'ébauches carrées"/>
    <s v="040E47C25C7780"/>
    <s v="PARINGAUX CARROLANE"/>
    <n v="5"/>
    <x v="1"/>
    <x v="3"/>
    <s v="PLAQUETTES"/>
    <x v="3"/>
    <n v="39.799999999999997"/>
  </r>
  <r>
    <d v="2025-09-29T06:54:44"/>
    <x v="0"/>
    <s v="Plaquettes d'ébauches rhombiques"/>
    <s v="040E47C25C7780"/>
    <s v="PARINGAUX CARROLANE"/>
    <n v="5"/>
    <x v="1"/>
    <x v="3"/>
    <s v="PLAQUETTES"/>
    <x v="3"/>
    <n v="39.799999999999997"/>
  </r>
  <r>
    <d v="2025-09-29T06:55:02"/>
    <x v="3"/>
    <s v="Plaquettes d'ébauches carrées"/>
    <s v="040E47C25C7780"/>
    <s v="PARINGAUX CARROLANE"/>
    <n v="5"/>
    <x v="1"/>
    <x v="0"/>
    <s v="PLAQUETTES"/>
    <x v="3"/>
    <n v="39.799999999999997"/>
  </r>
  <r>
    <d v="2025-09-29T06:55:23"/>
    <x v="0"/>
    <s v="Plaquettes d'ébauches rhombiques"/>
    <s v="040E47C25C7780"/>
    <s v="PARINGAUX CARROLANE"/>
    <n v="5"/>
    <x v="1"/>
    <x v="0"/>
    <s v="PLAQUETTES"/>
    <x v="3"/>
    <n v="39.799999999999997"/>
  </r>
  <r>
    <d v="2025-09-29T12:13:16"/>
    <x v="3"/>
    <s v="Plaquettes d'ébauches carrées"/>
    <s v="SC95213"/>
    <s v="RABET PAULINE"/>
    <n v="5"/>
    <x v="0"/>
    <x v="3"/>
    <s v="PLAQUETTES"/>
    <x v="3"/>
    <n v="39.799999999999997"/>
  </r>
  <r>
    <d v="2025-09-29T12:13:32"/>
    <x v="3"/>
    <s v="Plaquettes d'ébauches carrées"/>
    <s v="SC95213"/>
    <s v="RABET PAULINE"/>
    <n v="5"/>
    <x v="0"/>
    <x v="0"/>
    <s v="PLAQUETTES"/>
    <x v="3"/>
    <n v="39.799999999999997"/>
  </r>
  <r>
    <d v="2025-09-29T14:06:22"/>
    <x v="9"/>
    <s v="EMBOUT KENTIP D8.6"/>
    <s v="12824586"/>
    <s v="DASILVA FERNANDO"/>
    <n v="3"/>
    <x v="0"/>
    <x v="1"/>
    <s v="PLAQUETTES"/>
    <x v="1"/>
    <n v="150"/>
  </r>
  <r>
    <d v="2025-09-29T14:10:56"/>
    <x v="2"/>
    <s v="Plaquettes de finition carrées"/>
    <s v="070325"/>
    <s v="PEREIRA KEVIN"/>
    <n v="5"/>
    <x v="1"/>
    <x v="2"/>
    <s v="PLAQUETTES"/>
    <x v="3"/>
    <n v="47.8"/>
  </r>
  <r>
    <d v="2025-09-29T14:11:10"/>
    <x v="2"/>
    <s v="Plaquettes de finition carrées"/>
    <s v="070325"/>
    <s v="PEREIRA KEVIN"/>
    <n v="5"/>
    <x v="1"/>
    <x v="2"/>
    <s v="PLAQUETTES"/>
    <x v="3"/>
    <n v="47.8"/>
  </r>
  <r>
    <d v="2025-09-29T14:11:23"/>
    <x v="5"/>
    <s v="Plaquettes de finition"/>
    <s v="070325"/>
    <s v="PEREIRA KEVIN"/>
    <n v="5"/>
    <x v="1"/>
    <x v="2"/>
    <s v="PLAQUETTES"/>
    <x v="3"/>
    <n v="42.5"/>
  </r>
  <r>
    <d v="2025-09-29T14:11:36"/>
    <x v="6"/>
    <s v="Plaquettes de finition triangulaires"/>
    <s v="070325"/>
    <s v="PEREIRA KEVIN"/>
    <n v="5"/>
    <x v="1"/>
    <x v="2"/>
    <s v="PLAQUETTES"/>
    <x v="3"/>
    <n v="48.7"/>
  </r>
  <r>
    <d v="2025-09-29T15:55:55"/>
    <x v="3"/>
    <s v="Plaquettes d'ébauches carrées"/>
    <s v="31224"/>
    <s v="BIDOT MURIEL"/>
    <n v="5"/>
    <x v="0"/>
    <x v="3"/>
    <s v="PLAQUETTES"/>
    <x v="0"/>
    <n v="39.799999999999997"/>
  </r>
  <r>
    <d v="2025-09-29T15:56:07"/>
    <x v="3"/>
    <s v="Plaquettes d'ébauches carrées"/>
    <s v="31224"/>
    <s v="BIDOT MURIEL"/>
    <n v="5"/>
    <x v="0"/>
    <x v="3"/>
    <s v="PLAQUETTES"/>
    <x v="0"/>
    <n v="39.799999999999997"/>
  </r>
  <r>
    <d v="2025-09-29T15:56:20"/>
    <x v="0"/>
    <s v="Plaquettes d'ébauches rhombiques"/>
    <s v="31224"/>
    <s v="BIDOT MURIEL"/>
    <n v="5"/>
    <x v="0"/>
    <x v="3"/>
    <s v="PLAQUETTES"/>
    <x v="0"/>
    <n v="39.799999999999997"/>
  </r>
  <r>
    <d v="2025-09-29T15:56:36"/>
    <x v="0"/>
    <s v="Plaquettes d'ébauches rhombiques"/>
    <s v="31224"/>
    <s v="BIDOT MURIEL"/>
    <n v="5"/>
    <x v="0"/>
    <x v="0"/>
    <s v="PLAQUETTES"/>
    <x v="0"/>
    <n v="39.799999999999997"/>
  </r>
  <r>
    <d v="2025-09-30T03:58:30"/>
    <x v="3"/>
    <s v="Plaquettes d'ébauches carrées"/>
    <s v="090225"/>
    <s v="MEYER THOMAS"/>
    <n v="5"/>
    <x v="1"/>
    <x v="3"/>
    <s v="PLAQUETTES"/>
    <x v="3"/>
    <n v="39.799999999999997"/>
  </r>
  <r>
    <d v="2025-09-30T03:58:44"/>
    <x v="0"/>
    <s v="Plaquettes d'ébauches rhombiques"/>
    <s v="090225"/>
    <s v="MEYER THOMAS"/>
    <n v="5"/>
    <x v="1"/>
    <x v="3"/>
    <s v="PLAQUETTES"/>
    <x v="3"/>
    <n v="39.799999999999997"/>
  </r>
  <r>
    <d v="2025-09-30T03:58:59"/>
    <x v="3"/>
    <s v="Plaquettes d'ébauches carrées"/>
    <s v="090225"/>
    <s v="MEYER THOMAS"/>
    <n v="5"/>
    <x v="1"/>
    <x v="0"/>
    <s v="PLAQUETTES"/>
    <x v="3"/>
    <n v="39.799999999999997"/>
  </r>
  <r>
    <d v="2025-09-30T03:59:23"/>
    <x v="0"/>
    <s v="Plaquettes d'ébauches rhombiques"/>
    <s v="090225"/>
    <s v="MEYER THOMAS"/>
    <n v="5"/>
    <x v="1"/>
    <x v="3"/>
    <s v="PLAQUETTES"/>
    <x v="3"/>
    <n v="39.799999999999997"/>
  </r>
  <r>
    <d v="2025-09-30T03:59:35"/>
    <x v="3"/>
    <s v="Plaquettes d'ébauches carrées"/>
    <s v="090225"/>
    <s v="MEYER THOMAS"/>
    <n v="5"/>
    <x v="0"/>
    <x v="3"/>
    <s v="PLAQUETTES"/>
    <x v="0"/>
    <n v="39.799999999999997"/>
  </r>
  <r>
    <d v="2025-09-30T03:59:52"/>
    <x v="0"/>
    <s v="Plaquettes d'ébauches rhombiques"/>
    <s v="090225"/>
    <s v="MEYER THOMAS"/>
    <n v="5"/>
    <x v="0"/>
    <x v="3"/>
    <s v="PLAQUETTES"/>
    <x v="0"/>
    <n v="39.799999999999997"/>
  </r>
  <r>
    <d v="2025-09-30T04:00:07"/>
    <x v="3"/>
    <s v="Plaquettes d'ébauches carrées"/>
    <s v="090225"/>
    <s v="MEYER THOMAS"/>
    <n v="5"/>
    <x v="0"/>
    <x v="0"/>
    <s v="PLAQUETTES"/>
    <x v="0"/>
    <n v="39.799999999999997"/>
  </r>
  <r>
    <d v="2025-09-30T04:00:22"/>
    <x v="0"/>
    <s v="Plaquettes d'ébauches rhombiques"/>
    <s v="090225"/>
    <s v="MEYER THOMAS"/>
    <n v="5"/>
    <x v="0"/>
    <x v="0"/>
    <s v="PLAQUETTES"/>
    <x v="0"/>
    <n v="39.799999999999997"/>
  </r>
  <r>
    <d v="2025-09-30T08:29:11"/>
    <x v="9"/>
    <s v="EMBOUT KENTIP D8.6"/>
    <s v="12824586"/>
    <s v="DASILVA FERNANDO"/>
    <n v="5"/>
    <x v="0"/>
    <x v="1"/>
    <s v="PLAQUETTES"/>
    <x v="1"/>
    <n v="250"/>
  </r>
  <r>
    <d v="2025-09-30T08:29:28"/>
    <x v="1"/>
    <s v="EMBOUT KENTIP D13.3"/>
    <s v="12824586"/>
    <s v="DASILVA FERNANDO"/>
    <n v="3"/>
    <x v="0"/>
    <x v="1"/>
    <s v="PLAQUETTES"/>
    <x v="1"/>
    <n v="140.85"/>
  </r>
  <r>
    <d v="2025-09-30T11:47:25"/>
    <x v="2"/>
    <s v="Plaquettes de finition carrées"/>
    <s v="040E47C25C7780"/>
    <s v="PARINGAUX CARROLANE"/>
    <n v="5"/>
    <x v="1"/>
    <x v="2"/>
    <s v="PLAQUETTES"/>
    <x v="3"/>
    <n v="47.8"/>
  </r>
  <r>
    <d v="2025-09-30T11:47:40"/>
    <x v="2"/>
    <s v="Plaquettes de finition carrées"/>
    <s v="040E47C25C7780"/>
    <s v="PARINGAUX CARROLANE"/>
    <n v="5"/>
    <x v="1"/>
    <x v="2"/>
    <s v="PLAQUETTES"/>
    <x v="3"/>
    <n v="47.8"/>
  </r>
  <r>
    <d v="2025-09-30T13:10:34"/>
    <x v="3"/>
    <s v="Plaquettes d'ébauches carrées"/>
    <s v="31224"/>
    <s v="BIDOT MURIEL"/>
    <n v="5"/>
    <x v="0"/>
    <x v="3"/>
    <s v="PLAQUETTES"/>
    <x v="0"/>
    <n v="39.799999999999997"/>
  </r>
  <r>
    <d v="2025-09-30T13:11:21"/>
    <x v="3"/>
    <s v="Plaquettes d'ébauches carrées"/>
    <s v="31224"/>
    <s v="BIDOT MURIEL"/>
    <n v="5"/>
    <x v="0"/>
    <x v="3"/>
    <s v="PLAQUETTES"/>
    <x v="0"/>
    <n v="39.799999999999997"/>
  </r>
  <r>
    <d v="2025-09-30T13:11:41"/>
    <x v="2"/>
    <s v="Plaquettes de finition carrées"/>
    <s v="31224"/>
    <s v="BIDOT MURIEL"/>
    <n v="5"/>
    <x v="0"/>
    <x v="2"/>
    <s v="PLAQUETTES"/>
    <x v="0"/>
    <n v="47.8"/>
  </r>
  <r>
    <d v="2025-09-30T13:11:54"/>
    <x v="2"/>
    <s v="Plaquettes de finition carrées"/>
    <s v="31224"/>
    <s v="BIDOT MURIEL"/>
    <n v="5"/>
    <x v="0"/>
    <x v="2"/>
    <s v="PLAQUETTES"/>
    <x v="0"/>
    <n v="47.8"/>
  </r>
  <r>
    <d v="2025-09-30T13:12:08"/>
    <x v="4"/>
    <s v="Plaquettes de gorges"/>
    <s v="31224"/>
    <s v="BIDOT MURIEL"/>
    <n v="10"/>
    <x v="0"/>
    <x v="0"/>
    <s v="PLAQUETTES"/>
    <x v="0"/>
    <n v="188"/>
  </r>
  <r>
    <d v="2025-09-30T22:13:36"/>
    <x v="3"/>
    <s v="Plaquettes d'ébauches carrées"/>
    <s v="090225"/>
    <s v="MEYER THOMAS"/>
    <n v="5"/>
    <x v="1"/>
    <x v="0"/>
    <s v="PLAQUETTES"/>
    <x v="3"/>
    <n v="39.799999999999997"/>
  </r>
  <r>
    <d v="2025-09-30T22:13:50"/>
    <x v="3"/>
    <s v="Plaquettes d'ébauches carrées"/>
    <s v="090225"/>
    <s v="MEYER THOMAS"/>
    <n v="5"/>
    <x v="1"/>
    <x v="3"/>
    <s v="PLAQUETTES"/>
    <x v="3"/>
    <n v="39.799999999999997"/>
  </r>
  <r>
    <d v="2025-10-01T03:46:39"/>
    <x v="2"/>
    <s v="Plaquettes de finition carrées"/>
    <s v="7236310"/>
    <s v="OZYURT IREM"/>
    <n v="5"/>
    <x v="1"/>
    <x v="2"/>
    <s v="PLAQUETTES"/>
    <x v="3"/>
    <n v="47.8"/>
  </r>
  <r>
    <d v="2025-10-01T05:21:13"/>
    <x v="3"/>
    <s v="Plaquettes d'ébauches carrées"/>
    <s v="040E47C25C7780"/>
    <s v="PARINGAUX CARROLANE"/>
    <n v="5"/>
    <x v="1"/>
    <x v="3"/>
    <s v="PLAQUETTES"/>
    <x v="3"/>
    <n v="39.799999999999997"/>
  </r>
  <r>
    <d v="2025-10-01T05:21:27"/>
    <x v="0"/>
    <s v="Plaquettes d'ébauches rhombiques"/>
    <s v="040E47C25C7780"/>
    <s v="PARINGAUX CARROLANE"/>
    <n v="5"/>
    <x v="1"/>
    <x v="3"/>
    <s v="PLAQUETTES"/>
    <x v="3"/>
    <n v="39.799999999999997"/>
  </r>
  <r>
    <d v="2025-10-01T05:21:44"/>
    <x v="3"/>
    <s v="Plaquettes d'ébauches carrées"/>
    <s v="040E47C25C7780"/>
    <s v="PARINGAUX CARROLANE"/>
    <n v="5"/>
    <x v="1"/>
    <x v="0"/>
    <s v="PLAQUETTES"/>
    <x v="3"/>
    <n v="39.799999999999997"/>
  </r>
  <r>
    <d v="2025-10-01T05:22:02"/>
    <x v="0"/>
    <s v="Plaquettes d'ébauches rhombiques"/>
    <s v="040E47C25C7780"/>
    <s v="PARINGAUX CARROLANE"/>
    <n v="5"/>
    <x v="1"/>
    <x v="0"/>
    <s v="PLAQUETTES"/>
    <x v="3"/>
    <n v="39.799999999999997"/>
  </r>
  <r>
    <d v="2025-10-01T05:22:20"/>
    <x v="2"/>
    <s v="Plaquettes de finition carrées"/>
    <s v="040E47C25C7780"/>
    <s v="PARINGAUX CARROLANE"/>
    <n v="5"/>
    <x v="1"/>
    <x v="2"/>
    <s v="PLAQUETTES"/>
    <x v="3"/>
    <n v="47.8"/>
  </r>
  <r>
    <d v="2025-10-01T12:44:53"/>
    <x v="2"/>
    <s v="Plaquettes de finition carrées"/>
    <s v="SC95213"/>
    <s v="RABET PAULINE"/>
    <n v="5"/>
    <x v="0"/>
    <x v="2"/>
    <s v="PLAQUETTES"/>
    <x v="3"/>
    <n v="47.8"/>
  </r>
  <r>
    <d v="2025-10-01T13:32:40"/>
    <x v="3"/>
    <s v="Plaquettes d'ébauches carrées"/>
    <s v="31224"/>
    <s v="BIDOT MURIEL"/>
    <n v="5"/>
    <x v="0"/>
    <x v="3"/>
    <s v="PLAQUETTES"/>
    <x v="0"/>
    <n v="39.799999999999997"/>
  </r>
  <r>
    <d v="2025-10-01T13:33:00"/>
    <x v="3"/>
    <s v="Plaquettes d'ébauches carrées"/>
    <s v="31224"/>
    <s v="BIDOT MURIEL"/>
    <n v="5"/>
    <x v="0"/>
    <x v="3"/>
    <s v="PLAQUETTES"/>
    <x v="0"/>
    <n v="39.799999999999997"/>
  </r>
  <r>
    <d v="2025-10-01T13:33:20"/>
    <x v="3"/>
    <s v="Plaquettes d'ébauches carrées"/>
    <s v="31224"/>
    <s v="BIDOT MURIEL"/>
    <n v="5"/>
    <x v="0"/>
    <x v="3"/>
    <s v="PLAQUETTES"/>
    <x v="0"/>
    <n v="39.799999999999997"/>
  </r>
  <r>
    <d v="2025-10-01T13:33:50"/>
    <x v="4"/>
    <s v="Plaquettes de gorges"/>
    <s v="31224"/>
    <s v="BIDOT MURIEL"/>
    <n v="10"/>
    <x v="0"/>
    <x v="0"/>
    <s v="PLAQUETTES"/>
    <x v="0"/>
    <n v="188"/>
  </r>
  <r>
    <d v="2025-10-01T13:34:10"/>
    <x v="2"/>
    <s v="Plaquettes de finition carrées"/>
    <s v="31224"/>
    <s v="BIDOT MURIEL"/>
    <n v="5"/>
    <x v="0"/>
    <x v="2"/>
    <s v="PLAQUETTES"/>
    <x v="0"/>
    <n v="47.8"/>
  </r>
  <r>
    <d v="2025-10-01T13:34:29"/>
    <x v="2"/>
    <s v="Plaquettes de finition carrées"/>
    <s v="31224"/>
    <s v="BIDOT MURIEL"/>
    <n v="5"/>
    <x v="0"/>
    <x v="2"/>
    <s v="PLAQUETTES"/>
    <x v="0"/>
    <n v="47.8"/>
  </r>
  <r>
    <d v="2025-10-01T13:34:42"/>
    <x v="2"/>
    <s v="Plaquettes de finition carrées"/>
    <s v="31224"/>
    <s v="BIDOT MURIEL"/>
    <n v="5"/>
    <x v="0"/>
    <x v="2"/>
    <s v="PLAQUETTES"/>
    <x v="0"/>
    <n v="47.8"/>
  </r>
  <r>
    <d v="2025-10-01T20:24:05"/>
    <x v="2"/>
    <s v="Plaquettes de finition carrées"/>
    <s v="070325"/>
    <s v="PEREIRA KEVIN"/>
    <n v="5"/>
    <x v="1"/>
    <x v="2"/>
    <s v="PLAQUETTES"/>
    <x v="3"/>
    <n v="47.8"/>
  </r>
  <r>
    <d v="2025-10-01T20:24:19"/>
    <x v="2"/>
    <s v="Plaquettes de finition carrées"/>
    <s v="070325"/>
    <s v="PEREIRA KEVIN"/>
    <n v="5"/>
    <x v="1"/>
    <x v="2"/>
    <s v="PLAQUETTES"/>
    <x v="3"/>
    <n v="47.8"/>
  </r>
  <r>
    <d v="2025-10-02T04:30:10"/>
    <x v="3"/>
    <s v="Plaquettes d'ébauches carrées"/>
    <s v="090225"/>
    <s v="MEYER THOMAS"/>
    <n v="5"/>
    <x v="1"/>
    <x v="3"/>
    <s v="PLAQUETTES"/>
    <x v="3"/>
    <n v="39.799999999999997"/>
  </r>
  <r>
    <d v="2025-10-02T04:30:25"/>
    <x v="3"/>
    <s v="Plaquettes d'ébauches carrées"/>
    <s v="090225"/>
    <s v="MEYER THOMAS"/>
    <n v="5"/>
    <x v="1"/>
    <x v="0"/>
    <s v="PLAQUETTES"/>
    <x v="3"/>
    <n v="39.799999999999997"/>
  </r>
  <r>
    <d v="2025-10-02T07:08:32"/>
    <x v="3"/>
    <s v="Plaquettes d'ébauches carrées"/>
    <s v="040E47C25C7780"/>
    <s v="PARINGAUX CARROLANE"/>
    <n v="5"/>
    <x v="1"/>
    <x v="0"/>
    <s v="PLAQUETTES"/>
    <x v="3"/>
    <n v="39.799999999999997"/>
  </r>
  <r>
    <d v="2025-10-02T07:08:47"/>
    <x v="0"/>
    <s v="Plaquettes d'ébauches rhombiques"/>
    <s v="040E47C25C7780"/>
    <s v="PARINGAUX CARROLANE"/>
    <n v="5"/>
    <x v="1"/>
    <x v="0"/>
    <s v="PLAQUETTES"/>
    <x v="3"/>
    <n v="39.799999999999997"/>
  </r>
  <r>
    <d v="2025-10-02T19:33:15"/>
    <x v="2"/>
    <s v="Plaquettes de finition carrées"/>
    <s v="070325"/>
    <s v="PEREIRA KEVIN"/>
    <n v="5"/>
    <x v="1"/>
    <x v="2"/>
    <s v="PLAQUETTES"/>
    <x v="3"/>
    <n v="47.8"/>
  </r>
  <r>
    <d v="2025-10-02T19:33:38"/>
    <x v="3"/>
    <s v="Plaquettes d'ébauches carrées"/>
    <s v="070325"/>
    <s v="PEREIRA KEVIN"/>
    <n v="5"/>
    <x v="1"/>
    <x v="3"/>
    <s v="PLAQUETTES"/>
    <x v="3"/>
    <n v="39.799999999999997"/>
  </r>
  <r>
    <d v="2025-10-02T19:33:57"/>
    <x v="3"/>
    <s v="Plaquettes d'ébauches carrées"/>
    <s v="070325"/>
    <s v="PEREIRA KEVIN"/>
    <n v="5"/>
    <x v="1"/>
    <x v="3"/>
    <s v="PLAQUETTES"/>
    <x v="3"/>
    <n v="39.799999999999997"/>
  </r>
  <r>
    <d v="2025-10-02T19:34:16"/>
    <x v="0"/>
    <s v="Plaquettes d'ébauches rhombiques"/>
    <s v="070325"/>
    <s v="PEREIRA KEVIN"/>
    <n v="5"/>
    <x v="1"/>
    <x v="3"/>
    <s v="PLAQUETTES"/>
    <x v="3"/>
    <n v="39.799999999999997"/>
  </r>
  <r>
    <d v="2025-10-03T02:11:34"/>
    <x v="4"/>
    <s v="Plaquettes de gorges"/>
    <s v="090225"/>
    <s v="MEYER THOMAS"/>
    <n v="10"/>
    <x v="0"/>
    <x v="0"/>
    <s v="PLAQUETTES"/>
    <x v="0"/>
    <n v="188"/>
  </r>
  <r>
    <d v="2025-10-03T04:14:34"/>
    <x v="3"/>
    <s v="Plaquettes d'ébauches carrées"/>
    <s v="090225"/>
    <s v="MEYER THOMAS"/>
    <n v="5"/>
    <x v="1"/>
    <x v="3"/>
    <s v="PLAQUETTES"/>
    <x v="3"/>
    <n v="39.799999999999997"/>
  </r>
  <r>
    <d v="2025-10-03T04:14:47"/>
    <x v="3"/>
    <s v="Plaquettes d'ébauches carrées"/>
    <s v="090225"/>
    <s v="MEYER THOMAS"/>
    <n v="5"/>
    <x v="0"/>
    <x v="0"/>
    <s v="PLAQUETTES"/>
    <x v="0"/>
    <n v="39.799999999999997"/>
  </r>
  <r>
    <d v="2025-10-03T04:14:59"/>
    <x v="3"/>
    <s v="Plaquettes d'ébauches carrées"/>
    <s v="090225"/>
    <s v="MEYER THOMAS"/>
    <n v="5"/>
    <x v="0"/>
    <x v="3"/>
    <s v="PLAQUETTES"/>
    <x v="0"/>
    <n v="39.799999999999997"/>
  </r>
  <r>
    <d v="2025-10-03T05:08:06"/>
    <x v="3"/>
    <s v="Plaquettes d'ébauches carrées"/>
    <s v="U080365"/>
    <s v="ALAVOINE SAMUEL"/>
    <n v="5"/>
    <x v="0"/>
    <x v="3"/>
    <s v="PLAQUETTES"/>
    <x v="0"/>
    <n v="39.799999999999997"/>
  </r>
  <r>
    <d v="2025-10-03T05:08:25"/>
    <x v="0"/>
    <s v="Plaquettes d'ébauches rhombiques"/>
    <s v="U080365"/>
    <s v="ALAVOINE SAMUEL"/>
    <n v="5"/>
    <x v="0"/>
    <x v="3"/>
    <s v="PLAQUETTES"/>
    <x v="0"/>
    <n v="39.799999999999997"/>
  </r>
  <r>
    <d v="2025-10-03T05:08:39"/>
    <x v="3"/>
    <s v="Plaquettes d'ébauches carrées"/>
    <s v="U080365"/>
    <s v="ALAVOINE SAMUEL"/>
    <n v="5"/>
    <x v="1"/>
    <x v="3"/>
    <s v="PLAQUETTES"/>
    <x v="3"/>
    <n v="39.799999999999997"/>
  </r>
  <r>
    <d v="2025-10-03T05:09:03"/>
    <x v="0"/>
    <s v="Plaquettes d'ébauches rhombiques"/>
    <s v="U080365"/>
    <s v="ALAVOINE SAMUEL"/>
    <n v="5"/>
    <x v="1"/>
    <x v="3"/>
    <s v="PLAQUETTES"/>
    <x v="3"/>
    <n v="39.799999999999997"/>
  </r>
  <r>
    <d v="2025-10-03T05:09:25"/>
    <x v="3"/>
    <s v="Plaquettes d'ébauches carrées"/>
    <s v="U080365"/>
    <s v="ALAVOINE SAMUEL"/>
    <n v="5"/>
    <x v="1"/>
    <x v="0"/>
    <s v="PLAQUETTES"/>
    <x v="3"/>
    <n v="39.799999999999997"/>
  </r>
  <r>
    <d v="2025-10-03T05:09:43"/>
    <x v="0"/>
    <s v="Plaquettes d'ébauches rhombiques"/>
    <s v="U080365"/>
    <s v="ALAVOINE SAMUEL"/>
    <n v="5"/>
    <x v="1"/>
    <x v="0"/>
    <s v="PLAQUETTES"/>
    <x v="3"/>
    <n v="39.799999999999997"/>
  </r>
  <r>
    <d v="2025-10-03T07:08:04"/>
    <x v="2"/>
    <s v="Plaquettes de finition carrées"/>
    <s v="10301115"/>
    <s v="BOUCHART LUDOVIC"/>
    <n v="5"/>
    <x v="0"/>
    <x v="2"/>
    <s v="PLAQUETTES"/>
    <x v="3"/>
    <n v="47.8"/>
  </r>
  <r>
    <d v="2025-10-03T07:08:17"/>
    <x v="2"/>
    <s v="Plaquettes de finition carrées"/>
    <s v="10301115"/>
    <s v="BOUCHART LUDOVIC"/>
    <n v="5"/>
    <x v="0"/>
    <x v="2"/>
    <s v="PLAQUETTES"/>
    <x v="3"/>
    <n v="47.8"/>
  </r>
  <r>
    <d v="2025-10-03T07:08:40"/>
    <x v="2"/>
    <s v="Plaquettes de finition carrées"/>
    <s v="10301115"/>
    <s v="BOUCHART LUDOVIC"/>
    <n v="5"/>
    <x v="1"/>
    <x v="2"/>
    <s v="PLAQUETTES"/>
    <x v="3"/>
    <n v="47.8"/>
  </r>
  <r>
    <d v="2025-10-03T07:08:54"/>
    <x v="2"/>
    <s v="Plaquettes de finition carrées"/>
    <s v="10301115"/>
    <s v="BOUCHART LUDOVIC"/>
    <n v="5"/>
    <x v="1"/>
    <x v="2"/>
    <s v="PLAQUETTES"/>
    <x v="3"/>
    <n v="47.8"/>
  </r>
  <r>
    <d v="2025-10-03T08:53:41"/>
    <x v="3"/>
    <s v="Plaquettes d'ébauches carrées"/>
    <s v="12824586"/>
    <s v="DASILVA FERNANDO"/>
    <n v="5"/>
    <x v="0"/>
    <x v="3"/>
    <s v="PLAQUETTES"/>
    <x v="0"/>
    <n v="39.799999999999997"/>
  </r>
  <r>
    <d v="2025-10-03T11:36:53"/>
    <x v="10"/>
    <s v="Plaquettes TPGX0902ZPRGD KC7315"/>
    <s v="12824586"/>
    <s v="DASILVA FERNANDO"/>
    <n v="10"/>
    <x v="1"/>
    <x v="1"/>
    <s v="PLAQUETTES"/>
    <x v="1"/>
    <n v="81.5"/>
  </r>
  <r>
    <d v="2025-10-04T02:06:40"/>
    <x v="2"/>
    <s v="Plaquettes de finition carrées"/>
    <s v="7236310"/>
    <s v="OZYURT IREM"/>
    <n v="5"/>
    <x v="1"/>
    <x v="2"/>
    <s v="PLAQUETTES"/>
    <x v="3"/>
    <n v="47.8"/>
  </r>
  <r>
    <d v="2025-10-04T05:10:31"/>
    <x v="3"/>
    <s v="Plaquettes d'ébauches carrées"/>
    <s v="U080365"/>
    <s v="ALAVOINE SAMUEL"/>
    <n v="5"/>
    <x v="0"/>
    <x v="3"/>
    <s v="PLAQUETTES"/>
    <x v="0"/>
    <n v="39.799999999999997"/>
  </r>
  <r>
    <d v="2025-10-04T05:10:49"/>
    <x v="0"/>
    <s v="Plaquettes d'ébauches rhombiques"/>
    <s v="U080365"/>
    <s v="ALAVOINE SAMUEL"/>
    <n v="5"/>
    <x v="0"/>
    <x v="3"/>
    <s v="PLAQUETTES"/>
    <x v="0"/>
    <n v="39.799999999999997"/>
  </r>
  <r>
    <d v="2025-10-04T05:11:06"/>
    <x v="3"/>
    <s v="Plaquettes d'ébauches carrées"/>
    <s v="U080365"/>
    <s v="ALAVOINE SAMUEL"/>
    <n v="5"/>
    <x v="0"/>
    <x v="3"/>
    <s v="PLAQUETTES"/>
    <x v="0"/>
    <n v="39.799999999999997"/>
  </r>
  <r>
    <d v="2025-10-04T05:11:28"/>
    <x v="3"/>
    <s v="Plaquettes d'ébauches carrées"/>
    <s v="U080365"/>
    <s v="ALAVOINE SAMUEL"/>
    <n v="5"/>
    <x v="1"/>
    <x v="3"/>
    <s v="PLAQUETTES"/>
    <x v="3"/>
    <n v="39.799999999999997"/>
  </r>
  <r>
    <d v="2025-10-04T05:11:44"/>
    <x v="0"/>
    <s v="Plaquettes d'ébauches rhombiques"/>
    <s v="U080365"/>
    <s v="ALAVOINE SAMUEL"/>
    <n v="5"/>
    <x v="1"/>
    <x v="3"/>
    <s v="PLAQUETTES"/>
    <x v="3"/>
    <n v="39.799999999999997"/>
  </r>
  <r>
    <d v="2025-10-04T05:12:05"/>
    <x v="4"/>
    <s v="Plaquettes de gorges"/>
    <s v="U080365"/>
    <s v="ALAVOINE SAMUEL"/>
    <n v="10"/>
    <x v="0"/>
    <x v="0"/>
    <s v="PLAQUETTES"/>
    <x v="0"/>
    <n v="188"/>
  </r>
  <r>
    <d v="2025-10-04T05:12:23"/>
    <x v="3"/>
    <s v="Plaquettes d'ébauches carrées"/>
    <s v="U080365"/>
    <s v="ALAVOINE SAMUEL"/>
    <n v="5"/>
    <x v="0"/>
    <x v="0"/>
    <s v="PLAQUETTES"/>
    <x v="0"/>
    <n v="39.799999999999997"/>
  </r>
  <r>
    <d v="2025-10-04T05:12:43"/>
    <x v="3"/>
    <s v="Plaquettes d'ébauches carrées"/>
    <s v="U080365"/>
    <s v="ALAVOINE SAMUEL"/>
    <n v="5"/>
    <x v="1"/>
    <x v="0"/>
    <s v="PLAQUETTES"/>
    <x v="3"/>
    <n v="39.799999999999997"/>
  </r>
  <r>
    <d v="2025-10-04T05:13:02"/>
    <x v="0"/>
    <s v="Plaquettes d'ébauches rhombiques"/>
    <s v="U080365"/>
    <s v="ALAVOINE SAMUEL"/>
    <n v="5"/>
    <x v="0"/>
    <x v="0"/>
    <s v="PLAQUETTES"/>
    <x v="0"/>
    <n v="39.799999999999997"/>
  </r>
  <r>
    <d v="2025-10-04T05:13:17"/>
    <x v="0"/>
    <s v="Plaquettes d'ébauches rhombiques"/>
    <s v="U080365"/>
    <s v="ALAVOINE SAMUEL"/>
    <n v="5"/>
    <x v="1"/>
    <x v="0"/>
    <s v="PLAQUETTES"/>
    <x v="3"/>
    <n v="39.799999999999997"/>
  </r>
  <r>
    <d v="2025-10-04T05:49:06"/>
    <x v="2"/>
    <s v="Plaquettes de finition carrées"/>
    <s v="10301115"/>
    <s v="BOUCHART LUDOVIC"/>
    <n v="5"/>
    <x v="0"/>
    <x v="2"/>
    <s v="PLAQUETTES"/>
    <x v="0"/>
    <n v="47.8"/>
  </r>
  <r>
    <d v="2025-10-04T05:49:19"/>
    <x v="2"/>
    <s v="Plaquettes de finition carrées"/>
    <s v="10301115"/>
    <s v="BOUCHART LUDOVIC"/>
    <n v="5"/>
    <x v="0"/>
    <x v="2"/>
    <s v="PLAQUETTES"/>
    <x v="0"/>
    <n v="47.8"/>
  </r>
  <r>
    <d v="2025-10-04T05:49:35"/>
    <x v="6"/>
    <s v="Plaquettes de finition triangulaires"/>
    <s v="10301115"/>
    <s v="BOUCHART LUDOVIC"/>
    <n v="5"/>
    <x v="1"/>
    <x v="2"/>
    <s v="PLAQUETTES"/>
    <x v="3"/>
    <n v="48.7"/>
  </r>
  <r>
    <d v="2025-10-04T07:07:12"/>
    <x v="2"/>
    <s v="Plaquettes de finition carrées"/>
    <s v="U080365"/>
    <s v="ALAVOINE SAMUEL"/>
    <n v="5"/>
    <x v="1"/>
    <x v="2"/>
    <s v="PLAQUETTES"/>
    <x v="3"/>
    <n v="47.8"/>
  </r>
  <r>
    <d v="2025-10-04T07:07:33"/>
    <x v="2"/>
    <s v="Plaquettes de finition carrées"/>
    <s v="U080365"/>
    <s v="ALAVOINE SAMUEL"/>
    <n v="5"/>
    <x v="1"/>
    <x v="2"/>
    <s v="PLAQUETTES"/>
    <x v="3"/>
    <n v="47.8"/>
  </r>
  <r>
    <d v="2025-10-05T18:15:05"/>
    <x v="3"/>
    <s v="Plaquettes d'ébauches carrées"/>
    <s v="10301115"/>
    <s v="BOUCHART LUDOVIC"/>
    <n v="5"/>
    <x v="0"/>
    <x v="3"/>
    <s v="PLAQUETTES"/>
    <x v="0"/>
    <n v="39.799999999999997"/>
  </r>
  <r>
    <d v="2025-10-05T18:15:19"/>
    <x v="0"/>
    <s v="Plaquettes d'ébauches rhombiques"/>
    <s v="10301115"/>
    <s v="BOUCHART LUDOVIC"/>
    <n v="5"/>
    <x v="0"/>
    <x v="3"/>
    <s v="PLAQUETTES"/>
    <x v="0"/>
    <n v="39.799999999999997"/>
  </r>
  <r>
    <d v="2025-10-05T18:15:35"/>
    <x v="4"/>
    <s v="Plaquettes de gorges"/>
    <s v="10301115"/>
    <s v="BOUCHART LUDOVIC"/>
    <n v="10"/>
    <x v="0"/>
    <x v="0"/>
    <s v="PLAQUETTES"/>
    <x v="0"/>
    <n v="188"/>
  </r>
  <r>
    <d v="2025-10-05T18:15:47"/>
    <x v="3"/>
    <s v="Plaquettes d'ébauches carrées"/>
    <s v="10301115"/>
    <s v="BOUCHART LUDOVIC"/>
    <n v="5"/>
    <x v="0"/>
    <x v="0"/>
    <s v="PLAQUETTES"/>
    <x v="0"/>
    <n v="39.799999999999997"/>
  </r>
  <r>
    <d v="2025-10-05T18:16:01"/>
    <x v="0"/>
    <s v="Plaquettes d'ébauches rhombiques"/>
    <s v="10301115"/>
    <s v="BOUCHART LUDOVIC"/>
    <n v="5"/>
    <x v="0"/>
    <x v="3"/>
    <s v="PLAQUETTES"/>
    <x v="0"/>
    <n v="39.799999999999997"/>
  </r>
  <r>
    <d v="2025-10-05T18:16:24"/>
    <x v="2"/>
    <s v="Plaquettes de finition carrées"/>
    <s v="10301115"/>
    <s v="BOUCHART LUDOVIC"/>
    <n v="5"/>
    <x v="0"/>
    <x v="2"/>
    <s v="PLAQUETTES"/>
    <x v="0"/>
    <n v="47.8"/>
  </r>
  <r>
    <d v="2025-10-05T18:16:35"/>
    <x v="2"/>
    <s v="Plaquettes de finition carrées"/>
    <s v="10301115"/>
    <s v="BOUCHART LUDOVIC"/>
    <n v="5"/>
    <x v="0"/>
    <x v="2"/>
    <s v="PLAQUETTES"/>
    <x v="0"/>
    <n v="47.8"/>
  </r>
  <r>
    <d v="2025-10-05T18:16:51"/>
    <x v="3"/>
    <s v="Plaquettes d'ébauches carrées"/>
    <s v="10301115"/>
    <s v="BOUCHART LUDOVIC"/>
    <n v="5"/>
    <x v="1"/>
    <x v="3"/>
    <s v="PLAQUETTES"/>
    <x v="3"/>
    <n v="39.799999999999997"/>
  </r>
  <r>
    <d v="2025-10-05T18:17:02"/>
    <x v="0"/>
    <s v="Plaquettes d'ébauches rhombiques"/>
    <s v="10301115"/>
    <s v="BOUCHART LUDOVIC"/>
    <n v="5"/>
    <x v="0"/>
    <x v="3"/>
    <s v="PLAQUETTES"/>
    <x v="0"/>
    <n v="39.799999999999997"/>
  </r>
  <r>
    <d v="2025-10-05T18:17:18"/>
    <x v="3"/>
    <s v="Plaquettes d'ébauches carrées"/>
    <s v="10301115"/>
    <s v="BOUCHART LUDOVIC"/>
    <n v="5"/>
    <x v="1"/>
    <x v="0"/>
    <s v="PLAQUETTES"/>
    <x v="3"/>
    <n v="39.799999999999997"/>
  </r>
  <r>
    <d v="2025-10-05T18:17:32"/>
    <x v="0"/>
    <s v="Plaquettes d'ébauches rhombiques"/>
    <s v="10301115"/>
    <s v="BOUCHART LUDOVIC"/>
    <n v="5"/>
    <x v="1"/>
    <x v="0"/>
    <s v="PLAQUETTES"/>
    <x v="3"/>
    <n v="39.799999999999997"/>
  </r>
  <r>
    <d v="2025-10-05T18:17:50"/>
    <x v="2"/>
    <s v="Plaquettes de finition carrées"/>
    <s v="10301115"/>
    <s v="BOUCHART LUDOVIC"/>
    <n v="5"/>
    <x v="1"/>
    <x v="2"/>
    <s v="PLAQUETTES"/>
    <x v="3"/>
    <n v="47.8"/>
  </r>
  <r>
    <d v="2025-10-05T18:18:03"/>
    <x v="2"/>
    <s v="Plaquettes de finition carrées"/>
    <s v="10301115"/>
    <s v="BOUCHART LUDOVIC"/>
    <n v="5"/>
    <x v="1"/>
    <x v="2"/>
    <s v="PLAQUETTES"/>
    <x v="3"/>
    <n v="47.8"/>
  </r>
  <r>
    <d v="2025-10-06T13:25:17"/>
    <x v="1"/>
    <s v="EMBOUT KENTIP D13.3"/>
    <s v="12824586"/>
    <s v="DASILVA FERNANDO"/>
    <n v="4"/>
    <x v="0"/>
    <x v="1"/>
    <s v="PLAQUETTES"/>
    <x v="1"/>
    <n v="187.8"/>
  </r>
  <r>
    <d v="2025-10-06T13:46:14"/>
    <x v="2"/>
    <s v="Plaquettes de finition carrées"/>
    <s v="040E47C25C7780"/>
    <s v="PARINGAUX CARROLANE"/>
    <n v="5"/>
    <x v="1"/>
    <x v="2"/>
    <s v="PLAQUETTES"/>
    <x v="3"/>
    <n v="47.8"/>
  </r>
  <r>
    <d v="2025-10-06T13:46:31"/>
    <x v="3"/>
    <s v="Plaquettes d'ébauches carrées"/>
    <s v="040E47C25C7780"/>
    <s v="PARINGAUX CARROLANE"/>
    <n v="5"/>
    <x v="1"/>
    <x v="0"/>
    <s v="PLAQUETTES"/>
    <x v="3"/>
    <n v="39.799999999999997"/>
  </r>
  <r>
    <d v="2025-10-06T13:46:45"/>
    <x v="0"/>
    <s v="Plaquettes d'ébauches rhombiques"/>
    <s v="040E47C25C7780"/>
    <s v="PARINGAUX CARROLANE"/>
    <n v="5"/>
    <x v="1"/>
    <x v="0"/>
    <s v="PLAQUETTES"/>
    <x v="3"/>
    <n v="39.799999999999997"/>
  </r>
  <r>
    <d v="2025-10-06T13:47:01"/>
    <x v="3"/>
    <s v="Plaquettes d'ébauches carrées"/>
    <s v="040E47C25C7780"/>
    <s v="PARINGAUX CARROLANE"/>
    <n v="5"/>
    <x v="1"/>
    <x v="3"/>
    <s v="PLAQUETTES"/>
    <x v="3"/>
    <n v="39.799999999999997"/>
  </r>
  <r>
    <d v="2025-10-06T13:47:17"/>
    <x v="0"/>
    <s v="Plaquettes d'ébauches rhombiques"/>
    <s v="040E47C25C7780"/>
    <s v="PARINGAUX CARROLANE"/>
    <n v="5"/>
    <x v="1"/>
    <x v="3"/>
    <s v="PLAQUETTES"/>
    <x v="3"/>
    <n v="39.799999999999997"/>
  </r>
  <r>
    <d v="2025-10-06T18:41:09"/>
    <x v="2"/>
    <s v="Plaquettes de finition carrées"/>
    <s v="040E47C25C7780"/>
    <s v="PARINGAUX CARROLANE"/>
    <n v="5"/>
    <x v="1"/>
    <x v="2"/>
    <s v="PLAQUETTES"/>
    <x v="3"/>
    <n v="47.8"/>
  </r>
  <r>
    <d v="2025-10-06T18:41:26"/>
    <x v="2"/>
    <s v="Plaquettes de finition carrées"/>
    <s v="040E47C25C7780"/>
    <s v="PARINGAUX CARROLANE"/>
    <n v="5"/>
    <x v="0"/>
    <x v="2"/>
    <s v="PLAQUETTES"/>
    <x v="3"/>
    <n v="47.8"/>
  </r>
  <r>
    <d v="2025-10-06T18:41:40"/>
    <x v="6"/>
    <s v="Plaquettes de finition triangulaires"/>
    <s v="040E47C25C7780"/>
    <s v="PARINGAUX CARROLANE"/>
    <n v="5"/>
    <x v="1"/>
    <x v="2"/>
    <s v="PLAQUETTES"/>
    <x v="3"/>
    <n v="48.7"/>
  </r>
  <r>
    <d v="2025-10-07T05:06:14"/>
    <x v="3"/>
    <s v="Plaquettes d'ébauches carrées"/>
    <s v="31224"/>
    <s v="BIDOT MURIEL"/>
    <n v="5"/>
    <x v="0"/>
    <x v="3"/>
    <s v="PLAQUETTES"/>
    <x v="0"/>
    <n v="39.799999999999997"/>
  </r>
  <r>
    <d v="2025-10-07T05:06:35"/>
    <x v="3"/>
    <s v="Plaquettes d'ébauches carrées"/>
    <s v="31224"/>
    <s v="BIDOT MURIEL"/>
    <n v="5"/>
    <x v="0"/>
    <x v="3"/>
    <s v="PLAQUETTES"/>
    <x v="0"/>
    <n v="39.799999999999997"/>
  </r>
  <r>
    <d v="2025-10-07T05:06:50"/>
    <x v="4"/>
    <s v="Plaquettes de gorges"/>
    <s v="31224"/>
    <s v="BIDOT MURIEL"/>
    <n v="10"/>
    <x v="0"/>
    <x v="0"/>
    <s v="PLAQUETTES"/>
    <x v="0"/>
    <n v="188"/>
  </r>
  <r>
    <d v="2025-10-07T05:07:09"/>
    <x v="2"/>
    <s v="Plaquettes de finition carrées"/>
    <s v="31224"/>
    <s v="BIDOT MURIEL"/>
    <n v="5"/>
    <x v="0"/>
    <x v="2"/>
    <s v="PLAQUETTES"/>
    <x v="0"/>
    <n v="47.8"/>
  </r>
  <r>
    <d v="2025-10-07T07:24:34"/>
    <x v="3"/>
    <s v="Plaquettes d'ébauches carrées"/>
    <s v="070325"/>
    <s v="PEREIRA KEVIN"/>
    <n v="5"/>
    <x v="1"/>
    <x v="3"/>
    <s v="PLAQUETTES"/>
    <x v="3"/>
    <n v="39.799999999999997"/>
  </r>
  <r>
    <d v="2025-10-07T07:24:52"/>
    <x v="3"/>
    <s v="Plaquettes d'ébauches carrées"/>
    <s v="070325"/>
    <s v="PEREIRA KEVIN"/>
    <n v="5"/>
    <x v="1"/>
    <x v="0"/>
    <s v="PLAQUETTES"/>
    <x v="3"/>
    <n v="39.799999999999997"/>
  </r>
  <r>
    <d v="2025-10-07T07:25:06"/>
    <x v="2"/>
    <s v="Plaquettes de finition carrées"/>
    <s v="070325"/>
    <s v="PEREIRA KEVIN"/>
    <n v="5"/>
    <x v="1"/>
    <x v="2"/>
    <s v="PLAQUETTES"/>
    <x v="3"/>
    <n v="47.8"/>
  </r>
  <r>
    <d v="2025-10-07T07:25:21"/>
    <x v="2"/>
    <s v="Plaquettes de finition carrées"/>
    <s v="070325"/>
    <s v="PEREIRA KEVIN"/>
    <n v="5"/>
    <x v="1"/>
    <x v="2"/>
    <s v="PLAQUETTES"/>
    <x v="3"/>
    <n v="47.8"/>
  </r>
  <r>
    <d v="2025-10-07T13:11:42"/>
    <x v="3"/>
    <s v="Plaquettes d'ébauches carrées"/>
    <s v="040E47C25C7780"/>
    <s v="PARINGAUX CARROLANE"/>
    <n v="5"/>
    <x v="1"/>
    <x v="0"/>
    <s v="PLAQUETTES"/>
    <x v="3"/>
    <n v="39.799999999999997"/>
  </r>
  <r>
    <d v="2025-10-07T13:11:54"/>
    <x v="0"/>
    <s v="Plaquettes d'ébauches rhombiques"/>
    <s v="040E47C25C7780"/>
    <s v="PARINGAUX CARROLANE"/>
    <n v="5"/>
    <x v="1"/>
    <x v="0"/>
    <s v="PLAQUETTES"/>
    <x v="3"/>
    <n v="39.799999999999997"/>
  </r>
  <r>
    <d v="2025-10-07T13:12:09"/>
    <x v="3"/>
    <s v="Plaquettes d'ébauches carrées"/>
    <s v="040E47C25C7780"/>
    <s v="PARINGAUX CARROLANE"/>
    <n v="5"/>
    <x v="1"/>
    <x v="3"/>
    <s v="PLAQUETTES"/>
    <x v="3"/>
    <n v="39.799999999999997"/>
  </r>
  <r>
    <d v="2025-10-07T13:12:24"/>
    <x v="0"/>
    <s v="Plaquettes d'ébauches rhombiques"/>
    <s v="040E47C25C7780"/>
    <s v="PARINGAUX CARROLANE"/>
    <n v="5"/>
    <x v="1"/>
    <x v="3"/>
    <s v="PLAQUETTES"/>
    <x v="3"/>
    <n v="39.799999999999997"/>
  </r>
  <r>
    <d v="2025-10-07T21:23:29"/>
    <x v="4"/>
    <s v="Plaquettes de gorges"/>
    <s v="U080365"/>
    <s v="ALAVOINE SAMUEL"/>
    <n v="10"/>
    <x v="0"/>
    <x v="0"/>
    <s v="PLAQUETTES"/>
    <x v="0"/>
    <n v="188"/>
  </r>
  <r>
    <d v="2025-10-07T21:23:50"/>
    <x v="4"/>
    <s v="Plaquettes de gorges"/>
    <s v="U080365"/>
    <s v="ALAVOINE SAMUEL"/>
    <n v="10"/>
    <x v="0"/>
    <x v="0"/>
    <s v="PLAQUETTES"/>
    <x v="0"/>
    <n v="188"/>
  </r>
  <r>
    <d v="2025-10-07T21:24:13"/>
    <x v="3"/>
    <s v="Plaquettes d'ébauches carrées"/>
    <s v="U080365"/>
    <s v="ALAVOINE SAMUEL"/>
    <n v="5"/>
    <x v="0"/>
    <x v="0"/>
    <s v="PLAQUETTES"/>
    <x v="0"/>
    <n v="39.799999999999997"/>
  </r>
  <r>
    <d v="2025-10-08T00:23:53"/>
    <x v="2"/>
    <s v="Plaquettes de finition carrées"/>
    <s v="7236310"/>
    <s v="OZYURT IREM"/>
    <n v="5"/>
    <x v="0"/>
    <x v="2"/>
    <s v="PLAQUETTES"/>
    <x v="0"/>
    <n v="47.8"/>
  </r>
  <r>
    <d v="2025-10-08T00:24:04"/>
    <x v="2"/>
    <s v="Plaquettes de finition carrées"/>
    <s v="7236310"/>
    <s v="OZYURT IREM"/>
    <n v="5"/>
    <x v="1"/>
    <x v="2"/>
    <s v="PLAQUETTES"/>
    <x v="3"/>
    <n v="47.8"/>
  </r>
  <r>
    <d v="2025-10-08T05:26:19"/>
    <x v="2"/>
    <s v="Plaquettes de finition carrées"/>
    <s v="070325"/>
    <s v="PEREIRA KEVIN"/>
    <n v="5"/>
    <x v="1"/>
    <x v="2"/>
    <s v="PLAQUETTES"/>
    <x v="3"/>
    <n v="47.8"/>
  </r>
  <r>
    <d v="2025-10-08T05:26:32"/>
    <x v="6"/>
    <s v="Plaquettes de finition triangulaires"/>
    <s v="070325"/>
    <s v="PEREIRA KEVIN"/>
    <n v="5"/>
    <x v="1"/>
    <x v="2"/>
    <s v="PLAQUETTES"/>
    <x v="3"/>
    <n v="48.7"/>
  </r>
  <r>
    <d v="2025-10-08T05:26:45"/>
    <x v="3"/>
    <s v="Plaquettes d'ébauches carrées"/>
    <s v="070325"/>
    <s v="PEREIRA KEVIN"/>
    <n v="5"/>
    <x v="1"/>
    <x v="0"/>
    <s v="PLAQUETTES"/>
    <x v="3"/>
    <n v="39.799999999999997"/>
  </r>
  <r>
    <d v="2025-10-08T05:26:57"/>
    <x v="0"/>
    <s v="Plaquettes d'ébauches rhombiques"/>
    <s v="070325"/>
    <s v="PEREIRA KEVIN"/>
    <n v="5"/>
    <x v="1"/>
    <x v="0"/>
    <s v="PLAQUETTES"/>
    <x v="3"/>
    <n v="39.799999999999997"/>
  </r>
  <r>
    <d v="2025-10-08T13:16:54"/>
    <x v="2"/>
    <s v="Plaquettes de finition carrées"/>
    <s v="040E47C25C7780"/>
    <s v="PARINGAUX CARROLANE"/>
    <n v="5"/>
    <x v="1"/>
    <x v="2"/>
    <s v="PLAQUETTES"/>
    <x v="3"/>
    <n v="47.8"/>
  </r>
  <r>
    <d v="2025-10-08T13:17:06"/>
    <x v="5"/>
    <s v="Plaquettes de finition"/>
    <s v="040E47C25C7780"/>
    <s v="PARINGAUX CARROLANE"/>
    <n v="5"/>
    <x v="1"/>
    <x v="2"/>
    <s v="PLAQUETTES"/>
    <x v="3"/>
    <n v="42.5"/>
  </r>
  <r>
    <d v="2025-10-08T13:17:21"/>
    <x v="3"/>
    <s v="Plaquettes d'ébauches carrées"/>
    <s v="040E47C25C7780"/>
    <s v="PARINGAUX CARROLANE"/>
    <n v="5"/>
    <x v="1"/>
    <x v="3"/>
    <s v="PLAQUETTES"/>
    <x v="3"/>
    <n v="39.799999999999997"/>
  </r>
  <r>
    <d v="2025-10-08T15:12:17"/>
    <x v="9"/>
    <s v="EMBOUT KENTIP D8.6"/>
    <s v="12824586"/>
    <s v="DASILVA FERNANDO"/>
    <n v="2"/>
    <x v="1"/>
    <x v="1"/>
    <s v="PLAQUETTES"/>
    <x v="1"/>
    <n v="100"/>
  </r>
  <r>
    <d v="2025-10-08T15:30:39"/>
    <x v="9"/>
    <s v="EMBOUT KENTIP D8.6"/>
    <s v="12824586"/>
    <s v="DASILVA FERNANDO"/>
    <n v="1"/>
    <x v="1"/>
    <x v="1"/>
    <s v="PLAQUETTES"/>
    <x v="1"/>
    <n v="50"/>
  </r>
  <r>
    <d v="2025-10-08T15:30:39"/>
    <x v="9"/>
    <s v="EMBOUT KENTIP D8.6"/>
    <s v="12824586"/>
    <s v="DASILVA FERNANDO"/>
    <n v="1"/>
    <x v="1"/>
    <x v="1"/>
    <s v="PLAQUETTES"/>
    <x v="1"/>
    <n v="50"/>
  </r>
  <r>
    <d v="2025-10-08T15:51:17"/>
    <x v="3"/>
    <s v="Plaquettes d'ébauches carrées"/>
    <s v="040E47C25C7780"/>
    <s v="PARINGAUX CARROLANE"/>
    <n v="5"/>
    <x v="1"/>
    <x v="3"/>
    <s v="PLAQUETTES"/>
    <x v="3"/>
    <n v="39.799999999999997"/>
  </r>
  <r>
    <d v="2025-10-08T15:51:31"/>
    <x v="3"/>
    <s v="Plaquettes d'ébauches carrées"/>
    <s v="040E47C25C7780"/>
    <s v="PARINGAUX CARROLANE"/>
    <n v="5"/>
    <x v="1"/>
    <x v="0"/>
    <s v="PLAQUETTES"/>
    <x v="3"/>
    <n v="39.799999999999997"/>
  </r>
  <r>
    <d v="2025-10-08T15:51:51"/>
    <x v="2"/>
    <s v="Plaquettes de finition carrées"/>
    <s v="040E47C25C7780"/>
    <s v="PARINGAUX CARROLANE"/>
    <n v="5"/>
    <x v="1"/>
    <x v="2"/>
    <s v="PLAQUETTES"/>
    <x v="3"/>
    <n v="47.8"/>
  </r>
  <r>
    <d v="2025-10-08T15:52:06"/>
    <x v="2"/>
    <s v="Plaquettes de finition carrées"/>
    <s v="040E47C25C7780"/>
    <s v="PARINGAUX CARROLANE"/>
    <n v="5"/>
    <x v="1"/>
    <x v="2"/>
    <s v="PLAQUETTES"/>
    <x v="3"/>
    <n v="47.8"/>
  </r>
  <r>
    <d v="2025-10-08T19:41:18"/>
    <x v="2"/>
    <s v="Plaquettes de finition carrées"/>
    <s v="SC95213"/>
    <s v="RABET PAULINE"/>
    <n v="5"/>
    <x v="0"/>
    <x v="2"/>
    <s v="PLAQUETTES"/>
    <x v="0"/>
    <n v="47.8"/>
  </r>
  <r>
    <d v="2025-10-08T19:41:36"/>
    <x v="3"/>
    <s v="Plaquettes d'ébauches carrées"/>
    <s v="SC95213"/>
    <s v="RABET PAULINE"/>
    <n v="5"/>
    <x v="0"/>
    <x v="3"/>
    <s v="PLAQUETTES"/>
    <x v="0"/>
    <n v="39.799999999999997"/>
  </r>
  <r>
    <d v="2025-10-08T19:41:54"/>
    <x v="3"/>
    <s v="Plaquettes d'ébauches carrées"/>
    <s v="SC95213"/>
    <s v="RABET PAULINE"/>
    <n v="5"/>
    <x v="0"/>
    <x v="0"/>
    <s v="PLAQUETTES"/>
    <x v="0"/>
    <n v="39.799999999999997"/>
  </r>
  <r>
    <d v="2025-10-09T04:05:32"/>
    <x v="2"/>
    <s v="Plaquettes de finition carrées"/>
    <s v="7236310"/>
    <s v="OZYURT IREM"/>
    <n v="5"/>
    <x v="0"/>
    <x v="2"/>
    <s v="PLAQUETTES"/>
    <x v="0"/>
    <n v="47.8"/>
  </r>
  <r>
    <d v="2025-10-09T04:05:47"/>
    <x v="2"/>
    <s v="Plaquettes de finition carrées"/>
    <s v="7236310"/>
    <s v="OZYURT IREM"/>
    <n v="5"/>
    <x v="1"/>
    <x v="2"/>
    <s v="PLAQUETTES"/>
    <x v="3"/>
    <n v="47.8"/>
  </r>
  <r>
    <d v="2025-10-09T11:42:59"/>
    <x v="9"/>
    <s v="EMBOUT KENTIP D8.6"/>
    <s v="12824586"/>
    <s v="DASILVA FERNANDO"/>
    <n v="1"/>
    <x v="0"/>
    <x v="1"/>
    <s v="PLAQUETTES"/>
    <x v="1"/>
    <n v="50"/>
  </r>
  <r>
    <d v="2025-10-09T13:23:15"/>
    <x v="3"/>
    <s v="Plaquettes d'ébauches carrées"/>
    <s v="040E47C25C7780"/>
    <s v="PARINGAUX CARROLANE"/>
    <n v="5"/>
    <x v="1"/>
    <x v="0"/>
    <s v="PLAQUETTES"/>
    <x v="3"/>
    <n v="39.799999999999997"/>
  </r>
  <r>
    <d v="2025-10-09T13:23:28"/>
    <x v="0"/>
    <s v="Plaquettes d'ébauches rhombiques"/>
    <s v="040E47C25C7780"/>
    <s v="PARINGAUX CARROLANE"/>
    <n v="5"/>
    <x v="1"/>
    <x v="0"/>
    <s v="PLAQUETTES"/>
    <x v="3"/>
    <n v="39.799999999999997"/>
  </r>
  <r>
    <d v="2025-10-09T13:23:42"/>
    <x v="3"/>
    <s v="Plaquettes d'ébauches carrées"/>
    <s v="040E47C25C7780"/>
    <s v="PARINGAUX CARROLANE"/>
    <n v="5"/>
    <x v="1"/>
    <x v="3"/>
    <s v="PLAQUETTES"/>
    <x v="3"/>
    <n v="39.799999999999997"/>
  </r>
  <r>
    <d v="2025-10-09T13:23:57"/>
    <x v="0"/>
    <s v="Plaquettes d'ébauches rhombiques"/>
    <s v="040E47C25C7780"/>
    <s v="PARINGAUX CARROLANE"/>
    <n v="5"/>
    <x v="1"/>
    <x v="3"/>
    <s v="PLAQUETTES"/>
    <x v="3"/>
    <n v="39.799999999999997"/>
  </r>
  <r>
    <d v="2025-10-09T19:35:14"/>
    <x v="4"/>
    <s v="Plaquettes de gorges"/>
    <s v="SC95213"/>
    <s v="RABET PAULINE"/>
    <n v="10"/>
    <x v="0"/>
    <x v="0"/>
    <s v="PLAQUETTES"/>
    <x v="0"/>
    <n v="188"/>
  </r>
  <r>
    <d v="2025-10-09T19:35:31"/>
    <x v="3"/>
    <s v="Plaquettes d'ébauches carrées"/>
    <s v="SC95213"/>
    <s v="RABET PAULINE"/>
    <n v="5"/>
    <x v="0"/>
    <x v="3"/>
    <s v="PLAQUETTES"/>
    <x v="0"/>
    <n v="39.799999999999997"/>
  </r>
  <r>
    <d v="2025-10-09T19:35:48"/>
    <x v="3"/>
    <s v="Plaquettes d'ébauches carrées"/>
    <s v="SC95213"/>
    <s v="RABET PAULINE"/>
    <n v="5"/>
    <x v="0"/>
    <x v="0"/>
    <s v="PLAQUETTES"/>
    <x v="0"/>
    <n v="39.799999999999997"/>
  </r>
  <r>
    <d v="2025-10-10T03:20:16"/>
    <x v="0"/>
    <s v="Plaquettes d'ébauches rhombiques"/>
    <s v="7236310"/>
    <s v="OZYURT IREM"/>
    <n v="5"/>
    <x v="0"/>
    <x v="3"/>
    <s v="PLAQUETTES"/>
    <x v="0"/>
    <n v="39.799999999999997"/>
  </r>
  <r>
    <d v="2025-10-10T03:20:39"/>
    <x v="2"/>
    <s v="Plaquettes de finition carrées"/>
    <s v="7236310"/>
    <s v="OZYURT IREM"/>
    <n v="5"/>
    <x v="0"/>
    <x v="2"/>
    <s v="PLAQUETTES"/>
    <x v="0"/>
    <n v="47.8"/>
  </r>
  <r>
    <d v="2025-10-10T05:30:44"/>
    <x v="3"/>
    <s v="Plaquettes d'ébauches carrées"/>
    <s v="10301115"/>
    <s v="BOUCHART LUDOVIC"/>
    <n v="5"/>
    <x v="0"/>
    <x v="3"/>
    <s v="PLAQUETTES"/>
    <x v="0"/>
    <n v="39.799999999999997"/>
  </r>
  <r>
    <d v="2025-10-10T05:30:56"/>
    <x v="0"/>
    <s v="Plaquettes d'ébauches rhombiques"/>
    <s v="10301115"/>
    <s v="BOUCHART LUDOVIC"/>
    <n v="5"/>
    <x v="0"/>
    <x v="3"/>
    <s v="PLAQUETTES"/>
    <x v="0"/>
    <n v="39.799999999999997"/>
  </r>
  <r>
    <d v="2025-10-10T05:31:11"/>
    <x v="4"/>
    <s v="Plaquettes de gorges"/>
    <s v="10301115"/>
    <s v="BOUCHART LUDOVIC"/>
    <n v="10"/>
    <x v="0"/>
    <x v="0"/>
    <s v="PLAQUETTES"/>
    <x v="0"/>
    <n v="188"/>
  </r>
  <r>
    <d v="2025-10-10T05:31:24"/>
    <x v="3"/>
    <s v="Plaquettes d'ébauches carrées"/>
    <s v="10301115"/>
    <s v="BOUCHART LUDOVIC"/>
    <n v="5"/>
    <x v="0"/>
    <x v="0"/>
    <s v="PLAQUETTES"/>
    <x v="0"/>
    <n v="39.799999999999997"/>
  </r>
  <r>
    <d v="2025-10-10T05:31:38"/>
    <x v="0"/>
    <s v="Plaquettes d'ébauches rhombiques"/>
    <s v="10301115"/>
    <s v="BOUCHART LUDOVIC"/>
    <n v="5"/>
    <x v="0"/>
    <x v="0"/>
    <s v="PLAQUETTES"/>
    <x v="0"/>
    <n v="39.799999999999997"/>
  </r>
  <r>
    <d v="2025-10-10T05:31:57"/>
    <x v="2"/>
    <s v="Plaquettes de finition carrées"/>
    <s v="10301115"/>
    <s v="BOUCHART LUDOVIC"/>
    <n v="5"/>
    <x v="0"/>
    <x v="2"/>
    <s v="PLAQUETTES"/>
    <x v="0"/>
    <n v="47.8"/>
  </r>
  <r>
    <d v="2025-10-10T09:09:47"/>
    <x v="3"/>
    <s v="Plaquettes d'ébauches carrées"/>
    <s v="12824586"/>
    <s v="DASILVA FERNANDO"/>
    <n v="5"/>
    <x v="1"/>
    <x v="3"/>
    <s v="PLAQUETTES"/>
    <x v="2"/>
    <n v="39.799999999999997"/>
  </r>
  <r>
    <d v="2025-10-10T10:08:44"/>
    <x v="9"/>
    <s v="EMBOUT KENTIP D8.6"/>
    <s v="12824586"/>
    <s v="DASILVA FERNANDO"/>
    <n v="1"/>
    <x v="1"/>
    <x v="1"/>
    <s v="PLAQUETTES"/>
    <x v="1"/>
    <n v="50"/>
  </r>
  <r>
    <d v="2025-10-10T10:43:49"/>
    <x v="3"/>
    <s v="Plaquettes d'ébauches carrées"/>
    <s v="U080365"/>
    <s v="ALAVOINE SAMUEL"/>
    <n v="5"/>
    <x v="0"/>
    <x v="3"/>
    <s v="PLAQUETTES"/>
    <x v="0"/>
    <n v="39.799999999999997"/>
  </r>
  <r>
    <d v="2025-10-10T11:39:17"/>
    <x v="10"/>
    <s v="Plaquettes TPGX0902ZPRGD KC7315"/>
    <s v="12824586"/>
    <s v="DASILVA FERNANDO"/>
    <n v="10"/>
    <x v="0"/>
    <x v="1"/>
    <s v="PLAQUETTES"/>
    <x v="1"/>
    <n v="81.5"/>
  </r>
  <r>
    <d v="2025-10-10T14:53:19"/>
    <x v="0"/>
    <s v="Plaquettes d'ébauches rhombiques"/>
    <s v="040E47C25C7780"/>
    <s v="PARINGAUX CARROLANE"/>
    <n v="5"/>
    <x v="0"/>
    <x v="2"/>
    <s v="PLAQUETTES"/>
    <x v="0"/>
    <n v="39.799999999999997"/>
  </r>
  <r>
    <d v="2025-10-10T17:48:32"/>
    <x v="4"/>
    <s v="Plaquettes de gorges"/>
    <s v="040E47C25C7780"/>
    <s v="PARINGAUX CARROLANE"/>
    <n v="10"/>
    <x v="0"/>
    <x v="0"/>
    <s v="PLAQUETTES"/>
    <x v="0"/>
    <n v="188"/>
  </r>
  <r>
    <d v="2025-10-11T01:49:12"/>
    <x v="2"/>
    <s v="Plaquettes de finition carrées"/>
    <s v="7236310"/>
    <s v="OZYURT IREM"/>
    <n v="5"/>
    <x v="0"/>
    <x v="2"/>
    <s v="PLAQUETTES"/>
    <x v="0"/>
    <n v="47.8"/>
  </r>
  <r>
    <d v="2025-10-11T01:49:25"/>
    <x v="2"/>
    <s v="Plaquettes de finition carrées"/>
    <s v="7236310"/>
    <s v="OZYURT IREM"/>
    <n v="5"/>
    <x v="1"/>
    <x v="2"/>
    <s v="PLAQUETTES"/>
    <x v="2"/>
    <n v="47.8"/>
  </r>
  <r>
    <d v="2025-10-11T04:27:17"/>
    <x v="2"/>
    <s v="Plaquettes de finition carrées"/>
    <s v="7236310"/>
    <s v="OZYURT IREM"/>
    <n v="5"/>
    <x v="1"/>
    <x v="2"/>
    <s v="PLAQUETTES"/>
    <x v="2"/>
    <n v="47.8"/>
  </r>
  <r>
    <d v="2025-10-11T05:11:17"/>
    <x v="3"/>
    <s v="Plaquettes d'ébauches carrées"/>
    <s v="U509351"/>
    <s v="DELIAT CHRISTOPHE"/>
    <n v="5"/>
    <x v="0"/>
    <x v="3"/>
    <s v="PLAQUETTES"/>
    <x v="0"/>
    <n v="39.799999999999997"/>
  </r>
  <r>
    <d v="2025-10-11T05:11:45"/>
    <x v="0"/>
    <s v="Plaquettes d'ébauches rhombiques"/>
    <s v="U509351"/>
    <s v="DELIAT CHRISTOPHE"/>
    <n v="5"/>
    <x v="0"/>
    <x v="3"/>
    <s v="PLAQUETTES"/>
    <x v="0"/>
    <n v="39.799999999999997"/>
  </r>
  <r>
    <d v="2025-10-11T05:12:02"/>
    <x v="0"/>
    <s v="Plaquettes d'ébauches rhombiques"/>
    <s v="U509351"/>
    <s v="DELIAT CHRISTOPHE"/>
    <n v="5"/>
    <x v="0"/>
    <x v="0"/>
    <s v="PLAQUETTES"/>
    <x v="0"/>
    <n v="39.799999999999997"/>
  </r>
  <r>
    <d v="2025-10-11T05:12:23"/>
    <x v="3"/>
    <s v="Plaquettes d'ébauches carrées"/>
    <s v="U509351"/>
    <s v="DELIAT CHRISTOPHE"/>
    <n v="5"/>
    <x v="0"/>
    <x v="0"/>
    <s v="PLAQUETTES"/>
    <x v="0"/>
    <n v="39.799999999999997"/>
  </r>
  <r>
    <d v="2025-10-11T05:12:40"/>
    <x v="3"/>
    <s v="Plaquettes d'ébauches carrées"/>
    <s v="U509351"/>
    <s v="DELIAT CHRISTOPHE"/>
    <n v="5"/>
    <x v="1"/>
    <x v="3"/>
    <s v="PLAQUETTES"/>
    <x v="2"/>
    <n v="39.799999999999997"/>
  </r>
  <r>
    <d v="2025-10-11T05:12:54"/>
    <x v="0"/>
    <s v="Plaquettes d'ébauches rhombiques"/>
    <s v="U509351"/>
    <s v="DELIAT CHRISTOPHE"/>
    <n v="5"/>
    <x v="1"/>
    <x v="3"/>
    <s v="PLAQUETTES"/>
    <x v="2"/>
    <n v="39.799999999999997"/>
  </r>
  <r>
    <d v="2025-10-11T05:13:10"/>
    <x v="3"/>
    <s v="Plaquettes d'ébauches carrées"/>
    <s v="U509351"/>
    <s v="DELIAT CHRISTOPHE"/>
    <n v="5"/>
    <x v="1"/>
    <x v="0"/>
    <s v="PLAQUETTES"/>
    <x v="2"/>
    <n v="39.799999999999997"/>
  </r>
  <r>
    <d v="2025-10-11T05:13:33"/>
    <x v="3"/>
    <s v="Plaquettes d'ébauches carrées"/>
    <s v="U509351"/>
    <s v="DELIAT CHRISTOPHE"/>
    <n v="5"/>
    <x v="1"/>
    <x v="0"/>
    <s v="PLAQUETTES"/>
    <x v="2"/>
    <n v="39.799999999999997"/>
  </r>
  <r>
    <d v="2025-10-11T05:13:48"/>
    <x v="4"/>
    <s v="Plaquettes de gorges"/>
    <s v="U509351"/>
    <s v="DELIAT CHRISTOPHE"/>
    <n v="10"/>
    <x v="1"/>
    <x v="0"/>
    <s v="PLAQUETTES"/>
    <x v="2"/>
    <n v="188"/>
  </r>
  <r>
    <d v="2025-10-11T05:20:26"/>
    <x v="2"/>
    <s v="Plaquettes de finition carrées"/>
    <s v="10301115"/>
    <s v="BOUCHART LUDOVIC"/>
    <n v="5"/>
    <x v="0"/>
    <x v="2"/>
    <s v="PLAQUETTES"/>
    <x v="0"/>
    <n v="47.8"/>
  </r>
  <r>
    <d v="2025-10-11T05:20:43"/>
    <x v="2"/>
    <s v="Plaquettes de finition carrées"/>
    <s v="10301115"/>
    <s v="BOUCHART LUDOVIC"/>
    <n v="5"/>
    <x v="1"/>
    <x v="2"/>
    <s v="PLAQUETTES"/>
    <x v="2"/>
    <n v="47.8"/>
  </r>
  <r>
    <d v="2025-10-11T05:20:56"/>
    <x v="2"/>
    <s v="Plaquettes de finition carrées"/>
    <s v="10301115"/>
    <s v="BOUCHART LUDOVIC"/>
    <n v="5"/>
    <x v="1"/>
    <x v="2"/>
    <s v="PLAQUETTES"/>
    <x v="2"/>
    <n v="47.8"/>
  </r>
  <r>
    <d v="2025-10-11T05:21:07"/>
    <x v="2"/>
    <s v="Plaquettes de finition carrées"/>
    <s v="10301115"/>
    <s v="BOUCHART LUDOVIC"/>
    <n v="5"/>
    <x v="0"/>
    <x v="2"/>
    <s v="PLAQUETTES"/>
    <x v="0"/>
    <n v="47.8"/>
  </r>
  <r>
    <d v="2025-10-12T20:22:13"/>
    <x v="2"/>
    <s v="Plaquettes de finition carrées"/>
    <s v="10301115"/>
    <s v="BOUCHART LUDOVIC"/>
    <n v="5"/>
    <x v="0"/>
    <x v="2"/>
    <s v="PLAQUETTES"/>
    <x v="0"/>
    <n v="47.8"/>
  </r>
  <r>
    <d v="2025-10-12T20:22:29"/>
    <x v="2"/>
    <s v="Plaquettes de finition carrées"/>
    <s v="10301115"/>
    <s v="BOUCHART LUDOVIC"/>
    <n v="5"/>
    <x v="1"/>
    <x v="2"/>
    <s v="PLAQUETTES"/>
    <x v="2"/>
    <n v="47.8"/>
  </r>
  <r>
    <d v="2025-10-13T01:03:24"/>
    <x v="4"/>
    <s v="Plaquettes de gorges"/>
    <s v="10301115"/>
    <s v="BOUCHART LUDOVIC"/>
    <n v="10"/>
    <x v="0"/>
    <x v="0"/>
    <s v="PLAQUETTES"/>
    <x v="0"/>
    <n v="188"/>
  </r>
  <r>
    <d v="2025-10-13T01:03:39"/>
    <x v="3"/>
    <s v="Plaquettes d'ébauches carrées"/>
    <s v="10301115"/>
    <s v="BOUCHART LUDOVIC"/>
    <n v="5"/>
    <x v="0"/>
    <x v="0"/>
    <s v="PLAQUETTES"/>
    <x v="0"/>
    <n v="39.799999999999997"/>
  </r>
  <r>
    <d v="2025-10-13T01:03:54"/>
    <x v="0"/>
    <s v="Plaquettes d'ébauches rhombiques"/>
    <s v="10301115"/>
    <s v="BOUCHART LUDOVIC"/>
    <n v="5"/>
    <x v="0"/>
    <x v="0"/>
    <s v="PLAQUETTES"/>
    <x v="0"/>
    <n v="39.799999999999997"/>
  </r>
  <r>
    <d v="2025-10-13T09:04:41"/>
    <x v="4"/>
    <s v="Plaquettes de gorges"/>
    <s v="040E47C25C7780"/>
    <s v="PARINGAUX CARROLANE"/>
    <n v="10"/>
    <x v="0"/>
    <x v="0"/>
    <s v="PLAQUETTES"/>
    <x v="0"/>
    <n v="188"/>
  </r>
  <r>
    <d v="2025-10-13T14:10:46"/>
    <x v="4"/>
    <s v="Plaquettes de gorges"/>
    <s v="070325"/>
    <s v="PEREIRA KEVIN"/>
    <n v="10"/>
    <x v="1"/>
    <x v="0"/>
    <s v="PLAQUETTES"/>
    <x v="2"/>
    <n v="188"/>
  </r>
  <r>
    <d v="2025-10-13T14:11:03"/>
    <x v="3"/>
    <s v="Plaquettes d'ébauches carrées"/>
    <s v="070325"/>
    <s v="PEREIRA KEVIN"/>
    <n v="5"/>
    <x v="1"/>
    <x v="0"/>
    <s v="PLAQUETTES"/>
    <x v="2"/>
    <n v="39.799999999999997"/>
  </r>
  <r>
    <d v="2025-10-13T14:11:20"/>
    <x v="3"/>
    <s v="Plaquettes d'ébauches carrées"/>
    <s v="070325"/>
    <s v="PEREIRA KEVIN"/>
    <n v="5"/>
    <x v="1"/>
    <x v="3"/>
    <s v="PLAQUETTES"/>
    <x v="2"/>
    <n v="39.799999999999997"/>
  </r>
  <r>
    <d v="2025-10-13T16:35:38"/>
    <x v="3"/>
    <s v="Plaquettes d'ébauches carrées"/>
    <s v="31224"/>
    <s v="BIDOT MURIEL"/>
    <n v="5"/>
    <x v="0"/>
    <x v="3"/>
    <s v="PLAQUETTES"/>
    <x v="0"/>
    <n v="39.799999999999997"/>
  </r>
  <r>
    <d v="2025-10-13T16:36:00"/>
    <x v="0"/>
    <s v="Plaquettes d'ébauches rhombiques"/>
    <s v="31224"/>
    <s v="BIDOT MURIEL"/>
    <n v="5"/>
    <x v="0"/>
    <x v="3"/>
    <s v="PLAQUETTES"/>
    <x v="0"/>
    <n v="39.799999999999997"/>
  </r>
  <r>
    <d v="2025-10-13T16:36:18"/>
    <x v="4"/>
    <s v="Plaquettes de gorges"/>
    <s v="31224"/>
    <s v="BIDOT MURIEL"/>
    <n v="10"/>
    <x v="0"/>
    <x v="0"/>
    <s v="PLAQUETTES"/>
    <x v="0"/>
    <n v="188"/>
  </r>
  <r>
    <d v="2025-10-13T16:36:38"/>
    <x v="2"/>
    <s v="Plaquettes de finition carrées"/>
    <s v="31224"/>
    <s v="BIDOT MURIEL"/>
    <n v="5"/>
    <x v="0"/>
    <x v="2"/>
    <s v="PLAQUETTES"/>
    <x v="0"/>
    <n v="47.8"/>
  </r>
  <r>
    <d v="2025-10-14T08:09:34"/>
    <x v="4"/>
    <s v="Plaquettes de gorges"/>
    <s v="SC95213"/>
    <s v="RABET PAULINE"/>
    <n v="10"/>
    <x v="1"/>
    <x v="0"/>
    <s v="PLAQUETTES"/>
    <x v="2"/>
    <n v="188"/>
  </r>
  <r>
    <d v="2025-10-14T08:10:05"/>
    <x v="3"/>
    <s v="Plaquettes d'ébauches carrées"/>
    <s v="SC95213"/>
    <s v="RABET PAULINE"/>
    <n v="5"/>
    <x v="1"/>
    <x v="0"/>
    <s v="PLAQUETTES"/>
    <x v="2"/>
    <n v="39.799999999999997"/>
  </r>
  <r>
    <d v="2025-10-14T08:10:22"/>
    <x v="0"/>
    <s v="Plaquettes d'ébauches rhombiques"/>
    <s v="SC95213"/>
    <s v="RABET PAULINE"/>
    <n v="5"/>
    <x v="1"/>
    <x v="0"/>
    <s v="PLAQUETTES"/>
    <x v="2"/>
    <n v="39.799999999999997"/>
  </r>
  <r>
    <d v="2025-10-14T08:10:41"/>
    <x v="0"/>
    <s v="Plaquettes d'ébauches rhombiques"/>
    <s v="SC95213"/>
    <s v="RABET PAULINE"/>
    <n v="5"/>
    <x v="1"/>
    <x v="3"/>
    <s v="PLAQUETTES"/>
    <x v="2"/>
    <n v="39.799999999999997"/>
  </r>
  <r>
    <d v="2025-10-14T08:12:44"/>
    <x v="3"/>
    <s v="Plaquettes d'ébauches carrées"/>
    <s v="SC95213"/>
    <s v="RABET PAULINE"/>
    <n v="5"/>
    <x v="1"/>
    <x v="3"/>
    <s v="PLAQUETTES"/>
    <x v="2"/>
    <n v="39.799999999999997"/>
  </r>
  <r>
    <d v="2025-10-14T08:35:35"/>
    <x v="0"/>
    <s v="Plaquettes d'ébauches rhombiques"/>
    <s v="040E47C25C7780"/>
    <s v="PARINGAUX CARROLANE"/>
    <n v="5"/>
    <x v="1"/>
    <x v="2"/>
    <s v="PLAQUETTES"/>
    <x v="2"/>
    <n v="39.799999999999997"/>
  </r>
  <r>
    <d v="2025-10-14T08:35:54"/>
    <x v="6"/>
    <s v="Plaquettes de finition triangulaires"/>
    <s v="040E47C25C7780"/>
    <s v="PARINGAUX CARROLANE"/>
    <n v="5"/>
    <x v="0"/>
    <x v="2"/>
    <s v="PLAQUETTES"/>
    <x v="3"/>
    <n v="48.7"/>
  </r>
  <r>
    <d v="2025-10-14T08:36:08"/>
    <x v="5"/>
    <s v="Plaquettes de finition"/>
    <s v="040E47C25C7780"/>
    <s v="PARINGAUX CARROLANE"/>
    <n v="5"/>
    <x v="0"/>
    <x v="2"/>
    <s v="PLAQUETTES"/>
    <x v="3"/>
    <n v="42.5"/>
  </r>
  <r>
    <d v="2025-10-14T08:36:26"/>
    <x v="2"/>
    <s v="Plaquettes de finition carrées"/>
    <s v="040E47C25C7780"/>
    <s v="PARINGAUX CARROLANE"/>
    <n v="5"/>
    <x v="0"/>
    <x v="2"/>
    <s v="PLAQUETTES"/>
    <x v="3"/>
    <n v="47.8"/>
  </r>
  <r>
    <d v="2025-10-14T21:23:55"/>
    <x v="2"/>
    <s v="Plaquettes de finition carrées"/>
    <s v="7236310"/>
    <s v="OZYURT IREM"/>
    <n v="5"/>
    <x v="0"/>
    <x v="2"/>
    <s v="PLAQUETTES"/>
    <x v="3"/>
    <n v="47.8"/>
  </r>
  <r>
    <d v="2025-10-14T21:24:13"/>
    <x v="2"/>
    <s v="Plaquettes de finition carrées"/>
    <s v="7236310"/>
    <s v="OZYURT IREM"/>
    <n v="5"/>
    <x v="1"/>
    <x v="2"/>
    <s v="PLAQUETTES"/>
    <x v="2"/>
    <n v="47.8"/>
  </r>
  <r>
    <d v="2025-10-15T02:26:47"/>
    <x v="3"/>
    <s v="Plaquettes d'ébauches carrées"/>
    <s v="090225"/>
    <s v="MEYER THOMAS"/>
    <n v="5"/>
    <x v="1"/>
    <x v="3"/>
    <s v="PLAQUETTES"/>
    <x v="2"/>
    <n v="39.799999999999997"/>
  </r>
  <r>
    <d v="2025-10-15T02:27:01"/>
    <x v="0"/>
    <s v="Plaquettes d'ébauches rhombiques"/>
    <s v="090225"/>
    <s v="MEYER THOMAS"/>
    <n v="5"/>
    <x v="1"/>
    <x v="3"/>
    <s v="PLAQUETTES"/>
    <x v="2"/>
    <n v="39.799999999999997"/>
  </r>
  <r>
    <d v="2025-10-15T02:27:13"/>
    <x v="4"/>
    <s v="Plaquettes de gorges"/>
    <s v="090225"/>
    <s v="MEYER THOMAS"/>
    <n v="10"/>
    <x v="1"/>
    <x v="0"/>
    <s v="PLAQUETTES"/>
    <x v="2"/>
    <n v="188"/>
  </r>
  <r>
    <d v="2025-10-15T02:27:28"/>
    <x v="3"/>
    <s v="Plaquettes d'ébauches carrées"/>
    <s v="090225"/>
    <s v="MEYER THOMAS"/>
    <n v="5"/>
    <x v="1"/>
    <x v="0"/>
    <s v="PLAQUETTES"/>
    <x v="2"/>
    <n v="39.799999999999997"/>
  </r>
  <r>
    <d v="2025-10-15T02:27:43"/>
    <x v="0"/>
    <s v="Plaquettes d'ébauches rhombiques"/>
    <s v="090225"/>
    <s v="MEYER THOMAS"/>
    <n v="5"/>
    <x v="1"/>
    <x v="0"/>
    <s v="PLAQUETTES"/>
    <x v="2"/>
    <n v="39.799999999999997"/>
  </r>
  <r>
    <d v="2025-10-15T05:13:52"/>
    <x v="3"/>
    <s v="Plaquettes d'ébauches carrées"/>
    <s v="SC95213"/>
    <s v="RABET PAULINE"/>
    <n v="5"/>
    <x v="0"/>
    <x v="3"/>
    <s v="PLAQUETTES"/>
    <x v="3"/>
    <n v="39.799999999999997"/>
  </r>
  <r>
    <d v="2025-10-15T05:14:07"/>
    <x v="0"/>
    <s v="Plaquettes d'ébauches rhombiques"/>
    <s v="SC95213"/>
    <s v="RABET PAULINE"/>
    <n v="5"/>
    <x v="0"/>
    <x v="3"/>
    <s v="PLAQUETTES"/>
    <x v="3"/>
    <n v="39.799999999999997"/>
  </r>
  <r>
    <d v="2025-10-15T05:49:24"/>
    <x v="2"/>
    <s v="Plaquettes de finition carrées"/>
    <s v="040E47C25C7780"/>
    <s v="PARINGAUX CARROLANE"/>
    <n v="5"/>
    <x v="1"/>
    <x v="2"/>
    <s v="PLAQUETTES"/>
    <x v="2"/>
    <n v="47.8"/>
  </r>
  <r>
    <d v="2025-10-15T05:49:52"/>
    <x v="0"/>
    <s v="Plaquettes d'ébauches rhombiques"/>
    <s v="040E47C25C7780"/>
    <s v="PARINGAUX CARROLANE"/>
    <n v="5"/>
    <x v="1"/>
    <x v="2"/>
    <s v="PLAQUETTES"/>
    <x v="2"/>
    <n v="39.799999999999997"/>
  </r>
  <r>
    <d v="2025-10-15T05:50:12"/>
    <x v="0"/>
    <s v="Plaquettes d'ébauches rhombiques"/>
    <s v="040E47C25C7780"/>
    <s v="PARINGAUX CARROLANE"/>
    <n v="5"/>
    <x v="1"/>
    <x v="3"/>
    <s v="PLAQUETTES"/>
    <x v="2"/>
    <n v="39.799999999999997"/>
  </r>
  <r>
    <d v="2025-10-15T05:50:25"/>
    <x v="3"/>
    <s v="Plaquettes d'ébauches carrées"/>
    <s v="040E47C25C7780"/>
    <s v="PARINGAUX CARROLANE"/>
    <n v="5"/>
    <x v="1"/>
    <x v="3"/>
    <s v="PLAQUETTES"/>
    <x v="2"/>
    <n v="39.799999999999997"/>
  </r>
  <r>
    <d v="2025-10-15T05:50:56"/>
    <x v="3"/>
    <s v="Plaquettes d'ébauches carrées"/>
    <s v="040E47C25C7780"/>
    <s v="PARINGAUX CARROLANE"/>
    <n v="5"/>
    <x v="1"/>
    <x v="0"/>
    <s v="PLAQUETTES"/>
    <x v="2"/>
    <n v="39.799999999999997"/>
  </r>
  <r>
    <d v="2025-10-15T06:07:50"/>
    <x v="3"/>
    <s v="Plaquettes d'ébauches carrées"/>
    <s v="SC95213"/>
    <s v="RABET PAULINE"/>
    <n v="5"/>
    <x v="0"/>
    <x v="0"/>
    <s v="PLAQUETTES"/>
    <x v="3"/>
    <n v="39.799999999999997"/>
  </r>
  <r>
    <d v="2025-10-15T12:38:56"/>
    <x v="2"/>
    <s v="Plaquettes de finition carrées"/>
    <s v="SC95213"/>
    <s v="RABET PAULINE"/>
    <n v="5"/>
    <x v="0"/>
    <x v="2"/>
    <s v="PLAQUETTES"/>
    <x v="3"/>
    <n v="47.8"/>
  </r>
  <r>
    <d v="2025-10-15T18:20:37"/>
    <x v="3"/>
    <s v="Plaquettes d'ébauches carrées"/>
    <s v="31224"/>
    <s v="BIDOT MURIEL"/>
    <n v="5"/>
    <x v="0"/>
    <x v="3"/>
    <s v="PLAQUETTES"/>
    <x v="3"/>
    <n v="39.799999999999997"/>
  </r>
  <r>
    <d v="2025-10-15T18:20:50"/>
    <x v="0"/>
    <s v="Plaquettes d'ébauches rhombiques"/>
    <s v="31224"/>
    <s v="BIDOT MURIEL"/>
    <n v="5"/>
    <x v="0"/>
    <x v="3"/>
    <s v="PLAQUETTES"/>
    <x v="3"/>
    <n v="39.799999999999997"/>
  </r>
  <r>
    <d v="2025-10-15T18:21:06"/>
    <x v="6"/>
    <s v="Plaquettes de finition triangulaires"/>
    <s v="31224"/>
    <s v="BIDOT MURIEL"/>
    <n v="5"/>
    <x v="0"/>
    <x v="2"/>
    <s v="PLAQUETTES"/>
    <x v="3"/>
    <n v="48.7"/>
  </r>
  <r>
    <d v="2025-10-15T18:21:21"/>
    <x v="2"/>
    <s v="Plaquettes de finition carrées"/>
    <s v="31224"/>
    <s v="BIDOT MURIEL"/>
    <n v="5"/>
    <x v="0"/>
    <x v="2"/>
    <s v="PLAQUETTES"/>
    <x v="3"/>
    <n v="47.8"/>
  </r>
  <r>
    <d v="2025-10-15T18:21:38"/>
    <x v="2"/>
    <s v="Plaquettes de finition carrées"/>
    <s v="31224"/>
    <s v="BIDOT MURIEL"/>
    <n v="5"/>
    <x v="0"/>
    <x v="2"/>
    <s v="PLAQUETTES"/>
    <x v="3"/>
    <n v="47.8"/>
  </r>
  <r>
    <d v="2025-10-15T18:46:35"/>
    <x v="2"/>
    <s v="Plaquettes de finition carrées"/>
    <s v="070325"/>
    <s v="PEREIRA KEVIN"/>
    <n v="5"/>
    <x v="1"/>
    <x v="2"/>
    <s v="PLAQUETTES"/>
    <x v="2"/>
    <n v="47.8"/>
  </r>
  <r>
    <d v="2025-10-15T18:46:49"/>
    <x v="4"/>
    <s v="Plaquettes de gorges"/>
    <s v="070325"/>
    <s v="PEREIRA KEVIN"/>
    <n v="10"/>
    <x v="1"/>
    <x v="0"/>
    <s v="PLAQUETTES"/>
    <x v="2"/>
    <n v="188"/>
  </r>
  <r>
    <d v="2025-10-16T05:21:40"/>
    <x v="3"/>
    <s v="Plaquettes d'ébauches carrées"/>
    <s v="040E47C25C7780"/>
    <s v="PARINGAUX CARROLANE"/>
    <n v="5"/>
    <x v="1"/>
    <x v="3"/>
    <s v="PLAQUETTES"/>
    <x v="2"/>
    <n v="39.799999999999997"/>
  </r>
  <r>
    <d v="2025-10-16T13:36:02"/>
    <x v="3"/>
    <s v="Plaquettes d'ébauches carrées"/>
    <s v="31224"/>
    <s v="BIDOT MURIEL"/>
    <n v="5"/>
    <x v="0"/>
    <x v="3"/>
    <s v="PLAQUETTES"/>
    <x v="3"/>
    <n v="39.799999999999997"/>
  </r>
  <r>
    <d v="2025-10-16T13:36:27"/>
    <x v="3"/>
    <s v="Plaquettes d'ébauches carrées"/>
    <s v="31224"/>
    <s v="BIDOT MURIEL"/>
    <n v="5"/>
    <x v="0"/>
    <x v="3"/>
    <s v="PLAQUETTES"/>
    <x v="3"/>
    <n v="39.799999999999997"/>
  </r>
  <r>
    <d v="2025-10-16T13:36:56"/>
    <x v="0"/>
    <s v="Plaquettes d'ébauches rhombiques"/>
    <s v="31224"/>
    <s v="BIDOT MURIEL"/>
    <n v="5"/>
    <x v="0"/>
    <x v="3"/>
    <s v="PLAQUETTES"/>
    <x v="3"/>
    <n v="39.799999999999997"/>
  </r>
  <r>
    <d v="2025-10-16T13:37:15"/>
    <x v="0"/>
    <s v="Plaquettes d'ébauches rhombiques"/>
    <s v="31224"/>
    <s v="BIDOT MURIEL"/>
    <n v="5"/>
    <x v="0"/>
    <x v="3"/>
    <s v="PLAQUETTES"/>
    <x v="3"/>
    <n v="39.799999999999997"/>
  </r>
  <r>
    <d v="2025-10-16T13:37:45"/>
    <x v="2"/>
    <s v="Plaquettes de finition carrées"/>
    <s v="31224"/>
    <s v="BIDOT MURIEL"/>
    <n v="5"/>
    <x v="0"/>
    <x v="2"/>
    <s v="PLAQUETTES"/>
    <x v="3"/>
    <n v="47.8"/>
  </r>
  <r>
    <d v="2025-10-16T13:38:01"/>
    <x v="2"/>
    <s v="Plaquettes de finition carrées"/>
    <s v="31224"/>
    <s v="BIDOT MURIEL"/>
    <n v="5"/>
    <x v="0"/>
    <x v="2"/>
    <s v="PLAQUETTES"/>
    <x v="3"/>
    <n v="47.8"/>
  </r>
  <r>
    <d v="2025-10-16T13:38:17"/>
    <x v="6"/>
    <s v="Plaquettes de finition triangulaires"/>
    <s v="31224"/>
    <s v="BIDOT MURIEL"/>
    <n v="5"/>
    <x v="0"/>
    <x v="2"/>
    <s v="PLAQUETTES"/>
    <x v="3"/>
    <n v="48.7"/>
  </r>
  <r>
    <d v="2025-10-16T13:38:42"/>
    <x v="3"/>
    <s v="Plaquettes d'ébauches carrées"/>
    <s v="31224"/>
    <s v="BIDOT MURIEL"/>
    <n v="5"/>
    <x v="0"/>
    <x v="3"/>
    <s v="PLAQUETTES"/>
    <x v="3"/>
    <n v="39.799999999999997"/>
  </r>
  <r>
    <d v="2025-10-17T00:34:45"/>
    <x v="5"/>
    <s v="Plaquettes de finition"/>
    <s v="7236310"/>
    <s v="OZYURT IREM"/>
    <n v="5"/>
    <x v="1"/>
    <x v="2"/>
    <s v="PLAQUETTES"/>
    <x v="3"/>
    <n v="42.5"/>
  </r>
  <r>
    <d v="2025-10-17T00:35:05"/>
    <x v="6"/>
    <s v="Plaquettes de finition triangulaires"/>
    <s v="7236310"/>
    <s v="OZYURT IREM"/>
    <n v="5"/>
    <x v="1"/>
    <x v="2"/>
    <s v="PLAQUETTES"/>
    <x v="3"/>
    <n v="48.7"/>
  </r>
  <r>
    <d v="2025-10-17T00:35:34"/>
    <x v="2"/>
    <s v="Plaquettes de finition carrées"/>
    <s v="7236310"/>
    <s v="OZYURT IREM"/>
    <n v="5"/>
    <x v="0"/>
    <x v="2"/>
    <s v="PLAQUETTES"/>
    <x v="3"/>
    <n v="47.8"/>
  </r>
  <r>
    <d v="2025-10-17T02:42:55"/>
    <x v="2"/>
    <s v="Plaquettes de finition carrées"/>
    <s v="7236310"/>
    <s v="OZYURT IREM"/>
    <n v="5"/>
    <x v="0"/>
    <x v="2"/>
    <s v="PLAQUETTES"/>
    <x v="3"/>
    <n v="47.8"/>
  </r>
  <r>
    <d v="2025-10-17T04:35:27"/>
    <x v="3"/>
    <s v="Plaquettes d'ébauches carrées"/>
    <s v="090225"/>
    <s v="MEYER THOMAS"/>
    <n v="5"/>
    <x v="1"/>
    <x v="3"/>
    <s v="PLAQUETTES"/>
    <x v="3"/>
    <n v="39.799999999999997"/>
  </r>
  <r>
    <d v="2025-10-17T04:35:44"/>
    <x v="0"/>
    <s v="Plaquettes d'ébauches rhombiques"/>
    <s v="090225"/>
    <s v="MEYER THOMAS"/>
    <n v="5"/>
    <x v="1"/>
    <x v="3"/>
    <s v="PLAQUETTES"/>
    <x v="3"/>
    <n v="39.799999999999997"/>
  </r>
  <r>
    <d v="2025-10-17T04:36:02"/>
    <x v="3"/>
    <s v="Plaquettes d'ébauches carrées"/>
    <s v="090225"/>
    <s v="MEYER THOMAS"/>
    <n v="5"/>
    <x v="1"/>
    <x v="0"/>
    <s v="PLAQUETTES"/>
    <x v="3"/>
    <n v="39.799999999999997"/>
  </r>
  <r>
    <d v="2025-10-17T05:43:56"/>
    <x v="3"/>
    <s v="Plaquettes d'ébauches carrées"/>
    <s v="U509351"/>
    <s v="DELIAT CHRISTOPHE"/>
    <n v="5"/>
    <x v="1"/>
    <x v="3"/>
    <s v="PLAQUETTES"/>
    <x v="3"/>
    <n v="39.799999999999997"/>
  </r>
  <r>
    <d v="2025-10-17T05:44:14"/>
    <x v="0"/>
    <s v="Plaquettes d'ébauches rhombiques"/>
    <s v="U509351"/>
    <s v="DELIAT CHRISTOPHE"/>
    <n v="5"/>
    <x v="1"/>
    <x v="3"/>
    <s v="PLAQUETTES"/>
    <x v="3"/>
    <n v="39.799999999999997"/>
  </r>
  <r>
    <d v="2025-10-17T05:44:35"/>
    <x v="3"/>
    <s v="Plaquettes d'ébauches carrées"/>
    <s v="U509351"/>
    <s v="DELIAT CHRISTOPHE"/>
    <n v="5"/>
    <x v="0"/>
    <x v="3"/>
    <s v="PLAQUETTES"/>
    <x v="3"/>
    <n v="39.799999999999997"/>
  </r>
  <r>
    <d v="2025-10-17T05:44:54"/>
    <x v="0"/>
    <s v="Plaquettes d'ébauches rhombiques"/>
    <s v="U509351"/>
    <s v="DELIAT CHRISTOPHE"/>
    <n v="5"/>
    <x v="0"/>
    <x v="3"/>
    <s v="PLAQUETTES"/>
    <x v="3"/>
    <n v="39.799999999999997"/>
  </r>
  <r>
    <d v="2025-10-17T05:45:16"/>
    <x v="3"/>
    <s v="Plaquettes d'ébauches carrées"/>
    <s v="U509351"/>
    <s v="DELIAT CHRISTOPHE"/>
    <n v="5"/>
    <x v="0"/>
    <x v="0"/>
    <s v="PLAQUETTES"/>
    <x v="3"/>
    <n v="39.799999999999997"/>
  </r>
  <r>
    <d v="2025-10-17T05:45:30"/>
    <x v="0"/>
    <s v="Plaquettes d'ébauches rhombiques"/>
    <s v="U509351"/>
    <s v="DELIAT CHRISTOPHE"/>
    <n v="5"/>
    <x v="0"/>
    <x v="0"/>
    <s v="PLAQUETTES"/>
    <x v="3"/>
    <n v="39.799999999999997"/>
  </r>
  <r>
    <d v="2025-10-17T06:01:10"/>
    <x v="5"/>
    <s v="Plaquettes de finition"/>
    <s v="10301115"/>
    <s v="BOUCHART LUDOVIC"/>
    <n v="5"/>
    <x v="0"/>
    <x v="2"/>
    <s v="PLAQUETTES"/>
    <x v="3"/>
    <n v="42.5"/>
  </r>
  <r>
    <d v="2025-10-17T06:01:24"/>
    <x v="6"/>
    <s v="Plaquettes de finition triangulaires"/>
    <s v="10301115"/>
    <s v="BOUCHART LUDOVIC"/>
    <n v="5"/>
    <x v="0"/>
    <x v="2"/>
    <s v="PLAQUETTES"/>
    <x v="3"/>
    <n v="48.7"/>
  </r>
  <r>
    <d v="2025-10-17T06:01:43"/>
    <x v="2"/>
    <s v="Plaquettes de finition carrées"/>
    <s v="10301115"/>
    <s v="BOUCHART LUDOVIC"/>
    <n v="5"/>
    <x v="0"/>
    <x v="2"/>
    <s v="PLAQUETTES"/>
    <x v="3"/>
    <n v="47.8"/>
  </r>
  <r>
    <d v="2025-10-17T06:01:57"/>
    <x v="5"/>
    <s v="Plaquettes de finition"/>
    <s v="10301115"/>
    <s v="BOUCHART LUDOVIC"/>
    <n v="5"/>
    <x v="1"/>
    <x v="2"/>
    <s v="PLAQUETTES"/>
    <x v="3"/>
    <n v="42.5"/>
  </r>
  <r>
    <d v="2025-10-17T06:02:11"/>
    <x v="6"/>
    <s v="Plaquettes de finition triangulaires"/>
    <s v="10301115"/>
    <s v="BOUCHART LUDOVIC"/>
    <n v="5"/>
    <x v="1"/>
    <x v="2"/>
    <s v="PLAQUETTES"/>
    <x v="3"/>
    <n v="48.7"/>
  </r>
  <r>
    <d v="2025-10-17T06:02:25"/>
    <x v="2"/>
    <s v="Plaquettes de finition carrées"/>
    <s v="10301115"/>
    <s v="BOUCHART LUDOVIC"/>
    <n v="5"/>
    <x v="1"/>
    <x v="2"/>
    <s v="PLAQUETTES"/>
    <x v="3"/>
    <n v="47.8"/>
  </r>
  <r>
    <d v="2025-10-17T22:00:57"/>
    <x v="2"/>
    <s v="Plaquettes de finition carrées"/>
    <s v="7236310"/>
    <s v="OZYURT IREM"/>
    <n v="5"/>
    <x v="0"/>
    <x v="2"/>
    <s v="PLAQUETTES"/>
    <x v="3"/>
    <n v="47.8"/>
  </r>
  <r>
    <d v="2025-10-17T22:01:10"/>
    <x v="2"/>
    <s v="Plaquettes de finition carrées"/>
    <s v="7236310"/>
    <s v="OZYURT IREM"/>
    <n v="5"/>
    <x v="1"/>
    <x v="2"/>
    <s v="PLAQUETTES"/>
    <x v="3"/>
    <n v="47.8"/>
  </r>
  <r>
    <d v="2025-10-18T05:02:49"/>
    <x v="3"/>
    <s v="Plaquettes d'ébauches carrées"/>
    <s v="U509351"/>
    <s v="DELIAT CHRISTOPHE"/>
    <n v="5"/>
    <x v="0"/>
    <x v="3"/>
    <s v="PLAQUETTES"/>
    <x v="3"/>
    <n v="39.799999999999997"/>
  </r>
  <r>
    <d v="2025-10-18T05:03:10"/>
    <x v="0"/>
    <s v="Plaquettes d'ébauches rhombiques"/>
    <s v="U509351"/>
    <s v="DELIAT CHRISTOPHE"/>
    <n v="5"/>
    <x v="0"/>
    <x v="3"/>
    <s v="PLAQUETTES"/>
    <x v="3"/>
    <n v="39.799999999999997"/>
  </r>
  <r>
    <d v="2025-10-18T05:03:39"/>
    <x v="3"/>
    <s v="Plaquettes d'ébauches carrées"/>
    <s v="U509351"/>
    <s v="DELIAT CHRISTOPHE"/>
    <n v="5"/>
    <x v="0"/>
    <x v="0"/>
    <s v="PLAQUETTES"/>
    <x v="3"/>
    <n v="39.799999999999997"/>
  </r>
  <r>
    <d v="2025-10-18T05:03:59"/>
    <x v="0"/>
    <s v="Plaquettes d'ébauches rhombiques"/>
    <s v="U509351"/>
    <s v="DELIAT CHRISTOPHE"/>
    <n v="5"/>
    <x v="0"/>
    <x v="0"/>
    <s v="PLAQUETTES"/>
    <x v="3"/>
    <n v="39.799999999999997"/>
  </r>
  <r>
    <d v="2025-10-18T05:04:28"/>
    <x v="3"/>
    <s v="Plaquettes d'ébauches carrées"/>
    <s v="U509351"/>
    <s v="DELIAT CHRISTOPHE"/>
    <n v="5"/>
    <x v="1"/>
    <x v="3"/>
    <s v="PLAQUETTES"/>
    <x v="3"/>
    <n v="39.799999999999997"/>
  </r>
  <r>
    <d v="2025-10-18T05:04:48"/>
    <x v="0"/>
    <s v="Plaquettes d'ébauches rhombiques"/>
    <s v="U509351"/>
    <s v="DELIAT CHRISTOPHE"/>
    <n v="5"/>
    <x v="1"/>
    <x v="3"/>
    <s v="PLAQUETTES"/>
    <x v="3"/>
    <n v="39.799999999999997"/>
  </r>
  <r>
    <d v="2025-10-18T05:05:06"/>
    <x v="3"/>
    <s v="Plaquettes d'ébauches carrées"/>
    <s v="U509351"/>
    <s v="DELIAT CHRISTOPHE"/>
    <n v="5"/>
    <x v="1"/>
    <x v="0"/>
    <s v="PLAQUETTES"/>
    <x v="3"/>
    <n v="39.799999999999997"/>
  </r>
  <r>
    <d v="2025-10-18T05:05:28"/>
    <x v="0"/>
    <s v="Plaquettes d'ébauches rhombiques"/>
    <s v="U509351"/>
    <s v="DELIAT CHRISTOPHE"/>
    <n v="5"/>
    <x v="1"/>
    <x v="0"/>
    <s v="PLAQUETTES"/>
    <x v="3"/>
    <n v="39.799999999999997"/>
  </r>
  <r>
    <d v="2025-10-18T05:16:35"/>
    <x v="2"/>
    <s v="Plaquettes de finition carrées"/>
    <s v="10301115"/>
    <s v="BOUCHART LUDOVIC"/>
    <n v="5"/>
    <x v="0"/>
    <x v="2"/>
    <s v="PLAQUETTES"/>
    <x v="3"/>
    <n v="47.8"/>
  </r>
  <r>
    <d v="2025-10-18T05:16:48"/>
    <x v="2"/>
    <s v="Plaquettes de finition carrées"/>
    <s v="10301115"/>
    <s v="BOUCHART LUDOVIC"/>
    <n v="5"/>
    <x v="0"/>
    <x v="2"/>
    <s v="PLAQUETTES"/>
    <x v="3"/>
    <n v="47.8"/>
  </r>
  <r>
    <d v="2025-10-18T05:17:00"/>
    <x v="5"/>
    <s v="Plaquettes de finition"/>
    <s v="10301115"/>
    <s v="BOUCHART LUDOVIC"/>
    <n v="5"/>
    <x v="1"/>
    <x v="2"/>
    <s v="PLAQUETTES"/>
    <x v="3"/>
    <n v="42.5"/>
  </r>
  <r>
    <d v="2025-10-18T05:17:12"/>
    <x v="6"/>
    <s v="Plaquettes de finition triangulaires"/>
    <s v="10301115"/>
    <s v="BOUCHART LUDOVIC"/>
    <n v="5"/>
    <x v="1"/>
    <x v="2"/>
    <s v="PLAQUETTES"/>
    <x v="3"/>
    <n v="48.7"/>
  </r>
  <r>
    <d v="2025-10-18T05:17:28"/>
    <x v="2"/>
    <s v="Plaquettes de finition carrées"/>
    <s v="10301115"/>
    <s v="BOUCHART LUDOVIC"/>
    <n v="5"/>
    <x v="1"/>
    <x v="2"/>
    <s v="PLAQUETTES"/>
    <x v="3"/>
    <n v="47.8"/>
  </r>
  <r>
    <d v="2025-10-18T05:17:42"/>
    <x v="2"/>
    <s v="Plaquettes de finition carrées"/>
    <s v="10301115"/>
    <s v="BOUCHART LUDOVIC"/>
    <n v="5"/>
    <x v="1"/>
    <x v="2"/>
    <s v="PLAQUETTES"/>
    <x v="3"/>
    <n v="47.8"/>
  </r>
  <r>
    <d v="2025-10-18T09:41:15"/>
    <x v="9"/>
    <s v="EMBOUT KENTIP D8.6"/>
    <s v="020824"/>
    <s v="DASILVA AFONSO RENAUD"/>
    <n v="1"/>
    <x v="0"/>
    <x v="1"/>
    <s v="PLAQUETTES"/>
    <x v="1"/>
    <n v="50"/>
  </r>
  <r>
    <d v="2025-10-18T09:41:27"/>
    <x v="1"/>
    <s v="EMBOUT KENTIP D13.3"/>
    <s v="020824"/>
    <s v="DASILVA AFONSO RENAUD"/>
    <n v="1"/>
    <x v="0"/>
    <x v="1"/>
    <s v="PLAQUETTES"/>
    <x v="1"/>
    <n v="46.95"/>
  </r>
  <r>
    <d v="2025-10-19T17:48:44"/>
    <x v="3"/>
    <s v="Plaquettes d'ébauches carrées"/>
    <s v="10301115"/>
    <s v="BOUCHART LUDOVIC"/>
    <n v="5"/>
    <x v="0"/>
    <x v="3"/>
    <s v="PLAQUETTES"/>
    <x v="3"/>
    <n v="39.799999999999997"/>
  </r>
  <r>
    <d v="2025-10-19T17:48:57"/>
    <x v="0"/>
    <s v="Plaquettes d'ébauches rhombiques"/>
    <s v="10301115"/>
    <s v="BOUCHART LUDOVIC"/>
    <n v="5"/>
    <x v="0"/>
    <x v="3"/>
    <s v="PLAQUETTES"/>
    <x v="3"/>
    <n v="39.799999999999997"/>
  </r>
  <r>
    <d v="2025-10-19T17:49:11"/>
    <x v="3"/>
    <s v="Plaquettes d'ébauches carrées"/>
    <s v="10301115"/>
    <s v="BOUCHART LUDOVIC"/>
    <n v="5"/>
    <x v="0"/>
    <x v="0"/>
    <s v="PLAQUETTES"/>
    <x v="3"/>
    <n v="39.799999999999997"/>
  </r>
  <r>
    <d v="2025-10-19T17:49:24"/>
    <x v="0"/>
    <s v="Plaquettes d'ébauches rhombiques"/>
    <s v="10301115"/>
    <s v="BOUCHART LUDOVIC"/>
    <n v="5"/>
    <x v="0"/>
    <x v="0"/>
    <s v="PLAQUETTES"/>
    <x v="3"/>
    <n v="39.799999999999997"/>
  </r>
  <r>
    <d v="2025-10-19T17:49:38"/>
    <x v="2"/>
    <s v="Plaquettes de finition carrées"/>
    <s v="10301115"/>
    <s v="BOUCHART LUDOVIC"/>
    <n v="5"/>
    <x v="0"/>
    <x v="2"/>
    <s v="PLAQUETTES"/>
    <x v="3"/>
    <n v="47.8"/>
  </r>
  <r>
    <d v="2025-10-19T17:49:52"/>
    <x v="3"/>
    <s v="Plaquettes d'ébauches carrées"/>
    <s v="10301115"/>
    <s v="BOUCHART LUDOVIC"/>
    <n v="5"/>
    <x v="1"/>
    <x v="3"/>
    <s v="PLAQUETTES"/>
    <x v="3"/>
    <n v="39.799999999999997"/>
  </r>
  <r>
    <d v="2025-10-19T17:50:04"/>
    <x v="0"/>
    <s v="Plaquettes d'ébauches rhombiques"/>
    <s v="10301115"/>
    <s v="BOUCHART LUDOVIC"/>
    <n v="5"/>
    <x v="0"/>
    <x v="3"/>
    <s v="PLAQUETTES"/>
    <x v="3"/>
    <n v="39.799999999999997"/>
  </r>
  <r>
    <d v="2025-10-19T17:50:18"/>
    <x v="3"/>
    <s v="Plaquettes d'ébauches carrées"/>
    <s v="10301115"/>
    <s v="BOUCHART LUDOVIC"/>
    <n v="5"/>
    <x v="1"/>
    <x v="0"/>
    <s v="PLAQUETTES"/>
    <x v="3"/>
    <n v="39.799999999999997"/>
  </r>
  <r>
    <d v="2025-10-19T17:50:30"/>
    <x v="0"/>
    <s v="Plaquettes d'ébauches rhombiques"/>
    <s v="10301115"/>
    <s v="BOUCHART LUDOVIC"/>
    <n v="5"/>
    <x v="1"/>
    <x v="0"/>
    <s v="PLAQUETTES"/>
    <x v="3"/>
    <n v="39.799999999999997"/>
  </r>
  <r>
    <d v="2025-10-19T17:50:46"/>
    <x v="2"/>
    <s v="Plaquettes de finition carrées"/>
    <s v="10301115"/>
    <s v="BOUCHART LUDOVIC"/>
    <n v="5"/>
    <x v="1"/>
    <x v="2"/>
    <s v="PLAQUETTES"/>
    <x v="3"/>
    <n v="47.8"/>
  </r>
  <r>
    <d v="2025-10-19T19:11:02"/>
    <x v="3"/>
    <s v="Plaquettes d'ébauches carrées"/>
    <s v="10301115"/>
    <s v="BOUCHART LUDOVIC"/>
    <n v="5"/>
    <x v="0"/>
    <x v="3"/>
    <s v="PLAQUETTES"/>
    <x v="3"/>
    <n v="39.799999999999997"/>
  </r>
  <r>
    <d v="2025-10-20T21:17:30"/>
    <x v="4"/>
    <s v="Plaquettes de gorges"/>
    <s v="7236310"/>
    <s v="OZYURT IREM"/>
    <n v="10"/>
    <x v="0"/>
    <x v="0"/>
    <s v="PLAQUETTES"/>
    <x v="0"/>
    <n v="188"/>
  </r>
  <r>
    <d v="2025-10-21T06:28:54"/>
    <x v="4"/>
    <s v="Plaquettes de gorges"/>
    <s v="31224"/>
    <s v="BIDOT MURIEL"/>
    <n v="10"/>
    <x v="0"/>
    <x v="0"/>
    <s v="PLAQUETTES"/>
    <x v="0"/>
    <n v="188"/>
  </r>
  <r>
    <d v="2025-10-21T06:29:26"/>
    <x v="3"/>
    <s v="Plaquettes d'ébauches carrées"/>
    <s v="31224"/>
    <s v="BIDOT MURIEL"/>
    <n v="5"/>
    <x v="0"/>
    <x v="0"/>
    <s v="PLAQUETTES"/>
    <x v="0"/>
    <n v="39.799999999999997"/>
  </r>
  <r>
    <d v="2025-10-21T06:29:42"/>
    <x v="3"/>
    <s v="Plaquettes d'ébauches carrées"/>
    <s v="31224"/>
    <s v="BIDOT MURIEL"/>
    <n v="5"/>
    <x v="0"/>
    <x v="0"/>
    <s v="PLAQUETTES"/>
    <x v="0"/>
    <n v="39.799999999999997"/>
  </r>
  <r>
    <d v="2025-10-21T06:30:02"/>
    <x v="3"/>
    <s v="Plaquettes d'ébauches carrées"/>
    <s v="31224"/>
    <s v="BIDOT MURIEL"/>
    <n v="5"/>
    <x v="0"/>
    <x v="0"/>
    <s v="PLAQUETTES"/>
    <x v="0"/>
    <n v="39.799999999999997"/>
  </r>
  <r>
    <d v="2025-10-21T06:30:29"/>
    <x v="2"/>
    <s v="Plaquettes de finition carrées"/>
    <s v="31224"/>
    <s v="BIDOT MURIEL"/>
    <n v="5"/>
    <x v="0"/>
    <x v="2"/>
    <s v="PLAQUETTES"/>
    <x v="0"/>
    <n v="47.8"/>
  </r>
  <r>
    <d v="2025-10-21T06:30:44"/>
    <x v="2"/>
    <s v="Plaquettes de finition carrées"/>
    <s v="31224"/>
    <s v="BIDOT MURIEL"/>
    <n v="5"/>
    <x v="0"/>
    <x v="2"/>
    <s v="PLAQUETTES"/>
    <x v="0"/>
    <n v="47.8"/>
  </r>
  <r>
    <d v="2025-10-21T13:15:08"/>
    <x v="5"/>
    <s v="Plaquettes de finition"/>
    <s v="040E47C25C7780"/>
    <s v="PARINGAUX CARROLANE"/>
    <n v="5"/>
    <x v="1"/>
    <x v="2"/>
    <s v="PLAQUETTES"/>
    <x v="3"/>
    <n v="42.5"/>
  </r>
  <r>
    <d v="2025-10-21T13:15:21"/>
    <x v="2"/>
    <s v="Plaquettes de finition carrées"/>
    <s v="040E47C25C7780"/>
    <s v="PARINGAUX CARROLANE"/>
    <n v="5"/>
    <x v="1"/>
    <x v="2"/>
    <s v="PLAQUETTES"/>
    <x v="3"/>
    <n v="47.8"/>
  </r>
  <r>
    <d v="2025-10-21T22:29:21"/>
    <x v="2"/>
    <s v="Plaquettes de finition carrées"/>
    <s v="7236310"/>
    <s v="OZYURT IREM"/>
    <n v="5"/>
    <x v="1"/>
    <x v="2"/>
    <s v="PLAQUETTES"/>
    <x v="3"/>
    <n v="47.8"/>
  </r>
  <r>
    <d v="2025-10-21T22:29:46"/>
    <x v="3"/>
    <s v="Plaquettes d'ébauches carrées"/>
    <s v="090225"/>
    <s v="MEYER THOMAS"/>
    <n v="5"/>
    <x v="1"/>
    <x v="3"/>
    <s v="PLAQUETTES"/>
    <x v="3"/>
    <n v="39.799999999999997"/>
  </r>
  <r>
    <d v="2025-10-21T22:30:03"/>
    <x v="0"/>
    <s v="Plaquettes d'ébauches rhombiques"/>
    <s v="090225"/>
    <s v="MEYER THOMAS"/>
    <n v="5"/>
    <x v="1"/>
    <x v="3"/>
    <s v="PLAQUETTES"/>
    <x v="3"/>
    <n v="39.799999999999997"/>
  </r>
  <r>
    <d v="2025-10-22T05:10:36"/>
    <x v="3"/>
    <s v="Plaquettes d'ébauches carrées"/>
    <s v="070325"/>
    <s v="PEREIRA KEVIN"/>
    <n v="5"/>
    <x v="1"/>
    <x v="0"/>
    <s v="PLAQUETTES"/>
    <x v="3"/>
    <n v="39.799999999999997"/>
  </r>
  <r>
    <d v="2025-10-22T05:10:52"/>
    <x v="0"/>
    <s v="Plaquettes d'ébauches rhombiques"/>
    <s v="070325"/>
    <s v="PEREIRA KEVIN"/>
    <n v="5"/>
    <x v="1"/>
    <x v="0"/>
    <s v="PLAQUETTES"/>
    <x v="3"/>
    <n v="39.799999999999997"/>
  </r>
  <r>
    <d v="2025-10-22T05:11:10"/>
    <x v="2"/>
    <s v="Plaquettes de finition carrées"/>
    <s v="070325"/>
    <s v="PEREIRA KEVIN"/>
    <n v="5"/>
    <x v="1"/>
    <x v="2"/>
    <s v="PLAQUETTES"/>
    <x v="3"/>
    <n v="47.8"/>
  </r>
  <r>
    <d v="2025-10-22T05:30:56"/>
    <x v="3"/>
    <s v="Plaquettes d'ébauches carrées"/>
    <s v="31224"/>
    <s v="BIDOT MURIEL"/>
    <n v="5"/>
    <x v="0"/>
    <x v="3"/>
    <s v="PLAQUETTES"/>
    <x v="0"/>
    <n v="39.799999999999997"/>
  </r>
  <r>
    <d v="2025-10-22T05:31:14"/>
    <x v="3"/>
    <s v="Plaquettes d'ébauches carrées"/>
    <s v="31224"/>
    <s v="BIDOT MURIEL"/>
    <n v="5"/>
    <x v="0"/>
    <x v="3"/>
    <s v="PLAQUETTES"/>
    <x v="0"/>
    <n v="39.799999999999997"/>
  </r>
  <r>
    <d v="2025-10-22T05:31:33"/>
    <x v="2"/>
    <s v="Plaquettes de finition carrées"/>
    <s v="31224"/>
    <s v="BIDOT MURIEL"/>
    <n v="5"/>
    <x v="0"/>
    <x v="2"/>
    <s v="PLAQUETTES"/>
    <x v="0"/>
    <n v="47.8"/>
  </r>
  <r>
    <d v="2025-10-22T05:32:11"/>
    <x v="2"/>
    <s v="Plaquettes de finition carrées"/>
    <s v="31224"/>
    <s v="BIDOT MURIEL"/>
    <n v="5"/>
    <x v="0"/>
    <x v="2"/>
    <s v="PLAQUETTES"/>
    <x v="0"/>
    <n v="47.8"/>
  </r>
  <r>
    <d v="2025-10-22T05:32:31"/>
    <x v="4"/>
    <s v="Plaquettes de gorges"/>
    <s v="31224"/>
    <s v="BIDOT MURIEL"/>
    <n v="10"/>
    <x v="0"/>
    <x v="0"/>
    <s v="PLAQUETTES"/>
    <x v="0"/>
    <n v="188"/>
  </r>
  <r>
    <d v="2025-10-22T14:30:56"/>
    <x v="3"/>
    <s v="Plaquettes d'ébauches carrées"/>
    <s v="040E47C25C7780"/>
    <s v="PARINGAUX CARROLANE"/>
    <n v="5"/>
    <x v="1"/>
    <x v="0"/>
    <s v="PLAQUETTES"/>
    <x v="3"/>
    <n v="39.799999999999997"/>
  </r>
  <r>
    <d v="2025-10-22T14:31:10"/>
    <x v="3"/>
    <s v="Plaquettes d'ébauches carrées"/>
    <s v="040E47C25C7780"/>
    <s v="PARINGAUX CARROLANE"/>
    <n v="5"/>
    <x v="1"/>
    <x v="3"/>
    <s v="PLAQUETTES"/>
    <x v="3"/>
    <n v="39.799999999999997"/>
  </r>
  <r>
    <d v="2025-10-22T14:31:30"/>
    <x v="2"/>
    <s v="Plaquettes de finition carrées"/>
    <s v="040E47C25C7780"/>
    <s v="PARINGAUX CARROLANE"/>
    <n v="5"/>
    <x v="1"/>
    <x v="2"/>
    <s v="PLAQUETTES"/>
    <x v="3"/>
    <n v="47.8"/>
  </r>
  <r>
    <d v="2025-10-22T19:31:31"/>
    <x v="0"/>
    <s v="Plaquettes d'ébauches rhombiques"/>
    <s v="040E47C25C7780"/>
    <s v="PARINGAUX CARROLANE"/>
    <n v="5"/>
    <x v="1"/>
    <x v="3"/>
    <s v="PLAQUETTES"/>
    <x v="3"/>
    <n v="39.799999999999997"/>
  </r>
  <r>
    <d v="2025-10-23T00:24:45"/>
    <x v="2"/>
    <s v="Plaquettes de finition carrées"/>
    <s v="7236310"/>
    <s v="OZYURT IREM"/>
    <n v="5"/>
    <x v="0"/>
    <x v="2"/>
    <s v="PLAQUETTES"/>
    <x v="0"/>
    <n v="47.8"/>
  </r>
  <r>
    <d v="2025-10-23T00:25:01"/>
    <x v="2"/>
    <s v="Plaquettes de finition carrées"/>
    <s v="7236310"/>
    <s v="OZYURT IREM"/>
    <n v="5"/>
    <x v="1"/>
    <x v="2"/>
    <s v="PLAQUETTES"/>
    <x v="3"/>
    <n v="47.8"/>
  </r>
  <r>
    <d v="2025-10-23T01:30:51"/>
    <x v="3"/>
    <s v="Plaquettes d'ébauches carrées"/>
    <s v="090225"/>
    <s v="MEYER THOMAS"/>
    <n v="5"/>
    <x v="0"/>
    <x v="0"/>
    <s v="PLAQUETTES"/>
    <x v="0"/>
    <n v="39.799999999999997"/>
  </r>
  <r>
    <d v="2025-10-23T01:31:04"/>
    <x v="0"/>
    <s v="Plaquettes d'ébauches rhombiques"/>
    <s v="090225"/>
    <s v="MEYER THOMAS"/>
    <n v="5"/>
    <x v="0"/>
    <x v="0"/>
    <s v="PLAQUETTES"/>
    <x v="0"/>
    <n v="39.799999999999997"/>
  </r>
  <r>
    <d v="2025-10-23T01:31:19"/>
    <x v="3"/>
    <s v="Plaquettes d'ébauches carrées"/>
    <s v="090225"/>
    <s v="MEYER THOMAS"/>
    <n v="5"/>
    <x v="0"/>
    <x v="3"/>
    <s v="PLAQUETTES"/>
    <x v="0"/>
    <n v="39.799999999999997"/>
  </r>
  <r>
    <d v="2025-10-23T01:31:32"/>
    <x v="0"/>
    <s v="Plaquettes d'ébauches rhombiques"/>
    <s v="090225"/>
    <s v="MEYER THOMAS"/>
    <n v="5"/>
    <x v="0"/>
    <x v="3"/>
    <s v="PLAQUETTES"/>
    <x v="0"/>
    <n v="39.799999999999997"/>
  </r>
  <r>
    <d v="2025-10-23T01:31:47"/>
    <x v="3"/>
    <s v="Plaquettes d'ébauches carrées"/>
    <s v="090225"/>
    <s v="MEYER THOMAS"/>
    <n v="5"/>
    <x v="1"/>
    <x v="3"/>
    <s v="PLAQUETTES"/>
    <x v="3"/>
    <n v="39.799999999999997"/>
  </r>
  <r>
    <d v="2025-10-23T01:32:00"/>
    <x v="0"/>
    <s v="Plaquettes d'ébauches rhombiques"/>
    <s v="090225"/>
    <s v="MEYER THOMAS"/>
    <n v="5"/>
    <x v="1"/>
    <x v="3"/>
    <s v="PLAQUETTES"/>
    <x v="3"/>
    <n v="39.799999999999997"/>
  </r>
  <r>
    <d v="2025-10-23T05:44:16"/>
    <x v="6"/>
    <s v="Plaquettes de finition triangulaires"/>
    <s v="070325"/>
    <s v="PEREIRA KEVIN"/>
    <n v="5"/>
    <x v="1"/>
    <x v="2"/>
    <s v="PLAQUETTES"/>
    <x v="3"/>
    <n v="48.7"/>
  </r>
  <r>
    <d v="2025-10-23T11:09:26"/>
    <x v="6"/>
    <s v="Plaquettes de finition triangulaires"/>
    <s v="31224"/>
    <s v="BIDOT MURIEL"/>
    <n v="5"/>
    <x v="0"/>
    <x v="2"/>
    <s v="PLAQUETTES"/>
    <x v="3"/>
    <n v="48.7"/>
  </r>
  <r>
    <d v="2025-10-23T11:09:41"/>
    <x v="6"/>
    <s v="Plaquettes de finition triangulaires"/>
    <s v="31224"/>
    <s v="BIDOT MURIEL"/>
    <n v="5"/>
    <x v="0"/>
    <x v="2"/>
    <s v="PLAQUETTES"/>
    <x v="3"/>
    <n v="48.7"/>
  </r>
  <r>
    <d v="2025-10-23T11:10:02"/>
    <x v="5"/>
    <s v="Plaquettes de finition"/>
    <s v="31224"/>
    <s v="BIDOT MURIEL"/>
    <n v="5"/>
    <x v="0"/>
    <x v="2"/>
    <s v="PLAQUETTES"/>
    <x v="3"/>
    <n v="42.5"/>
  </r>
  <r>
    <d v="2025-10-23T11:10:32"/>
    <x v="0"/>
    <s v="Plaquettes d'ébauches rhombiques"/>
    <s v="31224"/>
    <s v="BIDOT MURIEL"/>
    <n v="5"/>
    <x v="0"/>
    <x v="0"/>
    <s v="PLAQUETTES"/>
    <x v="3"/>
    <n v="39.799999999999997"/>
  </r>
  <r>
    <d v="2025-10-23T11:10:52"/>
    <x v="3"/>
    <s v="Plaquettes d'ébauches carrées"/>
    <s v="31224"/>
    <s v="BIDOT MURIEL"/>
    <n v="5"/>
    <x v="0"/>
    <x v="3"/>
    <s v="PLAQUETTES"/>
    <x v="3"/>
    <n v="39.799999999999997"/>
  </r>
  <r>
    <d v="2025-10-23T14:32:15"/>
    <x v="0"/>
    <s v="Plaquettes d'ébauches rhombiques"/>
    <s v="040E47C25C7780"/>
    <s v="PARINGAUX CARROLANE"/>
    <n v="5"/>
    <x v="1"/>
    <x v="0"/>
    <s v="PLAQUETTES"/>
    <x v="3"/>
    <n v="39.799999999999997"/>
  </r>
  <r>
    <d v="2025-10-23T14:32:29"/>
    <x v="3"/>
    <s v="Plaquettes d'ébauches carrées"/>
    <s v="040E47C25C7780"/>
    <s v="PARINGAUX CARROLANE"/>
    <n v="5"/>
    <x v="1"/>
    <x v="0"/>
    <s v="PLAQUETTES"/>
    <x v="3"/>
    <n v="39.799999999999997"/>
  </r>
  <r>
    <d v="2025-10-23T14:32:45"/>
    <x v="0"/>
    <s v="Plaquettes d'ébauches rhombiques"/>
    <s v="040E47C25C7780"/>
    <s v="PARINGAUX CARROLANE"/>
    <n v="5"/>
    <x v="1"/>
    <x v="3"/>
    <s v="PLAQUETTES"/>
    <x v="3"/>
    <n v="39.799999999999997"/>
  </r>
  <r>
    <d v="2025-10-23T14:32:57"/>
    <x v="3"/>
    <s v="Plaquettes d'ébauches carrées"/>
    <s v="040E47C25C7780"/>
    <s v="PARINGAUX CARROLANE"/>
    <n v="5"/>
    <x v="1"/>
    <x v="3"/>
    <s v="PLAQUETTES"/>
    <x v="3"/>
    <n v="39.799999999999997"/>
  </r>
  <r>
    <d v="2025-10-23T21:36:40"/>
    <x v="2"/>
    <s v="Plaquettes de finition carrées"/>
    <s v="7236310"/>
    <s v="OZYURT IREM"/>
    <n v="5"/>
    <x v="0"/>
    <x v="2"/>
    <s v="PLAQUETTES"/>
    <x v="3"/>
    <n v="47.8"/>
  </r>
  <r>
    <d v="2025-10-23T21:36:56"/>
    <x v="2"/>
    <s v="Plaquettes de finition carrées"/>
    <s v="7236310"/>
    <s v="OZYURT IREM"/>
    <n v="5"/>
    <x v="1"/>
    <x v="2"/>
    <s v="PLAQUETTES"/>
    <x v="3"/>
    <n v="47.8"/>
  </r>
  <r>
    <d v="2025-10-24T03:46:01"/>
    <x v="4"/>
    <s v="Plaquettes de gorges"/>
    <s v="090225"/>
    <s v="MEYER THOMAS"/>
    <n v="10"/>
    <x v="1"/>
    <x v="0"/>
    <s v="PLAQUETTES"/>
    <x v="2"/>
    <n v="188"/>
  </r>
  <r>
    <d v="2025-10-24T05:08:12"/>
    <x v="3"/>
    <s v="Plaquettes d'ébauches carrées"/>
    <s v="10301115"/>
    <s v="BOUCHART LUDOVIC"/>
    <n v="5"/>
    <x v="0"/>
    <x v="3"/>
    <s v="PLAQUETTES"/>
    <x v="3"/>
    <n v="39.799999999999997"/>
  </r>
  <r>
    <d v="2025-10-24T05:08:27"/>
    <x v="0"/>
    <s v="Plaquettes d'ébauches rhombiques"/>
    <s v="10301115"/>
    <s v="BOUCHART LUDOVIC"/>
    <n v="5"/>
    <x v="0"/>
    <x v="3"/>
    <s v="PLAQUETTES"/>
    <x v="3"/>
    <n v="39.799999999999997"/>
  </r>
  <r>
    <d v="2025-10-24T05:08:39"/>
    <x v="3"/>
    <s v="Plaquettes d'ébauches carrées"/>
    <s v="10301115"/>
    <s v="BOUCHART LUDOVIC"/>
    <n v="5"/>
    <x v="0"/>
    <x v="0"/>
    <s v="PLAQUETTES"/>
    <x v="3"/>
    <n v="39.799999999999997"/>
  </r>
  <r>
    <d v="2025-10-24T05:08:53"/>
    <x v="0"/>
    <s v="Plaquettes d'ébauches rhombiques"/>
    <s v="10301115"/>
    <s v="BOUCHART LUDOVIC"/>
    <n v="5"/>
    <x v="0"/>
    <x v="0"/>
    <s v="PLAQUETTES"/>
    <x v="3"/>
    <n v="39.799999999999997"/>
  </r>
  <r>
    <d v="2025-10-24T05:09:08"/>
    <x v="5"/>
    <s v="Plaquettes de finition"/>
    <s v="10301115"/>
    <s v="BOUCHART LUDOVIC"/>
    <n v="5"/>
    <x v="0"/>
    <x v="2"/>
    <s v="PLAQUETTES"/>
    <x v="3"/>
    <n v="42.5"/>
  </r>
  <r>
    <d v="2025-10-24T05:09:21"/>
    <x v="6"/>
    <s v="Plaquettes de finition triangulaires"/>
    <s v="10301115"/>
    <s v="BOUCHART LUDOVIC"/>
    <n v="5"/>
    <x v="0"/>
    <x v="2"/>
    <s v="PLAQUETTES"/>
    <x v="3"/>
    <n v="48.7"/>
  </r>
  <r>
    <d v="2025-10-24T05:09:35"/>
    <x v="2"/>
    <s v="Plaquettes de finition carrées"/>
    <s v="10301115"/>
    <s v="BOUCHART LUDOVIC"/>
    <n v="5"/>
    <x v="0"/>
    <x v="2"/>
    <s v="PLAQUETTES"/>
    <x v="3"/>
    <n v="47.8"/>
  </r>
  <r>
    <d v="2025-10-24T05:09:51"/>
    <x v="3"/>
    <s v="Plaquettes d'ébauches carrées"/>
    <s v="10301115"/>
    <s v="BOUCHART LUDOVIC"/>
    <n v="5"/>
    <x v="1"/>
    <x v="3"/>
    <s v="PLAQUETTES"/>
    <x v="2"/>
    <n v="39.799999999999997"/>
  </r>
  <r>
    <d v="2025-10-24T05:10:04"/>
    <x v="0"/>
    <s v="Plaquettes d'ébauches rhombiques"/>
    <s v="10301115"/>
    <s v="BOUCHART LUDOVIC"/>
    <n v="5"/>
    <x v="1"/>
    <x v="3"/>
    <s v="PLAQUETTES"/>
    <x v="2"/>
    <n v="39.799999999999997"/>
  </r>
  <r>
    <d v="2025-10-24T05:10:18"/>
    <x v="4"/>
    <s v="Plaquettes de gorges"/>
    <s v="10301115"/>
    <s v="BOUCHART LUDOVIC"/>
    <n v="10"/>
    <x v="1"/>
    <x v="0"/>
    <s v="PLAQUETTES"/>
    <x v="2"/>
    <n v="188"/>
  </r>
  <r>
    <d v="2025-10-24T05:10:31"/>
    <x v="3"/>
    <s v="Plaquettes d'ébauches carrées"/>
    <s v="10301115"/>
    <s v="BOUCHART LUDOVIC"/>
    <n v="5"/>
    <x v="1"/>
    <x v="0"/>
    <s v="PLAQUETTES"/>
    <x v="2"/>
    <n v="39.799999999999997"/>
  </r>
  <r>
    <d v="2025-10-24T05:10:42"/>
    <x v="0"/>
    <s v="Plaquettes d'ébauches rhombiques"/>
    <s v="10301115"/>
    <s v="BOUCHART LUDOVIC"/>
    <n v="5"/>
    <x v="1"/>
    <x v="0"/>
    <s v="PLAQUETTES"/>
    <x v="2"/>
    <n v="39.799999999999997"/>
  </r>
  <r>
    <d v="2025-10-24T05:10:58"/>
    <x v="0"/>
    <s v="Plaquettes d'ébauches rhombiques"/>
    <s v="10301115"/>
    <s v="BOUCHART LUDOVIC"/>
    <n v="5"/>
    <x v="1"/>
    <x v="2"/>
    <s v="PLAQUETTES"/>
    <x v="2"/>
    <n v="39.799999999999997"/>
  </r>
  <r>
    <d v="2025-10-24T05:11:15"/>
    <x v="2"/>
    <s v="Plaquettes de finition carrées"/>
    <s v="10301115"/>
    <s v="BOUCHART LUDOVIC"/>
    <n v="5"/>
    <x v="1"/>
    <x v="2"/>
    <s v="PLAQUETTES"/>
    <x v="2"/>
    <n v="47.8"/>
  </r>
  <r>
    <d v="2025-10-24T10:44:24"/>
    <x v="10"/>
    <s v="Plaquettes TPGX0902ZPRGD KC7315"/>
    <s v="12824586"/>
    <s v="DASILVA FERNANDO"/>
    <n v="10"/>
    <x v="1"/>
    <x v="1"/>
    <s v="PLAQUETTES"/>
    <x v="1"/>
    <n v="81.5"/>
  </r>
  <r>
    <d v="2025-10-25T00:14:01"/>
    <x v="2"/>
    <s v="Plaquettes de finition carrées"/>
    <s v="7236310"/>
    <s v="OZYURT IREM"/>
    <n v="5"/>
    <x v="0"/>
    <x v="2"/>
    <s v="PLAQUETTES"/>
    <x v="3"/>
    <n v="47.8"/>
  </r>
  <r>
    <d v="2025-10-25T00:14:17"/>
    <x v="2"/>
    <s v="Plaquettes de finition carrées"/>
    <s v="7236310"/>
    <s v="OZYURT IREM"/>
    <n v="5"/>
    <x v="1"/>
    <x v="2"/>
    <s v="PLAQUETTES"/>
    <x v="2"/>
    <n v="47.8"/>
  </r>
  <r>
    <d v="2025-10-25T03:49:00"/>
    <x v="2"/>
    <s v="Plaquettes de finition carrées"/>
    <s v="7236310"/>
    <s v="OZYURT IREM"/>
    <n v="5"/>
    <x v="0"/>
    <x v="2"/>
    <s v="PLAQUETTES"/>
    <x v="3"/>
    <n v="47.8"/>
  </r>
  <r>
    <d v="2025-10-25T05:13:55"/>
    <x v="3"/>
    <s v="Plaquettes d'ébauches carrées"/>
    <s v="10301115"/>
    <s v="BOUCHART LUDOVIC"/>
    <n v="5"/>
    <x v="0"/>
    <x v="3"/>
    <s v="PLAQUETTES"/>
    <x v="3"/>
    <n v="39.799999999999997"/>
  </r>
  <r>
    <d v="2025-10-25T05:14:06"/>
    <x v="0"/>
    <s v="Plaquettes d'ébauches rhombiques"/>
    <s v="10301115"/>
    <s v="BOUCHART LUDOVIC"/>
    <n v="5"/>
    <x v="0"/>
    <x v="3"/>
    <s v="PLAQUETTES"/>
    <x v="3"/>
    <n v="39.799999999999997"/>
  </r>
  <r>
    <d v="2025-10-25T05:14:20"/>
    <x v="3"/>
    <s v="Plaquettes d'ébauches carrées"/>
    <s v="10301115"/>
    <s v="BOUCHART LUDOVIC"/>
    <n v="5"/>
    <x v="0"/>
    <x v="0"/>
    <s v="PLAQUETTES"/>
    <x v="3"/>
    <n v="39.799999999999997"/>
  </r>
  <r>
    <d v="2025-10-25T05:14:35"/>
    <x v="0"/>
    <s v="Plaquettes d'ébauches rhombiques"/>
    <s v="10301115"/>
    <s v="BOUCHART LUDOVIC"/>
    <n v="5"/>
    <x v="0"/>
    <x v="0"/>
    <s v="PLAQUETTES"/>
    <x v="3"/>
    <n v="39.799999999999997"/>
  </r>
  <r>
    <d v="2025-10-25T05:14:50"/>
    <x v="2"/>
    <s v="Plaquettes de finition carrées"/>
    <s v="10301115"/>
    <s v="BOUCHART LUDOVIC"/>
    <n v="5"/>
    <x v="0"/>
    <x v="2"/>
    <s v="PLAQUETTES"/>
    <x v="3"/>
    <n v="47.8"/>
  </r>
  <r>
    <d v="2025-10-25T05:15:24"/>
    <x v="2"/>
    <s v="Plaquettes de finition carrées"/>
    <s v="10301115"/>
    <s v="BOUCHART LUDOVIC"/>
    <n v="5"/>
    <x v="0"/>
    <x v="2"/>
    <s v="PLAQUETTES"/>
    <x v="3"/>
    <n v="47.8"/>
  </r>
  <r>
    <d v="2025-10-25T05:15:37"/>
    <x v="3"/>
    <s v="Plaquettes d'ébauches carrées"/>
    <s v="10301115"/>
    <s v="BOUCHART LUDOVIC"/>
    <n v="5"/>
    <x v="1"/>
    <x v="3"/>
    <s v="PLAQUETTES"/>
    <x v="2"/>
    <n v="39.799999999999997"/>
  </r>
  <r>
    <d v="2025-10-25T05:15:51"/>
    <x v="0"/>
    <s v="Plaquettes d'ébauches rhombiques"/>
    <s v="10301115"/>
    <s v="BOUCHART LUDOVIC"/>
    <n v="5"/>
    <x v="1"/>
    <x v="3"/>
    <s v="PLAQUETTES"/>
    <x v="2"/>
    <n v="39.799999999999997"/>
  </r>
  <r>
    <d v="2025-10-25T05:16:06"/>
    <x v="4"/>
    <s v="Plaquettes de gorges"/>
    <s v="10301115"/>
    <s v="BOUCHART LUDOVIC"/>
    <n v="10"/>
    <x v="1"/>
    <x v="0"/>
    <s v="PLAQUETTES"/>
    <x v="2"/>
    <n v="188"/>
  </r>
  <r>
    <d v="2025-10-25T05:16:19"/>
    <x v="3"/>
    <s v="Plaquettes d'ébauches carrées"/>
    <s v="10301115"/>
    <s v="BOUCHART LUDOVIC"/>
    <n v="5"/>
    <x v="1"/>
    <x v="0"/>
    <s v="PLAQUETTES"/>
    <x v="2"/>
    <n v="39.799999999999997"/>
  </r>
  <r>
    <d v="2025-10-25T05:16:31"/>
    <x v="0"/>
    <s v="Plaquettes d'ébauches rhombiques"/>
    <s v="10301115"/>
    <s v="BOUCHART LUDOVIC"/>
    <n v="5"/>
    <x v="1"/>
    <x v="0"/>
    <s v="PLAQUETTES"/>
    <x v="2"/>
    <n v="39.799999999999997"/>
  </r>
  <r>
    <d v="2025-10-25T05:16:49"/>
    <x v="2"/>
    <s v="Plaquettes de finition carrées"/>
    <s v="10301115"/>
    <s v="BOUCHART LUDOVIC"/>
    <n v="5"/>
    <x v="1"/>
    <x v="2"/>
    <s v="PLAQUETTES"/>
    <x v="2"/>
    <n v="47.8"/>
  </r>
  <r>
    <d v="2025-10-25T05:17:02"/>
    <x v="2"/>
    <s v="Plaquettes de finition carrées"/>
    <s v="10301115"/>
    <s v="BOUCHART LUDOVIC"/>
    <n v="5"/>
    <x v="1"/>
    <x v="2"/>
    <s v="PLAQUETTES"/>
    <x v="2"/>
    <n v="47.8"/>
  </r>
  <r>
    <d v="2025-10-25T05:51:05"/>
    <x v="3"/>
    <s v="Plaquettes d'ébauches carrées"/>
    <s v="10301115"/>
    <s v="BOUCHART LUDOVIC"/>
    <n v="5"/>
    <x v="0"/>
    <x v="3"/>
    <s v="PLAQUETTES"/>
    <x v="3"/>
    <n v="39.799999999999997"/>
  </r>
  <r>
    <d v="2025-10-25T05:51:19"/>
    <x v="0"/>
    <s v="Plaquettes d'ébauches rhombiques"/>
    <s v="10301115"/>
    <s v="BOUCHART LUDOVIC"/>
    <n v="5"/>
    <x v="0"/>
    <x v="3"/>
    <s v="PLAQUETTES"/>
    <x v="3"/>
    <n v="39.799999999999997"/>
  </r>
  <r>
    <d v="2025-10-26T17:38:02"/>
    <x v="3"/>
    <s v="Plaquettes d'ébauches carrées"/>
    <s v="10301115"/>
    <s v="BOUCHART LUDOVIC"/>
    <n v="5"/>
    <x v="0"/>
    <x v="3"/>
    <s v="PLAQUETTES"/>
    <x v="3"/>
    <n v="39.799999999999997"/>
  </r>
  <r>
    <d v="2025-10-26T17:38:13"/>
    <x v="0"/>
    <s v="Plaquettes d'ébauches rhombiques"/>
    <s v="10301115"/>
    <s v="BOUCHART LUDOVIC"/>
    <n v="5"/>
    <x v="0"/>
    <x v="3"/>
    <s v="PLAQUETTES"/>
    <x v="3"/>
    <n v="39.799999999999997"/>
  </r>
  <r>
    <d v="2025-10-26T17:38:29"/>
    <x v="3"/>
    <s v="Plaquettes d'ébauches carrées"/>
    <s v="10301115"/>
    <s v="BOUCHART LUDOVIC"/>
    <n v="5"/>
    <x v="0"/>
    <x v="0"/>
    <s v="PLAQUETTES"/>
    <x v="3"/>
    <n v="39.799999999999997"/>
  </r>
  <r>
    <d v="2025-10-26T17:38:44"/>
    <x v="0"/>
    <s v="Plaquettes d'ébauches rhombiques"/>
    <s v="10301115"/>
    <s v="BOUCHART LUDOVIC"/>
    <n v="5"/>
    <x v="0"/>
    <x v="0"/>
    <s v="PLAQUETTES"/>
    <x v="3"/>
    <n v="39.799999999999997"/>
  </r>
  <r>
    <d v="2025-10-26T17:38:59"/>
    <x v="2"/>
    <s v="Plaquettes de finition carrées"/>
    <s v="10301115"/>
    <s v="BOUCHART LUDOVIC"/>
    <n v="5"/>
    <x v="0"/>
    <x v="2"/>
    <s v="PLAQUETTES"/>
    <x v="3"/>
    <n v="47.8"/>
  </r>
  <r>
    <d v="2025-10-26T17:39:11"/>
    <x v="3"/>
    <s v="Plaquettes d'ébauches carrées"/>
    <s v="10301115"/>
    <s v="BOUCHART LUDOVIC"/>
    <n v="5"/>
    <x v="1"/>
    <x v="3"/>
    <s v="PLAQUETTES"/>
    <x v="2"/>
    <n v="39.799999999999997"/>
  </r>
  <r>
    <d v="2025-10-26T17:39:23"/>
    <x v="0"/>
    <s v="Plaquettes d'ébauches rhombiques"/>
    <s v="10301115"/>
    <s v="BOUCHART LUDOVIC"/>
    <n v="5"/>
    <x v="1"/>
    <x v="3"/>
    <s v="PLAQUETTES"/>
    <x v="2"/>
    <n v="39.799999999999997"/>
  </r>
  <r>
    <d v="2025-10-26T17:39:37"/>
    <x v="4"/>
    <s v="Plaquettes de gorges"/>
    <s v="10301115"/>
    <s v="BOUCHART LUDOVIC"/>
    <n v="10"/>
    <x v="1"/>
    <x v="0"/>
    <s v="PLAQUETTES"/>
    <x v="2"/>
    <n v="188"/>
  </r>
  <r>
    <d v="2025-10-26T17:39:51"/>
    <x v="3"/>
    <s v="Plaquettes d'ébauches carrées"/>
    <s v="10301115"/>
    <s v="BOUCHART LUDOVIC"/>
    <n v="5"/>
    <x v="1"/>
    <x v="0"/>
    <s v="PLAQUETTES"/>
    <x v="2"/>
    <n v="39.799999999999997"/>
  </r>
  <r>
    <d v="2025-10-26T17:40:03"/>
    <x v="0"/>
    <s v="Plaquettes d'ébauches rhombiques"/>
    <s v="10301115"/>
    <s v="BOUCHART LUDOVIC"/>
    <n v="5"/>
    <x v="1"/>
    <x v="0"/>
    <s v="PLAQUETTES"/>
    <x v="2"/>
    <n v="39.799999999999997"/>
  </r>
  <r>
    <d v="2025-10-26T17:40:48"/>
    <x v="2"/>
    <s v="Plaquettes de finition carrées"/>
    <s v="10301115"/>
    <s v="BOUCHART LUDOVIC"/>
    <n v="5"/>
    <x v="1"/>
    <x v="2"/>
    <s v="PLAQUETTES"/>
    <x v="2"/>
    <n v="47.8"/>
  </r>
  <r>
    <d v="2025-10-27T10:55:39"/>
    <x v="7"/>
    <s v="Plaquettes VCGT21A52 SP4019"/>
    <s v="12824586"/>
    <s v="DASILVA FERNANDO"/>
    <n v="10"/>
    <x v="1"/>
    <x v="1"/>
    <s v="PLAQUETTES"/>
    <x v="1"/>
    <n v="121.8"/>
  </r>
  <r>
    <d v="2025-10-28T01:35:26"/>
    <x v="2"/>
    <s v="Plaquettes de finition carrées"/>
    <s v="7236310"/>
    <s v="OZYURT IREM"/>
    <n v="5"/>
    <x v="1"/>
    <x v="2"/>
    <s v="PLAQUETTES"/>
    <x v="3"/>
    <n v="47.8"/>
  </r>
  <r>
    <d v="2025-10-28T05:22:08"/>
    <x v="3"/>
    <s v="Plaquettes d'ébauches carrées"/>
    <s v="040E47C25C7780"/>
    <s v="PARINGAUX CARROLANE"/>
    <n v="5"/>
    <x v="1"/>
    <x v="3"/>
    <s v="PLAQUETTES"/>
    <x v="3"/>
    <n v="39.799999999999997"/>
  </r>
  <r>
    <d v="2025-10-28T05:22:23"/>
    <x v="3"/>
    <s v="Plaquettes d'ébauches carrées"/>
    <s v="040E47C25C7780"/>
    <s v="PARINGAUX CARROLANE"/>
    <n v="5"/>
    <x v="1"/>
    <x v="0"/>
    <s v="PLAQUETTES"/>
    <x v="3"/>
    <n v="39.799999999999997"/>
  </r>
  <r>
    <d v="2025-10-28T05:22:39"/>
    <x v="6"/>
    <s v="Plaquettes de finition triangulaires"/>
    <s v="040E47C25C7780"/>
    <s v="PARINGAUX CARROLANE"/>
    <n v="5"/>
    <x v="1"/>
    <x v="2"/>
    <s v="PLAQUETTES"/>
    <x v="3"/>
    <n v="48.7"/>
  </r>
  <r>
    <d v="2025-10-28T10:16:08"/>
    <x v="9"/>
    <s v="EMBOUT KENTIP D8.6"/>
    <s v="12824586"/>
    <s v="DASILVA FERNANDO"/>
    <n v="3"/>
    <x v="0"/>
    <x v="1"/>
    <s v="PLAQUETTES"/>
    <x v="1"/>
    <n v="150"/>
  </r>
  <r>
    <d v="2025-10-28T13:37:47"/>
    <x v="2"/>
    <s v="Plaquettes de finition carrées"/>
    <s v="31224"/>
    <s v="BIDOT MURIEL"/>
    <n v="5"/>
    <x v="0"/>
    <x v="2"/>
    <s v="PLAQUETTES"/>
    <x v="3"/>
    <n v="47.8"/>
  </r>
  <r>
    <d v="2025-10-28T13:38:00"/>
    <x v="2"/>
    <s v="Plaquettes de finition carrées"/>
    <s v="31224"/>
    <s v="BIDOT MURIEL"/>
    <n v="5"/>
    <x v="0"/>
    <x v="2"/>
    <s v="PLAQUETTES"/>
    <x v="3"/>
    <n v="47.8"/>
  </r>
  <r>
    <d v="2025-10-28T13:38:20"/>
    <x v="0"/>
    <s v="Plaquettes d'ébauches rhombiques"/>
    <s v="31224"/>
    <s v="BIDOT MURIEL"/>
    <n v="5"/>
    <x v="0"/>
    <x v="0"/>
    <s v="PLAQUETTES"/>
    <x v="3"/>
    <n v="39.799999999999997"/>
  </r>
  <r>
    <d v="2025-10-28T13:38:46"/>
    <x v="3"/>
    <s v="Plaquettes d'ébauches carrées"/>
    <s v="31224"/>
    <s v="BIDOT MURIEL"/>
    <n v="5"/>
    <x v="0"/>
    <x v="3"/>
    <s v="PLAQUETTES"/>
    <x v="3"/>
    <n v="39.799999999999997"/>
  </r>
  <r>
    <d v="2025-10-28T13:39:04"/>
    <x v="3"/>
    <s v="Plaquettes d'ébauches carrées"/>
    <s v="31224"/>
    <s v="BIDOT MURIEL"/>
    <n v="5"/>
    <x v="0"/>
    <x v="0"/>
    <s v="PLAQUETTES"/>
    <x v="3"/>
    <n v="39.799999999999997"/>
  </r>
  <r>
    <d v="2025-10-28T13:39:20"/>
    <x v="5"/>
    <s v="Plaquettes de finition"/>
    <s v="31224"/>
    <s v="BIDOT MURIEL"/>
    <n v="5"/>
    <x v="0"/>
    <x v="2"/>
    <s v="PLAQUETTES"/>
    <x v="3"/>
    <n v="42.5"/>
  </r>
  <r>
    <d v="2025-10-28T13:40:53"/>
    <x v="2"/>
    <s v="Plaquettes de finition carrées"/>
    <s v="070325"/>
    <s v="PEREIRA KEVIN"/>
    <n v="5"/>
    <x v="1"/>
    <x v="2"/>
    <s v="PLAQUETTES"/>
    <x v="3"/>
    <n v="47.8"/>
  </r>
  <r>
    <d v="2025-10-28T13:41:05"/>
    <x v="2"/>
    <s v="Plaquettes de finition carrées"/>
    <s v="070325"/>
    <s v="PEREIRA KEVIN"/>
    <n v="5"/>
    <x v="0"/>
    <x v="2"/>
    <s v="PLAQUETTES"/>
    <x v="3"/>
    <n v="47.8"/>
  </r>
  <r>
    <d v="2025-10-29T02:13:52"/>
    <x v="2"/>
    <s v="Plaquettes de finition carrées"/>
    <s v="7236310"/>
    <s v="OZYURT IREM"/>
    <n v="5"/>
    <x v="0"/>
    <x v="2"/>
    <s v="PLAQUETTES"/>
    <x v="3"/>
    <n v="47.8"/>
  </r>
  <r>
    <d v="2025-10-29T03:05:05"/>
    <x v="0"/>
    <s v="Plaquettes d'ébauches rhombiques"/>
    <s v="090225"/>
    <s v="MEYER THOMAS"/>
    <n v="5"/>
    <x v="0"/>
    <x v="0"/>
    <s v="PLAQUETTES"/>
    <x v="3"/>
    <n v="39.799999999999997"/>
  </r>
  <r>
    <d v="2025-10-29T03:05:21"/>
    <x v="3"/>
    <s v="Plaquettes d'ébauches carrées"/>
    <s v="090225"/>
    <s v="MEYER THOMAS"/>
    <n v="5"/>
    <x v="0"/>
    <x v="0"/>
    <s v="PLAQUETTES"/>
    <x v="3"/>
    <n v="39.799999999999997"/>
  </r>
  <r>
    <d v="2025-10-29T03:05:44"/>
    <x v="3"/>
    <s v="Plaquettes d'ébauches carrées"/>
    <s v="090225"/>
    <s v="MEYER THOMAS"/>
    <n v="5"/>
    <x v="0"/>
    <x v="3"/>
    <s v="PLAQUETTES"/>
    <x v="3"/>
    <n v="39.799999999999997"/>
  </r>
  <r>
    <d v="2025-10-29T03:06:01"/>
    <x v="0"/>
    <s v="Plaquettes d'ébauches rhombiques"/>
    <s v="090225"/>
    <s v="MEYER THOMAS"/>
    <n v="5"/>
    <x v="0"/>
    <x v="3"/>
    <s v="PLAQUETTES"/>
    <x v="3"/>
    <n v="39.799999999999997"/>
  </r>
  <r>
    <d v="2025-10-29T03:06:28"/>
    <x v="3"/>
    <s v="Plaquettes d'ébauches carrées"/>
    <s v="090225"/>
    <s v="MEYER THOMAS"/>
    <n v="5"/>
    <x v="1"/>
    <x v="3"/>
    <s v="PLAQUETTES"/>
    <x v="3"/>
    <n v="39.799999999999997"/>
  </r>
  <r>
    <d v="2025-10-29T03:06:54"/>
    <x v="0"/>
    <s v="Plaquettes d'ébauches rhombiques"/>
    <s v="090225"/>
    <s v="MEYER THOMAS"/>
    <n v="5"/>
    <x v="1"/>
    <x v="3"/>
    <s v="PLAQUETTES"/>
    <x v="3"/>
    <n v="39.799999999999997"/>
  </r>
  <r>
    <d v="2025-10-29T05:15:17"/>
    <x v="3"/>
    <s v="Plaquettes d'ébauches carrées"/>
    <s v="040E47C25C7780"/>
    <s v="PARINGAUX CARROLANE"/>
    <n v="5"/>
    <x v="1"/>
    <x v="0"/>
    <s v="PLAQUETTES"/>
    <x v="3"/>
    <n v="39.799999999999997"/>
  </r>
  <r>
    <d v="2025-10-29T05:15:32"/>
    <x v="6"/>
    <s v="Plaquettes de finition triangulaires"/>
    <s v="040E47C25C7780"/>
    <s v="PARINGAUX CARROLANE"/>
    <n v="5"/>
    <x v="1"/>
    <x v="2"/>
    <s v="PLAQUETTES"/>
    <x v="3"/>
    <n v="48.7"/>
  </r>
  <r>
    <d v="2025-10-29T05:15:48"/>
    <x v="2"/>
    <s v="Plaquettes de finition carrées"/>
    <s v="040E47C25C7780"/>
    <s v="PARINGAUX CARROLANE"/>
    <n v="5"/>
    <x v="1"/>
    <x v="2"/>
    <s v="PLAQUETTES"/>
    <x v="3"/>
    <n v="47.8"/>
  </r>
  <r>
    <d v="2025-10-29T13:32:17"/>
    <x v="10"/>
    <s v="Plaquettes TPGX0902ZPRGD KC7315"/>
    <s v="12824586"/>
    <s v="DASILVA FERNANDO"/>
    <n v="10"/>
    <x v="0"/>
    <x v="1"/>
    <s v="PLAQUETTES"/>
    <x v="1"/>
    <n v="81.5"/>
  </r>
  <r>
    <d v="2025-10-29T14:14:04"/>
    <x v="2"/>
    <s v="Plaquettes de finition carrées"/>
    <s v="31224"/>
    <s v="BIDOT MURIEL"/>
    <n v="5"/>
    <x v="0"/>
    <x v="2"/>
    <s v="PLAQUETTES"/>
    <x v="3"/>
    <n v="47.8"/>
  </r>
  <r>
    <d v="2025-10-29T14:14:20"/>
    <x v="2"/>
    <s v="Plaquettes de finition carrées"/>
    <s v="31224"/>
    <s v="BIDOT MURIEL"/>
    <n v="5"/>
    <x v="0"/>
    <x v="2"/>
    <s v="PLAQUETTES"/>
    <x v="3"/>
    <n v="47.8"/>
  </r>
  <r>
    <d v="2025-10-29T14:14:40"/>
    <x v="0"/>
    <s v="Plaquettes d'ébauches rhombiques"/>
    <s v="31224"/>
    <s v="BIDOT MURIEL"/>
    <n v="5"/>
    <x v="0"/>
    <x v="0"/>
    <s v="PLAQUETTES"/>
    <x v="3"/>
    <n v="39.799999999999997"/>
  </r>
  <r>
    <d v="2025-10-29T14:15:05"/>
    <x v="3"/>
    <s v="Plaquettes d'ébauches carrées"/>
    <s v="31224"/>
    <s v="BIDOT MURIEL"/>
    <n v="5"/>
    <x v="0"/>
    <x v="0"/>
    <s v="PLAQUETTES"/>
    <x v="3"/>
    <n v="39.799999999999997"/>
  </r>
  <r>
    <d v="2025-10-29T14:15:24"/>
    <x v="3"/>
    <s v="Plaquettes d'ébauches carrées"/>
    <s v="31224"/>
    <s v="BIDOT MURIEL"/>
    <n v="5"/>
    <x v="0"/>
    <x v="0"/>
    <s v="PLAQUETTES"/>
    <x v="3"/>
    <n v="39.799999999999997"/>
  </r>
  <r>
    <d v="2025-10-29T14:15:37"/>
    <x v="6"/>
    <s v="Plaquettes de finition triangulaires"/>
    <s v="31224"/>
    <s v="BIDOT MURIEL"/>
    <n v="5"/>
    <x v="0"/>
    <x v="2"/>
    <s v="PLAQUETTES"/>
    <x v="3"/>
    <n v="48.7"/>
  </r>
  <r>
    <d v="2025-10-29T16:39:00"/>
    <x v="3"/>
    <s v="Plaquettes d'ébauches carrées"/>
    <s v="31224"/>
    <s v="BIDOT MURIEL"/>
    <n v="5"/>
    <x v="1"/>
    <x v="3"/>
    <s v="PLAQUETTES"/>
    <x v="3"/>
    <n v="39.799999999999997"/>
  </r>
  <r>
    <d v="2025-10-29T16:39:17"/>
    <x v="3"/>
    <s v="Plaquettes d'ébauches carrées"/>
    <s v="31224"/>
    <s v="BIDOT MURIEL"/>
    <n v="5"/>
    <x v="1"/>
    <x v="3"/>
    <s v="PLAQUETTES"/>
    <x v="3"/>
    <n v="39.799999999999997"/>
  </r>
  <r>
    <d v="2025-10-29T16:39:31"/>
    <x v="0"/>
    <s v="Plaquettes d'ébauches rhombiques"/>
    <s v="31224"/>
    <s v="BIDOT MURIEL"/>
    <n v="5"/>
    <x v="1"/>
    <x v="0"/>
    <s v="PLAQUETTES"/>
    <x v="3"/>
    <n v="39.799999999999997"/>
  </r>
  <r>
    <d v="2025-10-29T16:39:48"/>
    <x v="2"/>
    <s v="Plaquettes de finition carrées"/>
    <s v="31224"/>
    <s v="BIDOT MURIEL"/>
    <n v="5"/>
    <x v="1"/>
    <x v="2"/>
    <s v="PLAQUETTES"/>
    <x v="3"/>
    <n v="47.8"/>
  </r>
  <r>
    <d v="2025-10-29T16:40:03"/>
    <x v="2"/>
    <s v="Plaquettes de finition carrées"/>
    <s v="31224"/>
    <s v="BIDOT MURIEL"/>
    <n v="5"/>
    <x v="1"/>
    <x v="2"/>
    <s v="PLAQUETTES"/>
    <x v="3"/>
    <n v="47.8"/>
  </r>
  <r>
    <d v="2025-10-29T16:40:19"/>
    <x v="5"/>
    <s v="Plaquettes de finition"/>
    <s v="31224"/>
    <s v="BIDOT MURIEL"/>
    <n v="5"/>
    <x v="1"/>
    <x v="2"/>
    <s v="PLAQUETTES"/>
    <x v="3"/>
    <n v="42.5"/>
  </r>
  <r>
    <d v="2025-10-30T02:13:48"/>
    <x v="2"/>
    <s v="Plaquettes de finition carrées"/>
    <s v="7236310"/>
    <s v="OZYURT IREM"/>
    <n v="5"/>
    <x v="0"/>
    <x v="2"/>
    <s v="PLAQUETTES"/>
    <x v="3"/>
    <n v="47.8"/>
  </r>
  <r>
    <d v="2025-10-30T02:14:06"/>
    <x v="2"/>
    <s v="Plaquettes de finition carrées"/>
    <s v="7236310"/>
    <s v="OZYURT IREM"/>
    <n v="5"/>
    <x v="1"/>
    <x v="2"/>
    <s v="PLAQUETTES"/>
    <x v="3"/>
    <n v="47.8"/>
  </r>
  <r>
    <d v="2025-10-30T04:41:14"/>
    <x v="0"/>
    <s v="Plaquettes d'ébauches rhombiques"/>
    <s v="090225"/>
    <s v="MEYER THOMAS"/>
    <n v="5"/>
    <x v="0"/>
    <x v="0"/>
    <s v="PLAQUETTES"/>
    <x v="3"/>
    <n v="39.799999999999997"/>
  </r>
  <r>
    <d v="2025-10-30T04:41:29"/>
    <x v="0"/>
    <s v="Plaquettes d'ébauches rhombiques"/>
    <s v="090225"/>
    <s v="MEYER THOMAS"/>
    <n v="5"/>
    <x v="0"/>
    <x v="3"/>
    <s v="PLAQUETTES"/>
    <x v="3"/>
    <n v="39.799999999999997"/>
  </r>
  <r>
    <d v="2025-10-30T04:41:41"/>
    <x v="0"/>
    <s v="Plaquettes d'ébauches rhombiques"/>
    <s v="090225"/>
    <s v="MEYER THOMAS"/>
    <n v="5"/>
    <x v="1"/>
    <x v="3"/>
    <s v="PLAQUETTES"/>
    <x v="3"/>
    <n v="39.799999999999997"/>
  </r>
  <r>
    <d v="2025-10-30T05:45:12"/>
    <x v="6"/>
    <s v="Plaquettes de finition triangulaires"/>
    <s v="040E47C25C7780"/>
    <s v="PARINGAUX CARROLANE"/>
    <n v="5"/>
    <x v="1"/>
    <x v="2"/>
    <s v="PLAQUETTES"/>
    <x v="3"/>
    <n v="48.7"/>
  </r>
  <r>
    <d v="2025-10-30T05:45:30"/>
    <x v="2"/>
    <s v="Plaquettes de finition carrées"/>
    <s v="040E47C25C7780"/>
    <s v="PARINGAUX CARROLANE"/>
    <n v="5"/>
    <x v="1"/>
    <x v="2"/>
    <s v="PLAQUETTES"/>
    <x v="3"/>
    <n v="47.8"/>
  </r>
  <r>
    <d v="2025-10-30T09:18:15"/>
    <x v="3"/>
    <s v="Plaquettes d'ébauches carrées"/>
    <s v="12824586"/>
    <s v="DASILVA FERNANDO"/>
    <n v="5"/>
    <x v="1"/>
    <x v="3"/>
    <s v="PLAQUETTES"/>
    <x v="2"/>
    <n v="39.799999999999997"/>
  </r>
  <r>
    <d v="2025-10-30T14:19:06"/>
    <x v="3"/>
    <s v="Plaquettes d'ébauches carrées"/>
    <s v="045B77CAA77080"/>
    <s v="CAMUS CAMILLE"/>
    <n v="5"/>
    <x v="0"/>
    <x v="0"/>
    <s v="PLAQUETTES"/>
    <x v="3"/>
    <n v="39.799999999999997"/>
  </r>
  <r>
    <d v="2025-10-30T14:19:21"/>
    <x v="3"/>
    <s v="Plaquettes d'ébauches carrées"/>
    <s v="045B77CAA77080"/>
    <s v="CAMUS CAMILLE"/>
    <n v="-5"/>
    <x v="0"/>
    <x v="0"/>
    <s v="PLAQUETTES"/>
    <x v="3"/>
    <n v="-39.799999999999997"/>
  </r>
  <r>
    <d v="2025-10-30T14:31:02"/>
    <x v="3"/>
    <s v="Plaquettes d'ébauches carrées"/>
    <s v="31224"/>
    <s v="BIDOT MURIEL"/>
    <n v="5"/>
    <x v="1"/>
    <x v="3"/>
    <s v="PLAQUETTES"/>
    <x v="3"/>
    <n v="39.799999999999997"/>
  </r>
  <r>
    <d v="2025-10-30T14:31:31"/>
    <x v="3"/>
    <s v="Plaquettes d'ébauches carrées"/>
    <s v="31224"/>
    <s v="BIDOT MURIEL"/>
    <n v="5"/>
    <x v="1"/>
    <x v="3"/>
    <s v="PLAQUETTES"/>
    <x v="3"/>
    <n v="39.799999999999997"/>
  </r>
  <r>
    <d v="2025-10-30T14:31:45"/>
    <x v="0"/>
    <s v="Plaquettes d'ébauches rhombiques"/>
    <s v="31224"/>
    <s v="BIDOT MURIEL"/>
    <n v="5"/>
    <x v="1"/>
    <x v="3"/>
    <s v="PLAQUETTES"/>
    <x v="3"/>
    <n v="39.799999999999997"/>
  </r>
  <r>
    <d v="2025-10-30T14:32:04"/>
    <x v="2"/>
    <s v="Plaquettes de finition carrées"/>
    <s v="31224"/>
    <s v="BIDOT MURIEL"/>
    <n v="5"/>
    <x v="1"/>
    <x v="2"/>
    <s v="PLAQUETTES"/>
    <x v="3"/>
    <n v="47.8"/>
  </r>
  <r>
    <d v="2025-10-30T14:32:20"/>
    <x v="2"/>
    <s v="Plaquettes de finition carrées"/>
    <s v="31224"/>
    <s v="BIDOT MURIEL"/>
    <n v="5"/>
    <x v="1"/>
    <x v="2"/>
    <s v="PLAQUETTES"/>
    <x v="3"/>
    <n v="47.8"/>
  </r>
  <r>
    <d v="2025-10-30T14:32:41"/>
    <x v="5"/>
    <s v="Plaquettes de finition"/>
    <s v="31224"/>
    <s v="BIDOT MURIEL"/>
    <n v="5"/>
    <x v="1"/>
    <x v="2"/>
    <s v="PLAQUETTES"/>
    <x v="3"/>
    <n v="42.5"/>
  </r>
  <r>
    <d v="2025-10-30T14:33:01"/>
    <x v="2"/>
    <s v="Plaquettes de finition carrées"/>
    <s v="045B77CAA77080"/>
    <s v="CAMUS CAMILLE"/>
    <n v="5"/>
    <x v="0"/>
    <x v="2"/>
    <s v="PLAQUETTES"/>
    <x v="3"/>
    <n v="47.8"/>
  </r>
  <r>
    <d v="2025-10-30T14:33:16"/>
    <x v="2"/>
    <s v="Plaquettes de finition carrées"/>
    <s v="045B77CAA77080"/>
    <s v="CAMUS CAMILLE"/>
    <n v="5"/>
    <x v="0"/>
    <x v="2"/>
    <s v="PLAQUETTES"/>
    <x v="3"/>
    <n v="47.8"/>
  </r>
  <r>
    <d v="2025-10-30T14:33:31"/>
    <x v="0"/>
    <s v="Plaquettes d'ébauches rhombiques"/>
    <s v="045B77CAA77080"/>
    <s v="CAMUS CAMILLE"/>
    <n v="5"/>
    <x v="0"/>
    <x v="0"/>
    <s v="PLAQUETTES"/>
    <x v="3"/>
    <n v="39.799999999999997"/>
  </r>
  <r>
    <d v="2025-10-30T14:34:00"/>
    <x v="3"/>
    <s v="Plaquettes d'ébauches carrées"/>
    <s v="045B77CAA77080"/>
    <s v="CAMUS CAMILLE"/>
    <n v="5"/>
    <x v="0"/>
    <x v="0"/>
    <s v="PLAQUETTES"/>
    <x v="3"/>
    <n v="39.799999999999997"/>
  </r>
  <r>
    <d v="2025-10-30T14:34:14"/>
    <x v="0"/>
    <s v="Plaquettes d'ébauches rhombiques"/>
    <s v="045B77CAA77080"/>
    <s v="CAMUS CAMILLE"/>
    <n v="5"/>
    <x v="0"/>
    <x v="0"/>
    <s v="PLAQUETTES"/>
    <x v="3"/>
    <n v="39.799999999999997"/>
  </r>
  <r>
    <d v="2025-10-30T14:34:32"/>
    <x v="3"/>
    <s v="Plaquettes d'ébauches carrées"/>
    <s v="045B77CAA77080"/>
    <s v="CAMUS CAMILLE"/>
    <n v="5"/>
    <x v="0"/>
    <x v="0"/>
    <s v="PLAQUETTES"/>
    <x v="3"/>
    <n v="39.799999999999997"/>
  </r>
  <r>
    <d v="2025-10-31T05:41:34"/>
    <x v="5"/>
    <s v="Plaquettes de finition"/>
    <s v="10301115"/>
    <s v="BOUCHART LUDOVIC"/>
    <n v="5"/>
    <x v="0"/>
    <x v="2"/>
    <s v="PLAQUETTES"/>
    <x v="3"/>
    <n v="42.5"/>
  </r>
  <r>
    <d v="2025-10-31T05:41:48"/>
    <x v="6"/>
    <s v="Plaquettes de finition triangulaires"/>
    <s v="10301115"/>
    <s v="BOUCHART LUDOVIC"/>
    <n v="5"/>
    <x v="0"/>
    <x v="2"/>
    <s v="PLAQUETTES"/>
    <x v="3"/>
    <n v="48.7"/>
  </r>
  <r>
    <d v="2025-10-31T05:42:06"/>
    <x v="2"/>
    <s v="Plaquettes de finition carrées"/>
    <s v="10301115"/>
    <s v="BOUCHART LUDOVIC"/>
    <n v="5"/>
    <x v="0"/>
    <x v="2"/>
    <s v="PLAQUETTES"/>
    <x v="3"/>
    <n v="47.8"/>
  </r>
  <r>
    <d v="2025-10-31T05:42:48"/>
    <x v="5"/>
    <s v="Plaquettes de finition"/>
    <s v="10301115"/>
    <s v="BOUCHART LUDOVIC"/>
    <n v="5"/>
    <x v="1"/>
    <x v="2"/>
    <s v="PLAQUETTES"/>
    <x v="3"/>
    <n v="42.5"/>
  </r>
  <r>
    <d v="2025-10-31T05:43:02"/>
    <x v="6"/>
    <s v="Plaquettes de finition triangulaires"/>
    <s v="10301115"/>
    <s v="BOUCHART LUDOVIC"/>
    <n v="5"/>
    <x v="1"/>
    <x v="2"/>
    <s v="PLAQUETTES"/>
    <x v="3"/>
    <n v="48.7"/>
  </r>
  <r>
    <d v="2025-10-31T05:43:17"/>
    <x v="2"/>
    <s v="Plaquettes de finition carrées"/>
    <s v="10301115"/>
    <s v="BOUCHART LUDOVIC"/>
    <n v="5"/>
    <x v="1"/>
    <x v="2"/>
    <s v="PLAQUETTES"/>
    <x v="3"/>
    <n v="47.8"/>
  </r>
  <r>
    <d v="2025-10-31T09:15:42"/>
    <x v="3"/>
    <s v="Plaquettes d'ébauches carrées"/>
    <s v="U080365"/>
    <s v="ALAVOINE SAMUEL"/>
    <n v="5"/>
    <x v="1"/>
    <x v="3"/>
    <s v="PLAQUETTES"/>
    <x v="3"/>
    <n v="39.799999999999997"/>
  </r>
  <r>
    <d v="2025-10-31T09:15:56"/>
    <x v="0"/>
    <s v="Plaquettes d'ébauches rhombiques"/>
    <s v="U080365"/>
    <s v="ALAVOINE SAMUEL"/>
    <n v="5"/>
    <x v="0"/>
    <x v="3"/>
    <s v="PLAQUETTES"/>
    <x v="3"/>
    <n v="39.799999999999997"/>
  </r>
  <r>
    <d v="2025-10-31T09:16:24"/>
    <x v="3"/>
    <s v="Plaquettes d'ébauches carrées"/>
    <s v="U080365"/>
    <s v="ALAVOINE SAMUEL"/>
    <n v="5"/>
    <x v="1"/>
    <x v="3"/>
    <s v="PLAQUETTES"/>
    <x v="3"/>
    <n v="39.799999999999997"/>
  </r>
  <r>
    <d v="2025-10-31T09:16:42"/>
    <x v="0"/>
    <s v="Plaquettes d'ébauches rhombiques"/>
    <s v="U080365"/>
    <s v="ALAVOINE SAMUEL"/>
    <n v="5"/>
    <x v="1"/>
    <x v="3"/>
    <s v="PLAQUETTES"/>
    <x v="3"/>
    <n v="39.799999999999997"/>
  </r>
  <r>
    <d v="2025-10-31T09:17:02"/>
    <x v="0"/>
    <s v="Plaquettes d'ébauches rhombiques"/>
    <s v="U080365"/>
    <s v="ALAVOINE SAMUEL"/>
    <n v="5"/>
    <x v="1"/>
    <x v="0"/>
    <s v="PLAQUETTES"/>
    <x v="3"/>
    <n v="39.799999999999997"/>
  </r>
  <r>
    <d v="2025-10-31T09:17:15"/>
    <x v="3"/>
    <s v="Plaquettes d'ébauches carrées"/>
    <s v="U080365"/>
    <s v="ALAVOINE SAMUEL"/>
    <n v="5"/>
    <x v="1"/>
    <x v="0"/>
    <s v="PLAQUETTES"/>
    <x v="3"/>
    <n v="39.799999999999997"/>
  </r>
  <r>
    <d v="2025-10-31T09:17:34"/>
    <x v="0"/>
    <s v="Plaquettes d'ébauches rhombiques"/>
    <s v="U080365"/>
    <s v="ALAVOINE SAMUEL"/>
    <n v="5"/>
    <x v="0"/>
    <x v="0"/>
    <s v="PLAQUETTES"/>
    <x v="3"/>
    <n v="39.799999999999997"/>
  </r>
  <r>
    <d v="2025-10-31T09:17:56"/>
    <x v="3"/>
    <s v="Plaquettes d'ébauches carrées"/>
    <s v="U080365"/>
    <s v="ALAVOINE SAMUEL"/>
    <n v="5"/>
    <x v="0"/>
    <x v="0"/>
    <s v="PLAQUETTES"/>
    <x v="3"/>
    <n v="39.799999999999997"/>
  </r>
  <r>
    <d v="2025-10-31T13:42:38"/>
    <x v="0"/>
    <s v="Plaquettes d'ébauches rhombiques"/>
    <s v="045B77CAA77080"/>
    <s v="CAMUS CAMILLE"/>
    <n v="5"/>
    <x v="0"/>
    <x v="3"/>
    <s v="PLAQUETTES"/>
    <x v="3"/>
    <n v="39.799999999999997"/>
  </r>
  <r>
    <d v="2025-10-31T13:43:04"/>
    <x v="0"/>
    <s v="Plaquettes d'ébauches rhombiques"/>
    <s v="045B77CAA77080"/>
    <s v="CAMUS CAMILLE"/>
    <n v="5"/>
    <x v="0"/>
    <x v="0"/>
    <s v="PLAQUETTES"/>
    <x v="3"/>
    <n v="39.799999999999997"/>
  </r>
  <r>
    <d v="2025-10-31T22:54:18"/>
    <x v="12"/>
    <s v="Rondelle fendue belleville OP30"/>
    <s v="U532976"/>
    <s v="LEFORT XAVIER"/>
    <n v="1"/>
    <x v="1"/>
    <x v="1"/>
    <s v="DIVERS"/>
    <x v="1"/>
    <n v="0"/>
  </r>
  <r>
    <d v="2025-11-01T05:22:58"/>
    <x v="2"/>
    <s v="Plaquettes de finition carrées"/>
    <s v="10301115"/>
    <s v="BOUCHART LUDOVIC"/>
    <n v="5"/>
    <x v="0"/>
    <x v="2"/>
    <s v="PLAQUETTES"/>
    <x v="3"/>
    <n v="47.8"/>
  </r>
  <r>
    <d v="2025-11-01T05:23:12"/>
    <x v="2"/>
    <s v="Plaquettes de finition carrées"/>
    <s v="10301115"/>
    <s v="BOUCHART LUDOVIC"/>
    <n v="5"/>
    <x v="0"/>
    <x v="2"/>
    <s v="PLAQUETTES"/>
    <x v="3"/>
    <n v="47.8"/>
  </r>
  <r>
    <d v="2025-11-01T05:23:27"/>
    <x v="2"/>
    <s v="Plaquettes de finition carrées"/>
    <s v="10301115"/>
    <s v="BOUCHART LUDOVIC"/>
    <n v="5"/>
    <x v="1"/>
    <x v="2"/>
    <s v="PLAQUETTES"/>
    <x v="3"/>
    <n v="47.8"/>
  </r>
  <r>
    <d v="2025-11-01T05:23:41"/>
    <x v="2"/>
    <s v="Plaquettes de finition carrées"/>
    <s v="10301115"/>
    <s v="BOUCHART LUDOVIC"/>
    <n v="5"/>
    <x v="1"/>
    <x v="2"/>
    <s v="PLAQUETTES"/>
    <x v="3"/>
    <n v="47.8"/>
  </r>
  <r>
    <d v="2025-11-01T05:25:25"/>
    <x v="3"/>
    <s v="Plaquettes d'ébauches carrées"/>
    <s v="U080365"/>
    <s v="ALAVOINE SAMUEL"/>
    <n v="5"/>
    <x v="0"/>
    <x v="3"/>
    <s v="PLAQUETTES"/>
    <x v="3"/>
    <n v="39.799999999999997"/>
  </r>
  <r>
    <d v="2025-11-01T05:25:47"/>
    <x v="0"/>
    <s v="Plaquettes d'ébauches rhombiques"/>
    <s v="U080365"/>
    <s v="ALAVOINE SAMUEL"/>
    <n v="5"/>
    <x v="0"/>
    <x v="3"/>
    <s v="PLAQUETTES"/>
    <x v="3"/>
    <n v="39.799999999999997"/>
  </r>
  <r>
    <d v="2025-11-01T05:26:05"/>
    <x v="3"/>
    <s v="Plaquettes d'ébauches carrées"/>
    <s v="U080365"/>
    <s v="ALAVOINE SAMUEL"/>
    <n v="5"/>
    <x v="1"/>
    <x v="3"/>
    <s v="PLAQUETTES"/>
    <x v="3"/>
    <n v="39.799999999999997"/>
  </r>
  <r>
    <d v="2025-11-01T05:26:21"/>
    <x v="0"/>
    <s v="Plaquettes d'ébauches rhombiques"/>
    <s v="U080365"/>
    <s v="ALAVOINE SAMUEL"/>
    <n v="5"/>
    <x v="1"/>
    <x v="3"/>
    <s v="PLAQUETTES"/>
    <x v="3"/>
    <n v="39.799999999999997"/>
  </r>
  <r>
    <d v="2025-11-01T05:26:40"/>
    <x v="3"/>
    <s v="Plaquettes d'ébauches carrées"/>
    <s v="U080365"/>
    <s v="ALAVOINE SAMUEL"/>
    <n v="5"/>
    <x v="0"/>
    <x v="0"/>
    <s v="PLAQUETTES"/>
    <x v="3"/>
    <n v="39.799999999999997"/>
  </r>
  <r>
    <d v="2025-11-01T05:27:00"/>
    <x v="0"/>
    <s v="Plaquettes d'ébauches rhombiques"/>
    <s v="U080365"/>
    <s v="ALAVOINE SAMUEL"/>
    <n v="5"/>
    <x v="0"/>
    <x v="0"/>
    <s v="PLAQUETTES"/>
    <x v="3"/>
    <n v="39.799999999999997"/>
  </r>
  <r>
    <d v="2025-11-01T05:27:23"/>
    <x v="3"/>
    <s v="Plaquettes d'ébauches carrées"/>
    <s v="U080365"/>
    <s v="ALAVOINE SAMUEL"/>
    <n v="5"/>
    <x v="1"/>
    <x v="0"/>
    <s v="PLAQUETTES"/>
    <x v="3"/>
    <n v="39.799999999999997"/>
  </r>
  <r>
    <d v="2025-11-01T05:27:37"/>
    <x v="0"/>
    <s v="Plaquettes d'ébauches rhombiques"/>
    <s v="U080365"/>
    <s v="ALAVOINE SAMUEL"/>
    <n v="5"/>
    <x v="1"/>
    <x v="0"/>
    <s v="PLAQUETTES"/>
    <x v="3"/>
    <n v="39.799999999999997"/>
  </r>
  <r>
    <d v="2025-11-03T04:13:01"/>
    <x v="3"/>
    <s v="Plaquettes d'ébauches carrées"/>
    <s v="U080365"/>
    <s v="ALAVOINE SAMUEL"/>
    <n v="5"/>
    <x v="0"/>
    <x v="3"/>
    <s v="PLAQUETTES"/>
    <x v="3"/>
    <n v="39.799999999999997"/>
  </r>
  <r>
    <d v="2025-11-03T04:13:20"/>
    <x v="3"/>
    <s v="Plaquettes d'ébauches carrées"/>
    <s v="U080365"/>
    <s v="ALAVOINE SAMUEL"/>
    <n v="5"/>
    <x v="1"/>
    <x v="3"/>
    <s v="PLAQUETTES"/>
    <x v="3"/>
    <n v="39.799999999999997"/>
  </r>
  <r>
    <d v="2025-11-03T06:02:36"/>
    <x v="5"/>
    <s v="Plaquettes de finition"/>
    <s v="045B77CAA77080"/>
    <s v="CAMUS CAMILLE"/>
    <n v="5"/>
    <x v="0"/>
    <x v="2"/>
    <s v="PLAQUETTES"/>
    <x v="3"/>
    <n v="42.5"/>
  </r>
  <r>
    <d v="2025-11-03T06:02:51"/>
    <x v="6"/>
    <s v="Plaquettes de finition triangulaires"/>
    <s v="045B77CAA77080"/>
    <s v="CAMUS CAMILLE"/>
    <n v="5"/>
    <x v="0"/>
    <x v="2"/>
    <s v="PLAQUETTES"/>
    <x v="3"/>
    <n v="48.7"/>
  </r>
  <r>
    <d v="2025-11-03T06:03:05"/>
    <x v="2"/>
    <s v="Plaquettes de finition carrées"/>
    <s v="045B77CAA77080"/>
    <s v="CAMUS CAMILLE"/>
    <n v="5"/>
    <x v="0"/>
    <x v="2"/>
    <s v="PLAQUETTES"/>
    <x v="3"/>
    <n v="47.8"/>
  </r>
  <r>
    <d v="2025-11-03T06:03:28"/>
    <x v="3"/>
    <s v="Plaquettes d'ébauches carrées"/>
    <s v="045B77CAA77080"/>
    <s v="CAMUS CAMILLE"/>
    <n v="5"/>
    <x v="0"/>
    <x v="3"/>
    <s v="PLAQUETTES"/>
    <x v="3"/>
    <n v="39.799999999999997"/>
  </r>
  <r>
    <d v="2025-11-03T06:03:40"/>
    <x v="3"/>
    <s v="Plaquettes d'ébauches carrées"/>
    <s v="045B77CAA77080"/>
    <s v="CAMUS CAMILLE"/>
    <n v="5"/>
    <x v="0"/>
    <x v="3"/>
    <s v="PLAQUETTES"/>
    <x v="3"/>
    <n v="39.799999999999997"/>
  </r>
  <r>
    <d v="2025-11-03T06:03:52"/>
    <x v="0"/>
    <s v="Plaquettes d'ébauches rhombiques"/>
    <s v="045B77CAA77080"/>
    <s v="CAMUS CAMILLE"/>
    <n v="5"/>
    <x v="0"/>
    <x v="3"/>
    <s v="PLAQUETTES"/>
    <x v="3"/>
    <n v="39.799999999999997"/>
  </r>
  <r>
    <d v="2025-11-03T06:04:07"/>
    <x v="0"/>
    <s v="Plaquettes d'ébauches rhombiques"/>
    <s v="045B77CAA77080"/>
    <s v="CAMUS CAMILLE"/>
    <n v="5"/>
    <x v="0"/>
    <x v="3"/>
    <s v="PLAQUETTES"/>
    <x v="3"/>
    <n v="39.799999999999997"/>
  </r>
  <r>
    <d v="2025-11-03T06:20:43"/>
    <x v="3"/>
    <s v="Plaquettes d'ébauches carrées"/>
    <s v="31224"/>
    <s v="BIDOT MURIEL"/>
    <n v="5"/>
    <x v="1"/>
    <x v="3"/>
    <s v="PLAQUETTES"/>
    <x v="3"/>
    <n v="39.799999999999997"/>
  </r>
  <r>
    <d v="2025-11-03T06:20:57"/>
    <x v="3"/>
    <s v="Plaquettes d'ébauches carrées"/>
    <s v="31224"/>
    <s v="BIDOT MURIEL"/>
    <n v="5"/>
    <x v="1"/>
    <x v="3"/>
    <s v="PLAQUETTES"/>
    <x v="3"/>
    <n v="39.799999999999997"/>
  </r>
  <r>
    <d v="2025-11-03T06:21:14"/>
    <x v="3"/>
    <s v="Plaquettes d'ébauches carrées"/>
    <s v="31224"/>
    <s v="BIDOT MURIEL"/>
    <n v="5"/>
    <x v="1"/>
    <x v="3"/>
    <s v="PLAQUETTES"/>
    <x v="3"/>
    <n v="39.799999999999997"/>
  </r>
  <r>
    <d v="2025-11-03T06:21:31"/>
    <x v="0"/>
    <s v="Plaquettes d'ébauches rhombiques"/>
    <s v="31224"/>
    <s v="BIDOT MURIEL"/>
    <n v="5"/>
    <x v="1"/>
    <x v="3"/>
    <s v="PLAQUETTES"/>
    <x v="3"/>
    <n v="39.799999999999997"/>
  </r>
  <r>
    <d v="2025-11-03T06:21:44"/>
    <x v="0"/>
    <s v="Plaquettes d'ébauches rhombiques"/>
    <s v="31224"/>
    <s v="BIDOT MURIEL"/>
    <n v="5"/>
    <x v="1"/>
    <x v="3"/>
    <s v="PLAQUETTES"/>
    <x v="3"/>
    <n v="39.799999999999997"/>
  </r>
  <r>
    <d v="2025-11-03T06:22:00"/>
    <x v="0"/>
    <s v="Plaquettes d'ébauches rhombiques"/>
    <s v="31224"/>
    <s v="BIDOT MURIEL"/>
    <n v="5"/>
    <x v="1"/>
    <x v="3"/>
    <s v="PLAQUETTES"/>
    <x v="3"/>
    <n v="39.799999999999997"/>
  </r>
  <r>
    <d v="2025-11-03T06:22:20"/>
    <x v="6"/>
    <s v="Plaquettes de finition triangulaires"/>
    <s v="31224"/>
    <s v="BIDOT MURIEL"/>
    <n v="5"/>
    <x v="1"/>
    <x v="2"/>
    <s v="PLAQUETTES"/>
    <x v="3"/>
    <n v="48.7"/>
  </r>
  <r>
    <d v="2025-11-03T06:22:35"/>
    <x v="2"/>
    <s v="Plaquettes de finition carrées"/>
    <s v="31224"/>
    <s v="BIDOT MURIEL"/>
    <n v="5"/>
    <x v="1"/>
    <x v="2"/>
    <s v="PLAQUETTES"/>
    <x v="3"/>
    <n v="47.8"/>
  </r>
  <r>
    <d v="2025-11-03T06:22:49"/>
    <x v="2"/>
    <s v="Plaquettes de finition carrées"/>
    <s v="31224"/>
    <s v="BIDOT MURIEL"/>
    <n v="5"/>
    <x v="1"/>
    <x v="2"/>
    <s v="PLAQUETTES"/>
    <x v="3"/>
    <n v="47.8"/>
  </r>
  <r>
    <d v="2025-11-03T13:40:44"/>
    <x v="9"/>
    <s v="EMBOUT KENTIP D8.6"/>
    <s v="020824"/>
    <s v="DASILVA AFONSO RENAUD"/>
    <n v="1"/>
    <x v="0"/>
    <x v="1"/>
    <s v="PLAQUETTES"/>
    <x v="1"/>
    <n v="50"/>
  </r>
  <r>
    <d v="2025-11-03T20:16:30"/>
    <x v="0"/>
    <s v="Plaquettes d'ébauches rhombiques"/>
    <s v="040E47C25C7780"/>
    <s v="PARINGAUX CARROLANE"/>
    <n v="5"/>
    <x v="1"/>
    <x v="3"/>
    <s v="PLAQUETTES"/>
    <x v="3"/>
    <n v="39.799999999999997"/>
  </r>
  <r>
    <d v="2025-11-03T21:24:38"/>
    <x v="2"/>
    <s v="Plaquettes de finition carrées"/>
    <s v="7236310"/>
    <s v="OZYURT IREM"/>
    <n v="5"/>
    <x v="0"/>
    <x v="2"/>
    <s v="PLAQUETTES"/>
    <x v="3"/>
    <n v="47.8"/>
  </r>
  <r>
    <d v="2025-11-03T21:24:55"/>
    <x v="2"/>
    <s v="Plaquettes de finition carrées"/>
    <s v="7236310"/>
    <s v="OZYURT IREM"/>
    <n v="5"/>
    <x v="1"/>
    <x v="2"/>
    <s v="PLAQUETTES"/>
    <x v="3"/>
    <n v="47.8"/>
  </r>
  <r>
    <d v="2025-11-04T05:44:23"/>
    <x v="2"/>
    <s v="Plaquettes de finition carrées"/>
    <s v="045B77CAA77080"/>
    <s v="CAMUS CAMILLE"/>
    <n v="5"/>
    <x v="0"/>
    <x v="2"/>
    <s v="PLAQUETTES"/>
    <x v="3"/>
    <n v="47.8"/>
  </r>
  <r>
    <d v="2025-11-04T05:44:34"/>
    <x v="2"/>
    <s v="Plaquettes de finition carrées"/>
    <s v="045B77CAA77080"/>
    <s v="CAMUS CAMILLE"/>
    <n v="5"/>
    <x v="0"/>
    <x v="2"/>
    <s v="PLAQUETTES"/>
    <x v="3"/>
    <n v="47.8"/>
  </r>
  <r>
    <d v="2025-11-04T05:44:49"/>
    <x v="6"/>
    <s v="Plaquettes de finition triangulaires"/>
    <s v="045B77CAA77080"/>
    <s v="CAMUS CAMILLE"/>
    <n v="5"/>
    <x v="0"/>
    <x v="2"/>
    <s v="PLAQUETTES"/>
    <x v="3"/>
    <n v="48.7"/>
  </r>
  <r>
    <d v="2025-11-04T05:45:00"/>
    <x v="6"/>
    <s v="Plaquettes de finition triangulaires"/>
    <s v="045B77CAA77080"/>
    <s v="CAMUS CAMILLE"/>
    <n v="5"/>
    <x v="0"/>
    <x v="2"/>
    <s v="PLAQUETTES"/>
    <x v="3"/>
    <n v="48.7"/>
  </r>
  <r>
    <d v="2025-11-04T05:45:18"/>
    <x v="5"/>
    <s v="Plaquettes de finition"/>
    <s v="045B77CAA77080"/>
    <s v="CAMUS CAMILLE"/>
    <n v="5"/>
    <x v="0"/>
    <x v="2"/>
    <s v="PLAQUETTES"/>
    <x v="3"/>
    <n v="42.5"/>
  </r>
  <r>
    <d v="2025-11-04T05:45:32"/>
    <x v="3"/>
    <s v="Plaquettes d'ébauches carrées"/>
    <s v="045B77CAA77080"/>
    <s v="CAMUS CAMILLE"/>
    <n v="5"/>
    <x v="0"/>
    <x v="3"/>
    <s v="PLAQUETTES"/>
    <x v="3"/>
    <n v="39.799999999999997"/>
  </r>
  <r>
    <d v="2025-11-04T05:45:45"/>
    <x v="3"/>
    <s v="Plaquettes d'ébauches carrées"/>
    <s v="045B77CAA77080"/>
    <s v="CAMUS CAMILLE"/>
    <n v="5"/>
    <x v="0"/>
    <x v="3"/>
    <s v="PLAQUETTES"/>
    <x v="3"/>
    <n v="39.799999999999997"/>
  </r>
  <r>
    <d v="2025-11-04T05:46:03"/>
    <x v="0"/>
    <s v="Plaquettes d'ébauches rhombiques"/>
    <s v="045B77CAA77080"/>
    <s v="CAMUS CAMILLE"/>
    <n v="5"/>
    <x v="0"/>
    <x v="3"/>
    <s v="PLAQUETTES"/>
    <x v="3"/>
    <n v="39.799999999999997"/>
  </r>
  <r>
    <d v="2025-11-04T05:46:17"/>
    <x v="3"/>
    <s v="Plaquettes d'ébauches carrées"/>
    <s v="045B77CAA77080"/>
    <s v="CAMUS CAMILLE"/>
    <n v="5"/>
    <x v="0"/>
    <x v="3"/>
    <s v="PLAQUETTES"/>
    <x v="3"/>
    <n v="39.799999999999997"/>
  </r>
  <r>
    <d v="2025-11-04T05:46:41"/>
    <x v="0"/>
    <s v="Plaquettes d'ébauches rhombiques"/>
    <s v="045B77CAA77080"/>
    <s v="CAMUS CAMILLE"/>
    <n v="5"/>
    <x v="0"/>
    <x v="3"/>
    <s v="PLAQUETTES"/>
    <x v="3"/>
    <n v="39.799999999999997"/>
  </r>
  <r>
    <d v="2025-11-04T05:46:56"/>
    <x v="0"/>
    <s v="Plaquettes d'ébauches rhombiques"/>
    <s v="045B77CAA77080"/>
    <s v="CAMUS CAMILLE"/>
    <n v="5"/>
    <x v="0"/>
    <x v="3"/>
    <s v="PLAQUETTES"/>
    <x v="3"/>
    <n v="39.799999999999997"/>
  </r>
  <r>
    <d v="2025-11-04T05:47:11"/>
    <x v="0"/>
    <s v="Plaquettes d'ébauches rhombiques"/>
    <s v="045B77CAA77080"/>
    <s v="CAMUS CAMILLE"/>
    <n v="5"/>
    <x v="0"/>
    <x v="3"/>
    <s v="PLAQUETTES"/>
    <x v="3"/>
    <n v="39.799999999999997"/>
  </r>
  <r>
    <d v="2025-11-04T06:02:08"/>
    <x v="3"/>
    <s v="Plaquettes d'ébauches carrées"/>
    <s v="31224"/>
    <s v="BIDOT MURIEL"/>
    <n v="5"/>
    <x v="1"/>
    <x v="3"/>
    <s v="PLAQUETTES"/>
    <x v="3"/>
    <n v="39.799999999999997"/>
  </r>
  <r>
    <d v="2025-11-04T06:02:22"/>
    <x v="3"/>
    <s v="Plaquettes d'ébauches carrées"/>
    <s v="31224"/>
    <s v="BIDOT MURIEL"/>
    <n v="5"/>
    <x v="1"/>
    <x v="3"/>
    <s v="PLAQUETTES"/>
    <x v="3"/>
    <n v="39.799999999999997"/>
  </r>
  <r>
    <d v="2025-11-04T06:02:34"/>
    <x v="3"/>
    <s v="Plaquettes d'ébauches carrées"/>
    <s v="31224"/>
    <s v="BIDOT MURIEL"/>
    <n v="5"/>
    <x v="1"/>
    <x v="3"/>
    <s v="PLAQUETTES"/>
    <x v="3"/>
    <n v="39.799999999999997"/>
  </r>
  <r>
    <d v="2025-11-04T06:02:47"/>
    <x v="0"/>
    <s v="Plaquettes d'ébauches rhombiques"/>
    <s v="31224"/>
    <s v="BIDOT MURIEL"/>
    <n v="5"/>
    <x v="1"/>
    <x v="3"/>
    <s v="PLAQUETTES"/>
    <x v="3"/>
    <n v="39.799999999999997"/>
  </r>
  <r>
    <d v="2025-11-04T06:02:59"/>
    <x v="0"/>
    <s v="Plaquettes d'ébauches rhombiques"/>
    <s v="31224"/>
    <s v="BIDOT MURIEL"/>
    <n v="5"/>
    <x v="1"/>
    <x v="3"/>
    <s v="PLAQUETTES"/>
    <x v="3"/>
    <n v="39.799999999999997"/>
  </r>
  <r>
    <d v="2025-11-04T06:03:11"/>
    <x v="0"/>
    <s v="Plaquettes d'ébauches rhombiques"/>
    <s v="31224"/>
    <s v="BIDOT MURIEL"/>
    <n v="5"/>
    <x v="1"/>
    <x v="3"/>
    <s v="PLAQUETTES"/>
    <x v="3"/>
    <n v="39.799999999999997"/>
  </r>
  <r>
    <d v="2025-11-04T06:03:30"/>
    <x v="6"/>
    <s v="Plaquettes de finition triangulaires"/>
    <s v="31224"/>
    <s v="BIDOT MURIEL"/>
    <n v="5"/>
    <x v="1"/>
    <x v="2"/>
    <s v="PLAQUETTES"/>
    <x v="3"/>
    <n v="48.7"/>
  </r>
  <r>
    <d v="2025-11-04T06:03:44"/>
    <x v="2"/>
    <s v="Plaquettes de finition carrées"/>
    <s v="31224"/>
    <s v="BIDOT MURIEL"/>
    <n v="5"/>
    <x v="1"/>
    <x v="2"/>
    <s v="PLAQUETTES"/>
    <x v="3"/>
    <n v="47.8"/>
  </r>
  <r>
    <d v="2025-11-04T06:04:00"/>
    <x v="2"/>
    <s v="Plaquettes de finition carrées"/>
    <s v="31224"/>
    <s v="BIDOT MURIEL"/>
    <n v="5"/>
    <x v="1"/>
    <x v="2"/>
    <s v="PLAQUETTES"/>
    <x v="3"/>
    <n v="47.8"/>
  </r>
  <r>
    <d v="2025-11-04T08:24:05"/>
    <x v="0"/>
    <s v="Plaquettes d'ébauches rhombiques"/>
    <s v="045B77CAA77080"/>
    <s v="CAMUS CAMILLE"/>
    <n v="5"/>
    <x v="0"/>
    <x v="3"/>
    <s v="PLAQUETTES"/>
    <x v="3"/>
    <n v="39.799999999999997"/>
  </r>
  <r>
    <d v="2025-11-04T08:24:18"/>
    <x v="3"/>
    <s v="Plaquettes d'ébauches carrées"/>
    <s v="045B77CAA77080"/>
    <s v="CAMUS CAMILLE"/>
    <n v="5"/>
    <x v="0"/>
    <x v="3"/>
    <s v="PLAQUETTES"/>
    <x v="3"/>
    <n v="39.799999999999997"/>
  </r>
  <r>
    <d v="2025-11-05T03:12:33"/>
    <x v="2"/>
    <s v="Plaquettes de finition carrées"/>
    <s v="7236310"/>
    <s v="OZYURT IREM"/>
    <n v="5"/>
    <x v="0"/>
    <x v="2"/>
    <s v="PLAQUETTES"/>
    <x v="3"/>
    <n v="47.8"/>
  </r>
  <r>
    <d v="2025-11-05T03:12:50"/>
    <x v="2"/>
    <s v="Plaquettes de finition carrées"/>
    <s v="7236310"/>
    <s v="OZYURT IREM"/>
    <n v="5"/>
    <x v="1"/>
    <x v="2"/>
    <s v="PLAQUETTES"/>
    <x v="3"/>
    <n v="47.8"/>
  </r>
  <r>
    <d v="2025-11-05T05:25:50"/>
    <x v="3"/>
    <s v="Plaquettes d'ébauches carrées"/>
    <s v="31224"/>
    <s v="BIDOT MURIEL"/>
    <n v="5"/>
    <x v="1"/>
    <x v="3"/>
    <s v="PLAQUETTES"/>
    <x v="3"/>
    <n v="39.799999999999997"/>
  </r>
  <r>
    <d v="2025-11-05T05:26:08"/>
    <x v="3"/>
    <s v="Plaquettes d'ébauches carrées"/>
    <s v="31224"/>
    <s v="BIDOT MURIEL"/>
    <n v="5"/>
    <x v="1"/>
    <x v="3"/>
    <s v="PLAQUETTES"/>
    <x v="3"/>
    <n v="39.799999999999997"/>
  </r>
  <r>
    <d v="2025-11-05T05:26:23"/>
    <x v="0"/>
    <s v="Plaquettes d'ébauches rhombiques"/>
    <s v="31224"/>
    <s v="BIDOT MURIEL"/>
    <n v="5"/>
    <x v="1"/>
    <x v="3"/>
    <s v="PLAQUETTES"/>
    <x v="3"/>
    <n v="39.799999999999997"/>
  </r>
  <r>
    <d v="2025-11-05T05:26:36"/>
    <x v="0"/>
    <s v="Plaquettes d'ébauches rhombiques"/>
    <s v="31224"/>
    <s v="BIDOT MURIEL"/>
    <n v="5"/>
    <x v="1"/>
    <x v="3"/>
    <s v="PLAQUETTES"/>
    <x v="3"/>
    <n v="39.799999999999997"/>
  </r>
  <r>
    <d v="2025-11-05T05:26:49"/>
    <x v="0"/>
    <s v="Plaquettes d'ébauches rhombiques"/>
    <s v="31224"/>
    <s v="BIDOT MURIEL"/>
    <n v="5"/>
    <x v="1"/>
    <x v="3"/>
    <s v="PLAQUETTES"/>
    <x v="3"/>
    <n v="39.799999999999997"/>
  </r>
  <r>
    <d v="2025-11-05T05:27:06"/>
    <x v="5"/>
    <s v="Plaquettes de finition"/>
    <s v="31224"/>
    <s v="BIDOT MURIEL"/>
    <n v="5"/>
    <x v="1"/>
    <x v="2"/>
    <s v="PLAQUETTES"/>
    <x v="3"/>
    <n v="42.5"/>
  </r>
  <r>
    <d v="2025-11-05T05:27:18"/>
    <x v="2"/>
    <s v="Plaquettes de finition carrées"/>
    <s v="31224"/>
    <s v="BIDOT MURIEL"/>
    <n v="5"/>
    <x v="1"/>
    <x v="2"/>
    <s v="PLAQUETTES"/>
    <x v="3"/>
    <n v="47.8"/>
  </r>
  <r>
    <d v="2025-11-05T05:27:29"/>
    <x v="2"/>
    <s v="Plaquettes de finition carrées"/>
    <s v="31224"/>
    <s v="BIDOT MURIEL"/>
    <n v="5"/>
    <x v="1"/>
    <x v="2"/>
    <s v="PLAQUETTES"/>
    <x v="3"/>
    <n v="47.8"/>
  </r>
  <r>
    <d v="2025-11-05T06:19:14"/>
    <x v="0"/>
    <s v="Plaquettes d'ébauches rhombiques"/>
    <s v="045B77CAA77080"/>
    <s v="CAMUS CAMILLE"/>
    <n v="5"/>
    <x v="0"/>
    <x v="3"/>
    <s v="PLAQUETTES"/>
    <x v="3"/>
    <n v="39.799999999999997"/>
  </r>
  <r>
    <d v="2025-11-05T06:19:29"/>
    <x v="0"/>
    <s v="Plaquettes d'ébauches rhombiques"/>
    <s v="045B77CAA77080"/>
    <s v="CAMUS CAMILLE"/>
    <n v="5"/>
    <x v="0"/>
    <x v="3"/>
    <s v="PLAQUETTES"/>
    <x v="3"/>
    <n v="39.799999999999997"/>
  </r>
  <r>
    <d v="2025-11-05T06:19:43"/>
    <x v="0"/>
    <s v="Plaquettes d'ébauches rhombiques"/>
    <s v="045B77CAA77080"/>
    <s v="CAMUS CAMILLE"/>
    <n v="5"/>
    <x v="0"/>
    <x v="0"/>
    <s v="PLAQUETTES"/>
    <x v="3"/>
    <n v="39.799999999999997"/>
  </r>
  <r>
    <d v="2025-11-05T06:20:04"/>
    <x v="3"/>
    <s v="Plaquettes d'ébauches carrées"/>
    <s v="045B77CAA77080"/>
    <s v="CAMUS CAMILLE"/>
    <n v="5"/>
    <x v="0"/>
    <x v="3"/>
    <s v="PLAQUETTES"/>
    <x v="3"/>
    <n v="39.799999999999997"/>
  </r>
  <r>
    <d v="2025-11-05T06:20:18"/>
    <x v="3"/>
    <s v="Plaquettes d'ébauches carrées"/>
    <s v="045B77CAA77080"/>
    <s v="CAMUS CAMILLE"/>
    <n v="5"/>
    <x v="0"/>
    <x v="3"/>
    <s v="PLAQUETTES"/>
    <x v="3"/>
    <n v="39.799999999999997"/>
  </r>
  <r>
    <d v="2025-11-05T06:20:30"/>
    <x v="3"/>
    <s v="Plaquettes d'ébauches carrées"/>
    <s v="045B77CAA77080"/>
    <s v="CAMUS CAMILLE"/>
    <n v="5"/>
    <x v="0"/>
    <x v="3"/>
    <s v="PLAQUETTES"/>
    <x v="3"/>
    <n v="39.799999999999997"/>
  </r>
  <r>
    <d v="2025-11-05T11:05:45"/>
    <x v="10"/>
    <s v="Plaquettes TPGX0902ZPRGD KC7315"/>
    <s v="12824586"/>
    <s v="DASILVA FERNANDO"/>
    <n v="10"/>
    <x v="0"/>
    <x v="1"/>
    <s v="PLAQUETTES"/>
    <x v="1"/>
    <n v="81.5"/>
  </r>
  <r>
    <d v="2025-11-05T22:26:34"/>
    <x v="2"/>
    <s v="Plaquettes de finition carrées"/>
    <s v="7236310"/>
    <s v="OZYURT IREM"/>
    <n v="5"/>
    <x v="0"/>
    <x v="2"/>
    <s v="PLAQUETTES"/>
    <x v="3"/>
    <n v="47.8"/>
  </r>
  <r>
    <d v="2025-11-05T22:26:47"/>
    <x v="2"/>
    <s v="Plaquettes de finition carrées"/>
    <s v="7236310"/>
    <s v="OZYURT IREM"/>
    <n v="5"/>
    <x v="1"/>
    <x v="2"/>
    <s v="PLAQUETTES"/>
    <x v="3"/>
    <n v="47.8"/>
  </r>
  <r>
    <d v="2025-11-06T04:39:36"/>
    <x v="0"/>
    <s v="Plaquettes d'ébauches rhombiques"/>
    <s v="090225"/>
    <s v="MEYER THOMAS"/>
    <n v="5"/>
    <x v="1"/>
    <x v="3"/>
    <s v="PLAQUETTES"/>
    <x v="3"/>
    <n v="39.799999999999997"/>
  </r>
  <r>
    <d v="2025-11-06T04:39:48"/>
    <x v="0"/>
    <s v="Plaquettes d'ébauches rhombiques"/>
    <s v="090225"/>
    <s v="MEYER THOMAS"/>
    <n v="5"/>
    <x v="0"/>
    <x v="3"/>
    <s v="PLAQUETTES"/>
    <x v="3"/>
    <n v="39.799999999999997"/>
  </r>
  <r>
    <d v="2025-11-06T04:40:02"/>
    <x v="0"/>
    <s v="Plaquettes d'ébauches rhombiques"/>
    <s v="090225"/>
    <s v="MEYER THOMAS"/>
    <n v="5"/>
    <x v="1"/>
    <x v="0"/>
    <s v="PLAQUETTES"/>
    <x v="3"/>
    <n v="39.799999999999997"/>
  </r>
  <r>
    <d v="2025-11-06T05:59:21"/>
    <x v="2"/>
    <s v="Plaquettes de finition carrées"/>
    <s v="045B77CAA77080"/>
    <s v="CAMUS CAMILLE"/>
    <n v="5"/>
    <x v="0"/>
    <x v="2"/>
    <s v="PLAQUETTES"/>
    <x v="3"/>
    <n v="47.8"/>
  </r>
  <r>
    <d v="2025-11-06T05:59:39"/>
    <x v="0"/>
    <s v="Plaquettes d'ébauches rhombiques"/>
    <s v="045B77CAA77080"/>
    <s v="CAMUS CAMILLE"/>
    <n v="5"/>
    <x v="0"/>
    <x v="3"/>
    <s v="PLAQUETTES"/>
    <x v="3"/>
    <n v="39.799999999999997"/>
  </r>
  <r>
    <d v="2025-11-06T05:59:56"/>
    <x v="0"/>
    <s v="Plaquettes d'ébauches rhombiques"/>
    <s v="045B77CAA77080"/>
    <s v="CAMUS CAMILLE"/>
    <n v="5"/>
    <x v="0"/>
    <x v="0"/>
    <s v="PLAQUETTES"/>
    <x v="3"/>
    <n v="39.799999999999997"/>
  </r>
  <r>
    <d v="2025-11-06T13:25:05"/>
    <x v="5"/>
    <s v="Plaquettes de finition"/>
    <s v="040E47C25C7780"/>
    <s v="PARINGAUX CARROLANE"/>
    <n v="5"/>
    <x v="1"/>
    <x v="2"/>
    <s v="PLAQUETTES"/>
    <x v="3"/>
    <n v="42.5"/>
  </r>
  <r>
    <d v="2025-11-06T13:25:19"/>
    <x v="6"/>
    <s v="Plaquettes de finition triangulaires"/>
    <s v="040E47C25C7780"/>
    <s v="PARINGAUX CARROLANE"/>
    <n v="5"/>
    <x v="1"/>
    <x v="2"/>
    <s v="PLAQUETTES"/>
    <x v="3"/>
    <n v="48.7"/>
  </r>
  <r>
    <d v="2025-11-06T13:25:32"/>
    <x v="2"/>
    <s v="Plaquettes de finition carrées"/>
    <s v="040E47C25C7780"/>
    <s v="PARINGAUX CARROLANE"/>
    <n v="5"/>
    <x v="1"/>
    <x v="2"/>
    <s v="PLAQUETTES"/>
    <x v="3"/>
    <n v="47.8"/>
  </r>
  <r>
    <d v="2025-11-07T02:10:02"/>
    <x v="2"/>
    <s v="Plaquettes de finition carrées"/>
    <s v="7236310"/>
    <s v="OZYURT IREM"/>
    <n v="5"/>
    <x v="0"/>
    <x v="2"/>
    <s v="PLAQUETTES"/>
    <x v="3"/>
    <n v="47.8"/>
  </r>
  <r>
    <d v="2025-11-07T05:24:29"/>
    <x v="3"/>
    <s v="Plaquettes d'ébauches carrées"/>
    <s v="U509351"/>
    <s v="DELIAT CHRISTOPHE"/>
    <n v="5"/>
    <x v="0"/>
    <x v="3"/>
    <s v="PLAQUETTES"/>
    <x v="3"/>
    <n v="39.799999999999997"/>
  </r>
  <r>
    <d v="2025-11-07T05:24:47"/>
    <x v="0"/>
    <s v="Plaquettes d'ébauches rhombiques"/>
    <s v="U509351"/>
    <s v="DELIAT CHRISTOPHE"/>
    <n v="5"/>
    <x v="0"/>
    <x v="3"/>
    <s v="PLAQUETTES"/>
    <x v="3"/>
    <n v="39.799999999999997"/>
  </r>
  <r>
    <d v="2025-11-07T05:25:02"/>
    <x v="3"/>
    <s v="Plaquettes d'ébauches carrées"/>
    <s v="U509351"/>
    <s v="DELIAT CHRISTOPHE"/>
    <n v="5"/>
    <x v="0"/>
    <x v="0"/>
    <s v="PLAQUETTES"/>
    <x v="3"/>
    <n v="39.799999999999997"/>
  </r>
  <r>
    <d v="2025-11-07T05:25:22"/>
    <x v="0"/>
    <s v="Plaquettes d'ébauches rhombiques"/>
    <s v="U509351"/>
    <s v="DELIAT CHRISTOPHE"/>
    <n v="5"/>
    <x v="0"/>
    <x v="0"/>
    <s v="PLAQUETTES"/>
    <x v="3"/>
    <n v="39.799999999999997"/>
  </r>
  <r>
    <d v="2025-11-07T05:25:40"/>
    <x v="3"/>
    <s v="Plaquettes d'ébauches carrées"/>
    <s v="U509351"/>
    <s v="DELIAT CHRISTOPHE"/>
    <n v="5"/>
    <x v="1"/>
    <x v="3"/>
    <s v="PLAQUETTES"/>
    <x v="3"/>
    <n v="39.799999999999997"/>
  </r>
  <r>
    <d v="2025-11-07T05:25:54"/>
    <x v="0"/>
    <s v="Plaquettes d'ébauches rhombiques"/>
    <s v="U509351"/>
    <s v="DELIAT CHRISTOPHE"/>
    <n v="5"/>
    <x v="1"/>
    <x v="3"/>
    <s v="PLAQUETTES"/>
    <x v="3"/>
    <n v="39.799999999999997"/>
  </r>
  <r>
    <d v="2025-11-07T05:26:15"/>
    <x v="3"/>
    <s v="Plaquettes d'ébauches carrées"/>
    <s v="U509351"/>
    <s v="DELIAT CHRISTOPHE"/>
    <n v="5"/>
    <x v="1"/>
    <x v="0"/>
    <s v="PLAQUETTES"/>
    <x v="3"/>
    <n v="39.799999999999997"/>
  </r>
  <r>
    <d v="2025-11-07T05:26:31"/>
    <x v="0"/>
    <s v="Plaquettes d'ébauches rhombiques"/>
    <s v="U509351"/>
    <s v="DELIAT CHRISTOPHE"/>
    <n v="5"/>
    <x v="1"/>
    <x v="0"/>
    <s v="PLAQUETTES"/>
    <x v="3"/>
    <n v="39.799999999999997"/>
  </r>
  <r>
    <d v="2025-11-07T05:47:24"/>
    <x v="2"/>
    <s v="Plaquettes de finition carrées"/>
    <s v="U080365"/>
    <s v="ALAVOINE SAMUEL"/>
    <n v="5"/>
    <x v="1"/>
    <x v="2"/>
    <s v="PLAQUETTES"/>
    <x v="3"/>
    <n v="47.8"/>
  </r>
  <r>
    <d v="2025-11-07T09:57:27"/>
    <x v="3"/>
    <s v="Plaquettes d'ébauches carrées"/>
    <s v="U509351"/>
    <s v="DELIAT CHRISTOPHE"/>
    <n v="5"/>
    <x v="1"/>
    <x v="3"/>
    <s v="PLAQUETTES"/>
    <x v="3"/>
    <n v="39.799999999999997"/>
  </r>
  <r>
    <d v="2025-11-07T09:57:55"/>
    <x v="0"/>
    <s v="Plaquettes d'ébauches rhombiques"/>
    <s v="U509351"/>
    <s v="DELIAT CHRISTOPHE"/>
    <n v="5"/>
    <x v="1"/>
    <x v="3"/>
    <s v="PLAQUETTES"/>
    <x v="3"/>
    <n v="39.799999999999997"/>
  </r>
  <r>
    <d v="2025-11-07T21:37:44"/>
    <x v="2"/>
    <s v="Plaquettes de finition carrées"/>
    <s v="7236310"/>
    <s v="OZYURT IREM"/>
    <n v="5"/>
    <x v="0"/>
    <x v="2"/>
    <s v="PLAQUETTES"/>
    <x v="3"/>
    <n v="47.8"/>
  </r>
  <r>
    <d v="2025-11-07T21:37:59"/>
    <x v="2"/>
    <s v="Plaquettes de finition carrées"/>
    <s v="7236310"/>
    <s v="OZYURT IREM"/>
    <n v="5"/>
    <x v="1"/>
    <x v="2"/>
    <s v="PLAQUETTES"/>
    <x v="3"/>
    <n v="47.8"/>
  </r>
  <r>
    <d v="2025-11-07T21:43:15"/>
    <x v="4"/>
    <s v="Plaquettes de gorges"/>
    <s v="090225"/>
    <s v="MEYER THOMAS"/>
    <n v="10"/>
    <x v="0"/>
    <x v="0"/>
    <s v="PLAQUETTES"/>
    <x v="0"/>
    <n v="188"/>
  </r>
  <r>
    <d v="2025-11-08T03:43:45"/>
    <x v="2"/>
    <s v="Plaquettes de finition carrées"/>
    <s v="7236310"/>
    <s v="OZYURT IREM"/>
    <n v="5"/>
    <x v="0"/>
    <x v="2"/>
    <s v="PLAQUETTES"/>
    <x v="0"/>
    <n v="47.8"/>
  </r>
  <r>
    <d v="2025-11-08T05:13:41"/>
    <x v="3"/>
    <s v="Plaquettes d'ébauches carrées"/>
    <s v="U509351"/>
    <s v="DELIAT CHRISTOPHE"/>
    <n v="5"/>
    <x v="0"/>
    <x v="3"/>
    <s v="PLAQUETTES"/>
    <x v="0"/>
    <n v="39.799999999999997"/>
  </r>
  <r>
    <d v="2025-11-08T05:14:00"/>
    <x v="0"/>
    <s v="Plaquettes d'ébauches rhombiques"/>
    <s v="U509351"/>
    <s v="DELIAT CHRISTOPHE"/>
    <n v="5"/>
    <x v="0"/>
    <x v="3"/>
    <s v="PLAQUETTES"/>
    <x v="0"/>
    <n v="39.799999999999997"/>
  </r>
  <r>
    <d v="2025-11-08T05:14:19"/>
    <x v="4"/>
    <s v="Plaquettes de gorges"/>
    <s v="U509351"/>
    <s v="DELIAT CHRISTOPHE"/>
    <n v="10"/>
    <x v="0"/>
    <x v="0"/>
    <s v="PLAQUETTES"/>
    <x v="0"/>
    <n v="188"/>
  </r>
  <r>
    <d v="2025-11-08T05:14:37"/>
    <x v="3"/>
    <s v="Plaquettes d'ébauches carrées"/>
    <s v="U509351"/>
    <s v="DELIAT CHRISTOPHE"/>
    <n v="5"/>
    <x v="0"/>
    <x v="0"/>
    <s v="PLAQUETTES"/>
    <x v="0"/>
    <n v="39.799999999999997"/>
  </r>
  <r>
    <d v="2025-11-08T05:14:58"/>
    <x v="0"/>
    <s v="Plaquettes d'ébauches rhombiques"/>
    <s v="U509351"/>
    <s v="DELIAT CHRISTOPHE"/>
    <n v="5"/>
    <x v="0"/>
    <x v="0"/>
    <s v="PLAQUETTES"/>
    <x v="0"/>
    <n v="39.799999999999997"/>
  </r>
  <r>
    <d v="2025-11-08T05:15:34"/>
    <x v="2"/>
    <s v="Plaquettes de finition carrées"/>
    <s v="U509351"/>
    <s v="DELIAT CHRISTOPHE"/>
    <n v="5"/>
    <x v="0"/>
    <x v="2"/>
    <s v="PLAQUETTES"/>
    <x v="0"/>
    <n v="47.8"/>
  </r>
  <r>
    <d v="2025-11-08T05:15:55"/>
    <x v="3"/>
    <s v="Plaquettes d'ébauches carrées"/>
    <s v="U509351"/>
    <s v="DELIAT CHRISTOPHE"/>
    <n v="5"/>
    <x v="1"/>
    <x v="3"/>
    <s v="PLAQUETTES"/>
    <x v="3"/>
    <n v="39.799999999999997"/>
  </r>
  <r>
    <d v="2025-11-08T05:16:11"/>
    <x v="0"/>
    <s v="Plaquettes d'ébauches rhombiques"/>
    <s v="U509351"/>
    <s v="DELIAT CHRISTOPHE"/>
    <n v="5"/>
    <x v="1"/>
    <x v="3"/>
    <s v="PLAQUETTES"/>
    <x v="3"/>
    <n v="39.799999999999997"/>
  </r>
  <r>
    <d v="2025-11-08T05:17:32"/>
    <x v="2"/>
    <s v="Plaquettes de finition carrées"/>
    <s v="U509351"/>
    <s v="DELIAT CHRISTOPHE"/>
    <n v="5"/>
    <x v="1"/>
    <x v="2"/>
    <s v="PLAQUETTES"/>
    <x v="3"/>
    <n v="47.8"/>
  </r>
  <r>
    <d v="2025-11-08T07:46:06"/>
    <x v="3"/>
    <s v="Plaquettes d'ébauches carrées"/>
    <s v="U509351"/>
    <s v="DELIAT CHRISTOPHE"/>
    <n v="5"/>
    <x v="1"/>
    <x v="0"/>
    <s v="PLAQUETTES"/>
    <x v="3"/>
    <n v="39.799999999999997"/>
  </r>
  <r>
    <d v="2025-11-08T07:46:21"/>
    <x v="0"/>
    <s v="Plaquettes d'ébauches rhombiques"/>
    <s v="U509351"/>
    <s v="DELIAT CHRISTOPHE"/>
    <n v="5"/>
    <x v="1"/>
    <x v="0"/>
    <s v="PLAQUETTES"/>
    <x v="3"/>
    <n v="39.799999999999997"/>
  </r>
  <r>
    <d v="2025-11-10T12:41:41"/>
    <x v="3"/>
    <s v="Plaquettes d'ébauches carrées"/>
    <s v="040E47C25C7780"/>
    <s v="PARINGAUX CARROLANE"/>
    <n v="5"/>
    <x v="0"/>
    <x v="0"/>
    <s v="PLAQUETTES"/>
    <x v="0"/>
    <n v="39.799999999999997"/>
  </r>
  <r>
    <d v="2025-11-10T12:41:55"/>
    <x v="0"/>
    <s v="Plaquettes d'ébauches rhombiques"/>
    <s v="040E47C25C7780"/>
    <s v="PARINGAUX CARROLANE"/>
    <n v="5"/>
    <x v="0"/>
    <x v="0"/>
    <s v="PLAQUETTES"/>
    <x v="0"/>
    <n v="39.799999999999997"/>
  </r>
  <r>
    <d v="2025-11-10T12:42:10"/>
    <x v="4"/>
    <s v="Plaquettes de gorges"/>
    <s v="040E47C25C7780"/>
    <s v="PARINGAUX CARROLANE"/>
    <n v="10"/>
    <x v="0"/>
    <x v="0"/>
    <s v="PLAQUETTES"/>
    <x v="0"/>
    <n v="188"/>
  </r>
  <r>
    <d v="2025-11-10T12:42:25"/>
    <x v="2"/>
    <s v="Plaquettes de finition carrées"/>
    <s v="040E47C25C7780"/>
    <s v="PARINGAUX CARROLANE"/>
    <n v="5"/>
    <x v="0"/>
    <x v="2"/>
    <s v="PLAQUETTES"/>
    <x v="0"/>
    <n v="47.8"/>
  </r>
  <r>
    <d v="2025-11-12T08:17:30"/>
    <x v="3"/>
    <s v="Plaquettes d'ébauches carrées"/>
    <s v="044835C25C7780"/>
    <s v="GONIN VINCENT"/>
    <n v="5"/>
    <x v="0"/>
    <x v="3"/>
    <s v="PLAQUETTES"/>
    <x v="0"/>
    <n v="39.799999999999997"/>
  </r>
  <r>
    <d v="2025-11-12T08:46:30"/>
    <x v="9"/>
    <s v="EMBOUT KENTIP D8.6"/>
    <s v="020824"/>
    <s v="DASILVA AFONSO RENAUD"/>
    <n v="2"/>
    <x v="0"/>
    <x v="1"/>
    <s v="PLAQUETTES"/>
    <x v="1"/>
    <n v="100"/>
  </r>
  <r>
    <d v="2025-11-12T08:46:46"/>
    <x v="1"/>
    <s v="EMBOUT KENTIP D13.3"/>
    <s v="020824"/>
    <s v="DASILVA AFONSO RENAUD"/>
    <n v="2"/>
    <x v="0"/>
    <x v="1"/>
    <s v="PLAQUETTES"/>
    <x v="1"/>
    <n v="93.9"/>
  </r>
  <r>
    <d v="2025-11-12T13:39:05"/>
    <x v="3"/>
    <s v="Plaquettes d'ébauches carrées"/>
    <s v="31224"/>
    <s v="BIDOT MURIEL"/>
    <n v="5"/>
    <x v="1"/>
    <x v="3"/>
    <s v="PLAQUETTES"/>
    <x v="3"/>
    <n v="39.799999999999997"/>
  </r>
  <r>
    <d v="2025-11-12T13:39:21"/>
    <x v="0"/>
    <s v="Plaquettes d'ébauches rhombiques"/>
    <s v="31224"/>
    <s v="BIDOT MURIEL"/>
    <n v="5"/>
    <x v="1"/>
    <x v="3"/>
    <s v="PLAQUETTES"/>
    <x v="3"/>
    <n v="39.799999999999997"/>
  </r>
  <r>
    <d v="2025-11-12T13:39:35"/>
    <x v="0"/>
    <s v="Plaquettes d'ébauches rhombiques"/>
    <s v="31224"/>
    <s v="BIDOT MURIEL"/>
    <n v="5"/>
    <x v="1"/>
    <x v="3"/>
    <s v="PLAQUETTES"/>
    <x v="3"/>
    <n v="39.799999999999997"/>
  </r>
  <r>
    <d v="2025-11-12T13:39:48"/>
    <x v="0"/>
    <s v="Plaquettes d'ébauches rhombiques"/>
    <s v="31224"/>
    <s v="BIDOT MURIEL"/>
    <n v="5"/>
    <x v="1"/>
    <x v="3"/>
    <s v="PLAQUETTES"/>
    <x v="3"/>
    <n v="39.799999999999997"/>
  </r>
  <r>
    <d v="2025-11-12T13:40:02"/>
    <x v="2"/>
    <s v="Plaquettes de finition carrées"/>
    <s v="31224"/>
    <s v="BIDOT MURIEL"/>
    <n v="5"/>
    <x v="1"/>
    <x v="2"/>
    <s v="PLAQUETTES"/>
    <x v="3"/>
    <n v="47.8"/>
  </r>
  <r>
    <d v="2025-11-12T13:40:14"/>
    <x v="2"/>
    <s v="Plaquettes de finition carrées"/>
    <s v="31224"/>
    <s v="BIDOT MURIEL"/>
    <n v="5"/>
    <x v="1"/>
    <x v="2"/>
    <s v="PLAQUETTES"/>
    <x v="3"/>
    <n v="47.8"/>
  </r>
  <r>
    <d v="2025-11-12T20:24:53"/>
    <x v="3"/>
    <s v="Plaquettes d'ébauches carrées"/>
    <s v="045B77CAA77080"/>
    <s v="CAMUS CAMILLE"/>
    <n v="5"/>
    <x v="0"/>
    <x v="0"/>
    <s v="PLAQUETTES"/>
    <x v="0"/>
    <n v="39.799999999999997"/>
  </r>
  <r>
    <d v="2025-11-12T20:25:07"/>
    <x v="0"/>
    <s v="Plaquettes d'ébauches rhombiques"/>
    <s v="045B77CAA77080"/>
    <s v="CAMUS CAMILLE"/>
    <n v="5"/>
    <x v="0"/>
    <x v="0"/>
    <s v="PLAQUETTES"/>
    <x v="0"/>
    <n v="39.799999999999997"/>
  </r>
  <r>
    <d v="2025-11-13T02:17:52"/>
    <x v="2"/>
    <s v="Plaquettes de finition carrées"/>
    <s v="7236310"/>
    <s v="OZYURT IREM"/>
    <n v="5"/>
    <x v="0"/>
    <x v="2"/>
    <s v="PLAQUETTES"/>
    <x v="0"/>
    <n v="47.8"/>
  </r>
  <r>
    <d v="2025-11-13T04:03:22"/>
    <x v="2"/>
    <s v="Plaquettes de finition carrées"/>
    <s v="7236310"/>
    <s v="OZYURT IREM"/>
    <n v="5"/>
    <x v="1"/>
    <x v="2"/>
    <s v="PLAQUETTES"/>
    <x v="3"/>
    <n v="47.8"/>
  </r>
  <r>
    <d v="2025-11-13T04:03:43"/>
    <x v="6"/>
    <s v="Plaquettes de finition triangulaires"/>
    <s v="7236310"/>
    <s v="OZYURT IREM"/>
    <n v="5"/>
    <x v="1"/>
    <x v="2"/>
    <s v="PLAQUETTES"/>
    <x v="3"/>
    <n v="48.7"/>
  </r>
  <r>
    <d v="2025-11-13T05:30:30"/>
    <x v="0"/>
    <s v="Plaquettes d'ébauches rhombiques"/>
    <s v="040E47C25C7780"/>
    <s v="PARINGAUX CARROLANE"/>
    <n v="5"/>
    <x v="1"/>
    <x v="3"/>
    <s v="PLAQUETTES"/>
    <x v="3"/>
    <n v="39.799999999999997"/>
  </r>
  <r>
    <d v="2025-11-13T05:42:33"/>
    <x v="4"/>
    <s v="Plaquettes de gorges"/>
    <s v="044835C25C7780"/>
    <s v="GONIN VINCENT"/>
    <n v="10"/>
    <x v="0"/>
    <x v="0"/>
    <s v="PLAQUETTES"/>
    <x v="0"/>
    <n v="188"/>
  </r>
  <r>
    <d v="2025-11-13T05:43:01"/>
    <x v="3"/>
    <s v="Plaquettes d'ébauches carrées"/>
    <s v="044835C25C7780"/>
    <s v="GONIN VINCENT"/>
    <n v="5"/>
    <x v="0"/>
    <x v="0"/>
    <s v="PLAQUETTES"/>
    <x v="0"/>
    <n v="39.799999999999997"/>
  </r>
  <r>
    <d v="2025-11-13T05:43:25"/>
    <x v="3"/>
    <s v="Plaquettes d'ébauches carrées"/>
    <s v="044835C25C7780"/>
    <s v="GONIN VINCENT"/>
    <n v="5"/>
    <x v="0"/>
    <x v="3"/>
    <s v="PLAQUETTES"/>
    <x v="0"/>
    <n v="39.799999999999997"/>
  </r>
  <r>
    <d v="2025-11-13T05:43:48"/>
    <x v="0"/>
    <s v="Plaquettes d'ébauches rhombiques"/>
    <s v="044835C25C7780"/>
    <s v="GONIN VINCENT"/>
    <n v="5"/>
    <x v="0"/>
    <x v="0"/>
    <s v="PLAQUETTES"/>
    <x v="0"/>
    <n v="39.799999999999997"/>
  </r>
  <r>
    <d v="2025-11-13T10:15:09"/>
    <x v="1"/>
    <s v="EMBOUT KENTIP D13.3"/>
    <s v="020824"/>
    <s v="DASILVA AFONSO RENAUD"/>
    <n v="3"/>
    <x v="1"/>
    <x v="1"/>
    <s v="PLAQUETTES"/>
    <x v="1"/>
    <n v="140.85"/>
  </r>
  <r>
    <d v="2025-11-13T10:15:23"/>
    <x v="9"/>
    <s v="EMBOUT KENTIP D8.6"/>
    <s v="020824"/>
    <s v="DASILVA AFONSO RENAUD"/>
    <n v="2"/>
    <x v="1"/>
    <x v="1"/>
    <s v="PLAQUETTES"/>
    <x v="1"/>
    <n v="100"/>
  </r>
  <r>
    <d v="2025-11-13T11:53:00"/>
    <x v="10"/>
    <s v="Plaquettes TPGX0902ZPRGD KC7315"/>
    <s v="020824"/>
    <s v="DASILVA AFONSO RENAUD"/>
    <n v="10"/>
    <x v="1"/>
    <x v="1"/>
    <s v="PLAQUETTES"/>
    <x v="1"/>
    <n v="81.5"/>
  </r>
  <r>
    <d v="2025-11-13T11:53:33"/>
    <x v="1"/>
    <s v="EMBOUT KENTIP D13.3"/>
    <s v="020824"/>
    <s v="DASILVA AFONSO RENAUD"/>
    <n v="1"/>
    <x v="1"/>
    <x v="1"/>
    <s v="PLAQUETTES"/>
    <x v="1"/>
    <n v="46.95"/>
  </r>
  <r>
    <d v="2025-11-13T13:06:51"/>
    <x v="3"/>
    <s v="Plaquettes d'ébauches carrées"/>
    <s v="31224"/>
    <s v="BIDOT MURIEL"/>
    <n v="5"/>
    <x v="1"/>
    <x v="3"/>
    <s v="PLAQUETTES"/>
    <x v="3"/>
    <n v="39.799999999999997"/>
  </r>
  <r>
    <d v="2025-11-13T13:07:05"/>
    <x v="3"/>
    <s v="Plaquettes d'ébauches carrées"/>
    <s v="31224"/>
    <s v="BIDOT MURIEL"/>
    <n v="5"/>
    <x v="1"/>
    <x v="3"/>
    <s v="PLAQUETTES"/>
    <x v="3"/>
    <n v="39.799999999999997"/>
  </r>
  <r>
    <d v="2025-11-13T13:07:20"/>
    <x v="0"/>
    <s v="Plaquettes d'ébauches rhombiques"/>
    <s v="31224"/>
    <s v="BIDOT MURIEL"/>
    <n v="5"/>
    <x v="1"/>
    <x v="3"/>
    <s v="PLAQUETTES"/>
    <x v="3"/>
    <n v="39.799999999999997"/>
  </r>
  <r>
    <d v="2025-11-13T13:07:33"/>
    <x v="0"/>
    <s v="Plaquettes d'ébauches rhombiques"/>
    <s v="31224"/>
    <s v="BIDOT MURIEL"/>
    <n v="5"/>
    <x v="1"/>
    <x v="3"/>
    <s v="PLAQUETTES"/>
    <x v="3"/>
    <n v="39.799999999999997"/>
  </r>
  <r>
    <d v="2025-11-13T13:07:50"/>
    <x v="2"/>
    <s v="Plaquettes de finition carrées"/>
    <s v="31224"/>
    <s v="BIDOT MURIEL"/>
    <n v="5"/>
    <x v="1"/>
    <x v="2"/>
    <s v="PLAQUETTES"/>
    <x v="3"/>
    <n v="47.8"/>
  </r>
  <r>
    <d v="2025-11-13T13:08:05"/>
    <x v="2"/>
    <s v="Plaquettes de finition carrées"/>
    <s v="31224"/>
    <s v="BIDOT MURIEL"/>
    <n v="5"/>
    <x v="1"/>
    <x v="2"/>
    <s v="PLAQUETTES"/>
    <x v="3"/>
    <n v="47.8"/>
  </r>
  <r>
    <d v="2025-11-13T13:08:19"/>
    <x v="6"/>
    <s v="Plaquettes de finition triangulaires"/>
    <s v="31224"/>
    <s v="BIDOT MURIEL"/>
    <n v="5"/>
    <x v="1"/>
    <x v="2"/>
    <s v="PLAQUETTES"/>
    <x v="3"/>
    <n v="48.7"/>
  </r>
  <r>
    <d v="2025-11-13T13:12:24"/>
    <x v="3"/>
    <s v="Plaquettes d'ébauches carrées"/>
    <s v="045B77CAA77080"/>
    <s v="CAMUS CAMILLE"/>
    <n v="5"/>
    <x v="0"/>
    <x v="3"/>
    <s v="PLAQUETTES"/>
    <x v="0"/>
    <n v="39.799999999999997"/>
  </r>
  <r>
    <d v="2025-11-13T13:12:41"/>
    <x v="3"/>
    <s v="Plaquettes d'ébauches carrées"/>
    <s v="045B77CAA77080"/>
    <s v="CAMUS CAMILLE"/>
    <n v="5"/>
    <x v="0"/>
    <x v="3"/>
    <s v="PLAQUETTES"/>
    <x v="0"/>
    <n v="39.799999999999997"/>
  </r>
  <r>
    <d v="2025-11-13T13:12:59"/>
    <x v="0"/>
    <s v="Plaquettes d'ébauches rhombiques"/>
    <s v="045B77CAA77080"/>
    <s v="CAMUS CAMILLE"/>
    <n v="5"/>
    <x v="0"/>
    <x v="0"/>
    <s v="PLAQUETTES"/>
    <x v="0"/>
    <n v="39.799999999999997"/>
  </r>
  <r>
    <d v="2025-11-13T13:13:18"/>
    <x v="2"/>
    <s v="Plaquettes de finition carrées"/>
    <s v="045B77CAA77080"/>
    <s v="CAMUS CAMILLE"/>
    <n v="5"/>
    <x v="0"/>
    <x v="2"/>
    <s v="PLAQUETTES"/>
    <x v="0"/>
    <n v="47.8"/>
  </r>
  <r>
    <d v="2025-11-13T13:13:34"/>
    <x v="2"/>
    <s v="Plaquettes de finition carrées"/>
    <s v="045B77CAA77080"/>
    <s v="CAMUS CAMILLE"/>
    <n v="5"/>
    <x v="0"/>
    <x v="2"/>
    <s v="PLAQUETTES"/>
    <x v="0"/>
    <n v="47.8"/>
  </r>
  <r>
    <d v="2025-11-14T01:41:11"/>
    <x v="4"/>
    <s v="Plaquettes de gorges"/>
    <s v="090225"/>
    <s v="MEYER THOMAS"/>
    <n v="10"/>
    <x v="0"/>
    <x v="0"/>
    <s v="PLAQUETTES"/>
    <x v="0"/>
    <n v="188"/>
  </r>
  <r>
    <d v="2025-11-14T02:18:58"/>
    <x v="3"/>
    <s v="Plaquettes d'ébauches carrées"/>
    <s v="090225"/>
    <s v="MEYER THOMAS"/>
    <n v="5"/>
    <x v="1"/>
    <x v="3"/>
    <s v="PLAQUETTES"/>
    <x v="3"/>
    <n v="39.799999999999997"/>
  </r>
  <r>
    <d v="2025-11-14T02:19:10"/>
    <x v="0"/>
    <s v="Plaquettes d'ébauches rhombiques"/>
    <s v="090225"/>
    <s v="MEYER THOMAS"/>
    <n v="5"/>
    <x v="1"/>
    <x v="3"/>
    <s v="PLAQUETTES"/>
    <x v="3"/>
    <n v="39.799999999999997"/>
  </r>
  <r>
    <d v="2025-11-14T04:02:05"/>
    <x v="2"/>
    <s v="Plaquettes de finition carrées"/>
    <s v="7236310"/>
    <s v="OZYURT IREM"/>
    <n v="5"/>
    <x v="0"/>
    <x v="2"/>
    <s v="PLAQUETTES"/>
    <x v="0"/>
    <n v="47.8"/>
  </r>
  <r>
    <d v="2025-11-14T04:02:31"/>
    <x v="6"/>
    <s v="Plaquettes de finition triangulaires"/>
    <s v="7236310"/>
    <s v="OZYURT IREM"/>
    <n v="5"/>
    <x v="0"/>
    <x v="2"/>
    <s v="PLAQUETTES"/>
    <x v="3"/>
    <n v="48.7"/>
  </r>
  <r>
    <d v="2025-11-14T05:16:14"/>
    <x v="3"/>
    <s v="Plaquettes d'ébauches carrées"/>
    <s v="10301115"/>
    <s v="BOUCHART LUDOVIC"/>
    <n v="5"/>
    <x v="0"/>
    <x v="3"/>
    <s v="PLAQUETTES"/>
    <x v="0"/>
    <n v="39.799999999999997"/>
  </r>
  <r>
    <d v="2025-11-14T05:16:27"/>
    <x v="0"/>
    <s v="Plaquettes d'ébauches rhombiques"/>
    <s v="10301115"/>
    <s v="BOUCHART LUDOVIC"/>
    <n v="5"/>
    <x v="0"/>
    <x v="3"/>
    <s v="PLAQUETTES"/>
    <x v="0"/>
    <n v="39.799999999999997"/>
  </r>
  <r>
    <d v="2025-11-14T05:16:42"/>
    <x v="4"/>
    <s v="Plaquettes de gorges"/>
    <s v="10301115"/>
    <s v="BOUCHART LUDOVIC"/>
    <n v="10"/>
    <x v="0"/>
    <x v="0"/>
    <s v="PLAQUETTES"/>
    <x v="0"/>
    <n v="188"/>
  </r>
  <r>
    <d v="2025-11-14T05:16:58"/>
    <x v="3"/>
    <s v="Plaquettes d'ébauches carrées"/>
    <s v="10301115"/>
    <s v="BOUCHART LUDOVIC"/>
    <n v="5"/>
    <x v="0"/>
    <x v="0"/>
    <s v="PLAQUETTES"/>
    <x v="0"/>
    <n v="39.799999999999997"/>
  </r>
  <r>
    <d v="2025-11-14T05:17:11"/>
    <x v="0"/>
    <s v="Plaquettes d'ébauches rhombiques"/>
    <s v="10301115"/>
    <s v="BOUCHART LUDOVIC"/>
    <n v="5"/>
    <x v="0"/>
    <x v="0"/>
    <s v="PLAQUETTES"/>
    <x v="0"/>
    <n v="39.799999999999997"/>
  </r>
  <r>
    <d v="2025-11-14T05:17:27"/>
    <x v="3"/>
    <s v="Plaquettes d'ébauches carrées"/>
    <s v="10301115"/>
    <s v="BOUCHART LUDOVIC"/>
    <n v="5"/>
    <x v="1"/>
    <x v="3"/>
    <s v="PLAQUETTES"/>
    <x v="3"/>
    <n v="39.799999999999997"/>
  </r>
  <r>
    <d v="2025-11-14T05:17:40"/>
    <x v="0"/>
    <s v="Plaquettes d'ébauches rhombiques"/>
    <s v="10301115"/>
    <s v="BOUCHART LUDOVIC"/>
    <n v="5"/>
    <x v="1"/>
    <x v="3"/>
    <s v="PLAQUETTES"/>
    <x v="3"/>
    <n v="39.799999999999997"/>
  </r>
  <r>
    <d v="2025-11-14T05:17:54"/>
    <x v="3"/>
    <s v="Plaquettes d'ébauches carrées"/>
    <s v="10301115"/>
    <s v="BOUCHART LUDOVIC"/>
    <n v="5"/>
    <x v="1"/>
    <x v="0"/>
    <s v="PLAQUETTES"/>
    <x v="3"/>
    <n v="39.799999999999997"/>
  </r>
  <r>
    <d v="2025-11-14T05:18:08"/>
    <x v="0"/>
    <s v="Plaquettes d'ébauches rhombiques"/>
    <s v="10301115"/>
    <s v="BOUCHART LUDOVIC"/>
    <n v="5"/>
    <x v="1"/>
    <x v="0"/>
    <s v="PLAQUETTES"/>
    <x v="3"/>
    <n v="39.799999999999997"/>
  </r>
  <r>
    <d v="2025-11-14T10:16:59"/>
    <x v="9"/>
    <s v="EMBOUT KENTIP D8.6"/>
    <s v="020824"/>
    <s v="DASILVA AFONSO RENAUD"/>
    <n v="3"/>
    <x v="1"/>
    <x v="1"/>
    <s v="PLAQUETTES"/>
    <x v="1"/>
    <n v="150"/>
  </r>
  <r>
    <d v="2025-11-14T10:17:12"/>
    <x v="1"/>
    <s v="EMBOUT KENTIP D13.3"/>
    <s v="020824"/>
    <s v="DASILVA AFONSO RENAUD"/>
    <n v="2"/>
    <x v="1"/>
    <x v="1"/>
    <s v="PLAQUETTES"/>
    <x v="1"/>
    <n v="93.9"/>
  </r>
  <r>
    <d v="2025-11-14T10:50:45"/>
    <x v="2"/>
    <s v="Plaquettes de finition carrées"/>
    <s v="040E47C25C7780"/>
    <s v="PARINGAUX CARROLANE"/>
    <n v="5"/>
    <x v="1"/>
    <x v="2"/>
    <s v="PLAQUETTES"/>
    <x v="3"/>
    <n v="47.8"/>
  </r>
  <r>
    <d v="2025-11-14T10:50:59"/>
    <x v="5"/>
    <s v="Plaquettes de finition"/>
    <s v="040E47C25C7780"/>
    <s v="PARINGAUX CARROLANE"/>
    <n v="5"/>
    <x v="1"/>
    <x v="2"/>
    <s v="PLAQUETTES"/>
    <x v="3"/>
    <n v="42.5"/>
  </r>
  <r>
    <d v="2025-11-14T10:51:15"/>
    <x v="0"/>
    <s v="Plaquettes d'ébauches rhombiques"/>
    <s v="040E47C25C7780"/>
    <s v="PARINGAUX CARROLANE"/>
    <n v="5"/>
    <x v="0"/>
    <x v="2"/>
    <s v="PLAQUETTES"/>
    <x v="0"/>
    <n v="39.799999999999997"/>
  </r>
  <r>
    <d v="2025-11-14T14:15:35"/>
    <x v="2"/>
    <s v="Plaquettes de finition carrées"/>
    <s v="045B77CAA77080"/>
    <s v="CAMUS CAMILLE"/>
    <n v="5"/>
    <x v="0"/>
    <x v="2"/>
    <s v="PLAQUETTES"/>
    <x v="0"/>
    <n v="47.8"/>
  </r>
  <r>
    <d v="2025-11-14T21:22:48"/>
    <x v="2"/>
    <s v="Plaquettes de finition carrées"/>
    <s v="7236310"/>
    <s v="OZYURT IREM"/>
    <n v="5"/>
    <x v="0"/>
    <x v="2"/>
    <s v="PLAQUETTES"/>
    <x v="3"/>
    <n v="47.8"/>
  </r>
  <r>
    <d v="2025-11-14T21:23:05"/>
    <x v="2"/>
    <s v="Plaquettes de finition carrées"/>
    <s v="7236310"/>
    <s v="OZYURT IREM"/>
    <n v="5"/>
    <x v="1"/>
    <x v="2"/>
    <s v="PLAQUETTES"/>
    <x v="3"/>
    <n v="47.8"/>
  </r>
  <r>
    <d v="2025-11-15T05:21:58"/>
    <x v="3"/>
    <s v="Plaquettes d'ébauches carrées"/>
    <s v="10301115"/>
    <s v="BOUCHART LUDOVIC"/>
    <n v="5"/>
    <x v="0"/>
    <x v="3"/>
    <s v="PLAQUETTES"/>
    <x v="0"/>
    <n v="39.799999999999997"/>
  </r>
  <r>
    <d v="2025-11-15T05:22:16"/>
    <x v="0"/>
    <s v="Plaquettes d'ébauches rhombiques"/>
    <s v="10301115"/>
    <s v="BOUCHART LUDOVIC"/>
    <n v="5"/>
    <x v="0"/>
    <x v="3"/>
    <s v="PLAQUETTES"/>
    <x v="0"/>
    <n v="39.799999999999997"/>
  </r>
  <r>
    <d v="2025-11-15T05:22:32"/>
    <x v="4"/>
    <s v="Plaquettes de gorges"/>
    <s v="10301115"/>
    <s v="BOUCHART LUDOVIC"/>
    <n v="10"/>
    <x v="0"/>
    <x v="0"/>
    <s v="PLAQUETTES"/>
    <x v="0"/>
    <n v="188"/>
  </r>
  <r>
    <d v="2025-11-15T05:22:45"/>
    <x v="3"/>
    <s v="Plaquettes d'ébauches carrées"/>
    <s v="10301115"/>
    <s v="BOUCHART LUDOVIC"/>
    <n v="5"/>
    <x v="0"/>
    <x v="0"/>
    <s v="PLAQUETTES"/>
    <x v="0"/>
    <n v="39.799999999999997"/>
  </r>
  <r>
    <d v="2025-11-15T05:23:01"/>
    <x v="0"/>
    <s v="Plaquettes d'ébauches rhombiques"/>
    <s v="10301115"/>
    <s v="BOUCHART LUDOVIC"/>
    <n v="5"/>
    <x v="0"/>
    <x v="0"/>
    <s v="PLAQUETTES"/>
    <x v="0"/>
    <n v="39.799999999999997"/>
  </r>
  <r>
    <d v="2025-11-15T05:23:18"/>
    <x v="2"/>
    <s v="Plaquettes de finition carrées"/>
    <s v="10301115"/>
    <s v="BOUCHART LUDOVIC"/>
    <n v="5"/>
    <x v="0"/>
    <x v="2"/>
    <s v="PLAQUETTES"/>
    <x v="0"/>
    <n v="47.8"/>
  </r>
  <r>
    <d v="2025-11-15T05:23:34"/>
    <x v="3"/>
    <s v="Plaquettes d'ébauches carrées"/>
    <s v="10301115"/>
    <s v="BOUCHART LUDOVIC"/>
    <n v="5"/>
    <x v="1"/>
    <x v="3"/>
    <s v="PLAQUETTES"/>
    <x v="3"/>
    <n v="39.799999999999997"/>
  </r>
  <r>
    <d v="2025-11-15T05:23:57"/>
    <x v="0"/>
    <s v="Plaquettes d'ébauches rhombiques"/>
    <s v="10301115"/>
    <s v="BOUCHART LUDOVIC"/>
    <n v="5"/>
    <x v="1"/>
    <x v="3"/>
    <s v="PLAQUETTES"/>
    <x v="3"/>
    <n v="39.799999999999997"/>
  </r>
  <r>
    <d v="2025-11-15T05:25:03"/>
    <x v="3"/>
    <s v="Plaquettes d'ébauches carrées"/>
    <s v="10301115"/>
    <s v="BOUCHART LUDOVIC"/>
    <n v="5"/>
    <x v="1"/>
    <x v="0"/>
    <s v="PLAQUETTES"/>
    <x v="3"/>
    <n v="39.799999999999997"/>
  </r>
  <r>
    <d v="2025-11-15T05:25:41"/>
    <x v="3"/>
    <s v="Plaquettes d'ébauches carrées"/>
    <s v="10301115"/>
    <s v="BOUCHART LUDOVIC"/>
    <n v="5"/>
    <x v="1"/>
    <x v="0"/>
    <s v="PLAQUETTES"/>
    <x v="3"/>
    <n v="39.799999999999997"/>
  </r>
  <r>
    <d v="2025-11-15T05:25:56"/>
    <x v="0"/>
    <s v="Plaquettes d'ébauches rhombiques"/>
    <s v="10301115"/>
    <s v="BOUCHART LUDOVIC"/>
    <n v="5"/>
    <x v="1"/>
    <x v="0"/>
    <s v="PLAQUETTES"/>
    <x v="3"/>
    <n v="39.799999999999997"/>
  </r>
  <r>
    <d v="2025-11-15T05:26:17"/>
    <x v="5"/>
    <s v="Plaquettes de finition"/>
    <s v="10301115"/>
    <s v="BOUCHART LUDOVIC"/>
    <n v="5"/>
    <x v="1"/>
    <x v="2"/>
    <s v="PLAQUETTES"/>
    <x v="3"/>
    <n v="42.5"/>
  </r>
  <r>
    <d v="2025-11-15T05:26:42"/>
    <x v="6"/>
    <s v="Plaquettes de finition triangulaires"/>
    <s v="10301115"/>
    <s v="BOUCHART LUDOVIC"/>
    <n v="5"/>
    <x v="1"/>
    <x v="2"/>
    <s v="PLAQUETTES"/>
    <x v="3"/>
    <n v="48.7"/>
  </r>
  <r>
    <d v="2025-11-15T05:26:57"/>
    <x v="2"/>
    <s v="Plaquettes de finition carrées"/>
    <s v="10301115"/>
    <s v="BOUCHART LUDOVIC"/>
    <n v="5"/>
    <x v="1"/>
    <x v="2"/>
    <s v="PLAQUETTES"/>
    <x v="3"/>
    <n v="47.8"/>
  </r>
  <r>
    <d v="2025-11-16T17:40:38"/>
    <x v="3"/>
    <s v="Plaquettes d'ébauches carrées"/>
    <s v="10301115"/>
    <s v="BOUCHART LUDOVIC"/>
    <n v="5"/>
    <x v="0"/>
    <x v="3"/>
    <s v="PLAQUETTES"/>
    <x v="0"/>
    <n v="39.799999999999997"/>
  </r>
  <r>
    <d v="2025-11-16T17:40:55"/>
    <x v="0"/>
    <s v="Plaquettes d'ébauches rhombiques"/>
    <s v="10301115"/>
    <s v="BOUCHART LUDOVIC"/>
    <n v="5"/>
    <x v="0"/>
    <x v="3"/>
    <s v="PLAQUETTES"/>
    <x v="0"/>
    <n v="39.799999999999997"/>
  </r>
  <r>
    <d v="2025-11-16T17:41:17"/>
    <x v="3"/>
    <s v="Plaquettes d'ébauches carrées"/>
    <s v="10301115"/>
    <s v="BOUCHART LUDOVIC"/>
    <n v="5"/>
    <x v="0"/>
    <x v="0"/>
    <s v="PLAQUETTES"/>
    <x v="0"/>
    <n v="39.799999999999997"/>
  </r>
  <r>
    <d v="2025-11-16T17:41:34"/>
    <x v="0"/>
    <s v="Plaquettes d'ébauches rhombiques"/>
    <s v="10301115"/>
    <s v="BOUCHART LUDOVIC"/>
    <n v="5"/>
    <x v="0"/>
    <x v="0"/>
    <s v="PLAQUETTES"/>
    <x v="0"/>
    <n v="39.799999999999997"/>
  </r>
  <r>
    <d v="2025-11-16T17:41:47"/>
    <x v="2"/>
    <s v="Plaquettes de finition carrées"/>
    <s v="10301115"/>
    <s v="BOUCHART LUDOVIC"/>
    <n v="5"/>
    <x v="0"/>
    <x v="2"/>
    <s v="PLAQUETTES"/>
    <x v="0"/>
    <n v="47.8"/>
  </r>
  <r>
    <d v="2025-11-16T17:42:04"/>
    <x v="3"/>
    <s v="Plaquettes d'ébauches carrées"/>
    <s v="10301115"/>
    <s v="BOUCHART LUDOVIC"/>
    <n v="5"/>
    <x v="1"/>
    <x v="3"/>
    <s v="PLAQUETTES"/>
    <x v="3"/>
    <n v="39.799999999999997"/>
  </r>
  <r>
    <d v="2025-11-16T17:42:20"/>
    <x v="0"/>
    <s v="Plaquettes d'ébauches rhombiques"/>
    <s v="10301115"/>
    <s v="BOUCHART LUDOVIC"/>
    <n v="5"/>
    <x v="1"/>
    <x v="3"/>
    <s v="PLAQUETTES"/>
    <x v="3"/>
    <n v="39.799999999999997"/>
  </r>
  <r>
    <d v="2025-11-16T17:42:35"/>
    <x v="3"/>
    <s v="Plaquettes d'ébauches carrées"/>
    <s v="10301115"/>
    <s v="BOUCHART LUDOVIC"/>
    <n v="5"/>
    <x v="1"/>
    <x v="0"/>
    <s v="PLAQUETTES"/>
    <x v="3"/>
    <n v="39.799999999999997"/>
  </r>
  <r>
    <d v="2025-11-16T17:42:48"/>
    <x v="0"/>
    <s v="Plaquettes d'ébauches rhombiques"/>
    <s v="10301115"/>
    <s v="BOUCHART LUDOVIC"/>
    <n v="5"/>
    <x v="1"/>
    <x v="0"/>
    <s v="PLAQUETTES"/>
    <x v="3"/>
    <n v="39.799999999999997"/>
  </r>
  <r>
    <d v="2025-11-16T17:43:04"/>
    <x v="2"/>
    <s v="Plaquettes de finition carrées"/>
    <s v="10301115"/>
    <s v="BOUCHART LUDOVIC"/>
    <n v="5"/>
    <x v="1"/>
    <x v="2"/>
    <s v="PLAQUETTES"/>
    <x v="3"/>
    <n v="47.8"/>
  </r>
  <r>
    <d v="2025-11-16T17:43:16"/>
    <x v="5"/>
    <s v="Plaquettes de finition"/>
    <s v="10301115"/>
    <s v="BOUCHART LUDOVIC"/>
    <n v="5"/>
    <x v="1"/>
    <x v="2"/>
    <s v="PLAQUETTES"/>
    <x v="3"/>
    <n v="42.5"/>
  </r>
  <r>
    <d v="2025-11-16T17:43:28"/>
    <x v="6"/>
    <s v="Plaquettes de finition triangulaires"/>
    <s v="10301115"/>
    <s v="BOUCHART LUDOVIC"/>
    <n v="5"/>
    <x v="1"/>
    <x v="2"/>
    <s v="PLAQUETTES"/>
    <x v="3"/>
    <n v="48.7"/>
  </r>
  <r>
    <d v="2025-11-16T22:44:56"/>
    <x v="0"/>
    <s v="Plaquettes d'ébauches rhombiques"/>
    <s v="10301115"/>
    <s v="BOUCHART LUDOVIC"/>
    <n v="5"/>
    <x v="1"/>
    <x v="3"/>
    <s v="PLAQUETTES"/>
    <x v="3"/>
    <n v="39.799999999999997"/>
  </r>
  <r>
    <d v="2025-11-16T22:45:10"/>
    <x v="0"/>
    <s v="Plaquettes d'ébauches rhombiques"/>
    <s v="10301115"/>
    <s v="BOUCHART LUDOVIC"/>
    <n v="5"/>
    <x v="1"/>
    <x v="0"/>
    <s v="PLAQUETTES"/>
    <x v="3"/>
    <n v="39.799999999999997"/>
  </r>
  <r>
    <d v="2025-11-17T06:09:21"/>
    <x v="0"/>
    <s v="Plaquettes d'ébauches rhombiques"/>
    <s v="31224"/>
    <s v="BIDOT MURIEL"/>
    <n v="5"/>
    <x v="1"/>
    <x v="3"/>
    <s v="PLAQUETTES"/>
    <x v="3"/>
    <n v="39.799999999999997"/>
  </r>
  <r>
    <d v="2025-11-17T06:09:38"/>
    <x v="2"/>
    <s v="Plaquettes de finition carrées"/>
    <s v="31224"/>
    <s v="BIDOT MURIEL"/>
    <n v="5"/>
    <x v="1"/>
    <x v="2"/>
    <s v="PLAQUETTES"/>
    <x v="3"/>
    <n v="47.8"/>
  </r>
  <r>
    <d v="2025-11-17T06:09:55"/>
    <x v="2"/>
    <s v="Plaquettes de finition carrées"/>
    <s v="31224"/>
    <s v="BIDOT MURIEL"/>
    <n v="5"/>
    <x v="1"/>
    <x v="2"/>
    <s v="PLAQUETTES"/>
    <x v="3"/>
    <n v="47.8"/>
  </r>
  <r>
    <d v="2025-11-17T14:09:18"/>
    <x v="2"/>
    <s v="Plaquettes de finition carrées"/>
    <s v="044835C25C7780"/>
    <s v="GONIN VINCENT"/>
    <n v="5"/>
    <x v="0"/>
    <x v="2"/>
    <s v="PLAQUETTES"/>
    <x v="0"/>
    <n v="47.8"/>
  </r>
  <r>
    <d v="2025-11-17T22:23:56"/>
    <x v="2"/>
    <s v="Plaquettes de finition carrées"/>
    <s v="7236310"/>
    <s v="OZYURT IREM"/>
    <n v="5"/>
    <x v="0"/>
    <x v="2"/>
    <s v="PLAQUETTES"/>
    <x v="0"/>
    <n v="47.8"/>
  </r>
  <r>
    <d v="2025-11-17T22:24:12"/>
    <x v="2"/>
    <s v="Plaquettes de finition carrées"/>
    <s v="7236310"/>
    <s v="OZYURT IREM"/>
    <n v="5"/>
    <x v="1"/>
    <x v="2"/>
    <s v="PLAQUETTES"/>
    <x v="3"/>
    <n v="47.8"/>
  </r>
  <r>
    <d v="2025-11-18T00:33:47"/>
    <x v="4"/>
    <s v="Plaquettes de gorges"/>
    <s v="090225"/>
    <s v="MEYER THOMAS"/>
    <n v="10"/>
    <x v="0"/>
    <x v="0"/>
    <s v="PLAQUETTES"/>
    <x v="0"/>
    <n v="188"/>
  </r>
  <r>
    <d v="2025-11-18T03:35:17"/>
    <x v="0"/>
    <s v="Plaquettes d'ébauches rhombiques"/>
    <s v="090225"/>
    <s v="MEYER THOMAS"/>
    <n v="5"/>
    <x v="1"/>
    <x v="3"/>
    <s v="PLAQUETTES"/>
    <x v="3"/>
    <n v="39.799999999999997"/>
  </r>
  <r>
    <d v="2025-11-18T03:35:31"/>
    <x v="0"/>
    <s v="Plaquettes d'ébauches rhombiques"/>
    <s v="090225"/>
    <s v="MEYER THOMAS"/>
    <n v="5"/>
    <x v="0"/>
    <x v="3"/>
    <s v="PLAQUETTES"/>
    <x v="0"/>
    <n v="39.799999999999997"/>
  </r>
  <r>
    <d v="2025-11-18T04:06:04"/>
    <x v="2"/>
    <s v="Plaquettes de finition carrées"/>
    <s v="7236310"/>
    <s v="OZYURT IREM"/>
    <n v="5"/>
    <x v="0"/>
    <x v="2"/>
    <s v="PLAQUETTES"/>
    <x v="0"/>
    <n v="47.8"/>
  </r>
  <r>
    <d v="2025-11-18T05:18:10"/>
    <x v="0"/>
    <s v="Plaquettes d'ébauches rhombiques"/>
    <s v="31224"/>
    <s v="BIDOT MURIEL"/>
    <n v="5"/>
    <x v="1"/>
    <x v="3"/>
    <s v="PLAQUETTES"/>
    <x v="3"/>
    <n v="39.799999999999997"/>
  </r>
  <r>
    <d v="2025-11-18T05:18:23"/>
    <x v="0"/>
    <s v="Plaquettes d'ébauches rhombiques"/>
    <s v="31224"/>
    <s v="BIDOT MURIEL"/>
    <n v="5"/>
    <x v="1"/>
    <x v="3"/>
    <s v="PLAQUETTES"/>
    <x v="3"/>
    <n v="39.799999999999997"/>
  </r>
  <r>
    <d v="2025-11-18T05:18:37"/>
    <x v="0"/>
    <s v="Plaquettes d'ébauches rhombiques"/>
    <s v="31224"/>
    <s v="BIDOT MURIEL"/>
    <n v="5"/>
    <x v="1"/>
    <x v="3"/>
    <s v="PLAQUETTES"/>
    <x v="3"/>
    <n v="39.799999999999997"/>
  </r>
  <r>
    <d v="2025-11-18T05:18:51"/>
    <x v="2"/>
    <s v="Plaquettes de finition carrées"/>
    <s v="31224"/>
    <s v="BIDOT MURIEL"/>
    <n v="5"/>
    <x v="1"/>
    <x v="2"/>
    <s v="PLAQUETTES"/>
    <x v="3"/>
    <n v="47.8"/>
  </r>
  <r>
    <d v="2025-11-18T05:19:06"/>
    <x v="2"/>
    <s v="Plaquettes de finition carrées"/>
    <s v="31224"/>
    <s v="BIDOT MURIEL"/>
    <n v="5"/>
    <x v="1"/>
    <x v="2"/>
    <s v="PLAQUETTES"/>
    <x v="3"/>
    <n v="47.8"/>
  </r>
  <r>
    <d v="2025-11-18T05:19:20"/>
    <x v="6"/>
    <s v="Plaquettes de finition triangulaires"/>
    <s v="31224"/>
    <s v="BIDOT MURIEL"/>
    <n v="5"/>
    <x v="1"/>
    <x v="2"/>
    <s v="PLAQUETTES"/>
    <x v="3"/>
    <n v="48.7"/>
  </r>
  <r>
    <d v="2025-11-18T09:49:36"/>
    <x v="1"/>
    <s v="EMBOUT KENTIP D13.3"/>
    <s v="020824"/>
    <s v="DASILVA AFONSO RENAUD"/>
    <n v="3"/>
    <x v="1"/>
    <x v="1"/>
    <s v="PLAQUETTES"/>
    <x v="1"/>
    <n v="140.85"/>
  </r>
  <r>
    <d v="2025-11-18T09:49:49"/>
    <x v="9"/>
    <s v="EMBOUT KENTIP D8.6"/>
    <s v="020824"/>
    <s v="DASILVA AFONSO RENAUD"/>
    <n v="2"/>
    <x v="1"/>
    <x v="1"/>
    <s v="PLAQUETTES"/>
    <x v="1"/>
    <n v="100"/>
  </r>
  <r>
    <d v="2025-11-18T09:59:42"/>
    <x v="10"/>
    <s v="Plaquettes TPGX0902ZPRGD KC7315"/>
    <s v="020824"/>
    <s v="DASILVA AFONSO RENAUD"/>
    <n v="10"/>
    <x v="1"/>
    <x v="1"/>
    <s v="PLAQUETTES"/>
    <x v="1"/>
    <n v="81.5"/>
  </r>
  <r>
    <d v="2025-11-18T22:15:31"/>
    <x v="4"/>
    <s v="Plaquettes de gorges"/>
    <s v="090225"/>
    <s v="MEYER THOMAS"/>
    <n v="10"/>
    <x v="0"/>
    <x v="0"/>
    <s v="PLAQUETTES"/>
    <x v="0"/>
    <n v="188"/>
  </r>
  <r>
    <d v="2025-11-18T23:19:33"/>
    <x v="2"/>
    <s v="Plaquettes de finition carrées"/>
    <s v="7236310"/>
    <s v="OZYURT IREM"/>
    <n v="5"/>
    <x v="0"/>
    <x v="2"/>
    <s v="PLAQUETTES"/>
    <x v="0"/>
    <n v="47.8"/>
  </r>
  <r>
    <d v="2025-11-18T23:19:52"/>
    <x v="2"/>
    <s v="Plaquettes de finition carrées"/>
    <s v="7236310"/>
    <s v="OZYURT IREM"/>
    <n v="5"/>
    <x v="1"/>
    <x v="2"/>
    <s v="PLAQUETTES"/>
    <x v="3"/>
    <n v="47.8"/>
  </r>
  <r>
    <d v="2025-11-19T00:22:50"/>
    <x v="0"/>
    <s v="Plaquettes d'ébauches rhombiques"/>
    <s v="090225"/>
    <s v="MEYER THOMAS"/>
    <n v="5"/>
    <x v="0"/>
    <x v="0"/>
    <s v="PLAQUETTES"/>
    <x v="0"/>
    <n v="39.799999999999997"/>
  </r>
  <r>
    <d v="2025-11-19T00:23:04"/>
    <x v="0"/>
    <s v="Plaquettes d'ébauches rhombiques"/>
    <s v="090225"/>
    <s v="MEYER THOMAS"/>
    <n v="5"/>
    <x v="0"/>
    <x v="3"/>
    <s v="PLAQUETTES"/>
    <x v="0"/>
    <n v="39.799999999999997"/>
  </r>
  <r>
    <d v="2025-11-19T00:23:22"/>
    <x v="0"/>
    <s v="Plaquettes d'ébauches rhombiques"/>
    <s v="090225"/>
    <s v="MEYER THOMAS"/>
    <n v="5"/>
    <x v="1"/>
    <x v="3"/>
    <s v="PLAQUETTES"/>
    <x v="3"/>
    <n v="39.799999999999997"/>
  </r>
  <r>
    <d v="2025-11-19T00:23:54"/>
    <x v="0"/>
    <s v="Plaquettes d'ébauches rhombiques"/>
    <s v="090225"/>
    <s v="MEYER THOMAS"/>
    <n v="5"/>
    <x v="1"/>
    <x v="0"/>
    <s v="PLAQUETTES"/>
    <x v="3"/>
    <n v="39.799999999999997"/>
  </r>
  <r>
    <d v="2025-11-19T00:26:04"/>
    <x v="3"/>
    <s v="Plaquettes d'ébauches carrées"/>
    <s v="090225"/>
    <s v="MEYER THOMAS"/>
    <n v="5"/>
    <x v="0"/>
    <x v="3"/>
    <s v="PLAQUETTES"/>
    <x v="0"/>
    <n v="39.799999999999997"/>
  </r>
  <r>
    <d v="2025-11-19T00:26:20"/>
    <x v="3"/>
    <s v="Plaquettes d'ébauches carrées"/>
    <s v="090225"/>
    <s v="MEYER THOMAS"/>
    <n v="5"/>
    <x v="0"/>
    <x v="0"/>
    <s v="PLAQUETTES"/>
    <x v="0"/>
    <n v="39.799999999999997"/>
  </r>
  <r>
    <d v="2025-11-19T00:26:32"/>
    <x v="3"/>
    <s v="Plaquettes d'ébauches carrées"/>
    <s v="090225"/>
    <s v="MEYER THOMAS"/>
    <n v="5"/>
    <x v="1"/>
    <x v="3"/>
    <s v="PLAQUETTES"/>
    <x v="3"/>
    <n v="39.799999999999997"/>
  </r>
  <r>
    <d v="2025-11-19T00:26:49"/>
    <x v="3"/>
    <s v="Plaquettes d'ébauches carrées"/>
    <s v="090225"/>
    <s v="MEYER THOMAS"/>
    <n v="5"/>
    <x v="1"/>
    <x v="0"/>
    <s v="PLAQUETTES"/>
    <x v="3"/>
    <n v="39.799999999999997"/>
  </r>
  <r>
    <d v="2025-11-19T05:13:23"/>
    <x v="0"/>
    <s v="Plaquettes d'ébauches rhombiques"/>
    <s v="31224"/>
    <s v="BIDOT MURIEL"/>
    <n v="5"/>
    <x v="1"/>
    <x v="3"/>
    <s v="PLAQUETTES"/>
    <x v="3"/>
    <n v="39.799999999999997"/>
  </r>
  <r>
    <d v="2025-11-19T05:13:37"/>
    <x v="0"/>
    <s v="Plaquettes d'ébauches rhombiques"/>
    <s v="31224"/>
    <s v="BIDOT MURIEL"/>
    <n v="5"/>
    <x v="1"/>
    <x v="3"/>
    <s v="PLAQUETTES"/>
    <x v="3"/>
    <n v="39.799999999999997"/>
  </r>
  <r>
    <d v="2025-11-19T05:13:50"/>
    <x v="0"/>
    <s v="Plaquettes d'ébauches rhombiques"/>
    <s v="31224"/>
    <s v="BIDOT MURIEL"/>
    <n v="5"/>
    <x v="1"/>
    <x v="3"/>
    <s v="PLAQUETTES"/>
    <x v="3"/>
    <n v="39.799999999999997"/>
  </r>
  <r>
    <d v="2025-11-19T05:14:06"/>
    <x v="6"/>
    <s v="Plaquettes de finition triangulaires"/>
    <s v="31224"/>
    <s v="BIDOT MURIEL"/>
    <n v="5"/>
    <x v="1"/>
    <x v="2"/>
    <s v="PLAQUETTES"/>
    <x v="3"/>
    <n v="48.7"/>
  </r>
  <r>
    <d v="2025-11-19T05:14:20"/>
    <x v="2"/>
    <s v="Plaquettes de finition carrées"/>
    <s v="31224"/>
    <s v="BIDOT MURIEL"/>
    <n v="5"/>
    <x v="1"/>
    <x v="2"/>
    <s v="PLAQUETTES"/>
    <x v="3"/>
    <n v="47.8"/>
  </r>
  <r>
    <d v="2025-11-19T05:14:37"/>
    <x v="2"/>
    <s v="Plaquettes de finition carrées"/>
    <s v="31224"/>
    <s v="BIDOT MURIEL"/>
    <n v="5"/>
    <x v="1"/>
    <x v="2"/>
    <s v="PLAQUETTES"/>
    <x v="3"/>
    <n v="47.8"/>
  </r>
  <r>
    <d v="2025-11-19T06:26:22"/>
    <x v="3"/>
    <s v="Plaquettes d'ébauches carrées"/>
    <s v="045B77CAA77080"/>
    <s v="CAMUS CAMILLE"/>
    <n v="5"/>
    <x v="0"/>
    <x v="3"/>
    <s v="PLAQUETTES"/>
    <x v="0"/>
    <n v="39.799999999999997"/>
  </r>
  <r>
    <d v="2025-11-19T06:26:40"/>
    <x v="0"/>
    <s v="Plaquettes d'ébauches rhombiques"/>
    <s v="045B77CAA77080"/>
    <s v="CAMUS CAMILLE"/>
    <n v="5"/>
    <x v="0"/>
    <x v="3"/>
    <s v="PLAQUETTES"/>
    <x v="0"/>
    <n v="39.799999999999997"/>
  </r>
  <r>
    <d v="2025-11-19T06:26:55"/>
    <x v="4"/>
    <s v="Plaquettes de gorges"/>
    <s v="045B77CAA77080"/>
    <s v="CAMUS CAMILLE"/>
    <n v="10"/>
    <x v="0"/>
    <x v="0"/>
    <s v="PLAQUETTES"/>
    <x v="0"/>
    <n v="188"/>
  </r>
  <r>
    <d v="2025-11-19T06:27:19"/>
    <x v="3"/>
    <s v="Plaquettes d'ébauches carrées"/>
    <s v="045B77CAA77080"/>
    <s v="CAMUS CAMILLE"/>
    <n v="5"/>
    <x v="0"/>
    <x v="0"/>
    <s v="PLAQUETTES"/>
    <x v="0"/>
    <n v="39.799999999999997"/>
  </r>
  <r>
    <d v="2025-11-19T06:27:34"/>
    <x v="0"/>
    <s v="Plaquettes d'ébauches rhombiques"/>
    <s v="045B77CAA77080"/>
    <s v="CAMUS CAMILLE"/>
    <n v="5"/>
    <x v="0"/>
    <x v="0"/>
    <s v="PLAQUETTES"/>
    <x v="0"/>
    <n v="39.799999999999997"/>
  </r>
  <r>
    <d v="2025-11-19T06:27:55"/>
    <x v="2"/>
    <s v="Plaquettes de finition carrées"/>
    <s v="045B77CAA77080"/>
    <s v="CAMUS CAMILLE"/>
    <n v="5"/>
    <x v="0"/>
    <x v="2"/>
    <s v="PLAQUETTES"/>
    <x v="0"/>
    <n v="47.8"/>
  </r>
  <r>
    <d v="2025-11-20T04:21:57"/>
    <x v="2"/>
    <s v="Plaquettes de finition carrées"/>
    <s v="7236310"/>
    <s v="OZYURT IREM"/>
    <n v="5"/>
    <x v="0"/>
    <x v="2"/>
    <s v="PLAQUETTES"/>
    <x v="3"/>
    <n v="47.8"/>
  </r>
  <r>
    <d v="2025-11-20T04:22:09"/>
    <x v="6"/>
    <s v="Plaquettes de finition triangulaires"/>
    <s v="7236310"/>
    <s v="OZYURT IREM"/>
    <n v="5"/>
    <x v="0"/>
    <x v="2"/>
    <s v="PLAQUETTES"/>
    <x v="3"/>
    <n v="48.7"/>
  </r>
  <r>
    <d v="2025-11-20T04:22:24"/>
    <x v="5"/>
    <s v="Plaquettes de finition"/>
    <s v="7236310"/>
    <s v="OZYURT IREM"/>
    <n v="5"/>
    <x v="0"/>
    <x v="2"/>
    <s v="PLAQUETTES"/>
    <x v="3"/>
    <n v="42.5"/>
  </r>
  <r>
    <d v="2025-11-20T13:12:29"/>
    <x v="3"/>
    <s v="Plaquettes d'ébauches carrées"/>
    <s v="040E47C25C7780"/>
    <s v="PARINGAUX CARROLANE"/>
    <n v="5"/>
    <x v="1"/>
    <x v="3"/>
    <s v="PLAQUETTES"/>
    <x v="3"/>
    <n v="39.799999999999997"/>
  </r>
  <r>
    <d v="2025-11-20T13:12:47"/>
    <x v="2"/>
    <s v="Plaquettes de finition carrées"/>
    <s v="040E47C25C7780"/>
    <s v="PARINGAUX CARROLANE"/>
    <n v="5"/>
    <x v="1"/>
    <x v="2"/>
    <s v="PLAQUETTES"/>
    <x v="3"/>
    <n v="47.8"/>
  </r>
  <r>
    <d v="2025-11-20T15:41:06"/>
    <x v="2"/>
    <s v="Plaquettes de finition carrées"/>
    <s v="044835C25C7780"/>
    <s v="GONIN VINCENT"/>
    <n v="5"/>
    <x v="0"/>
    <x v="2"/>
    <s v="PLAQUETTES"/>
    <x v="3"/>
    <n v="47.8"/>
  </r>
  <r>
    <d v="2025-11-20T15:41:26"/>
    <x v="0"/>
    <s v="Plaquettes d'ébauches rhombiques"/>
    <s v="044835C25C7780"/>
    <s v="GONIN VINCENT"/>
    <n v="5"/>
    <x v="0"/>
    <x v="0"/>
    <s v="PLAQUETTES"/>
    <x v="3"/>
    <n v="39.799999999999997"/>
  </r>
  <r>
    <d v="2025-11-20T17:46:21"/>
    <x v="5"/>
    <s v="Plaquettes de finition"/>
    <s v="040E47C25C7780"/>
    <s v="PARINGAUX CARROLANE"/>
    <n v="5"/>
    <x v="1"/>
    <x v="2"/>
    <s v="PLAQUETTES"/>
    <x v="3"/>
    <n v="42.5"/>
  </r>
  <r>
    <d v="2025-11-20T17:46:46"/>
    <x v="6"/>
    <s v="Plaquettes de finition triangulaires"/>
    <s v="040E47C25C7780"/>
    <s v="PARINGAUX CARROLANE"/>
    <n v="5"/>
    <x v="1"/>
    <x v="2"/>
    <s v="PLAQUETTES"/>
    <x v="3"/>
    <n v="48.7"/>
  </r>
  <r>
    <d v="2025-11-20T17:47:01"/>
    <x v="2"/>
    <s v="Plaquettes de finition carrées"/>
    <s v="040E47C25C7780"/>
    <s v="PARINGAUX CARROLANE"/>
    <n v="5"/>
    <x v="1"/>
    <x v="2"/>
    <s v="PLAQUETTES"/>
    <x v="3"/>
    <n v="47.8"/>
  </r>
  <r>
    <d v="2025-11-21T00:19:30"/>
    <x v="3"/>
    <s v="Plaquettes d'ébauches carrées"/>
    <s v="090225"/>
    <s v="MEYER THOMAS"/>
    <n v="5"/>
    <x v="1"/>
    <x v="3"/>
    <s v="PLAQUETTES"/>
    <x v="3"/>
    <n v="39.799999999999997"/>
  </r>
  <r>
    <d v="2025-11-21T00:19:43"/>
    <x v="0"/>
    <s v="Plaquettes d'ébauches rhombiques"/>
    <s v="090225"/>
    <s v="MEYER THOMAS"/>
    <n v="5"/>
    <x v="1"/>
    <x v="3"/>
    <s v="PLAQUETTES"/>
    <x v="3"/>
    <n v="39.799999999999997"/>
  </r>
  <r>
    <d v="2025-11-21T00:19:58"/>
    <x v="3"/>
    <s v="Plaquettes d'ébauches carrées"/>
    <s v="090225"/>
    <s v="MEYER THOMAS"/>
    <n v="5"/>
    <x v="1"/>
    <x v="0"/>
    <s v="PLAQUETTES"/>
    <x v="3"/>
    <n v="39.799999999999997"/>
  </r>
  <r>
    <d v="2025-11-21T00:20:15"/>
    <x v="0"/>
    <s v="Plaquettes d'ébauches rhombiques"/>
    <s v="090225"/>
    <s v="MEYER THOMAS"/>
    <n v="5"/>
    <x v="1"/>
    <x v="0"/>
    <s v="PLAQUETTES"/>
    <x v="3"/>
    <n v="39.799999999999997"/>
  </r>
  <r>
    <d v="2025-11-21T00:21:58"/>
    <x v="0"/>
    <s v="Plaquettes d'ébauches rhombiques"/>
    <s v="090225"/>
    <s v="MEYER THOMAS"/>
    <n v="5"/>
    <x v="0"/>
    <x v="0"/>
    <s v="PLAQUETTES"/>
    <x v="3"/>
    <n v="39.799999999999997"/>
  </r>
  <r>
    <d v="2025-11-21T00:22:12"/>
    <x v="0"/>
    <s v="Plaquettes d'ébauches rhombiques"/>
    <s v="090225"/>
    <s v="MEYER THOMAS"/>
    <n v="5"/>
    <x v="0"/>
    <x v="3"/>
    <s v="PLAQUETTES"/>
    <x v="3"/>
    <n v="39.799999999999997"/>
  </r>
  <r>
    <d v="2025-11-21T04:13:16"/>
    <x v="2"/>
    <s v="Plaquettes de finition carrées"/>
    <s v="7236310"/>
    <s v="OZYURT IREM"/>
    <n v="5"/>
    <x v="0"/>
    <x v="2"/>
    <s v="PLAQUETTES"/>
    <x v="3"/>
    <n v="47.8"/>
  </r>
  <r>
    <d v="2025-11-21T05:23:57"/>
    <x v="3"/>
    <s v="Plaquettes d'ébauches carrées"/>
    <s v="10301115"/>
    <s v="BOUCHART LUDOVIC"/>
    <n v="5"/>
    <x v="0"/>
    <x v="3"/>
    <s v="PLAQUETTES"/>
    <x v="3"/>
    <n v="39.799999999999997"/>
  </r>
  <r>
    <d v="2025-11-21T05:24:12"/>
    <x v="0"/>
    <s v="Plaquettes d'ébauches rhombiques"/>
    <s v="10301115"/>
    <s v="BOUCHART LUDOVIC"/>
    <n v="5"/>
    <x v="0"/>
    <x v="3"/>
    <s v="PLAQUETTES"/>
    <x v="3"/>
    <n v="39.799999999999997"/>
  </r>
  <r>
    <d v="2025-11-21T05:24:24"/>
    <x v="3"/>
    <s v="Plaquettes d'ébauches carrées"/>
    <s v="10301115"/>
    <s v="BOUCHART LUDOVIC"/>
    <n v="5"/>
    <x v="0"/>
    <x v="0"/>
    <s v="PLAQUETTES"/>
    <x v="3"/>
    <n v="39.799999999999997"/>
  </r>
  <r>
    <d v="2025-11-21T05:24:41"/>
    <x v="0"/>
    <s v="Plaquettes d'ébauches rhombiques"/>
    <s v="10301115"/>
    <s v="BOUCHART LUDOVIC"/>
    <n v="5"/>
    <x v="0"/>
    <x v="0"/>
    <s v="PLAQUETTES"/>
    <x v="3"/>
    <n v="39.799999999999997"/>
  </r>
  <r>
    <d v="2025-11-21T05:24:57"/>
    <x v="2"/>
    <s v="Plaquettes de finition carrées"/>
    <s v="10301115"/>
    <s v="BOUCHART LUDOVIC"/>
    <n v="5"/>
    <x v="0"/>
    <x v="2"/>
    <s v="PLAQUETTES"/>
    <x v="3"/>
    <n v="47.8"/>
  </r>
  <r>
    <d v="2025-11-21T05:25:12"/>
    <x v="3"/>
    <s v="Plaquettes d'ébauches carrées"/>
    <s v="10301115"/>
    <s v="BOUCHART LUDOVIC"/>
    <n v="5"/>
    <x v="1"/>
    <x v="3"/>
    <s v="PLAQUETTES"/>
    <x v="3"/>
    <n v="39.799999999999997"/>
  </r>
  <r>
    <d v="2025-11-21T05:25:25"/>
    <x v="0"/>
    <s v="Plaquettes d'ébauches rhombiques"/>
    <s v="10301115"/>
    <s v="BOUCHART LUDOVIC"/>
    <n v="5"/>
    <x v="1"/>
    <x v="3"/>
    <s v="PLAQUETTES"/>
    <x v="3"/>
    <n v="39.799999999999997"/>
  </r>
  <r>
    <d v="2025-11-21T05:25:37"/>
    <x v="3"/>
    <s v="Plaquettes d'ébauches carrées"/>
    <s v="10301115"/>
    <s v="BOUCHART LUDOVIC"/>
    <n v="5"/>
    <x v="1"/>
    <x v="0"/>
    <s v="PLAQUETTES"/>
    <x v="3"/>
    <n v="39.799999999999997"/>
  </r>
  <r>
    <d v="2025-11-21T05:25:49"/>
    <x v="0"/>
    <s v="Plaquettes d'ébauches rhombiques"/>
    <s v="10301115"/>
    <s v="BOUCHART LUDOVIC"/>
    <n v="5"/>
    <x v="1"/>
    <x v="0"/>
    <s v="PLAQUETTES"/>
    <x v="3"/>
    <n v="39.799999999999997"/>
  </r>
  <r>
    <d v="2025-11-21T05:26:04"/>
    <x v="2"/>
    <s v="Plaquettes de finition carrées"/>
    <s v="10301115"/>
    <s v="BOUCHART LUDOVIC"/>
    <n v="5"/>
    <x v="1"/>
    <x v="2"/>
    <s v="PLAQUETTES"/>
    <x v="3"/>
    <n v="47.8"/>
  </r>
  <r>
    <d v="2025-11-21T11:49:25"/>
    <x v="10"/>
    <s v="Plaquettes TPGX0902ZPRGD KC7315"/>
    <s v="12824586"/>
    <s v="DASILVA FERNANDO"/>
    <n v="10"/>
    <x v="1"/>
    <x v="1"/>
    <s v="PLAQUETTES"/>
    <x v="1"/>
    <n v="81.5"/>
  </r>
  <r>
    <d v="2025-11-21T11:49:42"/>
    <x v="7"/>
    <s v="Plaquettes VCGT21A52 SP4019"/>
    <s v="12824586"/>
    <s v="DASILVA FERNANDO"/>
    <n v="5"/>
    <x v="1"/>
    <x v="1"/>
    <s v="PLAQUETTES"/>
    <x v="1"/>
    <n v="60.9"/>
  </r>
  <r>
    <d v="2025-11-21T13:34:00"/>
    <x v="2"/>
    <s v="Plaquettes de finition carrées"/>
    <s v="040E47C25C7780"/>
    <s v="PARINGAUX CARROLANE"/>
    <n v="5"/>
    <x v="1"/>
    <x v="2"/>
    <s v="PLAQUETTES"/>
    <x v="3"/>
    <n v="47.8"/>
  </r>
  <r>
    <d v="2025-11-21T16:38:54"/>
    <x v="3"/>
    <s v="Plaquettes d'ébauches carrées"/>
    <s v="040E47C25C7780"/>
    <s v="PARINGAUX CARROLANE"/>
    <n v="5"/>
    <x v="1"/>
    <x v="3"/>
    <s v="PLAQUETTES"/>
    <x v="3"/>
    <n v="39.799999999999997"/>
  </r>
  <r>
    <d v="2025-11-22T01:07:20"/>
    <x v="2"/>
    <s v="Plaquettes de finition carrées"/>
    <s v="7236310"/>
    <s v="OZYURT IREM"/>
    <n v="5"/>
    <x v="0"/>
    <x v="2"/>
    <s v="PLAQUETTES"/>
    <x v="3"/>
    <n v="47.8"/>
  </r>
  <r>
    <d v="2025-11-22T04:24:13"/>
    <x v="0"/>
    <s v="Plaquettes d'ébauches rhombiques"/>
    <s v="090225"/>
    <s v="MEYER THOMAS"/>
    <n v="5"/>
    <x v="0"/>
    <x v="3"/>
    <s v="PLAQUETTES"/>
    <x v="3"/>
    <n v="39.799999999999997"/>
  </r>
  <r>
    <d v="2025-11-22T04:24:27"/>
    <x v="0"/>
    <s v="Plaquettes d'ébauches rhombiques"/>
    <s v="090225"/>
    <s v="MEYER THOMAS"/>
    <n v="5"/>
    <x v="1"/>
    <x v="3"/>
    <s v="PLAQUETTES"/>
    <x v="3"/>
    <n v="39.799999999999997"/>
  </r>
  <r>
    <d v="2025-11-22T05:07:14"/>
    <x v="3"/>
    <s v="Plaquettes d'ébauches carrées"/>
    <s v="10301115"/>
    <s v="BOUCHART LUDOVIC"/>
    <n v="5"/>
    <x v="0"/>
    <x v="3"/>
    <s v="PLAQUETTES"/>
    <x v="3"/>
    <n v="39.799999999999997"/>
  </r>
  <r>
    <d v="2025-11-22T05:07:25"/>
    <x v="0"/>
    <s v="Plaquettes d'ébauches rhombiques"/>
    <s v="10301115"/>
    <s v="BOUCHART LUDOVIC"/>
    <n v="5"/>
    <x v="0"/>
    <x v="3"/>
    <s v="PLAQUETTES"/>
    <x v="3"/>
    <n v="39.799999999999997"/>
  </r>
  <r>
    <d v="2025-11-22T05:07:41"/>
    <x v="3"/>
    <s v="Plaquettes d'ébauches carrées"/>
    <s v="10301115"/>
    <s v="BOUCHART LUDOVIC"/>
    <n v="5"/>
    <x v="0"/>
    <x v="0"/>
    <s v="PLAQUETTES"/>
    <x v="3"/>
    <n v="39.799999999999997"/>
  </r>
  <r>
    <d v="2025-11-22T05:07:53"/>
    <x v="0"/>
    <s v="Plaquettes d'ébauches rhombiques"/>
    <s v="10301115"/>
    <s v="BOUCHART LUDOVIC"/>
    <n v="5"/>
    <x v="0"/>
    <x v="0"/>
    <s v="PLAQUETTES"/>
    <x v="3"/>
    <n v="39.799999999999997"/>
  </r>
  <r>
    <d v="2025-11-22T05:08:12"/>
    <x v="5"/>
    <s v="Plaquettes de finition"/>
    <s v="10301115"/>
    <s v="BOUCHART LUDOVIC"/>
    <n v="5"/>
    <x v="0"/>
    <x v="2"/>
    <s v="PLAQUETTES"/>
    <x v="3"/>
    <n v="42.5"/>
  </r>
  <r>
    <d v="2025-11-22T05:08:24"/>
    <x v="6"/>
    <s v="Plaquettes de finition triangulaires"/>
    <s v="10301115"/>
    <s v="BOUCHART LUDOVIC"/>
    <n v="5"/>
    <x v="0"/>
    <x v="2"/>
    <s v="PLAQUETTES"/>
    <x v="3"/>
    <n v="48.7"/>
  </r>
  <r>
    <d v="2025-11-22T05:08:46"/>
    <x v="2"/>
    <s v="Plaquettes de finition carrées"/>
    <s v="10301115"/>
    <s v="BOUCHART LUDOVIC"/>
    <n v="5"/>
    <x v="0"/>
    <x v="2"/>
    <s v="PLAQUETTES"/>
    <x v="3"/>
    <n v="47.8"/>
  </r>
  <r>
    <d v="2025-11-22T05:09:01"/>
    <x v="3"/>
    <s v="Plaquettes d'ébauches carrées"/>
    <s v="10301115"/>
    <s v="BOUCHART LUDOVIC"/>
    <n v="5"/>
    <x v="1"/>
    <x v="3"/>
    <s v="PLAQUETTES"/>
    <x v="3"/>
    <n v="39.799999999999997"/>
  </r>
  <r>
    <d v="2025-11-22T05:09:15"/>
    <x v="0"/>
    <s v="Plaquettes d'ébauches rhombiques"/>
    <s v="10301115"/>
    <s v="BOUCHART LUDOVIC"/>
    <n v="5"/>
    <x v="1"/>
    <x v="3"/>
    <s v="PLAQUETTES"/>
    <x v="3"/>
    <n v="39.799999999999997"/>
  </r>
  <r>
    <d v="2025-11-22T05:09:28"/>
    <x v="3"/>
    <s v="Plaquettes d'ébauches carrées"/>
    <s v="10301115"/>
    <s v="BOUCHART LUDOVIC"/>
    <n v="5"/>
    <x v="1"/>
    <x v="0"/>
    <s v="PLAQUETTES"/>
    <x v="3"/>
    <n v="39.799999999999997"/>
  </r>
  <r>
    <d v="2025-11-22T05:09:41"/>
    <x v="0"/>
    <s v="Plaquettes d'ébauches rhombiques"/>
    <s v="10301115"/>
    <s v="BOUCHART LUDOVIC"/>
    <n v="5"/>
    <x v="1"/>
    <x v="0"/>
    <s v="PLAQUETTES"/>
    <x v="3"/>
    <n v="39.799999999999997"/>
  </r>
  <r>
    <d v="2025-11-22T05:09:58"/>
    <x v="5"/>
    <s v="Plaquettes de finition"/>
    <s v="10301115"/>
    <s v="BOUCHART LUDOVIC"/>
    <n v="5"/>
    <x v="1"/>
    <x v="2"/>
    <s v="PLAQUETTES"/>
    <x v="3"/>
    <n v="42.5"/>
  </r>
  <r>
    <d v="2025-11-22T05:10:10"/>
    <x v="6"/>
    <s v="Plaquettes de finition triangulaires"/>
    <s v="10301115"/>
    <s v="BOUCHART LUDOVIC"/>
    <n v="5"/>
    <x v="1"/>
    <x v="2"/>
    <s v="PLAQUETTES"/>
    <x v="3"/>
    <n v="48.7"/>
  </r>
  <r>
    <d v="2025-11-22T05:10:25"/>
    <x v="2"/>
    <s v="Plaquettes de finition carrées"/>
    <s v="10301115"/>
    <s v="BOUCHART LUDOVIC"/>
    <n v="5"/>
    <x v="1"/>
    <x v="2"/>
    <s v="PLAQUETTES"/>
    <x v="3"/>
    <n v="47.8"/>
  </r>
  <r>
    <d v="2025-11-23T17:26:39"/>
    <x v="3"/>
    <s v="Plaquettes d'ébauches carrées"/>
    <s v="10301115"/>
    <s v="BOUCHART LUDOVIC"/>
    <n v="5"/>
    <x v="0"/>
    <x v="3"/>
    <s v="PLAQUETTES"/>
    <x v="3"/>
    <n v="39.799999999999997"/>
  </r>
  <r>
    <d v="2025-11-23T17:26:53"/>
    <x v="0"/>
    <s v="Plaquettes d'ébauches rhombiques"/>
    <s v="10301115"/>
    <s v="BOUCHART LUDOVIC"/>
    <n v="5"/>
    <x v="0"/>
    <x v="3"/>
    <s v="PLAQUETTES"/>
    <x v="3"/>
    <n v="39.799999999999997"/>
  </r>
  <r>
    <d v="2025-11-23T17:27:06"/>
    <x v="3"/>
    <s v="Plaquettes d'ébauches carrées"/>
    <s v="10301115"/>
    <s v="BOUCHART LUDOVIC"/>
    <n v="5"/>
    <x v="0"/>
    <x v="0"/>
    <s v="PLAQUETTES"/>
    <x v="3"/>
    <n v="39.799999999999997"/>
  </r>
  <r>
    <d v="2025-11-23T17:27:18"/>
    <x v="0"/>
    <s v="Plaquettes d'ébauches rhombiques"/>
    <s v="10301115"/>
    <s v="BOUCHART LUDOVIC"/>
    <n v="5"/>
    <x v="0"/>
    <x v="0"/>
    <s v="PLAQUETTES"/>
    <x v="3"/>
    <n v="39.799999999999997"/>
  </r>
  <r>
    <d v="2025-11-23T17:27:35"/>
    <x v="5"/>
    <s v="Plaquettes de finition"/>
    <s v="10301115"/>
    <s v="BOUCHART LUDOVIC"/>
    <n v="5"/>
    <x v="0"/>
    <x v="2"/>
    <s v="PLAQUETTES"/>
    <x v="3"/>
    <n v="42.5"/>
  </r>
  <r>
    <d v="2025-11-23T17:27:46"/>
    <x v="6"/>
    <s v="Plaquettes de finition triangulaires"/>
    <s v="10301115"/>
    <s v="BOUCHART LUDOVIC"/>
    <n v="5"/>
    <x v="0"/>
    <x v="2"/>
    <s v="PLAQUETTES"/>
    <x v="3"/>
    <n v="48.7"/>
  </r>
  <r>
    <d v="2025-11-23T17:27:58"/>
    <x v="2"/>
    <s v="Plaquettes de finition carrées"/>
    <s v="10301115"/>
    <s v="BOUCHART LUDOVIC"/>
    <n v="5"/>
    <x v="0"/>
    <x v="2"/>
    <s v="PLAQUETTES"/>
    <x v="3"/>
    <n v="47.8"/>
  </r>
  <r>
    <d v="2025-11-23T17:28:12"/>
    <x v="3"/>
    <s v="Plaquettes d'ébauches carrées"/>
    <s v="10301115"/>
    <s v="BOUCHART LUDOVIC"/>
    <n v="5"/>
    <x v="1"/>
    <x v="3"/>
    <s v="PLAQUETTES"/>
    <x v="3"/>
    <n v="39.799999999999997"/>
  </r>
  <r>
    <d v="2025-11-23T17:28:26"/>
    <x v="0"/>
    <s v="Plaquettes d'ébauches rhombiques"/>
    <s v="10301115"/>
    <s v="BOUCHART LUDOVIC"/>
    <n v="5"/>
    <x v="1"/>
    <x v="3"/>
    <s v="PLAQUETTES"/>
    <x v="3"/>
    <n v="39.799999999999997"/>
  </r>
  <r>
    <d v="2025-11-23T17:28:43"/>
    <x v="3"/>
    <s v="Plaquettes d'ébauches carrées"/>
    <s v="10301115"/>
    <s v="BOUCHART LUDOVIC"/>
    <n v="5"/>
    <x v="1"/>
    <x v="0"/>
    <s v="PLAQUETTES"/>
    <x v="3"/>
    <n v="39.799999999999997"/>
  </r>
  <r>
    <d v="2025-11-23T17:28:55"/>
    <x v="0"/>
    <s v="Plaquettes d'ébauches rhombiques"/>
    <s v="10301115"/>
    <s v="BOUCHART LUDOVIC"/>
    <n v="5"/>
    <x v="1"/>
    <x v="0"/>
    <s v="PLAQUETTES"/>
    <x v="3"/>
    <n v="39.799999999999997"/>
  </r>
  <r>
    <d v="2025-11-23T17:29:12"/>
    <x v="5"/>
    <s v="Plaquettes de finition"/>
    <s v="10301115"/>
    <s v="BOUCHART LUDOVIC"/>
    <n v="5"/>
    <x v="1"/>
    <x v="2"/>
    <s v="PLAQUETTES"/>
    <x v="3"/>
    <n v="42.5"/>
  </r>
  <r>
    <d v="2025-11-23T17:29:22"/>
    <x v="6"/>
    <s v="Plaquettes de finition triangulaires"/>
    <s v="10301115"/>
    <s v="BOUCHART LUDOVIC"/>
    <n v="5"/>
    <x v="1"/>
    <x v="2"/>
    <s v="PLAQUETTES"/>
    <x v="3"/>
    <n v="48.7"/>
  </r>
  <r>
    <d v="2025-11-23T17:29:35"/>
    <x v="2"/>
    <s v="Plaquettes de finition carrées"/>
    <s v="10301115"/>
    <s v="BOUCHART LUDOVIC"/>
    <n v="5"/>
    <x v="1"/>
    <x v="2"/>
    <s v="PLAQUETTES"/>
    <x v="3"/>
    <n v="47.8"/>
  </r>
  <r>
    <d v="2025-11-24T11:27:38"/>
    <x v="4"/>
    <s v="Plaquettes de gorges"/>
    <s v="12824586"/>
    <s v="DASILVA FERNANDO"/>
    <n v="10"/>
    <x v="1"/>
    <x v="0"/>
    <s v="PLAQUETTES"/>
    <x v="2"/>
    <n v="188"/>
  </r>
  <r>
    <d v="2025-11-24T21:46:43"/>
    <x v="2"/>
    <s v="Plaquettes de finition carrées"/>
    <s v="7236310"/>
    <s v="OZYURT IREM"/>
    <n v="5"/>
    <x v="0"/>
    <x v="2"/>
    <s v="PLAQUETTES"/>
    <x v="3"/>
    <n v="47.8"/>
  </r>
  <r>
    <d v="2025-11-24T21:46:54"/>
    <x v="2"/>
    <s v="Plaquettes de finition carrées"/>
    <s v="7236310"/>
    <s v="OZYURT IREM"/>
    <n v="5"/>
    <x v="1"/>
    <x v="2"/>
    <s v="PLAQUETTES"/>
    <x v="3"/>
    <n v="47.8"/>
  </r>
  <r>
    <d v="2025-11-25T02:57:04"/>
    <x v="2"/>
    <s v="Plaquettes de finition carrées"/>
    <s v="7236310"/>
    <s v="OZYURT IREM"/>
    <n v="5"/>
    <x v="0"/>
    <x v="2"/>
    <s v="PLAQUETTES"/>
    <x v="3"/>
    <n v="47.8"/>
  </r>
  <r>
    <d v="2025-11-25T05:20:24"/>
    <x v="0"/>
    <s v="Plaquettes d'ébauches rhombiques"/>
    <s v="040E47C25C7780"/>
    <s v="PARINGAUX CARROLANE"/>
    <n v="5"/>
    <x v="1"/>
    <x v="3"/>
    <s v="PLAQUETTES"/>
    <x v="3"/>
    <n v="39.799999999999997"/>
  </r>
  <r>
    <d v="2025-11-25T05:20:42"/>
    <x v="5"/>
    <s v="Plaquettes de finition"/>
    <s v="040E47C25C7780"/>
    <s v="PARINGAUX CARROLANE"/>
    <n v="5"/>
    <x v="1"/>
    <x v="2"/>
    <s v="PLAQUETTES"/>
    <x v="3"/>
    <n v="42.5"/>
  </r>
  <r>
    <d v="2025-11-25T05:20:59"/>
    <x v="6"/>
    <s v="Plaquettes de finition triangulaires"/>
    <s v="040E47C25C7780"/>
    <s v="PARINGAUX CARROLANE"/>
    <n v="5"/>
    <x v="1"/>
    <x v="2"/>
    <s v="PLAQUETTES"/>
    <x v="3"/>
    <n v="48.7"/>
  </r>
  <r>
    <d v="2025-11-25T05:21:14"/>
    <x v="2"/>
    <s v="Plaquettes de finition carrées"/>
    <s v="040E47C25C7780"/>
    <s v="PARINGAUX CARROLANE"/>
    <n v="5"/>
    <x v="1"/>
    <x v="2"/>
    <s v="PLAQUETTES"/>
    <x v="3"/>
    <n v="47.8"/>
  </r>
  <r>
    <d v="2025-11-25T13:20:12"/>
    <x v="0"/>
    <s v="Plaquettes d'ébauches rhombiques"/>
    <s v="045B77CAA77080"/>
    <s v="CAMUS CAMILLE"/>
    <n v="5"/>
    <x v="0"/>
    <x v="3"/>
    <s v="PLAQUETTES"/>
    <x v="3"/>
    <n v="39.799999999999997"/>
  </r>
  <r>
    <d v="2025-11-25T13:20:28"/>
    <x v="0"/>
    <s v="Plaquettes d'ébauches rhombiques"/>
    <s v="045B77CAA77080"/>
    <s v="CAMUS CAMILLE"/>
    <n v="5"/>
    <x v="0"/>
    <x v="3"/>
    <s v="PLAQUETTES"/>
    <x v="3"/>
    <n v="39.799999999999997"/>
  </r>
  <r>
    <d v="2025-11-25T13:20:42"/>
    <x v="0"/>
    <s v="Plaquettes d'ébauches rhombiques"/>
    <s v="045B77CAA77080"/>
    <s v="CAMUS CAMILLE"/>
    <n v="5"/>
    <x v="0"/>
    <x v="3"/>
    <s v="PLAQUETTES"/>
    <x v="3"/>
    <n v="39.799999999999997"/>
  </r>
  <r>
    <d v="2025-11-25T13:20:54"/>
    <x v="3"/>
    <s v="Plaquettes d'ébauches carrées"/>
    <s v="045B77CAA77080"/>
    <s v="CAMUS CAMILLE"/>
    <n v="5"/>
    <x v="0"/>
    <x v="3"/>
    <s v="PLAQUETTES"/>
    <x v="3"/>
    <n v="39.799999999999997"/>
  </r>
  <r>
    <d v="2025-11-25T13:21:11"/>
    <x v="2"/>
    <s v="Plaquettes de finition carrées"/>
    <s v="045B77CAA77080"/>
    <s v="CAMUS CAMILLE"/>
    <n v="5"/>
    <x v="0"/>
    <x v="2"/>
    <s v="PLAQUETTES"/>
    <x v="3"/>
    <n v="47.8"/>
  </r>
  <r>
    <d v="2025-11-25T13:21:26"/>
    <x v="2"/>
    <s v="Plaquettes de finition carrées"/>
    <s v="045B77CAA77080"/>
    <s v="CAMUS CAMILLE"/>
    <n v="5"/>
    <x v="0"/>
    <x v="2"/>
    <s v="PLAQUETTES"/>
    <x v="3"/>
    <n v="47.8"/>
  </r>
  <r>
    <d v="2025-11-25T13:50:06"/>
    <x v="3"/>
    <s v="Plaquettes d'ébauches carrées"/>
    <s v="31224"/>
    <s v="BIDOT MURIEL"/>
    <n v="5"/>
    <x v="1"/>
    <x v="3"/>
    <s v="PLAQUETTES"/>
    <x v="3"/>
    <n v="39.799999999999997"/>
  </r>
  <r>
    <d v="2025-11-25T13:50:48"/>
    <x v="3"/>
    <s v="Plaquettes d'ébauches carrées"/>
    <s v="31224"/>
    <s v="BIDOT MURIEL"/>
    <n v="5"/>
    <x v="1"/>
    <x v="3"/>
    <s v="PLAQUETTES"/>
    <x v="3"/>
    <n v="39.799999999999997"/>
  </r>
  <r>
    <d v="2025-11-25T13:51:10"/>
    <x v="0"/>
    <s v="Plaquettes d'ébauches rhombiques"/>
    <s v="31224"/>
    <s v="BIDOT MURIEL"/>
    <n v="5"/>
    <x v="1"/>
    <x v="3"/>
    <s v="PLAQUETTES"/>
    <x v="3"/>
    <n v="39.799999999999997"/>
  </r>
  <r>
    <d v="2025-11-25T13:51:33"/>
    <x v="0"/>
    <s v="Plaquettes d'ébauches rhombiques"/>
    <s v="31224"/>
    <s v="BIDOT MURIEL"/>
    <n v="5"/>
    <x v="0"/>
    <x v="3"/>
    <s v="PLAQUETTES"/>
    <x v="3"/>
    <n v="39.799999999999997"/>
  </r>
  <r>
    <d v="2025-11-25T13:51:50"/>
    <x v="2"/>
    <s v="Plaquettes de finition carrées"/>
    <s v="31224"/>
    <s v="BIDOT MURIEL"/>
    <n v="5"/>
    <x v="1"/>
    <x v="2"/>
    <s v="PLAQUETTES"/>
    <x v="3"/>
    <n v="47.8"/>
  </r>
  <r>
    <d v="2025-11-26T14:04:04"/>
    <x v="0"/>
    <s v="Plaquettes d'ébauches rhombiques"/>
    <s v="045B77CAA77080"/>
    <s v="CAMUS CAMILLE"/>
    <n v="5"/>
    <x v="0"/>
    <x v="3"/>
    <s v="PLAQUETTES"/>
    <x v="3"/>
    <n v="39.799999999999997"/>
  </r>
  <r>
    <d v="2025-11-26T14:04:24"/>
    <x v="0"/>
    <s v="Plaquettes d'ébauches rhombiques"/>
    <s v="045B77CAA77080"/>
    <s v="CAMUS CAMILLE"/>
    <n v="5"/>
    <x v="0"/>
    <x v="3"/>
    <s v="PLAQUETTES"/>
    <x v="3"/>
    <n v="39.799999999999997"/>
  </r>
  <r>
    <d v="2025-11-26T14:04:40"/>
    <x v="2"/>
    <s v="Plaquettes de finition carrées"/>
    <s v="045B77CAA77080"/>
    <s v="CAMUS CAMILLE"/>
    <n v="5"/>
    <x v="0"/>
    <x v="2"/>
    <s v="PLAQUETTES"/>
    <x v="3"/>
    <n v="47.8"/>
  </r>
  <r>
    <d v="2025-11-26T14:08:22"/>
    <x v="0"/>
    <s v="Plaquettes d'ébauches rhombiques"/>
    <s v="31224"/>
    <s v="BIDOT MURIEL"/>
    <n v="5"/>
    <x v="1"/>
    <x v="3"/>
    <s v="PLAQUETTES"/>
    <x v="3"/>
    <n v="39.799999999999997"/>
  </r>
  <r>
    <d v="2025-11-26T14:08:54"/>
    <x v="0"/>
    <s v="Plaquettes d'ébauches rhombiques"/>
    <s v="31224"/>
    <s v="BIDOT MURIEL"/>
    <n v="5"/>
    <x v="1"/>
    <x v="3"/>
    <s v="PLAQUETTES"/>
    <x v="3"/>
    <n v="39.799999999999997"/>
  </r>
  <r>
    <d v="2025-11-26T14:09:30"/>
    <x v="2"/>
    <s v="Plaquettes de finition carrées"/>
    <s v="31224"/>
    <s v="BIDOT MURIEL"/>
    <n v="5"/>
    <x v="1"/>
    <x v="2"/>
    <s v="PLAQUETTES"/>
    <x v="3"/>
    <n v="47.8"/>
  </r>
  <r>
    <d v="2025-11-26T14:09:54"/>
    <x v="2"/>
    <s v="Plaquettes de finition carrées"/>
    <s v="31224"/>
    <s v="BIDOT MURIEL"/>
    <n v="5"/>
    <x v="1"/>
    <x v="2"/>
    <s v="PLAQUETTES"/>
    <x v="3"/>
    <n v="47.8"/>
  </r>
  <r>
    <d v="2025-11-28T01:03:12"/>
    <x v="0"/>
    <s v="Plaquettes d'ébauches rhombiques"/>
    <s v="090225"/>
    <s v="MEYER THOMAS"/>
    <n v="5"/>
    <x v="1"/>
    <x v="3"/>
    <s v="PLAQUETTES"/>
    <x v="3"/>
    <n v="39.799999999999997"/>
  </r>
  <r>
    <d v="2025-11-28T01:03:31"/>
    <x v="0"/>
    <s v="Plaquettes d'ébauches rhombiques"/>
    <s v="090225"/>
    <s v="MEYER THOMAS"/>
    <n v="5"/>
    <x v="0"/>
    <x v="3"/>
    <s v="PLAQUETTES"/>
    <x v="3"/>
    <n v="39.799999999999997"/>
  </r>
  <r>
    <d v="2025-11-28T07:02:49"/>
    <x v="5"/>
    <s v="Plaquettes de finition"/>
    <s v="040E47C25C7780"/>
    <s v="PARINGAUX CARROLANE"/>
    <n v="5"/>
    <x v="1"/>
    <x v="2"/>
    <s v="PLAQUETTES"/>
    <x v="3"/>
    <n v="42.5"/>
  </r>
  <r>
    <d v="2025-11-28T07:03:02"/>
    <x v="6"/>
    <s v="Plaquettes de finition triangulaires"/>
    <s v="040E47C25C7780"/>
    <s v="PARINGAUX CARROLANE"/>
    <n v="5"/>
    <x v="1"/>
    <x v="2"/>
    <s v="PLAQUETTES"/>
    <x v="3"/>
    <n v="48.7"/>
  </r>
  <r>
    <d v="2025-11-28T07:03:16"/>
    <x v="2"/>
    <s v="Plaquettes de finition carrées"/>
    <s v="040E47C25C7780"/>
    <s v="PARINGAUX CARROLANE"/>
    <n v="5"/>
    <x v="1"/>
    <x v="2"/>
    <s v="PLAQUETTES"/>
    <x v="3"/>
    <n v="47.8"/>
  </r>
  <r>
    <d v="2025-11-28T09:39:25"/>
    <x v="3"/>
    <s v="Plaquettes d'ébauches carrées"/>
    <s v="040E47C25C7780"/>
    <s v="PARINGAUX CARROLANE"/>
    <n v="5"/>
    <x v="1"/>
    <x v="3"/>
    <s v="PLAQUETTES"/>
    <x v="3"/>
    <n v="39.799999999999997"/>
  </r>
  <r>
    <d v="2025-11-28T09:39:46"/>
    <x v="3"/>
    <s v="Plaquettes d'ébauches carrées"/>
    <s v="040E47C25C7780"/>
    <s v="PARINGAUX CARROLANE"/>
    <n v="5"/>
    <x v="1"/>
    <x v="0"/>
    <s v="PLAQUETTES"/>
    <x v="3"/>
    <n v="39.799999999999997"/>
  </r>
  <r>
    <d v="2025-11-28T12:25:14"/>
    <x v="0"/>
    <s v="Plaquettes d'ébauches rhombiques"/>
    <s v="040E47C25C7780"/>
    <s v="PARINGAUX CARROLANE"/>
    <n v="5"/>
    <x v="1"/>
    <x v="3"/>
    <s v="PLAQUETTES"/>
    <x v="3"/>
    <n v="39.799999999999997"/>
  </r>
  <r>
    <d v="2025-11-28T12:25:30"/>
    <x v="0"/>
    <s v="Plaquettes d'ébauches rhombiques"/>
    <s v="040E47C25C7780"/>
    <s v="PARINGAUX CARROLANE"/>
    <n v="5"/>
    <x v="1"/>
    <x v="0"/>
    <s v="PLAQUETTES"/>
    <x v="3"/>
    <n v="39.799999999999997"/>
  </r>
  <r>
    <d v="2025-11-28T13:36:08"/>
    <x v="3"/>
    <s v="Plaquettes d'ébauches carrées"/>
    <s v="31224"/>
    <s v="BIDOT MURIEL"/>
    <n v="5"/>
    <x v="1"/>
    <x v="3"/>
    <s v="PLAQUETTES"/>
    <x v="3"/>
    <n v="39.799999999999997"/>
  </r>
  <r>
    <d v="2025-11-28T13:36:27"/>
    <x v="0"/>
    <s v="Plaquettes d'ébauches rhombiques"/>
    <s v="31224"/>
    <s v="BIDOT MURIEL"/>
    <n v="5"/>
    <x v="1"/>
    <x v="3"/>
    <s v="PLAQUETTES"/>
    <x v="3"/>
    <n v="39.799999999999997"/>
  </r>
  <r>
    <d v="2025-11-28T13:36:46"/>
    <x v="2"/>
    <s v="Plaquettes de finition carrées"/>
    <s v="31224"/>
    <s v="BIDOT MURIEL"/>
    <n v="5"/>
    <x v="1"/>
    <x v="2"/>
    <s v="PLAQUETTES"/>
    <x v="3"/>
    <n v="47.8"/>
  </r>
  <r>
    <d v="2025-11-28T15:39:49"/>
    <x v="2"/>
    <s v="Plaquettes de finition carrées"/>
    <s v="045B77CAA77080"/>
    <s v="CAMUS CAMILLE"/>
    <n v="5"/>
    <x v="0"/>
    <x v="2"/>
    <s v="PLAQUETTES"/>
    <x v="3"/>
    <n v="47.8"/>
  </r>
  <r>
    <d v="2025-11-28T15:40:06"/>
    <x v="0"/>
    <s v="Plaquettes d'ébauches rhombiques"/>
    <s v="045B77CAA77080"/>
    <s v="CAMUS CAMILLE"/>
    <n v="5"/>
    <x v="0"/>
    <x v="3"/>
    <s v="PLAQUETTES"/>
    <x v="3"/>
    <n v="39.799999999999997"/>
  </r>
  <r>
    <d v="2025-11-28T15:40:24"/>
    <x v="0"/>
    <s v="Plaquettes d'ébauches rhombiques"/>
    <s v="045B77CAA77080"/>
    <s v="CAMUS CAMILLE"/>
    <n v="5"/>
    <x v="0"/>
    <x v="3"/>
    <s v="PLAQUETTES"/>
    <x v="3"/>
    <n v="39.799999999999997"/>
  </r>
  <r>
    <d v="2025-11-28T15:40:40"/>
    <x v="3"/>
    <s v="Plaquettes d'ébauches carrées"/>
    <s v="045B77CAA77080"/>
    <s v="CAMUS CAMILLE"/>
    <n v="5"/>
    <x v="0"/>
    <x v="3"/>
    <s v="PLAQUETTES"/>
    <x v="3"/>
    <n v="39.799999999999997"/>
  </r>
  <r>
    <d v="2025-11-28T15:40:51"/>
    <x v="3"/>
    <s v="Plaquettes d'ébauches carrées"/>
    <s v="045B77CAA77080"/>
    <s v="CAMUS CAMILLE"/>
    <n v="5"/>
    <x v="0"/>
    <x v="3"/>
    <s v="PLAQUETTES"/>
    <x v="3"/>
    <n v="39.799999999999997"/>
  </r>
  <r>
    <d v="2025-11-29T01:30:07"/>
    <x v="2"/>
    <s v="Plaquettes de finition carrées"/>
    <s v="7236310"/>
    <s v="OZYURT IREM"/>
    <n v="5"/>
    <x v="0"/>
    <x v="2"/>
    <s v="PLAQUETTES"/>
    <x v="3"/>
    <n v="47.8"/>
  </r>
  <r>
    <d v="2025-11-29T01:30:20"/>
    <x v="6"/>
    <s v="Plaquettes de finition triangulaires"/>
    <s v="7236310"/>
    <s v="OZYURT IREM"/>
    <n v="5"/>
    <x v="1"/>
    <x v="2"/>
    <s v="PLAQUETTES"/>
    <x v="3"/>
    <n v="48.7"/>
  </r>
  <r>
    <d v="2025-11-29T01:30:34"/>
    <x v="2"/>
    <s v="Plaquettes de finition carrées"/>
    <s v="7236310"/>
    <s v="OZYURT IREM"/>
    <n v="5"/>
    <x v="1"/>
    <x v="2"/>
    <s v="PLAQUETTES"/>
    <x v="3"/>
    <n v="47.8"/>
  </r>
  <r>
    <d v="2025-11-29T05:24:44"/>
    <x v="3"/>
    <s v="Plaquettes d'ébauches carrées"/>
    <s v="U509351"/>
    <s v="DELIAT CHRISTOPHE"/>
    <n v="5"/>
    <x v="0"/>
    <x v="3"/>
    <s v="PLAQUETTES"/>
    <x v="3"/>
    <n v="39.799999999999997"/>
  </r>
  <r>
    <d v="2025-11-29T05:25:04"/>
    <x v="0"/>
    <s v="Plaquettes d'ébauches rhombiques"/>
    <s v="U509351"/>
    <s v="DELIAT CHRISTOPHE"/>
    <n v="5"/>
    <x v="0"/>
    <x v="3"/>
    <s v="PLAQUETTES"/>
    <x v="3"/>
    <n v="39.799999999999997"/>
  </r>
  <r>
    <d v="2025-11-29T05:25:18"/>
    <x v="3"/>
    <s v="Plaquettes d'ébauches carrées"/>
    <s v="U509351"/>
    <s v="DELIAT CHRISTOPHE"/>
    <n v="5"/>
    <x v="0"/>
    <x v="0"/>
    <s v="PLAQUETTES"/>
    <x v="3"/>
    <n v="39.799999999999997"/>
  </r>
  <r>
    <d v="2025-11-29T05:25:33"/>
    <x v="0"/>
    <s v="Plaquettes d'ébauches rhombiques"/>
    <s v="U509351"/>
    <s v="DELIAT CHRISTOPHE"/>
    <n v="5"/>
    <x v="0"/>
    <x v="0"/>
    <s v="PLAQUETTES"/>
    <x v="3"/>
    <n v="39.799999999999997"/>
  </r>
  <r>
    <d v="2025-11-29T05:25:46"/>
    <x v="3"/>
    <s v="Plaquettes d'ébauches carrées"/>
    <s v="U509351"/>
    <s v="DELIAT CHRISTOPHE"/>
    <n v="5"/>
    <x v="1"/>
    <x v="3"/>
    <s v="PLAQUETTES"/>
    <x v="3"/>
    <n v="39.799999999999997"/>
  </r>
  <r>
    <d v="2025-11-29T05:26:00"/>
    <x v="0"/>
    <s v="Plaquettes d'ébauches rhombiques"/>
    <s v="U509351"/>
    <s v="DELIAT CHRISTOPHE"/>
    <n v="5"/>
    <x v="1"/>
    <x v="3"/>
    <s v="PLAQUETTES"/>
    <x v="3"/>
    <n v="39.799999999999997"/>
  </r>
  <r>
    <d v="2025-11-29T05:26:16"/>
    <x v="3"/>
    <s v="Plaquettes d'ébauches carrées"/>
    <s v="U509351"/>
    <s v="DELIAT CHRISTOPHE"/>
    <n v="5"/>
    <x v="1"/>
    <x v="0"/>
    <s v="PLAQUETTES"/>
    <x v="3"/>
    <n v="39.799999999999997"/>
  </r>
  <r>
    <d v="2025-11-29T05:26:35"/>
    <x v="0"/>
    <s v="Plaquettes d'ébauches rhombiques"/>
    <s v="U509351"/>
    <s v="DELIAT CHRISTOPHE"/>
    <n v="5"/>
    <x v="1"/>
    <x v="0"/>
    <s v="PLAQUETTES"/>
    <x v="3"/>
    <n v="39.799999999999997"/>
  </r>
  <r>
    <d v="2025-11-29T05:37:27"/>
    <x v="5"/>
    <s v="Plaquettes de finition"/>
    <s v="10301115"/>
    <s v="BOUCHART LUDOVIC"/>
    <n v="5"/>
    <x v="0"/>
    <x v="2"/>
    <s v="PLAQUETTES"/>
    <x v="3"/>
    <n v="42.5"/>
  </r>
  <r>
    <d v="2025-11-29T05:37:40"/>
    <x v="6"/>
    <s v="Plaquettes de finition triangulaires"/>
    <s v="10301115"/>
    <s v="BOUCHART LUDOVIC"/>
    <n v="5"/>
    <x v="0"/>
    <x v="2"/>
    <s v="PLAQUETTES"/>
    <x v="3"/>
    <n v="48.7"/>
  </r>
  <r>
    <d v="2025-11-29T05:37:51"/>
    <x v="2"/>
    <s v="Plaquettes de finition carrées"/>
    <s v="10301115"/>
    <s v="BOUCHART LUDOVIC"/>
    <n v="5"/>
    <x v="0"/>
    <x v="2"/>
    <s v="PLAQUETTES"/>
    <x v="3"/>
    <n v="47.8"/>
  </r>
  <r>
    <d v="2025-11-29T05:38:08"/>
    <x v="5"/>
    <s v="Plaquettes de finition"/>
    <s v="10301115"/>
    <s v="BOUCHART LUDOVIC"/>
    <n v="5"/>
    <x v="1"/>
    <x v="2"/>
    <s v="PLAQUETTES"/>
    <x v="3"/>
    <n v="42.5"/>
  </r>
  <r>
    <d v="2025-11-29T05:38:21"/>
    <x v="6"/>
    <s v="Plaquettes de finition triangulaires"/>
    <s v="10301115"/>
    <s v="BOUCHART LUDOVIC"/>
    <n v="5"/>
    <x v="1"/>
    <x v="2"/>
    <s v="PLAQUETTES"/>
    <x v="3"/>
    <n v="48.7"/>
  </r>
  <r>
    <d v="2025-11-29T05:38:34"/>
    <x v="2"/>
    <s v="Plaquettes de finition carrées"/>
    <s v="10301115"/>
    <s v="BOUCHART LUDOVIC"/>
    <n v="5"/>
    <x v="1"/>
    <x v="2"/>
    <s v="PLAQUETTES"/>
    <x v="3"/>
    <n v="47.8"/>
  </r>
  <r>
    <d v="2025-11-30T17:31:19"/>
    <x v="3"/>
    <s v="Plaquettes d'ébauches carrées"/>
    <s v="10301115"/>
    <s v="BOUCHART LUDOVIC"/>
    <n v="5"/>
    <x v="0"/>
    <x v="3"/>
    <s v="PLAQUETTES"/>
    <x v="3"/>
    <n v="39.799999999999997"/>
  </r>
  <r>
    <d v="2025-11-30T17:31:32"/>
    <x v="0"/>
    <s v="Plaquettes d'ébauches rhombiques"/>
    <s v="10301115"/>
    <s v="BOUCHART LUDOVIC"/>
    <n v="5"/>
    <x v="0"/>
    <x v="3"/>
    <s v="PLAQUETTES"/>
    <x v="3"/>
    <n v="39.799999999999997"/>
  </r>
  <r>
    <d v="2025-11-30T17:31:43"/>
    <x v="3"/>
    <s v="Plaquettes d'ébauches carrées"/>
    <s v="10301115"/>
    <s v="BOUCHART LUDOVIC"/>
    <n v="5"/>
    <x v="0"/>
    <x v="0"/>
    <s v="PLAQUETTES"/>
    <x v="3"/>
    <n v="39.799999999999997"/>
  </r>
  <r>
    <d v="2025-11-30T17:31:55"/>
    <x v="0"/>
    <s v="Plaquettes d'ébauches rhombiques"/>
    <s v="10301115"/>
    <s v="BOUCHART LUDOVIC"/>
    <n v="5"/>
    <x v="0"/>
    <x v="0"/>
    <s v="PLAQUETTES"/>
    <x v="3"/>
    <n v="39.799999999999997"/>
  </r>
  <r>
    <d v="2025-11-30T17:32:11"/>
    <x v="2"/>
    <s v="Plaquettes de finition carrées"/>
    <s v="10301115"/>
    <s v="BOUCHART LUDOVIC"/>
    <n v="5"/>
    <x v="0"/>
    <x v="2"/>
    <s v="PLAQUETTES"/>
    <x v="3"/>
    <n v="47.8"/>
  </r>
  <r>
    <d v="2025-11-30T17:32:26"/>
    <x v="3"/>
    <s v="Plaquettes d'ébauches carrées"/>
    <s v="10301115"/>
    <s v="BOUCHART LUDOVIC"/>
    <n v="5"/>
    <x v="1"/>
    <x v="3"/>
    <s v="PLAQUETTES"/>
    <x v="3"/>
    <n v="39.799999999999997"/>
  </r>
  <r>
    <d v="2025-11-30T17:32:39"/>
    <x v="0"/>
    <s v="Plaquettes d'ébauches rhombiques"/>
    <s v="10301115"/>
    <s v="BOUCHART LUDOVIC"/>
    <n v="5"/>
    <x v="0"/>
    <x v="3"/>
    <s v="PLAQUETTES"/>
    <x v="3"/>
    <n v="39.799999999999997"/>
  </r>
  <r>
    <d v="2025-11-30T17:32:54"/>
    <x v="3"/>
    <s v="Plaquettes d'ébauches carrées"/>
    <s v="10301115"/>
    <s v="BOUCHART LUDOVIC"/>
    <n v="5"/>
    <x v="1"/>
    <x v="0"/>
    <s v="PLAQUETTES"/>
    <x v="3"/>
    <n v="39.799999999999997"/>
  </r>
  <r>
    <d v="2025-11-30T17:33:05"/>
    <x v="0"/>
    <s v="Plaquettes d'ébauches rhombiques"/>
    <s v="10301115"/>
    <s v="BOUCHART LUDOVIC"/>
    <n v="5"/>
    <x v="1"/>
    <x v="0"/>
    <s v="PLAQUETTES"/>
    <x v="3"/>
    <n v="39.799999999999997"/>
  </r>
  <r>
    <d v="2025-11-30T17:33:22"/>
    <x v="2"/>
    <s v="Plaquettes de finition carrées"/>
    <s v="10301115"/>
    <s v="BOUCHART LUDOVIC"/>
    <n v="5"/>
    <x v="1"/>
    <x v="2"/>
    <s v="PLAQUETTES"/>
    <x v="3"/>
    <n v="47.8"/>
  </r>
  <r>
    <d v="2025-12-01T08:27:33"/>
    <x v="2"/>
    <s v="Plaquettes de finition carrées"/>
    <s v="31224"/>
    <s v="BIDOT MURIEL"/>
    <n v="5"/>
    <x v="1"/>
    <x v="2"/>
    <s v="PLAQUETTES"/>
    <x v="3"/>
    <n v="47.8"/>
  </r>
  <r>
    <d v="2025-12-01T14:00:37"/>
    <x v="1"/>
    <s v="EMBOUT KENTIP D13.3"/>
    <s v="020824"/>
    <s v="DASILVA AFONSO RENAUD"/>
    <n v="3"/>
    <x v="1"/>
    <x v="1"/>
    <s v="PLAQUETTES"/>
    <x v="1"/>
    <n v="140.85"/>
  </r>
  <r>
    <d v="2025-12-01T14:00:51"/>
    <x v="9"/>
    <s v="EMBOUT KENTIP D8.6"/>
    <s v="020824"/>
    <s v="DASILVA AFONSO RENAUD"/>
    <n v="1"/>
    <x v="1"/>
    <x v="1"/>
    <s v="PLAQUETTES"/>
    <x v="1"/>
    <n v="50"/>
  </r>
  <r>
    <d v="2025-12-01T21:45:21"/>
    <x v="2"/>
    <s v="Plaquettes de finition carrées"/>
    <s v="7236310"/>
    <s v="OZYURT IREM"/>
    <n v="5"/>
    <x v="0"/>
    <x v="2"/>
    <s v="PLAQUETTES"/>
    <x v="3"/>
    <n v="47.8"/>
  </r>
  <r>
    <d v="2025-12-02T04:49:46"/>
    <x v="2"/>
    <s v="Plaquettes de finition carrées"/>
    <s v="7236310"/>
    <s v="OZYURT IREM"/>
    <n v="5"/>
    <x v="0"/>
    <x v="2"/>
    <s v="PLAQUETTES"/>
    <x v="3"/>
    <n v="47.8"/>
  </r>
  <r>
    <d v="2025-12-02T05:14:35"/>
    <x v="3"/>
    <s v="Plaquettes d'ébauches carrées"/>
    <s v="31224"/>
    <s v="BIDOT MURIEL"/>
    <n v="5"/>
    <x v="1"/>
    <x v="3"/>
    <s v="PLAQUETTES"/>
    <x v="3"/>
    <n v="39.799999999999997"/>
  </r>
  <r>
    <d v="2025-12-02T05:14:54"/>
    <x v="0"/>
    <s v="Plaquettes d'ébauches rhombiques"/>
    <s v="31224"/>
    <s v="BIDOT MURIEL"/>
    <n v="5"/>
    <x v="1"/>
    <x v="3"/>
    <s v="PLAQUETTES"/>
    <x v="3"/>
    <n v="39.799999999999997"/>
  </r>
  <r>
    <d v="2025-12-02T05:15:10"/>
    <x v="0"/>
    <s v="Plaquettes d'ébauches rhombiques"/>
    <s v="31224"/>
    <s v="BIDOT MURIEL"/>
    <n v="5"/>
    <x v="1"/>
    <x v="3"/>
    <s v="PLAQUETTES"/>
    <x v="3"/>
    <n v="39.799999999999997"/>
  </r>
  <r>
    <d v="2025-12-02T05:15:28"/>
    <x v="6"/>
    <s v="Plaquettes de finition triangulaires"/>
    <s v="31224"/>
    <s v="BIDOT MURIEL"/>
    <n v="5"/>
    <x v="1"/>
    <x v="2"/>
    <s v="PLAQUETTES"/>
    <x v="3"/>
    <n v="48.7"/>
  </r>
  <r>
    <d v="2025-12-02T05:15:45"/>
    <x v="2"/>
    <s v="Plaquettes de finition carrées"/>
    <s v="31224"/>
    <s v="BIDOT MURIEL"/>
    <n v="5"/>
    <x v="1"/>
    <x v="2"/>
    <s v="PLAQUETTES"/>
    <x v="3"/>
    <n v="47.8"/>
  </r>
  <r>
    <d v="2025-12-02T12:14:57"/>
    <x v="3"/>
    <s v="Plaquettes d'ébauches carrées"/>
    <s v="045B77CAA77080"/>
    <s v="CAMUS CAMILLE"/>
    <n v="5"/>
    <x v="0"/>
    <x v="3"/>
    <s v="PLAQUETTES"/>
    <x v="3"/>
    <n v="39.799999999999997"/>
  </r>
  <r>
    <d v="2025-12-02T12:15:10"/>
    <x v="0"/>
    <s v="Plaquettes d'ébauches rhombiques"/>
    <s v="045B77CAA77080"/>
    <s v="CAMUS CAMILLE"/>
    <n v="5"/>
    <x v="0"/>
    <x v="3"/>
    <s v="PLAQUETTES"/>
    <x v="3"/>
    <n v="39.799999999999997"/>
  </r>
  <r>
    <d v="2025-12-02T12:15:24"/>
    <x v="0"/>
    <s v="Plaquettes d'ébauches rhombiques"/>
    <s v="045B77CAA77080"/>
    <s v="CAMUS CAMILLE"/>
    <n v="5"/>
    <x v="0"/>
    <x v="3"/>
    <s v="PLAQUETTES"/>
    <x v="3"/>
    <n v="39.799999999999997"/>
  </r>
  <r>
    <d v="2025-12-02T12:16:00"/>
    <x v="2"/>
    <s v="Plaquettes de finition carrées"/>
    <s v="045B77CAA77080"/>
    <s v="CAMUS CAMILLE"/>
    <n v="5"/>
    <x v="0"/>
    <x v="2"/>
    <s v="PLAQUETTES"/>
    <x v="3"/>
    <n v="47.8"/>
  </r>
  <r>
    <d v="2025-12-02T13:48:40"/>
    <x v="1"/>
    <s v="EMBOUT KENTIP D13.3"/>
    <s v="020824"/>
    <s v="DASILVA AFONSO RENAUD"/>
    <n v="2"/>
    <x v="1"/>
    <x v="1"/>
    <s v="PLAQUETTES"/>
    <x v="1"/>
    <n v="93.9"/>
  </r>
  <r>
    <d v="2025-12-02T13:48:53"/>
    <x v="9"/>
    <s v="EMBOUT KENTIP D8.6"/>
    <s v="020824"/>
    <s v="DASILVA AFONSO RENAUD"/>
    <n v="2"/>
    <x v="1"/>
    <x v="1"/>
    <s v="PLAQUETTES"/>
    <x v="1"/>
    <n v="100"/>
  </r>
  <r>
    <d v="2025-12-02T13:55:54"/>
    <x v="3"/>
    <s v="Plaquettes d'ébauches carrées"/>
    <s v="020824"/>
    <s v="DASILVA AFONSO RENAUD"/>
    <n v="5"/>
    <x v="0"/>
    <x v="3"/>
    <s v="PLAQUETTES"/>
    <x v="3"/>
    <n v="39.799999999999997"/>
  </r>
  <r>
    <d v="2025-12-03T03:40:18"/>
    <x v="2"/>
    <s v="Plaquettes de finition carrées"/>
    <s v="7236310"/>
    <s v="OZYURT IREM"/>
    <n v="5"/>
    <x v="0"/>
    <x v="2"/>
    <s v="PLAQUETTES"/>
    <x v="3"/>
    <n v="47.8"/>
  </r>
  <r>
    <d v="2025-12-03T03:40:30"/>
    <x v="2"/>
    <s v="Plaquettes de finition carrées"/>
    <s v="7236310"/>
    <s v="OZYURT IREM"/>
    <n v="5"/>
    <x v="1"/>
    <x v="2"/>
    <s v="PLAQUETTES"/>
    <x v="3"/>
    <n v="47.8"/>
  </r>
  <r>
    <d v="2025-12-03T04:01:17"/>
    <x v="0"/>
    <s v="Plaquettes d'ébauches rhombiques"/>
    <s v="090225"/>
    <s v="MEYER THOMAS"/>
    <n v="5"/>
    <x v="1"/>
    <x v="3"/>
    <s v="PLAQUETTES"/>
    <x v="3"/>
    <n v="39.799999999999997"/>
  </r>
  <r>
    <d v="2025-12-03T04:01:36"/>
    <x v="0"/>
    <s v="Plaquettes d'ébauches rhombiques"/>
    <s v="090225"/>
    <s v="MEYER THOMAS"/>
    <n v="5"/>
    <x v="1"/>
    <x v="0"/>
    <s v="PLAQUETTES"/>
    <x v="3"/>
    <n v="39.799999999999997"/>
  </r>
  <r>
    <d v="2025-12-03T04:01:50"/>
    <x v="0"/>
    <s v="Plaquettes d'ébauches rhombiques"/>
    <s v="090225"/>
    <s v="MEYER THOMAS"/>
    <n v="5"/>
    <x v="0"/>
    <x v="3"/>
    <s v="PLAQUETTES"/>
    <x v="3"/>
    <n v="39.799999999999997"/>
  </r>
  <r>
    <d v="2025-12-03T04:02:03"/>
    <x v="0"/>
    <s v="Plaquettes d'ébauches rhombiques"/>
    <s v="090225"/>
    <s v="MEYER THOMAS"/>
    <n v="5"/>
    <x v="0"/>
    <x v="0"/>
    <s v="PLAQUETTES"/>
    <x v="3"/>
    <n v="39.799999999999997"/>
  </r>
  <r>
    <d v="2025-12-03T05:52:39"/>
    <x v="0"/>
    <s v="Plaquettes d'ébauches rhombiques"/>
    <s v="045B77CAA77080"/>
    <s v="CAMUS CAMILLE"/>
    <n v="5"/>
    <x v="0"/>
    <x v="3"/>
    <s v="PLAQUETTES"/>
    <x v="3"/>
    <n v="39.799999999999997"/>
  </r>
  <r>
    <d v="2025-12-03T05:52:53"/>
    <x v="0"/>
    <s v="Plaquettes d'ébauches rhombiques"/>
    <s v="045B77CAA77080"/>
    <s v="CAMUS CAMILLE"/>
    <n v="5"/>
    <x v="0"/>
    <x v="3"/>
    <s v="PLAQUETTES"/>
    <x v="3"/>
    <n v="39.799999999999997"/>
  </r>
  <r>
    <d v="2025-12-03T05:53:05"/>
    <x v="3"/>
    <s v="Plaquettes d'ébauches carrées"/>
    <s v="045B77CAA77080"/>
    <s v="CAMUS CAMILLE"/>
    <n v="5"/>
    <x v="0"/>
    <x v="3"/>
    <s v="PLAQUETTES"/>
    <x v="3"/>
    <n v="39.799999999999997"/>
  </r>
  <r>
    <d v="2025-12-03T05:53:25"/>
    <x v="3"/>
    <s v="Plaquettes d'ébauches carrées"/>
    <s v="045B77CAA77080"/>
    <s v="CAMUS CAMILLE"/>
    <n v="5"/>
    <x v="0"/>
    <x v="3"/>
    <s v="PLAQUETTES"/>
    <x v="3"/>
    <n v="39.799999999999997"/>
  </r>
  <r>
    <d v="2025-12-03T05:53:39"/>
    <x v="0"/>
    <s v="Plaquettes d'ébauches rhombiques"/>
    <s v="045B77CAA77080"/>
    <s v="CAMUS CAMILLE"/>
    <n v="5"/>
    <x v="0"/>
    <x v="0"/>
    <s v="PLAQUETTES"/>
    <x v="3"/>
    <n v="39.799999999999997"/>
  </r>
  <r>
    <d v="2025-12-03T05:53:50"/>
    <x v="0"/>
    <s v="Plaquettes d'ébauches rhombiques"/>
    <s v="045B77CAA77080"/>
    <s v="CAMUS CAMILLE"/>
    <n v="5"/>
    <x v="0"/>
    <x v="0"/>
    <s v="PLAQUETTES"/>
    <x v="3"/>
    <n v="39.799999999999997"/>
  </r>
  <r>
    <d v="2025-12-03T05:54:02"/>
    <x v="3"/>
    <s v="Plaquettes d'ébauches carrées"/>
    <s v="045B77CAA77080"/>
    <s v="CAMUS CAMILLE"/>
    <n v="5"/>
    <x v="0"/>
    <x v="0"/>
    <s v="PLAQUETTES"/>
    <x v="3"/>
    <n v="39.799999999999997"/>
  </r>
  <r>
    <d v="2025-12-03T05:54:15"/>
    <x v="3"/>
    <s v="Plaquettes d'ébauches carrées"/>
    <s v="045B77CAA77080"/>
    <s v="CAMUS CAMILLE"/>
    <n v="5"/>
    <x v="0"/>
    <x v="0"/>
    <s v="PLAQUETTES"/>
    <x v="3"/>
    <n v="39.799999999999997"/>
  </r>
  <r>
    <d v="2025-12-03T05:54:31"/>
    <x v="6"/>
    <s v="Plaquettes de finition triangulaires"/>
    <s v="045B77CAA77080"/>
    <s v="CAMUS CAMILLE"/>
    <n v="5"/>
    <x v="0"/>
    <x v="2"/>
    <s v="PLAQUETTES"/>
    <x v="3"/>
    <n v="48.7"/>
  </r>
  <r>
    <d v="2025-12-03T05:54:48"/>
    <x v="2"/>
    <s v="Plaquettes de finition carrées"/>
    <s v="045B77CAA77080"/>
    <s v="CAMUS CAMILLE"/>
    <n v="5"/>
    <x v="0"/>
    <x v="2"/>
    <s v="PLAQUETTES"/>
    <x v="3"/>
    <n v="47.8"/>
  </r>
  <r>
    <d v="2025-12-03T05:55:13"/>
    <x v="2"/>
    <s v="Plaquettes de finition carrées"/>
    <s v="045B77CAA77080"/>
    <s v="CAMUS CAMILLE"/>
    <n v="5"/>
    <x v="0"/>
    <x v="2"/>
    <s v="PLAQUETTES"/>
    <x v="3"/>
    <n v="47.8"/>
  </r>
  <r>
    <d v="2025-12-03T13:12:04"/>
    <x v="2"/>
    <s v="Plaquettes de finition carrées"/>
    <s v="040E47C25C7780"/>
    <s v="PARINGAUX CARROLANE"/>
    <n v="5"/>
    <x v="1"/>
    <x v="2"/>
    <s v="PLAQUETTES"/>
    <x v="3"/>
    <n v="47.8"/>
  </r>
  <r>
    <d v="2025-12-04T00:57:33"/>
    <x v="2"/>
    <s v="Plaquettes de finition carrées"/>
    <s v="7236310"/>
    <s v="OZYURT IREM"/>
    <n v="5"/>
    <x v="0"/>
    <x v="2"/>
    <s v="PLAQUETTES"/>
    <x v="3"/>
    <n v="47.8"/>
  </r>
  <r>
    <d v="2025-12-04T00:57:46"/>
    <x v="2"/>
    <s v="Plaquettes de finition carrées"/>
    <s v="7236310"/>
    <s v="OZYURT IREM"/>
    <n v="5"/>
    <x v="0"/>
    <x v="2"/>
    <s v="PLAQUETTES"/>
    <x v="3"/>
    <n v="47.8"/>
  </r>
  <r>
    <d v="2025-12-04T19:31:48"/>
    <x v="0"/>
    <s v="Plaquettes d'ébauches rhombiques"/>
    <s v="040E47C25C7780"/>
    <s v="PARINGAUX CARROLANE"/>
    <n v="5"/>
    <x v="1"/>
    <x v="0"/>
    <s v="PLAQUETTES"/>
    <x v="3"/>
    <n v="39.799999999999997"/>
  </r>
  <r>
    <d v="2025-12-04T19:31:59"/>
    <x v="0"/>
    <s v="Plaquettes d'ébauches rhombiques"/>
    <s v="040E47C25C7780"/>
    <s v="PARINGAUX CARROLANE"/>
    <n v="5"/>
    <x v="1"/>
    <x v="3"/>
    <s v="PLAQUETTES"/>
    <x v="3"/>
    <n v="39.799999999999997"/>
  </r>
  <r>
    <d v="2025-12-05T01:03:19"/>
    <x v="0"/>
    <s v="Plaquettes d'ébauches rhombiques"/>
    <s v="090225"/>
    <s v="MEYER THOMAS"/>
    <n v="5"/>
    <x v="1"/>
    <x v="3"/>
    <s v="PLAQUETTES"/>
    <x v="3"/>
    <n v="39.799999999999997"/>
  </r>
  <r>
    <d v="2025-12-05T01:03:38"/>
    <x v="0"/>
    <s v="Plaquettes d'ébauches rhombiques"/>
    <s v="090225"/>
    <s v="MEYER THOMAS"/>
    <n v="5"/>
    <x v="1"/>
    <x v="0"/>
    <s v="PLAQUETTES"/>
    <x v="3"/>
    <n v="39.799999999999997"/>
  </r>
  <r>
    <d v="2025-12-05T01:03:50"/>
    <x v="0"/>
    <s v="Plaquettes d'ébauches rhombiques"/>
    <s v="090225"/>
    <s v="MEYER THOMAS"/>
    <n v="5"/>
    <x v="0"/>
    <x v="3"/>
    <s v="PLAQUETTES"/>
    <x v="0"/>
    <n v="39.799999999999997"/>
  </r>
  <r>
    <d v="2025-12-05T01:04:02"/>
    <x v="0"/>
    <s v="Plaquettes d'ébauches rhombiques"/>
    <s v="090225"/>
    <s v="MEYER THOMAS"/>
    <n v="5"/>
    <x v="0"/>
    <x v="0"/>
    <s v="PLAQUETTES"/>
    <x v="0"/>
    <n v="39.799999999999997"/>
  </r>
  <r>
    <d v="2025-12-05T04:23:53"/>
    <x v="2"/>
    <s v="Plaquettes de finition carrées"/>
    <s v="7236310"/>
    <s v="OZYURT IREM"/>
    <n v="5"/>
    <x v="1"/>
    <x v="2"/>
    <s v="PLAQUETTES"/>
    <x v="3"/>
    <n v="47.8"/>
  </r>
  <r>
    <d v="2025-12-05T05:11:18"/>
    <x v="3"/>
    <s v="Plaquettes d'ébauches carrées"/>
    <s v="10301115"/>
    <s v="BOUCHART LUDOVIC"/>
    <n v="5"/>
    <x v="0"/>
    <x v="3"/>
    <s v="PLAQUETTES"/>
    <x v="0"/>
    <n v="39.799999999999997"/>
  </r>
  <r>
    <d v="2025-12-05T05:11:32"/>
    <x v="0"/>
    <s v="Plaquettes d'ébauches rhombiques"/>
    <s v="10301115"/>
    <s v="BOUCHART LUDOVIC"/>
    <n v="5"/>
    <x v="0"/>
    <x v="3"/>
    <s v="PLAQUETTES"/>
    <x v="0"/>
    <n v="39.799999999999997"/>
  </r>
  <r>
    <d v="2025-12-05T05:11:44"/>
    <x v="4"/>
    <s v="Plaquettes de gorges"/>
    <s v="10301115"/>
    <s v="BOUCHART LUDOVIC"/>
    <n v="10"/>
    <x v="0"/>
    <x v="0"/>
    <s v="PLAQUETTES"/>
    <x v="0"/>
    <n v="188"/>
  </r>
  <r>
    <d v="2025-12-05T05:12:02"/>
    <x v="3"/>
    <s v="Plaquettes d'ébauches carrées"/>
    <s v="10301115"/>
    <s v="BOUCHART LUDOVIC"/>
    <n v="5"/>
    <x v="0"/>
    <x v="0"/>
    <s v="PLAQUETTES"/>
    <x v="0"/>
    <n v="39.799999999999997"/>
  </r>
  <r>
    <d v="2025-12-05T05:12:19"/>
    <x v="0"/>
    <s v="Plaquettes d'ébauches rhombiques"/>
    <s v="10301115"/>
    <s v="BOUCHART LUDOVIC"/>
    <n v="5"/>
    <x v="0"/>
    <x v="0"/>
    <s v="PLAQUETTES"/>
    <x v="0"/>
    <n v="39.799999999999997"/>
  </r>
  <r>
    <d v="2025-12-05T05:12:35"/>
    <x v="3"/>
    <s v="Plaquettes d'ébauches carrées"/>
    <s v="10301115"/>
    <s v="BOUCHART LUDOVIC"/>
    <n v="5"/>
    <x v="1"/>
    <x v="0"/>
    <s v="PLAQUETTES"/>
    <x v="3"/>
    <n v="39.799999999999997"/>
  </r>
  <r>
    <d v="2025-12-05T05:12:49"/>
    <x v="0"/>
    <s v="Plaquettes d'ébauches rhombiques"/>
    <s v="10301115"/>
    <s v="BOUCHART LUDOVIC"/>
    <n v="5"/>
    <x v="1"/>
    <x v="0"/>
    <s v="PLAQUETTES"/>
    <x v="3"/>
    <n v="39.799999999999997"/>
  </r>
  <r>
    <d v="2025-12-05T05:13:04"/>
    <x v="3"/>
    <s v="Plaquettes d'ébauches carrées"/>
    <s v="10301115"/>
    <s v="BOUCHART LUDOVIC"/>
    <n v="5"/>
    <x v="0"/>
    <x v="3"/>
    <s v="PLAQUETTES"/>
    <x v="3"/>
    <n v="39.799999999999997"/>
  </r>
  <r>
    <d v="2025-12-05T05:13:19"/>
    <x v="0"/>
    <s v="Plaquettes d'ébauches rhombiques"/>
    <s v="10301115"/>
    <s v="BOUCHART LUDOVIC"/>
    <n v="5"/>
    <x v="1"/>
    <x v="3"/>
    <s v="PLAQUETTES"/>
    <x v="3"/>
    <n v="39.799999999999997"/>
  </r>
  <r>
    <d v="2025-12-05T05:13:38"/>
    <x v="5"/>
    <s v="Plaquettes de finition"/>
    <s v="10301115"/>
    <s v="BOUCHART LUDOVIC"/>
    <n v="5"/>
    <x v="1"/>
    <x v="2"/>
    <s v="PLAQUETTES"/>
    <x v="3"/>
    <n v="42.5"/>
  </r>
  <r>
    <d v="2025-12-05T05:13:52"/>
    <x v="6"/>
    <s v="Plaquettes de finition triangulaires"/>
    <s v="10301115"/>
    <s v="BOUCHART LUDOVIC"/>
    <n v="5"/>
    <x v="1"/>
    <x v="2"/>
    <s v="PLAQUETTES"/>
    <x v="3"/>
    <n v="48.7"/>
  </r>
  <r>
    <d v="2025-12-05T05:14:05"/>
    <x v="2"/>
    <s v="Plaquettes de finition carrées"/>
    <s v="10301115"/>
    <s v="BOUCHART LUDOVIC"/>
    <n v="5"/>
    <x v="1"/>
    <x v="2"/>
    <s v="PLAQUETTES"/>
    <x v="3"/>
    <n v="47.8"/>
  </r>
  <r>
    <d v="2025-12-05T05:14:29"/>
    <x v="2"/>
    <s v="Plaquettes de finition carrées"/>
    <s v="10301115"/>
    <s v="BOUCHART LUDOVIC"/>
    <n v="5"/>
    <x v="0"/>
    <x v="2"/>
    <s v="PLAQUETTES"/>
    <x v="0"/>
    <n v="47.8"/>
  </r>
  <r>
    <d v="2025-12-05T13:29:45"/>
    <x v="3"/>
    <s v="Plaquettes d'ébauches carrées"/>
    <s v="040E47C25C7780"/>
    <s v="PARINGAUX CARROLANE"/>
    <n v="5"/>
    <x v="1"/>
    <x v="3"/>
    <s v="PLAQUETTES"/>
    <x v="3"/>
    <n v="39.799999999999997"/>
  </r>
  <r>
    <d v="2025-12-06T00:58:28"/>
    <x v="2"/>
    <s v="Plaquettes de finition carrées"/>
    <s v="7236310"/>
    <s v="OZYURT IREM"/>
    <n v="5"/>
    <x v="0"/>
    <x v="2"/>
    <s v="PLAQUETTES"/>
    <x v="0"/>
    <n v="47.8"/>
  </r>
  <r>
    <d v="2025-12-06T05:07:30"/>
    <x v="3"/>
    <s v="Plaquettes d'ébauches carrées"/>
    <s v="10301115"/>
    <s v="BOUCHART LUDOVIC"/>
    <n v="5"/>
    <x v="0"/>
    <x v="3"/>
    <s v="PLAQUETTES"/>
    <x v="0"/>
    <n v="39.799999999999997"/>
  </r>
  <r>
    <d v="2025-12-06T05:07:43"/>
    <x v="0"/>
    <s v="Plaquettes d'ébauches rhombiques"/>
    <s v="10301115"/>
    <s v="BOUCHART LUDOVIC"/>
    <n v="5"/>
    <x v="0"/>
    <x v="3"/>
    <s v="PLAQUETTES"/>
    <x v="0"/>
    <n v="39.799999999999997"/>
  </r>
  <r>
    <d v="2025-12-06T05:07:57"/>
    <x v="4"/>
    <s v="Plaquettes de gorges"/>
    <s v="10301115"/>
    <s v="BOUCHART LUDOVIC"/>
    <n v="10"/>
    <x v="0"/>
    <x v="0"/>
    <s v="PLAQUETTES"/>
    <x v="0"/>
    <n v="188"/>
  </r>
  <r>
    <d v="2025-12-06T05:08:17"/>
    <x v="3"/>
    <s v="Plaquettes d'ébauches carrées"/>
    <s v="10301115"/>
    <s v="BOUCHART LUDOVIC"/>
    <n v="5"/>
    <x v="0"/>
    <x v="0"/>
    <s v="PLAQUETTES"/>
    <x v="0"/>
    <n v="39.799999999999997"/>
  </r>
  <r>
    <d v="2025-12-06T05:08:41"/>
    <x v="0"/>
    <s v="Plaquettes d'ébauches rhombiques"/>
    <s v="10301115"/>
    <s v="BOUCHART LUDOVIC"/>
    <n v="5"/>
    <x v="0"/>
    <x v="0"/>
    <s v="PLAQUETTES"/>
    <x v="0"/>
    <n v="39.799999999999997"/>
  </r>
  <r>
    <d v="2025-12-06T05:08:56"/>
    <x v="2"/>
    <s v="Plaquettes de finition carrées"/>
    <s v="10301115"/>
    <s v="BOUCHART LUDOVIC"/>
    <n v="5"/>
    <x v="0"/>
    <x v="2"/>
    <s v="PLAQUETTES"/>
    <x v="0"/>
    <n v="47.8"/>
  </r>
  <r>
    <d v="2025-12-06T05:09:22"/>
    <x v="3"/>
    <s v="Plaquettes d'ébauches carrées"/>
    <s v="10301115"/>
    <s v="BOUCHART LUDOVIC"/>
    <n v="5"/>
    <x v="1"/>
    <x v="3"/>
    <s v="PLAQUETTES"/>
    <x v="3"/>
    <n v="39.799999999999997"/>
  </r>
  <r>
    <d v="2025-12-06T05:09:36"/>
    <x v="0"/>
    <s v="Plaquettes d'ébauches rhombiques"/>
    <s v="10301115"/>
    <s v="BOUCHART LUDOVIC"/>
    <n v="5"/>
    <x v="1"/>
    <x v="3"/>
    <s v="PLAQUETTES"/>
    <x v="3"/>
    <n v="39.799999999999997"/>
  </r>
  <r>
    <d v="2025-12-06T05:10:00"/>
    <x v="3"/>
    <s v="Plaquettes d'ébauches carrées"/>
    <s v="10301115"/>
    <s v="BOUCHART LUDOVIC"/>
    <n v="5"/>
    <x v="1"/>
    <x v="0"/>
    <s v="PLAQUETTES"/>
    <x v="3"/>
    <n v="39.799999999999997"/>
  </r>
  <r>
    <d v="2025-12-06T05:10:18"/>
    <x v="0"/>
    <s v="Plaquettes d'ébauches rhombiques"/>
    <s v="10301115"/>
    <s v="BOUCHART LUDOVIC"/>
    <n v="5"/>
    <x v="1"/>
    <x v="0"/>
    <s v="PLAQUETTES"/>
    <x v="3"/>
    <n v="39.799999999999997"/>
  </r>
  <r>
    <d v="2025-12-06T05:10:42"/>
    <x v="2"/>
    <s v="Plaquettes de finition carrées"/>
    <s v="10301115"/>
    <s v="BOUCHART LUDOVIC"/>
    <n v="5"/>
    <x v="1"/>
    <x v="2"/>
    <s v="PLAQUETTES"/>
    <x v="3"/>
    <n v="47.8"/>
  </r>
  <r>
    <d v="2025-12-06T05:20:22"/>
    <x v="2"/>
    <s v="Plaquettes de finition carrées"/>
    <s v="10301115"/>
    <s v="BOUCHART LUDOVIC"/>
    <n v="5"/>
    <x v="1"/>
    <x v="2"/>
    <s v="PLAQUETTES"/>
    <x v="3"/>
    <n v="47.8"/>
  </r>
  <r>
    <d v="2025-12-07T18:21:10"/>
    <x v="3"/>
    <s v="Plaquettes d'ébauches carrées"/>
    <s v="10301115"/>
    <s v="BOUCHART LUDOVIC"/>
    <n v="5"/>
    <x v="0"/>
    <x v="3"/>
    <s v="PLAQUETTES"/>
    <x v="0"/>
    <n v="39.799999999999997"/>
  </r>
  <r>
    <d v="2025-12-07T18:21:24"/>
    <x v="0"/>
    <s v="Plaquettes d'ébauches rhombiques"/>
    <s v="10301115"/>
    <s v="BOUCHART LUDOVIC"/>
    <n v="5"/>
    <x v="0"/>
    <x v="3"/>
    <s v="PLAQUETTES"/>
    <x v="0"/>
    <n v="39.799999999999997"/>
  </r>
  <r>
    <d v="2025-12-07T18:21:40"/>
    <x v="3"/>
    <s v="Plaquettes d'ébauches carrées"/>
    <s v="10301115"/>
    <s v="BOUCHART LUDOVIC"/>
    <n v="5"/>
    <x v="0"/>
    <x v="0"/>
    <s v="PLAQUETTES"/>
    <x v="0"/>
    <n v="39.799999999999997"/>
  </r>
  <r>
    <d v="2025-12-07T18:21:54"/>
    <x v="0"/>
    <s v="Plaquettes d'ébauches rhombiques"/>
    <s v="10301115"/>
    <s v="BOUCHART LUDOVIC"/>
    <n v="5"/>
    <x v="0"/>
    <x v="0"/>
    <s v="PLAQUETTES"/>
    <x v="0"/>
    <n v="39.799999999999997"/>
  </r>
  <r>
    <d v="2025-12-07T18:22:09"/>
    <x v="2"/>
    <s v="Plaquettes de finition carrées"/>
    <s v="10301115"/>
    <s v="BOUCHART LUDOVIC"/>
    <n v="5"/>
    <x v="0"/>
    <x v="2"/>
    <s v="PLAQUETTES"/>
    <x v="0"/>
    <n v="47.8"/>
  </r>
  <r>
    <d v="2025-12-07T18:22:21"/>
    <x v="3"/>
    <s v="Plaquettes d'ébauches carrées"/>
    <s v="10301115"/>
    <s v="BOUCHART LUDOVIC"/>
    <n v="5"/>
    <x v="1"/>
    <x v="3"/>
    <s v="PLAQUETTES"/>
    <x v="3"/>
    <n v="39.799999999999997"/>
  </r>
  <r>
    <d v="2025-12-07T18:22:33"/>
    <x v="0"/>
    <s v="Plaquettes d'ébauches rhombiques"/>
    <s v="10301115"/>
    <s v="BOUCHART LUDOVIC"/>
    <n v="5"/>
    <x v="1"/>
    <x v="3"/>
    <s v="PLAQUETTES"/>
    <x v="3"/>
    <n v="39.799999999999997"/>
  </r>
  <r>
    <d v="2025-12-07T18:22:48"/>
    <x v="3"/>
    <s v="Plaquettes d'ébauches carrées"/>
    <s v="10301115"/>
    <s v="BOUCHART LUDOVIC"/>
    <n v="5"/>
    <x v="1"/>
    <x v="0"/>
    <s v="PLAQUETTES"/>
    <x v="3"/>
    <n v="39.799999999999997"/>
  </r>
  <r>
    <d v="2025-12-07T18:23:00"/>
    <x v="0"/>
    <s v="Plaquettes d'ébauches rhombiques"/>
    <s v="10301115"/>
    <s v="BOUCHART LUDOVIC"/>
    <n v="5"/>
    <x v="1"/>
    <x v="0"/>
    <s v="PLAQUETTES"/>
    <x v="3"/>
    <n v="39.799999999999997"/>
  </r>
  <r>
    <d v="2025-12-07T18:23:14"/>
    <x v="2"/>
    <s v="Plaquettes de finition carrées"/>
    <s v="10301115"/>
    <s v="BOUCHART LUDOVIC"/>
    <n v="5"/>
    <x v="1"/>
    <x v="2"/>
    <s v="PLAQUETTES"/>
    <x v="3"/>
    <n v="47.8"/>
  </r>
  <r>
    <d v="2025-12-08T14:59:21"/>
    <x v="10"/>
    <s v="Plaquettes TPGX0902ZPRGD KC7315"/>
    <s v="12824586"/>
    <s v="DASILVA FERNANDO"/>
    <n v="10"/>
    <x v="0"/>
    <x v="1"/>
    <s v="PLAQUETTES"/>
    <x v="1"/>
    <n v="81.5"/>
  </r>
  <r>
    <d v="2025-12-08T14:59:40"/>
    <x v="7"/>
    <s v="Plaquettes VCGT21A52 SP4019"/>
    <s v="12824586"/>
    <s v="DASILVA FERNANDO"/>
    <n v="5"/>
    <x v="0"/>
    <x v="1"/>
    <s v="PLAQUETTES"/>
    <x v="1"/>
    <n v="60.9"/>
  </r>
  <r>
    <d v="2025-12-08T23:27:16"/>
    <x v="4"/>
    <s v="Plaquettes de gorges"/>
    <s v="090225"/>
    <s v="MEYER THOMAS"/>
    <n v="10"/>
    <x v="0"/>
    <x v="0"/>
    <s v="PLAQUETTES"/>
    <x v="0"/>
    <n v="188"/>
  </r>
  <r>
    <d v="2025-12-09T04:06:14"/>
    <x v="2"/>
    <s v="Plaquettes de finition carrées"/>
    <s v="7236310"/>
    <s v="OZYURT IREM"/>
    <n v="5"/>
    <x v="0"/>
    <x v="2"/>
    <s v="PLAQUETTES"/>
    <x v="3"/>
    <n v="47.8"/>
  </r>
  <r>
    <d v="2025-12-09T07:56:34"/>
    <x v="2"/>
    <s v="Plaquettes de finition carrées"/>
    <s v="040E47C25C7780"/>
    <s v="PARINGAUX CARROLANE"/>
    <n v="5"/>
    <x v="1"/>
    <x v="2"/>
    <s v="PLAQUETTES"/>
    <x v="3"/>
    <n v="47.8"/>
  </r>
  <r>
    <d v="2025-12-09T13:27:01"/>
    <x v="3"/>
    <s v="Plaquettes d'ébauches carrées"/>
    <s v="045B77CAA77080"/>
    <s v="CAMUS CAMILLE"/>
    <n v="5"/>
    <x v="0"/>
    <x v="3"/>
    <s v="PLAQUETTES"/>
    <x v="0"/>
    <n v="39.799999999999997"/>
  </r>
  <r>
    <d v="2025-12-09T13:27:18"/>
    <x v="3"/>
    <s v="Plaquettes d'ébauches carrées"/>
    <s v="045B77CAA77080"/>
    <s v="CAMUS CAMILLE"/>
    <n v="5"/>
    <x v="0"/>
    <x v="3"/>
    <s v="PLAQUETTES"/>
    <x v="3"/>
    <n v="39.799999999999997"/>
  </r>
  <r>
    <d v="2025-12-09T13:27:34"/>
    <x v="3"/>
    <s v="Plaquettes d'ébauches carrées"/>
    <s v="045B77CAA77080"/>
    <s v="CAMUS CAMILLE"/>
    <n v="5"/>
    <x v="0"/>
    <x v="3"/>
    <s v="PLAQUETTES"/>
    <x v="0"/>
    <n v="39.799999999999997"/>
  </r>
  <r>
    <d v="2025-12-09T13:27:49"/>
    <x v="4"/>
    <s v="Plaquettes de gorges"/>
    <s v="045B77CAA77080"/>
    <s v="CAMUS CAMILLE"/>
    <n v="10"/>
    <x v="0"/>
    <x v="0"/>
    <s v="PLAQUETTES"/>
    <x v="0"/>
    <n v="188"/>
  </r>
  <r>
    <d v="2025-12-09T13:28:06"/>
    <x v="2"/>
    <s v="Plaquettes de finition carrées"/>
    <s v="045B77CAA77080"/>
    <s v="CAMUS CAMILLE"/>
    <n v="5"/>
    <x v="0"/>
    <x v="2"/>
    <s v="PLAQUETTES"/>
    <x v="0"/>
    <n v="47.8"/>
  </r>
  <r>
    <d v="2025-12-09T13:28:26"/>
    <x v="0"/>
    <s v="Plaquettes d'ébauches rhombiques"/>
    <s v="045B77CAA77080"/>
    <s v="CAMUS CAMILLE"/>
    <n v="5"/>
    <x v="0"/>
    <x v="3"/>
    <s v="PLAQUETTES"/>
    <x v="0"/>
    <n v="39.799999999999997"/>
  </r>
  <r>
    <d v="2025-12-10T01:11:01"/>
    <x v="2"/>
    <s v="Plaquettes de finition carrées"/>
    <s v="7236310"/>
    <s v="OZYURT IREM"/>
    <n v="5"/>
    <x v="0"/>
    <x v="2"/>
    <s v="PLAQUETTES"/>
    <x v="0"/>
    <n v="47.8"/>
  </r>
  <r>
    <d v="2025-12-10T01:11:13"/>
    <x v="2"/>
    <s v="Plaquettes de finition carrées"/>
    <s v="7236310"/>
    <s v="OZYURT IREM"/>
    <n v="5"/>
    <x v="1"/>
    <x v="2"/>
    <s v="PLAQUETTES"/>
    <x v="2"/>
    <n v="47.8"/>
  </r>
  <r>
    <d v="2025-12-10T04:21:37"/>
    <x v="4"/>
    <s v="Plaquettes de gorges"/>
    <s v="090225"/>
    <s v="MEYER THOMAS"/>
    <n v="10"/>
    <x v="0"/>
    <x v="0"/>
    <s v="PLAQUETTES"/>
    <x v="0"/>
    <n v="188"/>
  </r>
  <r>
    <d v="2025-12-10T04:21:52"/>
    <x v="4"/>
    <s v="Plaquettes de gorges"/>
    <s v="090225"/>
    <s v="MEYER THOMAS"/>
    <n v="10"/>
    <x v="1"/>
    <x v="0"/>
    <s v="PLAQUETTES"/>
    <x v="2"/>
    <n v="188"/>
  </r>
  <r>
    <d v="2025-12-10T04:22:05"/>
    <x v="4"/>
    <s v="Plaquettes de gorges"/>
    <s v="090225"/>
    <s v="MEYER THOMAS"/>
    <n v="10"/>
    <x v="0"/>
    <x v="0"/>
    <s v="PLAQUETTES"/>
    <x v="0"/>
    <n v="188"/>
  </r>
  <r>
    <d v="2025-12-10T08:38:20"/>
    <x v="0"/>
    <s v="Plaquettes d'ébauches rhombiques"/>
    <s v="040E47C25C7780"/>
    <s v="PARINGAUX CARROLANE"/>
    <n v="5"/>
    <x v="1"/>
    <x v="2"/>
    <s v="PLAQUETTES"/>
    <x v="2"/>
    <n v="39.799999999999997"/>
  </r>
  <r>
    <d v="2025-12-10T13:17:17"/>
    <x v="3"/>
    <s v="Plaquettes d'ébauches carrées"/>
    <s v="31224"/>
    <s v="BIDOT MURIEL"/>
    <n v="5"/>
    <x v="1"/>
    <x v="3"/>
    <s v="PLAQUETTES"/>
    <x v="2"/>
    <n v="39.799999999999997"/>
  </r>
  <r>
    <d v="2025-12-10T13:17:46"/>
    <x v="3"/>
    <s v="Plaquettes d'ébauches carrées"/>
    <s v="31224"/>
    <s v="BIDOT MURIEL"/>
    <n v="5"/>
    <x v="1"/>
    <x v="3"/>
    <s v="PLAQUETTES"/>
    <x v="2"/>
    <n v="39.799999999999997"/>
  </r>
  <r>
    <d v="2025-12-10T13:18:01"/>
    <x v="2"/>
    <s v="Plaquettes de finition carrées"/>
    <s v="31224"/>
    <s v="BIDOT MURIEL"/>
    <n v="5"/>
    <x v="1"/>
    <x v="2"/>
    <s v="PLAQUETTES"/>
    <x v="2"/>
    <n v="47.8"/>
  </r>
  <r>
    <d v="2025-12-10T13:18:19"/>
    <x v="2"/>
    <s v="Plaquettes de finition carrées"/>
    <s v="31224"/>
    <s v="BIDOT MURIEL"/>
    <n v="5"/>
    <x v="1"/>
    <x v="2"/>
    <s v="PLAQUETTES"/>
    <x v="2"/>
    <n v="47.8"/>
  </r>
  <r>
    <d v="2025-12-10T13:25:02"/>
    <x v="2"/>
    <s v="Plaquettes de finition carrées"/>
    <s v="045B77CAA77080"/>
    <s v="CAMUS CAMILLE"/>
    <n v="5"/>
    <x v="0"/>
    <x v="2"/>
    <s v="PLAQUETTES"/>
    <x v="0"/>
    <n v="47.8"/>
  </r>
  <r>
    <d v="2025-12-10T13:25:14"/>
    <x v="2"/>
    <s v="Plaquettes de finition carrées"/>
    <s v="045B77CAA77080"/>
    <s v="CAMUS CAMILLE"/>
    <n v="5"/>
    <x v="0"/>
    <x v="2"/>
    <s v="PLAQUETTES"/>
    <x v="0"/>
    <n v="47.8"/>
  </r>
  <r>
    <d v="2025-12-10T13:25:41"/>
    <x v="4"/>
    <s v="Plaquettes de gorges"/>
    <s v="045B77CAA77080"/>
    <s v="CAMUS CAMILLE"/>
    <n v="10"/>
    <x v="0"/>
    <x v="0"/>
    <s v="PLAQUETTES"/>
    <x v="0"/>
    <n v="188"/>
  </r>
  <r>
    <d v="2025-12-10T13:26:04"/>
    <x v="0"/>
    <s v="Plaquettes d'ébauches rhombiques"/>
    <s v="045B77CAA77080"/>
    <s v="CAMUS CAMILLE"/>
    <n v="5"/>
    <x v="0"/>
    <x v="3"/>
    <s v="PLAQUETTES"/>
    <x v="0"/>
    <n v="39.799999999999997"/>
  </r>
  <r>
    <d v="2025-12-11T02:14:34"/>
    <x v="5"/>
    <s v="Plaquettes de finition"/>
    <s v="7236310"/>
    <s v="OZYURT IREM"/>
    <n v="5"/>
    <x v="0"/>
    <x v="2"/>
    <s v="PLAQUETTES"/>
    <x v="3"/>
    <n v="42.5"/>
  </r>
  <r>
    <d v="2025-12-11T02:14:50"/>
    <x v="6"/>
    <s v="Plaquettes de finition triangulaires"/>
    <s v="7236310"/>
    <s v="OZYURT IREM"/>
    <n v="5"/>
    <x v="0"/>
    <x v="2"/>
    <s v="PLAQUETTES"/>
    <x v="3"/>
    <n v="48.7"/>
  </r>
  <r>
    <d v="2025-12-11T02:15:05"/>
    <x v="2"/>
    <s v="Plaquettes de finition carrées"/>
    <s v="7236310"/>
    <s v="OZYURT IREM"/>
    <n v="5"/>
    <x v="0"/>
    <x v="2"/>
    <s v="PLAQUETTES"/>
    <x v="3"/>
    <n v="47.8"/>
  </r>
  <r>
    <d v="2025-12-11T05:34:32"/>
    <x v="3"/>
    <s v="Plaquettes d'ébauches carrées"/>
    <s v="040E47C25C7780"/>
    <s v="PARINGAUX CARROLANE"/>
    <n v="5"/>
    <x v="1"/>
    <x v="0"/>
    <s v="PLAQUETTES"/>
    <x v="2"/>
    <n v="39.799999999999997"/>
  </r>
  <r>
    <d v="2025-12-11T05:34:50"/>
    <x v="0"/>
    <s v="Plaquettes d'ébauches rhombiques"/>
    <s v="040E47C25C7780"/>
    <s v="PARINGAUX CARROLANE"/>
    <n v="5"/>
    <x v="1"/>
    <x v="3"/>
    <s v="PLAQUETTES"/>
    <x v="2"/>
    <n v="39.799999999999997"/>
  </r>
  <r>
    <d v="2025-12-11T05:35:09"/>
    <x v="0"/>
    <s v="Plaquettes d'ébauches rhombiques"/>
    <s v="040E47C25C7780"/>
    <s v="PARINGAUX CARROLANE"/>
    <n v="5"/>
    <x v="1"/>
    <x v="2"/>
    <s v="PLAQUETTES"/>
    <x v="2"/>
    <n v="39.799999999999997"/>
  </r>
  <r>
    <d v="2025-12-11T05:35:24"/>
    <x v="2"/>
    <s v="Plaquettes de finition carrées"/>
    <s v="040E47C25C7780"/>
    <s v="PARINGAUX CARROLANE"/>
    <n v="5"/>
    <x v="1"/>
    <x v="2"/>
    <s v="PLAQUETTES"/>
    <x v="2"/>
    <n v="47.8"/>
  </r>
  <r>
    <d v="2025-12-11T10:15:17"/>
    <x v="10"/>
    <s v="Plaquettes TPGX0902ZPRGD KC7315"/>
    <s v="12824586"/>
    <s v="DASILVA FERNANDO"/>
    <n v="10"/>
    <x v="1"/>
    <x v="1"/>
    <s v="PLAQUETTES"/>
    <x v="1"/>
    <n v="81.5"/>
  </r>
  <r>
    <d v="2025-12-11T16:43:50"/>
    <x v="5"/>
    <s v="Plaquettes de finition"/>
    <s v="045B77CAA77080"/>
    <s v="CAMUS CAMILLE"/>
    <n v="5"/>
    <x v="0"/>
    <x v="2"/>
    <s v="PLAQUETTES"/>
    <x v="3"/>
    <n v="42.5"/>
  </r>
  <r>
    <d v="2025-12-11T16:44:02"/>
    <x v="6"/>
    <s v="Plaquettes de finition triangulaires"/>
    <s v="045B77CAA77080"/>
    <s v="CAMUS CAMILLE"/>
    <n v="5"/>
    <x v="0"/>
    <x v="2"/>
    <s v="PLAQUETTES"/>
    <x v="3"/>
    <n v="48.7"/>
  </r>
  <r>
    <d v="2025-12-11T16:44:14"/>
    <x v="2"/>
    <s v="Plaquettes de finition carrées"/>
    <s v="045B77CAA77080"/>
    <s v="CAMUS CAMILLE"/>
    <n v="5"/>
    <x v="0"/>
    <x v="2"/>
    <s v="PLAQUETTES"/>
    <x v="3"/>
    <n v="47.8"/>
  </r>
  <r>
    <d v="2025-12-11T16:44:35"/>
    <x v="2"/>
    <s v="Plaquettes de finition carrées"/>
    <s v="045B77CAA77080"/>
    <s v="CAMUS CAMILLE"/>
    <n v="5"/>
    <x v="0"/>
    <x v="2"/>
    <s v="PLAQUETTES"/>
    <x v="3"/>
    <n v="47.8"/>
  </r>
  <r>
    <d v="2025-12-11T16:44:49"/>
    <x v="3"/>
    <s v="Plaquettes d'ébauches carrées"/>
    <s v="045B77CAA77080"/>
    <s v="CAMUS CAMILLE"/>
    <n v="5"/>
    <x v="0"/>
    <x v="0"/>
    <s v="PLAQUETTES"/>
    <x v="3"/>
    <n v="39.799999999999997"/>
  </r>
  <r>
    <d v="2025-12-11T16:45:01"/>
    <x v="0"/>
    <s v="Plaquettes d'ébauches rhombiques"/>
    <s v="045B77CAA77080"/>
    <s v="CAMUS CAMILLE"/>
    <n v="5"/>
    <x v="0"/>
    <x v="0"/>
    <s v="PLAQUETTES"/>
    <x v="3"/>
    <n v="39.799999999999997"/>
  </r>
  <r>
    <d v="2025-12-11T16:45:15"/>
    <x v="3"/>
    <s v="Plaquettes d'ébauches carrées"/>
    <s v="045B77CAA77080"/>
    <s v="CAMUS CAMILLE"/>
    <n v="5"/>
    <x v="0"/>
    <x v="3"/>
    <s v="PLAQUETTES"/>
    <x v="3"/>
    <n v="39.799999999999997"/>
  </r>
  <r>
    <d v="2025-12-11T16:45:29"/>
    <x v="0"/>
    <s v="Plaquettes d'ébauches rhombiques"/>
    <s v="045B77CAA77080"/>
    <s v="CAMUS CAMILLE"/>
    <n v="5"/>
    <x v="0"/>
    <x v="3"/>
    <s v="PLAQUETTES"/>
    <x v="3"/>
    <n v="39.799999999999997"/>
  </r>
  <r>
    <d v="2025-12-12T06:06:26"/>
    <x v="3"/>
    <s v="Plaquettes d'ébauches carrées"/>
    <s v="10301115"/>
    <s v="BOUCHART LUDOVIC"/>
    <n v="5"/>
    <x v="0"/>
    <x v="3"/>
    <s v="PLAQUETTES"/>
    <x v="3"/>
    <n v="39.799999999999997"/>
  </r>
  <r>
    <d v="2025-12-12T06:06:38"/>
    <x v="0"/>
    <s v="Plaquettes d'ébauches rhombiques"/>
    <s v="10301115"/>
    <s v="BOUCHART LUDOVIC"/>
    <n v="5"/>
    <x v="0"/>
    <x v="3"/>
    <s v="PLAQUETTES"/>
    <x v="3"/>
    <n v="39.799999999999997"/>
  </r>
  <r>
    <d v="2025-12-12T06:06:55"/>
    <x v="3"/>
    <s v="Plaquettes d'ébauches carrées"/>
    <s v="10301115"/>
    <s v="BOUCHART LUDOVIC"/>
    <n v="5"/>
    <x v="0"/>
    <x v="0"/>
    <s v="PLAQUETTES"/>
    <x v="3"/>
    <n v="39.799999999999997"/>
  </r>
  <r>
    <d v="2025-12-12T06:07:07"/>
    <x v="0"/>
    <s v="Plaquettes d'ébauches rhombiques"/>
    <s v="10301115"/>
    <s v="BOUCHART LUDOVIC"/>
    <n v="5"/>
    <x v="0"/>
    <x v="0"/>
    <s v="PLAQUETTES"/>
    <x v="3"/>
    <n v="39.799999999999997"/>
  </r>
  <r>
    <d v="2025-12-12T06:07:23"/>
    <x v="2"/>
    <s v="Plaquettes de finition carrées"/>
    <s v="10301115"/>
    <s v="BOUCHART LUDOVIC"/>
    <n v="5"/>
    <x v="0"/>
    <x v="2"/>
    <s v="PLAQUETTES"/>
    <x v="3"/>
    <n v="47.8"/>
  </r>
  <r>
    <d v="2025-12-12T16:06:47"/>
    <x v="3"/>
    <s v="Plaquettes d'ébauches carrées"/>
    <s v="31224"/>
    <s v="BIDOT MURIEL"/>
    <n v="5"/>
    <x v="1"/>
    <x v="3"/>
    <s v="PLAQUETTES"/>
    <x v="2"/>
    <n v="39.799999999999997"/>
  </r>
  <r>
    <d v="2025-12-12T16:07:06"/>
    <x v="0"/>
    <s v="Plaquettes d'ébauches rhombiques"/>
    <s v="31224"/>
    <s v="BIDOT MURIEL"/>
    <n v="5"/>
    <x v="1"/>
    <x v="3"/>
    <s v="PLAQUETTES"/>
    <x v="2"/>
    <n v="39.799999999999997"/>
  </r>
  <r>
    <d v="2025-12-12T16:07:21"/>
    <x v="0"/>
    <s v="Plaquettes d'ébauches rhombiques"/>
    <s v="31224"/>
    <s v="BIDOT MURIEL"/>
    <n v="5"/>
    <x v="1"/>
    <x v="3"/>
    <s v="PLAQUETTES"/>
    <x v="2"/>
    <n v="39.799999999999997"/>
  </r>
  <r>
    <d v="2025-12-12T16:07:36"/>
    <x v="4"/>
    <s v="Plaquettes de gorges"/>
    <s v="31224"/>
    <s v="BIDOT MURIEL"/>
    <n v="10"/>
    <x v="1"/>
    <x v="0"/>
    <s v="PLAQUETTES"/>
    <x v="2"/>
    <n v="188"/>
  </r>
  <r>
    <d v="2025-12-12T16:07:51"/>
    <x v="2"/>
    <s v="Plaquettes de finition carrées"/>
    <s v="31224"/>
    <s v="BIDOT MURIEL"/>
    <n v="5"/>
    <x v="1"/>
    <x v="2"/>
    <s v="PLAQUETTES"/>
    <x v="2"/>
    <n v="47.8"/>
  </r>
  <r>
    <d v="2025-12-13T05:15:36"/>
    <x v="3"/>
    <s v="Plaquettes d'ébauches carrées"/>
    <s v="10301115"/>
    <s v="BOUCHART LUDOVIC"/>
    <n v="5"/>
    <x v="0"/>
    <x v="3"/>
    <s v="PLAQUETTES"/>
    <x v="3"/>
    <n v="39.799999999999997"/>
  </r>
  <r>
    <d v="2025-12-13T05:15:54"/>
    <x v="0"/>
    <s v="Plaquettes d'ébauches rhombiques"/>
    <s v="10301115"/>
    <s v="BOUCHART LUDOVIC"/>
    <n v="5"/>
    <x v="0"/>
    <x v="3"/>
    <s v="PLAQUETTES"/>
    <x v="3"/>
    <n v="39.799999999999997"/>
  </r>
  <r>
    <d v="2025-12-13T05:16:08"/>
    <x v="3"/>
    <s v="Plaquettes d'ébauches carrées"/>
    <s v="10301115"/>
    <s v="BOUCHART LUDOVIC"/>
    <n v="5"/>
    <x v="0"/>
    <x v="0"/>
    <s v="PLAQUETTES"/>
    <x v="3"/>
    <n v="39.799999999999997"/>
  </r>
  <r>
    <d v="2025-12-13T05:16:22"/>
    <x v="0"/>
    <s v="Plaquettes d'ébauches rhombiques"/>
    <s v="10301115"/>
    <s v="BOUCHART LUDOVIC"/>
    <n v="5"/>
    <x v="0"/>
    <x v="0"/>
    <s v="PLAQUETTES"/>
    <x v="3"/>
    <n v="39.799999999999997"/>
  </r>
  <r>
    <d v="2025-12-13T05:16:39"/>
    <x v="5"/>
    <s v="Plaquettes de finition"/>
    <s v="10301115"/>
    <s v="BOUCHART LUDOVIC"/>
    <n v="5"/>
    <x v="0"/>
    <x v="2"/>
    <s v="PLAQUETTES"/>
    <x v="3"/>
    <n v="42.5"/>
  </r>
  <r>
    <d v="2025-12-13T05:16:51"/>
    <x v="6"/>
    <s v="Plaquettes de finition triangulaires"/>
    <s v="10301115"/>
    <s v="BOUCHART LUDOVIC"/>
    <n v="5"/>
    <x v="0"/>
    <x v="2"/>
    <s v="PLAQUETTES"/>
    <x v="3"/>
    <n v="48.7"/>
  </r>
  <r>
    <d v="2025-12-13T05:17:05"/>
    <x v="2"/>
    <s v="Plaquettes de finition carrées"/>
    <s v="10301115"/>
    <s v="BOUCHART LUDOVIC"/>
    <n v="5"/>
    <x v="0"/>
    <x v="2"/>
    <s v="PLAQUETTES"/>
    <x v="3"/>
    <n v="47.8"/>
  </r>
  <r>
    <d v="2025-12-13T05:17:24"/>
    <x v="3"/>
    <s v="Plaquettes d'ébauches carrées"/>
    <s v="10301115"/>
    <s v="BOUCHART LUDOVIC"/>
    <n v="5"/>
    <x v="1"/>
    <x v="3"/>
    <s v="PLAQUETTES"/>
    <x v="2"/>
    <n v="39.799999999999997"/>
  </r>
  <r>
    <d v="2025-12-13T05:17:41"/>
    <x v="0"/>
    <s v="Plaquettes d'ébauches rhombiques"/>
    <s v="10301115"/>
    <s v="BOUCHART LUDOVIC"/>
    <n v="5"/>
    <x v="1"/>
    <x v="3"/>
    <s v="PLAQUETTES"/>
    <x v="2"/>
    <n v="39.799999999999997"/>
  </r>
  <r>
    <d v="2025-12-13T05:17:57"/>
    <x v="4"/>
    <s v="Plaquettes de gorges"/>
    <s v="10301115"/>
    <s v="BOUCHART LUDOVIC"/>
    <n v="10"/>
    <x v="1"/>
    <x v="0"/>
    <s v="PLAQUETTES"/>
    <x v="2"/>
    <n v="188"/>
  </r>
  <r>
    <d v="2025-12-13T05:18:14"/>
    <x v="3"/>
    <s v="Plaquettes d'ébauches carrées"/>
    <s v="10301115"/>
    <s v="BOUCHART LUDOVIC"/>
    <n v="5"/>
    <x v="1"/>
    <x v="0"/>
    <s v="PLAQUETTES"/>
    <x v="2"/>
    <n v="39.799999999999997"/>
  </r>
  <r>
    <d v="2025-12-13T05:18:28"/>
    <x v="0"/>
    <s v="Plaquettes d'ébauches rhombiques"/>
    <s v="10301115"/>
    <s v="BOUCHART LUDOVIC"/>
    <n v="5"/>
    <x v="1"/>
    <x v="0"/>
    <s v="PLAQUETTES"/>
    <x v="2"/>
    <n v="39.799999999999997"/>
  </r>
  <r>
    <d v="2025-12-13T05:18:44"/>
    <x v="2"/>
    <s v="Plaquettes de finition carrées"/>
    <s v="10301115"/>
    <s v="BOUCHART LUDOVIC"/>
    <n v="5"/>
    <x v="1"/>
    <x v="2"/>
    <s v="PLAQUETTES"/>
    <x v="2"/>
    <n v="47.8"/>
  </r>
  <r>
    <d v="2025-12-14T19:13:18"/>
    <x v="3"/>
    <s v="Plaquettes d'ébauches carrées"/>
    <s v="10301115"/>
    <s v="BOUCHART LUDOVIC"/>
    <n v="5"/>
    <x v="0"/>
    <x v="3"/>
    <s v="PLAQUETTES"/>
    <x v="3"/>
    <n v="39.799999999999997"/>
  </r>
  <r>
    <d v="2025-12-14T19:13:32"/>
    <x v="0"/>
    <s v="Plaquettes d'ébauches rhombiques"/>
    <s v="10301115"/>
    <s v="BOUCHART LUDOVIC"/>
    <n v="5"/>
    <x v="0"/>
    <x v="3"/>
    <s v="PLAQUETTES"/>
    <x v="3"/>
    <n v="39.799999999999997"/>
  </r>
  <r>
    <d v="2025-12-14T19:13:47"/>
    <x v="3"/>
    <s v="Plaquettes d'ébauches carrées"/>
    <s v="10301115"/>
    <s v="BOUCHART LUDOVIC"/>
    <n v="5"/>
    <x v="0"/>
    <x v="0"/>
    <s v="PLAQUETTES"/>
    <x v="3"/>
    <n v="39.799999999999997"/>
  </r>
  <r>
    <d v="2025-12-14T19:13:59"/>
    <x v="0"/>
    <s v="Plaquettes d'ébauches rhombiques"/>
    <s v="10301115"/>
    <s v="BOUCHART LUDOVIC"/>
    <n v="5"/>
    <x v="0"/>
    <x v="0"/>
    <s v="PLAQUETTES"/>
    <x v="3"/>
    <n v="39.799999999999997"/>
  </r>
  <r>
    <d v="2025-12-14T19:14:12"/>
    <x v="2"/>
    <s v="Plaquettes de finition carrées"/>
    <s v="10301115"/>
    <s v="BOUCHART LUDOVIC"/>
    <n v="5"/>
    <x v="0"/>
    <x v="2"/>
    <s v="PLAQUETTES"/>
    <x v="3"/>
    <n v="47.8"/>
  </r>
  <r>
    <d v="2025-12-14T19:14:27"/>
    <x v="3"/>
    <s v="Plaquettes d'ébauches carrées"/>
    <s v="10301115"/>
    <s v="BOUCHART LUDOVIC"/>
    <n v="5"/>
    <x v="1"/>
    <x v="3"/>
    <s v="PLAQUETTES"/>
    <x v="2"/>
    <n v="39.799999999999997"/>
  </r>
  <r>
    <d v="2025-12-14T19:14:42"/>
    <x v="0"/>
    <s v="Plaquettes d'ébauches rhombiques"/>
    <s v="10301115"/>
    <s v="BOUCHART LUDOVIC"/>
    <n v="5"/>
    <x v="1"/>
    <x v="3"/>
    <s v="PLAQUETTES"/>
    <x v="2"/>
    <n v="39.799999999999997"/>
  </r>
  <r>
    <d v="2025-12-14T19:14:58"/>
    <x v="3"/>
    <s v="Plaquettes d'ébauches carrées"/>
    <s v="10301115"/>
    <s v="BOUCHART LUDOVIC"/>
    <n v="5"/>
    <x v="1"/>
    <x v="0"/>
    <s v="PLAQUETTES"/>
    <x v="2"/>
    <n v="39.799999999999997"/>
  </r>
  <r>
    <d v="2025-12-14T19:15:11"/>
    <x v="0"/>
    <s v="Plaquettes d'ébauches rhombiques"/>
    <s v="10301115"/>
    <s v="BOUCHART LUDOVIC"/>
    <n v="5"/>
    <x v="1"/>
    <x v="0"/>
    <s v="PLAQUETTES"/>
    <x v="2"/>
    <n v="39.799999999999997"/>
  </r>
  <r>
    <d v="2025-12-14T19:15:22"/>
    <x v="2"/>
    <s v="Plaquettes de finition carrées"/>
    <s v="10301115"/>
    <s v="BOUCHART LUDOVIC"/>
    <n v="5"/>
    <x v="1"/>
    <x v="2"/>
    <s v="PLAQUETTES"/>
    <x v="2"/>
    <n v="47.8"/>
  </r>
  <r>
    <d v="2025-12-15T06:34:52"/>
    <x v="2"/>
    <s v="Plaquettes de finition carrées"/>
    <s v="31224"/>
    <s v="BIDOT MURIEL"/>
    <n v="5"/>
    <x v="1"/>
    <x v="2"/>
    <s v="PLAQUETTES"/>
    <x v="2"/>
    <n v="47.8"/>
  </r>
  <r>
    <d v="2025-12-15T06:35:12"/>
    <x v="0"/>
    <s v="Plaquettes d'ébauches rhombiques"/>
    <s v="31224"/>
    <s v="BIDOT MURIEL"/>
    <n v="5"/>
    <x v="1"/>
    <x v="2"/>
    <s v="PLAQUETTES"/>
    <x v="2"/>
    <n v="39.799999999999997"/>
  </r>
  <r>
    <d v="2025-12-15T08:09:34"/>
    <x v="2"/>
    <s v="Plaquettes de finition carrées"/>
    <s v="045B77CAA77080"/>
    <s v="CAMUS CAMILLE"/>
    <n v="5"/>
    <x v="0"/>
    <x v="2"/>
    <s v="PLAQUETTES"/>
    <x v="3"/>
    <n v="47.8"/>
  </r>
  <r>
    <d v="2025-12-15T08:09:48"/>
    <x v="2"/>
    <s v="Plaquettes de finition carrées"/>
    <s v="045B77CAA77080"/>
    <s v="CAMUS CAMILLE"/>
    <n v="5"/>
    <x v="0"/>
    <x v="2"/>
    <s v="PLAQUETTES"/>
    <x v="3"/>
    <n v="47.8"/>
  </r>
  <r>
    <d v="2025-12-15T08:10:04"/>
    <x v="3"/>
    <s v="Plaquettes d'ébauches carrées"/>
    <s v="045B77CAA77080"/>
    <s v="CAMUS CAMILLE"/>
    <n v="5"/>
    <x v="0"/>
    <x v="3"/>
    <s v="PLAQUETTES"/>
    <x v="3"/>
    <n v="39.799999999999997"/>
  </r>
  <r>
    <d v="2025-12-15T08:10:17"/>
    <x v="3"/>
    <s v="Plaquettes d'ébauches carrées"/>
    <s v="045B77CAA77080"/>
    <s v="CAMUS CAMILLE"/>
    <n v="5"/>
    <x v="0"/>
    <x v="0"/>
    <s v="PLAQUETTES"/>
    <x v="3"/>
    <n v="39.799999999999997"/>
  </r>
  <r>
    <d v="2025-12-16T05:55:24"/>
    <x v="3"/>
    <s v="Plaquettes d'ébauches carrées"/>
    <s v="045B77CAA77080"/>
    <s v="CAMUS CAMILLE"/>
    <n v="5"/>
    <x v="0"/>
    <x v="3"/>
    <s v="PLAQUETTES"/>
    <x v="3"/>
    <n v="39.799999999999997"/>
  </r>
  <r>
    <d v="2025-12-16T05:55:38"/>
    <x v="3"/>
    <s v="Plaquettes d'ébauches carrées"/>
    <s v="045B77CAA77080"/>
    <s v="CAMUS CAMILLE"/>
    <n v="5"/>
    <x v="0"/>
    <x v="3"/>
    <s v="PLAQUETTES"/>
    <x v="3"/>
    <n v="39.799999999999997"/>
  </r>
  <r>
    <d v="2025-12-16T05:55:51"/>
    <x v="3"/>
    <s v="Plaquettes d'ébauches carrées"/>
    <s v="045B77CAA77080"/>
    <s v="CAMUS CAMILLE"/>
    <n v="5"/>
    <x v="0"/>
    <x v="3"/>
    <s v="PLAQUETTES"/>
    <x v="3"/>
    <n v="39.799999999999997"/>
  </r>
  <r>
    <d v="2025-12-16T05:56:06"/>
    <x v="0"/>
    <s v="Plaquettes d'ébauches rhombiques"/>
    <s v="045B77CAA77080"/>
    <s v="CAMUS CAMILLE"/>
    <n v="5"/>
    <x v="0"/>
    <x v="0"/>
    <s v="PLAQUETTES"/>
    <x v="3"/>
    <n v="39.799999999999997"/>
  </r>
  <r>
    <d v="2025-12-16T05:56:22"/>
    <x v="6"/>
    <s v="Plaquettes de finition triangulaires"/>
    <s v="045B77CAA77080"/>
    <s v="CAMUS CAMILLE"/>
    <n v="5"/>
    <x v="0"/>
    <x v="2"/>
    <s v="PLAQUETTES"/>
    <x v="3"/>
    <n v="48.7"/>
  </r>
  <r>
    <d v="2025-12-16T05:56:42"/>
    <x v="2"/>
    <s v="Plaquettes de finition carrées"/>
    <s v="045B77CAA77080"/>
    <s v="CAMUS CAMILLE"/>
    <n v="5"/>
    <x v="0"/>
    <x v="2"/>
    <s v="PLAQUETTES"/>
    <x v="3"/>
    <n v="47.8"/>
  </r>
  <r>
    <d v="2025-12-16T05:57:02"/>
    <x v="2"/>
    <s v="Plaquettes de finition carrées"/>
    <s v="045B77CAA77080"/>
    <s v="CAMUS CAMILLE"/>
    <n v="5"/>
    <x v="0"/>
    <x v="2"/>
    <s v="PLAQUETTES"/>
    <x v="3"/>
    <n v="47.8"/>
  </r>
  <r>
    <d v="2025-12-17T00:23:09"/>
    <x v="2"/>
    <s v="Plaquettes de finition carrées"/>
    <s v="7236310"/>
    <s v="OZYURT IREM"/>
    <n v="5"/>
    <x v="1"/>
    <x v="2"/>
    <s v="PLAQUETTES"/>
    <x v="2"/>
    <n v="47.8"/>
  </r>
  <r>
    <d v="2025-12-17T09:38:35"/>
    <x v="4"/>
    <s v="Plaquettes de gorges"/>
    <s v="045B77CAA77080"/>
    <s v="CAMUS CAMILLE"/>
    <n v="10"/>
    <x v="1"/>
    <x v="0"/>
    <s v="PLAQUETTES"/>
    <x v="2"/>
    <n v="188"/>
  </r>
  <r>
    <d v="2025-12-17T09:38:50"/>
    <x v="2"/>
    <s v="Plaquettes de finition carrées"/>
    <s v="045B77CAA77080"/>
    <s v="CAMUS CAMILLE"/>
    <n v="5"/>
    <x v="1"/>
    <x v="2"/>
    <s v="PLAQUETTES"/>
    <x v="2"/>
    <n v="47.8"/>
  </r>
  <r>
    <d v="2025-12-18T02:11:17"/>
    <x v="3"/>
    <s v="Plaquettes d'ébauches carrées"/>
    <s v="090225"/>
    <s v="MEYER THOMAS"/>
    <n v="5"/>
    <x v="0"/>
    <x v="3"/>
    <s v="PLAQUETTES"/>
    <x v="3"/>
    <n v="39.799999999999997"/>
  </r>
  <r>
    <d v="2025-12-18T02:11:30"/>
    <x v="3"/>
    <s v="Plaquettes d'ébauches carrées"/>
    <s v="090225"/>
    <s v="MEYER THOMAS"/>
    <n v="5"/>
    <x v="0"/>
    <x v="0"/>
    <s v="PLAQUETTES"/>
    <x v="3"/>
    <n v="39.799999999999997"/>
  </r>
  <r>
    <d v="2025-12-18T05:32:53"/>
    <x v="2"/>
    <s v="Plaquettes de finition carrées"/>
    <s v="045B77CAA77080"/>
    <s v="CAMUS CAMILLE"/>
    <n v="5"/>
    <x v="0"/>
    <x v="2"/>
    <s v="PLAQUETTES"/>
    <x v="3"/>
    <n v="47.8"/>
  </r>
  <r>
    <d v="2025-12-18T05:33:03"/>
    <x v="2"/>
    <s v="Plaquettes de finition carrées"/>
    <s v="045B77CAA77080"/>
    <s v="CAMUS CAMILLE"/>
    <n v="5"/>
    <x v="0"/>
    <x v="2"/>
    <s v="PLAQUETTES"/>
    <x v="3"/>
    <n v="47.8"/>
  </r>
  <r>
    <d v="2025-12-18T05:33:18"/>
    <x v="0"/>
    <s v="Plaquettes d'ébauches rhombiques"/>
    <s v="045B77CAA77080"/>
    <s v="CAMUS CAMILLE"/>
    <n v="5"/>
    <x v="0"/>
    <x v="3"/>
    <s v="PLAQUETTES"/>
    <x v="3"/>
    <n v="39.799999999999997"/>
  </r>
  <r>
    <d v="2025-12-18T05:33:34"/>
    <x v="3"/>
    <s v="Plaquettes d'ébauches carrées"/>
    <s v="045B77CAA77080"/>
    <s v="CAMUS CAMILLE"/>
    <n v="5"/>
    <x v="0"/>
    <x v="3"/>
    <s v="PLAQUETTES"/>
    <x v="3"/>
    <n v="39.799999999999997"/>
  </r>
  <r>
    <d v="2025-12-18T05:33:48"/>
    <x v="0"/>
    <s v="Plaquettes d'ébauches rhombiques"/>
    <s v="045B77CAA77080"/>
    <s v="CAMUS CAMILLE"/>
    <n v="5"/>
    <x v="0"/>
    <x v="0"/>
    <s v="PLAQUETTES"/>
    <x v="3"/>
    <n v="39.799999999999997"/>
  </r>
  <r>
    <d v="2025-12-18T05:34:05"/>
    <x v="3"/>
    <s v="Plaquettes d'ébauches carrées"/>
    <s v="045B77CAA77080"/>
    <s v="CAMUS CAMILLE"/>
    <n v="5"/>
    <x v="0"/>
    <x v="3"/>
    <s v="PLAQUETTES"/>
    <x v="3"/>
    <n v="39.799999999999997"/>
  </r>
  <r>
    <d v="2025-12-18T15:31:36"/>
    <x v="2"/>
    <s v="Plaquettes de finition carrées"/>
    <s v="040E47C25C7780"/>
    <s v="PARINGAUX CARROLANE"/>
    <n v="5"/>
    <x v="1"/>
    <x v="2"/>
    <s v="PLAQUETTES"/>
    <x v="3"/>
    <n v="47.8"/>
  </r>
  <r>
    <d v="2025-12-18T15:31:50"/>
    <x v="6"/>
    <s v="Plaquettes de finition triangulaires"/>
    <s v="040E47C25C7780"/>
    <s v="PARINGAUX CARROLANE"/>
    <n v="5"/>
    <x v="1"/>
    <x v="2"/>
    <s v="PLAQUETTES"/>
    <x v="3"/>
    <n v="48.7"/>
  </r>
  <r>
    <d v="2025-12-18T15:32:03"/>
    <x v="5"/>
    <s v="Plaquettes de finition"/>
    <s v="040E47C25C7780"/>
    <s v="PARINGAUX CARROLANE"/>
    <n v="5"/>
    <x v="1"/>
    <x v="2"/>
    <s v="PLAQUETTES"/>
    <x v="3"/>
    <n v="42.5"/>
  </r>
  <r>
    <d v="2025-12-18T15:32:21"/>
    <x v="3"/>
    <s v="Plaquettes d'ébauches carrées"/>
    <s v="040E47C25C7780"/>
    <s v="PARINGAUX CARROLANE"/>
    <n v="5"/>
    <x v="1"/>
    <x v="3"/>
    <s v="PLAQUETTES"/>
    <x v="3"/>
    <n v="39.799999999999997"/>
  </r>
  <r>
    <d v="2025-12-19T03:24:42"/>
    <x v="3"/>
    <s v="Plaquettes d'ébauches carrées"/>
    <s v="090225"/>
    <s v="MEYER THOMAS"/>
    <n v="5"/>
    <x v="1"/>
    <x v="3"/>
    <s v="PLAQUETTES"/>
    <x v="3"/>
    <n v="39.799999999999997"/>
  </r>
  <r>
    <d v="2025-12-19T03:24:58"/>
    <x v="0"/>
    <s v="Plaquettes d'ébauches rhombiques"/>
    <s v="090225"/>
    <s v="MEYER THOMAS"/>
    <n v="5"/>
    <x v="1"/>
    <x v="3"/>
    <s v="PLAQUETTES"/>
    <x v="3"/>
    <n v="39.799999999999997"/>
  </r>
  <r>
    <d v="2025-12-19T03:25:12"/>
    <x v="3"/>
    <s v="Plaquettes d'ébauches carrées"/>
    <s v="090225"/>
    <s v="MEYER THOMAS"/>
    <n v="5"/>
    <x v="1"/>
    <x v="0"/>
    <s v="PLAQUETTES"/>
    <x v="3"/>
    <n v="39.799999999999997"/>
  </r>
  <r>
    <d v="2025-12-19T03:25:26"/>
    <x v="0"/>
    <s v="Plaquettes d'ébauches rhombiques"/>
    <s v="090225"/>
    <s v="MEYER THOMAS"/>
    <n v="5"/>
    <x v="1"/>
    <x v="0"/>
    <s v="PLAQUETTES"/>
    <x v="3"/>
    <n v="39.799999999999997"/>
  </r>
  <r>
    <d v="2025-12-19T05:18:15"/>
    <x v="3"/>
    <s v="Plaquettes d'ébauches carrées"/>
    <s v="10301115"/>
    <s v="BOUCHART LUDOVIC"/>
    <n v="5"/>
    <x v="1"/>
    <x v="3"/>
    <s v="PLAQUETTES"/>
    <x v="3"/>
    <n v="39.799999999999997"/>
  </r>
  <r>
    <d v="2025-12-19T05:18:27"/>
    <x v="0"/>
    <s v="Plaquettes d'ébauches rhombiques"/>
    <s v="10301115"/>
    <s v="BOUCHART LUDOVIC"/>
    <n v="5"/>
    <x v="1"/>
    <x v="3"/>
    <s v="PLAQUETTES"/>
    <x v="3"/>
    <n v="39.799999999999997"/>
  </r>
  <r>
    <d v="2025-12-19T05:18:41"/>
    <x v="3"/>
    <s v="Plaquettes d'ébauches carrées"/>
    <s v="10301115"/>
    <s v="BOUCHART LUDOVIC"/>
    <n v="5"/>
    <x v="1"/>
    <x v="0"/>
    <s v="PLAQUETTES"/>
    <x v="3"/>
    <n v="39.799999999999997"/>
  </r>
  <r>
    <d v="2025-12-19T05:18:55"/>
    <x v="0"/>
    <s v="Plaquettes d'ébauches rhombiques"/>
    <s v="10301115"/>
    <s v="BOUCHART LUDOVIC"/>
    <n v="5"/>
    <x v="1"/>
    <x v="0"/>
    <s v="PLAQUETTES"/>
    <x v="3"/>
    <n v="39.799999999999997"/>
  </r>
  <r>
    <d v="2025-12-19T05:19:14"/>
    <x v="5"/>
    <s v="Plaquettes de finition"/>
    <s v="10301115"/>
    <s v="BOUCHART LUDOVIC"/>
    <n v="5"/>
    <x v="1"/>
    <x v="2"/>
    <s v="PLAQUETTES"/>
    <x v="3"/>
    <n v="42.5"/>
  </r>
  <r>
    <d v="2025-12-19T05:19:28"/>
    <x v="6"/>
    <s v="Plaquettes de finition triangulaires"/>
    <s v="10301115"/>
    <s v="BOUCHART LUDOVIC"/>
    <n v="5"/>
    <x v="1"/>
    <x v="2"/>
    <s v="PLAQUETTES"/>
    <x v="3"/>
    <n v="48.7"/>
  </r>
  <r>
    <d v="2025-12-19T05:19:40"/>
    <x v="2"/>
    <s v="Plaquettes de finition carrées"/>
    <s v="10301115"/>
    <s v="BOUCHART LUDOVIC"/>
    <n v="5"/>
    <x v="1"/>
    <x v="2"/>
    <s v="PLAQUETTES"/>
    <x v="3"/>
    <n v="47.8"/>
  </r>
  <r>
    <d v="2025-12-19T23:31:32"/>
    <x v="3"/>
    <s v="Plaquettes d'ébauches carrées"/>
    <s v="090225"/>
    <s v="MEYER THOMAS"/>
    <n v="5"/>
    <x v="1"/>
    <x v="3"/>
    <s v="PLAQUETTES"/>
    <x v="3"/>
    <n v="39.799999999999997"/>
  </r>
  <r>
    <d v="2025-12-19T23:31:45"/>
    <x v="3"/>
    <s v="Plaquettes d'ébauches carrées"/>
    <s v="090225"/>
    <s v="MEYER THOMAS"/>
    <n v="5"/>
    <x v="1"/>
    <x v="3"/>
    <s v="PLAQUETTES"/>
    <x v="3"/>
    <n v="39.799999999999997"/>
  </r>
  <r>
    <d v="2025-12-19T23:32:04"/>
    <x v="3"/>
    <s v="Plaquettes d'ébauches carrées"/>
    <s v="090225"/>
    <s v="MEYER THOMAS"/>
    <n v="5"/>
    <x v="1"/>
    <x v="0"/>
    <s v="PLAQUETTES"/>
    <x v="3"/>
    <n v="39.799999999999997"/>
  </r>
  <r>
    <d v="2025-12-19T23:32:17"/>
    <x v="3"/>
    <s v="Plaquettes d'ébauches carrées"/>
    <s v="090225"/>
    <s v="MEYER THOMAS"/>
    <n v="5"/>
    <x v="1"/>
    <x v="0"/>
    <s v="PLAQUETTES"/>
    <x v="3"/>
    <n v="39.799999999999997"/>
  </r>
  <r>
    <d v="2025-12-19T23:32:33"/>
    <x v="0"/>
    <s v="Plaquettes d'ébauches rhombiques"/>
    <s v="090225"/>
    <s v="MEYER THOMAS"/>
    <n v="5"/>
    <x v="1"/>
    <x v="3"/>
    <s v="PLAQUETTES"/>
    <x v="3"/>
    <n v="39.799999999999997"/>
  </r>
  <r>
    <d v="2025-12-19T23:32:45"/>
    <x v="0"/>
    <s v="Plaquettes d'ébauches rhombiques"/>
    <s v="090225"/>
    <s v="MEYER THOMAS"/>
    <n v="5"/>
    <x v="1"/>
    <x v="0"/>
    <s v="PLAQUETTES"/>
    <x v="3"/>
    <n v="39.799999999999997"/>
  </r>
  <r>
    <d v="2025-12-22T05:18:42"/>
    <x v="2"/>
    <s v="Plaquettes de finition carrées"/>
    <s v="040E47C25C7780"/>
    <s v="PARINGAUX CARROLANE"/>
    <n v="5"/>
    <x v="1"/>
    <x v="2"/>
    <s v="PLAQUETTES"/>
    <x v="3"/>
    <n v="47.8"/>
  </r>
  <r>
    <d v="2025-12-22T06:01:59"/>
    <x v="3"/>
    <s v="Plaquettes d'ébauches carrées"/>
    <s v="040E47C25C7780"/>
    <s v="PARINGAUX CARROLANE"/>
    <n v="5"/>
    <x v="1"/>
    <x v="3"/>
    <s v="PLAQUETTES"/>
    <x v="3"/>
    <n v="39.799999999999997"/>
  </r>
  <r>
    <d v="2025-12-22T06:02:18"/>
    <x v="2"/>
    <s v="Plaquettes de finition carrées"/>
    <s v="040E47C25C7780"/>
    <s v="PARINGAUX CARROLANE"/>
    <n v="5"/>
    <x v="1"/>
    <x v="2"/>
    <s v="PLAQUETTES"/>
    <x v="3"/>
    <n v="47.8"/>
  </r>
  <r>
    <d v="2025-12-22T13:40:36"/>
    <x v="4"/>
    <s v="Plaquettes de gorges"/>
    <s v="12824586"/>
    <s v="DASILVA FERNANDO"/>
    <n v="10"/>
    <x v="0"/>
    <x v="0"/>
    <s v="PLAQUETTES"/>
    <x v="4"/>
    <n v="188"/>
  </r>
  <r>
    <d v="2025-12-22T15:41:57"/>
    <x v="2"/>
    <s v="Plaquettes de finition carrées"/>
    <s v="045B77CAA77080"/>
    <s v="CAMUS CAMILLE"/>
    <n v="5"/>
    <x v="1"/>
    <x v="2"/>
    <s v="PLAQUETTES"/>
    <x v="3"/>
    <n v="47.8"/>
  </r>
  <r>
    <d v="2025-12-22T15:42:13"/>
    <x v="3"/>
    <s v="Plaquettes d'ébauches carrées"/>
    <s v="045B77CAA77080"/>
    <s v="CAMUS CAMILLE"/>
    <n v="5"/>
    <x v="1"/>
    <x v="3"/>
    <s v="PLAQUETTES"/>
    <x v="3"/>
    <n v="39.799999999999997"/>
  </r>
  <r>
    <d v="2025-12-22T15:42:27"/>
    <x v="3"/>
    <s v="Plaquettes d'ébauches carrées"/>
    <s v="045B77CAA77080"/>
    <s v="CAMUS CAMILLE"/>
    <n v="5"/>
    <x v="1"/>
    <x v="3"/>
    <s v="PLAQUETTES"/>
    <x v="3"/>
    <n v="39.799999999999997"/>
  </r>
  <r>
    <d v="2025-12-22T15:42:40"/>
    <x v="3"/>
    <s v="Plaquettes d'ébauches carrées"/>
    <s v="045B77CAA77080"/>
    <s v="CAMUS CAMILLE"/>
    <n v="5"/>
    <x v="1"/>
    <x v="3"/>
    <s v="PLAQUETTES"/>
    <x v="3"/>
    <n v="39.799999999999997"/>
  </r>
  <r>
    <d v="2025-12-23T09:09:00"/>
    <x v="2"/>
    <s v="Plaquettes de finition carrées"/>
    <s v="020824"/>
    <s v="DASILVA AFONSO RENAUD"/>
    <n v="5"/>
    <x v="0"/>
    <x v="2"/>
    <s v="PLAQUETTES"/>
    <x v="3"/>
    <n v="47.8"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3"/>
    <m/>
    <m/>
    <m/>
    <m/>
    <x v="2"/>
    <x v="4"/>
    <m/>
    <x v="5"/>
    <m/>
  </r>
  <r>
    <m/>
    <x v="14"/>
    <s v="PLAQUETTE FRAISURAGE"/>
    <m/>
    <m/>
    <n v="30"/>
    <x v="0"/>
    <x v="1"/>
    <s v="PLAQUETTES"/>
    <x v="5"/>
    <n v="365.4"/>
  </r>
  <r>
    <m/>
    <x v="15"/>
    <m/>
    <m/>
    <m/>
    <n v="30"/>
    <x v="0"/>
    <x v="1"/>
    <s v="EMBOUTS"/>
    <x v="5"/>
    <n v="1455"/>
  </r>
  <r>
    <m/>
    <x v="16"/>
    <s v="PLAQUETTE CHANFREIN"/>
    <m/>
    <m/>
    <n v="26"/>
    <x v="0"/>
    <x v="1"/>
    <s v="PLAQUETTES"/>
    <x v="5"/>
    <n v="211.9"/>
  </r>
  <r>
    <m/>
    <x v="17"/>
    <m/>
    <m/>
    <m/>
    <n v="39"/>
    <x v="0"/>
    <x v="1"/>
    <s v="EMBOUTS"/>
    <x v="5"/>
    <n v="1831.0500000000002"/>
  </r>
  <r>
    <m/>
    <x v="14"/>
    <s v="PLAQUETTE FRAISURAGE"/>
    <m/>
    <m/>
    <n v="34"/>
    <x v="1"/>
    <x v="1"/>
    <s v="PLAQUETTES"/>
    <x v="5"/>
    <n v="414.12"/>
  </r>
  <r>
    <m/>
    <x v="15"/>
    <m/>
    <m/>
    <m/>
    <n v="34"/>
    <x v="1"/>
    <x v="1"/>
    <s v="EMBOUTS"/>
    <x v="5"/>
    <n v="1649"/>
  </r>
  <r>
    <m/>
    <x v="16"/>
    <s v="PLAQUETTE CHANFREIN"/>
    <m/>
    <m/>
    <n v="23"/>
    <x v="1"/>
    <x v="1"/>
    <s v="PLAQUETTES"/>
    <x v="5"/>
    <n v="187.45000000000002"/>
  </r>
  <r>
    <m/>
    <x v="17"/>
    <m/>
    <m/>
    <m/>
    <n v="34"/>
    <x v="1"/>
    <x v="1"/>
    <s v="EMBOUTS"/>
    <x v="5"/>
    <n v="1596.30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9">
  <r>
    <d v="2025-10-29T11:53:24"/>
    <x v="0"/>
    <s v="Plaquette piste OP20 R1,2 T323"/>
    <s v="u134838"/>
    <s v="DANAH STEPHANIE"/>
    <n v="5"/>
    <x v="0"/>
    <x v="0"/>
    <s v="PLAQUETTES"/>
    <x v="0"/>
    <n v="35"/>
  </r>
  <r>
    <d v="2025-01-02T14:21:36"/>
    <x v="1"/>
    <s v="Plaquettes d'ébauches carrées"/>
    <s v="SIEGEL F"/>
    <s v="SIEGEL FRANCK"/>
    <n v="10"/>
    <x v="1"/>
    <x v="1"/>
    <s v="PLAQUETTES"/>
    <x v="0"/>
    <n v="71.2"/>
  </r>
  <r>
    <d v="2025-01-02T14:36:28"/>
    <x v="2"/>
    <s v="Plaquettes d'ébauches rhombiques"/>
    <s v="SD13196"/>
    <s v="FRADIN MAXIME"/>
    <n v="20"/>
    <x v="2"/>
    <x v="1"/>
    <s v="PLAQUETTES"/>
    <x v="1"/>
    <n v="140"/>
  </r>
  <r>
    <d v="2025-01-02T14:37:05"/>
    <x v="1"/>
    <s v="Plaquettes d'ébauches carrées"/>
    <s v="SD13196"/>
    <s v="FRADIN MAXIME"/>
    <n v="20"/>
    <x v="3"/>
    <x v="1"/>
    <s v="PLAQUETTES"/>
    <x v="2"/>
    <n v="142.4"/>
  </r>
  <r>
    <d v="2025-01-02T16:17:49"/>
    <x v="2"/>
    <s v="Plaquettes d'ébauches rhombiques"/>
    <s v="SIEGEL F"/>
    <s v="SIEGEL FRANCK"/>
    <n v="10"/>
    <x v="1"/>
    <x v="0"/>
    <s v="PLAQUETTES"/>
    <x v="0"/>
    <n v="70"/>
  </r>
  <r>
    <d v="2025-11-04T14:29:25"/>
    <x v="0"/>
    <s v="Plaquette piste OP20 R1,2 T323"/>
    <s v="u134838"/>
    <s v="DANAH STEPHANIE"/>
    <n v="5"/>
    <x v="0"/>
    <x v="0"/>
    <s v="PLAQUETTES"/>
    <x v="0"/>
    <n v="35"/>
  </r>
  <r>
    <d v="2025-11-07T13:49:50"/>
    <x v="0"/>
    <s v="Plaquette piste OP20 R1,2 T323"/>
    <s v="u134838"/>
    <s v="DANAH STEPHANIE"/>
    <n v="5"/>
    <x v="0"/>
    <x v="0"/>
    <s v="PLAQUETTES"/>
    <x v="0"/>
    <n v="35"/>
  </r>
  <r>
    <d v="2025-01-05T19:54:21"/>
    <x v="2"/>
    <s v="Plaquettes d'ébauches rhombiques"/>
    <s v="U109136"/>
    <s v="WIPLIE FREDERIC"/>
    <n v="10"/>
    <x v="2"/>
    <x v="0"/>
    <s v="PLAQUETTES"/>
    <x v="1"/>
    <n v="70"/>
  </r>
  <r>
    <d v="2025-11-09T17:25:53"/>
    <x v="0"/>
    <s v="Plaquette piste OP20 R1,2 T323"/>
    <s v="U518765"/>
    <s v="ROY ADELINE"/>
    <n v="5"/>
    <x v="0"/>
    <x v="0"/>
    <s v="PLAQUETTES"/>
    <x v="0"/>
    <n v="35"/>
  </r>
  <r>
    <d v="2025-01-06T05:43:08"/>
    <x v="1"/>
    <s v="Plaquettes d'ébauches carrées"/>
    <s v="SD13196"/>
    <s v="FRADIN MAXIME"/>
    <n v="20"/>
    <x v="1"/>
    <x v="1"/>
    <s v="PLAQUETTES"/>
    <x v="0"/>
    <n v="142.4"/>
  </r>
  <r>
    <d v="2025-01-06T13:20:53"/>
    <x v="2"/>
    <s v="Plaquettes d'ébauches rhombiques"/>
    <s v="VERGE G"/>
    <s v="VERGE GREGORY"/>
    <n v="10"/>
    <x v="2"/>
    <x v="1"/>
    <s v="PLAQUETTES"/>
    <x v="1"/>
    <n v="70"/>
  </r>
  <r>
    <d v="2025-01-06T13:21:21"/>
    <x v="1"/>
    <s v="Plaquettes d'ébauches carrées"/>
    <s v="VERGE G"/>
    <s v="VERGE GREGORY"/>
    <n v="10"/>
    <x v="2"/>
    <x v="1"/>
    <s v="PLAQUETTES"/>
    <x v="1"/>
    <n v="71.2"/>
  </r>
  <r>
    <d v="2025-01-06T13:21:45"/>
    <x v="3"/>
    <s v="Plaquettes rondes"/>
    <s v="VERGE G"/>
    <s v="VERGE GREGORY"/>
    <n v="10"/>
    <x v="2"/>
    <x v="0"/>
    <s v="PLAQUETTES"/>
    <x v="1"/>
    <n v="136.69999999999999"/>
  </r>
  <r>
    <d v="2025-01-07T05:22:19"/>
    <x v="2"/>
    <s v="Plaquettes d'ébauches rhombiques"/>
    <s v="SD13196"/>
    <s v="FRADIN MAXIME"/>
    <n v="10"/>
    <x v="2"/>
    <x v="1"/>
    <s v="PLAQUETTES"/>
    <x v="1"/>
    <n v="70"/>
  </r>
  <r>
    <d v="2025-01-13T21:41:18"/>
    <x v="4"/>
    <s v="Plaquettes de finition"/>
    <s v="SIEGEL F"/>
    <s v="SIEGEL FRANCK"/>
    <n v="10"/>
    <x v="0"/>
    <x v="2"/>
    <s v="PLAQUETTES"/>
    <x v="1"/>
    <n v="95.6"/>
  </r>
  <r>
    <d v="2025-01-07T05:36:59"/>
    <x v="2"/>
    <s v="Plaquettes d'ébauches rhombiques"/>
    <s v="SIEGEL F"/>
    <s v="SIEGEL FRANCK"/>
    <n v="10"/>
    <x v="1"/>
    <x v="1"/>
    <s v="PLAQUETTES"/>
    <x v="0"/>
    <n v="70"/>
  </r>
  <r>
    <d v="2025-01-07T14:55:48"/>
    <x v="2"/>
    <s v="Plaquettes d'ébauches rhombiques"/>
    <s v="080924"/>
    <s v="DABLEMONT AURELIEN"/>
    <n v="10"/>
    <x v="1"/>
    <x v="1"/>
    <s v="PLAQUETTES"/>
    <x v="0"/>
    <n v="70"/>
  </r>
  <r>
    <d v="2025-01-07T14:56:11"/>
    <x v="1"/>
    <s v="Plaquettes d'ébauches carrées"/>
    <s v="080924"/>
    <s v="DABLEMONT AURELIEN"/>
    <n v="10"/>
    <x v="1"/>
    <x v="1"/>
    <s v="PLAQUETTES"/>
    <x v="0"/>
    <n v="71.2"/>
  </r>
  <r>
    <d v="2025-01-08T05:14:32"/>
    <x v="2"/>
    <s v="Plaquettes d'ébauches rhombiques"/>
    <s v="SIEGEL F"/>
    <s v="SIEGEL FRANCK"/>
    <n v="20"/>
    <x v="3"/>
    <x v="1"/>
    <s v="PLAQUETTES"/>
    <x v="2"/>
    <n v="140"/>
  </r>
  <r>
    <d v="2025-01-08T05:15:46"/>
    <x v="1"/>
    <s v="Plaquettes d'ébauches carrées"/>
    <s v="SIEGEL F"/>
    <s v="SIEGEL FRANCK"/>
    <n v="20"/>
    <x v="2"/>
    <x v="0"/>
    <s v="PLAQUETTES"/>
    <x v="1"/>
    <n v="142.4"/>
  </r>
  <r>
    <d v="2025-01-08T09:29:16"/>
    <x v="2"/>
    <s v="Plaquettes d'ébauches rhombiques"/>
    <s v="SIEGEL F"/>
    <s v="SIEGEL FRANCK"/>
    <n v="10"/>
    <x v="2"/>
    <x v="1"/>
    <s v="PLAQUETTES"/>
    <x v="1"/>
    <n v="70"/>
  </r>
  <r>
    <d v="2025-01-15T06:20:45"/>
    <x v="4"/>
    <s v="Plaquettes de finition"/>
    <s v="080924"/>
    <s v="DABLEMONT AURELIEN"/>
    <n v="10"/>
    <x v="0"/>
    <x v="2"/>
    <s v="PLAQUETTES"/>
    <x v="1"/>
    <n v="95.6"/>
  </r>
  <r>
    <d v="2025-01-16T21:08:12"/>
    <x v="4"/>
    <s v="Plaquettes de finition"/>
    <s v="SIEGEL F"/>
    <s v="SIEGEL FRANCK"/>
    <n v="10"/>
    <x v="0"/>
    <x v="2"/>
    <s v="PLAQUETTES"/>
    <x v="1"/>
    <n v="95.6"/>
  </r>
  <r>
    <d v="2025-01-10T05:32:43"/>
    <x v="2"/>
    <s v="Plaquettes d'ébauches rhombiques"/>
    <s v="U534565"/>
    <s v="HOAREAU MARIUS"/>
    <n v="10"/>
    <x v="3"/>
    <x v="0"/>
    <s v="PLAQUETTES"/>
    <x v="3"/>
    <n v="70"/>
  </r>
  <r>
    <d v="2025-01-18T08:41:57"/>
    <x v="4"/>
    <s v="Plaquettes de finition"/>
    <s v="U534565"/>
    <s v="HOAREAU MARIUS"/>
    <n v="10"/>
    <x v="0"/>
    <x v="2"/>
    <s v="PLAQUETTES"/>
    <x v="1"/>
    <n v="95.6"/>
  </r>
  <r>
    <d v="2025-01-20T05:28:44"/>
    <x v="4"/>
    <s v="Plaquettes de finition"/>
    <s v="u134838"/>
    <s v="DANAH STEPHANIE"/>
    <n v="5"/>
    <x v="0"/>
    <x v="2"/>
    <s v="PLAQUETTES"/>
    <x v="1"/>
    <n v="47.8"/>
  </r>
  <r>
    <d v="2025-01-10T13:36:39"/>
    <x v="2"/>
    <s v="Plaquettes d'ébauches rhombiques"/>
    <s v="VERGE G"/>
    <s v="VERGE GREGORY"/>
    <n v="20"/>
    <x v="3"/>
    <x v="1"/>
    <s v="PLAQUETTES"/>
    <x v="0"/>
    <n v="140"/>
  </r>
  <r>
    <d v="2025-01-10T13:37:04"/>
    <x v="1"/>
    <s v="Plaquettes d'ébauches carrées"/>
    <s v="VERGE G"/>
    <s v="VERGE GREGORY"/>
    <n v="20"/>
    <x v="3"/>
    <x v="1"/>
    <s v="PLAQUETTES"/>
    <x v="0"/>
    <n v="142.4"/>
  </r>
  <r>
    <d v="2025-01-12T20:56:02"/>
    <x v="2"/>
    <s v="Plaquettes d'ébauches rhombiques"/>
    <s v="U518765"/>
    <s v="ROY ADELINE"/>
    <n v="10"/>
    <x v="3"/>
    <x v="0"/>
    <s v="PLAQUETTES"/>
    <x v="3"/>
    <n v="70"/>
  </r>
  <r>
    <d v="2025-01-12T20:56:36"/>
    <x v="5"/>
    <s v="Plaquettes rondes"/>
    <s v="U518765"/>
    <s v="ROY ADELINE"/>
    <n v="10"/>
    <x v="3"/>
    <x v="0"/>
    <s v="PLAQUETTES"/>
    <x v="3"/>
    <n v="108.5"/>
  </r>
  <r>
    <d v="2025-01-13T09:56:39"/>
    <x v="2"/>
    <s v="Plaquettes d'ébauches rhombiques"/>
    <s v="VERGE G"/>
    <s v="VERGE GREGORY"/>
    <n v="10"/>
    <x v="3"/>
    <x v="0"/>
    <s v="PLAQUETTES"/>
    <x v="3"/>
    <n v="70"/>
  </r>
  <r>
    <d v="2025-01-13T10:01:41"/>
    <x v="2"/>
    <s v="Plaquettes d'ébauches rhombiques"/>
    <s v="VERGE G"/>
    <s v="VERGE GREGORY"/>
    <n v="10"/>
    <x v="1"/>
    <x v="0"/>
    <s v="PLAQUETTES"/>
    <x v="0"/>
    <n v="70"/>
  </r>
  <r>
    <d v="2025-01-21T03:25:42"/>
    <x v="4"/>
    <s v="Plaquettes de finition"/>
    <s v="080924"/>
    <s v="DABLEMONT AURELIEN"/>
    <n v="10"/>
    <x v="0"/>
    <x v="2"/>
    <s v="PLAQUETTES"/>
    <x v="1"/>
    <n v="95.6"/>
  </r>
  <r>
    <d v="2025-01-22T06:42:40"/>
    <x v="4"/>
    <s v="Plaquettes de finition"/>
    <s v="u134838"/>
    <s v="DANAH STEPHANIE"/>
    <n v="5"/>
    <x v="0"/>
    <x v="2"/>
    <s v="PLAQUETTES"/>
    <x v="1"/>
    <n v="47.8"/>
  </r>
  <r>
    <d v="2025-01-13T21:16:59"/>
    <x v="2"/>
    <s v="Plaquettes d'ébauches rhombiques"/>
    <s v="SIEGEL F"/>
    <s v="SIEGEL FRANCK"/>
    <n v="10"/>
    <x v="1"/>
    <x v="1"/>
    <s v="PLAQUETTES"/>
    <x v="0"/>
    <n v="70"/>
  </r>
  <r>
    <d v="2025-01-13T21:17:15"/>
    <x v="1"/>
    <s v="Plaquettes d'ébauches carrées"/>
    <s v="SIEGEL F"/>
    <s v="SIEGEL FRANCK"/>
    <n v="10"/>
    <x v="1"/>
    <x v="1"/>
    <s v="PLAQUETTES"/>
    <x v="0"/>
    <n v="71.2"/>
  </r>
  <r>
    <d v="2025-01-23T12:31:21"/>
    <x v="4"/>
    <s v="Plaquettes de finition"/>
    <s v="u134838"/>
    <s v="DANAH STEPHANIE"/>
    <n v="5"/>
    <x v="0"/>
    <x v="2"/>
    <s v="PLAQUETTES"/>
    <x v="1"/>
    <n v="47.8"/>
  </r>
  <r>
    <d v="2025-01-13T21:41:46"/>
    <x v="6"/>
    <s v="Plaquettes de finition positives"/>
    <s v="SIEGEL F"/>
    <s v="SIEGEL FRANCK"/>
    <n v="10"/>
    <x v="1"/>
    <x v="2"/>
    <s v="PLAQUETTES"/>
    <x v="0"/>
    <n v="87"/>
  </r>
  <r>
    <d v="2025-01-14T00:35:19"/>
    <x v="2"/>
    <s v="Plaquettes d'ébauches rhombiques"/>
    <s v="SD13196"/>
    <s v="FRADIN MAXIME"/>
    <n v="10"/>
    <x v="3"/>
    <x v="1"/>
    <s v="PLAQUETTES"/>
    <x v="3"/>
    <n v="70"/>
  </r>
  <r>
    <d v="2025-01-14T00:35:33"/>
    <x v="1"/>
    <s v="Plaquettes d'ébauches carrées"/>
    <s v="SD13196"/>
    <s v="FRADIN MAXIME"/>
    <n v="10"/>
    <x v="2"/>
    <x v="1"/>
    <s v="PLAQUETTES"/>
    <x v="1"/>
    <n v="71.2"/>
  </r>
  <r>
    <d v="2025-01-14T05:30:57"/>
    <x v="2"/>
    <s v="Plaquettes d'ébauches rhombiques"/>
    <s v="VERGE G"/>
    <s v="VERGE GREGORY"/>
    <n v="10"/>
    <x v="3"/>
    <x v="0"/>
    <s v="PLAQUETTES"/>
    <x v="3"/>
    <n v="70"/>
  </r>
  <r>
    <d v="2025-01-14T05:31:15"/>
    <x v="1"/>
    <s v="Plaquettes d'ébauches carrées"/>
    <s v="VERGE G"/>
    <s v="VERGE GREGORY"/>
    <n v="10"/>
    <x v="2"/>
    <x v="0"/>
    <s v="PLAQUETTES"/>
    <x v="1"/>
    <n v="71.2"/>
  </r>
  <r>
    <d v="2025-01-14T05:32:36"/>
    <x v="4"/>
    <s v="Plaquettes de finition"/>
    <s v="VERGE G"/>
    <s v="VERGE GREGORY"/>
    <n v="15"/>
    <x v="2"/>
    <x v="2"/>
    <s v="PLAQUETTES"/>
    <x v="1"/>
    <n v="143.4"/>
  </r>
  <r>
    <d v="2025-01-23T22:53:11"/>
    <x v="4"/>
    <s v="Plaquettes de finition"/>
    <s v="080924"/>
    <s v="DABLEMONT AURELIEN"/>
    <n v="10"/>
    <x v="0"/>
    <x v="2"/>
    <s v="PLAQUETTES"/>
    <x v="1"/>
    <n v="95.6"/>
  </r>
  <r>
    <d v="2025-01-14T21:07:22"/>
    <x v="2"/>
    <s v="Plaquettes d'ébauches rhombiques"/>
    <s v="SIEGEL F"/>
    <s v="SIEGEL FRANCK"/>
    <n v="10"/>
    <x v="3"/>
    <x v="1"/>
    <s v="PLAQUETTES"/>
    <x v="3"/>
    <n v="70"/>
  </r>
  <r>
    <d v="2025-01-14T21:07:45"/>
    <x v="5"/>
    <s v="Plaquettes rondes"/>
    <s v="SIEGEL F"/>
    <s v="SIEGEL FRANCK"/>
    <n v="10"/>
    <x v="3"/>
    <x v="0"/>
    <s v="PLAQUETTES"/>
    <x v="3"/>
    <n v="108.5"/>
  </r>
  <r>
    <d v="2025-01-14T21:08:06"/>
    <x v="1"/>
    <s v="Plaquettes d'ébauches carrées"/>
    <s v="SIEGEL F"/>
    <s v="SIEGEL FRANCK"/>
    <n v="10"/>
    <x v="3"/>
    <x v="0"/>
    <s v="PLAQUETTES"/>
    <x v="3"/>
    <n v="71.2"/>
  </r>
  <r>
    <d v="2025-01-14T21:08:23"/>
    <x v="7"/>
    <s v="Plaquettes de finition triangulaires"/>
    <s v="SIEGEL F"/>
    <s v="SIEGEL FRANCK"/>
    <n v="10"/>
    <x v="3"/>
    <x v="2"/>
    <s v="PLAQUETTES"/>
    <x v="3"/>
    <n v="138.80000000000001"/>
  </r>
  <r>
    <d v="2025-01-14T21:08:46"/>
    <x v="2"/>
    <s v="Plaquettes d'ébauches rhombiques"/>
    <s v="SIEGEL F"/>
    <s v="SIEGEL FRANCK"/>
    <n v="10"/>
    <x v="2"/>
    <x v="1"/>
    <s v="PLAQUETTES"/>
    <x v="1"/>
    <n v="70"/>
  </r>
  <r>
    <d v="2025-01-14T21:09:06"/>
    <x v="1"/>
    <s v="Plaquettes d'ébauches carrées"/>
    <s v="SIEGEL F"/>
    <s v="SIEGEL FRANCK"/>
    <n v="10"/>
    <x v="2"/>
    <x v="0"/>
    <s v="PLAQUETTES"/>
    <x v="1"/>
    <n v="71.2"/>
  </r>
  <r>
    <d v="2025-01-14T21:09:29"/>
    <x v="3"/>
    <s v="Plaquettes rondes"/>
    <s v="SIEGEL F"/>
    <s v="SIEGEL FRANCK"/>
    <n v="10"/>
    <x v="2"/>
    <x v="0"/>
    <s v="PLAQUETTES"/>
    <x v="1"/>
    <n v="136.69999999999999"/>
  </r>
  <r>
    <d v="2025-01-25T09:15:15"/>
    <x v="4"/>
    <s v="Plaquettes de finition"/>
    <s v="U534565"/>
    <s v="HOAREAU MARIUS"/>
    <n v="5"/>
    <x v="0"/>
    <x v="2"/>
    <s v="PLAQUETTES"/>
    <x v="1"/>
    <n v="47.8"/>
  </r>
  <r>
    <d v="2025-01-15T06:21:30"/>
    <x v="2"/>
    <s v="Plaquettes d'ébauches rhombiques"/>
    <s v="080924"/>
    <s v="DABLEMONT AURELIEN"/>
    <n v="20"/>
    <x v="1"/>
    <x v="1"/>
    <s v="PLAQUETTES"/>
    <x v="0"/>
    <n v="140"/>
  </r>
  <r>
    <d v="2025-01-15T06:30:53"/>
    <x v="2"/>
    <s v="Plaquettes d'ébauches rhombiques"/>
    <s v="VERGE G"/>
    <s v="VERGE GREGORY"/>
    <n v="10"/>
    <x v="3"/>
    <x v="0"/>
    <s v="PLAQUETTES"/>
    <x v="3"/>
    <n v="70"/>
  </r>
  <r>
    <d v="2025-01-15T06:31:20"/>
    <x v="1"/>
    <s v="Plaquettes d'ébauches carrées"/>
    <s v="VERGE G"/>
    <s v="VERGE GREGORY"/>
    <n v="10"/>
    <x v="3"/>
    <x v="0"/>
    <s v="PLAQUETTES"/>
    <x v="3"/>
    <n v="71.2"/>
  </r>
  <r>
    <d v="2025-01-15T13:33:01"/>
    <x v="1"/>
    <s v="Plaquettes d'ébauches carrées"/>
    <s v="u134838"/>
    <s v="DANAH STEPHANIE"/>
    <n v="10"/>
    <x v="1"/>
    <x v="1"/>
    <s v="PLAQUETTES"/>
    <x v="0"/>
    <n v="71.2"/>
  </r>
  <r>
    <d v="2025-01-15T14:54:29"/>
    <x v="2"/>
    <s v="Plaquettes d'ébauches rhombiques"/>
    <s v="100125"/>
    <s v="MEUNIER Louis"/>
    <n v="10"/>
    <x v="1"/>
    <x v="1"/>
    <s v="PLAQUETTES"/>
    <x v="0"/>
    <n v="70"/>
  </r>
  <r>
    <d v="2025-01-15T14:55:26"/>
    <x v="2"/>
    <s v="Plaquettes d'ébauches rhombiques"/>
    <s v="100125"/>
    <s v="MEUNIER Louis"/>
    <n v="-10"/>
    <x v="1"/>
    <x v="1"/>
    <s v="PLAQUETTES"/>
    <x v="0"/>
    <n v="-70"/>
  </r>
  <r>
    <d v="2025-01-15T15:09:24"/>
    <x v="8"/>
    <s v="Plaquettes rhombiques"/>
    <s v="1234SECOURS"/>
    <s v="SECOURS"/>
    <n v="5"/>
    <x v="2"/>
    <x v="2"/>
    <s v="PLAQUETTES"/>
    <x v="1"/>
    <n v="18.399999999999999"/>
  </r>
  <r>
    <d v="2025-01-28T14:53:45"/>
    <x v="4"/>
    <s v="Plaquettes de finition"/>
    <s v="080924"/>
    <s v="DABLEMONT AURELIEN"/>
    <n v="10"/>
    <x v="0"/>
    <x v="2"/>
    <s v="PLAQUETTES"/>
    <x v="1"/>
    <n v="95.6"/>
  </r>
  <r>
    <d v="2025-01-29T05:07:38"/>
    <x v="4"/>
    <s v="Plaquettes de finition"/>
    <s v="SIEGEL F"/>
    <s v="SIEGEL FRANCK"/>
    <n v="5"/>
    <x v="0"/>
    <x v="2"/>
    <s v="PLAQUETTES"/>
    <x v="1"/>
    <n v="47.8"/>
  </r>
  <r>
    <d v="2025-01-15T15:10:27"/>
    <x v="8"/>
    <s v="Plaquettes rhombiques"/>
    <s v="1234SECOURS"/>
    <s v="SECOURS"/>
    <n v="-5"/>
    <x v="2"/>
    <x v="2"/>
    <s v="PLAQUETTES"/>
    <x v="1"/>
    <n v="-18.399999999999999"/>
  </r>
  <r>
    <d v="2025-01-30T03:49:33"/>
    <x v="4"/>
    <s v="Plaquettes de finition"/>
    <s v="100125"/>
    <s v="MEUNIER Louis"/>
    <n v="5"/>
    <x v="0"/>
    <x v="2"/>
    <s v="PLAQUETTES"/>
    <x v="1"/>
    <n v="47.8"/>
  </r>
  <r>
    <d v="2025-01-16T08:53:55"/>
    <x v="8"/>
    <s v="Plaquettes rhombiques"/>
    <s v="VERGE G"/>
    <s v="VERGE GREGORY"/>
    <n v="5"/>
    <x v="2"/>
    <x v="2"/>
    <s v="PLAQUETTES"/>
    <x v="1"/>
    <n v="18.399999999999999"/>
  </r>
  <r>
    <d v="2025-01-16T13:36:07"/>
    <x v="5"/>
    <s v="Plaquettes rondes"/>
    <s v="u134838"/>
    <s v="DANAH STEPHANIE"/>
    <n v="10"/>
    <x v="1"/>
    <x v="0"/>
    <s v="PLAQUETTES"/>
    <x v="0"/>
    <n v="108.5"/>
  </r>
  <r>
    <d v="2025-01-16T13:36:43"/>
    <x v="2"/>
    <s v="Plaquettes d'ébauches rhombiques"/>
    <s v="u134838"/>
    <s v="DANAH STEPHANIE"/>
    <n v="10"/>
    <x v="1"/>
    <x v="1"/>
    <s v="PLAQUETTES"/>
    <x v="0"/>
    <n v="70"/>
  </r>
  <r>
    <d v="2025-01-30T19:32:17"/>
    <x v="4"/>
    <s v="Plaquettes de finition"/>
    <s v="080924"/>
    <s v="DABLEMONT AURELIEN"/>
    <n v="5"/>
    <x v="0"/>
    <x v="2"/>
    <s v="PLAQUETTES"/>
    <x v="1"/>
    <n v="47.8"/>
  </r>
  <r>
    <d v="2025-01-16T13:41:27"/>
    <x v="6"/>
    <s v="Plaquettes de finition positives"/>
    <s v="u134838"/>
    <s v="DANAH STEPHANIE"/>
    <n v="10"/>
    <x v="1"/>
    <x v="2"/>
    <s v="PLAQUETTES"/>
    <x v="0"/>
    <n v="87"/>
  </r>
  <r>
    <d v="2025-01-16T17:51:23"/>
    <x v="2"/>
    <s v="Plaquettes d'ébauches rhombiques"/>
    <s v="U462308"/>
    <s v="MAITRE SEBASTIEN"/>
    <n v="30"/>
    <x v="2"/>
    <x v="1"/>
    <s v="PLAQUETTES"/>
    <x v="1"/>
    <n v="210"/>
  </r>
  <r>
    <d v="2025-01-31T18:48:29"/>
    <x v="4"/>
    <s v="Plaquettes de finition"/>
    <s v="VERGE G"/>
    <s v="VERGE GREGORY"/>
    <n v="5"/>
    <x v="0"/>
    <x v="2"/>
    <s v="PLAQUETTES"/>
    <x v="1"/>
    <n v="47.8"/>
  </r>
  <r>
    <d v="2025-01-31T21:38:53"/>
    <x v="4"/>
    <s v="Plaquettes de finition"/>
    <s v="u134838"/>
    <s v="DANAH STEPHANIE"/>
    <n v="5"/>
    <x v="0"/>
    <x v="2"/>
    <s v="PLAQUETTES"/>
    <x v="1"/>
    <n v="47.8"/>
  </r>
  <r>
    <d v="2025-01-16T21:07:30"/>
    <x v="1"/>
    <s v="Plaquettes d'ébauches carrées"/>
    <s v="SIEGEL F"/>
    <s v="SIEGEL FRANCK"/>
    <n v="10"/>
    <x v="1"/>
    <x v="0"/>
    <s v="PLAQUETTES"/>
    <x v="0"/>
    <n v="71.2"/>
  </r>
  <r>
    <d v="2025-02-03T06:21:17"/>
    <x v="4"/>
    <s v="Plaquettes de finition"/>
    <s v="080924"/>
    <s v="DABLEMONT AURELIEN"/>
    <n v="5"/>
    <x v="0"/>
    <x v="2"/>
    <s v="PLAQUETTES"/>
    <x v="1"/>
    <n v="47.8"/>
  </r>
  <r>
    <d v="2025-01-16T21:08:42"/>
    <x v="6"/>
    <s v="Plaquettes de finition positives"/>
    <s v="SIEGEL F"/>
    <s v="SIEGEL FRANCK"/>
    <n v="10"/>
    <x v="1"/>
    <x v="2"/>
    <s v="PLAQUETTES"/>
    <x v="0"/>
    <n v="87"/>
  </r>
  <r>
    <d v="2025-01-16T21:38:06"/>
    <x v="4"/>
    <s v="Plaquettes de finition"/>
    <s v="SD13196"/>
    <s v="FRADIN MAXIME"/>
    <n v="20"/>
    <x v="2"/>
    <x v="2"/>
    <s v="PLAQUETTES"/>
    <x v="1"/>
    <n v="191.2"/>
  </r>
  <r>
    <d v="2025-01-16T21:38:29"/>
    <x v="9"/>
    <s v="Plaquettes rhombiques"/>
    <s v="SD13196"/>
    <s v="FRADIN MAXIME"/>
    <n v="10"/>
    <x v="2"/>
    <x v="2"/>
    <s v="PLAQUETTES"/>
    <x v="1"/>
    <n v="89.7"/>
  </r>
  <r>
    <d v="2025-01-16T21:38:56"/>
    <x v="8"/>
    <s v="Plaquettes rhombiques"/>
    <s v="SD13196"/>
    <s v="FRADIN MAXIME"/>
    <n v="5"/>
    <x v="2"/>
    <x v="2"/>
    <s v="PLAQUETTES"/>
    <x v="1"/>
    <n v="18.399999999999999"/>
  </r>
  <r>
    <d v="2025-01-17T03:39:49"/>
    <x v="2"/>
    <s v="Plaquettes d'ébauches rhombiques"/>
    <s v="SIEGEL F"/>
    <s v="SIEGEL FRANCK"/>
    <n v="10"/>
    <x v="1"/>
    <x v="1"/>
    <s v="PLAQUETTES"/>
    <x v="0"/>
    <n v="70"/>
  </r>
  <r>
    <d v="2025-01-17T07:44:56"/>
    <x v="10"/>
    <s v="Plaquettes de finition"/>
    <s v="U198152"/>
    <s v="AJMIK MUSTAPHA"/>
    <n v="10"/>
    <x v="3"/>
    <x v="2"/>
    <s v="PLAQUETTES"/>
    <x v="3"/>
    <n v="109.7"/>
  </r>
  <r>
    <d v="2025-01-17T07:45:21"/>
    <x v="6"/>
    <s v="Plaquettes de finition positives"/>
    <s v="U198152"/>
    <s v="AJMIK MUSTAPHA"/>
    <n v="10"/>
    <x v="3"/>
    <x v="2"/>
    <s v="PLAQUETTES"/>
    <x v="3"/>
    <n v="87"/>
  </r>
  <r>
    <d v="2025-02-03T15:35:18"/>
    <x v="4"/>
    <s v="Plaquettes de finition"/>
    <s v="100125"/>
    <s v="MEUNIER Louis"/>
    <n v="5"/>
    <x v="0"/>
    <x v="2"/>
    <s v="PLAQUETTES"/>
    <x v="1"/>
    <n v="47.8"/>
  </r>
  <r>
    <d v="2025-02-03T21:26:33"/>
    <x v="4"/>
    <s v="Plaquettes de finition"/>
    <s v="SIEGEL F"/>
    <s v="SIEGEL FRANCK"/>
    <n v="10"/>
    <x v="0"/>
    <x v="2"/>
    <s v="PLAQUETTES"/>
    <x v="1"/>
    <n v="95.6"/>
  </r>
  <r>
    <d v="2025-01-17T16:45:50"/>
    <x v="5"/>
    <s v="Plaquettes rondes"/>
    <s v="u134838"/>
    <s v="DANAH STEPHANIE"/>
    <n v="10"/>
    <x v="1"/>
    <x v="0"/>
    <s v="PLAQUETTES"/>
    <x v="0"/>
    <n v="108.5"/>
  </r>
  <r>
    <d v="2025-01-17T20:59:57"/>
    <x v="2"/>
    <s v="Plaquettes d'ébauches rhombiques"/>
    <s v="SIEGEL F"/>
    <s v="SIEGEL FRANCK"/>
    <n v="10"/>
    <x v="3"/>
    <x v="1"/>
    <s v="PLAQUETTES"/>
    <x v="3"/>
    <n v="70"/>
  </r>
  <r>
    <d v="2025-01-17T21:00:20"/>
    <x v="2"/>
    <s v="Plaquettes d'ébauches rhombiques"/>
    <s v="SIEGEL F"/>
    <s v="SIEGEL FRANCK"/>
    <n v="10"/>
    <x v="2"/>
    <x v="1"/>
    <s v="PLAQUETTES"/>
    <x v="1"/>
    <n v="70"/>
  </r>
  <r>
    <d v="2025-01-17T21:00:41"/>
    <x v="6"/>
    <s v="Plaquettes de finition positives"/>
    <s v="SIEGEL F"/>
    <s v="SIEGEL FRANCK"/>
    <n v="10"/>
    <x v="3"/>
    <x v="2"/>
    <s v="PLAQUETTES"/>
    <x v="3"/>
    <n v="87"/>
  </r>
  <r>
    <d v="2025-01-17T21:01:00"/>
    <x v="4"/>
    <s v="Plaquettes de finition"/>
    <s v="SIEGEL F"/>
    <s v="SIEGEL FRANCK"/>
    <n v="5"/>
    <x v="2"/>
    <x v="2"/>
    <s v="PLAQUETTES"/>
    <x v="1"/>
    <n v="47.8"/>
  </r>
  <r>
    <d v="2025-01-17T21:07:10"/>
    <x v="5"/>
    <s v="Plaquettes rondes"/>
    <s v="SIEGEL F"/>
    <s v="SIEGEL FRANCK"/>
    <n v="10"/>
    <x v="2"/>
    <x v="0"/>
    <s v="PLAQUETTES"/>
    <x v="1"/>
    <n v="108.5"/>
  </r>
  <r>
    <d v="2025-01-17T21:07:33"/>
    <x v="8"/>
    <s v="Plaquettes rhombiques"/>
    <s v="SIEGEL F"/>
    <s v="SIEGEL FRANCK"/>
    <n v="5"/>
    <x v="2"/>
    <x v="2"/>
    <s v="PLAQUETTES"/>
    <x v="1"/>
    <n v="18.399999999999999"/>
  </r>
  <r>
    <d v="2025-01-17T21:10:05"/>
    <x v="11"/>
    <s v="Plaquettes de finition triangulaires"/>
    <s v="SIEGEL F"/>
    <s v="SIEGEL FRANCK"/>
    <n v="10"/>
    <x v="2"/>
    <x v="2"/>
    <s v="PLAQUETTES"/>
    <x v="1"/>
    <n v="118.7"/>
  </r>
  <r>
    <d v="2025-01-18T01:56:06"/>
    <x v="2"/>
    <s v="Plaquettes d'ébauches rhombiques"/>
    <s v="SIEGEL F"/>
    <s v="SIEGEL FRANCK"/>
    <n v="10"/>
    <x v="3"/>
    <x v="0"/>
    <s v="PLAQUETTES"/>
    <x v="3"/>
    <n v="70"/>
  </r>
  <r>
    <d v="2025-01-18T08:41:18"/>
    <x v="2"/>
    <s v="Plaquettes d'ébauches rhombiques"/>
    <s v="U534565"/>
    <s v="HOAREAU MARIUS"/>
    <n v="20"/>
    <x v="1"/>
    <x v="0"/>
    <s v="PLAQUETTES"/>
    <x v="0"/>
    <n v="140"/>
  </r>
  <r>
    <d v="2025-02-04T16:55:36"/>
    <x v="4"/>
    <s v="Plaquettes de finition"/>
    <s v="u134838"/>
    <s v="DANAH STEPHANIE"/>
    <n v="5"/>
    <x v="0"/>
    <x v="2"/>
    <s v="PLAQUETTES"/>
    <x v="1"/>
    <n v="47.8"/>
  </r>
  <r>
    <d v="2025-01-19T23:01:24"/>
    <x v="2"/>
    <s v="Plaquettes d'ébauches rhombiques"/>
    <s v="U198152"/>
    <s v="AJMIK MUSTAPHA"/>
    <n v="10"/>
    <x v="2"/>
    <x v="1"/>
    <s v="PLAQUETTES"/>
    <x v="1"/>
    <n v="70"/>
  </r>
  <r>
    <d v="2025-01-19T23:02:00"/>
    <x v="6"/>
    <s v="Plaquettes de finition positives"/>
    <s v="U198152"/>
    <s v="AJMIK MUSTAPHA"/>
    <n v="10"/>
    <x v="3"/>
    <x v="2"/>
    <s v="PLAQUETTES"/>
    <x v="3"/>
    <n v="87"/>
  </r>
  <r>
    <d v="2025-01-19T23:02:28"/>
    <x v="9"/>
    <s v="Plaquettes rhombiques"/>
    <s v="U198152"/>
    <s v="AJMIK MUSTAPHA"/>
    <n v="10"/>
    <x v="2"/>
    <x v="2"/>
    <s v="PLAQUETTES"/>
    <x v="1"/>
    <n v="89.7"/>
  </r>
  <r>
    <d v="2025-02-04T23:55:05"/>
    <x v="4"/>
    <s v="Plaquettes de finition"/>
    <s v="J519914"/>
    <s v="MARLY DAVID"/>
    <n v="5"/>
    <x v="0"/>
    <x v="2"/>
    <s v="PLAQUETTES"/>
    <x v="1"/>
    <n v="47.8"/>
  </r>
  <r>
    <d v="2025-02-05T08:57:14"/>
    <x v="4"/>
    <s v="Plaquettes de finition"/>
    <s v="080924"/>
    <s v="DABLEMONT AURELIEN"/>
    <n v="5"/>
    <x v="0"/>
    <x v="2"/>
    <s v="PLAQUETTES"/>
    <x v="1"/>
    <n v="47.8"/>
  </r>
  <r>
    <d v="2025-01-20T05:29:07"/>
    <x v="6"/>
    <s v="Plaquettes de finition positives"/>
    <s v="u134838"/>
    <s v="DANAH STEPHANIE"/>
    <n v="10"/>
    <x v="1"/>
    <x v="2"/>
    <s v="PLAQUETTES"/>
    <x v="0"/>
    <n v="87"/>
  </r>
  <r>
    <d v="2025-01-20T05:29:31"/>
    <x v="2"/>
    <s v="Plaquettes d'ébauches rhombiques"/>
    <s v="u134838"/>
    <s v="DANAH STEPHANIE"/>
    <n v="10"/>
    <x v="1"/>
    <x v="1"/>
    <s v="PLAQUETTES"/>
    <x v="0"/>
    <n v="70"/>
  </r>
  <r>
    <d v="2025-02-05T21:16:53"/>
    <x v="4"/>
    <s v="Plaquettes de finition"/>
    <s v="SIEGEL F"/>
    <s v="SIEGEL FRANCK"/>
    <n v="10"/>
    <x v="0"/>
    <x v="2"/>
    <s v="PLAQUETTES"/>
    <x v="1"/>
    <n v="95.6"/>
  </r>
  <r>
    <d v="2025-02-06T11:54:09"/>
    <x v="4"/>
    <s v="Plaquettes de finition"/>
    <s v="080924"/>
    <s v="DABLEMONT AURELIEN"/>
    <n v="5"/>
    <x v="0"/>
    <x v="2"/>
    <s v="PLAQUETTES"/>
    <x v="1"/>
    <n v="47.8"/>
  </r>
  <r>
    <d v="2025-01-20T14:39:02"/>
    <x v="2"/>
    <s v="Plaquettes d'ébauches rhombiques"/>
    <s v="SIEGEL F"/>
    <s v="SIEGEL FRANCK"/>
    <n v="10"/>
    <x v="3"/>
    <x v="1"/>
    <s v="PLAQUETTES"/>
    <x v="3"/>
    <n v="70"/>
  </r>
  <r>
    <d v="2025-01-20T14:39:20"/>
    <x v="1"/>
    <s v="Plaquettes d'ébauches carrées"/>
    <s v="SIEGEL F"/>
    <s v="SIEGEL FRANCK"/>
    <n v="10"/>
    <x v="3"/>
    <x v="1"/>
    <s v="PLAQUETTES"/>
    <x v="3"/>
    <n v="71.2"/>
  </r>
  <r>
    <d v="2025-01-20T14:39:44"/>
    <x v="2"/>
    <s v="Plaquettes d'ébauches rhombiques"/>
    <s v="SIEGEL F"/>
    <s v="SIEGEL FRANCK"/>
    <n v="10"/>
    <x v="3"/>
    <x v="0"/>
    <s v="PLAQUETTES"/>
    <x v="3"/>
    <n v="70"/>
  </r>
  <r>
    <d v="2025-01-20T14:40:02"/>
    <x v="5"/>
    <s v="Plaquettes rondes"/>
    <s v="SIEGEL F"/>
    <s v="SIEGEL FRANCK"/>
    <n v="10"/>
    <x v="3"/>
    <x v="0"/>
    <s v="PLAQUETTES"/>
    <x v="3"/>
    <n v="108.5"/>
  </r>
  <r>
    <d v="2025-01-20T22:05:24"/>
    <x v="2"/>
    <s v="Plaquettes d'ébauches rhombiques"/>
    <s v="080924"/>
    <s v="DABLEMONT AURELIEN"/>
    <n v="10"/>
    <x v="1"/>
    <x v="0"/>
    <s v="PLAQUETTES"/>
    <x v="0"/>
    <n v="70"/>
  </r>
  <r>
    <d v="2025-01-20T22:05:51"/>
    <x v="5"/>
    <s v="Plaquettes rondes"/>
    <s v="080924"/>
    <s v="DABLEMONT AURELIEN"/>
    <n v="10"/>
    <x v="1"/>
    <x v="0"/>
    <s v="PLAQUETTES"/>
    <x v="0"/>
    <n v="108.5"/>
  </r>
  <r>
    <d v="2025-01-21T03:25:12"/>
    <x v="6"/>
    <s v="Plaquettes de finition positives"/>
    <s v="080924"/>
    <s v="DABLEMONT AURELIEN"/>
    <n v="10"/>
    <x v="1"/>
    <x v="2"/>
    <s v="PLAQUETTES"/>
    <x v="0"/>
    <n v="87"/>
  </r>
  <r>
    <d v="2025-02-07T22:21:30"/>
    <x v="4"/>
    <s v="Plaquettes de finition"/>
    <s v="SD13196"/>
    <s v="FRADIN MAXIME"/>
    <n v="5"/>
    <x v="0"/>
    <x v="2"/>
    <s v="PLAQUETTES"/>
    <x v="1"/>
    <n v="47.8"/>
  </r>
  <r>
    <d v="2025-02-08T15:00:58"/>
    <x v="4"/>
    <s v="Plaquettes de finition"/>
    <s v="P910513"/>
    <s v="IMBERT MICKAEL"/>
    <n v="20"/>
    <x v="0"/>
    <x v="2"/>
    <s v="PLAQUETTES"/>
    <x v="1"/>
    <n v="191.2"/>
  </r>
  <r>
    <d v="2025-02-10T05:31:24"/>
    <x v="4"/>
    <s v="Plaquettes de finition"/>
    <s v="100125"/>
    <s v="MEUNIER Louis"/>
    <n v="5"/>
    <x v="0"/>
    <x v="2"/>
    <s v="PLAQUETTES"/>
    <x v="1"/>
    <n v="47.8"/>
  </r>
  <r>
    <d v="2025-02-10T13:04:54"/>
    <x v="4"/>
    <s v="Plaquettes de finition"/>
    <s v="SIEGEL F"/>
    <s v="SIEGEL FRANCK"/>
    <n v="5"/>
    <x v="0"/>
    <x v="2"/>
    <s v="PLAQUETTES"/>
    <x v="1"/>
    <n v="47.8"/>
  </r>
  <r>
    <d v="2025-01-21T09:22:21"/>
    <x v="5"/>
    <s v="Plaquettes rondes"/>
    <s v="u134838"/>
    <s v="DANAH STEPHANIE"/>
    <n v="10"/>
    <x v="1"/>
    <x v="0"/>
    <s v="PLAQUETTES"/>
    <x v="0"/>
    <n v="108.5"/>
  </r>
  <r>
    <d v="2025-01-21T13:03:19"/>
    <x v="2"/>
    <s v="Plaquettes d'ébauches rhombiques"/>
    <s v="SIEGEL F"/>
    <s v="SIEGEL FRANCK"/>
    <n v="10"/>
    <x v="1"/>
    <x v="1"/>
    <s v="PLAQUETTES"/>
    <x v="0"/>
    <n v="70"/>
  </r>
  <r>
    <d v="2025-01-21T13:03:41"/>
    <x v="1"/>
    <s v="Plaquettes d'ébauches carrées"/>
    <s v="SIEGEL F"/>
    <s v="SIEGEL FRANCK"/>
    <n v="10"/>
    <x v="1"/>
    <x v="1"/>
    <s v="PLAQUETTES"/>
    <x v="0"/>
    <n v="71.2"/>
  </r>
  <r>
    <d v="2025-01-21T13:03:59"/>
    <x v="6"/>
    <s v="Plaquettes de finition positives"/>
    <s v="SIEGEL F"/>
    <s v="SIEGEL FRANCK"/>
    <n v="10"/>
    <x v="1"/>
    <x v="2"/>
    <s v="PLAQUETTES"/>
    <x v="0"/>
    <n v="87"/>
  </r>
  <r>
    <d v="2025-01-21T14:28:08"/>
    <x v="2"/>
    <s v="Plaquettes d'ébauches rhombiques"/>
    <s v="SD13196"/>
    <s v="FRADIN MAXIME"/>
    <n v="20"/>
    <x v="3"/>
    <x v="1"/>
    <s v="PLAQUETTES"/>
    <x v="3"/>
    <n v="140"/>
  </r>
  <r>
    <d v="2025-01-21T16:20:54"/>
    <x v="6"/>
    <s v="Plaquettes de finition positives"/>
    <s v="SD13196"/>
    <s v="FRADIN MAXIME"/>
    <n v="20"/>
    <x v="3"/>
    <x v="2"/>
    <s v="PLAQUETTES"/>
    <x v="3"/>
    <n v="174"/>
  </r>
  <r>
    <d v="2025-02-11T01:24:10"/>
    <x v="4"/>
    <s v="Plaquettes de finition"/>
    <s v="080924"/>
    <s v="DABLEMONT AURELIEN"/>
    <n v="5"/>
    <x v="0"/>
    <x v="2"/>
    <s v="PLAQUETTES"/>
    <x v="1"/>
    <n v="47.8"/>
  </r>
  <r>
    <d v="2025-02-11T13:07:40"/>
    <x v="4"/>
    <s v="Plaquettes de finition"/>
    <s v="SIEGEL F"/>
    <s v="SIEGEL FRANCK"/>
    <n v="10"/>
    <x v="0"/>
    <x v="2"/>
    <s v="PLAQUETTES"/>
    <x v="1"/>
    <n v="95.6"/>
  </r>
  <r>
    <d v="2025-01-21T21:46:51"/>
    <x v="1"/>
    <s v="Plaquettes d'ébauches carrées"/>
    <s v="VERGE G"/>
    <s v="VERGE GREGORY"/>
    <n v="20"/>
    <x v="3"/>
    <x v="0"/>
    <s v="PLAQUETTES"/>
    <x v="3"/>
    <n v="142.4"/>
  </r>
  <r>
    <d v="2025-02-12T05:52:17"/>
    <x v="4"/>
    <s v="Plaquettes de finition"/>
    <s v="u134838"/>
    <s v="DANAH STEPHANIE"/>
    <n v="5"/>
    <x v="0"/>
    <x v="2"/>
    <s v="PLAQUETTES"/>
    <x v="1"/>
    <n v="47.8"/>
  </r>
  <r>
    <d v="2025-01-22T06:43:27"/>
    <x v="7"/>
    <s v="Plaquettes de finition triangulaires"/>
    <s v="100125"/>
    <s v="MEUNIER Louis"/>
    <n v="10"/>
    <x v="1"/>
    <x v="2"/>
    <s v="PLAQUETTES"/>
    <x v="0"/>
    <n v="138.80000000000001"/>
  </r>
  <r>
    <d v="2025-01-22T13:02:05"/>
    <x v="2"/>
    <s v="Plaquettes d'ébauches rhombiques"/>
    <s v="SIEGEL F"/>
    <s v="SIEGEL FRANCK"/>
    <n v="20"/>
    <x v="3"/>
    <x v="1"/>
    <s v="PLAQUETTES"/>
    <x v="3"/>
    <n v="140"/>
  </r>
  <r>
    <d v="2025-01-22T13:02:27"/>
    <x v="5"/>
    <s v="Plaquettes rondes"/>
    <s v="SIEGEL F"/>
    <s v="SIEGEL FRANCK"/>
    <n v="10"/>
    <x v="3"/>
    <x v="0"/>
    <s v="PLAQUETTES"/>
    <x v="3"/>
    <n v="108.5"/>
  </r>
  <r>
    <d v="2025-01-22T13:03:09"/>
    <x v="4"/>
    <s v="Plaquettes de finition"/>
    <s v="SIEGEL F"/>
    <s v="SIEGEL FRANCK"/>
    <n v="5"/>
    <x v="2"/>
    <x v="2"/>
    <s v="PLAQUETTES"/>
    <x v="1"/>
    <n v="47.8"/>
  </r>
  <r>
    <d v="2025-01-22T13:03:32"/>
    <x v="8"/>
    <s v="Plaquettes rhombiques"/>
    <s v="SIEGEL F"/>
    <s v="SIEGEL FRANCK"/>
    <n v="5"/>
    <x v="2"/>
    <x v="2"/>
    <s v="PLAQUETTES"/>
    <x v="1"/>
    <n v="18.399999999999999"/>
  </r>
  <r>
    <d v="2025-01-22T13:03:50"/>
    <x v="9"/>
    <s v="Plaquettes rhombiques"/>
    <s v="SIEGEL F"/>
    <s v="SIEGEL FRANCK"/>
    <n v="5"/>
    <x v="2"/>
    <x v="2"/>
    <s v="PLAQUETTES"/>
    <x v="1"/>
    <n v="44.85"/>
  </r>
  <r>
    <d v="2025-01-22T23:00:11"/>
    <x v="2"/>
    <s v="Plaquettes d'ébauches rhombiques"/>
    <s v="080924"/>
    <s v="DABLEMONT AURELIEN"/>
    <n v="10"/>
    <x v="1"/>
    <x v="1"/>
    <s v="PLAQUETTES"/>
    <x v="0"/>
    <n v="70"/>
  </r>
  <r>
    <d v="2025-02-13T00:16:31"/>
    <x v="4"/>
    <s v="Plaquettes de finition"/>
    <s v="080924"/>
    <s v="DABLEMONT AURELIEN"/>
    <n v="5"/>
    <x v="0"/>
    <x v="2"/>
    <s v="PLAQUETTES"/>
    <x v="1"/>
    <n v="47.8"/>
  </r>
  <r>
    <d v="2025-01-23T09:45:29"/>
    <x v="6"/>
    <s v="Plaquettes de finition positives"/>
    <s v="U462308"/>
    <s v="MAITRE SEBASTIEN"/>
    <n v="10"/>
    <x v="3"/>
    <x v="2"/>
    <s v="PLAQUETTES"/>
    <x v="3"/>
    <n v="87"/>
  </r>
  <r>
    <d v="2025-01-23T09:45:56"/>
    <x v="7"/>
    <s v="Plaquettes de finition triangulaires"/>
    <s v="U462308"/>
    <s v="MAITRE SEBASTIEN"/>
    <n v="10"/>
    <x v="3"/>
    <x v="2"/>
    <s v="PLAQUETTES"/>
    <x v="3"/>
    <n v="138.80000000000001"/>
  </r>
  <r>
    <d v="2025-01-23T09:46:21"/>
    <x v="10"/>
    <s v="Plaquettes de finition"/>
    <s v="U462308"/>
    <s v="MAITRE SEBASTIEN"/>
    <n v="10"/>
    <x v="3"/>
    <x v="2"/>
    <s v="PLAQUETTES"/>
    <x v="3"/>
    <n v="109.7"/>
  </r>
  <r>
    <d v="2025-01-23T09:46:55"/>
    <x v="7"/>
    <s v="Plaquettes de finition triangulaires"/>
    <s v="U462308"/>
    <s v="MAITRE SEBASTIEN"/>
    <n v="20"/>
    <x v="3"/>
    <x v="2"/>
    <s v="PLAQUETTES"/>
    <x v="3"/>
    <n v="277.60000000000002"/>
  </r>
  <r>
    <d v="2025-01-23T10:01:48"/>
    <x v="1"/>
    <s v="Plaquettes d'ébauches carrées"/>
    <s v="12824586"/>
    <s v="DA SILVA FERNANDO"/>
    <n v="10"/>
    <x v="2"/>
    <x v="1"/>
    <s v="PLAQUETTES"/>
    <x v="4"/>
    <n v="71.2"/>
  </r>
  <r>
    <d v="2025-02-13T06:24:07"/>
    <x v="4"/>
    <s v="Plaquettes de finition"/>
    <s v="100125"/>
    <s v="MEUNIER Louis"/>
    <n v="5"/>
    <x v="0"/>
    <x v="2"/>
    <s v="PLAQUETTES"/>
    <x v="1"/>
    <n v="47.8"/>
  </r>
  <r>
    <d v="2025-02-13T13:10:31"/>
    <x v="4"/>
    <s v="Plaquettes de finition"/>
    <s v="SIEGEL F"/>
    <s v="SIEGEL FRANCK"/>
    <n v="5"/>
    <x v="0"/>
    <x v="2"/>
    <s v="PLAQUETTES"/>
    <x v="1"/>
    <n v="47.8"/>
  </r>
  <r>
    <d v="2025-01-23T20:03:55"/>
    <x v="2"/>
    <s v="Plaquettes d'ébauches rhombiques"/>
    <s v="SD13196"/>
    <s v="FRADIN MAXIME"/>
    <n v="10"/>
    <x v="1"/>
    <x v="1"/>
    <s v="PLAQUETTES"/>
    <x v="0"/>
    <n v="70"/>
  </r>
  <r>
    <d v="2025-01-23T21:23:40"/>
    <x v="1"/>
    <s v="Plaquettes d'ébauches carrées"/>
    <s v="VERGE G"/>
    <s v="VERGE GREGORY"/>
    <n v="20"/>
    <x v="1"/>
    <x v="1"/>
    <s v="PLAQUETTES"/>
    <x v="0"/>
    <n v="142.4"/>
  </r>
  <r>
    <d v="2025-01-23T21:24:08"/>
    <x v="5"/>
    <s v="Plaquettes rondes"/>
    <s v="VERGE G"/>
    <s v="VERGE GREGORY"/>
    <n v="10"/>
    <x v="1"/>
    <x v="0"/>
    <s v="PLAQUETTES"/>
    <x v="0"/>
    <n v="108.5"/>
  </r>
  <r>
    <d v="2025-02-14T07:31:06"/>
    <x v="4"/>
    <s v="Plaquettes de finition"/>
    <s v="U534565"/>
    <s v="HOAREAU MARIUS"/>
    <n v="5"/>
    <x v="0"/>
    <x v="2"/>
    <s v="PLAQUETTES"/>
    <x v="1"/>
    <n v="47.8"/>
  </r>
  <r>
    <d v="2025-01-23T21:24:50"/>
    <x v="2"/>
    <s v="Plaquettes d'ébauches rhombiques"/>
    <s v="VERGE G"/>
    <s v="VERGE GREGORY"/>
    <n v="10"/>
    <x v="1"/>
    <x v="1"/>
    <s v="PLAQUETTES"/>
    <x v="0"/>
    <n v="70"/>
  </r>
  <r>
    <d v="2025-01-23T22:50:53"/>
    <x v="1"/>
    <s v="Plaquettes d'ébauches carrées"/>
    <s v="VERGE G"/>
    <s v="VERGE GREGORY"/>
    <n v="20"/>
    <x v="3"/>
    <x v="1"/>
    <s v="PLAQUETTES"/>
    <x v="0"/>
    <n v="142.4"/>
  </r>
  <r>
    <d v="2025-01-23T22:51:18"/>
    <x v="2"/>
    <s v="Plaquettes d'ébauches rhombiques"/>
    <s v="VERGE G"/>
    <s v="VERGE GREGORY"/>
    <n v="20"/>
    <x v="2"/>
    <x v="0"/>
    <s v="PLAQUETTES"/>
    <x v="1"/>
    <n v="140"/>
  </r>
  <r>
    <d v="2025-01-23T22:51:36"/>
    <x v="3"/>
    <s v="Plaquettes rondes"/>
    <s v="VERGE G"/>
    <s v="VERGE GREGORY"/>
    <n v="10"/>
    <x v="2"/>
    <x v="0"/>
    <s v="PLAQUETTES"/>
    <x v="1"/>
    <n v="136.69999999999999"/>
  </r>
  <r>
    <d v="2025-02-14T16:54:37"/>
    <x v="4"/>
    <s v="Plaquettes de finition"/>
    <s v="SD13196"/>
    <s v="FRADIN MAXIME"/>
    <n v="5"/>
    <x v="0"/>
    <x v="2"/>
    <s v="PLAQUETTES"/>
    <x v="1"/>
    <n v="47.8"/>
  </r>
  <r>
    <d v="2025-02-14T21:29:33"/>
    <x v="4"/>
    <s v="Plaquettes de finition"/>
    <s v="080924"/>
    <s v="DABLEMONT AURELIEN"/>
    <n v="5"/>
    <x v="0"/>
    <x v="2"/>
    <s v="PLAQUETTES"/>
    <x v="1"/>
    <n v="47.8"/>
  </r>
  <r>
    <d v="2025-01-23T22:53:55"/>
    <x v="6"/>
    <s v="Plaquettes de finition positives"/>
    <s v="080924"/>
    <s v="DABLEMONT AURELIEN"/>
    <n v="10"/>
    <x v="1"/>
    <x v="2"/>
    <s v="PLAQUETTES"/>
    <x v="0"/>
    <n v="87"/>
  </r>
  <r>
    <d v="2025-01-23T22:54:17"/>
    <x v="10"/>
    <s v="Plaquettes de finition"/>
    <s v="080924"/>
    <s v="DABLEMONT AURELIEN"/>
    <n v="10"/>
    <x v="1"/>
    <x v="2"/>
    <s v="PLAQUETTES"/>
    <x v="0"/>
    <n v="109.7"/>
  </r>
  <r>
    <d v="2025-01-23T22:54:41"/>
    <x v="7"/>
    <s v="Plaquettes de finition triangulaires"/>
    <s v="080924"/>
    <s v="DABLEMONT AURELIEN"/>
    <n v="10"/>
    <x v="1"/>
    <x v="2"/>
    <s v="PLAQUETTES"/>
    <x v="0"/>
    <n v="138.80000000000001"/>
  </r>
  <r>
    <d v="2025-02-15T14:54:05"/>
    <x v="4"/>
    <s v="Plaquettes de finition"/>
    <s v="U518765"/>
    <s v="ROY ADELINE"/>
    <n v="5"/>
    <x v="0"/>
    <x v="2"/>
    <s v="PLAQUETTES"/>
    <x v="1"/>
    <n v="47.8"/>
  </r>
  <r>
    <d v="2025-02-16T05:42:53"/>
    <x v="4"/>
    <s v="Plaquettes de finition"/>
    <s v="U518765"/>
    <s v="ROY ADELINE"/>
    <n v="5"/>
    <x v="0"/>
    <x v="2"/>
    <s v="PLAQUETTES"/>
    <x v="1"/>
    <n v="47.8"/>
  </r>
  <r>
    <d v="2025-01-24T13:02:47"/>
    <x v="1"/>
    <s v="Plaquettes d'ébauches carrées"/>
    <s v="SIEGEL F"/>
    <s v="SIEGEL FRANCK"/>
    <n v="20"/>
    <x v="1"/>
    <x v="0"/>
    <s v="PLAQUETTES"/>
    <x v="0"/>
    <n v="142.4"/>
  </r>
  <r>
    <d v="2025-02-16T17:26:58"/>
    <x v="4"/>
    <s v="Plaquettes de finition"/>
    <s v="U198152"/>
    <s v="AJMIK MUSTAPHA"/>
    <n v="5"/>
    <x v="0"/>
    <x v="2"/>
    <s v="PLAQUETTES"/>
    <x v="1"/>
    <n v="47.8"/>
  </r>
  <r>
    <d v="2025-02-17T05:04:44"/>
    <x v="4"/>
    <s v="Plaquettes de finition"/>
    <s v="SIEGEL F"/>
    <s v="SIEGEL FRANCK"/>
    <n v="5"/>
    <x v="0"/>
    <x v="2"/>
    <s v="PLAQUETTES"/>
    <x v="1"/>
    <n v="47.8"/>
  </r>
  <r>
    <d v="2025-01-24T17:49:44"/>
    <x v="4"/>
    <s v="Plaquettes de finition"/>
    <s v="SD13196"/>
    <s v="FRADIN MAXIME"/>
    <n v="5"/>
    <x v="2"/>
    <x v="2"/>
    <s v="PLAQUETTES"/>
    <x v="1"/>
    <n v="47.8"/>
  </r>
  <r>
    <d v="2025-01-24T17:50:04"/>
    <x v="8"/>
    <s v="Plaquettes rhombiques"/>
    <s v="SD13196"/>
    <s v="FRADIN MAXIME"/>
    <n v="5"/>
    <x v="2"/>
    <x v="2"/>
    <s v="PLAQUETTES"/>
    <x v="1"/>
    <n v="18.399999999999999"/>
  </r>
  <r>
    <d v="2025-01-24T21:17:46"/>
    <x v="2"/>
    <s v="Plaquettes d'ébauches rhombiques"/>
    <s v="VERGE G"/>
    <s v="VERGE GREGORY"/>
    <n v="20"/>
    <x v="2"/>
    <x v="1"/>
    <s v="PLAQUETTES"/>
    <x v="1"/>
    <n v="140"/>
  </r>
  <r>
    <d v="2025-01-25T05:45:04"/>
    <x v="2"/>
    <s v="Plaquettes d'ébauches rhombiques"/>
    <s v="U534565"/>
    <s v="HOAREAU MARIUS"/>
    <n v="10"/>
    <x v="1"/>
    <x v="0"/>
    <s v="PLAQUETTES"/>
    <x v="0"/>
    <n v="70"/>
  </r>
  <r>
    <d v="2025-01-25T05:45:40"/>
    <x v="6"/>
    <s v="Plaquettes de finition positives"/>
    <s v="U534565"/>
    <s v="HOAREAU MARIUS"/>
    <n v="10"/>
    <x v="1"/>
    <x v="2"/>
    <s v="PLAQUETTES"/>
    <x v="0"/>
    <n v="87"/>
  </r>
  <r>
    <d v="2025-02-17T21:17:36"/>
    <x v="4"/>
    <s v="Plaquettes de finition"/>
    <s v="u134838"/>
    <s v="DANAH STEPHANIE"/>
    <n v="5"/>
    <x v="0"/>
    <x v="2"/>
    <s v="PLAQUETTES"/>
    <x v="1"/>
    <n v="47.8"/>
  </r>
  <r>
    <d v="2025-01-26T20:28:41"/>
    <x v="4"/>
    <s v="Plaquettes de finition"/>
    <s v="U198152"/>
    <s v="AJMIK MUSTAPHA"/>
    <n v="10"/>
    <x v="2"/>
    <x v="2"/>
    <s v="PLAQUETTES"/>
    <x v="1"/>
    <n v="95.6"/>
  </r>
  <r>
    <d v="2025-01-26T20:29:13"/>
    <x v="11"/>
    <s v="Plaquettes de finition triangulaires"/>
    <s v="U198152"/>
    <s v="AJMIK MUSTAPHA"/>
    <n v="10"/>
    <x v="2"/>
    <x v="2"/>
    <s v="PLAQUETTES"/>
    <x v="1"/>
    <n v="118.7"/>
  </r>
  <r>
    <d v="2025-01-26T20:29:42"/>
    <x v="6"/>
    <s v="Plaquettes de finition positives"/>
    <s v="U198152"/>
    <s v="AJMIK MUSTAPHA"/>
    <n v="10"/>
    <x v="3"/>
    <x v="2"/>
    <s v="PLAQUETTES"/>
    <x v="3"/>
    <n v="87"/>
  </r>
  <r>
    <d v="2025-01-26T20:30:02"/>
    <x v="5"/>
    <s v="Plaquettes rondes"/>
    <s v="U198152"/>
    <s v="AJMIK MUSTAPHA"/>
    <n v="10"/>
    <x v="2"/>
    <x v="0"/>
    <s v="PLAQUETTES"/>
    <x v="1"/>
    <n v="108.5"/>
  </r>
  <r>
    <d v="2025-01-27T05:00:17"/>
    <x v="2"/>
    <s v="Plaquettes d'ébauches rhombiques"/>
    <s v="SIEGEL F"/>
    <s v="SIEGEL FRANCK"/>
    <n v="20"/>
    <x v="2"/>
    <x v="1"/>
    <s v="PLAQUETTES"/>
    <x v="1"/>
    <n v="140"/>
  </r>
  <r>
    <d v="2025-01-27T05:00:39"/>
    <x v="5"/>
    <s v="Plaquettes rondes"/>
    <s v="SIEGEL F"/>
    <s v="SIEGEL FRANCK"/>
    <n v="10"/>
    <x v="2"/>
    <x v="0"/>
    <s v="PLAQUETTES"/>
    <x v="1"/>
    <n v="108.5"/>
  </r>
  <r>
    <d v="2025-01-27T05:01:00"/>
    <x v="3"/>
    <s v="Plaquettes rondes"/>
    <s v="SIEGEL F"/>
    <s v="SIEGEL FRANCK"/>
    <n v="10"/>
    <x v="2"/>
    <x v="0"/>
    <s v="PLAQUETTES"/>
    <x v="1"/>
    <n v="136.69999999999999"/>
  </r>
  <r>
    <d v="2025-01-27T05:01:32"/>
    <x v="1"/>
    <s v="Plaquettes d'ébauches carrées"/>
    <s v="SIEGEL F"/>
    <s v="SIEGEL FRANCK"/>
    <n v="20"/>
    <x v="3"/>
    <x v="0"/>
    <s v="PLAQUETTES"/>
    <x v="0"/>
    <n v="142.4"/>
  </r>
  <r>
    <d v="2025-01-27T05:01:53"/>
    <x v="6"/>
    <s v="Plaquettes de finition positives"/>
    <s v="SIEGEL F"/>
    <s v="SIEGEL FRANCK"/>
    <n v="10"/>
    <x v="3"/>
    <x v="2"/>
    <s v="PLAQUETTES"/>
    <x v="0"/>
    <n v="87"/>
  </r>
  <r>
    <d v="2025-01-27T05:02:20"/>
    <x v="4"/>
    <s v="Plaquettes de finition"/>
    <s v="SIEGEL F"/>
    <s v="SIEGEL FRANCK"/>
    <n v="5"/>
    <x v="2"/>
    <x v="2"/>
    <s v="PLAQUETTES"/>
    <x v="1"/>
    <n v="47.8"/>
  </r>
  <r>
    <d v="2025-01-27T05:02:39"/>
    <x v="9"/>
    <s v="Plaquettes rhombiques"/>
    <s v="SIEGEL F"/>
    <s v="SIEGEL FRANCK"/>
    <n v="5"/>
    <x v="2"/>
    <x v="2"/>
    <s v="PLAQUETTES"/>
    <x v="1"/>
    <n v="44.85"/>
  </r>
  <r>
    <d v="2025-01-27T05:57:53"/>
    <x v="8"/>
    <s v="Plaquettes rhombiques"/>
    <s v="SIEGEL F"/>
    <s v="SIEGEL FRANCK"/>
    <n v="5"/>
    <x v="2"/>
    <x v="2"/>
    <s v="PLAQUETTES"/>
    <x v="1"/>
    <n v="18.399999999999999"/>
  </r>
  <r>
    <d v="2025-02-18T14:02:57"/>
    <x v="4"/>
    <s v="Plaquettes de finition"/>
    <s v="080924"/>
    <s v="DABLEMONT AURELIEN"/>
    <n v="5"/>
    <x v="0"/>
    <x v="2"/>
    <s v="PLAQUETTES"/>
    <x v="1"/>
    <n v="47.8"/>
  </r>
  <r>
    <d v="2025-01-27T06:45:42"/>
    <x v="6"/>
    <s v="Plaquettes de finition positives"/>
    <s v="J519914"/>
    <s v="MARLY DAVID"/>
    <n v="10"/>
    <x v="1"/>
    <x v="2"/>
    <s v="PLAQUETTES"/>
    <x v="0"/>
    <n v="87"/>
  </r>
  <r>
    <d v="2025-01-27T13:43:36"/>
    <x v="2"/>
    <s v="Plaquettes d'ébauches rhombiques"/>
    <s v="VERGE G"/>
    <s v="VERGE GREGORY"/>
    <n v="20"/>
    <x v="1"/>
    <x v="1"/>
    <s v="PLAQUETTES"/>
    <x v="0"/>
    <n v="140"/>
  </r>
  <r>
    <d v="2025-02-19T06:07:47"/>
    <x v="4"/>
    <s v="Plaquettes de finition"/>
    <s v="SIEGEL F"/>
    <s v="SIEGEL FRANCK"/>
    <n v="5"/>
    <x v="0"/>
    <x v="2"/>
    <s v="PLAQUETTES"/>
    <x v="1"/>
    <n v="47.8"/>
  </r>
  <r>
    <d v="2025-01-28T05:18:56"/>
    <x v="2"/>
    <s v="Plaquettes d'ébauches rhombiques"/>
    <s v="SD13196"/>
    <s v="FRADIN MAXIME"/>
    <n v="20"/>
    <x v="1"/>
    <x v="0"/>
    <s v="PLAQUETTES"/>
    <x v="0"/>
    <n v="140"/>
  </r>
  <r>
    <d v="2025-01-28T05:19:12"/>
    <x v="1"/>
    <s v="Plaquettes d'ébauches carrées"/>
    <s v="SD13196"/>
    <s v="FRADIN MAXIME"/>
    <n v="10"/>
    <x v="1"/>
    <x v="1"/>
    <s v="PLAQUETTES"/>
    <x v="0"/>
    <n v="71.2"/>
  </r>
  <r>
    <d v="2025-01-28T08:48:25"/>
    <x v="6"/>
    <s v="Plaquettes de finition positives"/>
    <s v="SD13196"/>
    <s v="FRADIN MAXIME"/>
    <n v="10"/>
    <x v="1"/>
    <x v="2"/>
    <s v="PLAQUETTES"/>
    <x v="0"/>
    <n v="87"/>
  </r>
  <r>
    <d v="2025-01-28T08:48:43"/>
    <x v="5"/>
    <s v="Plaquettes rondes"/>
    <s v="SD13196"/>
    <s v="FRADIN MAXIME"/>
    <n v="10"/>
    <x v="1"/>
    <x v="0"/>
    <s v="PLAQUETTES"/>
    <x v="0"/>
    <n v="108.5"/>
  </r>
  <r>
    <d v="2025-01-28T10:46:44"/>
    <x v="6"/>
    <s v="Plaquettes de finition positives"/>
    <s v="SD13196"/>
    <s v="FRADIN MAXIME"/>
    <n v="20"/>
    <x v="3"/>
    <x v="2"/>
    <s v="PLAQUETTES"/>
    <x v="3"/>
    <n v="174"/>
  </r>
  <r>
    <d v="2025-02-20T00:55:55"/>
    <x v="4"/>
    <s v="Plaquettes de finition"/>
    <s v="u134838"/>
    <s v="DANAH STEPHANIE"/>
    <n v="5"/>
    <x v="0"/>
    <x v="2"/>
    <s v="PLAQUETTES"/>
    <x v="1"/>
    <n v="47.8"/>
  </r>
  <r>
    <d v="2025-02-20T18:38:34"/>
    <x v="10"/>
    <s v="Plaquettes de finition"/>
    <s v="080924"/>
    <s v="DABLEMONT AURELIEN"/>
    <n v="10"/>
    <x v="0"/>
    <x v="2"/>
    <s v="PLAQUETTES"/>
    <x v="0"/>
    <n v="109.7"/>
  </r>
  <r>
    <d v="2025-02-24T18:25:35"/>
    <x v="4"/>
    <s v="Plaquettes de finition"/>
    <s v="u134838"/>
    <s v="DANAH STEPHANIE"/>
    <n v="5"/>
    <x v="0"/>
    <x v="2"/>
    <s v="PLAQUETTES"/>
    <x v="1"/>
    <n v="47.8"/>
  </r>
  <r>
    <d v="2025-01-28T15:31:50"/>
    <x v="2"/>
    <s v="Plaquettes d'ébauches rhombiques"/>
    <s v="VERGE G"/>
    <s v="VERGE GREGORY"/>
    <n v="20"/>
    <x v="2"/>
    <x v="0"/>
    <s v="PLAQUETTES"/>
    <x v="1"/>
    <n v="140"/>
  </r>
  <r>
    <d v="2025-02-24T21:12:36"/>
    <x v="4"/>
    <s v="Plaquettes de finition"/>
    <s v="SIEGEL F"/>
    <s v="SIEGEL FRANCK"/>
    <n v="5"/>
    <x v="0"/>
    <x v="2"/>
    <s v="PLAQUETTES"/>
    <x v="1"/>
    <n v="47.8"/>
  </r>
  <r>
    <d v="2025-01-29T05:01:05"/>
    <x v="2"/>
    <s v="Plaquettes d'ébauches rhombiques"/>
    <s v="SIEGEL F"/>
    <s v="SIEGEL FRANCK"/>
    <n v="10"/>
    <x v="1"/>
    <x v="1"/>
    <s v="PLAQUETTES"/>
    <x v="0"/>
    <n v="70"/>
  </r>
  <r>
    <d v="2025-01-29T05:01:29"/>
    <x v="1"/>
    <s v="Plaquettes d'ébauches carrées"/>
    <s v="SIEGEL F"/>
    <s v="SIEGEL FRANCK"/>
    <n v="20"/>
    <x v="1"/>
    <x v="0"/>
    <s v="PLAQUETTES"/>
    <x v="0"/>
    <n v="142.4"/>
  </r>
  <r>
    <d v="2025-01-29T05:01:48"/>
    <x v="6"/>
    <s v="Plaquettes de finition positives"/>
    <s v="SIEGEL F"/>
    <s v="SIEGEL FRANCK"/>
    <n v="10"/>
    <x v="1"/>
    <x v="2"/>
    <s v="PLAQUETTES"/>
    <x v="0"/>
    <n v="87"/>
  </r>
  <r>
    <d v="2025-02-25T04:07:15"/>
    <x v="4"/>
    <s v="Plaquettes de finition"/>
    <s v="SIEGEL F"/>
    <s v="SIEGEL FRANCK"/>
    <n v="5"/>
    <x v="0"/>
    <x v="2"/>
    <s v="PLAQUETTES"/>
    <x v="1"/>
    <n v="47.8"/>
  </r>
  <r>
    <d v="2025-02-25T09:04:26"/>
    <x v="4"/>
    <s v="Plaquettes de finition"/>
    <s v="080924"/>
    <s v="DABLEMONT AURELIEN"/>
    <n v="5"/>
    <x v="0"/>
    <x v="2"/>
    <s v="PLAQUETTES"/>
    <x v="1"/>
    <n v="47.8"/>
  </r>
  <r>
    <d v="2025-01-29T05:37:57"/>
    <x v="4"/>
    <s v="Plaquettes de finition"/>
    <s v="SD13196"/>
    <s v="FRADIN MAXIME"/>
    <n v="5"/>
    <x v="2"/>
    <x v="2"/>
    <s v="PLAQUETTES"/>
    <x v="1"/>
    <n v="47.8"/>
  </r>
  <r>
    <d v="2025-01-29T05:38:53"/>
    <x v="8"/>
    <s v="Plaquettes rhombiques"/>
    <s v="SD13196"/>
    <s v="FRADIN MAXIME"/>
    <n v="5"/>
    <x v="2"/>
    <x v="2"/>
    <s v="PLAQUETTES"/>
    <x v="1"/>
    <n v="18.399999999999999"/>
  </r>
  <r>
    <d v="2025-01-29T06:55:47"/>
    <x v="5"/>
    <s v="Plaquettes rondes"/>
    <s v="SIEGEL F"/>
    <s v="SIEGEL FRANCK"/>
    <n v="10"/>
    <x v="1"/>
    <x v="0"/>
    <s v="PLAQUETTES"/>
    <x v="0"/>
    <n v="108.5"/>
  </r>
  <r>
    <d v="2025-01-29T12:16:06"/>
    <x v="2"/>
    <s v="Plaquettes d'ébauches rhombiques"/>
    <s v="SD13196"/>
    <s v="FRADIN MAXIME"/>
    <n v="10"/>
    <x v="2"/>
    <x v="1"/>
    <s v="PLAQUETTES"/>
    <x v="1"/>
    <n v="70"/>
  </r>
  <r>
    <d v="2025-01-29T15:02:03"/>
    <x v="2"/>
    <s v="Plaquettes d'ébauches rhombiques"/>
    <s v="080924"/>
    <s v="DABLEMONT AURELIEN"/>
    <n v="20"/>
    <x v="1"/>
    <x v="1"/>
    <s v="PLAQUETTES"/>
    <x v="0"/>
    <n v="140"/>
  </r>
  <r>
    <d v="2025-01-29T16:46:43"/>
    <x v="6"/>
    <s v="Plaquettes de finition positives"/>
    <s v="VERGE G"/>
    <s v="VERGE GREGORY"/>
    <n v="10"/>
    <x v="3"/>
    <x v="2"/>
    <s v="PLAQUETTES"/>
    <x v="3"/>
    <n v="87"/>
  </r>
  <r>
    <d v="2025-02-25T13:45:48"/>
    <x v="4"/>
    <s v="Plaquettes de finition"/>
    <s v="u134838"/>
    <s v="DANAH STEPHANIE"/>
    <n v="5"/>
    <x v="0"/>
    <x v="2"/>
    <s v="PLAQUETTES"/>
    <x v="1"/>
    <n v="47.8"/>
  </r>
  <r>
    <d v="2025-02-26T05:34:46"/>
    <x v="4"/>
    <s v="Plaquettes de finition"/>
    <s v="080924"/>
    <s v="DABLEMONT AURELIEN"/>
    <n v="5"/>
    <x v="0"/>
    <x v="2"/>
    <s v="PLAQUETTES"/>
    <x v="1"/>
    <n v="47.8"/>
  </r>
  <r>
    <d v="2025-01-30T04:58:07"/>
    <x v="6"/>
    <s v="Plaquettes de finition positives"/>
    <s v="100125"/>
    <s v="MEUNIER Louis"/>
    <n v="10"/>
    <x v="1"/>
    <x v="2"/>
    <s v="PLAQUETTES"/>
    <x v="0"/>
    <n v="87"/>
  </r>
  <r>
    <d v="2025-01-30T05:09:42"/>
    <x v="2"/>
    <s v="Plaquettes d'ébauches rhombiques"/>
    <s v="SIEGEL F"/>
    <s v="SIEGEL FRANCK"/>
    <n v="20"/>
    <x v="3"/>
    <x v="1"/>
    <s v="PLAQUETTES"/>
    <x v="3"/>
    <n v="140"/>
  </r>
  <r>
    <d v="2025-01-30T05:10:01"/>
    <x v="1"/>
    <s v="Plaquettes d'ébauches carrées"/>
    <s v="SIEGEL F"/>
    <s v="SIEGEL FRANCK"/>
    <n v="10"/>
    <x v="3"/>
    <x v="0"/>
    <s v="PLAQUETTES"/>
    <x v="3"/>
    <n v="71.2"/>
  </r>
  <r>
    <d v="2025-01-30T05:10:18"/>
    <x v="10"/>
    <s v="Plaquettes de finition"/>
    <s v="SIEGEL F"/>
    <s v="SIEGEL FRANCK"/>
    <n v="10"/>
    <x v="3"/>
    <x v="2"/>
    <s v="PLAQUETTES"/>
    <x v="3"/>
    <n v="109.7"/>
  </r>
  <r>
    <d v="2025-01-30T05:10:37"/>
    <x v="6"/>
    <s v="Plaquettes de finition positives"/>
    <s v="SIEGEL F"/>
    <s v="SIEGEL FRANCK"/>
    <n v="10"/>
    <x v="3"/>
    <x v="2"/>
    <s v="PLAQUETTES"/>
    <x v="3"/>
    <n v="87"/>
  </r>
  <r>
    <d v="2025-01-30T05:10:58"/>
    <x v="4"/>
    <s v="Plaquettes de finition"/>
    <s v="SIEGEL F"/>
    <s v="SIEGEL FRANCK"/>
    <n v="10"/>
    <x v="2"/>
    <x v="2"/>
    <s v="PLAQUETTES"/>
    <x v="1"/>
    <n v="95.6"/>
  </r>
  <r>
    <d v="2025-01-30T05:11:15"/>
    <x v="8"/>
    <s v="Plaquettes rhombiques"/>
    <s v="SIEGEL F"/>
    <s v="SIEGEL FRANCK"/>
    <n v="5"/>
    <x v="2"/>
    <x v="2"/>
    <s v="PLAQUETTES"/>
    <x v="1"/>
    <n v="18.399999999999999"/>
  </r>
  <r>
    <d v="2025-01-30T05:11:35"/>
    <x v="11"/>
    <s v="Plaquettes de finition triangulaires"/>
    <s v="SIEGEL F"/>
    <s v="SIEGEL FRANCK"/>
    <n v="10"/>
    <x v="2"/>
    <x v="2"/>
    <s v="PLAQUETTES"/>
    <x v="1"/>
    <n v="118.7"/>
  </r>
  <r>
    <d v="2025-01-30T05:11:57"/>
    <x v="9"/>
    <s v="Plaquettes rhombiques"/>
    <s v="SIEGEL F"/>
    <s v="SIEGEL FRANCK"/>
    <n v="5"/>
    <x v="2"/>
    <x v="2"/>
    <s v="PLAQUETTES"/>
    <x v="1"/>
    <n v="44.85"/>
  </r>
  <r>
    <d v="2025-02-26T17:43:26"/>
    <x v="4"/>
    <s v="Plaquettes de finition"/>
    <s v="u134838"/>
    <s v="DANAH STEPHANIE"/>
    <n v="5"/>
    <x v="0"/>
    <x v="2"/>
    <s v="PLAQUETTES"/>
    <x v="1"/>
    <n v="47.8"/>
  </r>
  <r>
    <d v="2025-01-30T05:55:32"/>
    <x v="10"/>
    <s v="Plaquettes de finition"/>
    <s v="J519914"/>
    <s v="MARLY DAVID"/>
    <n v="10"/>
    <x v="1"/>
    <x v="2"/>
    <s v="PLAQUETTES"/>
    <x v="0"/>
    <n v="109.7"/>
  </r>
  <r>
    <d v="2025-01-30T05:56:25"/>
    <x v="6"/>
    <s v="Plaquettes de finition positives"/>
    <s v="J519914"/>
    <s v="MARLY DAVID"/>
    <n v="10"/>
    <x v="1"/>
    <x v="2"/>
    <s v="PLAQUETTES"/>
    <x v="0"/>
    <n v="87"/>
  </r>
  <r>
    <d v="2025-01-30T05:57:05"/>
    <x v="5"/>
    <s v="Plaquettes rondes"/>
    <s v="J519914"/>
    <s v="MARLY DAVID"/>
    <n v="10"/>
    <x v="1"/>
    <x v="0"/>
    <s v="PLAQUETTES"/>
    <x v="0"/>
    <n v="108.5"/>
  </r>
  <r>
    <d v="2025-01-30T06:43:09"/>
    <x v="5"/>
    <s v="Plaquettes rondes"/>
    <s v="SIEGEL F"/>
    <s v="SIEGEL FRANCK"/>
    <n v="10"/>
    <x v="2"/>
    <x v="0"/>
    <s v="PLAQUETTES"/>
    <x v="1"/>
    <n v="108.5"/>
  </r>
  <r>
    <d v="2025-01-30T09:15:50"/>
    <x v="2"/>
    <s v="Plaquettes d'ébauches rhombiques"/>
    <s v="SIEGEL F"/>
    <s v="SIEGEL FRANCK"/>
    <n v="10"/>
    <x v="3"/>
    <x v="0"/>
    <s v="PLAQUETTES"/>
    <x v="3"/>
    <n v="70"/>
  </r>
  <r>
    <d v="2025-01-30T19:31:45"/>
    <x v="6"/>
    <s v="Plaquettes de finition positives"/>
    <s v="080924"/>
    <s v="DABLEMONT AURELIEN"/>
    <n v="10"/>
    <x v="1"/>
    <x v="2"/>
    <s v="PLAQUETTES"/>
    <x v="0"/>
    <n v="87"/>
  </r>
  <r>
    <d v="2025-02-26T21:17:31"/>
    <x v="4"/>
    <s v="Plaquettes de finition"/>
    <s v="SIEGEL F"/>
    <s v="SIEGEL FRANCK"/>
    <n v="5"/>
    <x v="0"/>
    <x v="2"/>
    <s v="PLAQUETTES"/>
    <x v="1"/>
    <n v="47.8"/>
  </r>
  <r>
    <d v="2025-02-27T06:09:09"/>
    <x v="4"/>
    <s v="Plaquettes de finition"/>
    <s v="080924"/>
    <s v="DABLEMONT AURELIEN"/>
    <n v="5"/>
    <x v="0"/>
    <x v="2"/>
    <s v="PLAQUETTES"/>
    <x v="1"/>
    <n v="47.8"/>
  </r>
  <r>
    <d v="2025-01-31T05:30:33"/>
    <x v="2"/>
    <s v="Plaquettes d'ébauches rhombiques"/>
    <s v="U198152"/>
    <s v="AJMIK MUSTAPHA"/>
    <n v="30"/>
    <x v="1"/>
    <x v="1"/>
    <s v="PLAQUETTES"/>
    <x v="0"/>
    <n v="210"/>
  </r>
  <r>
    <d v="2025-01-31T06:46:14"/>
    <x v="6"/>
    <s v="Plaquettes de finition positives"/>
    <s v="U198152"/>
    <s v="AJMIK MUSTAPHA"/>
    <n v="10"/>
    <x v="3"/>
    <x v="2"/>
    <s v="PLAQUETTES"/>
    <x v="3"/>
    <n v="87"/>
  </r>
  <r>
    <d v="2025-01-31T06:46:41"/>
    <x v="4"/>
    <s v="Plaquettes de finition"/>
    <s v="U198152"/>
    <s v="AJMIK MUSTAPHA"/>
    <n v="10"/>
    <x v="2"/>
    <x v="2"/>
    <s v="PLAQUETTES"/>
    <x v="1"/>
    <n v="95.6"/>
  </r>
  <r>
    <d v="2025-02-27T14:01:42"/>
    <x v="4"/>
    <s v="Plaquettes de finition"/>
    <s v="u134838"/>
    <s v="DANAH STEPHANIE"/>
    <n v="5"/>
    <x v="0"/>
    <x v="2"/>
    <s v="PLAQUETTES"/>
    <x v="1"/>
    <n v="47.8"/>
  </r>
  <r>
    <d v="2025-03-01T00:45:28"/>
    <x v="4"/>
    <s v="Plaquettes de finition"/>
    <s v="SIEGEL F"/>
    <s v="SIEGEL FRANCK"/>
    <n v="5"/>
    <x v="0"/>
    <x v="2"/>
    <s v="PLAQUETTES"/>
    <x v="1"/>
    <n v="47.8"/>
  </r>
  <r>
    <d v="2025-03-01T17:30:29"/>
    <x v="4"/>
    <s v="Plaquettes de finition"/>
    <s v="U534565"/>
    <s v="HOAREAU MARIUS"/>
    <n v="5"/>
    <x v="0"/>
    <x v="2"/>
    <s v="PLAQUETTES"/>
    <x v="1"/>
    <n v="47.8"/>
  </r>
  <r>
    <d v="2025-01-31T21:29:01"/>
    <x v="6"/>
    <s v="Plaquettes de finition positives"/>
    <s v="100125"/>
    <s v="MEUNIER Louis"/>
    <n v="10"/>
    <x v="1"/>
    <x v="2"/>
    <s v="PLAQUETTES"/>
    <x v="0"/>
    <n v="87"/>
  </r>
  <r>
    <d v="2025-01-31T21:29:30"/>
    <x v="2"/>
    <s v="Plaquettes d'ébauches rhombiques"/>
    <s v="100125"/>
    <s v="MEUNIER Louis"/>
    <n v="10"/>
    <x v="1"/>
    <x v="0"/>
    <s v="PLAQUETTES"/>
    <x v="0"/>
    <n v="70"/>
  </r>
  <r>
    <d v="2025-01-31T21:30:03"/>
    <x v="5"/>
    <s v="Plaquettes rondes"/>
    <s v="100125"/>
    <s v="MEUNIER Louis"/>
    <n v="10"/>
    <x v="1"/>
    <x v="0"/>
    <s v="PLAQUETTES"/>
    <x v="0"/>
    <n v="108.5"/>
  </r>
  <r>
    <d v="2025-03-02T06:16:06"/>
    <x v="4"/>
    <s v="Plaquettes de finition"/>
    <s v="U054304"/>
    <s v="BOUACHIK HICHAM"/>
    <n v="5"/>
    <x v="0"/>
    <x v="2"/>
    <s v="PLAQUETTES"/>
    <x v="1"/>
    <n v="47.8"/>
  </r>
  <r>
    <d v="2025-03-03T05:52:35"/>
    <x v="4"/>
    <s v="Plaquettes de finition"/>
    <s v="u134838"/>
    <s v="DANAH STEPHANIE"/>
    <n v="5"/>
    <x v="0"/>
    <x v="2"/>
    <s v="PLAQUETTES"/>
    <x v="1"/>
    <n v="47.8"/>
  </r>
  <r>
    <d v="2025-03-04T05:50:13"/>
    <x v="4"/>
    <s v="Plaquettes de finition"/>
    <s v="u134838"/>
    <s v="DANAH STEPHANIE"/>
    <n v="5"/>
    <x v="0"/>
    <x v="2"/>
    <s v="PLAQUETTES"/>
    <x v="1"/>
    <n v="47.8"/>
  </r>
  <r>
    <d v="2025-03-04T21:58:29"/>
    <x v="4"/>
    <s v="Plaquettes de finition"/>
    <s v="080924"/>
    <s v="DABLEMONT AURELIEN"/>
    <n v="5"/>
    <x v="0"/>
    <x v="2"/>
    <s v="PLAQUETTES"/>
    <x v="1"/>
    <n v="47.8"/>
  </r>
  <r>
    <d v="2025-01-31T23:18:32"/>
    <x v="2"/>
    <s v="Plaquettes d'ébauches rhombiques"/>
    <s v="U462308"/>
    <s v="MAITRE SEBASTIEN"/>
    <n v="20"/>
    <x v="2"/>
    <x v="1"/>
    <s v="PLAQUETTES"/>
    <x v="1"/>
    <n v="140"/>
  </r>
  <r>
    <d v="2025-01-31T23:18:51"/>
    <x v="4"/>
    <s v="Plaquettes de finition"/>
    <s v="U462308"/>
    <s v="MAITRE SEBASTIEN"/>
    <n v="5"/>
    <x v="2"/>
    <x v="2"/>
    <s v="PLAQUETTES"/>
    <x v="1"/>
    <n v="47.8"/>
  </r>
  <r>
    <d v="2025-02-01T05:16:30"/>
    <x v="4"/>
    <s v="Plaquettes de finition"/>
    <s v="U518765"/>
    <s v="ROY ADELINE"/>
    <n v="30"/>
    <x v="2"/>
    <x v="2"/>
    <s v="PLAQUETTES"/>
    <x v="1"/>
    <n v="286.8"/>
  </r>
  <r>
    <d v="2025-02-01T05:17:41"/>
    <x v="6"/>
    <s v="Plaquettes de finition positives"/>
    <s v="U518765"/>
    <s v="ROY ADELINE"/>
    <n v="20"/>
    <x v="3"/>
    <x v="2"/>
    <s v="PLAQUETTES"/>
    <x v="3"/>
    <n v="174"/>
  </r>
  <r>
    <d v="2025-02-01T12:11:02"/>
    <x v="8"/>
    <s v="Plaquettes rhombiques"/>
    <s v="J528313"/>
    <s v="DE BARROS ALVES DANIEL"/>
    <n v="5"/>
    <x v="2"/>
    <x v="2"/>
    <s v="PLAQUETTES"/>
    <x v="1"/>
    <n v="18.399999999999999"/>
  </r>
  <r>
    <d v="2025-03-06T11:35:57"/>
    <x v="4"/>
    <s v="Plaquettes de finition"/>
    <s v="u134838"/>
    <s v="DANAH STEPHANIE"/>
    <n v="5"/>
    <x v="0"/>
    <x v="2"/>
    <s v="PLAQUETTES"/>
    <x v="1"/>
    <n v="47.8"/>
  </r>
  <r>
    <d v="2025-02-03T05:13:36"/>
    <x v="2"/>
    <s v="Plaquettes d'ébauches rhombiques"/>
    <s v="080924"/>
    <s v="DABLEMONT AURELIEN"/>
    <n v="20"/>
    <x v="1"/>
    <x v="0"/>
    <s v="PLAQUETTES"/>
    <x v="0"/>
    <n v="140"/>
  </r>
  <r>
    <d v="2025-03-08T06:18:49"/>
    <x v="4"/>
    <s v="Plaquettes de finition"/>
    <s v="U534565"/>
    <s v="HOAREAU MARIUS"/>
    <n v="5"/>
    <x v="0"/>
    <x v="2"/>
    <s v="PLAQUETTES"/>
    <x v="1"/>
    <n v="47.8"/>
  </r>
  <r>
    <d v="2025-02-03T05:14:31"/>
    <x v="5"/>
    <s v="Plaquettes rondes"/>
    <s v="080924"/>
    <s v="DABLEMONT AURELIEN"/>
    <n v="10"/>
    <x v="1"/>
    <x v="0"/>
    <s v="PLAQUETTES"/>
    <x v="0"/>
    <n v="108.5"/>
  </r>
  <r>
    <d v="2025-02-03T05:20:34"/>
    <x v="6"/>
    <s v="Plaquettes de finition positives"/>
    <s v="VERGE G"/>
    <s v="VERGE GREGORY"/>
    <n v="10"/>
    <x v="3"/>
    <x v="2"/>
    <s v="PLAQUETTES"/>
    <x v="3"/>
    <n v="87"/>
  </r>
  <r>
    <d v="2025-02-03T05:20:56"/>
    <x v="2"/>
    <s v="Plaquettes d'ébauches rhombiques"/>
    <s v="VERGE G"/>
    <s v="VERGE GREGORY"/>
    <n v="10"/>
    <x v="3"/>
    <x v="0"/>
    <s v="PLAQUETTES"/>
    <x v="3"/>
    <n v="70"/>
  </r>
  <r>
    <d v="2025-02-03T05:21:21"/>
    <x v="4"/>
    <s v="Plaquettes de finition"/>
    <s v="VERGE G"/>
    <s v="VERGE GREGORY"/>
    <n v="10"/>
    <x v="2"/>
    <x v="2"/>
    <s v="PLAQUETTES"/>
    <x v="1"/>
    <n v="95.6"/>
  </r>
  <r>
    <d v="2025-02-03T05:21:43"/>
    <x v="1"/>
    <s v="Plaquettes d'ébauches carrées"/>
    <s v="VERGE G"/>
    <s v="VERGE GREGORY"/>
    <n v="10"/>
    <x v="3"/>
    <x v="0"/>
    <s v="PLAQUETTES"/>
    <x v="3"/>
    <n v="71.2"/>
  </r>
  <r>
    <d v="2025-03-08T17:00:16"/>
    <x v="4"/>
    <s v="Plaquettes de finition"/>
    <s v="U054304"/>
    <s v="BOUACHIK HICHAM"/>
    <n v="5"/>
    <x v="0"/>
    <x v="2"/>
    <s v="PLAQUETTES"/>
    <x v="1"/>
    <n v="47.8"/>
  </r>
  <r>
    <d v="2025-03-09T17:10:00"/>
    <x v="4"/>
    <s v="Plaquettes de finition"/>
    <s v="U054304"/>
    <s v="BOUACHIK HICHAM"/>
    <n v="5"/>
    <x v="0"/>
    <x v="2"/>
    <s v="PLAQUETTES"/>
    <x v="1"/>
    <n v="47.8"/>
  </r>
  <r>
    <d v="2025-02-03T06:21:55"/>
    <x v="6"/>
    <s v="Plaquettes de finition positives"/>
    <s v="080924"/>
    <s v="DABLEMONT AURELIEN"/>
    <n v="10"/>
    <x v="1"/>
    <x v="2"/>
    <s v="PLAQUETTES"/>
    <x v="0"/>
    <n v="87"/>
  </r>
  <r>
    <d v="2025-03-10T03:50:44"/>
    <x v="4"/>
    <s v="Plaquettes de finition"/>
    <s v="U054304"/>
    <s v="BOUACHIK HICHAM"/>
    <n v="5"/>
    <x v="0"/>
    <x v="2"/>
    <s v="PLAQUETTES"/>
    <x v="1"/>
    <n v="47.8"/>
  </r>
  <r>
    <d v="2025-03-10T17:10:31"/>
    <x v="4"/>
    <s v="Plaquettes de finition"/>
    <s v="080924"/>
    <s v="DABLEMONT AURELIEN"/>
    <n v="5"/>
    <x v="0"/>
    <x v="2"/>
    <s v="PLAQUETTES"/>
    <x v="1"/>
    <n v="47.8"/>
  </r>
  <r>
    <d v="2025-03-11T07:38:37"/>
    <x v="4"/>
    <s v="Plaquettes de finition"/>
    <s v="SD13196"/>
    <s v="FRADIN MAXIME"/>
    <n v="5"/>
    <x v="0"/>
    <x v="2"/>
    <s v="PLAQUETTES"/>
    <x v="1"/>
    <n v="47.8"/>
  </r>
  <r>
    <d v="2025-02-03T21:25:19"/>
    <x v="1"/>
    <s v="Plaquettes d'ébauches carrées"/>
    <s v="SIEGEL F"/>
    <s v="SIEGEL FRANCK"/>
    <n v="20"/>
    <x v="1"/>
    <x v="1"/>
    <s v="PLAQUETTES"/>
    <x v="0"/>
    <n v="142.4"/>
  </r>
  <r>
    <d v="2025-03-11T20:16:27"/>
    <x v="4"/>
    <s v="Plaquettes de finition"/>
    <s v="080924"/>
    <s v="DABLEMONT AURELIEN"/>
    <n v="5"/>
    <x v="0"/>
    <x v="2"/>
    <s v="PLAQUETTES"/>
    <x v="1"/>
    <n v="47.8"/>
  </r>
  <r>
    <d v="2025-02-03T21:26:06"/>
    <x v="6"/>
    <s v="Plaquettes de finition positives"/>
    <s v="SIEGEL F"/>
    <s v="SIEGEL FRANCK"/>
    <n v="10"/>
    <x v="1"/>
    <x v="2"/>
    <s v="PLAQUETTES"/>
    <x v="0"/>
    <n v="87"/>
  </r>
  <r>
    <d v="2025-03-12T15:49:42"/>
    <x v="4"/>
    <s v="Plaquettes de finition"/>
    <s v="080924"/>
    <s v="DABLEMONT AURELIEN"/>
    <n v="5"/>
    <x v="0"/>
    <x v="2"/>
    <s v="PLAQUETTES"/>
    <x v="1"/>
    <n v="47.8"/>
  </r>
  <r>
    <d v="2025-02-04T00:39:34"/>
    <x v="2"/>
    <s v="Plaquettes d'ébauches rhombiques"/>
    <s v="SD13196"/>
    <s v="FRADIN MAXIME"/>
    <n v="20"/>
    <x v="2"/>
    <x v="1"/>
    <s v="PLAQUETTES"/>
    <x v="1"/>
    <n v="140"/>
  </r>
  <r>
    <d v="2025-02-04T00:39:55"/>
    <x v="3"/>
    <s v="Plaquettes rondes"/>
    <s v="SD13196"/>
    <s v="FRADIN MAXIME"/>
    <n v="10"/>
    <x v="2"/>
    <x v="0"/>
    <s v="PLAQUETTES"/>
    <x v="1"/>
    <n v="136.69999999999999"/>
  </r>
  <r>
    <d v="2025-02-04T00:40:12"/>
    <x v="5"/>
    <s v="Plaquettes rondes"/>
    <s v="SD13196"/>
    <s v="FRADIN MAXIME"/>
    <n v="10"/>
    <x v="2"/>
    <x v="0"/>
    <s v="PLAQUETTES"/>
    <x v="1"/>
    <n v="108.5"/>
  </r>
  <r>
    <d v="2025-02-04T00:40:28"/>
    <x v="1"/>
    <s v="Plaquettes d'ébauches carrées"/>
    <s v="SD13196"/>
    <s v="FRADIN MAXIME"/>
    <n v="10"/>
    <x v="2"/>
    <x v="0"/>
    <s v="PLAQUETTES"/>
    <x v="1"/>
    <n v="71.2"/>
  </r>
  <r>
    <d v="2025-02-04T00:40:48"/>
    <x v="4"/>
    <s v="Plaquettes de finition"/>
    <s v="SD13196"/>
    <s v="FRADIN MAXIME"/>
    <n v="10"/>
    <x v="2"/>
    <x v="2"/>
    <s v="PLAQUETTES"/>
    <x v="1"/>
    <n v="95.6"/>
  </r>
  <r>
    <d v="2025-02-04T16:18:03"/>
    <x v="8"/>
    <s v="Plaquettes rhombiques"/>
    <s v="U462308"/>
    <s v="MAITRE SEBASTIEN"/>
    <n v="5"/>
    <x v="2"/>
    <x v="2"/>
    <s v="PLAQUETTES"/>
    <x v="1"/>
    <n v="18.399999999999999"/>
  </r>
  <r>
    <d v="2025-02-04T16:18:42"/>
    <x v="7"/>
    <s v="Plaquettes de finition triangulaires"/>
    <s v="U462308"/>
    <s v="MAITRE SEBASTIEN"/>
    <n v="10"/>
    <x v="3"/>
    <x v="2"/>
    <s v="PLAQUETTES"/>
    <x v="3"/>
    <n v="138.80000000000001"/>
  </r>
  <r>
    <d v="2025-03-13T15:05:26"/>
    <x v="4"/>
    <s v="Plaquettes de finition"/>
    <s v="J534699"/>
    <s v="CHARTON FABIAN"/>
    <n v="5"/>
    <x v="0"/>
    <x v="2"/>
    <s v="PLAQUETTES"/>
    <x v="1"/>
    <n v="47.8"/>
  </r>
  <r>
    <d v="2025-03-13T21:30:30"/>
    <x v="4"/>
    <s v="Plaquettes de finition"/>
    <s v="170325"/>
    <s v="VERDELET BASTIEN"/>
    <n v="5"/>
    <x v="0"/>
    <x v="2"/>
    <s v="PLAQUETTES"/>
    <x v="1"/>
    <n v="47.8"/>
  </r>
  <r>
    <d v="2025-02-04T20:17:31"/>
    <x v="6"/>
    <s v="Plaquettes de finition positives"/>
    <s v="100125"/>
    <s v="MEUNIER Louis"/>
    <n v="10"/>
    <x v="1"/>
    <x v="2"/>
    <s v="PLAQUETTES"/>
    <x v="0"/>
    <n v="87"/>
  </r>
  <r>
    <d v="2025-02-04T21:21:48"/>
    <x v="2"/>
    <s v="Plaquettes d'ébauches rhombiques"/>
    <s v="SD13196"/>
    <s v="FRADIN MAXIME"/>
    <n v="10"/>
    <x v="3"/>
    <x v="1"/>
    <s v="PLAQUETTES"/>
    <x v="3"/>
    <n v="70"/>
  </r>
  <r>
    <d v="2025-02-04T21:22:25"/>
    <x v="9"/>
    <s v="Plaquettes rhombiques"/>
    <s v="SD13196"/>
    <s v="FRADIN MAXIME"/>
    <n v="10"/>
    <x v="2"/>
    <x v="2"/>
    <s v="PLAQUETTES"/>
    <x v="1"/>
    <n v="89.7"/>
  </r>
  <r>
    <d v="2025-02-04T21:22:51"/>
    <x v="10"/>
    <s v="Plaquettes de finition"/>
    <s v="SD13196"/>
    <s v="FRADIN MAXIME"/>
    <n v="10"/>
    <x v="3"/>
    <x v="2"/>
    <s v="PLAQUETTES"/>
    <x v="3"/>
    <n v="109.7"/>
  </r>
  <r>
    <d v="2025-02-04T21:23:27"/>
    <x v="8"/>
    <s v="Plaquettes rhombiques"/>
    <s v="SD13196"/>
    <s v="FRADIN MAXIME"/>
    <n v="5"/>
    <x v="2"/>
    <x v="2"/>
    <s v="PLAQUETTES"/>
    <x v="1"/>
    <n v="18.399999999999999"/>
  </r>
  <r>
    <d v="2025-03-14T17:32:41"/>
    <x v="4"/>
    <s v="Plaquettes de finition"/>
    <s v="080924"/>
    <s v="DABLEMONT AURELIEN"/>
    <n v="5"/>
    <x v="0"/>
    <x v="2"/>
    <s v="PLAQUETTES"/>
    <x v="1"/>
    <n v="47.8"/>
  </r>
  <r>
    <d v="2025-02-04T23:55:55"/>
    <x v="10"/>
    <s v="Plaquettes de finition"/>
    <s v="J519914"/>
    <s v="MARLY DAVID"/>
    <n v="10"/>
    <x v="1"/>
    <x v="2"/>
    <s v="PLAQUETTES"/>
    <x v="0"/>
    <n v="109.7"/>
  </r>
  <r>
    <d v="2025-02-04T23:56:30"/>
    <x v="2"/>
    <s v="Plaquettes d'ébauches rhombiques"/>
    <s v="J519914"/>
    <s v="MARLY DAVID"/>
    <n v="10"/>
    <x v="1"/>
    <x v="1"/>
    <s v="PLAQUETTES"/>
    <x v="0"/>
    <n v="70"/>
  </r>
  <r>
    <d v="2025-03-16T07:33:41"/>
    <x v="4"/>
    <s v="Plaquettes de finition"/>
    <s v="U054304"/>
    <s v="BOUACHIK HICHAM"/>
    <n v="5"/>
    <x v="0"/>
    <x v="2"/>
    <s v="PLAQUETTES"/>
    <x v="1"/>
    <n v="47.8"/>
  </r>
  <r>
    <d v="2025-02-04T23:58:42"/>
    <x v="6"/>
    <s v="Plaquettes de finition positives"/>
    <s v="J519914"/>
    <s v="MARLY DAVID"/>
    <n v="10"/>
    <x v="1"/>
    <x v="2"/>
    <s v="PLAQUETTES"/>
    <x v="0"/>
    <n v="87"/>
  </r>
  <r>
    <d v="2025-02-05T03:49:36"/>
    <x v="6"/>
    <s v="Plaquettes de finition positives"/>
    <s v="SD13196"/>
    <s v="FRADIN MAXIME"/>
    <n v="10"/>
    <x v="3"/>
    <x v="2"/>
    <s v="PLAQUETTES"/>
    <x v="3"/>
    <n v="87"/>
  </r>
  <r>
    <d v="2025-02-05T03:49:56"/>
    <x v="2"/>
    <s v="Plaquettes d'ébauches rhombiques"/>
    <s v="SD13196"/>
    <s v="FRADIN MAXIME"/>
    <n v="10"/>
    <x v="3"/>
    <x v="1"/>
    <s v="PLAQUETTES"/>
    <x v="3"/>
    <n v="70"/>
  </r>
  <r>
    <d v="2025-02-05T08:56:55"/>
    <x v="2"/>
    <s v="Plaquettes d'ébauches rhombiques"/>
    <s v="080924"/>
    <s v="DABLEMONT AURELIEN"/>
    <n v="10"/>
    <x v="1"/>
    <x v="1"/>
    <s v="PLAQUETTES"/>
    <x v="0"/>
    <n v="70"/>
  </r>
  <r>
    <d v="2025-03-17T05:17:22"/>
    <x v="4"/>
    <s v="Plaquettes de finition"/>
    <s v="080924"/>
    <s v="DABLEMONT AURELIEN"/>
    <n v="5"/>
    <x v="0"/>
    <x v="2"/>
    <s v="PLAQUETTES"/>
    <x v="1"/>
    <n v="47.8"/>
  </r>
  <r>
    <d v="2025-03-17T13:40:26"/>
    <x v="4"/>
    <s v="Plaquettes de finition"/>
    <s v="170325"/>
    <s v="VERDELET BASTIEN"/>
    <n v="5"/>
    <x v="0"/>
    <x v="2"/>
    <s v="PLAQUETTES"/>
    <x v="1"/>
    <n v="47.8"/>
  </r>
  <r>
    <d v="2025-03-18T06:47:11"/>
    <x v="4"/>
    <s v="Plaquettes de finition"/>
    <s v="080924"/>
    <s v="DABLEMONT AURELIEN"/>
    <n v="5"/>
    <x v="0"/>
    <x v="2"/>
    <s v="PLAQUETTES"/>
    <x v="1"/>
    <n v="47.8"/>
  </r>
  <r>
    <d v="2025-03-19T01:06:52"/>
    <x v="10"/>
    <s v="Plaquettes de finition"/>
    <s v="SD13196"/>
    <s v="FRADIN MAXIME"/>
    <n v="10"/>
    <x v="0"/>
    <x v="2"/>
    <s v="PLAQUETTES"/>
    <x v="0"/>
    <n v="109.7"/>
  </r>
  <r>
    <d v="2025-02-05T20:50:42"/>
    <x v="6"/>
    <s v="Plaquettes de finition positives"/>
    <s v="100125"/>
    <s v="MEUNIER Louis"/>
    <n v="10"/>
    <x v="1"/>
    <x v="2"/>
    <s v="PLAQUETTES"/>
    <x v="0"/>
    <n v="87"/>
  </r>
  <r>
    <d v="2025-02-05T20:51:00"/>
    <x v="7"/>
    <s v="Plaquettes de finition triangulaires"/>
    <s v="100125"/>
    <s v="MEUNIER Louis"/>
    <n v="10"/>
    <x v="1"/>
    <x v="2"/>
    <s v="PLAQUETTES"/>
    <x v="0"/>
    <n v="138.80000000000001"/>
  </r>
  <r>
    <d v="2025-03-24T05:16:23"/>
    <x v="10"/>
    <s v="Plaquettes de finition"/>
    <s v="170325"/>
    <s v="VERDELET BASTIEN"/>
    <n v="10"/>
    <x v="0"/>
    <x v="2"/>
    <s v="PLAQUETTES"/>
    <x v="0"/>
    <n v="109.7"/>
  </r>
  <r>
    <d v="2025-03-24T22:37:08"/>
    <x v="10"/>
    <s v="Plaquettes de finition"/>
    <s v="080924"/>
    <s v="DABLEMONT AURELIEN"/>
    <n v="10"/>
    <x v="0"/>
    <x v="2"/>
    <s v="PLAQUETTES"/>
    <x v="0"/>
    <n v="109.7"/>
  </r>
  <r>
    <d v="2025-04-01T13:10:14"/>
    <x v="10"/>
    <s v="Plaquettes de finition"/>
    <s v="080924"/>
    <s v="DABLEMONT AURELIEN"/>
    <n v="10"/>
    <x v="0"/>
    <x v="2"/>
    <s v="PLAQUETTES"/>
    <x v="0"/>
    <n v="109.7"/>
  </r>
  <r>
    <d v="2025-02-05T21:17:11"/>
    <x v="1"/>
    <s v="Plaquettes d'ébauches carrées"/>
    <s v="SIEGEL F"/>
    <s v="SIEGEL FRANCK"/>
    <n v="20"/>
    <x v="1"/>
    <x v="1"/>
    <s v="PLAQUETTES"/>
    <x v="0"/>
    <n v="142.4"/>
  </r>
  <r>
    <d v="2025-02-06T02:52:08"/>
    <x v="6"/>
    <s v="Plaquettes de finition positives"/>
    <s v="SD13196"/>
    <s v="FRADIN MAXIME"/>
    <n v="10"/>
    <x v="3"/>
    <x v="2"/>
    <s v="PLAQUETTES"/>
    <x v="3"/>
    <n v="87"/>
  </r>
  <r>
    <d v="2025-02-06T05:36:31"/>
    <x v="2"/>
    <s v="Plaquettes d'ébauches rhombiques"/>
    <s v="VERGE G"/>
    <s v="VERGE GREGORY"/>
    <n v="20"/>
    <x v="3"/>
    <x v="1"/>
    <s v="PLAQUETTES"/>
    <x v="3"/>
    <n v="140"/>
  </r>
  <r>
    <d v="2025-02-06T05:36:54"/>
    <x v="1"/>
    <s v="Plaquettes d'ébauches carrées"/>
    <s v="VERGE G"/>
    <s v="VERGE GREGORY"/>
    <n v="10"/>
    <x v="3"/>
    <x v="1"/>
    <s v="PLAQUETTES"/>
    <x v="3"/>
    <n v="71.2"/>
  </r>
  <r>
    <d v="2025-04-05T00:28:15"/>
    <x v="10"/>
    <s v="Plaquettes de finition"/>
    <s v="170325"/>
    <s v="VERDELET BASTIEN"/>
    <n v="10"/>
    <x v="0"/>
    <x v="2"/>
    <s v="PLAQUETTES"/>
    <x v="0"/>
    <n v="109.7"/>
  </r>
  <r>
    <d v="2025-04-07T05:16:53"/>
    <x v="10"/>
    <s v="Plaquettes de finition"/>
    <s v="080924"/>
    <s v="DABLEMONT AURELIEN"/>
    <n v="10"/>
    <x v="0"/>
    <x v="2"/>
    <s v="PLAQUETTES"/>
    <x v="0"/>
    <n v="109.7"/>
  </r>
  <r>
    <d v="2025-04-14T02:50:22"/>
    <x v="4"/>
    <s v="Plaquettes de finition"/>
    <s v="U518765"/>
    <s v="ROY ADELINE"/>
    <n v="5"/>
    <x v="0"/>
    <x v="2"/>
    <s v="PLAQUETTES"/>
    <x v="1"/>
    <n v="47.8"/>
  </r>
  <r>
    <d v="2025-02-06T11:54:36"/>
    <x v="6"/>
    <s v="Plaquettes de finition positives"/>
    <s v="080924"/>
    <s v="DABLEMONT AURELIEN"/>
    <n v="10"/>
    <x v="1"/>
    <x v="2"/>
    <s v="PLAQUETTES"/>
    <x v="0"/>
    <n v="87"/>
  </r>
  <r>
    <d v="2025-02-06T11:54:52"/>
    <x v="2"/>
    <s v="Plaquettes d'ébauches rhombiques"/>
    <s v="080924"/>
    <s v="DABLEMONT AURELIEN"/>
    <n v="10"/>
    <x v="1"/>
    <x v="1"/>
    <s v="PLAQUETTES"/>
    <x v="0"/>
    <n v="70"/>
  </r>
  <r>
    <d v="2025-02-06T15:23:23"/>
    <x v="6"/>
    <s v="Plaquettes de finition positives"/>
    <s v="U537558"/>
    <s v="RAY ALEXIS"/>
    <n v="10"/>
    <x v="3"/>
    <x v="2"/>
    <s v="PLAQUETTES"/>
    <x v="3"/>
    <n v="87"/>
  </r>
  <r>
    <d v="2025-02-06T21:12:45"/>
    <x v="2"/>
    <s v="Plaquettes d'ébauches rhombiques"/>
    <s v="SIEGEL F"/>
    <s v="SIEGEL FRANCK"/>
    <n v="10"/>
    <x v="3"/>
    <x v="1"/>
    <s v="PLAQUETTES"/>
    <x v="3"/>
    <n v="70"/>
  </r>
  <r>
    <d v="2025-02-06T21:13:03"/>
    <x v="5"/>
    <s v="Plaquettes rondes"/>
    <s v="SIEGEL F"/>
    <s v="SIEGEL FRANCK"/>
    <n v="10"/>
    <x v="3"/>
    <x v="0"/>
    <s v="PLAQUETTES"/>
    <x v="3"/>
    <n v="108.5"/>
  </r>
  <r>
    <d v="2025-02-06T21:13:18"/>
    <x v="1"/>
    <s v="Plaquettes d'ébauches carrées"/>
    <s v="SIEGEL F"/>
    <s v="SIEGEL FRANCK"/>
    <n v="10"/>
    <x v="3"/>
    <x v="0"/>
    <s v="PLAQUETTES"/>
    <x v="3"/>
    <n v="71.2"/>
  </r>
  <r>
    <d v="2025-02-06T21:13:33"/>
    <x v="6"/>
    <s v="Plaquettes de finition positives"/>
    <s v="SIEGEL F"/>
    <s v="SIEGEL FRANCK"/>
    <n v="10"/>
    <x v="3"/>
    <x v="2"/>
    <s v="PLAQUETTES"/>
    <x v="3"/>
    <n v="87"/>
  </r>
  <r>
    <d v="2025-04-14T13:39:33"/>
    <x v="4"/>
    <s v="Plaquettes de finition"/>
    <s v="J519914"/>
    <s v="MARLY DAVID"/>
    <n v="5"/>
    <x v="0"/>
    <x v="2"/>
    <s v="PLAQUETTES"/>
    <x v="1"/>
    <n v="47.8"/>
  </r>
  <r>
    <d v="2025-04-15T06:10:29"/>
    <x v="4"/>
    <s v="Plaquettes de finition"/>
    <s v="170325"/>
    <s v="VERDELET BASTIEN"/>
    <n v="5"/>
    <x v="0"/>
    <x v="2"/>
    <s v="PLAQUETTES"/>
    <x v="1"/>
    <n v="47.8"/>
  </r>
  <r>
    <d v="2025-04-16T02:22:19"/>
    <x v="4"/>
    <s v="Plaquettes de finition"/>
    <s v="080924"/>
    <s v="DABLEMONT AURELIEN"/>
    <n v="5"/>
    <x v="0"/>
    <x v="2"/>
    <s v="PLAQUETTES"/>
    <x v="1"/>
    <n v="47.8"/>
  </r>
  <r>
    <d v="2025-04-16T06:33:26"/>
    <x v="4"/>
    <s v="Plaquettes de finition"/>
    <s v="170325"/>
    <s v="VERDELET BASTIEN"/>
    <n v="5"/>
    <x v="0"/>
    <x v="2"/>
    <s v="PLAQUETTES"/>
    <x v="1"/>
    <n v="47.8"/>
  </r>
  <r>
    <d v="2025-04-16T22:08:13"/>
    <x v="4"/>
    <s v="Plaquettes de finition"/>
    <s v="080924"/>
    <s v="DABLEMONT AURELIEN"/>
    <n v="5"/>
    <x v="0"/>
    <x v="2"/>
    <s v="PLAQUETTES"/>
    <x v="1"/>
    <n v="47.8"/>
  </r>
  <r>
    <d v="2025-04-17T13:07:40"/>
    <x v="4"/>
    <s v="Plaquettes de finition"/>
    <s v="J519914"/>
    <s v="MARLY DAVID"/>
    <n v="5"/>
    <x v="0"/>
    <x v="2"/>
    <s v="PLAQUETTES"/>
    <x v="1"/>
    <n v="47.8"/>
  </r>
  <r>
    <d v="2025-04-18T02:22:44"/>
    <x v="4"/>
    <s v="Plaquettes de finition"/>
    <s v="080924"/>
    <s v="DABLEMONT AURELIEN"/>
    <n v="5"/>
    <x v="0"/>
    <x v="2"/>
    <s v="PLAQUETTES"/>
    <x v="1"/>
    <n v="47.8"/>
  </r>
  <r>
    <d v="2025-04-19T17:32:59"/>
    <x v="4"/>
    <s v="Plaquettes de finition"/>
    <s v="U198152"/>
    <s v="AJMIK MUSTAPHA"/>
    <n v="5"/>
    <x v="0"/>
    <x v="2"/>
    <s v="PLAQUETTES"/>
    <x v="1"/>
    <n v="47.8"/>
  </r>
  <r>
    <d v="2025-04-20T17:18:47"/>
    <x v="4"/>
    <s v="Plaquettes de finition"/>
    <s v="U198152"/>
    <s v="AJMIK MUSTAPHA"/>
    <n v="5"/>
    <x v="0"/>
    <x v="2"/>
    <s v="PLAQUETTES"/>
    <x v="1"/>
    <n v="47.8"/>
  </r>
  <r>
    <d v="2025-04-20T17:25:49"/>
    <x v="4"/>
    <s v="Plaquettes de finition"/>
    <s v="U198152"/>
    <s v="AJMIK MUSTAPHA"/>
    <n v="5"/>
    <x v="0"/>
    <x v="2"/>
    <s v="PLAQUETTES"/>
    <x v="1"/>
    <n v="47.8"/>
  </r>
  <r>
    <d v="2025-04-21T05:12:41"/>
    <x v="4"/>
    <s v="Plaquettes de finition"/>
    <s v="J519914"/>
    <s v="MARLY DAVID"/>
    <n v="5"/>
    <x v="0"/>
    <x v="2"/>
    <s v="PLAQUETTES"/>
    <x v="1"/>
    <n v="47.8"/>
  </r>
  <r>
    <d v="2025-04-22T05:36:09"/>
    <x v="4"/>
    <s v="Plaquettes de finition"/>
    <s v="J519914"/>
    <s v="MARLY DAVID"/>
    <n v="5"/>
    <x v="0"/>
    <x v="2"/>
    <s v="PLAQUETTES"/>
    <x v="1"/>
    <n v="47.8"/>
  </r>
  <r>
    <d v="2025-02-09T10:00:42"/>
    <x v="2"/>
    <s v="Plaquettes d'ébauches rhombiques"/>
    <s v="U534565"/>
    <s v="HOAREAU MARIUS"/>
    <n v="20"/>
    <x v="3"/>
    <x v="1"/>
    <s v="PLAQUETTES"/>
    <x v="3"/>
    <n v="140"/>
  </r>
  <r>
    <d v="2025-04-23T05:29:12"/>
    <x v="4"/>
    <s v="Plaquettes de finition"/>
    <s v="J519914"/>
    <s v="MARLY DAVID"/>
    <n v="5"/>
    <x v="0"/>
    <x v="2"/>
    <s v="PLAQUETTES"/>
    <x v="1"/>
    <n v="47.8"/>
  </r>
  <r>
    <d v="2025-02-09T10:01:24"/>
    <x v="6"/>
    <s v="Plaquettes de finition positives"/>
    <s v="U534565"/>
    <s v="HOAREAU MARIUS"/>
    <n v="20"/>
    <x v="3"/>
    <x v="2"/>
    <s v="PLAQUETTES"/>
    <x v="3"/>
    <n v="174"/>
  </r>
  <r>
    <d v="2025-02-10T03:28:54"/>
    <x v="6"/>
    <s v="Plaquettes de finition positives"/>
    <s v="U198152"/>
    <s v="AJMIK MUSTAPHA"/>
    <n v="10"/>
    <x v="3"/>
    <x v="2"/>
    <s v="PLAQUETTES"/>
    <x v="3"/>
    <n v="87"/>
  </r>
  <r>
    <d v="2025-04-23T14:34:10"/>
    <x v="4"/>
    <s v="Plaquettes de finition"/>
    <s v="080924"/>
    <s v="DABLEMONT AURELIEN"/>
    <n v="5"/>
    <x v="0"/>
    <x v="2"/>
    <s v="PLAQUETTES"/>
    <x v="1"/>
    <n v="47.8"/>
  </r>
  <r>
    <d v="2025-02-10T05:31:42"/>
    <x v="10"/>
    <s v="Plaquettes de finition"/>
    <s v="100125"/>
    <s v="MEUNIER Louis"/>
    <n v="10"/>
    <x v="1"/>
    <x v="2"/>
    <s v="PLAQUETTES"/>
    <x v="0"/>
    <n v="109.7"/>
  </r>
  <r>
    <d v="2025-02-10T08:40:00"/>
    <x v="5"/>
    <s v="Plaquettes rondes"/>
    <s v="100125"/>
    <s v="MEUNIER Louis"/>
    <n v="10"/>
    <x v="1"/>
    <x v="0"/>
    <s v="PLAQUETTES"/>
    <x v="0"/>
    <n v="108.5"/>
  </r>
  <r>
    <d v="2025-02-10T08:40:19"/>
    <x v="2"/>
    <s v="Plaquettes d'ébauches rhombiques"/>
    <s v="100125"/>
    <s v="MEUNIER Louis"/>
    <n v="10"/>
    <x v="1"/>
    <x v="0"/>
    <s v="PLAQUETTES"/>
    <x v="0"/>
    <n v="70"/>
  </r>
  <r>
    <d v="2025-04-24T05:41:41"/>
    <x v="4"/>
    <s v="Plaquettes de finition"/>
    <s v="J519914"/>
    <s v="MARLY DAVID"/>
    <n v="5"/>
    <x v="0"/>
    <x v="2"/>
    <s v="PLAQUETTES"/>
    <x v="1"/>
    <n v="47.8"/>
  </r>
  <r>
    <d v="2025-04-24T22:07:25"/>
    <x v="4"/>
    <s v="Plaquettes de finition"/>
    <s v="170325"/>
    <s v="VERDELET BASTIEN"/>
    <n v="5"/>
    <x v="0"/>
    <x v="2"/>
    <s v="PLAQUETTES"/>
    <x v="1"/>
    <n v="47.8"/>
  </r>
  <r>
    <d v="2025-02-10T13:04:34"/>
    <x v="1"/>
    <s v="Plaquettes d'ébauches carrées"/>
    <s v="SIEGEL F"/>
    <s v="SIEGEL FRANCK"/>
    <n v="10"/>
    <x v="1"/>
    <x v="1"/>
    <s v="PLAQUETTES"/>
    <x v="0"/>
    <n v="71.2"/>
  </r>
  <r>
    <d v="2025-04-25T19:08:03"/>
    <x v="4"/>
    <s v="Plaquettes de finition"/>
    <s v="080924"/>
    <s v="DABLEMONT AURELIEN"/>
    <n v="5"/>
    <x v="0"/>
    <x v="2"/>
    <s v="PLAQUETTES"/>
    <x v="1"/>
    <n v="47.8"/>
  </r>
  <r>
    <d v="2025-02-10T13:05:13"/>
    <x v="6"/>
    <s v="Plaquettes de finition positives"/>
    <s v="SIEGEL F"/>
    <s v="SIEGEL FRANCK"/>
    <n v="10"/>
    <x v="1"/>
    <x v="2"/>
    <s v="PLAQUETTES"/>
    <x v="0"/>
    <n v="87"/>
  </r>
  <r>
    <d v="2025-02-10T15:27:35"/>
    <x v="6"/>
    <s v="Plaquettes de finition positives"/>
    <s v="SIEGEL F"/>
    <s v="SIEGEL FRANCK"/>
    <n v="10"/>
    <x v="1"/>
    <x v="2"/>
    <s v="PLAQUETTES"/>
    <x v="0"/>
    <n v="87"/>
  </r>
  <r>
    <d v="2025-04-26T20:48:37"/>
    <x v="4"/>
    <s v="Plaquettes de finition"/>
    <s v="U518765"/>
    <s v="ROY ADELINE"/>
    <n v="5"/>
    <x v="0"/>
    <x v="2"/>
    <s v="PLAQUETTES"/>
    <x v="1"/>
    <n v="47.8"/>
  </r>
  <r>
    <d v="2025-02-11T01:24:30"/>
    <x v="2"/>
    <s v="Plaquettes d'ébauches rhombiques"/>
    <s v="080924"/>
    <s v="DABLEMONT AURELIEN"/>
    <n v="10"/>
    <x v="1"/>
    <x v="1"/>
    <s v="PLAQUETTES"/>
    <x v="0"/>
    <n v="70"/>
  </r>
  <r>
    <d v="2025-02-11T01:24:51"/>
    <x v="5"/>
    <s v="Plaquettes rondes"/>
    <s v="080924"/>
    <s v="DABLEMONT AURELIEN"/>
    <n v="10"/>
    <x v="1"/>
    <x v="0"/>
    <s v="PLAQUETTES"/>
    <x v="0"/>
    <n v="108.5"/>
  </r>
  <r>
    <d v="2025-02-11T05:20:46"/>
    <x v="6"/>
    <s v="Plaquettes de finition positives"/>
    <s v="u134838"/>
    <s v="DANAH STEPHANIE"/>
    <n v="10"/>
    <x v="3"/>
    <x v="2"/>
    <s v="PLAQUETTES"/>
    <x v="3"/>
    <n v="87"/>
  </r>
  <r>
    <d v="2025-02-11T05:21:54"/>
    <x v="10"/>
    <s v="Plaquettes de finition"/>
    <s v="u134838"/>
    <s v="DANAH STEPHANIE"/>
    <n v="10"/>
    <x v="3"/>
    <x v="2"/>
    <s v="PLAQUETTES"/>
    <x v="3"/>
    <n v="109.7"/>
  </r>
  <r>
    <d v="2025-02-11T05:22:34"/>
    <x v="7"/>
    <s v="Plaquettes de finition triangulaires"/>
    <s v="u134838"/>
    <s v="DANAH STEPHANIE"/>
    <n v="10"/>
    <x v="3"/>
    <x v="2"/>
    <s v="PLAQUETTES"/>
    <x v="3"/>
    <n v="138.80000000000001"/>
  </r>
  <r>
    <d v="2025-02-11T08:49:21"/>
    <x v="1"/>
    <s v="Plaquettes d'ébauches carrées"/>
    <s v="12824586"/>
    <s v="DA SILVA FERNANDO"/>
    <n v="10"/>
    <x v="2"/>
    <x v="1"/>
    <s v="PLAQUETTES"/>
    <x v="4"/>
    <n v="71.2"/>
  </r>
  <r>
    <d v="2025-02-11T12:10:53"/>
    <x v="2"/>
    <s v="Plaquettes d'ébauches rhombiques"/>
    <s v="100125"/>
    <s v="MEUNIER Louis"/>
    <n v="10"/>
    <x v="1"/>
    <x v="1"/>
    <s v="PLAQUETTES"/>
    <x v="0"/>
    <n v="70"/>
  </r>
  <r>
    <d v="2025-02-11T12:11:15"/>
    <x v="1"/>
    <s v="Plaquettes d'ébauches carrées"/>
    <s v="100125"/>
    <s v="MEUNIER Louis"/>
    <n v="10"/>
    <x v="1"/>
    <x v="1"/>
    <s v="PLAQUETTES"/>
    <x v="0"/>
    <n v="71.2"/>
  </r>
  <r>
    <d v="2025-04-27T18:22:36"/>
    <x v="4"/>
    <s v="Plaquettes de finition"/>
    <s v="J519914"/>
    <s v="MARLY DAVID"/>
    <n v="5"/>
    <x v="0"/>
    <x v="2"/>
    <s v="PLAQUETTES"/>
    <x v="1"/>
    <n v="47.8"/>
  </r>
  <r>
    <d v="2025-04-28T21:08:18"/>
    <x v="4"/>
    <s v="Plaquettes de finition"/>
    <s v="J519914"/>
    <s v="MARLY DAVID"/>
    <n v="5"/>
    <x v="0"/>
    <x v="2"/>
    <s v="PLAQUETTES"/>
    <x v="1"/>
    <n v="47.8"/>
  </r>
  <r>
    <d v="2025-04-29T03:40:09"/>
    <x v="4"/>
    <s v="Plaquettes de finition"/>
    <s v="J519914"/>
    <s v="MARLY DAVID"/>
    <n v="5"/>
    <x v="0"/>
    <x v="2"/>
    <s v="PLAQUETTES"/>
    <x v="1"/>
    <n v="47.8"/>
  </r>
  <r>
    <d v="2025-02-11T13:08:07"/>
    <x v="6"/>
    <s v="Plaquettes de finition positives"/>
    <s v="SIEGEL F"/>
    <s v="SIEGEL FRANCK"/>
    <n v="10"/>
    <x v="1"/>
    <x v="2"/>
    <s v="PLAQUETTES"/>
    <x v="0"/>
    <n v="87"/>
  </r>
  <r>
    <d v="2025-04-29T06:58:20"/>
    <x v="4"/>
    <s v="Plaquettes de finition"/>
    <s v="080924"/>
    <s v="DABLEMONT AURELIEN"/>
    <n v="5"/>
    <x v="0"/>
    <x v="2"/>
    <s v="PLAQUETTES"/>
    <x v="1"/>
    <n v="47.8"/>
  </r>
  <r>
    <d v="2025-02-11T13:39:13"/>
    <x v="6"/>
    <s v="Plaquettes de finition positives"/>
    <s v="SD13196"/>
    <s v="FRADIN MAXIME"/>
    <n v="10"/>
    <x v="3"/>
    <x v="2"/>
    <s v="PLAQUETTES"/>
    <x v="3"/>
    <n v="87"/>
  </r>
  <r>
    <d v="2025-04-29T21:02:47"/>
    <x v="4"/>
    <s v="Plaquettes de finition"/>
    <s v="J519914"/>
    <s v="MARLY DAVID"/>
    <n v="5"/>
    <x v="0"/>
    <x v="2"/>
    <s v="PLAQUETTES"/>
    <x v="1"/>
    <n v="47.8"/>
  </r>
  <r>
    <d v="2025-04-30T06:08:19"/>
    <x v="4"/>
    <s v="Plaquettes de finition"/>
    <s v="080924"/>
    <s v="DABLEMONT AURELIEN"/>
    <n v="5"/>
    <x v="0"/>
    <x v="2"/>
    <s v="PLAQUETTES"/>
    <x v="1"/>
    <n v="47.8"/>
  </r>
  <r>
    <d v="2025-02-11T21:27:30"/>
    <x v="1"/>
    <s v="Plaquettes d'ébauches carrées"/>
    <s v="VERGE G"/>
    <s v="VERGE GREGORY"/>
    <n v="20"/>
    <x v="3"/>
    <x v="1"/>
    <s v="PLAQUETTES"/>
    <x v="0"/>
    <n v="142.4"/>
  </r>
  <r>
    <d v="2025-02-11T21:27:53"/>
    <x v="2"/>
    <s v="Plaquettes d'ébauches rhombiques"/>
    <s v="VERGE G"/>
    <s v="VERGE GREGORY"/>
    <n v="20"/>
    <x v="3"/>
    <x v="0"/>
    <s v="PLAQUETTES"/>
    <x v="0"/>
    <n v="140"/>
  </r>
  <r>
    <d v="2025-02-11T21:28:16"/>
    <x v="5"/>
    <s v="Plaquettes rondes"/>
    <s v="VERGE G"/>
    <s v="VERGE GREGORY"/>
    <n v="10"/>
    <x v="3"/>
    <x v="0"/>
    <s v="PLAQUETTES"/>
    <x v="0"/>
    <n v="108.5"/>
  </r>
  <r>
    <d v="2025-02-12T00:21:18"/>
    <x v="4"/>
    <s v="Plaquettes de finition"/>
    <s v="VERGE G"/>
    <s v="VERGE GREGORY"/>
    <n v="10"/>
    <x v="2"/>
    <x v="2"/>
    <s v="PLAQUETTES"/>
    <x v="1"/>
    <n v="95.6"/>
  </r>
  <r>
    <d v="2025-04-30T13:28:19"/>
    <x v="4"/>
    <s v="Plaquettes de finition"/>
    <s v="170325"/>
    <s v="VERDELET BASTIEN"/>
    <n v="5"/>
    <x v="0"/>
    <x v="2"/>
    <s v="PLAQUETTES"/>
    <x v="1"/>
    <n v="47.8"/>
  </r>
  <r>
    <d v="2025-05-02T14:56:54"/>
    <x v="4"/>
    <s v="Plaquettes de finition"/>
    <s v="170325"/>
    <s v="VERDELET BASTIEN"/>
    <n v="5"/>
    <x v="0"/>
    <x v="2"/>
    <s v="PLAQUETTES"/>
    <x v="1"/>
    <n v="47.8"/>
  </r>
  <r>
    <d v="2025-02-12T05:53:12"/>
    <x v="2"/>
    <s v="Plaquettes d'ébauches rhombiques"/>
    <s v="u134838"/>
    <s v="DANAH STEPHANIE"/>
    <n v="10"/>
    <x v="1"/>
    <x v="1"/>
    <s v="PLAQUETTES"/>
    <x v="0"/>
    <n v="70"/>
  </r>
  <r>
    <d v="2025-02-12T05:53:49"/>
    <x v="1"/>
    <s v="Plaquettes d'ébauches carrées"/>
    <s v="u134838"/>
    <s v="DANAH STEPHANIE"/>
    <n v="10"/>
    <x v="1"/>
    <x v="1"/>
    <s v="PLAQUETTES"/>
    <x v="0"/>
    <n v="71.2"/>
  </r>
  <r>
    <d v="2025-02-12T08:44:18"/>
    <x v="4"/>
    <s v="Plaquettes de finition"/>
    <s v="u134838"/>
    <s v="DANAH STEPHANIE"/>
    <n v="5"/>
    <x v="2"/>
    <x v="2"/>
    <s v="PLAQUETTES"/>
    <x v="1"/>
    <n v="47.8"/>
  </r>
  <r>
    <d v="2025-02-12T08:44:54"/>
    <x v="6"/>
    <s v="Plaquettes de finition positives"/>
    <s v="u134838"/>
    <s v="DANAH STEPHANIE"/>
    <n v="10"/>
    <x v="3"/>
    <x v="2"/>
    <s v="PLAQUETTES"/>
    <x v="0"/>
    <n v="87"/>
  </r>
  <r>
    <d v="2025-02-12T11:31:58"/>
    <x v="6"/>
    <s v="Plaquettes de finition positives"/>
    <s v="100125"/>
    <s v="MEUNIER Louis"/>
    <n v="10"/>
    <x v="1"/>
    <x v="2"/>
    <s v="PLAQUETTES"/>
    <x v="0"/>
    <n v="87"/>
  </r>
  <r>
    <d v="2025-05-03T00:22:41"/>
    <x v="4"/>
    <s v="Plaquettes de finition"/>
    <s v="J519914"/>
    <s v="MARLY DAVID"/>
    <n v="5"/>
    <x v="0"/>
    <x v="2"/>
    <s v="PLAQUETTES"/>
    <x v="1"/>
    <n v="47.8"/>
  </r>
  <r>
    <d v="2025-05-03T17:12:36"/>
    <x v="4"/>
    <s v="Plaquettes de finition"/>
    <s v="U054304"/>
    <s v="BOUACHIK HICHAM"/>
    <n v="5"/>
    <x v="0"/>
    <x v="2"/>
    <s v="PLAQUETTES"/>
    <x v="1"/>
    <n v="47.8"/>
  </r>
  <r>
    <d v="2025-02-13T00:16:05"/>
    <x v="5"/>
    <s v="Plaquettes rondes"/>
    <s v="080924"/>
    <s v="DABLEMONT AURELIEN"/>
    <n v="10"/>
    <x v="1"/>
    <x v="0"/>
    <s v="PLAQUETTES"/>
    <x v="0"/>
    <n v="108.5"/>
  </r>
  <r>
    <d v="2025-05-04T06:31:24"/>
    <x v="4"/>
    <s v="Plaquettes de finition"/>
    <s v="U518765"/>
    <s v="ROY ADELINE"/>
    <n v="5"/>
    <x v="0"/>
    <x v="2"/>
    <s v="PLAQUETTES"/>
    <x v="1"/>
    <n v="47.8"/>
  </r>
  <r>
    <d v="2025-02-13T00:16:49"/>
    <x v="1"/>
    <s v="Plaquettes d'ébauches carrées"/>
    <s v="080924"/>
    <s v="DABLEMONT AURELIEN"/>
    <n v="10"/>
    <x v="1"/>
    <x v="0"/>
    <s v="PLAQUETTES"/>
    <x v="0"/>
    <n v="71.2"/>
  </r>
  <r>
    <d v="2025-02-13T06:18:47"/>
    <x v="6"/>
    <s v="Plaquettes de finition positives"/>
    <s v="u134838"/>
    <s v="DANAH STEPHANIE"/>
    <n v="10"/>
    <x v="3"/>
    <x v="2"/>
    <s v="PLAQUETTES"/>
    <x v="0"/>
    <n v="87"/>
  </r>
  <r>
    <d v="2025-02-13T06:19:13"/>
    <x v="4"/>
    <s v="Plaquettes de finition"/>
    <s v="u134838"/>
    <s v="DANAH STEPHANIE"/>
    <n v="5"/>
    <x v="2"/>
    <x v="2"/>
    <s v="PLAQUETTES"/>
    <x v="1"/>
    <n v="47.8"/>
  </r>
  <r>
    <d v="2025-02-13T06:23:07"/>
    <x v="6"/>
    <s v="Plaquettes de finition positives"/>
    <s v="100125"/>
    <s v="MEUNIER Louis"/>
    <n v="10"/>
    <x v="1"/>
    <x v="2"/>
    <s v="PLAQUETTES"/>
    <x v="0"/>
    <n v="87"/>
  </r>
  <r>
    <d v="2025-05-05T06:31:20"/>
    <x v="4"/>
    <s v="Plaquettes de finition"/>
    <s v="170325"/>
    <s v="VERDELET BASTIEN"/>
    <n v="5"/>
    <x v="0"/>
    <x v="2"/>
    <s v="PLAQUETTES"/>
    <x v="1"/>
    <n v="47.8"/>
  </r>
  <r>
    <d v="2025-05-07T00:52:13"/>
    <x v="4"/>
    <s v="Plaquettes de finition"/>
    <s v="080924"/>
    <s v="DABLEMONT AURELIEN"/>
    <n v="5"/>
    <x v="0"/>
    <x v="2"/>
    <s v="PLAQUETTES"/>
    <x v="1"/>
    <n v="47.8"/>
  </r>
  <r>
    <d v="2025-05-08T14:12:08"/>
    <x v="4"/>
    <s v="Plaquettes de finition"/>
    <s v="J519914"/>
    <s v="MARLY DAVID"/>
    <n v="5"/>
    <x v="0"/>
    <x v="2"/>
    <s v="PLAQUETTES"/>
    <x v="1"/>
    <n v="47.8"/>
  </r>
  <r>
    <d v="2025-05-08T21:12:05"/>
    <x v="4"/>
    <s v="Plaquettes de finition"/>
    <s v="080924"/>
    <s v="DABLEMONT AURELIEN"/>
    <n v="5"/>
    <x v="0"/>
    <x v="2"/>
    <s v="PLAQUETTES"/>
    <x v="1"/>
    <n v="47.8"/>
  </r>
  <r>
    <d v="2025-05-09T06:58:44"/>
    <x v="4"/>
    <s v="Plaquettes de finition"/>
    <s v="J534699"/>
    <s v="CHARTON FABIAN"/>
    <n v="5"/>
    <x v="0"/>
    <x v="2"/>
    <s v="PLAQUETTES"/>
    <x v="1"/>
    <n v="47.8"/>
  </r>
  <r>
    <d v="2025-05-11T04:02:23"/>
    <x v="4"/>
    <s v="Plaquettes de finition"/>
    <s v="U534565"/>
    <s v="HOAREAU MARIUS"/>
    <n v="5"/>
    <x v="0"/>
    <x v="2"/>
    <s v="PLAQUETTES"/>
    <x v="1"/>
    <n v="47.8"/>
  </r>
  <r>
    <d v="2025-05-13T13:10:52"/>
    <x v="4"/>
    <s v="Plaquettes de finition"/>
    <s v="080924"/>
    <s v="DABLEMONT AURELIEN"/>
    <n v="5"/>
    <x v="0"/>
    <x v="2"/>
    <s v="PLAQUETTES"/>
    <x v="1"/>
    <n v="47.8"/>
  </r>
  <r>
    <d v="2025-05-13T21:27:07"/>
    <x v="4"/>
    <s v="Plaquettes de finition"/>
    <s v="170325"/>
    <s v="VERDELET BASTIEN"/>
    <n v="5"/>
    <x v="0"/>
    <x v="2"/>
    <s v="PLAQUETTES"/>
    <x v="1"/>
    <n v="47.8"/>
  </r>
  <r>
    <d v="2025-02-13T13:11:10"/>
    <x v="2"/>
    <s v="Plaquettes d'ébauches rhombiques"/>
    <s v="SIEGEL F"/>
    <s v="SIEGEL FRANCK"/>
    <n v="10"/>
    <x v="1"/>
    <x v="1"/>
    <s v="PLAQUETTES"/>
    <x v="0"/>
    <n v="70"/>
  </r>
  <r>
    <d v="2025-02-13T13:11:33"/>
    <x v="1"/>
    <s v="Plaquettes d'ébauches carrées"/>
    <s v="SIEGEL F"/>
    <s v="SIEGEL FRANCK"/>
    <n v="10"/>
    <x v="1"/>
    <x v="1"/>
    <s v="PLAQUETTES"/>
    <x v="0"/>
    <n v="71.2"/>
  </r>
  <r>
    <d v="2025-02-13T13:11:49"/>
    <x v="10"/>
    <s v="Plaquettes de finition"/>
    <s v="SIEGEL F"/>
    <s v="SIEGEL FRANCK"/>
    <n v="10"/>
    <x v="1"/>
    <x v="2"/>
    <s v="PLAQUETTES"/>
    <x v="0"/>
    <n v="109.7"/>
  </r>
  <r>
    <d v="2025-02-13T13:12:06"/>
    <x v="7"/>
    <s v="Plaquettes de finition triangulaires"/>
    <s v="SIEGEL F"/>
    <s v="SIEGEL FRANCK"/>
    <n v="10"/>
    <x v="1"/>
    <x v="2"/>
    <s v="PLAQUETTES"/>
    <x v="0"/>
    <n v="138.80000000000001"/>
  </r>
  <r>
    <d v="2025-02-13T13:12:22"/>
    <x v="6"/>
    <s v="Plaquettes de finition positives"/>
    <s v="SIEGEL F"/>
    <s v="SIEGEL FRANCK"/>
    <n v="10"/>
    <x v="1"/>
    <x v="2"/>
    <s v="PLAQUETTES"/>
    <x v="0"/>
    <n v="87"/>
  </r>
  <r>
    <d v="2025-02-13T13:14:00"/>
    <x v="2"/>
    <s v="Plaquettes d'ébauches rhombiques"/>
    <s v="SD13196"/>
    <s v="FRADIN MAXIME"/>
    <n v="10"/>
    <x v="3"/>
    <x v="1"/>
    <s v="PLAQUETTES"/>
    <x v="0"/>
    <n v="70"/>
  </r>
  <r>
    <d v="2025-02-13T13:14:27"/>
    <x v="5"/>
    <s v="Plaquettes rondes"/>
    <s v="SD13196"/>
    <s v="FRADIN MAXIME"/>
    <n v="10"/>
    <x v="3"/>
    <x v="0"/>
    <s v="PLAQUETTES"/>
    <x v="0"/>
    <n v="108.5"/>
  </r>
  <r>
    <d v="2025-02-13T13:14:50"/>
    <x v="3"/>
    <s v="Plaquettes rondes"/>
    <s v="SD13196"/>
    <s v="FRADIN MAXIME"/>
    <n v="10"/>
    <x v="2"/>
    <x v="0"/>
    <s v="PLAQUETTES"/>
    <x v="1"/>
    <n v="136.69999999999999"/>
  </r>
  <r>
    <d v="2025-02-13T13:15:26"/>
    <x v="6"/>
    <s v="Plaquettes de finition positives"/>
    <s v="SD13196"/>
    <s v="FRADIN MAXIME"/>
    <n v="10"/>
    <x v="3"/>
    <x v="2"/>
    <s v="PLAQUETTES"/>
    <x v="0"/>
    <n v="87"/>
  </r>
  <r>
    <d v="2025-02-13T13:15:43"/>
    <x v="8"/>
    <s v="Plaquettes rhombiques"/>
    <s v="SD13196"/>
    <s v="FRADIN MAXIME"/>
    <n v="5"/>
    <x v="2"/>
    <x v="2"/>
    <s v="PLAQUETTES"/>
    <x v="1"/>
    <n v="18.399999999999999"/>
  </r>
  <r>
    <d v="2025-02-13T13:16:04"/>
    <x v="1"/>
    <s v="Plaquettes d'ébauches carrées"/>
    <s v="SD13196"/>
    <s v="FRADIN MAXIME"/>
    <n v="10"/>
    <x v="2"/>
    <x v="1"/>
    <s v="PLAQUETTES"/>
    <x v="1"/>
    <n v="71.2"/>
  </r>
  <r>
    <d v="2025-05-14T13:13:38"/>
    <x v="4"/>
    <s v="Plaquettes de finition"/>
    <s v="080924"/>
    <s v="DABLEMONT AURELIEN"/>
    <n v="5"/>
    <x v="0"/>
    <x v="2"/>
    <s v="PLAQUETTES"/>
    <x v="1"/>
    <n v="47.8"/>
  </r>
  <r>
    <d v="2025-05-14T20:19:10"/>
    <x v="4"/>
    <s v="Plaquettes de finition"/>
    <s v="170325"/>
    <s v="VERDELET BASTIEN"/>
    <n v="5"/>
    <x v="0"/>
    <x v="2"/>
    <s v="PLAQUETTES"/>
    <x v="1"/>
    <n v="47.8"/>
  </r>
  <r>
    <d v="2025-02-13T21:56:50"/>
    <x v="2"/>
    <s v="Plaquettes d'ébauches rhombiques"/>
    <s v="VERGE G"/>
    <s v="VERGE GREGORY"/>
    <n v="10"/>
    <x v="2"/>
    <x v="1"/>
    <s v="PLAQUETTES"/>
    <x v="1"/>
    <n v="70"/>
  </r>
  <r>
    <d v="2025-02-13T21:57:04"/>
    <x v="2"/>
    <s v="Plaquettes d'ébauches rhombiques"/>
    <s v="VERGE G"/>
    <s v="VERGE GREGORY"/>
    <n v="10"/>
    <x v="3"/>
    <x v="1"/>
    <s v="PLAQUETTES"/>
    <x v="0"/>
    <n v="70"/>
  </r>
  <r>
    <d v="2025-05-17T05:05:20"/>
    <x v="4"/>
    <s v="Plaquettes de finition"/>
    <s v="J534699"/>
    <s v="CHARTON FABIAN"/>
    <n v="5"/>
    <x v="0"/>
    <x v="2"/>
    <s v="PLAQUETTES"/>
    <x v="1"/>
    <n v="47.8"/>
  </r>
  <r>
    <d v="2025-02-14T07:31:40"/>
    <x v="10"/>
    <s v="Plaquettes de finition"/>
    <s v="U534565"/>
    <s v="HOAREAU MARIUS"/>
    <n v="10"/>
    <x v="1"/>
    <x v="2"/>
    <s v="PLAQUETTES"/>
    <x v="0"/>
    <n v="109.7"/>
  </r>
  <r>
    <d v="2025-02-14T07:31:58"/>
    <x v="6"/>
    <s v="Plaquettes de finition positives"/>
    <s v="U534565"/>
    <s v="HOAREAU MARIUS"/>
    <n v="10"/>
    <x v="1"/>
    <x v="2"/>
    <s v="PLAQUETTES"/>
    <x v="0"/>
    <n v="87"/>
  </r>
  <r>
    <d v="2025-02-14T08:27:36"/>
    <x v="6"/>
    <s v="Plaquettes de finition positives"/>
    <s v="U518765"/>
    <s v="ROY ADELINE"/>
    <n v="10"/>
    <x v="1"/>
    <x v="2"/>
    <s v="PLAQUETTES"/>
    <x v="0"/>
    <n v="87"/>
  </r>
  <r>
    <d v="2025-02-14T15:44:19"/>
    <x v="2"/>
    <s v="Plaquettes d'ébauches rhombiques"/>
    <s v="SD13196"/>
    <s v="FRADIN MAXIME"/>
    <n v="10"/>
    <x v="3"/>
    <x v="0"/>
    <s v="PLAQUETTES"/>
    <x v="0"/>
    <n v="70"/>
  </r>
  <r>
    <d v="2025-02-14T15:44:39"/>
    <x v="4"/>
    <s v="Plaquettes de finition"/>
    <s v="SD13196"/>
    <s v="FRADIN MAXIME"/>
    <n v="5"/>
    <x v="2"/>
    <x v="2"/>
    <s v="PLAQUETTES"/>
    <x v="1"/>
    <n v="47.8"/>
  </r>
  <r>
    <d v="2025-02-14T15:44:57"/>
    <x v="9"/>
    <s v="Plaquettes rhombiques"/>
    <s v="SD13196"/>
    <s v="FRADIN MAXIME"/>
    <n v="5"/>
    <x v="2"/>
    <x v="2"/>
    <s v="PLAQUETTES"/>
    <x v="1"/>
    <n v="44.85"/>
  </r>
  <r>
    <d v="2025-02-14T15:45:12"/>
    <x v="8"/>
    <s v="Plaquettes rhombiques"/>
    <s v="SD13196"/>
    <s v="FRADIN MAXIME"/>
    <n v="5"/>
    <x v="2"/>
    <x v="2"/>
    <s v="PLAQUETTES"/>
    <x v="1"/>
    <n v="18.399999999999999"/>
  </r>
  <r>
    <d v="2025-05-18T15:56:10"/>
    <x v="4"/>
    <s v="Plaquettes de finition"/>
    <s v="P717908"/>
    <s v="GONCALVES GEORGES"/>
    <n v="5"/>
    <x v="0"/>
    <x v="2"/>
    <s v="PLAQUETTES"/>
    <x v="1"/>
    <n v="47.8"/>
  </r>
  <r>
    <d v="2025-02-14T16:54:00"/>
    <x v="2"/>
    <s v="Plaquettes d'ébauches rhombiques"/>
    <s v="SD13196"/>
    <s v="FRADIN MAXIME"/>
    <n v="10"/>
    <x v="1"/>
    <x v="0"/>
    <s v="PLAQUETTES"/>
    <x v="0"/>
    <n v="70"/>
  </r>
  <r>
    <d v="2025-05-19T06:10:17"/>
    <x v="4"/>
    <s v="Plaquettes de finition"/>
    <s v="080924"/>
    <s v="DABLEMONT AURELIEN"/>
    <n v="5"/>
    <x v="0"/>
    <x v="2"/>
    <s v="PLAQUETTES"/>
    <x v="1"/>
    <n v="47.8"/>
  </r>
  <r>
    <d v="2025-02-14T16:55:52"/>
    <x v="1"/>
    <s v="Plaquettes d'ébauches carrées"/>
    <s v="SD13196"/>
    <s v="FRADIN MAXIME"/>
    <n v="10"/>
    <x v="1"/>
    <x v="0"/>
    <s v="PLAQUETTES"/>
    <x v="0"/>
    <n v="71.2"/>
  </r>
  <r>
    <d v="2025-02-14T18:44:25"/>
    <x v="11"/>
    <s v="Plaquettes de finition triangulaires"/>
    <s v="SIEGEL F"/>
    <s v="SIEGEL FRANCK"/>
    <n v="10"/>
    <x v="2"/>
    <x v="2"/>
    <s v="PLAQUETTES"/>
    <x v="1"/>
    <n v="118.7"/>
  </r>
  <r>
    <d v="2025-02-14T21:28:27"/>
    <x v="2"/>
    <s v="Plaquettes d'ébauches rhombiques"/>
    <s v="080924"/>
    <s v="DABLEMONT AURELIEN"/>
    <n v="10"/>
    <x v="1"/>
    <x v="1"/>
    <s v="PLAQUETTES"/>
    <x v="0"/>
    <n v="70"/>
  </r>
  <r>
    <d v="2025-02-14T21:28:40"/>
    <x v="1"/>
    <s v="Plaquettes d'ébauches carrées"/>
    <s v="080924"/>
    <s v="DABLEMONT AURELIEN"/>
    <n v="10"/>
    <x v="1"/>
    <x v="1"/>
    <s v="PLAQUETTES"/>
    <x v="0"/>
    <n v="71.2"/>
  </r>
  <r>
    <d v="2025-05-20T13:21:36"/>
    <x v="4"/>
    <s v="Plaquettes de finition"/>
    <s v="170325"/>
    <s v="VERDELET BASTIEN"/>
    <n v="5"/>
    <x v="0"/>
    <x v="2"/>
    <s v="PLAQUETTES"/>
    <x v="1"/>
    <n v="47.8"/>
  </r>
  <r>
    <d v="2025-02-14T21:29:15"/>
    <x v="6"/>
    <s v="Plaquettes de finition positives"/>
    <s v="080924"/>
    <s v="DABLEMONT AURELIEN"/>
    <n v="10"/>
    <x v="1"/>
    <x v="2"/>
    <s v="PLAQUETTES"/>
    <x v="0"/>
    <n v="87"/>
  </r>
  <r>
    <d v="2025-05-21T05:52:30"/>
    <x v="4"/>
    <s v="Plaquettes de finition"/>
    <s v="080924"/>
    <s v="DABLEMONT AURELIEN"/>
    <n v="5"/>
    <x v="0"/>
    <x v="2"/>
    <s v="PLAQUETTES"/>
    <x v="1"/>
    <n v="47.8"/>
  </r>
  <r>
    <d v="2025-05-21T19:37:25"/>
    <x v="10"/>
    <s v="Plaquettes de finition"/>
    <s v="170325"/>
    <s v="VERDELET BASTIEN"/>
    <n v="10"/>
    <x v="0"/>
    <x v="2"/>
    <s v="PLAQUETTES"/>
    <x v="0"/>
    <n v="109.7"/>
  </r>
  <r>
    <d v="2025-05-23T21:37:28"/>
    <x v="10"/>
    <s v="Plaquettes de finition"/>
    <s v="J519914"/>
    <s v="MARLY DAVID"/>
    <n v="10"/>
    <x v="0"/>
    <x v="2"/>
    <s v="PLAQUETTES"/>
    <x v="0"/>
    <n v="109.7"/>
  </r>
  <r>
    <d v="2025-02-15T00:42:50"/>
    <x v="5"/>
    <s v="Plaquettes rondes"/>
    <s v="080924"/>
    <s v="DABLEMONT AURELIEN"/>
    <n v="10"/>
    <x v="1"/>
    <x v="0"/>
    <s v="PLAQUETTES"/>
    <x v="0"/>
    <n v="108.5"/>
  </r>
  <r>
    <d v="2025-02-15T05:26:25"/>
    <x v="4"/>
    <s v="Plaquettes de finition"/>
    <s v="U534565"/>
    <s v="HOAREAU MARIUS"/>
    <n v="5"/>
    <x v="2"/>
    <x v="2"/>
    <s v="PLAQUETTES"/>
    <x v="5"/>
    <n v="47.8"/>
  </r>
  <r>
    <d v="2025-02-15T05:27:00"/>
    <x v="6"/>
    <s v="Plaquettes de finition positives"/>
    <s v="U534565"/>
    <s v="HOAREAU MARIUS"/>
    <n v="10"/>
    <x v="3"/>
    <x v="2"/>
    <s v="PLAQUETTES"/>
    <x v="0"/>
    <n v="87"/>
  </r>
  <r>
    <d v="2025-02-15T05:27:25"/>
    <x v="2"/>
    <s v="Plaquettes d'ébauches rhombiques"/>
    <s v="U534565"/>
    <s v="HOAREAU MARIUS"/>
    <n v="10"/>
    <x v="3"/>
    <x v="0"/>
    <s v="PLAQUETTES"/>
    <x v="0"/>
    <n v="70"/>
  </r>
  <r>
    <d v="2025-02-15T05:27:57"/>
    <x v="5"/>
    <s v="Plaquettes rondes"/>
    <s v="U534565"/>
    <s v="HOAREAU MARIUS"/>
    <n v="10"/>
    <x v="3"/>
    <x v="0"/>
    <s v="PLAQUETTES"/>
    <x v="0"/>
    <n v="108.5"/>
  </r>
  <r>
    <d v="2025-02-15T05:28:20"/>
    <x v="1"/>
    <s v="Plaquettes d'ébauches carrées"/>
    <s v="U534565"/>
    <s v="HOAREAU MARIUS"/>
    <n v="10"/>
    <x v="3"/>
    <x v="0"/>
    <s v="PLAQUETTES"/>
    <x v="0"/>
    <n v="71.2"/>
  </r>
  <r>
    <d v="2025-05-26T05:28:24"/>
    <x v="10"/>
    <s v="Plaquettes de finition"/>
    <s v="170325"/>
    <s v="VERDELET BASTIEN"/>
    <n v="10"/>
    <x v="0"/>
    <x v="2"/>
    <s v="PLAQUETTES"/>
    <x v="0"/>
    <n v="109.7"/>
  </r>
  <r>
    <d v="2025-06-07T22:01:47"/>
    <x v="10"/>
    <s v="Plaquettes de finition"/>
    <s v="U534565"/>
    <s v="HOAREAU MARIUS"/>
    <n v="10"/>
    <x v="0"/>
    <x v="2"/>
    <s v="PLAQUETTES"/>
    <x v="0"/>
    <n v="109.7"/>
  </r>
  <r>
    <d v="2025-02-16T05:17:00"/>
    <x v="6"/>
    <s v="Plaquettes de finition positives"/>
    <s v="U518765"/>
    <s v="ROY ADELINE"/>
    <n v="10"/>
    <x v="1"/>
    <x v="2"/>
    <s v="PLAQUETTES"/>
    <x v="0"/>
    <n v="87"/>
  </r>
  <r>
    <d v="2025-02-16T05:17:40"/>
    <x v="2"/>
    <s v="Plaquettes d'ébauches rhombiques"/>
    <s v="U518765"/>
    <s v="ROY ADELINE"/>
    <n v="10"/>
    <x v="1"/>
    <x v="0"/>
    <s v="PLAQUETTES"/>
    <x v="0"/>
    <n v="70"/>
  </r>
  <r>
    <d v="2025-06-16T06:27:05"/>
    <x v="10"/>
    <s v="Plaquettes de finition"/>
    <s v="u134838"/>
    <s v="DANAH STEPHANIE"/>
    <n v="10"/>
    <x v="0"/>
    <x v="2"/>
    <s v="PLAQUETTES"/>
    <x v="0"/>
    <n v="109.7"/>
  </r>
  <r>
    <d v="2025-06-19T11:28:04"/>
    <x v="4"/>
    <s v="Plaquettes de finition"/>
    <s v="u134838"/>
    <s v="DANAH STEPHANIE"/>
    <n v="5"/>
    <x v="0"/>
    <x v="2"/>
    <s v="PLAQUETTES"/>
    <x v="1"/>
    <n v="47.8"/>
  </r>
  <r>
    <d v="2025-02-16T17:24:50"/>
    <x v="4"/>
    <s v="Plaquettes de finition"/>
    <s v="U198152"/>
    <s v="AJMIK MUSTAPHA"/>
    <n v="5"/>
    <x v="2"/>
    <x v="2"/>
    <s v="PLAQUETTES"/>
    <x v="1"/>
    <n v="47.8"/>
  </r>
  <r>
    <d v="2025-02-16T17:25:09"/>
    <x v="2"/>
    <s v="Plaquettes d'ébauches rhombiques"/>
    <s v="U198152"/>
    <s v="AJMIK MUSTAPHA"/>
    <n v="10"/>
    <x v="2"/>
    <x v="0"/>
    <s v="PLAQUETTES"/>
    <x v="1"/>
    <n v="70"/>
  </r>
  <r>
    <d v="2025-02-16T17:25:30"/>
    <x v="3"/>
    <s v="Plaquettes rondes"/>
    <s v="U198152"/>
    <s v="AJMIK MUSTAPHA"/>
    <n v="10"/>
    <x v="2"/>
    <x v="0"/>
    <s v="PLAQUETTES"/>
    <x v="1"/>
    <n v="136.69999999999999"/>
  </r>
  <r>
    <d v="2025-02-16T17:25:48"/>
    <x v="5"/>
    <s v="Plaquettes rondes"/>
    <s v="U198152"/>
    <s v="AJMIK MUSTAPHA"/>
    <n v="10"/>
    <x v="2"/>
    <x v="0"/>
    <s v="PLAQUETTES"/>
    <x v="1"/>
    <n v="108.5"/>
  </r>
  <r>
    <d v="2025-02-16T17:26:11"/>
    <x v="6"/>
    <s v="Plaquettes de finition positives"/>
    <s v="U198152"/>
    <s v="AJMIK MUSTAPHA"/>
    <n v="10"/>
    <x v="3"/>
    <x v="2"/>
    <s v="PLAQUETTES"/>
    <x v="3"/>
    <n v="87"/>
  </r>
  <r>
    <d v="2025-06-20T05:13:30"/>
    <x v="4"/>
    <s v="Plaquettes de finition"/>
    <s v="U054304"/>
    <s v="BOUACHIK HICHAM"/>
    <n v="5"/>
    <x v="0"/>
    <x v="2"/>
    <s v="PLAQUETTES"/>
    <x v="1"/>
    <n v="47.8"/>
  </r>
  <r>
    <d v="2025-02-16T17:27:18"/>
    <x v="6"/>
    <s v="Plaquettes de finition positives"/>
    <s v="U198152"/>
    <s v="AJMIK MUSTAPHA"/>
    <n v="10"/>
    <x v="1"/>
    <x v="2"/>
    <s v="PLAQUETTES"/>
    <x v="0"/>
    <n v="87"/>
  </r>
  <r>
    <d v="2025-02-16T17:27:58"/>
    <x v="2"/>
    <s v="Plaquettes d'ébauches rhombiques"/>
    <s v="U198152"/>
    <s v="AJMIK MUSTAPHA"/>
    <n v="10"/>
    <x v="1"/>
    <x v="0"/>
    <s v="PLAQUETTES"/>
    <x v="0"/>
    <n v="70"/>
  </r>
  <r>
    <d v="2025-06-20T21:17:14"/>
    <x v="4"/>
    <s v="Plaquettes de finition"/>
    <s v="080924"/>
    <s v="DABLEMONT AURELIEN"/>
    <n v="5"/>
    <x v="0"/>
    <x v="2"/>
    <s v="PLAQUETTES"/>
    <x v="1"/>
    <n v="47.8"/>
  </r>
  <r>
    <d v="2025-06-21T05:15:52"/>
    <x v="4"/>
    <s v="Plaquettes de finition"/>
    <s v="U054304"/>
    <s v="BOUACHIK HICHAM"/>
    <n v="5"/>
    <x v="0"/>
    <x v="2"/>
    <s v="PLAQUETTES"/>
    <x v="1"/>
    <n v="47.8"/>
  </r>
  <r>
    <d v="2025-06-22T03:32:11"/>
    <x v="4"/>
    <s v="Plaquettes de finition"/>
    <s v="U534565"/>
    <s v="HOAREAU MARIUS"/>
    <n v="5"/>
    <x v="0"/>
    <x v="2"/>
    <s v="PLAQUETTES"/>
    <x v="1"/>
    <n v="47.8"/>
  </r>
  <r>
    <d v="2025-06-22T18:00:02"/>
    <x v="4"/>
    <s v="Plaquettes de finition"/>
    <s v="U534565"/>
    <s v="HOAREAU MARIUS"/>
    <n v="5"/>
    <x v="0"/>
    <x v="2"/>
    <s v="PLAQUETTES"/>
    <x v="1"/>
    <n v="47.8"/>
  </r>
  <r>
    <d v="2025-06-23T15:49:47"/>
    <x v="4"/>
    <s v="Plaquettes de finition"/>
    <s v="080924"/>
    <s v="DABLEMONT AURELIEN"/>
    <n v="5"/>
    <x v="0"/>
    <x v="2"/>
    <s v="PLAQUETTES"/>
    <x v="1"/>
    <n v="47.8"/>
  </r>
  <r>
    <d v="2025-06-24T13:23:54"/>
    <x v="4"/>
    <s v="Plaquettes de finition"/>
    <s v="230525"/>
    <s v="SOULAS YANIS"/>
    <n v="5"/>
    <x v="0"/>
    <x v="2"/>
    <s v="PLAQUETTES"/>
    <x v="1"/>
    <n v="47.8"/>
  </r>
  <r>
    <d v="2025-06-25T00:08:03"/>
    <x v="4"/>
    <s v="Plaquettes de finition"/>
    <s v="u134838"/>
    <s v="DANAH STEPHANIE"/>
    <n v="5"/>
    <x v="0"/>
    <x v="2"/>
    <s v="PLAQUETTES"/>
    <x v="1"/>
    <n v="47.8"/>
  </r>
  <r>
    <d v="2025-02-17T05:05:37"/>
    <x v="2"/>
    <s v="Plaquettes d'ébauches rhombiques"/>
    <s v="SIEGEL F"/>
    <s v="SIEGEL FRANCK"/>
    <n v="10"/>
    <x v="1"/>
    <x v="1"/>
    <s v="PLAQUETTES"/>
    <x v="0"/>
    <n v="70"/>
  </r>
  <r>
    <d v="2025-02-17T05:05:50"/>
    <x v="1"/>
    <s v="Plaquettes d'ébauches carrées"/>
    <s v="SIEGEL F"/>
    <s v="SIEGEL FRANCK"/>
    <n v="10"/>
    <x v="1"/>
    <x v="1"/>
    <s v="PLAQUETTES"/>
    <x v="0"/>
    <n v="71.2"/>
  </r>
  <r>
    <d v="2025-02-17T05:06:07"/>
    <x v="6"/>
    <s v="Plaquettes de finition positives"/>
    <s v="SIEGEL F"/>
    <s v="SIEGEL FRANCK"/>
    <n v="10"/>
    <x v="1"/>
    <x v="2"/>
    <s v="PLAQUETTES"/>
    <x v="0"/>
    <n v="87"/>
  </r>
  <r>
    <d v="2025-02-17T05:06:27"/>
    <x v="10"/>
    <s v="Plaquettes de finition"/>
    <s v="SIEGEL F"/>
    <s v="SIEGEL FRANCK"/>
    <n v="10"/>
    <x v="1"/>
    <x v="2"/>
    <s v="PLAQUETTES"/>
    <x v="0"/>
    <n v="109.7"/>
  </r>
  <r>
    <d v="2025-02-17T05:06:41"/>
    <x v="7"/>
    <s v="Plaquettes de finition triangulaires"/>
    <s v="SIEGEL F"/>
    <s v="SIEGEL FRANCK"/>
    <n v="10"/>
    <x v="1"/>
    <x v="2"/>
    <s v="PLAQUETTES"/>
    <x v="0"/>
    <n v="138.80000000000001"/>
  </r>
  <r>
    <d v="2025-02-17T10:39:09"/>
    <x v="6"/>
    <s v="Plaquettes de finition positives"/>
    <s v="100225"/>
    <s v="PRUNEAU WILLIAM"/>
    <n v="10"/>
    <x v="3"/>
    <x v="2"/>
    <s v="PLAQUETTES"/>
    <x v="3"/>
    <n v="87"/>
  </r>
  <r>
    <d v="2025-02-17T13:26:10"/>
    <x v="4"/>
    <s v="Plaquettes de finition"/>
    <s v="VERGE G"/>
    <s v="VERGE GREGORY"/>
    <n v="5"/>
    <x v="2"/>
    <x v="2"/>
    <s v="PLAQUETTES"/>
    <x v="1"/>
    <n v="47.8"/>
  </r>
  <r>
    <d v="2025-02-17T13:26:24"/>
    <x v="2"/>
    <s v="Plaquettes d'ébauches rhombiques"/>
    <s v="VERGE G"/>
    <s v="VERGE GREGORY"/>
    <n v="10"/>
    <x v="3"/>
    <x v="0"/>
    <s v="PLAQUETTES"/>
    <x v="0"/>
    <n v="70"/>
  </r>
  <r>
    <d v="2025-02-17T13:26:38"/>
    <x v="1"/>
    <s v="Plaquettes d'ébauches carrées"/>
    <s v="VERGE G"/>
    <s v="VERGE GREGORY"/>
    <n v="10"/>
    <x v="3"/>
    <x v="0"/>
    <s v="PLAQUETTES"/>
    <x v="0"/>
    <n v="71.2"/>
  </r>
  <r>
    <d v="2025-02-17T14:40:11"/>
    <x v="4"/>
    <s v="Plaquettes de finition"/>
    <s v="J534699"/>
    <s v="CHARTON FABIAN"/>
    <n v="5"/>
    <x v="2"/>
    <x v="2"/>
    <s v="PLAQUETTES"/>
    <x v="1"/>
    <n v="47.8"/>
  </r>
  <r>
    <d v="2025-02-17T14:40:43"/>
    <x v="2"/>
    <s v="Plaquettes d'ébauches rhombiques"/>
    <s v="J534699"/>
    <s v="CHARTON FABIAN"/>
    <n v="10"/>
    <x v="2"/>
    <x v="2"/>
    <s v="PLAQUETTES"/>
    <x v="1"/>
    <n v="70"/>
  </r>
  <r>
    <d v="2025-06-25T15:39:20"/>
    <x v="10"/>
    <s v="Plaquettes de finition"/>
    <s v="j529800"/>
    <s v="MONTCHARMONT BAPTISTE"/>
    <n v="10"/>
    <x v="0"/>
    <x v="2"/>
    <s v="PLAQUETTES"/>
    <x v="0"/>
    <n v="109.7"/>
  </r>
  <r>
    <d v="2025-02-17T21:14:46"/>
    <x v="6"/>
    <s v="Plaquettes de finition positives"/>
    <s v="u134838"/>
    <s v="DANAH STEPHANIE"/>
    <n v="10"/>
    <x v="3"/>
    <x v="2"/>
    <s v="PLAQUETTES"/>
    <x v="3"/>
    <n v="87"/>
  </r>
  <r>
    <d v="2025-02-17T21:16:36"/>
    <x v="4"/>
    <s v="Plaquettes de finition"/>
    <s v="u134838"/>
    <s v="DANAH STEPHANIE"/>
    <n v="5"/>
    <x v="2"/>
    <x v="2"/>
    <s v="PLAQUETTES"/>
    <x v="1"/>
    <n v="47.8"/>
  </r>
  <r>
    <d v="2025-02-17T21:17:05"/>
    <x v="9"/>
    <s v="Plaquettes rhombiques"/>
    <s v="u134838"/>
    <s v="DANAH STEPHANIE"/>
    <n v="5"/>
    <x v="2"/>
    <x v="2"/>
    <s v="PLAQUETTES"/>
    <x v="1"/>
    <n v="44.85"/>
  </r>
  <r>
    <d v="2025-06-25T21:19:38"/>
    <x v="10"/>
    <s v="Plaquettes de finition"/>
    <s v="u134838"/>
    <s v="DANAH STEPHANIE"/>
    <n v="10"/>
    <x v="0"/>
    <x v="2"/>
    <s v="PLAQUETTES"/>
    <x v="0"/>
    <n v="109.7"/>
  </r>
  <r>
    <d v="2025-07-09T05:55:26"/>
    <x v="10"/>
    <s v="Plaquettes de finition"/>
    <s v="u134838"/>
    <s v="DANAH STEPHANIE"/>
    <n v="10"/>
    <x v="0"/>
    <x v="2"/>
    <s v="PLAQUETTES"/>
    <x v="0"/>
    <n v="109.7"/>
  </r>
  <r>
    <d v="2025-02-18T05:11:44"/>
    <x v="6"/>
    <s v="Plaquettes de finition positives"/>
    <s v="SD13196"/>
    <s v="FRADIN MAXIME"/>
    <n v="10"/>
    <x v="3"/>
    <x v="2"/>
    <s v="PLAQUETTES"/>
    <x v="3"/>
    <n v="87"/>
  </r>
  <r>
    <d v="2025-02-18T05:12:02"/>
    <x v="7"/>
    <s v="Plaquettes de finition triangulaires"/>
    <s v="SD13196"/>
    <s v="FRADIN MAXIME"/>
    <n v="10"/>
    <x v="3"/>
    <x v="2"/>
    <s v="PLAQUETTES"/>
    <x v="3"/>
    <n v="138.80000000000001"/>
  </r>
  <r>
    <d v="2025-02-18T05:12:23"/>
    <x v="10"/>
    <s v="Plaquettes de finition"/>
    <s v="SD13196"/>
    <s v="FRADIN MAXIME"/>
    <n v="10"/>
    <x v="3"/>
    <x v="2"/>
    <s v="PLAQUETTES"/>
    <x v="3"/>
    <n v="109.7"/>
  </r>
  <r>
    <d v="2025-02-18T05:13:09"/>
    <x v="2"/>
    <s v="Plaquettes d'ébauches rhombiques"/>
    <s v="SD13196"/>
    <s v="FRADIN MAXIME"/>
    <n v="10"/>
    <x v="3"/>
    <x v="1"/>
    <s v="PLAQUETTES"/>
    <x v="3"/>
    <n v="70"/>
  </r>
  <r>
    <d v="2025-02-18T05:13:49"/>
    <x v="4"/>
    <s v="Plaquettes de finition"/>
    <s v="SD13196"/>
    <s v="FRADIN MAXIME"/>
    <n v="5"/>
    <x v="2"/>
    <x v="2"/>
    <s v="PLAQUETTES"/>
    <x v="1"/>
    <n v="47.8"/>
  </r>
  <r>
    <d v="2025-02-18T13:31:59"/>
    <x v="6"/>
    <s v="Plaquettes de finition positives"/>
    <s v="VERGE G"/>
    <s v="VERGE GREGORY"/>
    <n v="10"/>
    <x v="3"/>
    <x v="2"/>
    <s v="PLAQUETTES"/>
    <x v="3"/>
    <n v="87"/>
  </r>
  <r>
    <d v="2025-02-18T13:32:45"/>
    <x v="4"/>
    <s v="Plaquettes de finition"/>
    <s v="VERGE G"/>
    <s v="VERGE GREGORY"/>
    <n v="5"/>
    <x v="2"/>
    <x v="2"/>
    <s v="PLAQUETTES"/>
    <x v="1"/>
    <n v="47.8"/>
  </r>
  <r>
    <d v="2025-02-18T13:33:16"/>
    <x v="4"/>
    <s v="Plaquettes de finition"/>
    <s v="VERGE G"/>
    <s v="VERGE GREGORY"/>
    <n v="5"/>
    <x v="2"/>
    <x v="2"/>
    <s v="PLAQUETTES"/>
    <x v="1"/>
    <n v="47.8"/>
  </r>
  <r>
    <d v="2025-07-11T14:01:16"/>
    <x v="10"/>
    <s v="Plaquettes de finition"/>
    <s v="SD13196"/>
    <s v="FRADIN MAXIME"/>
    <n v="10"/>
    <x v="0"/>
    <x v="2"/>
    <s v="PLAQUETTES"/>
    <x v="0"/>
    <n v="109.7"/>
  </r>
  <r>
    <d v="2025-07-11T23:01:04"/>
    <x v="10"/>
    <s v="Plaquettes de finition"/>
    <s v="230525"/>
    <s v="SOULAS YANIS"/>
    <n v="10"/>
    <x v="0"/>
    <x v="2"/>
    <s v="PLAQUETTES"/>
    <x v="0"/>
    <n v="109.7"/>
  </r>
  <r>
    <d v="2025-02-18T15:55:30"/>
    <x v="2"/>
    <s v="Plaquettes d'ébauches rhombiques"/>
    <s v="VERGE G"/>
    <s v="VERGE GREGORY"/>
    <n v="10"/>
    <x v="2"/>
    <x v="1"/>
    <s v="PLAQUETTES"/>
    <x v="1"/>
    <n v="70"/>
  </r>
  <r>
    <d v="2025-02-18T15:55:53"/>
    <x v="1"/>
    <s v="Plaquettes d'ébauches carrées"/>
    <s v="VERGE G"/>
    <s v="VERGE GREGORY"/>
    <n v="10"/>
    <x v="2"/>
    <x v="1"/>
    <s v="PLAQUETTES"/>
    <x v="5"/>
    <n v="71.2"/>
  </r>
  <r>
    <d v="2025-02-18T19:46:29"/>
    <x v="4"/>
    <s v="Plaquettes de finition"/>
    <s v="J534699"/>
    <s v="CHARTON FABIAN"/>
    <n v="5"/>
    <x v="1"/>
    <x v="2"/>
    <s v="PLAQUETTES"/>
    <x v="2"/>
    <n v="47.8"/>
  </r>
  <r>
    <d v="2025-02-18T19:46:59"/>
    <x v="1"/>
    <s v="Plaquettes d'ébauches carrées"/>
    <s v="J534699"/>
    <s v="CHARTON FABIAN"/>
    <n v="10"/>
    <x v="1"/>
    <x v="0"/>
    <s v="PLAQUETTES"/>
    <x v="2"/>
    <n v="71.2"/>
  </r>
  <r>
    <d v="2025-02-18T21:20:33"/>
    <x v="6"/>
    <s v="Plaquettes de finition positives"/>
    <s v="u134838"/>
    <s v="DANAH STEPHANIE"/>
    <n v="10"/>
    <x v="1"/>
    <x v="2"/>
    <s v="PLAQUETTES"/>
    <x v="0"/>
    <n v="87"/>
  </r>
  <r>
    <d v="2025-07-24T17:40:25"/>
    <x v="4"/>
    <s v="Plaquettes de finition"/>
    <s v="u134838"/>
    <s v="DANAH STEPHANIE"/>
    <n v="5"/>
    <x v="0"/>
    <x v="2"/>
    <s v="PLAQUETTES"/>
    <x v="1"/>
    <n v="47.8"/>
  </r>
  <r>
    <d v="2025-07-25T12:44:15"/>
    <x v="4"/>
    <s v="Plaquettes de finition"/>
    <s v="U518765"/>
    <s v="ROY ADELINE"/>
    <n v="5"/>
    <x v="0"/>
    <x v="2"/>
    <s v="PLAQUETTES"/>
    <x v="1"/>
    <n v="47.8"/>
  </r>
  <r>
    <d v="2025-07-25T19:36:08"/>
    <x v="4"/>
    <s v="Plaquettes de finition"/>
    <s v="u134838"/>
    <s v="DANAH STEPHANIE"/>
    <n v="5"/>
    <x v="0"/>
    <x v="2"/>
    <s v="PLAQUETTES"/>
    <x v="1"/>
    <n v="47.8"/>
  </r>
  <r>
    <d v="2025-07-27T15:48:04"/>
    <x v="4"/>
    <s v="Plaquettes de finition"/>
    <s v="U518765"/>
    <s v="ROY ADELINE"/>
    <n v="5"/>
    <x v="0"/>
    <x v="2"/>
    <s v="PLAQUETTES"/>
    <x v="1"/>
    <n v="47.8"/>
  </r>
  <r>
    <d v="2025-07-27T15:48:22"/>
    <x v="4"/>
    <s v="Plaquettes de finition"/>
    <s v="U518765"/>
    <s v="ROY ADELINE"/>
    <n v="5"/>
    <x v="0"/>
    <x v="2"/>
    <s v="PLAQUETTES"/>
    <x v="1"/>
    <n v="47.8"/>
  </r>
  <r>
    <d v="2025-08-21T21:26:41"/>
    <x v="10"/>
    <s v="Plaquettes de finition"/>
    <s v="J519914"/>
    <s v="MARLY DAVID"/>
    <n v="10"/>
    <x v="0"/>
    <x v="2"/>
    <s v="PLAQUETTES"/>
    <x v="0"/>
    <n v="109.7"/>
  </r>
  <r>
    <d v="2025-08-25T21:17:04"/>
    <x v="10"/>
    <s v="Plaquettes de finition"/>
    <s v="230525"/>
    <s v="SOULAS YANIS"/>
    <n v="10"/>
    <x v="0"/>
    <x v="2"/>
    <s v="PLAQUETTES"/>
    <x v="0"/>
    <n v="109.7"/>
  </r>
  <r>
    <d v="2025-02-19T06:08:21"/>
    <x v="2"/>
    <s v="Plaquettes d'ébauches rhombiques"/>
    <s v="SIEGEL F"/>
    <s v="SIEGEL FRANCK"/>
    <n v="10"/>
    <x v="1"/>
    <x v="1"/>
    <s v="PLAQUETTES"/>
    <x v="0"/>
    <n v="70"/>
  </r>
  <r>
    <d v="2025-02-19T06:08:39"/>
    <x v="1"/>
    <s v="Plaquettes d'ébauches carrées"/>
    <s v="SIEGEL F"/>
    <s v="SIEGEL FRANCK"/>
    <n v="10"/>
    <x v="1"/>
    <x v="1"/>
    <s v="PLAQUETTES"/>
    <x v="0"/>
    <n v="71.2"/>
  </r>
  <r>
    <d v="2025-02-19T06:09:01"/>
    <x v="6"/>
    <s v="Plaquettes de finition positives"/>
    <s v="SIEGEL F"/>
    <s v="SIEGEL FRANCK"/>
    <n v="10"/>
    <x v="1"/>
    <x v="2"/>
    <s v="PLAQUETTES"/>
    <x v="0"/>
    <n v="87"/>
  </r>
  <r>
    <d v="2025-02-19T06:09:29"/>
    <x v="2"/>
    <s v="Plaquettes d'ébauches rhombiques"/>
    <s v="100225"/>
    <s v="PRUNEAU WILLIAM"/>
    <n v="10"/>
    <x v="2"/>
    <x v="1"/>
    <s v="PLAQUETTES"/>
    <x v="1"/>
    <n v="70"/>
  </r>
  <r>
    <d v="2025-02-19T07:34:05"/>
    <x v="6"/>
    <s v="Plaquettes de finition positives"/>
    <s v="SD13196"/>
    <s v="FRADIN MAXIME"/>
    <n v="10"/>
    <x v="3"/>
    <x v="2"/>
    <s v="PLAQUETTES"/>
    <x v="3"/>
    <n v="87"/>
  </r>
  <r>
    <d v="2025-02-19T13:59:05"/>
    <x v="2"/>
    <s v="Plaquettes d'ébauches rhombiques"/>
    <s v="VERGE G"/>
    <s v="VERGE GREGORY"/>
    <n v="10"/>
    <x v="2"/>
    <x v="1"/>
    <s v="PLAQUETTES"/>
    <x v="1"/>
    <n v="70"/>
  </r>
  <r>
    <d v="2025-02-19T13:59:29"/>
    <x v="3"/>
    <s v="Plaquettes rondes"/>
    <s v="VERGE G"/>
    <s v="VERGE GREGORY"/>
    <n v="10"/>
    <x v="2"/>
    <x v="0"/>
    <s v="PLAQUETTES"/>
    <x v="1"/>
    <n v="136.69999999999999"/>
  </r>
  <r>
    <d v="2025-02-19T13:59:46"/>
    <x v="5"/>
    <s v="Plaquettes rondes"/>
    <s v="VERGE G"/>
    <s v="VERGE GREGORY"/>
    <n v="10"/>
    <x v="2"/>
    <x v="0"/>
    <s v="PLAQUETTES"/>
    <x v="1"/>
    <n v="108.5"/>
  </r>
  <r>
    <d v="2025-02-19T14:00:03"/>
    <x v="6"/>
    <s v="Plaquettes de finition positives"/>
    <s v="VERGE G"/>
    <s v="VERGE GREGORY"/>
    <n v="10"/>
    <x v="3"/>
    <x v="2"/>
    <s v="PLAQUETTES"/>
    <x v="0"/>
    <n v="87"/>
  </r>
  <r>
    <d v="2025-08-29T22:57:37"/>
    <x v="10"/>
    <s v="Plaquettes de finition"/>
    <s v="J519914"/>
    <s v="MARLY DAVID"/>
    <n v="10"/>
    <x v="0"/>
    <x v="2"/>
    <s v="PLAQUETTES"/>
    <x v="0"/>
    <n v="109.7"/>
  </r>
  <r>
    <d v="2025-02-20T00:23:06"/>
    <x v="6"/>
    <s v="Plaquettes de finition positives"/>
    <s v="100125"/>
    <s v="MEUNIER Louis"/>
    <n v="10"/>
    <x v="1"/>
    <x v="2"/>
    <s v="PLAQUETTES"/>
    <x v="0"/>
    <n v="87"/>
  </r>
  <r>
    <d v="2025-09-01T11:47:45"/>
    <x v="10"/>
    <s v="Plaquettes de finition"/>
    <s v="u134838"/>
    <s v="DANAH STEPHANIE"/>
    <n v="10"/>
    <x v="0"/>
    <x v="2"/>
    <s v="PLAQUETTES"/>
    <x v="0"/>
    <n v="109.7"/>
  </r>
  <r>
    <d v="2025-02-20T05:09:51"/>
    <x v="4"/>
    <s v="Plaquettes de finition"/>
    <s v="100225"/>
    <s v="PRUNEAU WILLIAM"/>
    <n v="5"/>
    <x v="2"/>
    <x v="2"/>
    <s v="PLAQUETTES"/>
    <x v="1"/>
    <n v="47.8"/>
  </r>
  <r>
    <d v="2025-02-20T05:10:14"/>
    <x v="6"/>
    <s v="Plaquettes de finition positives"/>
    <s v="100225"/>
    <s v="PRUNEAU WILLIAM"/>
    <n v="10"/>
    <x v="3"/>
    <x v="2"/>
    <s v="PLAQUETTES"/>
    <x v="3"/>
    <n v="87"/>
  </r>
  <r>
    <d v="2025-02-20T13:28:27"/>
    <x v="6"/>
    <s v="Plaquettes de finition positives"/>
    <s v="VERGE G"/>
    <s v="VERGE GREGORY"/>
    <n v="10"/>
    <x v="3"/>
    <x v="2"/>
    <s v="PLAQUETTES"/>
    <x v="3"/>
    <n v="87"/>
  </r>
  <r>
    <d v="2025-02-20T13:28:42"/>
    <x v="2"/>
    <s v="Plaquettes d'ébauches rhombiques"/>
    <s v="VERGE G"/>
    <s v="VERGE GREGORY"/>
    <n v="10"/>
    <x v="3"/>
    <x v="0"/>
    <s v="PLAQUETTES"/>
    <x v="3"/>
    <n v="70"/>
  </r>
  <r>
    <d v="2025-02-20T13:29:04"/>
    <x v="1"/>
    <s v="Plaquettes d'ébauches carrées"/>
    <s v="VERGE G"/>
    <s v="VERGE GREGORY"/>
    <n v="10"/>
    <x v="3"/>
    <x v="0"/>
    <s v="PLAQUETTES"/>
    <x v="3"/>
    <n v="71.2"/>
  </r>
  <r>
    <d v="2025-09-03T05:42:07"/>
    <x v="10"/>
    <s v="Plaquettes de finition"/>
    <s v="u134838"/>
    <s v="DANAH STEPHANIE"/>
    <n v="10"/>
    <x v="0"/>
    <x v="2"/>
    <s v="PLAQUETTES"/>
    <x v="0"/>
    <n v="109.7"/>
  </r>
  <r>
    <d v="2025-09-11T10:38:41"/>
    <x v="4"/>
    <s v="Plaquettes de finition"/>
    <s v="12824586"/>
    <s v="DA SILVA FERNANDO"/>
    <n v="5"/>
    <x v="0"/>
    <x v="2"/>
    <s v="PLAQUETTES"/>
    <x v="4"/>
    <n v="47.8"/>
  </r>
  <r>
    <d v="2025-02-20T13:34:17"/>
    <x v="5"/>
    <s v="Plaquettes rondes"/>
    <s v="080924"/>
    <s v="DABLEMONT AURELIEN"/>
    <n v="10"/>
    <x v="1"/>
    <x v="0"/>
    <s v="PLAQUETTES"/>
    <x v="0"/>
    <n v="108.5"/>
  </r>
  <r>
    <d v="2025-09-12T05:35:42"/>
    <x v="10"/>
    <s v="Plaquettes de finition"/>
    <s v="U054304"/>
    <s v="BOUACHIK HICHAM"/>
    <n v="10"/>
    <x v="0"/>
    <x v="2"/>
    <s v="PLAQUETTES"/>
    <x v="0"/>
    <n v="109.7"/>
  </r>
  <r>
    <d v="2025-09-14T05:37:13"/>
    <x v="10"/>
    <s v="Plaquettes de finition"/>
    <s v="J534699"/>
    <s v="CHARTON FABIAN"/>
    <n v="10"/>
    <x v="0"/>
    <x v="2"/>
    <s v="PLAQUETTES"/>
    <x v="0"/>
    <n v="109.7"/>
  </r>
  <r>
    <d v="2025-09-15T06:41:29"/>
    <x v="10"/>
    <s v="Plaquettes de finition"/>
    <s v="u134838"/>
    <s v="DANAH STEPHANIE"/>
    <n v="10"/>
    <x v="0"/>
    <x v="2"/>
    <s v="PLAQUETTES"/>
    <x v="0"/>
    <n v="109.7"/>
  </r>
  <r>
    <d v="2025-09-17T06:49:33"/>
    <x v="10"/>
    <s v="Plaquettes de finition"/>
    <s v="u134838"/>
    <s v="DANAH STEPHANIE"/>
    <n v="10"/>
    <x v="0"/>
    <x v="2"/>
    <s v="PLAQUETTES"/>
    <x v="0"/>
    <n v="109.7"/>
  </r>
  <r>
    <d v="2025-02-20T23:15:28"/>
    <x v="6"/>
    <s v="Plaquettes de finition positives"/>
    <s v="100125"/>
    <s v="MEUNIER Louis"/>
    <n v="10"/>
    <x v="1"/>
    <x v="2"/>
    <s v="PLAQUETTES"/>
    <x v="0"/>
    <n v="87"/>
  </r>
  <r>
    <d v="2025-02-21T06:26:04"/>
    <x v="6"/>
    <s v="Plaquettes de finition positives"/>
    <s v="U534565"/>
    <s v="HOAREAU MARIUS"/>
    <n v="10"/>
    <x v="3"/>
    <x v="2"/>
    <s v="PLAQUETTES"/>
    <x v="3"/>
    <n v="87"/>
  </r>
  <r>
    <d v="2025-02-21T06:26:42"/>
    <x v="2"/>
    <s v="Plaquettes d'ébauches rhombiques"/>
    <s v="U534565"/>
    <s v="HOAREAU MARIUS"/>
    <n v="10"/>
    <x v="3"/>
    <x v="0"/>
    <s v="PLAQUETTES"/>
    <x v="3"/>
    <n v="70"/>
  </r>
  <r>
    <d v="2025-02-21T10:19:39"/>
    <x v="6"/>
    <s v="Plaquettes de finition positives"/>
    <s v="U518765"/>
    <s v="ROY ADELINE"/>
    <n v="10"/>
    <x v="1"/>
    <x v="2"/>
    <s v="PLAQUETTES"/>
    <x v="0"/>
    <n v="87"/>
  </r>
  <r>
    <d v="2025-09-18T08:09:32"/>
    <x v="10"/>
    <s v="Plaquettes de finition"/>
    <s v="u134838"/>
    <s v="DANAH STEPHANIE"/>
    <n v="10"/>
    <x v="0"/>
    <x v="2"/>
    <s v="PLAQUETTES"/>
    <x v="0"/>
    <n v="109.7"/>
  </r>
  <r>
    <d v="2025-02-21T13:28:37"/>
    <x v="1"/>
    <s v="Plaquettes d'ébauches carrées"/>
    <s v="080924"/>
    <s v="DABLEMONT AURELIEN"/>
    <n v="10"/>
    <x v="1"/>
    <x v="0"/>
    <s v="PLAQUETTES"/>
    <x v="0"/>
    <n v="71.2"/>
  </r>
  <r>
    <d v="2025-02-21T13:28:58"/>
    <x v="6"/>
    <s v="Plaquettes de finition positives"/>
    <s v="080924"/>
    <s v="DABLEMONT AURELIEN"/>
    <n v="10"/>
    <x v="1"/>
    <x v="2"/>
    <s v="PLAQUETTES"/>
    <x v="0"/>
    <n v="87"/>
  </r>
  <r>
    <d v="2025-09-29T06:36:08"/>
    <x v="10"/>
    <s v="Plaquettes de finition"/>
    <s v="u134838"/>
    <s v="DANAH STEPHANIE"/>
    <n v="10"/>
    <x v="0"/>
    <x v="2"/>
    <s v="PLAQUETTES"/>
    <x v="0"/>
    <n v="109.7"/>
  </r>
  <r>
    <d v="2025-02-21T17:41:41"/>
    <x v="10"/>
    <s v="Plaquettes de finition"/>
    <s v="VERGE G"/>
    <s v="VERGE GREGORY"/>
    <n v="10"/>
    <x v="3"/>
    <x v="2"/>
    <s v="PLAQUETTES"/>
    <x v="3"/>
    <n v="109.7"/>
  </r>
  <r>
    <d v="2025-02-21T17:41:55"/>
    <x v="6"/>
    <s v="Plaquettes de finition positives"/>
    <s v="VERGE G"/>
    <s v="VERGE GREGORY"/>
    <n v="10"/>
    <x v="3"/>
    <x v="2"/>
    <s v="PLAQUETTES"/>
    <x v="3"/>
    <n v="87"/>
  </r>
  <r>
    <d v="2025-02-21T17:42:09"/>
    <x v="1"/>
    <s v="Plaquettes d'ébauches carrées"/>
    <s v="VERGE G"/>
    <s v="VERGE GREGORY"/>
    <n v="10"/>
    <x v="3"/>
    <x v="1"/>
    <s v="PLAQUETTES"/>
    <x v="3"/>
    <n v="71.2"/>
  </r>
  <r>
    <d v="2025-02-21T17:42:22"/>
    <x v="2"/>
    <s v="Plaquettes d'ébauches rhombiques"/>
    <s v="VERGE G"/>
    <s v="VERGE GREGORY"/>
    <n v="10"/>
    <x v="1"/>
    <x v="1"/>
    <s v="PLAQUETTES"/>
    <x v="0"/>
    <n v="70"/>
  </r>
  <r>
    <d v="2025-02-21T21:13:47"/>
    <x v="10"/>
    <s v="Plaquettes de finition"/>
    <s v="100125"/>
    <s v="MEUNIER Louis"/>
    <n v="10"/>
    <x v="1"/>
    <x v="2"/>
    <s v="PLAQUETTES"/>
    <x v="0"/>
    <n v="109.7"/>
  </r>
  <r>
    <d v="2025-10-05T05:34:33"/>
    <x v="10"/>
    <s v="Plaquettes de finition"/>
    <s v="U534565"/>
    <s v="HOAREAU MARIUS"/>
    <n v="10"/>
    <x v="0"/>
    <x v="2"/>
    <s v="PLAQUETTES"/>
    <x v="0"/>
    <n v="109.7"/>
  </r>
  <r>
    <d v="2025-10-08T08:43:49"/>
    <x v="4"/>
    <s v="Plaquettes de finition"/>
    <s v="SD13196"/>
    <s v="FRADIN MAXIME"/>
    <n v="5"/>
    <x v="0"/>
    <x v="2"/>
    <s v="PLAQUETTES"/>
    <x v="1"/>
    <n v="47.8"/>
  </r>
  <r>
    <d v="2025-10-08T21:55:59"/>
    <x v="4"/>
    <s v="Plaquettes de finition"/>
    <s v="230525"/>
    <s v="SOULAS YANIS"/>
    <n v="5"/>
    <x v="0"/>
    <x v="2"/>
    <s v="PLAQUETTES"/>
    <x v="1"/>
    <n v="47.8"/>
  </r>
  <r>
    <d v="2025-02-22T07:42:39"/>
    <x v="1"/>
    <s v="Plaquettes d'ébauches carrées"/>
    <s v="U518765"/>
    <s v="ROY ADELINE"/>
    <n v="10"/>
    <x v="1"/>
    <x v="0"/>
    <s v="PLAQUETTES"/>
    <x v="0"/>
    <n v="71.2"/>
  </r>
  <r>
    <d v="2025-02-22T08:47:58"/>
    <x v="8"/>
    <s v="Plaquettes rhombiques"/>
    <s v="U534565"/>
    <s v="HOAREAU MARIUS"/>
    <n v="5"/>
    <x v="2"/>
    <x v="2"/>
    <s v="PLAQUETTES"/>
    <x v="1"/>
    <n v="18.399999999999999"/>
  </r>
  <r>
    <d v="2025-02-22T08:48:19"/>
    <x v="6"/>
    <s v="Plaquettes de finition positives"/>
    <s v="U534565"/>
    <s v="HOAREAU MARIUS"/>
    <n v="10"/>
    <x v="3"/>
    <x v="2"/>
    <s v="PLAQUETTES"/>
    <x v="3"/>
    <n v="87"/>
  </r>
  <r>
    <d v="2025-02-22T08:48:41"/>
    <x v="2"/>
    <s v="Plaquettes d'ébauches rhombiques"/>
    <s v="U534565"/>
    <s v="HOAREAU MARIUS"/>
    <n v="10"/>
    <x v="3"/>
    <x v="0"/>
    <s v="PLAQUETTES"/>
    <x v="3"/>
    <n v="70"/>
  </r>
  <r>
    <d v="2025-02-22T17:25:31"/>
    <x v="6"/>
    <s v="Plaquettes de finition positives"/>
    <s v="U198152"/>
    <s v="AJMIK MUSTAPHA"/>
    <n v="10"/>
    <x v="3"/>
    <x v="2"/>
    <s v="PLAQUETTES"/>
    <x v="3"/>
    <n v="87"/>
  </r>
  <r>
    <d v="2025-02-22T17:25:55"/>
    <x v="4"/>
    <s v="Plaquettes de finition"/>
    <s v="U198152"/>
    <s v="AJMIK MUSTAPHA"/>
    <n v="5"/>
    <x v="2"/>
    <x v="2"/>
    <s v="PLAQUETTES"/>
    <x v="1"/>
    <n v="47.8"/>
  </r>
  <r>
    <d v="2025-02-22T17:26:23"/>
    <x v="5"/>
    <s v="Plaquettes rondes"/>
    <s v="U198152"/>
    <s v="AJMIK MUSTAPHA"/>
    <n v="10"/>
    <x v="3"/>
    <x v="0"/>
    <s v="PLAQUETTES"/>
    <x v="3"/>
    <n v="108.5"/>
  </r>
  <r>
    <d v="2025-10-09T07:00:02"/>
    <x v="4"/>
    <s v="Plaquettes de finition"/>
    <s v="SD13196"/>
    <s v="FRADIN MAXIME"/>
    <n v="5"/>
    <x v="0"/>
    <x v="2"/>
    <s v="PLAQUETTES"/>
    <x v="1"/>
    <n v="47.8"/>
  </r>
  <r>
    <d v="2025-02-22T18:46:45"/>
    <x v="2"/>
    <s v="Plaquettes d'ébauches rhombiques"/>
    <s v="J519914"/>
    <s v="MARLY DAVID"/>
    <n v="10"/>
    <x v="1"/>
    <x v="0"/>
    <s v="PLAQUETTES"/>
    <x v="0"/>
    <n v="70"/>
  </r>
  <r>
    <d v="2025-10-09T23:17:37"/>
    <x v="4"/>
    <s v="Plaquettes de finition"/>
    <s v="J519914"/>
    <s v="MARLY DAVID"/>
    <n v="5"/>
    <x v="0"/>
    <x v="2"/>
    <s v="PLAQUETTES"/>
    <x v="1"/>
    <n v="47.8"/>
  </r>
  <r>
    <d v="2025-10-10T10:44:47"/>
    <x v="4"/>
    <s v="Plaquettes de finition"/>
    <s v="U518765"/>
    <s v="ROY ADELINE"/>
    <n v="5"/>
    <x v="0"/>
    <x v="2"/>
    <s v="PLAQUETTES"/>
    <x v="1"/>
    <n v="47.8"/>
  </r>
  <r>
    <d v="2025-02-22T18:47:46"/>
    <x v="1"/>
    <s v="Plaquettes d'ébauches carrées"/>
    <s v="J519914"/>
    <s v="MARLY DAVID"/>
    <n v="10"/>
    <x v="1"/>
    <x v="0"/>
    <s v="PLAQUETTES"/>
    <x v="0"/>
    <n v="71.2"/>
  </r>
  <r>
    <d v="2025-02-23T06:36:13"/>
    <x v="3"/>
    <s v="Plaquettes rondes"/>
    <s v="U534565"/>
    <s v="HOAREAU MARIUS"/>
    <n v="10"/>
    <x v="2"/>
    <x v="0"/>
    <s v="PLAQUETTES"/>
    <x v="1"/>
    <n v="136.69999999999999"/>
  </r>
  <r>
    <d v="2025-02-23T06:36:49"/>
    <x v="4"/>
    <s v="Plaquettes de finition"/>
    <s v="U534565"/>
    <s v="HOAREAU MARIUS"/>
    <n v="5"/>
    <x v="2"/>
    <x v="2"/>
    <s v="PLAQUETTES"/>
    <x v="1"/>
    <n v="47.8"/>
  </r>
  <r>
    <d v="2025-02-23T06:37:13"/>
    <x v="6"/>
    <s v="Plaquettes de finition positives"/>
    <s v="U534565"/>
    <s v="HOAREAU MARIUS"/>
    <n v="10"/>
    <x v="3"/>
    <x v="2"/>
    <s v="PLAQUETTES"/>
    <x v="3"/>
    <n v="87"/>
  </r>
  <r>
    <d v="2025-02-23T07:50:28"/>
    <x v="6"/>
    <s v="Plaquettes de finition positives"/>
    <s v="U518765"/>
    <s v="ROY ADELINE"/>
    <n v="10"/>
    <x v="1"/>
    <x v="2"/>
    <s v="PLAQUETTES"/>
    <x v="0"/>
    <n v="87"/>
  </r>
  <r>
    <d v="2025-10-11T07:43:17"/>
    <x v="4"/>
    <s v="Plaquettes de finition"/>
    <s v="U080365"/>
    <s v="ALAVOINE SAMUEL"/>
    <n v="5"/>
    <x v="0"/>
    <x v="2"/>
    <s v="PLAQUETTES"/>
    <x v="1"/>
    <n v="47.8"/>
  </r>
  <r>
    <d v="2025-10-11T19:40:20"/>
    <x v="4"/>
    <s v="Plaquettes de finition"/>
    <s v="U518765"/>
    <s v="ROY ADELINE"/>
    <n v="5"/>
    <x v="0"/>
    <x v="2"/>
    <s v="PLAQUETTES"/>
    <x v="1"/>
    <n v="47.8"/>
  </r>
  <r>
    <d v="2025-02-23T16:51:39"/>
    <x v="9"/>
    <s v="Plaquettes rhombiques"/>
    <s v="U198152"/>
    <s v="AJMIK MUSTAPHA"/>
    <n v="5"/>
    <x v="2"/>
    <x v="2"/>
    <s v="PLAQUETTES"/>
    <x v="1"/>
    <n v="44.85"/>
  </r>
  <r>
    <d v="2025-02-23T16:52:00"/>
    <x v="8"/>
    <s v="Plaquettes rhombiques"/>
    <s v="U198152"/>
    <s v="AJMIK MUSTAPHA"/>
    <n v="5"/>
    <x v="2"/>
    <x v="2"/>
    <s v="PLAQUETTES"/>
    <x v="1"/>
    <n v="18.399999999999999"/>
  </r>
  <r>
    <d v="2025-02-23T16:52:25"/>
    <x v="6"/>
    <s v="Plaquettes de finition positives"/>
    <s v="U198152"/>
    <s v="AJMIK MUSTAPHA"/>
    <n v="10"/>
    <x v="3"/>
    <x v="2"/>
    <s v="PLAQUETTES"/>
    <x v="3"/>
    <n v="87"/>
  </r>
  <r>
    <d v="2025-02-23T16:52:51"/>
    <x v="7"/>
    <s v="Plaquettes de finition triangulaires"/>
    <s v="U198152"/>
    <s v="AJMIK MUSTAPHA"/>
    <n v="10"/>
    <x v="3"/>
    <x v="2"/>
    <s v="PLAQUETTES"/>
    <x v="3"/>
    <n v="138.80000000000001"/>
  </r>
  <r>
    <d v="2025-02-23T16:53:16"/>
    <x v="2"/>
    <s v="Plaquettes d'ébauches rhombiques"/>
    <s v="U198152"/>
    <s v="AJMIK MUSTAPHA"/>
    <n v="10"/>
    <x v="1"/>
    <x v="0"/>
    <s v="PLAQUETTES"/>
    <x v="0"/>
    <n v="70"/>
  </r>
  <r>
    <d v="2025-02-23T16:53:36"/>
    <x v="1"/>
    <s v="Plaquettes d'ébauches carrées"/>
    <s v="U198152"/>
    <s v="AJMIK MUSTAPHA"/>
    <n v="10"/>
    <x v="2"/>
    <x v="0"/>
    <s v="PLAQUETTES"/>
    <x v="1"/>
    <n v="71.2"/>
  </r>
  <r>
    <d v="2025-10-12T05:30:34"/>
    <x v="4"/>
    <s v="Plaquettes de finition"/>
    <s v="J534699"/>
    <s v="CHARTON FABIAN"/>
    <n v="5"/>
    <x v="0"/>
    <x v="2"/>
    <s v="PLAQUETTES"/>
    <x v="1"/>
    <n v="47.8"/>
  </r>
  <r>
    <d v="2025-02-23T17:22:19"/>
    <x v="6"/>
    <s v="Plaquettes de finition positives"/>
    <s v="U109136"/>
    <s v="WIPLIE FREDERIC"/>
    <n v="10"/>
    <x v="1"/>
    <x v="2"/>
    <s v="PLAQUETTES"/>
    <x v="0"/>
    <n v="87"/>
  </r>
  <r>
    <d v="2025-02-23T17:22:38"/>
    <x v="2"/>
    <s v="Plaquettes d'ébauches rhombiques"/>
    <s v="U109136"/>
    <s v="WIPLIE FREDERIC"/>
    <n v="10"/>
    <x v="1"/>
    <x v="1"/>
    <s v="PLAQUETTES"/>
    <x v="0"/>
    <n v="70"/>
  </r>
  <r>
    <d v="2025-02-23T17:22:59"/>
    <x v="1"/>
    <s v="Plaquettes d'ébauches carrées"/>
    <s v="U109136"/>
    <s v="WIPLIE FREDERIC"/>
    <n v="10"/>
    <x v="1"/>
    <x v="0"/>
    <s v="PLAQUETTES"/>
    <x v="0"/>
    <n v="71.2"/>
  </r>
  <r>
    <d v="2025-02-24T05:16:33"/>
    <x v="2"/>
    <s v="Plaquettes d'ébauches rhombiques"/>
    <s v="080924"/>
    <s v="DABLEMONT AURELIEN"/>
    <n v="10"/>
    <x v="1"/>
    <x v="1"/>
    <s v="PLAQUETTES"/>
    <x v="0"/>
    <n v="70"/>
  </r>
  <r>
    <d v="2025-10-13T21:34:29"/>
    <x v="4"/>
    <s v="Plaquettes de finition"/>
    <s v="J519914"/>
    <s v="MARLY DAVID"/>
    <n v="5"/>
    <x v="0"/>
    <x v="2"/>
    <s v="PLAQUETTES"/>
    <x v="1"/>
    <n v="47.8"/>
  </r>
  <r>
    <d v="2025-02-24T05:17:05"/>
    <x v="6"/>
    <s v="Plaquettes de finition positives"/>
    <s v="080924"/>
    <s v="DABLEMONT AURELIEN"/>
    <n v="10"/>
    <x v="1"/>
    <x v="2"/>
    <s v="PLAQUETTES"/>
    <x v="0"/>
    <n v="87"/>
  </r>
  <r>
    <d v="2025-02-24T05:17:44"/>
    <x v="2"/>
    <s v="Plaquettes d'ébauches rhombiques"/>
    <s v="U532976"/>
    <s v="LEFORT XAVIER"/>
    <n v="10"/>
    <x v="3"/>
    <x v="1"/>
    <s v="PLAQUETTES"/>
    <x v="3"/>
    <n v="70"/>
  </r>
  <r>
    <d v="2025-02-24T05:17:57"/>
    <x v="1"/>
    <s v="Plaquettes d'ébauches carrées"/>
    <s v="U532976"/>
    <s v="LEFORT XAVIER"/>
    <n v="10"/>
    <x v="3"/>
    <x v="1"/>
    <s v="PLAQUETTES"/>
    <x v="3"/>
    <n v="71.2"/>
  </r>
  <r>
    <d v="2025-02-24T05:18:11"/>
    <x v="5"/>
    <s v="Plaquettes rondes"/>
    <s v="U532976"/>
    <s v="LEFORT XAVIER"/>
    <n v="10"/>
    <x v="3"/>
    <x v="0"/>
    <s v="PLAQUETTES"/>
    <x v="3"/>
    <n v="108.5"/>
  </r>
  <r>
    <d v="2025-02-24T05:18:26"/>
    <x v="3"/>
    <s v="Plaquettes rondes"/>
    <s v="U532976"/>
    <s v="LEFORT XAVIER"/>
    <n v="10"/>
    <x v="2"/>
    <x v="0"/>
    <s v="PLAQUETTES"/>
    <x v="1"/>
    <n v="136.69999999999999"/>
  </r>
  <r>
    <d v="2025-02-24T05:19:10"/>
    <x v="4"/>
    <s v="Plaquettes de finition"/>
    <s v="U532976"/>
    <s v="LEFORT XAVIER"/>
    <n v="5"/>
    <x v="2"/>
    <x v="2"/>
    <s v="PLAQUETTES"/>
    <x v="1"/>
    <n v="47.8"/>
  </r>
  <r>
    <d v="2025-10-14T19:29:24"/>
    <x v="4"/>
    <s v="Plaquettes de finition"/>
    <s v="SD13196"/>
    <s v="FRADIN MAXIME"/>
    <n v="5"/>
    <x v="0"/>
    <x v="2"/>
    <s v="PLAQUETTES"/>
    <x v="1"/>
    <n v="47.8"/>
  </r>
  <r>
    <d v="2025-10-15T22:17:13"/>
    <x v="10"/>
    <s v="Plaquettes de finition"/>
    <s v="J519914"/>
    <s v="MARLY DAVID"/>
    <n v="10"/>
    <x v="0"/>
    <x v="2"/>
    <s v="PLAQUETTES"/>
    <x v="0"/>
    <n v="109.7"/>
  </r>
  <r>
    <d v="2025-10-16T12:20:06"/>
    <x v="4"/>
    <s v="Plaquettes de finition"/>
    <s v="u134838"/>
    <s v="DANAH STEPHANIE"/>
    <n v="5"/>
    <x v="0"/>
    <x v="2"/>
    <s v="PLAQUETTES"/>
    <x v="1"/>
    <n v="47.8"/>
  </r>
  <r>
    <d v="2025-10-16T21:05:05"/>
    <x v="4"/>
    <s v="Plaquettes de finition"/>
    <s v="J519914"/>
    <s v="MARLY DAVID"/>
    <n v="5"/>
    <x v="0"/>
    <x v="2"/>
    <s v="PLAQUETTES"/>
    <x v="1"/>
    <n v="47.8"/>
  </r>
  <r>
    <d v="2025-02-24T21:03:56"/>
    <x v="2"/>
    <s v="Plaquettes d'ébauches rhombiques"/>
    <s v="100225"/>
    <s v="PRUNEAU WILLIAM"/>
    <n v="10"/>
    <x v="3"/>
    <x v="1"/>
    <s v="PLAQUETTES"/>
    <x v="3"/>
    <n v="70"/>
  </r>
  <r>
    <d v="2025-10-17T06:05:03"/>
    <x v="4"/>
    <s v="Plaquettes de finition"/>
    <s v="U534565"/>
    <s v="HOAREAU MARIUS"/>
    <n v="5"/>
    <x v="0"/>
    <x v="2"/>
    <s v="PLAQUETTES"/>
    <x v="1"/>
    <n v="47.8"/>
  </r>
  <r>
    <d v="2025-10-18T05:13:19"/>
    <x v="4"/>
    <s v="Plaquettes de finition"/>
    <s v="U518765"/>
    <s v="ROY ADELINE"/>
    <n v="5"/>
    <x v="0"/>
    <x v="2"/>
    <s v="PLAQUETTES"/>
    <x v="1"/>
    <n v="47.8"/>
  </r>
  <r>
    <d v="2025-02-24T21:12:06"/>
    <x v="2"/>
    <s v="Plaquettes d'ébauches rhombiques"/>
    <s v="SIEGEL F"/>
    <s v="SIEGEL FRANCK"/>
    <n v="10"/>
    <x v="1"/>
    <x v="1"/>
    <s v="PLAQUETTES"/>
    <x v="0"/>
    <n v="70"/>
  </r>
  <r>
    <d v="2025-02-24T21:12:19"/>
    <x v="1"/>
    <s v="Plaquettes d'ébauches carrées"/>
    <s v="SIEGEL F"/>
    <s v="SIEGEL FRANCK"/>
    <n v="10"/>
    <x v="1"/>
    <x v="0"/>
    <s v="PLAQUETTES"/>
    <x v="0"/>
    <n v="71.2"/>
  </r>
  <r>
    <d v="2025-10-18T05:13:35"/>
    <x v="4"/>
    <s v="Plaquettes de finition"/>
    <s v="U518765"/>
    <s v="ROY ADELINE"/>
    <n v="5"/>
    <x v="0"/>
    <x v="2"/>
    <s v="PLAQUETTES"/>
    <x v="1"/>
    <n v="47.8"/>
  </r>
  <r>
    <d v="2025-02-24T21:12:50"/>
    <x v="6"/>
    <s v="Plaquettes de finition positives"/>
    <s v="SIEGEL F"/>
    <s v="SIEGEL FRANCK"/>
    <n v="10"/>
    <x v="1"/>
    <x v="2"/>
    <s v="PLAQUETTES"/>
    <x v="0"/>
    <n v="87"/>
  </r>
  <r>
    <d v="2025-10-21T13:54:04"/>
    <x v="10"/>
    <s v="Plaquettes de finition"/>
    <s v="u134838"/>
    <s v="DANAH STEPHANIE"/>
    <n v="10"/>
    <x v="0"/>
    <x v="2"/>
    <s v="PLAQUETTES"/>
    <x v="0"/>
    <n v="109.7"/>
  </r>
  <r>
    <d v="2025-02-25T05:25:59"/>
    <x v="2"/>
    <s v="Plaquettes d'ébauches rhombiques"/>
    <s v="11737592"/>
    <s v="BLOCQUET DAVID"/>
    <n v="10"/>
    <x v="2"/>
    <x v="0"/>
    <s v="PLAQUETTES"/>
    <x v="1"/>
    <n v="70"/>
  </r>
  <r>
    <d v="2025-02-25T05:27:04"/>
    <x v="6"/>
    <s v="Plaquettes de finition positives"/>
    <s v="11737592"/>
    <s v="BLOCQUET DAVID"/>
    <n v="10"/>
    <x v="3"/>
    <x v="2"/>
    <s v="PLAQUETTES"/>
    <x v="3"/>
    <n v="87"/>
  </r>
  <r>
    <d v="2025-10-23T15:24:45"/>
    <x v="4"/>
    <s v="Plaquettes de finition"/>
    <s v="u134838"/>
    <s v="DANAH STEPHANIE"/>
    <n v="5"/>
    <x v="0"/>
    <x v="2"/>
    <s v="PLAQUETTES"/>
    <x v="1"/>
    <n v="47.8"/>
  </r>
  <r>
    <d v="2025-02-25T12:31:59"/>
    <x v="4"/>
    <s v="Plaquettes de finition"/>
    <s v="U532976"/>
    <s v="LEFORT XAVIER"/>
    <n v="5"/>
    <x v="2"/>
    <x v="2"/>
    <s v="PLAQUETTES"/>
    <x v="1"/>
    <n v="47.8"/>
  </r>
  <r>
    <d v="2025-02-25T13:43:42"/>
    <x v="10"/>
    <s v="Plaquettes de finition"/>
    <s v="u134838"/>
    <s v="DANAH STEPHANIE"/>
    <n v="10"/>
    <x v="3"/>
    <x v="2"/>
    <s v="PLAQUETTES"/>
    <x v="3"/>
    <n v="109.7"/>
  </r>
  <r>
    <d v="2025-02-25T13:44:18"/>
    <x v="6"/>
    <s v="Plaquettes de finition positives"/>
    <s v="u134838"/>
    <s v="DANAH STEPHANIE"/>
    <n v="10"/>
    <x v="3"/>
    <x v="2"/>
    <s v="PLAQUETTES"/>
    <x v="3"/>
    <n v="87"/>
  </r>
  <r>
    <d v="2025-10-24T05:26:36"/>
    <x v="4"/>
    <s v="Plaquettes de finition"/>
    <s v="U054304"/>
    <s v="BOUACHIK HICHAM"/>
    <n v="5"/>
    <x v="0"/>
    <x v="2"/>
    <s v="PLAQUETTES"/>
    <x v="1"/>
    <n v="47.8"/>
  </r>
  <r>
    <d v="2025-10-25T01:30:21"/>
    <x v="4"/>
    <s v="Plaquettes de finition"/>
    <s v="J519914"/>
    <s v="MARLY DAVID"/>
    <n v="5"/>
    <x v="0"/>
    <x v="2"/>
    <s v="PLAQUETTES"/>
    <x v="1"/>
    <n v="47.8"/>
  </r>
  <r>
    <d v="2025-10-25T19:10:50"/>
    <x v="4"/>
    <s v="Plaquettes de finition"/>
    <s v="U534565"/>
    <s v="HOAREAU MARIUS"/>
    <n v="5"/>
    <x v="0"/>
    <x v="2"/>
    <s v="PLAQUETTES"/>
    <x v="1"/>
    <n v="47.8"/>
  </r>
  <r>
    <d v="2025-10-26T04:40:45"/>
    <x v="4"/>
    <s v="Plaquettes de finition"/>
    <s v="J534699"/>
    <s v="CHARTON FABIAN"/>
    <n v="5"/>
    <x v="0"/>
    <x v="2"/>
    <s v="PLAQUETTES"/>
    <x v="1"/>
    <n v="47.8"/>
  </r>
  <r>
    <d v="2025-02-25T21:07:23"/>
    <x v="4"/>
    <s v="Plaquettes de finition"/>
    <s v="100225"/>
    <s v="PRUNEAU WILLIAM"/>
    <n v="5"/>
    <x v="2"/>
    <x v="2"/>
    <s v="PLAQUETTES"/>
    <x v="1"/>
    <n v="47.8"/>
  </r>
  <r>
    <d v="2025-02-25T23:24:05"/>
    <x v="1"/>
    <s v="Plaquettes d'ébauches carrées"/>
    <s v="SD13196"/>
    <s v="FRADIN MAXIME"/>
    <n v="10"/>
    <x v="3"/>
    <x v="1"/>
    <s v="PLAQUETTES"/>
    <x v="3"/>
    <n v="71.2"/>
  </r>
  <r>
    <d v="2025-02-26T03:19:24"/>
    <x v="2"/>
    <s v="Plaquettes d'ébauches rhombiques"/>
    <s v="SD13196"/>
    <s v="FRADIN MAXIME"/>
    <n v="10"/>
    <x v="3"/>
    <x v="0"/>
    <s v="PLAQUETTES"/>
    <x v="3"/>
    <n v="70"/>
  </r>
  <r>
    <d v="2025-10-26T04:41:14"/>
    <x v="4"/>
    <s v="Plaquettes de finition"/>
    <s v="J534699"/>
    <s v="CHARTON FABIAN"/>
    <n v="5"/>
    <x v="0"/>
    <x v="2"/>
    <s v="PLAQUETTES"/>
    <x v="1"/>
    <n v="47.8"/>
  </r>
  <r>
    <d v="2025-02-26T05:35:04"/>
    <x v="6"/>
    <s v="Plaquettes de finition positives"/>
    <s v="080924"/>
    <s v="DABLEMONT AURELIEN"/>
    <n v="10"/>
    <x v="1"/>
    <x v="2"/>
    <s v="PLAQUETTES"/>
    <x v="0"/>
    <n v="87"/>
  </r>
  <r>
    <d v="2025-10-27T21:21:04"/>
    <x v="4"/>
    <s v="Plaquettes de finition"/>
    <s v="J519914"/>
    <s v="MARLY DAVID"/>
    <n v="5"/>
    <x v="0"/>
    <x v="2"/>
    <s v="PLAQUETTES"/>
    <x v="1"/>
    <n v="47.8"/>
  </r>
  <r>
    <d v="2025-10-31T13:25:36"/>
    <x v="4"/>
    <s v="Plaquettes de finition"/>
    <s v="u134838"/>
    <s v="DANAH STEPHANIE"/>
    <n v="5"/>
    <x v="0"/>
    <x v="2"/>
    <s v="PLAQUETTES"/>
    <x v="1"/>
    <n v="47.8"/>
  </r>
  <r>
    <d v="2025-02-26T05:36:17"/>
    <x v="1"/>
    <s v="Plaquettes d'ébauches carrées"/>
    <s v="080924"/>
    <s v="DABLEMONT AURELIEN"/>
    <n v="10"/>
    <x v="1"/>
    <x v="1"/>
    <s v="PLAQUETTES"/>
    <x v="0"/>
    <n v="71.2"/>
  </r>
  <r>
    <d v="2025-02-26T08:09:12"/>
    <x v="8"/>
    <s v="Plaquettes rhombiques"/>
    <s v="VERGE G"/>
    <s v="VERGE GREGORY"/>
    <n v="5"/>
    <x v="2"/>
    <x v="2"/>
    <s v="PLAQUETTES"/>
    <x v="1"/>
    <n v="18.399999999999999"/>
  </r>
  <r>
    <d v="2025-02-26T08:09:28"/>
    <x v="2"/>
    <s v="Plaquettes d'ébauches rhombiques"/>
    <s v="VERGE G"/>
    <s v="VERGE GREGORY"/>
    <n v="10"/>
    <x v="2"/>
    <x v="1"/>
    <s v="PLAQUETTES"/>
    <x v="1"/>
    <n v="70"/>
  </r>
  <r>
    <d v="2025-10-31T23:02:56"/>
    <x v="4"/>
    <s v="Plaquettes de finition"/>
    <s v="J519914"/>
    <s v="MARLY DAVID"/>
    <n v="5"/>
    <x v="0"/>
    <x v="2"/>
    <s v="PLAQUETTES"/>
    <x v="1"/>
    <n v="47.8"/>
  </r>
  <r>
    <d v="2025-11-02T05:24:02"/>
    <x v="4"/>
    <s v="Plaquettes de finition"/>
    <s v="U534565"/>
    <s v="HOAREAU MARIUS"/>
    <n v="5"/>
    <x v="0"/>
    <x v="2"/>
    <s v="PLAQUETTES"/>
    <x v="1"/>
    <n v="47.8"/>
  </r>
  <r>
    <d v="2025-02-26T17:44:11"/>
    <x v="5"/>
    <s v="Plaquettes rondes"/>
    <s v="u134838"/>
    <s v="DANAH STEPHANIE"/>
    <n v="10"/>
    <x v="1"/>
    <x v="0"/>
    <s v="PLAQUETTES"/>
    <x v="0"/>
    <n v="108.5"/>
  </r>
  <r>
    <d v="2025-02-26T17:44:45"/>
    <x v="6"/>
    <s v="Plaquettes de finition positives"/>
    <s v="u134838"/>
    <s v="DANAH STEPHANIE"/>
    <n v="10"/>
    <x v="3"/>
    <x v="2"/>
    <s v="PLAQUETTES"/>
    <x v="3"/>
    <n v="87"/>
  </r>
  <r>
    <d v="2025-11-02T20:23:31"/>
    <x v="4"/>
    <s v="Plaquettes de finition"/>
    <s v="U054304"/>
    <s v="BOUACHIK HICHAM"/>
    <n v="5"/>
    <x v="0"/>
    <x v="2"/>
    <s v="PLAQUETTES"/>
    <x v="1"/>
    <n v="47.8"/>
  </r>
  <r>
    <d v="2025-11-03T05:08:51"/>
    <x v="4"/>
    <s v="Plaquettes de finition"/>
    <s v="SD13196"/>
    <s v="FRADIN MAXIME"/>
    <n v="5"/>
    <x v="0"/>
    <x v="2"/>
    <s v="PLAQUETTES"/>
    <x v="1"/>
    <n v="47.8"/>
  </r>
  <r>
    <d v="2025-11-03T14:32:55"/>
    <x v="4"/>
    <s v="Plaquettes de finition"/>
    <s v="u134838"/>
    <s v="DANAH STEPHANIE"/>
    <n v="5"/>
    <x v="0"/>
    <x v="2"/>
    <s v="PLAQUETTES"/>
    <x v="1"/>
    <n v="47.8"/>
  </r>
  <r>
    <d v="2025-11-04T14:30:44"/>
    <x v="4"/>
    <s v="Plaquettes de finition"/>
    <s v="u134838"/>
    <s v="DANAH STEPHANIE"/>
    <n v="5"/>
    <x v="0"/>
    <x v="2"/>
    <s v="PLAQUETTES"/>
    <x v="1"/>
    <n v="47.8"/>
  </r>
  <r>
    <d v="2025-11-04T23:47:43"/>
    <x v="4"/>
    <s v="Plaquettes de finition"/>
    <s v="J519914"/>
    <s v="MARLY DAVID"/>
    <n v="5"/>
    <x v="0"/>
    <x v="2"/>
    <s v="PLAQUETTES"/>
    <x v="1"/>
    <n v="47.8"/>
  </r>
  <r>
    <d v="2025-02-26T21:18:05"/>
    <x v="1"/>
    <s v="Plaquettes d'ébauches carrées"/>
    <s v="SIEGEL F"/>
    <s v="SIEGEL FRANCK"/>
    <n v="10"/>
    <x v="1"/>
    <x v="0"/>
    <s v="PLAQUETTES"/>
    <x v="0"/>
    <n v="71.2"/>
  </r>
  <r>
    <d v="2025-02-26T21:18:22"/>
    <x v="6"/>
    <s v="Plaquettes de finition positives"/>
    <s v="SIEGEL F"/>
    <s v="SIEGEL FRANCK"/>
    <n v="10"/>
    <x v="1"/>
    <x v="2"/>
    <s v="PLAQUETTES"/>
    <x v="0"/>
    <n v="87"/>
  </r>
  <r>
    <d v="2025-02-26T21:18:35"/>
    <x v="2"/>
    <s v="Plaquettes d'ébauches rhombiques"/>
    <s v="SIEGEL F"/>
    <s v="SIEGEL FRANCK"/>
    <n v="10"/>
    <x v="1"/>
    <x v="0"/>
    <s v="PLAQUETTES"/>
    <x v="0"/>
    <n v="70"/>
  </r>
  <r>
    <d v="2025-02-26T21:40:54"/>
    <x v="4"/>
    <s v="Plaquettes de finition"/>
    <s v="100225"/>
    <s v="PRUNEAU WILLIAM"/>
    <n v="5"/>
    <x v="2"/>
    <x v="2"/>
    <s v="PLAQUETTES"/>
    <x v="1"/>
    <n v="47.8"/>
  </r>
  <r>
    <d v="2025-02-27T05:32:42"/>
    <x v="9"/>
    <s v="Plaquettes rhombiques"/>
    <s v="VERGE G"/>
    <s v="VERGE GREGORY"/>
    <n v="5"/>
    <x v="2"/>
    <x v="2"/>
    <s v="PLAQUETTES"/>
    <x v="1"/>
    <n v="44.85"/>
  </r>
  <r>
    <d v="2025-02-27T05:33:04"/>
    <x v="2"/>
    <s v="Plaquettes d'ébauches rhombiques"/>
    <s v="VERGE G"/>
    <s v="VERGE GREGORY"/>
    <n v="10"/>
    <x v="3"/>
    <x v="1"/>
    <s v="PLAQUETTES"/>
    <x v="3"/>
    <n v="70"/>
  </r>
  <r>
    <d v="2025-02-27T05:33:20"/>
    <x v="5"/>
    <s v="Plaquettes rondes"/>
    <s v="VERGE G"/>
    <s v="VERGE GREGORY"/>
    <n v="10"/>
    <x v="2"/>
    <x v="0"/>
    <s v="PLAQUETTES"/>
    <x v="1"/>
    <n v="108.5"/>
  </r>
  <r>
    <d v="2025-02-27T05:33:39"/>
    <x v="3"/>
    <s v="Plaquettes rondes"/>
    <s v="VERGE G"/>
    <s v="VERGE GREGORY"/>
    <n v="10"/>
    <x v="2"/>
    <x v="0"/>
    <s v="PLAQUETTES"/>
    <x v="1"/>
    <n v="136.69999999999999"/>
  </r>
  <r>
    <d v="2025-02-27T05:34:02"/>
    <x v="2"/>
    <s v="Plaquettes d'ébauches rhombiques"/>
    <s v="VERGE G"/>
    <s v="VERGE GREGORY"/>
    <n v="10"/>
    <x v="3"/>
    <x v="1"/>
    <s v="PLAQUETTES"/>
    <x v="3"/>
    <n v="70"/>
  </r>
  <r>
    <d v="2025-02-27T05:34:17"/>
    <x v="6"/>
    <s v="Plaquettes de finition positives"/>
    <s v="VERGE G"/>
    <s v="VERGE GREGORY"/>
    <n v="10"/>
    <x v="3"/>
    <x v="2"/>
    <s v="PLAQUETTES"/>
    <x v="3"/>
    <n v="87"/>
  </r>
  <r>
    <d v="2025-11-05T12:46:30"/>
    <x v="4"/>
    <s v="Plaquettes de finition"/>
    <s v="SD13196"/>
    <s v="FRADIN MAXIME"/>
    <n v="5"/>
    <x v="0"/>
    <x v="2"/>
    <s v="PLAQUETTES"/>
    <x v="1"/>
    <n v="47.8"/>
  </r>
  <r>
    <d v="2025-11-05T16:11:24"/>
    <x v="10"/>
    <s v="Plaquettes de finition"/>
    <s v="u134838"/>
    <s v="DANAH STEPHANIE"/>
    <n v="10"/>
    <x v="0"/>
    <x v="2"/>
    <s v="PLAQUETTES"/>
    <x v="0"/>
    <n v="109.7"/>
  </r>
  <r>
    <d v="2025-02-27T06:09:25"/>
    <x v="6"/>
    <s v="Plaquettes de finition positives"/>
    <s v="080924"/>
    <s v="DABLEMONT AURELIEN"/>
    <n v="10"/>
    <x v="1"/>
    <x v="2"/>
    <s v="PLAQUETTES"/>
    <x v="0"/>
    <n v="87"/>
  </r>
  <r>
    <d v="2025-02-27T08:50:16"/>
    <x v="8"/>
    <s v="Plaquettes rhombiques"/>
    <s v="12824586"/>
    <s v="DA SILVA FERNANDO"/>
    <n v="5"/>
    <x v="1"/>
    <x v="2"/>
    <s v="PLAQUETTES"/>
    <x v="2"/>
    <n v="18.399999999999999"/>
  </r>
  <r>
    <d v="2025-02-27T08:57:51"/>
    <x v="5"/>
    <s v="Plaquettes rondes"/>
    <s v="12824586"/>
    <s v="DA SILVA FERNANDO"/>
    <n v="10"/>
    <x v="3"/>
    <x v="0"/>
    <s v="PLAQUETTES"/>
    <x v="0"/>
    <n v="108.5"/>
  </r>
  <r>
    <d v="2025-11-12T13:10:27"/>
    <x v="10"/>
    <s v="Plaquettes de finition"/>
    <s v="SD13196"/>
    <s v="FRADIN MAXIME"/>
    <n v="10"/>
    <x v="0"/>
    <x v="2"/>
    <s v="PLAQUETTES"/>
    <x v="1"/>
    <n v="109.7"/>
  </r>
  <r>
    <d v="2025-11-13T03:57:30"/>
    <x v="4"/>
    <s v="Plaquettes de finition"/>
    <s v="J519914"/>
    <s v="MARLY DAVID"/>
    <n v="5"/>
    <x v="0"/>
    <x v="2"/>
    <s v="PLAQUETTES"/>
    <x v="1"/>
    <n v="47.8"/>
  </r>
  <r>
    <d v="2025-11-13T06:22:36"/>
    <x v="4"/>
    <s v="Plaquettes de finition"/>
    <s v="u134838"/>
    <s v="DANAH STEPHANIE"/>
    <n v="5"/>
    <x v="0"/>
    <x v="2"/>
    <s v="PLAQUETTES"/>
    <x v="1"/>
    <n v="47.8"/>
  </r>
  <r>
    <d v="2025-11-15T05:19:40"/>
    <x v="4"/>
    <s v="Plaquettes de finition"/>
    <s v="U534565"/>
    <s v="HOAREAU MARIUS"/>
    <n v="5"/>
    <x v="0"/>
    <x v="2"/>
    <s v="PLAQUETTES"/>
    <x v="1"/>
    <n v="47.8"/>
  </r>
  <r>
    <d v="2025-02-27T14:02:51"/>
    <x v="8"/>
    <s v="Plaquettes rhombiques"/>
    <s v="u134838"/>
    <s v="DANAH STEPHANIE"/>
    <n v="5"/>
    <x v="2"/>
    <x v="2"/>
    <s v="PLAQUETTES"/>
    <x v="1"/>
    <n v="18.399999999999999"/>
  </r>
  <r>
    <d v="2025-02-27T14:03:25"/>
    <x v="11"/>
    <s v="Plaquettes de finition triangulaires"/>
    <s v="u134838"/>
    <s v="DANAH STEPHANIE"/>
    <n v="10"/>
    <x v="2"/>
    <x v="2"/>
    <s v="PLAQUETTES"/>
    <x v="1"/>
    <n v="118.7"/>
  </r>
  <r>
    <d v="2025-02-27T14:03:59"/>
    <x v="4"/>
    <s v="Plaquettes de finition"/>
    <s v="u134838"/>
    <s v="DANAH STEPHANIE"/>
    <n v="5"/>
    <x v="2"/>
    <x v="2"/>
    <s v="PLAQUETTES"/>
    <x v="1"/>
    <n v="47.8"/>
  </r>
  <r>
    <d v="2025-02-27T21:06:06"/>
    <x v="6"/>
    <s v="Plaquettes de finition positives"/>
    <s v="100225"/>
    <s v="PRUNEAU WILLIAM"/>
    <n v="10"/>
    <x v="3"/>
    <x v="2"/>
    <s v="PLAQUETTES"/>
    <x v="3"/>
    <n v="87"/>
  </r>
  <r>
    <d v="2025-02-27T21:06:34"/>
    <x v="4"/>
    <s v="Plaquettes de finition"/>
    <s v="100225"/>
    <s v="PRUNEAU WILLIAM"/>
    <n v="5"/>
    <x v="2"/>
    <x v="2"/>
    <s v="PLAQUETTES"/>
    <x v="1"/>
    <n v="47.8"/>
  </r>
  <r>
    <d v="2025-11-18T13:30:28"/>
    <x v="4"/>
    <s v="Plaquettes de finition"/>
    <s v="12824586"/>
    <s v="DA SILVA FERNANDO"/>
    <n v="5"/>
    <x v="0"/>
    <x v="2"/>
    <s v="PLAQUETTES"/>
    <x v="4"/>
    <n v="47.8"/>
  </r>
  <r>
    <d v="2025-02-27T22:11:10"/>
    <x v="1"/>
    <s v="Plaquettes d'ébauches carrées"/>
    <s v="J519914"/>
    <s v="MARLY DAVID"/>
    <n v="10"/>
    <x v="1"/>
    <x v="0"/>
    <s v="PLAQUETTES"/>
    <x v="0"/>
    <n v="71.2"/>
  </r>
  <r>
    <d v="2025-02-27T22:12:06"/>
    <x v="7"/>
    <s v="Plaquettes de finition triangulaires"/>
    <s v="J519914"/>
    <s v="MARLY DAVID"/>
    <n v="10"/>
    <x v="1"/>
    <x v="2"/>
    <s v="PLAQUETTES"/>
    <x v="0"/>
    <n v="138.80000000000001"/>
  </r>
  <r>
    <d v="2025-02-27T22:12:49"/>
    <x v="10"/>
    <s v="Plaquettes de finition"/>
    <s v="J519914"/>
    <s v="MARLY DAVID"/>
    <n v="10"/>
    <x v="1"/>
    <x v="2"/>
    <s v="PLAQUETTES"/>
    <x v="0"/>
    <n v="109.7"/>
  </r>
  <r>
    <d v="2025-11-19T13:52:18"/>
    <x v="10"/>
    <s v="Plaquettes de finition"/>
    <s v="u134838"/>
    <s v="DANAH STEPHANIE"/>
    <n v="10"/>
    <x v="0"/>
    <x v="2"/>
    <s v="PLAQUETTES"/>
    <x v="0"/>
    <n v="109.7"/>
  </r>
  <r>
    <d v="2025-02-27T22:55:48"/>
    <x v="6"/>
    <s v="Plaquettes de finition positives"/>
    <s v="J519914"/>
    <s v="MARLY DAVID"/>
    <n v="10"/>
    <x v="1"/>
    <x v="2"/>
    <s v="PLAQUETTES"/>
    <x v="0"/>
    <n v="87"/>
  </r>
  <r>
    <d v="2025-02-28T06:33:30"/>
    <x v="2"/>
    <s v="Plaquettes d'ébauches rhombiques"/>
    <s v="U198152"/>
    <s v="AJMIK MUSTAPHA"/>
    <n v="10"/>
    <x v="3"/>
    <x v="0"/>
    <s v="PLAQUETTES"/>
    <x v="3"/>
    <n v="70"/>
  </r>
  <r>
    <d v="2025-02-28T06:33:54"/>
    <x v="6"/>
    <s v="Plaquettes de finition positives"/>
    <s v="U198152"/>
    <s v="AJMIK MUSTAPHA"/>
    <n v="10"/>
    <x v="3"/>
    <x v="2"/>
    <s v="PLAQUETTES"/>
    <x v="3"/>
    <n v="87"/>
  </r>
  <r>
    <d v="2025-02-28T13:46:54"/>
    <x v="2"/>
    <s v="Plaquettes d'ébauches rhombiques"/>
    <s v="170325"/>
    <s v="VERDELET BASTIEN"/>
    <n v="10"/>
    <x v="1"/>
    <x v="1"/>
    <s v="PLAQUETTES"/>
    <x v="0"/>
    <n v="70"/>
  </r>
  <r>
    <d v="2025-11-19T15:40:18"/>
    <x v="10"/>
    <s v="Plaquettes de finition"/>
    <s v="12824586"/>
    <s v="DA SILVA FERNANDO"/>
    <n v="10"/>
    <x v="0"/>
    <x v="2"/>
    <s v="PLAQUETTES"/>
    <x v="4"/>
    <n v="109.7"/>
  </r>
  <r>
    <d v="2025-11-21T22:01:02"/>
    <x v="4"/>
    <s v="Plaquettes de finition"/>
    <s v="J519914"/>
    <s v="MARLY DAVID"/>
    <n v="5"/>
    <x v="0"/>
    <x v="2"/>
    <s v="PLAQUETTES"/>
    <x v="1"/>
    <n v="47.8"/>
  </r>
  <r>
    <d v="2025-02-28T13:48:44"/>
    <x v="6"/>
    <s v="Plaquettes de finition positives"/>
    <s v="170325"/>
    <s v="VERDELET BASTIEN"/>
    <n v="10"/>
    <x v="1"/>
    <x v="2"/>
    <s v="PLAQUETTES"/>
    <x v="0"/>
    <n v="87"/>
  </r>
  <r>
    <d v="2025-02-28T21:08:52"/>
    <x v="7"/>
    <s v="Plaquettes de finition triangulaires"/>
    <s v="100225"/>
    <s v="PRUNEAU WILLIAM"/>
    <n v="10"/>
    <x v="3"/>
    <x v="2"/>
    <s v="PLAQUETTES"/>
    <x v="3"/>
    <n v="138.80000000000001"/>
  </r>
  <r>
    <d v="2025-02-28T21:09:21"/>
    <x v="6"/>
    <s v="Plaquettes de finition positives"/>
    <s v="100225"/>
    <s v="PRUNEAU WILLIAM"/>
    <n v="10"/>
    <x v="3"/>
    <x v="2"/>
    <s v="PLAQUETTES"/>
    <x v="3"/>
    <n v="87"/>
  </r>
  <r>
    <d v="2025-02-28T21:09:42"/>
    <x v="1"/>
    <s v="Plaquettes d'ébauches carrées"/>
    <s v="100225"/>
    <s v="PRUNEAU WILLIAM"/>
    <n v="10"/>
    <x v="2"/>
    <x v="1"/>
    <s v="PLAQUETTES"/>
    <x v="1"/>
    <n v="71.2"/>
  </r>
  <r>
    <d v="2025-02-28T21:10:02"/>
    <x v="2"/>
    <s v="Plaquettes d'ébauches rhombiques"/>
    <s v="100225"/>
    <s v="PRUNEAU WILLIAM"/>
    <n v="10"/>
    <x v="3"/>
    <x v="1"/>
    <s v="PLAQUETTES"/>
    <x v="3"/>
    <n v="70"/>
  </r>
  <r>
    <d v="2025-02-28T21:10:29"/>
    <x v="5"/>
    <s v="Plaquettes rondes"/>
    <s v="100225"/>
    <s v="PRUNEAU WILLIAM"/>
    <n v="10"/>
    <x v="3"/>
    <x v="0"/>
    <s v="PLAQUETTES"/>
    <x v="3"/>
    <n v="108.5"/>
  </r>
  <r>
    <d v="2025-02-28T21:11:10"/>
    <x v="2"/>
    <s v="Plaquettes d'ébauches rhombiques"/>
    <s v="SIEGEL F"/>
    <s v="SIEGEL FRANCK"/>
    <n v="10"/>
    <x v="1"/>
    <x v="1"/>
    <s v="PLAQUETTES"/>
    <x v="0"/>
    <n v="70"/>
  </r>
  <r>
    <d v="2025-02-28T21:11:24"/>
    <x v="1"/>
    <s v="Plaquettes d'ébauches carrées"/>
    <s v="SIEGEL F"/>
    <s v="SIEGEL FRANCK"/>
    <n v="10"/>
    <x v="1"/>
    <x v="1"/>
    <s v="PLAQUETTES"/>
    <x v="0"/>
    <n v="71.2"/>
  </r>
  <r>
    <d v="2025-02-28T21:11:37"/>
    <x v="6"/>
    <s v="Plaquettes de finition positives"/>
    <s v="SIEGEL F"/>
    <s v="SIEGEL FRANCK"/>
    <n v="10"/>
    <x v="1"/>
    <x v="2"/>
    <s v="PLAQUETTES"/>
    <x v="0"/>
    <n v="87"/>
  </r>
  <r>
    <d v="2025-11-22T05:13:03"/>
    <x v="4"/>
    <s v="Plaquettes de finition"/>
    <s v="J534699"/>
    <s v="CHARTON FABIAN"/>
    <n v="5"/>
    <x v="0"/>
    <x v="2"/>
    <s v="PLAQUETTES"/>
    <x v="1"/>
    <n v="47.8"/>
  </r>
  <r>
    <d v="2025-11-23T03:36:57"/>
    <x v="4"/>
    <s v="Plaquettes de finition"/>
    <s v="U534565"/>
    <s v="HOAREAU MARIUS"/>
    <n v="5"/>
    <x v="0"/>
    <x v="2"/>
    <s v="PLAQUETTES"/>
    <x v="1"/>
    <n v="47.8"/>
  </r>
  <r>
    <d v="2025-11-23T07:33:06"/>
    <x v="4"/>
    <s v="Plaquettes de finition"/>
    <s v="u134838"/>
    <s v="DANAH STEPHANIE"/>
    <n v="5"/>
    <x v="0"/>
    <x v="2"/>
    <s v="PLAQUETTES"/>
    <x v="1"/>
    <n v="47.8"/>
  </r>
  <r>
    <d v="2025-03-01T06:36:37"/>
    <x v="9"/>
    <s v="Plaquettes rhombiques"/>
    <s v="U198152"/>
    <s v="AJMIK MUSTAPHA"/>
    <n v="5"/>
    <x v="2"/>
    <x v="2"/>
    <s v="PLAQUETTES"/>
    <x v="1"/>
    <n v="44.85"/>
  </r>
  <r>
    <d v="2025-03-01T06:38:01"/>
    <x v="4"/>
    <s v="Plaquettes de finition"/>
    <s v="U198152"/>
    <s v="AJMIK MUSTAPHA"/>
    <n v="5"/>
    <x v="2"/>
    <x v="2"/>
    <s v="PLAQUETTES"/>
    <x v="1"/>
    <n v="47.8"/>
  </r>
  <r>
    <d v="2025-03-01T17:08:31"/>
    <x v="6"/>
    <s v="Plaquettes de finition positives"/>
    <s v="U518765"/>
    <s v="ROY ADELINE"/>
    <n v="10"/>
    <x v="3"/>
    <x v="2"/>
    <s v="PLAQUETTES"/>
    <x v="3"/>
    <n v="87"/>
  </r>
  <r>
    <d v="2025-03-01T17:09:00"/>
    <x v="2"/>
    <s v="Plaquettes d'ébauches rhombiques"/>
    <s v="U518765"/>
    <s v="ROY ADELINE"/>
    <n v="10"/>
    <x v="3"/>
    <x v="0"/>
    <s v="PLAQUETTES"/>
    <x v="3"/>
    <n v="70"/>
  </r>
  <r>
    <d v="2025-03-01T17:29:20"/>
    <x v="6"/>
    <s v="Plaquettes de finition positives"/>
    <s v="U534565"/>
    <s v="HOAREAU MARIUS"/>
    <n v="10"/>
    <x v="1"/>
    <x v="2"/>
    <s v="PLAQUETTES"/>
    <x v="0"/>
    <n v="87"/>
  </r>
  <r>
    <d v="2025-11-24T11:43:56"/>
    <x v="4"/>
    <s v="Plaquettes de finition"/>
    <s v="04522ACAA77080"/>
    <s v="VILLALOBOS ANTHONY"/>
    <n v="5"/>
    <x v="0"/>
    <x v="2"/>
    <s v="PLAQUETTES"/>
    <x v="1"/>
    <n v="47.8"/>
  </r>
  <r>
    <d v="2025-11-24T19:06:06"/>
    <x v="10"/>
    <s v="Plaquettes de finition"/>
    <s v="U462308"/>
    <s v="MAITRE SEBASTIEN"/>
    <n v="10"/>
    <x v="0"/>
    <x v="2"/>
    <s v="PLAQUETTES"/>
    <x v="0"/>
    <n v="109.7"/>
  </r>
  <r>
    <d v="2025-11-27T02:50:40"/>
    <x v="4"/>
    <s v="Plaquettes de finition"/>
    <s v="J519914"/>
    <s v="MARLY DAVID"/>
    <n v="5"/>
    <x v="0"/>
    <x v="2"/>
    <s v="PLAQUETTES"/>
    <x v="1"/>
    <n v="47.8"/>
  </r>
  <r>
    <d v="2025-03-02T06:15:39"/>
    <x v="10"/>
    <s v="Plaquettes de finition"/>
    <s v="U054304"/>
    <s v="BOUACHIK HICHAM"/>
    <n v="10"/>
    <x v="1"/>
    <x v="2"/>
    <s v="PLAQUETTES"/>
    <x v="0"/>
    <n v="109.7"/>
  </r>
  <r>
    <d v="2025-11-27T12:29:36"/>
    <x v="4"/>
    <s v="Plaquettes de finition"/>
    <s v="04522ACAA77080"/>
    <s v="VILLALOBOS ANTHONY"/>
    <n v="5"/>
    <x v="0"/>
    <x v="2"/>
    <s v="PLAQUETTES"/>
    <x v="1"/>
    <n v="47.8"/>
  </r>
  <r>
    <d v="2025-03-02T07:26:56"/>
    <x v="2"/>
    <s v="Plaquettes d'ébauches rhombiques"/>
    <s v="U198152"/>
    <s v="AJMIK MUSTAPHA"/>
    <n v="10"/>
    <x v="2"/>
    <x v="0"/>
    <s v="PLAQUETTES"/>
    <x v="1"/>
    <n v="70"/>
  </r>
  <r>
    <d v="2025-03-02T07:27:10"/>
    <x v="1"/>
    <s v="Plaquettes d'ébauches carrées"/>
    <s v="U198152"/>
    <s v="AJMIK MUSTAPHA"/>
    <n v="10"/>
    <x v="2"/>
    <x v="0"/>
    <s v="PLAQUETTES"/>
    <x v="1"/>
    <n v="71.2"/>
  </r>
  <r>
    <d v="2025-03-02T07:27:26"/>
    <x v="6"/>
    <s v="Plaquettes de finition positives"/>
    <s v="U198152"/>
    <s v="AJMIK MUSTAPHA"/>
    <n v="10"/>
    <x v="3"/>
    <x v="2"/>
    <s v="PLAQUETTES"/>
    <x v="3"/>
    <n v="87"/>
  </r>
  <r>
    <d v="2025-03-02T14:40:05"/>
    <x v="4"/>
    <s v="Plaquettes de finition"/>
    <s v="U198152"/>
    <s v="AJMIK MUSTAPHA"/>
    <n v="5"/>
    <x v="2"/>
    <x v="2"/>
    <s v="PLAQUETTES"/>
    <x v="1"/>
    <n v="47.8"/>
  </r>
  <r>
    <d v="2025-03-02T14:40:21"/>
    <x v="8"/>
    <s v="Plaquettes rhombiques"/>
    <s v="U198152"/>
    <s v="AJMIK MUSTAPHA"/>
    <n v="5"/>
    <x v="2"/>
    <x v="2"/>
    <s v="PLAQUETTES"/>
    <x v="1"/>
    <n v="18.399999999999999"/>
  </r>
  <r>
    <d v="2025-03-02T17:38:09"/>
    <x v="11"/>
    <s v="Plaquettes de finition triangulaires"/>
    <s v="U534565"/>
    <s v="HOAREAU MARIUS"/>
    <n v="10"/>
    <x v="2"/>
    <x v="2"/>
    <s v="PLAQUETTES"/>
    <x v="1"/>
    <n v="118.7"/>
  </r>
  <r>
    <d v="2025-11-27T21:20:16"/>
    <x v="4"/>
    <s v="Plaquettes de finition"/>
    <s v="J519914"/>
    <s v="MARLY DAVID"/>
    <n v="5"/>
    <x v="0"/>
    <x v="2"/>
    <s v="PLAQUETTES"/>
    <x v="1"/>
    <n v="47.8"/>
  </r>
  <r>
    <d v="2025-11-28T12:29:49"/>
    <x v="4"/>
    <s v="Plaquettes de finition"/>
    <s v="U518765"/>
    <s v="ROY ADELINE"/>
    <n v="5"/>
    <x v="0"/>
    <x v="2"/>
    <s v="PLAQUETTES"/>
    <x v="1"/>
    <n v="47.8"/>
  </r>
  <r>
    <d v="2025-03-02T17:40:02"/>
    <x v="1"/>
    <s v="Plaquettes d'ébauches carrées"/>
    <s v="U534565"/>
    <s v="HOAREAU MARIUS"/>
    <n v="10"/>
    <x v="1"/>
    <x v="0"/>
    <s v="PLAQUETTES"/>
    <x v="0"/>
    <n v="71.2"/>
  </r>
  <r>
    <d v="2025-11-29T05:15:58"/>
    <x v="4"/>
    <s v="Plaquettes de finition"/>
    <s v="J534699"/>
    <s v="CHARTON FABIAN"/>
    <n v="5"/>
    <x v="0"/>
    <x v="2"/>
    <s v="PLAQUETTES"/>
    <x v="1"/>
    <n v="47.8"/>
  </r>
  <r>
    <d v="2025-03-02T22:19:25"/>
    <x v="2"/>
    <s v="Plaquettes d'ébauches rhombiques"/>
    <s v="U518765"/>
    <s v="ROY ADELINE"/>
    <n v="10"/>
    <x v="3"/>
    <x v="0"/>
    <s v="PLAQUETTES"/>
    <x v="3"/>
    <n v="70"/>
  </r>
  <r>
    <d v="2025-03-02T22:20:03"/>
    <x v="4"/>
    <s v="Plaquettes de finition"/>
    <s v="U518765"/>
    <s v="ROY ADELINE"/>
    <n v="5"/>
    <x v="2"/>
    <x v="2"/>
    <s v="PLAQUETTES"/>
    <x v="1"/>
    <n v="47.8"/>
  </r>
  <r>
    <d v="2025-03-02T22:20:29"/>
    <x v="6"/>
    <s v="Plaquettes de finition positives"/>
    <s v="U518765"/>
    <s v="ROY ADELINE"/>
    <n v="10"/>
    <x v="3"/>
    <x v="2"/>
    <s v="PLAQUETTES"/>
    <x v="3"/>
    <n v="87"/>
  </r>
  <r>
    <d v="2025-03-02T22:21:04"/>
    <x v="3"/>
    <s v="Plaquettes rondes"/>
    <s v="U518765"/>
    <s v="ROY ADELINE"/>
    <n v="10"/>
    <x v="2"/>
    <x v="0"/>
    <s v="PLAQUETTES"/>
    <x v="1"/>
    <n v="136.69999999999999"/>
  </r>
  <r>
    <d v="2025-03-03T05:51:30"/>
    <x v="6"/>
    <s v="Plaquettes de finition positives"/>
    <s v="u134838"/>
    <s v="DANAH STEPHANIE"/>
    <n v="10"/>
    <x v="1"/>
    <x v="2"/>
    <s v="PLAQUETTES"/>
    <x v="0"/>
    <n v="87"/>
  </r>
  <r>
    <d v="2025-03-03T05:52:08"/>
    <x v="7"/>
    <s v="Plaquettes de finition triangulaires"/>
    <s v="u134838"/>
    <s v="DANAH STEPHANIE"/>
    <n v="10"/>
    <x v="1"/>
    <x v="2"/>
    <s v="PLAQUETTES"/>
    <x v="0"/>
    <n v="138.80000000000001"/>
  </r>
  <r>
    <d v="2025-11-29T05:18:12"/>
    <x v="4"/>
    <s v="Plaquettes de finition"/>
    <s v="J534699"/>
    <s v="CHARTON FABIAN"/>
    <n v="5"/>
    <x v="0"/>
    <x v="2"/>
    <s v="PLAQUETTES"/>
    <x v="1"/>
    <n v="47.8"/>
  </r>
  <r>
    <d v="2025-12-01T05:10:46"/>
    <x v="4"/>
    <s v="Plaquettes de finition"/>
    <s v="SD13196"/>
    <s v="FRADIN MAXIME"/>
    <n v="5"/>
    <x v="0"/>
    <x v="2"/>
    <s v="PLAQUETTES"/>
    <x v="1"/>
    <n v="47.8"/>
  </r>
  <r>
    <d v="2025-03-03T05:53:33"/>
    <x v="2"/>
    <s v="Plaquettes d'ébauches rhombiques"/>
    <s v="u134838"/>
    <s v="DANAH STEPHANIE"/>
    <n v="10"/>
    <x v="1"/>
    <x v="1"/>
    <s v="PLAQUETTES"/>
    <x v="0"/>
    <n v="70"/>
  </r>
  <r>
    <d v="2025-12-02T13:39:41"/>
    <x v="4"/>
    <s v="Plaquettes de finition"/>
    <s v="04522ACAA77080"/>
    <s v="VILLALOBOS ANTHONY"/>
    <n v="5"/>
    <x v="0"/>
    <x v="2"/>
    <s v="PLAQUETTES"/>
    <x v="1"/>
    <n v="47.8"/>
  </r>
  <r>
    <d v="2025-12-03T14:49:19"/>
    <x v="4"/>
    <s v="Plaquettes de finition"/>
    <s v="04522ACAA77080"/>
    <s v="VILLALOBOS ANTHONY"/>
    <n v="5"/>
    <x v="0"/>
    <x v="2"/>
    <s v="PLAQUETTES"/>
    <x v="1"/>
    <n v="47.8"/>
  </r>
  <r>
    <d v="2025-03-03T13:04:52"/>
    <x v="10"/>
    <s v="Plaquettes de finition"/>
    <s v="100225"/>
    <s v="PRUNEAU WILLIAM"/>
    <n v="10"/>
    <x v="3"/>
    <x v="2"/>
    <s v="PLAQUETTES"/>
    <x v="3"/>
    <n v="109.7"/>
  </r>
  <r>
    <d v="2025-03-03T13:05:20"/>
    <x v="6"/>
    <s v="Plaquettes de finition positives"/>
    <s v="100225"/>
    <s v="PRUNEAU WILLIAM"/>
    <n v="10"/>
    <x v="3"/>
    <x v="2"/>
    <s v="PLAQUETTES"/>
    <x v="3"/>
    <n v="87"/>
  </r>
  <r>
    <d v="2025-03-03T13:05:51"/>
    <x v="1"/>
    <s v="Plaquettes d'ébauches carrées"/>
    <s v="100225"/>
    <s v="PRUNEAU WILLIAM"/>
    <n v="10"/>
    <x v="3"/>
    <x v="1"/>
    <s v="PLAQUETTES"/>
    <x v="3"/>
    <n v="71.2"/>
  </r>
  <r>
    <d v="2025-03-03T21:21:16"/>
    <x v="2"/>
    <s v="Plaquettes d'ébauches rhombiques"/>
    <s v="080924"/>
    <s v="DABLEMONT AURELIEN"/>
    <n v="10"/>
    <x v="1"/>
    <x v="1"/>
    <s v="PLAQUETTES"/>
    <x v="0"/>
    <n v="70"/>
  </r>
  <r>
    <d v="2025-03-03T21:21:51"/>
    <x v="1"/>
    <s v="Plaquettes d'ébauches carrées"/>
    <s v="080924"/>
    <s v="DABLEMONT AURELIEN"/>
    <n v="10"/>
    <x v="1"/>
    <x v="1"/>
    <s v="PLAQUETTES"/>
    <x v="0"/>
    <n v="71.2"/>
  </r>
  <r>
    <d v="2025-03-03T21:22:17"/>
    <x v="6"/>
    <s v="Plaquettes de finition positives"/>
    <s v="080924"/>
    <s v="DABLEMONT AURELIEN"/>
    <n v="10"/>
    <x v="1"/>
    <x v="2"/>
    <s v="PLAQUETTES"/>
    <x v="0"/>
    <n v="87"/>
  </r>
  <r>
    <d v="2025-03-03T21:35:20"/>
    <x v="2"/>
    <s v="Plaquettes d'ébauches rhombiques"/>
    <s v="VERGE G"/>
    <s v="VERGE GREGORY"/>
    <n v="10"/>
    <x v="3"/>
    <x v="0"/>
    <s v="PLAQUETTES"/>
    <x v="3"/>
    <n v="70"/>
  </r>
  <r>
    <d v="2025-03-03T21:35:35"/>
    <x v="5"/>
    <s v="Plaquettes rondes"/>
    <s v="VERGE G"/>
    <s v="VERGE GREGORY"/>
    <n v="10"/>
    <x v="3"/>
    <x v="0"/>
    <s v="PLAQUETTES"/>
    <x v="0"/>
    <n v="108.5"/>
  </r>
  <r>
    <d v="2025-03-04T01:59:58"/>
    <x v="2"/>
    <s v="Plaquettes d'ébauches rhombiques"/>
    <s v="080924"/>
    <s v="DABLEMONT AURELIEN"/>
    <n v="10"/>
    <x v="1"/>
    <x v="0"/>
    <s v="PLAQUETTES"/>
    <x v="0"/>
    <n v="70"/>
  </r>
  <r>
    <d v="2025-12-04T10:13:35"/>
    <x v="10"/>
    <s v="Plaquettes de finition"/>
    <s v="U462308"/>
    <s v="MAITRE SEBASTIEN"/>
    <n v="10"/>
    <x v="0"/>
    <x v="2"/>
    <s v="PLAQUETTES"/>
    <x v="0"/>
    <n v="109.7"/>
  </r>
  <r>
    <d v="2025-12-12T17:06:23"/>
    <x v="4"/>
    <s v="Plaquettes de finition"/>
    <s v="SD13196"/>
    <s v="FRADIN MAXIME"/>
    <n v="5"/>
    <x v="0"/>
    <x v="2"/>
    <s v="PLAQUETTES"/>
    <x v="1"/>
    <n v="47.8"/>
  </r>
  <r>
    <d v="2025-03-04T05:51:10"/>
    <x v="6"/>
    <s v="Plaquettes de finition positives"/>
    <s v="u134838"/>
    <s v="DANAH STEPHANIE"/>
    <n v="10"/>
    <x v="1"/>
    <x v="2"/>
    <s v="PLAQUETTES"/>
    <x v="0"/>
    <n v="87"/>
  </r>
  <r>
    <d v="2025-03-04T05:51:35"/>
    <x v="6"/>
    <s v="Plaquettes de finition positives"/>
    <s v="u134838"/>
    <s v="DANAH STEPHANIE"/>
    <n v="10"/>
    <x v="3"/>
    <x v="2"/>
    <s v="PLAQUETTES"/>
    <x v="3"/>
    <n v="87"/>
  </r>
  <r>
    <d v="2025-03-04T09:37:32"/>
    <x v="2"/>
    <s v="Plaquettes d'ébauches rhombiques"/>
    <s v="SE38185"/>
    <s v="VENIAT PIERRE NICOLAS"/>
    <n v="10"/>
    <x v="3"/>
    <x v="1"/>
    <s v="PLAQUETTES"/>
    <x v="3"/>
    <n v="70"/>
  </r>
  <r>
    <d v="2025-03-04T13:18:28"/>
    <x v="6"/>
    <s v="Plaquettes de finition positives"/>
    <s v="100225"/>
    <s v="PRUNEAU WILLIAM"/>
    <n v="10"/>
    <x v="3"/>
    <x v="2"/>
    <s v="PLAQUETTES"/>
    <x v="3"/>
    <n v="87"/>
  </r>
  <r>
    <d v="2025-03-04T21:33:13"/>
    <x v="6"/>
    <s v="Plaquettes de finition positives"/>
    <s v="VERGE G"/>
    <s v="VERGE GREGORY"/>
    <n v="10"/>
    <x v="3"/>
    <x v="2"/>
    <s v="PLAQUETTES"/>
    <x v="3"/>
    <n v="87"/>
  </r>
  <r>
    <d v="2025-03-04T21:33:32"/>
    <x v="2"/>
    <s v="Plaquettes d'ébauches rhombiques"/>
    <s v="VERGE G"/>
    <s v="VERGE GREGORY"/>
    <n v="10"/>
    <x v="3"/>
    <x v="0"/>
    <s v="PLAQUETTES"/>
    <x v="3"/>
    <n v="70"/>
  </r>
  <r>
    <d v="2025-03-04T21:33:45"/>
    <x v="1"/>
    <s v="Plaquettes d'ébauches carrées"/>
    <s v="VERGE G"/>
    <s v="VERGE GREGORY"/>
    <n v="10"/>
    <x v="3"/>
    <x v="0"/>
    <s v="PLAQUETTES"/>
    <x v="0"/>
    <n v="71.2"/>
  </r>
  <r>
    <d v="2025-12-14T06:55:35"/>
    <x v="4"/>
    <s v="Plaquettes de finition"/>
    <s v="U518765"/>
    <s v="ROY ADELINE"/>
    <n v="5"/>
    <x v="0"/>
    <x v="2"/>
    <s v="PLAQUETTES"/>
    <x v="1"/>
    <n v="47.8"/>
  </r>
  <r>
    <d v="2025-12-15T13:58:58"/>
    <x v="4"/>
    <s v="Plaquettes de finition"/>
    <s v="u134838"/>
    <s v="DANAH STEPHANIE"/>
    <n v="5"/>
    <x v="0"/>
    <x v="2"/>
    <s v="PLAQUETTES"/>
    <x v="1"/>
    <n v="47.8"/>
  </r>
  <r>
    <d v="2025-03-04T21:59:05"/>
    <x v="6"/>
    <s v="Plaquettes de finition positives"/>
    <s v="080924"/>
    <s v="DABLEMONT AURELIEN"/>
    <n v="10"/>
    <x v="1"/>
    <x v="2"/>
    <s v="PLAQUETTES"/>
    <x v="0"/>
    <n v="87"/>
  </r>
  <r>
    <d v="2025-12-15T21:50:22"/>
    <x v="10"/>
    <s v="Plaquettes de finition"/>
    <s v="J519914"/>
    <s v="MARLY DAVID"/>
    <n v="10"/>
    <x v="0"/>
    <x v="2"/>
    <s v="PLAQUETTES"/>
    <x v="0"/>
    <n v="109.7"/>
  </r>
  <r>
    <d v="2025-12-16T13:06:31"/>
    <x v="10"/>
    <s v="Plaquettes de finition"/>
    <s v="u134838"/>
    <s v="DANAH STEPHANIE"/>
    <n v="10"/>
    <x v="0"/>
    <x v="2"/>
    <s v="PLAQUETTES"/>
    <x v="0"/>
    <n v="109.7"/>
  </r>
  <r>
    <d v="2025-03-05T05:46:17"/>
    <x v="6"/>
    <s v="Plaquettes de finition positives"/>
    <s v="u134838"/>
    <s v="DANAH STEPHANIE"/>
    <n v="10"/>
    <x v="1"/>
    <x v="2"/>
    <s v="PLAQUETTES"/>
    <x v="0"/>
    <n v="87"/>
  </r>
  <r>
    <d v="2025-03-05T06:05:48"/>
    <x v="6"/>
    <s v="Plaquettes de finition positives"/>
    <s v="SE38185"/>
    <s v="VENIAT PIERRE NICOLAS"/>
    <n v="10"/>
    <x v="3"/>
    <x v="2"/>
    <s v="PLAQUETTES"/>
    <x v="3"/>
    <n v="87"/>
  </r>
  <r>
    <d v="2025-03-05T09:10:39"/>
    <x v="7"/>
    <s v="Plaquettes de finition triangulaires"/>
    <s v="SE38185"/>
    <s v="VENIAT PIERRE NICOLAS"/>
    <n v="10"/>
    <x v="3"/>
    <x v="2"/>
    <s v="PLAQUETTES"/>
    <x v="3"/>
    <n v="138.80000000000001"/>
  </r>
  <r>
    <d v="2025-03-05T13:21:33"/>
    <x v="1"/>
    <s v="Plaquettes d'ébauches carrées"/>
    <s v="100225"/>
    <s v="PRUNEAU WILLIAM"/>
    <n v="10"/>
    <x v="3"/>
    <x v="1"/>
    <s v="PLAQUETTES"/>
    <x v="3"/>
    <n v="71.2"/>
  </r>
  <r>
    <d v="2025-03-05T13:21:59"/>
    <x v="2"/>
    <s v="Plaquettes d'ébauches rhombiques"/>
    <s v="100225"/>
    <s v="PRUNEAU WILLIAM"/>
    <n v="10"/>
    <x v="3"/>
    <x v="1"/>
    <s v="PLAQUETTES"/>
    <x v="3"/>
    <n v="70"/>
  </r>
  <r>
    <d v="2025-03-05T16:23:55"/>
    <x v="5"/>
    <s v="Plaquettes rondes"/>
    <s v="100225"/>
    <s v="PRUNEAU WILLIAM"/>
    <n v="10"/>
    <x v="3"/>
    <x v="0"/>
    <s v="PLAQUETTES"/>
    <x v="3"/>
    <n v="108.5"/>
  </r>
  <r>
    <d v="2025-12-16T21:09:09"/>
    <x v="10"/>
    <s v="Plaquettes de finition"/>
    <s v="j529800"/>
    <s v="MONTCHARMONT BAPTISTE"/>
    <n v="10"/>
    <x v="0"/>
    <x v="2"/>
    <s v="PLAQUETTES"/>
    <x v="0"/>
    <n v="109.7"/>
  </r>
  <r>
    <d v="2025-03-05T16:50:34"/>
    <x v="1"/>
    <s v="Plaquettes d'ébauches carrées"/>
    <s v="J519914"/>
    <s v="MARLY DAVID"/>
    <n v="10"/>
    <x v="1"/>
    <x v="0"/>
    <s v="PLAQUETTES"/>
    <x v="0"/>
    <n v="71.2"/>
  </r>
  <r>
    <d v="2025-03-05T16:51:22"/>
    <x v="6"/>
    <s v="Plaquettes de finition positives"/>
    <s v="J519914"/>
    <s v="MARLY DAVID"/>
    <n v="10"/>
    <x v="1"/>
    <x v="2"/>
    <s v="PLAQUETTES"/>
    <x v="0"/>
    <n v="87"/>
  </r>
  <r>
    <d v="2025-03-05T21:50:35"/>
    <x v="2"/>
    <s v="Plaquettes d'ébauches rhombiques"/>
    <s v="VERGE G"/>
    <s v="VERGE GREGORY"/>
    <n v="10"/>
    <x v="3"/>
    <x v="0"/>
    <s v="PLAQUETTES"/>
    <x v="3"/>
    <n v="70"/>
  </r>
  <r>
    <d v="2025-03-05T21:50:52"/>
    <x v="1"/>
    <s v="Plaquettes d'ébauches carrées"/>
    <s v="VERGE G"/>
    <s v="VERGE GREGORY"/>
    <n v="10"/>
    <x v="1"/>
    <x v="0"/>
    <s v="PLAQUETTES"/>
    <x v="0"/>
    <n v="71.2"/>
  </r>
  <r>
    <d v="2025-03-05T21:51:09"/>
    <x v="6"/>
    <s v="Plaquettes de finition positives"/>
    <s v="VERGE G"/>
    <s v="VERGE GREGORY"/>
    <n v="10"/>
    <x v="3"/>
    <x v="2"/>
    <s v="PLAQUETTES"/>
    <x v="3"/>
    <n v="87"/>
  </r>
  <r>
    <d v="2025-12-17T13:42:35"/>
    <x v="4"/>
    <s v="Plaquettes de finition"/>
    <s v="u134838"/>
    <s v="DANAH STEPHANIE"/>
    <n v="5"/>
    <x v="0"/>
    <x v="2"/>
    <s v="PLAQUETTES"/>
    <x v="1"/>
    <n v="47.8"/>
  </r>
  <r>
    <d v="2025-12-18T13:55:03"/>
    <x v="4"/>
    <s v="Plaquettes de finition"/>
    <s v="04522ACAA77080"/>
    <s v="VILLALOBOS ANTHONY"/>
    <n v="5"/>
    <x v="0"/>
    <x v="2"/>
    <s v="PLAQUETTES"/>
    <x v="1"/>
    <n v="47.8"/>
  </r>
  <r>
    <d v="2025-01-22T23:00:33"/>
    <x v="6"/>
    <s v="Plaquettes de finition positives"/>
    <s v="080924"/>
    <s v="DABLEMONT AURELIEN"/>
    <n v="10"/>
    <x v="0"/>
    <x v="2"/>
    <s v="PLAQUETTES"/>
    <x v="0"/>
    <n v="87"/>
  </r>
  <r>
    <d v="2025-01-28T14:52:48"/>
    <x v="6"/>
    <s v="Plaquettes de finition positives"/>
    <s v="080924"/>
    <s v="DABLEMONT AURELIEN"/>
    <n v="10"/>
    <x v="0"/>
    <x v="2"/>
    <s v="PLAQUETTES"/>
    <x v="0"/>
    <n v="87"/>
  </r>
  <r>
    <d v="2025-03-06T05:39:25"/>
    <x v="6"/>
    <s v="Plaquettes de finition positives"/>
    <s v="u134838"/>
    <s v="DANAH STEPHANIE"/>
    <n v="10"/>
    <x v="1"/>
    <x v="2"/>
    <s v="PLAQUETTES"/>
    <x v="0"/>
    <n v="87"/>
  </r>
  <r>
    <d v="2025-03-06T09:28:40"/>
    <x v="6"/>
    <s v="Plaquettes de finition positives"/>
    <s v="SE38185"/>
    <s v="VENIAT PIERRE NICOLAS"/>
    <n v="10"/>
    <x v="3"/>
    <x v="2"/>
    <s v="PLAQUETTES"/>
    <x v="3"/>
    <n v="87"/>
  </r>
  <r>
    <d v="2025-02-20T13:34:38"/>
    <x v="6"/>
    <s v="Plaquettes de finition positives"/>
    <s v="080924"/>
    <s v="DABLEMONT AURELIEN"/>
    <n v="10"/>
    <x v="0"/>
    <x v="2"/>
    <s v="PLAQUETTES"/>
    <x v="0"/>
    <n v="87"/>
  </r>
  <r>
    <d v="2025-03-06T17:31:24"/>
    <x v="2"/>
    <s v="Plaquettes d'ébauches rhombiques"/>
    <s v="J519914"/>
    <s v="MARLY DAVID"/>
    <n v="10"/>
    <x v="1"/>
    <x v="0"/>
    <s v="PLAQUETTES"/>
    <x v="0"/>
    <n v="70"/>
  </r>
  <r>
    <d v="2025-03-06T17:32:06"/>
    <x v="2"/>
    <s v="Plaquettes d'ébauches rhombiques"/>
    <s v="J519914"/>
    <s v="MARLY DAVID"/>
    <n v="10"/>
    <x v="1"/>
    <x v="1"/>
    <s v="PLAQUETTES"/>
    <x v="0"/>
    <n v="70"/>
  </r>
  <r>
    <d v="2025-03-07T02:01:44"/>
    <x v="6"/>
    <s v="Plaquettes de finition positives"/>
    <s v="VERGE G"/>
    <s v="VERGE GREGORY"/>
    <n v="10"/>
    <x v="3"/>
    <x v="2"/>
    <s v="PLAQUETTES"/>
    <x v="3"/>
    <n v="87"/>
  </r>
  <r>
    <d v="2025-03-07T06:27:40"/>
    <x v="10"/>
    <s v="Plaquettes de finition"/>
    <s v="U534565"/>
    <s v="HOAREAU MARIUS"/>
    <n v="10"/>
    <x v="3"/>
    <x v="2"/>
    <s v="PLAQUETTES"/>
    <x v="3"/>
    <n v="109.7"/>
  </r>
  <r>
    <d v="2025-03-07T10:12:11"/>
    <x v="6"/>
    <s v="Plaquettes de finition positives"/>
    <s v="U518765"/>
    <s v="ROY ADELINE"/>
    <n v="10"/>
    <x v="1"/>
    <x v="2"/>
    <s v="PLAQUETTES"/>
    <x v="0"/>
    <n v="87"/>
  </r>
  <r>
    <d v="2025-03-07T14:30:25"/>
    <x v="2"/>
    <s v="Plaquettes d'ébauches rhombiques"/>
    <s v="SD13196"/>
    <s v="FRADIN MAXIME"/>
    <n v="10"/>
    <x v="1"/>
    <x v="1"/>
    <s v="PLAQUETTES"/>
    <x v="0"/>
    <n v="70"/>
  </r>
  <r>
    <d v="2025-03-07T14:30:44"/>
    <x v="1"/>
    <s v="Plaquettes d'ébauches carrées"/>
    <s v="SD13196"/>
    <s v="FRADIN MAXIME"/>
    <n v="10"/>
    <x v="1"/>
    <x v="1"/>
    <s v="PLAQUETTES"/>
    <x v="0"/>
    <n v="71.2"/>
  </r>
  <r>
    <d v="2025-03-07T14:31:06"/>
    <x v="5"/>
    <s v="Plaquettes rondes"/>
    <s v="SD13196"/>
    <s v="FRADIN MAXIME"/>
    <n v="10"/>
    <x v="1"/>
    <x v="0"/>
    <s v="PLAQUETTES"/>
    <x v="0"/>
    <n v="108.5"/>
  </r>
  <r>
    <d v="2025-03-07T14:31:22"/>
    <x v="5"/>
    <s v="Plaquettes rondes"/>
    <s v="SD13196"/>
    <s v="FRADIN MAXIME"/>
    <n v="10"/>
    <x v="1"/>
    <x v="0"/>
    <s v="PLAQUETTES"/>
    <x v="0"/>
    <n v="108.5"/>
  </r>
  <r>
    <d v="2025-02-20T18:39:01"/>
    <x v="6"/>
    <s v="Plaquettes de finition positives"/>
    <s v="080924"/>
    <s v="DABLEMONT AURELIEN"/>
    <n v="10"/>
    <x v="0"/>
    <x v="2"/>
    <s v="PLAQUETTES"/>
    <x v="0"/>
    <n v="87"/>
  </r>
  <r>
    <d v="2025-03-07T15:04:19"/>
    <x v="2"/>
    <s v="Plaquettes d'ébauches rhombiques"/>
    <s v="100225"/>
    <s v="PRUNEAU WILLIAM"/>
    <n v="10"/>
    <x v="3"/>
    <x v="1"/>
    <s v="PLAQUETTES"/>
    <x v="3"/>
    <n v="70"/>
  </r>
  <r>
    <d v="2025-03-07T23:27:56"/>
    <x v="6"/>
    <s v="Plaquettes de finition positives"/>
    <s v="U532976"/>
    <s v="LEFORT XAVIER"/>
    <n v="10"/>
    <x v="3"/>
    <x v="2"/>
    <s v="PLAQUETTES"/>
    <x v="3"/>
    <n v="87"/>
  </r>
  <r>
    <d v="2025-02-22T02:02:23"/>
    <x v="6"/>
    <s v="Plaquettes de finition positives"/>
    <s v="u134838"/>
    <s v="DANAH STEPHANIE"/>
    <n v="10"/>
    <x v="0"/>
    <x v="2"/>
    <s v="PLAQUETTES"/>
    <x v="0"/>
    <n v="87"/>
  </r>
  <r>
    <d v="2025-02-22T07:41:36"/>
    <x v="6"/>
    <s v="Plaquettes de finition positives"/>
    <s v="U518765"/>
    <s v="ROY ADELINE"/>
    <n v="10"/>
    <x v="0"/>
    <x v="2"/>
    <s v="PLAQUETTES"/>
    <x v="0"/>
    <n v="87"/>
  </r>
  <r>
    <d v="2025-03-08T06:19:37"/>
    <x v="2"/>
    <s v="Plaquettes d'ébauches rhombiques"/>
    <s v="U534565"/>
    <s v="HOAREAU MARIUS"/>
    <n v="10"/>
    <x v="1"/>
    <x v="0"/>
    <s v="PLAQUETTES"/>
    <x v="0"/>
    <n v="70"/>
  </r>
  <r>
    <d v="2025-03-08T08:17:39"/>
    <x v="2"/>
    <s v="Plaquettes d'ébauches rhombiques"/>
    <s v="U518765"/>
    <s v="ROY ADELINE"/>
    <n v="10"/>
    <x v="3"/>
    <x v="1"/>
    <s v="PLAQUETTES"/>
    <x v="3"/>
    <n v="70"/>
  </r>
  <r>
    <d v="2025-03-08T08:20:48"/>
    <x v="1"/>
    <s v="Plaquettes d'ébauches carrées"/>
    <s v="U518765"/>
    <s v="ROY ADELINE"/>
    <n v="10"/>
    <x v="3"/>
    <x v="1"/>
    <s v="PLAQUETTES"/>
    <x v="3"/>
    <n v="71.2"/>
  </r>
  <r>
    <d v="2025-03-08T08:21:23"/>
    <x v="6"/>
    <s v="Plaquettes de finition positives"/>
    <s v="U518765"/>
    <s v="ROY ADELINE"/>
    <n v="10"/>
    <x v="3"/>
    <x v="2"/>
    <s v="PLAQUETTES"/>
    <x v="3"/>
    <n v="87"/>
  </r>
  <r>
    <d v="2025-02-22T18:47:03"/>
    <x v="6"/>
    <s v="Plaquettes de finition positives"/>
    <s v="J519914"/>
    <s v="MARLY DAVID"/>
    <n v="10"/>
    <x v="0"/>
    <x v="2"/>
    <s v="PLAQUETTES"/>
    <x v="0"/>
    <n v="87"/>
  </r>
  <r>
    <d v="2025-02-22T18:47:23"/>
    <x v="6"/>
    <s v="Plaquettes de finition positives"/>
    <s v="J519914"/>
    <s v="MARLY DAVID"/>
    <n v="10"/>
    <x v="0"/>
    <x v="2"/>
    <s v="PLAQUETTES"/>
    <x v="0"/>
    <n v="87"/>
  </r>
  <r>
    <d v="2025-02-23T07:51:00"/>
    <x v="6"/>
    <s v="Plaquettes de finition positives"/>
    <s v="U518765"/>
    <s v="ROY ADELINE"/>
    <n v="10"/>
    <x v="0"/>
    <x v="2"/>
    <s v="PLAQUETTES"/>
    <x v="0"/>
    <n v="87"/>
  </r>
  <r>
    <d v="2025-02-23T17:22:01"/>
    <x v="6"/>
    <s v="Plaquettes de finition positives"/>
    <s v="U109136"/>
    <s v="WIPLIE FREDERIC"/>
    <n v="10"/>
    <x v="0"/>
    <x v="2"/>
    <s v="PLAQUETTES"/>
    <x v="0"/>
    <n v="87"/>
  </r>
  <r>
    <d v="2025-02-26T13:49:34"/>
    <x v="6"/>
    <s v="Plaquettes de finition positives"/>
    <s v="SF51433"/>
    <s v="BONTEMS COLINE"/>
    <n v="10"/>
    <x v="0"/>
    <x v="2"/>
    <s v="PLAQUETTES"/>
    <x v="3"/>
    <n v="87"/>
  </r>
  <r>
    <d v="2025-03-08T06:19:15"/>
    <x v="6"/>
    <s v="Plaquettes de finition positives"/>
    <s v="U534565"/>
    <s v="HOAREAU MARIUS"/>
    <n v="10"/>
    <x v="0"/>
    <x v="2"/>
    <s v="PLAQUETTES"/>
    <x v="0"/>
    <n v="87"/>
  </r>
  <r>
    <d v="2025-03-08T18:39:45"/>
    <x v="6"/>
    <s v="Plaquettes de finition positives"/>
    <s v="U198152"/>
    <s v="AJMIK MUSTAPHA"/>
    <n v="10"/>
    <x v="3"/>
    <x v="2"/>
    <s v="PLAQUETTES"/>
    <x v="3"/>
    <n v="87"/>
  </r>
  <r>
    <d v="2025-03-08T18:40:04"/>
    <x v="7"/>
    <s v="Plaquettes de finition triangulaires"/>
    <s v="U198152"/>
    <s v="AJMIK MUSTAPHA"/>
    <n v="10"/>
    <x v="3"/>
    <x v="2"/>
    <s v="PLAQUETTES"/>
    <x v="3"/>
    <n v="138.80000000000001"/>
  </r>
  <r>
    <d v="2025-03-08T18:40:26"/>
    <x v="2"/>
    <s v="Plaquettes d'ébauches rhombiques"/>
    <s v="U198152"/>
    <s v="AJMIK MUSTAPHA"/>
    <n v="10"/>
    <x v="3"/>
    <x v="0"/>
    <s v="PLAQUETTES"/>
    <x v="3"/>
    <n v="70"/>
  </r>
  <r>
    <d v="2025-03-19T01:07:22"/>
    <x v="6"/>
    <s v="Plaquettes de finition positives"/>
    <s v="SD13196"/>
    <s v="FRADIN MAXIME"/>
    <n v="10"/>
    <x v="0"/>
    <x v="2"/>
    <s v="PLAQUETTES"/>
    <x v="0"/>
    <n v="87"/>
  </r>
  <r>
    <d v="2025-03-09T07:01:35"/>
    <x v="2"/>
    <s v="Plaquettes d'ébauches rhombiques"/>
    <s v="U534565"/>
    <s v="HOAREAU MARIUS"/>
    <n v="10"/>
    <x v="1"/>
    <x v="1"/>
    <s v="PLAQUETTES"/>
    <x v="0"/>
    <n v="70"/>
  </r>
  <r>
    <d v="2025-03-09T07:01:58"/>
    <x v="6"/>
    <s v="Plaquettes de finition positives"/>
    <s v="U534565"/>
    <s v="HOAREAU MARIUS"/>
    <n v="10"/>
    <x v="1"/>
    <x v="2"/>
    <s v="PLAQUETTES"/>
    <x v="0"/>
    <n v="87"/>
  </r>
  <r>
    <d v="2025-03-20T00:53:20"/>
    <x v="6"/>
    <s v="Plaquettes de finition positives"/>
    <s v="J519914"/>
    <s v="MARLY DAVID"/>
    <n v="10"/>
    <x v="0"/>
    <x v="2"/>
    <s v="PLAQUETTES"/>
    <x v="0"/>
    <n v="87"/>
  </r>
  <r>
    <d v="2025-03-09T16:55:05"/>
    <x v="6"/>
    <s v="Plaquettes de finition positives"/>
    <s v="U054304"/>
    <s v="BOUACHIK HICHAM"/>
    <n v="10"/>
    <x v="3"/>
    <x v="2"/>
    <s v="PLAQUETTES"/>
    <x v="3"/>
    <n v="87"/>
  </r>
  <r>
    <d v="2025-03-09T16:55:22"/>
    <x v="2"/>
    <s v="Plaquettes d'ébauches rhombiques"/>
    <s v="U054304"/>
    <s v="BOUACHIK HICHAM"/>
    <n v="10"/>
    <x v="3"/>
    <x v="0"/>
    <s v="PLAQUETTES"/>
    <x v="3"/>
    <n v="70"/>
  </r>
  <r>
    <d v="2025-03-20T05:32:11"/>
    <x v="6"/>
    <s v="Plaquettes de finition positives"/>
    <s v="080924"/>
    <s v="DABLEMONT AURELIEN"/>
    <n v="10"/>
    <x v="0"/>
    <x v="2"/>
    <s v="PLAQUETTES"/>
    <x v="0"/>
    <n v="87"/>
  </r>
  <r>
    <d v="2025-03-09T17:10:33"/>
    <x v="6"/>
    <s v="Plaquettes de finition positives"/>
    <s v="U054304"/>
    <s v="BOUACHIK HICHAM"/>
    <n v="10"/>
    <x v="1"/>
    <x v="2"/>
    <s v="PLAQUETTES"/>
    <x v="0"/>
    <n v="87"/>
  </r>
  <r>
    <d v="2025-03-09T17:10:55"/>
    <x v="10"/>
    <s v="Plaquettes de finition"/>
    <s v="U054304"/>
    <s v="BOUACHIK HICHAM"/>
    <n v="10"/>
    <x v="1"/>
    <x v="2"/>
    <s v="PLAQUETTES"/>
    <x v="0"/>
    <n v="109.7"/>
  </r>
  <r>
    <d v="2025-03-09T17:11:27"/>
    <x v="7"/>
    <s v="Plaquettes de finition triangulaires"/>
    <s v="U054304"/>
    <s v="BOUACHIK HICHAM"/>
    <n v="10"/>
    <x v="1"/>
    <x v="2"/>
    <s v="PLAQUETTES"/>
    <x v="0"/>
    <n v="138.80000000000001"/>
  </r>
  <r>
    <d v="2025-03-22T16:47:39"/>
    <x v="6"/>
    <s v="Plaquettes de finition positives"/>
    <s v="U054304"/>
    <s v="BOUACHIK HICHAM"/>
    <n v="10"/>
    <x v="0"/>
    <x v="2"/>
    <s v="PLAQUETTES"/>
    <x v="0"/>
    <n v="87"/>
  </r>
  <r>
    <d v="2025-03-22T16:48:24"/>
    <x v="6"/>
    <s v="Plaquettes de finition positives"/>
    <s v="U054304"/>
    <s v="BOUACHIK HICHAM"/>
    <n v="10"/>
    <x v="0"/>
    <x v="2"/>
    <s v="PLAQUETTES"/>
    <x v="0"/>
    <n v="87"/>
  </r>
  <r>
    <d v="2025-03-23T17:19:17"/>
    <x v="6"/>
    <s v="Plaquettes de finition positives"/>
    <s v="U054304"/>
    <s v="BOUACHIK HICHAM"/>
    <n v="10"/>
    <x v="0"/>
    <x v="2"/>
    <s v="PLAQUETTES"/>
    <x v="0"/>
    <n v="87"/>
  </r>
  <r>
    <d v="2025-03-24T05:16:49"/>
    <x v="6"/>
    <s v="Plaquettes de finition positives"/>
    <s v="170325"/>
    <s v="VERDELET BASTIEN"/>
    <n v="10"/>
    <x v="0"/>
    <x v="2"/>
    <s v="PLAQUETTES"/>
    <x v="0"/>
    <n v="87"/>
  </r>
  <r>
    <d v="2025-03-10T05:33:50"/>
    <x v="6"/>
    <s v="Plaquettes de finition positives"/>
    <s v="J519914"/>
    <s v="MARLY DAVID"/>
    <n v="10"/>
    <x v="1"/>
    <x v="2"/>
    <s v="PLAQUETTES"/>
    <x v="0"/>
    <n v="87"/>
  </r>
  <r>
    <d v="2025-03-10T08:52:59"/>
    <x v="9"/>
    <s v="Plaquettes rhombiques"/>
    <s v="12824586"/>
    <s v="DA SILVA FERNANDO"/>
    <n v="5"/>
    <x v="3"/>
    <x v="0"/>
    <s v="PLAQUETTES"/>
    <x v="5"/>
    <n v="44.85"/>
  </r>
  <r>
    <d v="2025-03-10T09:14:16"/>
    <x v="6"/>
    <s v="Plaquettes de finition positives"/>
    <s v="100225"/>
    <s v="PRUNEAU WILLIAM"/>
    <n v="10"/>
    <x v="3"/>
    <x v="2"/>
    <s v="PLAQUETTES"/>
    <x v="3"/>
    <n v="87"/>
  </r>
  <r>
    <d v="2025-03-10T13:09:04"/>
    <x v="2"/>
    <s v="Plaquettes d'ébauches rhombiques"/>
    <s v="VERGE G"/>
    <s v="VERGE GREGORY"/>
    <n v="10"/>
    <x v="3"/>
    <x v="0"/>
    <s v="PLAQUETTES"/>
    <x v="3"/>
    <n v="70"/>
  </r>
  <r>
    <d v="2025-03-10T13:09:29"/>
    <x v="1"/>
    <s v="Plaquettes d'ébauches carrées"/>
    <s v="VERGE G"/>
    <s v="VERGE GREGORY"/>
    <n v="10"/>
    <x v="3"/>
    <x v="0"/>
    <s v="PLAQUETTES"/>
    <x v="3"/>
    <n v="71.2"/>
  </r>
  <r>
    <d v="2025-03-10T13:09:47"/>
    <x v="6"/>
    <s v="Plaquettes de finition positives"/>
    <s v="VERGE G"/>
    <s v="VERGE GREGORY"/>
    <n v="10"/>
    <x v="3"/>
    <x v="2"/>
    <s v="PLAQUETTES"/>
    <x v="3"/>
    <n v="87"/>
  </r>
  <r>
    <d v="2025-03-10T17:10:14"/>
    <x v="2"/>
    <s v="Plaquettes d'ébauches rhombiques"/>
    <s v="080924"/>
    <s v="DABLEMONT AURELIEN"/>
    <n v="10"/>
    <x v="1"/>
    <x v="1"/>
    <s v="PLAQUETTES"/>
    <x v="0"/>
    <n v="70"/>
  </r>
  <r>
    <d v="2025-03-24T05:17:07"/>
    <x v="6"/>
    <s v="Plaquettes de finition positives"/>
    <s v="170325"/>
    <s v="VERDELET BASTIEN"/>
    <n v="10"/>
    <x v="0"/>
    <x v="2"/>
    <s v="PLAQUETTES"/>
    <x v="0"/>
    <n v="87"/>
  </r>
  <r>
    <d v="2025-03-24T22:37:48"/>
    <x v="6"/>
    <s v="Plaquettes de finition positives"/>
    <s v="080924"/>
    <s v="DABLEMONT AURELIEN"/>
    <n v="10"/>
    <x v="0"/>
    <x v="2"/>
    <s v="PLAQUETTES"/>
    <x v="0"/>
    <n v="87"/>
  </r>
  <r>
    <d v="2025-03-25T13:17:49"/>
    <x v="6"/>
    <s v="Plaquettes de finition positives"/>
    <s v="J519914"/>
    <s v="MARLY DAVID"/>
    <n v="10"/>
    <x v="0"/>
    <x v="2"/>
    <s v="PLAQUETTES"/>
    <x v="0"/>
    <n v="87"/>
  </r>
  <r>
    <d v="2025-03-10T21:30:56"/>
    <x v="10"/>
    <s v="Plaquettes de finition"/>
    <s v="SE38185"/>
    <s v="VENIAT PIERRE NICOLAS"/>
    <n v="10"/>
    <x v="3"/>
    <x v="2"/>
    <s v="PLAQUETTES"/>
    <x v="3"/>
    <n v="109.7"/>
  </r>
  <r>
    <d v="2025-03-10T21:31:25"/>
    <x v="2"/>
    <s v="Plaquettes d'ébauches rhombiques"/>
    <s v="SE38185"/>
    <s v="VENIAT PIERRE NICOLAS"/>
    <n v="10"/>
    <x v="3"/>
    <x v="1"/>
    <s v="PLAQUETTES"/>
    <x v="3"/>
    <n v="70"/>
  </r>
  <r>
    <d v="2025-03-26T21:16:43"/>
    <x v="6"/>
    <s v="Plaquettes de finition positives"/>
    <s v="080924"/>
    <s v="DABLEMONT AURELIEN"/>
    <n v="10"/>
    <x v="0"/>
    <x v="2"/>
    <s v="PLAQUETTES"/>
    <x v="0"/>
    <n v="87"/>
  </r>
  <r>
    <d v="2025-03-11T05:52:18"/>
    <x v="6"/>
    <s v="Plaquettes de finition positives"/>
    <s v="100225"/>
    <s v="PRUNEAU WILLIAM"/>
    <n v="10"/>
    <x v="3"/>
    <x v="2"/>
    <s v="PLAQUETTES"/>
    <x v="3"/>
    <n v="87"/>
  </r>
  <r>
    <d v="2025-03-27T17:18:45"/>
    <x v="6"/>
    <s v="Plaquettes de finition positives"/>
    <s v="SD13196"/>
    <s v="FRADIN MAXIME"/>
    <n v="10"/>
    <x v="0"/>
    <x v="2"/>
    <s v="PLAQUETTES"/>
    <x v="0"/>
    <n v="87"/>
  </r>
  <r>
    <d v="2025-03-27T21:18:03"/>
    <x v="6"/>
    <s v="Plaquettes de finition positives"/>
    <s v="080924"/>
    <s v="DABLEMONT AURELIEN"/>
    <n v="10"/>
    <x v="0"/>
    <x v="2"/>
    <s v="PLAQUETTES"/>
    <x v="0"/>
    <n v="87"/>
  </r>
  <r>
    <d v="2025-03-28T13:03:34"/>
    <x v="6"/>
    <s v="Plaquettes de finition positives"/>
    <s v="100225"/>
    <s v="PRUNEAU WILLIAM"/>
    <n v="10"/>
    <x v="0"/>
    <x v="2"/>
    <s v="PLAQUETTES"/>
    <x v="0"/>
    <n v="87"/>
  </r>
  <r>
    <d v="2025-03-29T05:12:41"/>
    <x v="6"/>
    <s v="Plaquettes de finition positives"/>
    <s v="U054304"/>
    <s v="BOUACHIK HICHAM"/>
    <n v="10"/>
    <x v="0"/>
    <x v="2"/>
    <s v="PLAQUETTES"/>
    <x v="0"/>
    <n v="87"/>
  </r>
  <r>
    <d v="2025-03-11T12:09:31"/>
    <x v="6"/>
    <s v="Plaquettes de finition positives"/>
    <s v="SD13196"/>
    <s v="FRADIN MAXIME"/>
    <n v="10"/>
    <x v="1"/>
    <x v="2"/>
    <s v="PLAQUETTES"/>
    <x v="0"/>
    <n v="87"/>
  </r>
  <r>
    <d v="2025-03-11T13:11:17"/>
    <x v="2"/>
    <s v="Plaquettes d'ébauches rhombiques"/>
    <s v="12824586"/>
    <s v="DA SILVA FERNANDO"/>
    <n v="20"/>
    <x v="3"/>
    <x v="0"/>
    <s v="PLAQUETTES"/>
    <x v="3"/>
    <n v="140"/>
  </r>
  <r>
    <d v="2025-03-11T13:11:44"/>
    <x v="1"/>
    <s v="Plaquettes d'ébauches carrées"/>
    <s v="12824586"/>
    <s v="DA SILVA FERNANDO"/>
    <n v="20"/>
    <x v="3"/>
    <x v="0"/>
    <s v="PLAQUETTES"/>
    <x v="3"/>
    <n v="142.4"/>
  </r>
  <r>
    <d v="2025-03-11T13:12:03"/>
    <x v="6"/>
    <s v="Plaquettes de finition positives"/>
    <s v="12824586"/>
    <s v="DA SILVA FERNANDO"/>
    <n v="10"/>
    <x v="3"/>
    <x v="2"/>
    <s v="PLAQUETTES"/>
    <x v="3"/>
    <n v="87"/>
  </r>
  <r>
    <d v="2025-03-11T13:24:22"/>
    <x v="6"/>
    <s v="Plaquettes de finition positives"/>
    <s v="080924"/>
    <s v="DABLEMONT AURELIEN"/>
    <n v="10"/>
    <x v="1"/>
    <x v="2"/>
    <s v="PLAQUETTES"/>
    <x v="0"/>
    <n v="87"/>
  </r>
  <r>
    <d v="2025-03-11T13:24:38"/>
    <x v="2"/>
    <s v="Plaquettes d'ébauches rhombiques"/>
    <s v="080924"/>
    <s v="DABLEMONT AURELIEN"/>
    <n v="10"/>
    <x v="1"/>
    <x v="1"/>
    <s v="PLAQUETTES"/>
    <x v="0"/>
    <n v="70"/>
  </r>
  <r>
    <d v="2025-03-30T04:23:04"/>
    <x v="6"/>
    <s v="Plaquettes de finition positives"/>
    <s v="U534565"/>
    <s v="HOAREAU MARIUS"/>
    <n v="10"/>
    <x v="0"/>
    <x v="2"/>
    <s v="PLAQUETTES"/>
    <x v="0"/>
    <n v="87"/>
  </r>
  <r>
    <d v="2025-03-31T16:13:32"/>
    <x v="6"/>
    <s v="Plaquettes de finition positives"/>
    <s v="VERGE G"/>
    <s v="VERGE GREGORY"/>
    <n v="10"/>
    <x v="0"/>
    <x v="2"/>
    <s v="PLAQUETTES"/>
    <x v="0"/>
    <n v="87"/>
  </r>
  <r>
    <d v="2025-03-12T00:20:17"/>
    <x v="5"/>
    <s v="Plaquettes rondes"/>
    <s v="SE38185"/>
    <s v="VENIAT PIERRE NICOLAS"/>
    <n v="10"/>
    <x v="3"/>
    <x v="0"/>
    <s v="PLAQUETTES"/>
    <x v="3"/>
    <n v="108.5"/>
  </r>
  <r>
    <d v="2025-03-31T16:13:53"/>
    <x v="6"/>
    <s v="Plaquettes de finition positives"/>
    <s v="VERGE G"/>
    <s v="VERGE GREGORY"/>
    <n v="10"/>
    <x v="0"/>
    <x v="2"/>
    <s v="PLAQUETTES"/>
    <x v="0"/>
    <n v="87"/>
  </r>
  <r>
    <d v="2025-03-12T04:06:07"/>
    <x v="2"/>
    <s v="Plaquettes d'ébauches rhombiques"/>
    <s v="SE38185"/>
    <s v="VENIAT PIERRE NICOLAS"/>
    <n v="10"/>
    <x v="3"/>
    <x v="1"/>
    <s v="PLAQUETTES"/>
    <x v="3"/>
    <n v="70"/>
  </r>
  <r>
    <d v="2025-03-12T06:32:18"/>
    <x v="6"/>
    <s v="Plaquettes de finition positives"/>
    <s v="SD13196"/>
    <s v="FRADIN MAXIME"/>
    <n v="10"/>
    <x v="1"/>
    <x v="2"/>
    <s v="PLAQUETTES"/>
    <x v="0"/>
    <n v="87"/>
  </r>
  <r>
    <d v="2025-03-12T06:32:45"/>
    <x v="2"/>
    <s v="Plaquettes d'ébauches rhombiques"/>
    <s v="SD13196"/>
    <s v="FRADIN MAXIME"/>
    <n v="10"/>
    <x v="1"/>
    <x v="0"/>
    <s v="PLAQUETTES"/>
    <x v="0"/>
    <n v="70"/>
  </r>
  <r>
    <d v="2025-03-31T21:10:18"/>
    <x v="6"/>
    <s v="Plaquettes de finition positives"/>
    <s v="SE38185"/>
    <s v="VENIAT PIERRE NICOLAS"/>
    <n v="10"/>
    <x v="0"/>
    <x v="2"/>
    <s v="PLAQUETTES"/>
    <x v="0"/>
    <n v="87"/>
  </r>
  <r>
    <d v="2025-04-01T13:09:33"/>
    <x v="6"/>
    <s v="Plaquettes de finition positives"/>
    <s v="080924"/>
    <s v="DABLEMONT AURELIEN"/>
    <n v="10"/>
    <x v="0"/>
    <x v="2"/>
    <s v="PLAQUETTES"/>
    <x v="0"/>
    <n v="87"/>
  </r>
  <r>
    <d v="2025-04-02T02:26:33"/>
    <x v="6"/>
    <s v="Plaquettes de finition positives"/>
    <s v="170325"/>
    <s v="VERDELET BASTIEN"/>
    <n v="10"/>
    <x v="0"/>
    <x v="2"/>
    <s v="PLAQUETTES"/>
    <x v="0"/>
    <n v="87"/>
  </r>
  <r>
    <d v="2025-03-12T06:35:00"/>
    <x v="7"/>
    <s v="Plaquettes de finition triangulaires"/>
    <s v="SD13196"/>
    <s v="FRADIN MAXIME"/>
    <n v="10"/>
    <x v="1"/>
    <x v="2"/>
    <s v="PLAQUETTES"/>
    <x v="0"/>
    <n v="138.80000000000001"/>
  </r>
  <r>
    <d v="2025-03-12T06:35:26"/>
    <x v="6"/>
    <s v="Plaquettes de finition positives"/>
    <s v="SD13196"/>
    <s v="FRADIN MAXIME"/>
    <n v="10"/>
    <x v="1"/>
    <x v="2"/>
    <s v="PLAQUETTES"/>
    <x v="0"/>
    <n v="87"/>
  </r>
  <r>
    <d v="2025-03-12T09:14:19"/>
    <x v="6"/>
    <s v="Plaquettes de finition positives"/>
    <s v="100225"/>
    <s v="PRUNEAU WILLIAM"/>
    <n v="10"/>
    <x v="3"/>
    <x v="2"/>
    <s v="PLAQUETTES"/>
    <x v="3"/>
    <n v="87"/>
  </r>
  <r>
    <d v="2025-03-12T14:00:22"/>
    <x v="6"/>
    <s v="Plaquettes de finition positives"/>
    <s v="VERGE G"/>
    <s v="VERGE GREGORY"/>
    <n v="10"/>
    <x v="3"/>
    <x v="2"/>
    <s v="PLAQUETTES"/>
    <x v="3"/>
    <n v="87"/>
  </r>
  <r>
    <d v="2025-03-12T14:31:18"/>
    <x v="4"/>
    <s v="Plaquettes de finition"/>
    <s v="VERGE G"/>
    <s v="VERGE GREGORY"/>
    <n v="5"/>
    <x v="2"/>
    <x v="2"/>
    <s v="PLAQUETTES"/>
    <x v="1"/>
    <n v="47.8"/>
  </r>
  <r>
    <d v="2025-03-12T14:31:39"/>
    <x v="9"/>
    <s v="Plaquettes rhombiques"/>
    <s v="VERGE G"/>
    <s v="VERGE GREGORY"/>
    <n v="5"/>
    <x v="2"/>
    <x v="2"/>
    <s v="PLAQUETTES"/>
    <x v="1"/>
    <n v="44.85"/>
  </r>
  <r>
    <d v="2025-03-12T14:32:03"/>
    <x v="4"/>
    <s v="Plaquettes de finition"/>
    <s v="VERGE G"/>
    <s v="VERGE GREGORY"/>
    <n v="5"/>
    <x v="2"/>
    <x v="2"/>
    <s v="PLAQUETTES"/>
    <x v="1"/>
    <n v="47.8"/>
  </r>
  <r>
    <d v="2025-04-02T13:19:37"/>
    <x v="6"/>
    <s v="Plaquettes de finition positives"/>
    <s v="080924"/>
    <s v="DABLEMONT AURELIEN"/>
    <n v="10"/>
    <x v="0"/>
    <x v="2"/>
    <s v="PLAQUETTES"/>
    <x v="0"/>
    <n v="87"/>
  </r>
  <r>
    <d v="2025-03-12T15:50:01"/>
    <x v="6"/>
    <s v="Plaquettes de finition positives"/>
    <s v="080924"/>
    <s v="DABLEMONT AURELIEN"/>
    <n v="10"/>
    <x v="1"/>
    <x v="2"/>
    <s v="PLAQUETTES"/>
    <x v="0"/>
    <n v="87"/>
  </r>
  <r>
    <d v="2025-04-03T13:17:49"/>
    <x v="6"/>
    <s v="Plaquettes de finition positives"/>
    <s v="080924"/>
    <s v="DABLEMONT AURELIEN"/>
    <n v="10"/>
    <x v="0"/>
    <x v="2"/>
    <s v="PLAQUETTES"/>
    <x v="0"/>
    <n v="87"/>
  </r>
  <r>
    <d v="2025-04-04T18:24:05"/>
    <x v="6"/>
    <s v="Plaquettes de finition positives"/>
    <s v="080924"/>
    <s v="DABLEMONT AURELIEN"/>
    <n v="10"/>
    <x v="0"/>
    <x v="2"/>
    <s v="PLAQUETTES"/>
    <x v="0"/>
    <n v="87"/>
  </r>
  <r>
    <d v="2025-03-12T15:51:33"/>
    <x v="1"/>
    <s v="Plaquettes d'ébauches carrées"/>
    <s v="080924"/>
    <s v="DABLEMONT AURELIEN"/>
    <n v="10"/>
    <x v="1"/>
    <x v="1"/>
    <s v="PLAQUETTES"/>
    <x v="0"/>
    <n v="71.2"/>
  </r>
  <r>
    <d v="2025-04-05T12:13:25"/>
    <x v="6"/>
    <s v="Plaquettes de finition positives"/>
    <s v="U080365"/>
    <s v="ALAVOINE SAMUEL"/>
    <n v="10"/>
    <x v="0"/>
    <x v="2"/>
    <s v="PLAQUETTES"/>
    <x v="0"/>
    <n v="87"/>
  </r>
  <r>
    <d v="2025-03-12T21:12:01"/>
    <x v="5"/>
    <s v="Plaquettes rondes"/>
    <s v="170325"/>
    <s v="VERDELET BASTIEN"/>
    <n v="10"/>
    <x v="1"/>
    <x v="0"/>
    <s v="PLAQUETTES"/>
    <x v="0"/>
    <n v="108.5"/>
  </r>
  <r>
    <d v="2025-03-12T21:21:42"/>
    <x v="7"/>
    <s v="Plaquettes de finition triangulaires"/>
    <s v="SE38185"/>
    <s v="VENIAT PIERRE NICOLAS"/>
    <n v="10"/>
    <x v="3"/>
    <x v="2"/>
    <s v="PLAQUETTES"/>
    <x v="3"/>
    <n v="138.80000000000001"/>
  </r>
  <r>
    <d v="2025-03-12T21:22:07"/>
    <x v="2"/>
    <s v="Plaquettes d'ébauches rhombiques"/>
    <s v="SE38185"/>
    <s v="VENIAT PIERRE NICOLAS"/>
    <n v="10"/>
    <x v="2"/>
    <x v="1"/>
    <s v="PLAQUETTES"/>
    <x v="1"/>
    <n v="70"/>
  </r>
  <r>
    <d v="2025-03-12T21:22:34"/>
    <x v="3"/>
    <s v="Plaquettes rondes"/>
    <s v="SE38185"/>
    <s v="VENIAT PIERRE NICOLAS"/>
    <n v="10"/>
    <x v="2"/>
    <x v="0"/>
    <s v="PLAQUETTES"/>
    <x v="1"/>
    <n v="136.69999999999999"/>
  </r>
  <r>
    <d v="2025-03-12T21:23:03"/>
    <x v="2"/>
    <s v="Plaquettes d'ébauches rhombiques"/>
    <s v="SE38185"/>
    <s v="VENIAT PIERRE NICOLAS"/>
    <n v="10"/>
    <x v="3"/>
    <x v="0"/>
    <s v="PLAQUETTES"/>
    <x v="3"/>
    <n v="70"/>
  </r>
  <r>
    <d v="2025-03-13T05:03:51"/>
    <x v="6"/>
    <s v="Plaquettes de finition positives"/>
    <s v="100225"/>
    <s v="PRUNEAU WILLIAM"/>
    <n v="10"/>
    <x v="3"/>
    <x v="2"/>
    <s v="PLAQUETTES"/>
    <x v="3"/>
    <n v="87"/>
  </r>
  <r>
    <d v="2025-04-05T18:05:44"/>
    <x v="6"/>
    <s v="Plaquettes de finition positives"/>
    <s v="J534699"/>
    <s v="CHARTON FABIAN"/>
    <n v="10"/>
    <x v="0"/>
    <x v="2"/>
    <s v="PLAQUETTES"/>
    <x v="0"/>
    <n v="87"/>
  </r>
  <r>
    <d v="2025-03-13T13:05:45"/>
    <x v="2"/>
    <s v="Plaquettes d'ébauches rhombiques"/>
    <s v="VERGE G"/>
    <s v="VERGE GREGORY"/>
    <n v="10"/>
    <x v="2"/>
    <x v="0"/>
    <s v="PLAQUETTES"/>
    <x v="1"/>
    <n v="70"/>
  </r>
  <r>
    <d v="2025-03-13T13:06:05"/>
    <x v="1"/>
    <s v="Plaquettes d'ébauches carrées"/>
    <s v="VERGE G"/>
    <s v="VERGE GREGORY"/>
    <n v="10"/>
    <x v="2"/>
    <x v="0"/>
    <s v="PLAQUETTES"/>
    <x v="1"/>
    <n v="71.2"/>
  </r>
  <r>
    <d v="2025-03-13T13:06:28"/>
    <x v="2"/>
    <s v="Plaquettes d'ébauches rhombiques"/>
    <s v="VERGE G"/>
    <s v="VERGE GREGORY"/>
    <n v="10"/>
    <x v="3"/>
    <x v="0"/>
    <s v="PLAQUETTES"/>
    <x v="3"/>
    <n v="70"/>
  </r>
  <r>
    <d v="2025-03-13T13:06:52"/>
    <x v="1"/>
    <s v="Plaquettes d'ébauches carrées"/>
    <s v="VERGE G"/>
    <s v="VERGE GREGORY"/>
    <n v="10"/>
    <x v="1"/>
    <x v="0"/>
    <s v="PLAQUETTES"/>
    <x v="0"/>
    <n v="71.2"/>
  </r>
  <r>
    <d v="2025-04-06T09:44:15"/>
    <x v="6"/>
    <s v="Plaquettes de finition positives"/>
    <s v="U080365"/>
    <s v="ALAVOINE SAMUEL"/>
    <n v="10"/>
    <x v="0"/>
    <x v="2"/>
    <s v="PLAQUETTES"/>
    <x v="0"/>
    <n v="87"/>
  </r>
  <r>
    <d v="2025-04-08T05:09:56"/>
    <x v="6"/>
    <s v="Plaquettes de finition positives"/>
    <s v="080924"/>
    <s v="DABLEMONT AURELIEN"/>
    <n v="10"/>
    <x v="0"/>
    <x v="2"/>
    <s v="PLAQUETTES"/>
    <x v="0"/>
    <n v="87"/>
  </r>
  <r>
    <d v="2025-04-08T13:38:34"/>
    <x v="6"/>
    <s v="Plaquettes de finition positives"/>
    <s v="170325"/>
    <s v="VERDELET BASTIEN"/>
    <n v="10"/>
    <x v="0"/>
    <x v="2"/>
    <s v="PLAQUETTES"/>
    <x v="0"/>
    <n v="87"/>
  </r>
  <r>
    <d v="2025-03-13T13:53:14"/>
    <x v="6"/>
    <s v="Plaquettes de finition positives"/>
    <s v="J534699"/>
    <s v="CHARTON FABIAN"/>
    <n v="10"/>
    <x v="1"/>
    <x v="2"/>
    <s v="PLAQUETTES"/>
    <x v="0"/>
    <n v="87"/>
  </r>
  <r>
    <d v="2025-03-13T13:53:51"/>
    <x v="6"/>
    <s v="Plaquettes de finition positives"/>
    <s v="J534699"/>
    <s v="CHARTON FABIAN"/>
    <n v="10"/>
    <x v="1"/>
    <x v="2"/>
    <s v="PLAQUETTES"/>
    <x v="0"/>
    <n v="87"/>
  </r>
  <r>
    <d v="2025-04-08T21:20:12"/>
    <x v="6"/>
    <s v="Plaquettes de finition positives"/>
    <s v="J519914"/>
    <s v="MARLY DAVID"/>
    <n v="10"/>
    <x v="0"/>
    <x v="2"/>
    <s v="PLAQUETTES"/>
    <x v="0"/>
    <n v="87"/>
  </r>
  <r>
    <d v="2025-04-09T12:14:29"/>
    <x v="6"/>
    <s v="Plaquettes de finition positives"/>
    <s v="080924"/>
    <s v="DABLEMONT AURELIEN"/>
    <n v="10"/>
    <x v="0"/>
    <x v="2"/>
    <s v="PLAQUETTES"/>
    <x v="0"/>
    <n v="87"/>
  </r>
  <r>
    <d v="2025-04-09T23:39:10"/>
    <x v="6"/>
    <s v="Plaquettes de finition positives"/>
    <s v="J519914"/>
    <s v="MARLY DAVID"/>
    <n v="10"/>
    <x v="0"/>
    <x v="2"/>
    <s v="PLAQUETTES"/>
    <x v="0"/>
    <n v="87"/>
  </r>
  <r>
    <d v="2025-03-13T21:31:09"/>
    <x v="10"/>
    <s v="Plaquettes de finition"/>
    <s v="170325"/>
    <s v="VERDELET BASTIEN"/>
    <n v="10"/>
    <x v="1"/>
    <x v="2"/>
    <s v="PLAQUETTES"/>
    <x v="0"/>
    <n v="109.7"/>
  </r>
  <r>
    <d v="2025-03-13T21:31:48"/>
    <x v="5"/>
    <s v="Plaquettes rondes"/>
    <s v="170325"/>
    <s v="VERDELET BASTIEN"/>
    <n v="10"/>
    <x v="1"/>
    <x v="0"/>
    <s v="PLAQUETTES"/>
    <x v="0"/>
    <n v="108.5"/>
  </r>
  <r>
    <d v="2025-03-14T01:35:57"/>
    <x v="6"/>
    <s v="Plaquettes de finition positives"/>
    <s v="SE38185"/>
    <s v="VENIAT PIERRE NICOLAS"/>
    <n v="10"/>
    <x v="3"/>
    <x v="2"/>
    <s v="PLAQUETTES"/>
    <x v="0"/>
    <n v="87"/>
  </r>
  <r>
    <d v="2025-03-14T01:36:20"/>
    <x v="9"/>
    <s v="Plaquettes rhombiques"/>
    <s v="SE38185"/>
    <s v="VENIAT PIERRE NICOLAS"/>
    <n v="5"/>
    <x v="2"/>
    <x v="2"/>
    <s v="PLAQUETTES"/>
    <x v="1"/>
    <n v="44.85"/>
  </r>
  <r>
    <d v="2025-03-14T01:36:54"/>
    <x v="4"/>
    <s v="Plaquettes de finition"/>
    <s v="SE38185"/>
    <s v="VENIAT PIERRE NICOLAS"/>
    <n v="5"/>
    <x v="2"/>
    <x v="2"/>
    <s v="PLAQUETTES"/>
    <x v="1"/>
    <n v="47.8"/>
  </r>
  <r>
    <d v="2025-03-14T09:25:15"/>
    <x v="1"/>
    <s v="Plaquettes d'ébauches carrées"/>
    <s v="U054304"/>
    <s v="BOUACHIK HICHAM"/>
    <n v="10"/>
    <x v="1"/>
    <x v="0"/>
    <s v="PLAQUETTES"/>
    <x v="0"/>
    <n v="71.2"/>
  </r>
  <r>
    <d v="2025-03-14T09:25:40"/>
    <x v="6"/>
    <s v="Plaquettes de finition positives"/>
    <s v="U054304"/>
    <s v="BOUACHIK HICHAM"/>
    <n v="10"/>
    <x v="1"/>
    <x v="2"/>
    <s v="PLAQUETTES"/>
    <x v="0"/>
    <n v="87"/>
  </r>
  <r>
    <d v="2025-03-14T14:01:05"/>
    <x v="2"/>
    <s v="Plaquettes d'ébauches rhombiques"/>
    <s v="VERGE G"/>
    <s v="VERGE GREGORY"/>
    <n v="10"/>
    <x v="3"/>
    <x v="1"/>
    <s v="PLAQUETTES"/>
    <x v="3"/>
    <n v="70"/>
  </r>
  <r>
    <d v="2025-03-14T14:01:34"/>
    <x v="6"/>
    <s v="Plaquettes de finition positives"/>
    <s v="VERGE G"/>
    <s v="VERGE GREGORY"/>
    <n v="10"/>
    <x v="3"/>
    <x v="2"/>
    <s v="PLAQUETTES"/>
    <x v="3"/>
    <n v="87"/>
  </r>
  <r>
    <d v="2025-03-14T14:01:49"/>
    <x v="4"/>
    <s v="Plaquettes de finition"/>
    <s v="VERGE G"/>
    <s v="VERGE GREGORY"/>
    <n v="5"/>
    <x v="2"/>
    <x v="2"/>
    <s v="PLAQUETTES"/>
    <x v="1"/>
    <n v="47.8"/>
  </r>
  <r>
    <d v="2025-03-14T14:02:03"/>
    <x v="4"/>
    <s v="Plaquettes de finition"/>
    <s v="VERGE G"/>
    <s v="VERGE GREGORY"/>
    <n v="5"/>
    <x v="2"/>
    <x v="2"/>
    <s v="PLAQUETTES"/>
    <x v="1"/>
    <n v="47.8"/>
  </r>
  <r>
    <d v="2025-03-14T17:32:27"/>
    <x v="6"/>
    <s v="Plaquettes de finition positives"/>
    <s v="080924"/>
    <s v="DABLEMONT AURELIEN"/>
    <n v="10"/>
    <x v="1"/>
    <x v="2"/>
    <s v="PLAQUETTES"/>
    <x v="0"/>
    <n v="87"/>
  </r>
  <r>
    <d v="2025-04-10T07:03:10"/>
    <x v="6"/>
    <s v="Plaquettes de finition positives"/>
    <s v="080924"/>
    <s v="DABLEMONT AURELIEN"/>
    <n v="10"/>
    <x v="0"/>
    <x v="2"/>
    <s v="PLAQUETTES"/>
    <x v="0"/>
    <n v="87"/>
  </r>
  <r>
    <d v="2025-04-10T13:20:02"/>
    <x v="6"/>
    <s v="Plaquettes de finition positives"/>
    <s v="170325"/>
    <s v="VERDELET BASTIEN"/>
    <n v="10"/>
    <x v="0"/>
    <x v="2"/>
    <s v="PLAQUETTES"/>
    <x v="0"/>
    <n v="87"/>
  </r>
  <r>
    <d v="2025-04-11T21:05:12"/>
    <x v="6"/>
    <s v="Plaquettes de finition positives"/>
    <s v="080924"/>
    <s v="DABLEMONT AURELIEN"/>
    <n v="10"/>
    <x v="0"/>
    <x v="2"/>
    <s v="PLAQUETTES"/>
    <x v="0"/>
    <n v="87"/>
  </r>
  <r>
    <d v="2025-04-12T05:14:06"/>
    <x v="6"/>
    <s v="Plaquettes de finition positives"/>
    <s v="U515988"/>
    <s v="BLAHA"/>
    <n v="10"/>
    <x v="0"/>
    <x v="2"/>
    <s v="PLAQUETTES"/>
    <x v="0"/>
    <n v="87"/>
  </r>
  <r>
    <d v="2025-04-12T05:14:24"/>
    <x v="6"/>
    <s v="Plaquettes de finition positives"/>
    <s v="U515988"/>
    <s v="BLAHA"/>
    <n v="10"/>
    <x v="0"/>
    <x v="2"/>
    <s v="PLAQUETTES"/>
    <x v="0"/>
    <n v="87"/>
  </r>
  <r>
    <d v="2025-03-14T17:34:25"/>
    <x v="5"/>
    <s v="Plaquettes rondes"/>
    <s v="080924"/>
    <s v="DABLEMONT AURELIEN"/>
    <n v="10"/>
    <x v="1"/>
    <x v="0"/>
    <s v="PLAQUETTES"/>
    <x v="0"/>
    <n v="108.5"/>
  </r>
  <r>
    <d v="2025-03-15T00:12:26"/>
    <x v="5"/>
    <s v="Plaquettes rondes"/>
    <s v="SE38185"/>
    <s v="VENIAT PIERRE NICOLAS"/>
    <n v="10"/>
    <x v="2"/>
    <x v="0"/>
    <s v="PLAQUETTES"/>
    <x v="1"/>
    <n v="108.5"/>
  </r>
  <r>
    <d v="2025-03-15T01:30:26"/>
    <x v="7"/>
    <s v="Plaquettes de finition triangulaires"/>
    <s v="170325"/>
    <s v="VERDELET BASTIEN"/>
    <n v="10"/>
    <x v="1"/>
    <x v="2"/>
    <s v="PLAQUETTES"/>
    <x v="0"/>
    <n v="138.80000000000001"/>
  </r>
  <r>
    <d v="2025-04-13T05:52:49"/>
    <x v="6"/>
    <s v="Plaquettes de finition positives"/>
    <s v="U080365"/>
    <s v="ALAVOINE SAMUEL"/>
    <n v="10"/>
    <x v="0"/>
    <x v="2"/>
    <s v="PLAQUETTES"/>
    <x v="0"/>
    <n v="87"/>
  </r>
  <r>
    <d v="2025-03-15T05:31:58"/>
    <x v="2"/>
    <s v="Plaquettes d'ébauches rhombiques"/>
    <s v="U198152"/>
    <s v="AJMIK MUSTAPHA"/>
    <n v="10"/>
    <x v="3"/>
    <x v="0"/>
    <s v="PLAQUETTES"/>
    <x v="0"/>
    <n v="70"/>
  </r>
  <r>
    <d v="2025-03-15T05:32:17"/>
    <x v="6"/>
    <s v="Plaquettes de finition positives"/>
    <s v="U198152"/>
    <s v="AJMIK MUSTAPHA"/>
    <n v="10"/>
    <x v="3"/>
    <x v="2"/>
    <s v="PLAQUETTES"/>
    <x v="0"/>
    <n v="87"/>
  </r>
  <r>
    <d v="2025-03-15T05:32:37"/>
    <x v="10"/>
    <s v="Plaquettes de finition"/>
    <s v="U198152"/>
    <s v="AJMIK MUSTAPHA"/>
    <n v="10"/>
    <x v="3"/>
    <x v="2"/>
    <s v="PLAQUETTES"/>
    <x v="0"/>
    <n v="109.7"/>
  </r>
  <r>
    <d v="2025-03-15T05:33:06"/>
    <x v="8"/>
    <s v="Plaquettes rhombiques"/>
    <s v="U198152"/>
    <s v="AJMIK MUSTAPHA"/>
    <n v="5"/>
    <x v="2"/>
    <x v="2"/>
    <s v="PLAQUETTES"/>
    <x v="1"/>
    <n v="18.399999999999999"/>
  </r>
  <r>
    <d v="2025-04-13T11:13:26"/>
    <x v="6"/>
    <s v="Plaquettes de finition positives"/>
    <s v="U198152"/>
    <s v="AJMIK MUSTAPHA"/>
    <n v="10"/>
    <x v="0"/>
    <x v="2"/>
    <s v="PLAQUETTES"/>
    <x v="0"/>
    <n v="87"/>
  </r>
  <r>
    <d v="2025-04-15T13:07:09"/>
    <x v="6"/>
    <s v="Plaquettes de finition positives"/>
    <s v="J519914"/>
    <s v="MARLY DAVID"/>
    <n v="10"/>
    <x v="0"/>
    <x v="2"/>
    <s v="PLAQUETTES"/>
    <x v="0"/>
    <n v="87"/>
  </r>
  <r>
    <d v="2025-03-15T12:38:28"/>
    <x v="6"/>
    <s v="Plaquettes de finition positives"/>
    <s v="U054304"/>
    <s v="BOUACHIK HICHAM"/>
    <n v="10"/>
    <x v="1"/>
    <x v="2"/>
    <s v="PLAQUETTES"/>
    <x v="0"/>
    <n v="87"/>
  </r>
  <r>
    <d v="2025-03-15T17:50:43"/>
    <x v="6"/>
    <s v="Plaquettes de finition positives"/>
    <s v="U534565"/>
    <s v="HOAREAU MARIUS"/>
    <n v="10"/>
    <x v="3"/>
    <x v="2"/>
    <s v="PLAQUETTES"/>
    <x v="0"/>
    <n v="87"/>
  </r>
  <r>
    <d v="2025-03-15T17:51:19"/>
    <x v="2"/>
    <s v="Plaquettes d'ébauches rhombiques"/>
    <s v="U534565"/>
    <s v="HOAREAU MARIUS"/>
    <n v="10"/>
    <x v="3"/>
    <x v="0"/>
    <s v="PLAQUETTES"/>
    <x v="0"/>
    <n v="70"/>
  </r>
  <r>
    <d v="2025-03-16T05:16:33"/>
    <x v="4"/>
    <s v="Plaquettes de finition"/>
    <s v="U198152"/>
    <s v="AJMIK MUSTAPHA"/>
    <n v="5"/>
    <x v="2"/>
    <x v="2"/>
    <s v="PLAQUETTES"/>
    <x v="1"/>
    <n v="47.8"/>
  </r>
  <r>
    <d v="2025-03-16T05:16:51"/>
    <x v="6"/>
    <s v="Plaquettes de finition positives"/>
    <s v="U198152"/>
    <s v="AJMIK MUSTAPHA"/>
    <n v="10"/>
    <x v="3"/>
    <x v="2"/>
    <s v="PLAQUETTES"/>
    <x v="0"/>
    <n v="87"/>
  </r>
  <r>
    <d v="2025-04-18T18:18:54"/>
    <x v="6"/>
    <s v="Plaquettes de finition positives"/>
    <s v="100225"/>
    <s v="PRUNEAU WILLIAM"/>
    <n v="10"/>
    <x v="0"/>
    <x v="2"/>
    <s v="PLAQUETTES"/>
    <x v="0"/>
    <n v="87"/>
  </r>
  <r>
    <d v="2025-05-01T00:05:36"/>
    <x v="6"/>
    <s v="Plaquettes de finition positives"/>
    <s v="SD13196"/>
    <s v="FRADIN MAXIME"/>
    <n v="10"/>
    <x v="0"/>
    <x v="2"/>
    <s v="PLAQUETTES"/>
    <x v="0"/>
    <n v="87"/>
  </r>
  <r>
    <d v="2025-05-04T17:21:14"/>
    <x v="6"/>
    <s v="Plaquettes de finition positives"/>
    <s v="U054304"/>
    <s v="BOUACHIK HICHAM"/>
    <n v="10"/>
    <x v="0"/>
    <x v="2"/>
    <s v="PLAQUETTES"/>
    <x v="0"/>
    <n v="87"/>
  </r>
  <r>
    <d v="2025-03-16T07:35:16"/>
    <x v="6"/>
    <s v="Plaquettes de finition positives"/>
    <s v="U054304"/>
    <s v="BOUACHIK HICHAM"/>
    <n v="10"/>
    <x v="1"/>
    <x v="2"/>
    <s v="PLAQUETTES"/>
    <x v="0"/>
    <n v="87"/>
  </r>
  <r>
    <d v="2025-03-16T10:45:52"/>
    <x v="9"/>
    <s v="Plaquettes rhombiques"/>
    <s v="U198152"/>
    <s v="AJMIK MUSTAPHA"/>
    <n v="5"/>
    <x v="2"/>
    <x v="2"/>
    <s v="PLAQUETTES"/>
    <x v="1"/>
    <n v="44.85"/>
  </r>
  <r>
    <d v="2025-03-16T10:46:13"/>
    <x v="4"/>
    <s v="Plaquettes de finition"/>
    <s v="U198152"/>
    <s v="AJMIK MUSTAPHA"/>
    <n v="5"/>
    <x v="2"/>
    <x v="2"/>
    <s v="PLAQUETTES"/>
    <x v="1"/>
    <n v="47.8"/>
  </r>
  <r>
    <d v="2025-03-16T10:46:29"/>
    <x v="1"/>
    <s v="Plaquettes d'ébauches carrées"/>
    <s v="U198152"/>
    <s v="AJMIK MUSTAPHA"/>
    <n v="10"/>
    <x v="3"/>
    <x v="0"/>
    <s v="PLAQUETTES"/>
    <x v="0"/>
    <n v="71.2"/>
  </r>
  <r>
    <d v="2025-03-16T10:46:50"/>
    <x v="2"/>
    <s v="Plaquettes d'ébauches rhombiques"/>
    <s v="U198152"/>
    <s v="AJMIK MUSTAPHA"/>
    <n v="10"/>
    <x v="3"/>
    <x v="0"/>
    <s v="PLAQUETTES"/>
    <x v="0"/>
    <n v="70"/>
  </r>
  <r>
    <d v="2025-03-16T10:47:07"/>
    <x v="5"/>
    <s v="Plaquettes rondes"/>
    <s v="U198152"/>
    <s v="AJMIK MUSTAPHA"/>
    <n v="10"/>
    <x v="3"/>
    <x v="0"/>
    <s v="PLAQUETTES"/>
    <x v="0"/>
    <n v="108.5"/>
  </r>
  <r>
    <d v="2025-03-16T10:47:30"/>
    <x v="7"/>
    <s v="Plaquettes de finition triangulaires"/>
    <s v="U198152"/>
    <s v="AJMIK MUSTAPHA"/>
    <n v="10"/>
    <x v="3"/>
    <x v="2"/>
    <s v="PLAQUETTES"/>
    <x v="0"/>
    <n v="138.80000000000001"/>
  </r>
  <r>
    <d v="2025-03-16T10:47:58"/>
    <x v="6"/>
    <s v="Plaquettes de finition positives"/>
    <s v="U198152"/>
    <s v="AJMIK MUSTAPHA"/>
    <n v="10"/>
    <x v="3"/>
    <x v="2"/>
    <s v="PLAQUETTES"/>
    <x v="0"/>
    <n v="87"/>
  </r>
  <r>
    <d v="2025-03-16T19:02:54"/>
    <x v="2"/>
    <s v="Plaquettes d'ébauches rhombiques"/>
    <s v="U534565"/>
    <s v="HOAREAU MARIUS"/>
    <n v="10"/>
    <x v="1"/>
    <x v="0"/>
    <s v="PLAQUETTES"/>
    <x v="0"/>
    <n v="70"/>
  </r>
  <r>
    <d v="2025-03-16T19:03:24"/>
    <x v="6"/>
    <s v="Plaquettes de finition positives"/>
    <s v="U534565"/>
    <s v="HOAREAU MARIUS"/>
    <n v="10"/>
    <x v="1"/>
    <x v="2"/>
    <s v="PLAQUETTES"/>
    <x v="0"/>
    <n v="87"/>
  </r>
  <r>
    <d v="2025-03-16T20:12:00"/>
    <x v="5"/>
    <s v="Plaquettes rondes"/>
    <s v="U080365"/>
    <s v="ALAVOINE SAMUEL"/>
    <n v="10"/>
    <x v="2"/>
    <x v="0"/>
    <s v="PLAQUETTES"/>
    <x v="1"/>
    <n v="108.5"/>
  </r>
  <r>
    <d v="2025-03-16T20:12:29"/>
    <x v="2"/>
    <s v="Plaquettes d'ébauches rhombiques"/>
    <s v="U080365"/>
    <s v="ALAVOINE SAMUEL"/>
    <n v="10"/>
    <x v="2"/>
    <x v="0"/>
    <s v="PLAQUETTES"/>
    <x v="1"/>
    <n v="70"/>
  </r>
  <r>
    <d v="2025-05-11T04:01:50"/>
    <x v="6"/>
    <s v="Plaquettes de finition positives"/>
    <s v="u534565"/>
    <s v="HOAREAU MARIUS"/>
    <n v="10"/>
    <x v="0"/>
    <x v="2"/>
    <s v="PLAQUETTES"/>
    <x v="0"/>
    <n v="87"/>
  </r>
  <r>
    <d v="2025-05-22T06:32:48"/>
    <x v="6"/>
    <s v="Plaquettes de finition positives"/>
    <s v="080924"/>
    <s v="DABLEMONT AURELIEN"/>
    <n v="10"/>
    <x v="0"/>
    <x v="2"/>
    <s v="PLAQUETTES"/>
    <x v="0"/>
    <n v="87"/>
  </r>
  <r>
    <d v="2025-03-17T05:16:31"/>
    <x v="2"/>
    <s v="Plaquettes d'ébauches rhombiques"/>
    <s v="080924"/>
    <s v="DABLEMONT AURELIEN"/>
    <n v="10"/>
    <x v="1"/>
    <x v="1"/>
    <s v="PLAQUETTES"/>
    <x v="0"/>
    <n v="70"/>
  </r>
  <r>
    <d v="2025-03-17T05:16:46"/>
    <x v="2"/>
    <s v="Plaquettes d'ébauches rhombiques"/>
    <s v="080924"/>
    <s v="DABLEMONT AURELIEN"/>
    <n v="10"/>
    <x v="1"/>
    <x v="0"/>
    <s v="PLAQUETTES"/>
    <x v="0"/>
    <n v="70"/>
  </r>
  <r>
    <d v="2025-03-17T05:17:06"/>
    <x v="1"/>
    <s v="Plaquettes d'ébauches carrées"/>
    <s v="080924"/>
    <s v="DABLEMONT AURELIEN"/>
    <n v="10"/>
    <x v="1"/>
    <x v="1"/>
    <s v="PLAQUETTES"/>
    <x v="0"/>
    <n v="71.2"/>
  </r>
  <r>
    <d v="2025-05-23T05:43:12"/>
    <x v="6"/>
    <s v="Plaquettes de finition positives"/>
    <s v="U054304"/>
    <s v="BOUACHIK HICHAM"/>
    <n v="10"/>
    <x v="0"/>
    <x v="2"/>
    <s v="PLAQUETTES"/>
    <x v="0"/>
    <n v="87"/>
  </r>
  <r>
    <d v="2025-03-17T05:17:41"/>
    <x v="6"/>
    <s v="Plaquettes de finition positives"/>
    <s v="080924"/>
    <s v="DABLEMONT AURELIEN"/>
    <n v="10"/>
    <x v="1"/>
    <x v="2"/>
    <s v="PLAQUETTES"/>
    <x v="0"/>
    <n v="87"/>
  </r>
  <r>
    <d v="2025-03-17T05:17:56"/>
    <x v="10"/>
    <s v="Plaquettes de finition"/>
    <s v="080924"/>
    <s v="DABLEMONT AURELIEN"/>
    <n v="10"/>
    <x v="1"/>
    <x v="2"/>
    <s v="PLAQUETTES"/>
    <x v="0"/>
    <n v="109.7"/>
  </r>
  <r>
    <d v="2025-03-17T05:18:16"/>
    <x v="1"/>
    <s v="Plaquettes d'ébauches carrées"/>
    <s v="VERGE G"/>
    <s v="VERGE GREGORY"/>
    <n v="10"/>
    <x v="2"/>
    <x v="1"/>
    <s v="PLAQUETTES"/>
    <x v="1"/>
    <n v="71.2"/>
  </r>
  <r>
    <d v="2025-03-17T05:18:33"/>
    <x v="2"/>
    <s v="Plaquettes d'ébauches rhombiques"/>
    <s v="VERGE G"/>
    <s v="VERGE GREGORY"/>
    <n v="10"/>
    <x v="3"/>
    <x v="1"/>
    <s v="PLAQUETTES"/>
    <x v="0"/>
    <n v="70"/>
  </r>
  <r>
    <d v="2025-03-17T05:18:54"/>
    <x v="6"/>
    <s v="Plaquettes de finition positives"/>
    <s v="VERGE G"/>
    <s v="VERGE GREGORY"/>
    <n v="10"/>
    <x v="3"/>
    <x v="2"/>
    <s v="PLAQUETTES"/>
    <x v="0"/>
    <n v="87"/>
  </r>
  <r>
    <d v="2025-03-17T05:19:22"/>
    <x v="4"/>
    <s v="Plaquettes de finition"/>
    <s v="VERGE G"/>
    <s v="VERGE GREGORY"/>
    <n v="5"/>
    <x v="2"/>
    <x v="2"/>
    <s v="PLAQUETTES"/>
    <x v="1"/>
    <n v="47.8"/>
  </r>
  <r>
    <d v="2025-05-23T18:44:00"/>
    <x v="6"/>
    <s v="Plaquettes de finition positives"/>
    <s v="170325"/>
    <s v="VERDELET BASTIEN"/>
    <n v="10"/>
    <x v="0"/>
    <x v="2"/>
    <s v="PLAQUETTES"/>
    <x v="0"/>
    <n v="87"/>
  </r>
  <r>
    <d v="2025-05-24T18:44:29"/>
    <x v="6"/>
    <s v="Plaquettes de finition positives"/>
    <s v="u534565"/>
    <s v="HOAREAU MARIUS"/>
    <n v="10"/>
    <x v="0"/>
    <x v="2"/>
    <s v="PLAQUETTES"/>
    <x v="0"/>
    <n v="87"/>
  </r>
  <r>
    <d v="2025-05-25T05:24:57"/>
    <x v="6"/>
    <s v="Plaquettes de finition positives"/>
    <s v="U054304"/>
    <s v="BOUACHIK HICHAM"/>
    <n v="10"/>
    <x v="0"/>
    <x v="2"/>
    <s v="PLAQUETTES"/>
    <x v="0"/>
    <n v="87"/>
  </r>
  <r>
    <d v="2025-03-17T14:40:42"/>
    <x v="8"/>
    <s v="Plaquettes rhombiques"/>
    <s v="SE38185"/>
    <s v="VENIAT PIERRE NICOLAS"/>
    <n v="5"/>
    <x v="2"/>
    <x v="2"/>
    <s v="PLAQUETTES"/>
    <x v="1"/>
    <n v="18.399999999999999"/>
  </r>
  <r>
    <d v="2025-03-17T14:41:04"/>
    <x v="2"/>
    <s v="Plaquettes d'ébauches rhombiques"/>
    <s v="SE38185"/>
    <s v="VENIAT PIERRE NICOLAS"/>
    <n v="10"/>
    <x v="3"/>
    <x v="1"/>
    <s v="PLAQUETTES"/>
    <x v="3"/>
    <n v="70"/>
  </r>
  <r>
    <d v="2025-03-17T21:39:04"/>
    <x v="6"/>
    <s v="Plaquettes de finition positives"/>
    <s v="J519914"/>
    <s v="MARLY DAVID"/>
    <n v="10"/>
    <x v="1"/>
    <x v="2"/>
    <s v="PLAQUETTES"/>
    <x v="0"/>
    <n v="87"/>
  </r>
  <r>
    <d v="2025-03-17T21:39:29"/>
    <x v="2"/>
    <s v="Plaquettes d'ébauches rhombiques"/>
    <s v="J519914"/>
    <s v="MARLY DAVID"/>
    <n v="10"/>
    <x v="1"/>
    <x v="0"/>
    <s v="PLAQUETTES"/>
    <x v="0"/>
    <n v="70"/>
  </r>
  <r>
    <d v="2025-03-17T21:40:07"/>
    <x v="1"/>
    <s v="Plaquettes d'ébauches carrées"/>
    <s v="J519914"/>
    <s v="MARLY DAVID"/>
    <n v="10"/>
    <x v="1"/>
    <x v="0"/>
    <s v="PLAQUETTES"/>
    <x v="0"/>
    <n v="71.2"/>
  </r>
  <r>
    <d v="2025-03-18T06:46:42"/>
    <x v="5"/>
    <s v="Plaquettes rondes"/>
    <s v="080924"/>
    <s v="DABLEMONT AURELIEN"/>
    <n v="10"/>
    <x v="1"/>
    <x v="0"/>
    <s v="PLAQUETTES"/>
    <x v="0"/>
    <n v="108.5"/>
  </r>
  <r>
    <d v="2025-05-25T17:48:16"/>
    <x v="6"/>
    <s v="Plaquettes de finition positives"/>
    <s v="u534565"/>
    <s v="HOAREAU MARIUS"/>
    <n v="10"/>
    <x v="0"/>
    <x v="2"/>
    <s v="PLAQUETTES"/>
    <x v="0"/>
    <n v="87"/>
  </r>
  <r>
    <d v="2025-05-26T12:44:14"/>
    <x v="6"/>
    <s v="Plaquettes de finition positives"/>
    <s v="170325"/>
    <s v="VERDELET BASTIEN"/>
    <n v="10"/>
    <x v="0"/>
    <x v="2"/>
    <s v="PLAQUETTES"/>
    <x v="0"/>
    <n v="87"/>
  </r>
  <r>
    <d v="2025-05-27T05:50:03"/>
    <x v="6"/>
    <s v="Plaquettes de finition positives"/>
    <s v="170325"/>
    <s v="VERDELET BASTIEN"/>
    <n v="10"/>
    <x v="0"/>
    <x v="2"/>
    <s v="PLAQUETTES"/>
    <x v="0"/>
    <n v="87"/>
  </r>
  <r>
    <d v="2025-03-18T09:56:15"/>
    <x v="4"/>
    <s v="Plaquettes de finition"/>
    <s v="VERGE G"/>
    <s v="VERGE GREGORY"/>
    <n v="5"/>
    <x v="2"/>
    <x v="2"/>
    <s v="PLAQUETTES"/>
    <x v="1"/>
    <n v="47.8"/>
  </r>
  <r>
    <d v="2025-05-28T05:23:50"/>
    <x v="6"/>
    <s v="Plaquettes de finition positives"/>
    <s v="170325"/>
    <s v="VERDELET BASTIEN"/>
    <n v="10"/>
    <x v="0"/>
    <x v="2"/>
    <s v="PLAQUETTES"/>
    <x v="0"/>
    <n v="87"/>
  </r>
  <r>
    <d v="2025-05-28T05:24:04"/>
    <x v="6"/>
    <s v="Plaquettes de finition positives"/>
    <s v="170325"/>
    <s v="VERDELET BASTIEN"/>
    <n v="10"/>
    <x v="0"/>
    <x v="2"/>
    <s v="PLAQUETTES"/>
    <x v="0"/>
    <n v="87"/>
  </r>
  <r>
    <d v="2025-03-18T19:39:49"/>
    <x v="10"/>
    <s v="Plaquettes de finition"/>
    <s v="SE38185"/>
    <s v="VENIAT PIERRE NICOLAS"/>
    <n v="10"/>
    <x v="3"/>
    <x v="2"/>
    <s v="PLAQUETTES"/>
    <x v="2"/>
    <n v="109.7"/>
  </r>
  <r>
    <d v="2025-03-18T19:40:13"/>
    <x v="4"/>
    <s v="Plaquettes de finition"/>
    <s v="SE38185"/>
    <s v="VENIAT PIERRE NICOLAS"/>
    <n v="5"/>
    <x v="3"/>
    <x v="2"/>
    <s v="PLAQUETTES"/>
    <x v="2"/>
    <n v="47.8"/>
  </r>
  <r>
    <d v="2025-03-18T19:41:06"/>
    <x v="11"/>
    <s v="Plaquettes de finition triangulaires"/>
    <s v="SE38185"/>
    <s v="VENIAT PIERRE NICOLAS"/>
    <n v="10"/>
    <x v="3"/>
    <x v="2"/>
    <s v="PLAQUETTES"/>
    <x v="2"/>
    <n v="118.7"/>
  </r>
  <r>
    <d v="2025-03-18T19:41:29"/>
    <x v="2"/>
    <s v="Plaquettes d'ébauches rhombiques"/>
    <s v="SE38185"/>
    <s v="VENIAT PIERRE NICOLAS"/>
    <n v="10"/>
    <x v="3"/>
    <x v="2"/>
    <s v="PLAQUETTES"/>
    <x v="2"/>
    <n v="70"/>
  </r>
  <r>
    <d v="2025-03-18T19:42:02"/>
    <x v="11"/>
    <s v="Plaquettes de finition triangulaires"/>
    <s v="SE38185"/>
    <s v="VENIAT PIERRE NICOLAS"/>
    <n v="10"/>
    <x v="3"/>
    <x v="2"/>
    <s v="PLAQUETTES"/>
    <x v="2"/>
    <n v="118.7"/>
  </r>
  <r>
    <d v="2025-03-18T19:42:24"/>
    <x v="4"/>
    <s v="Plaquettes de finition"/>
    <s v="SE38185"/>
    <s v="VENIAT PIERRE NICOLAS"/>
    <n v="5"/>
    <x v="2"/>
    <x v="2"/>
    <s v="PLAQUETTES"/>
    <x v="1"/>
    <n v="47.8"/>
  </r>
  <r>
    <d v="2025-05-29T05:29:03"/>
    <x v="6"/>
    <s v="Plaquettes de finition positives"/>
    <s v="170325"/>
    <s v="VERDELET BASTIEN"/>
    <n v="10"/>
    <x v="0"/>
    <x v="2"/>
    <s v="PLAQUETTES"/>
    <x v="0"/>
    <n v="87"/>
  </r>
  <r>
    <d v="2025-03-19T01:06:32"/>
    <x v="1"/>
    <s v="Plaquettes d'ébauches carrées"/>
    <s v="SD13196"/>
    <s v="FRADIN MAXIME"/>
    <n v="10"/>
    <x v="1"/>
    <x v="1"/>
    <s v="PLAQUETTES"/>
    <x v="0"/>
    <n v="71.2"/>
  </r>
  <r>
    <d v="2025-05-30T13:31:06"/>
    <x v="6"/>
    <s v="Plaquettes de finition positives"/>
    <s v="J519914"/>
    <s v="MARLY DAVID"/>
    <n v="10"/>
    <x v="0"/>
    <x v="2"/>
    <s v="PLAQUETTES"/>
    <x v="0"/>
    <n v="87"/>
  </r>
  <r>
    <d v="2025-05-31T05:49:29"/>
    <x v="6"/>
    <s v="Plaquettes de finition positives"/>
    <s v="U518765"/>
    <s v="ROY ADELINE"/>
    <n v="10"/>
    <x v="0"/>
    <x v="2"/>
    <s v="PLAQUETTES"/>
    <x v="0"/>
    <n v="87"/>
  </r>
  <r>
    <d v="2025-06-01T08:18:30"/>
    <x v="6"/>
    <s v="Plaquettes de finition positives"/>
    <s v="U518765"/>
    <s v="ROY ADELINE"/>
    <n v="10"/>
    <x v="0"/>
    <x v="2"/>
    <s v="PLAQUETTES"/>
    <x v="3"/>
    <n v="87"/>
  </r>
  <r>
    <d v="2025-03-19T05:13:25"/>
    <x v="6"/>
    <s v="Plaquettes de finition positives"/>
    <s v="080924"/>
    <s v="DABLEMONT AURELIEN"/>
    <n v="10"/>
    <x v="1"/>
    <x v="2"/>
    <s v="PLAQUETTES"/>
    <x v="0"/>
    <n v="87"/>
  </r>
  <r>
    <d v="2025-06-01T21:10:28"/>
    <x v="6"/>
    <s v="Plaquettes de finition positives"/>
    <s v="U054304"/>
    <s v="BOUACHIK HICHAM"/>
    <n v="10"/>
    <x v="0"/>
    <x v="2"/>
    <s v="PLAQUETTES"/>
    <x v="0"/>
    <n v="87"/>
  </r>
  <r>
    <d v="2025-03-19T06:40:59"/>
    <x v="1"/>
    <s v="Plaquettes d'ébauches carrées"/>
    <s v="080924"/>
    <s v="DABLEMONT AURELIEN"/>
    <n v="10"/>
    <x v="1"/>
    <x v="0"/>
    <s v="PLAQUETTES"/>
    <x v="0"/>
    <n v="71.2"/>
  </r>
  <r>
    <d v="2025-06-03T21:49:37"/>
    <x v="6"/>
    <s v="Plaquettes de finition positives"/>
    <s v="u134838"/>
    <s v="DANAH STEPHANIE"/>
    <n v="10"/>
    <x v="0"/>
    <x v="2"/>
    <s v="PLAQUETTES"/>
    <x v="0"/>
    <n v="87"/>
  </r>
  <r>
    <d v="2025-03-19T07:44:35"/>
    <x v="2"/>
    <s v="Plaquettes d'ébauches rhombiques"/>
    <s v="VERGE G"/>
    <s v="VERGE GREGORY"/>
    <n v="10"/>
    <x v="2"/>
    <x v="1"/>
    <s v="PLAQUETTES"/>
    <x v="1"/>
    <n v="70"/>
  </r>
  <r>
    <d v="2025-03-19T07:44:49"/>
    <x v="2"/>
    <s v="Plaquettes d'ébauches rhombiques"/>
    <s v="VERGE G"/>
    <s v="VERGE GREGORY"/>
    <n v="10"/>
    <x v="2"/>
    <x v="1"/>
    <s v="PLAQUETTES"/>
    <x v="1"/>
    <n v="70"/>
  </r>
  <r>
    <d v="2025-03-19T07:45:05"/>
    <x v="1"/>
    <s v="Plaquettes d'ébauches carrées"/>
    <s v="VERGE G"/>
    <s v="VERGE GREGORY"/>
    <n v="10"/>
    <x v="2"/>
    <x v="1"/>
    <s v="PLAQUETTES"/>
    <x v="1"/>
    <n v="71.2"/>
  </r>
  <r>
    <d v="2025-03-19T07:45:26"/>
    <x v="1"/>
    <s v="Plaquettes d'ébauches carrées"/>
    <s v="VERGE G"/>
    <s v="VERGE GREGORY"/>
    <n v="10"/>
    <x v="2"/>
    <x v="1"/>
    <s v="PLAQUETTES"/>
    <x v="1"/>
    <n v="71.2"/>
  </r>
  <r>
    <d v="2025-03-19T08:08:00"/>
    <x v="12"/>
    <s v="Plaquettes de gorge"/>
    <s v="VERGE G"/>
    <s v="VERGE GREGORY"/>
    <n v="10"/>
    <x v="3"/>
    <x v="0"/>
    <s v="PLAQUETTES"/>
    <x v="2"/>
    <n v="157"/>
  </r>
  <r>
    <d v="2025-06-04T22:27:32"/>
    <x v="6"/>
    <s v="Plaquettes de finition positives"/>
    <s v="u134838"/>
    <s v="DANAH STEPHANIE"/>
    <n v="10"/>
    <x v="0"/>
    <x v="2"/>
    <s v="PLAQUETTES"/>
    <x v="0"/>
    <n v="87"/>
  </r>
  <r>
    <d v="2025-03-19T13:27:31"/>
    <x v="8"/>
    <s v="Plaquettes rhombiques"/>
    <s v="SE38185"/>
    <s v="VENIAT PIERRE NICOLAS"/>
    <n v="5"/>
    <x v="2"/>
    <x v="2"/>
    <s v="PLAQUETTES"/>
    <x v="1"/>
    <n v="18.399999999999999"/>
  </r>
  <r>
    <d v="2025-03-19T13:27:49"/>
    <x v="9"/>
    <s v="Plaquettes rhombiques"/>
    <s v="SE38185"/>
    <s v="VENIAT PIERRE NICOLAS"/>
    <n v="5"/>
    <x v="2"/>
    <x v="2"/>
    <s v="PLAQUETTES"/>
    <x v="1"/>
    <n v="44.85"/>
  </r>
  <r>
    <d v="2025-03-19T13:28:15"/>
    <x v="4"/>
    <s v="Plaquettes de finition"/>
    <s v="SE38185"/>
    <s v="VENIAT PIERRE NICOLAS"/>
    <n v="5"/>
    <x v="2"/>
    <x v="2"/>
    <s v="PLAQUETTES"/>
    <x v="1"/>
    <n v="47.8"/>
  </r>
  <r>
    <d v="2025-03-19T13:28:33"/>
    <x v="4"/>
    <s v="Plaquettes de finition"/>
    <s v="SE38185"/>
    <s v="VENIAT PIERRE NICOLAS"/>
    <n v="5"/>
    <x v="3"/>
    <x v="2"/>
    <s v="PLAQUETTES"/>
    <x v="2"/>
    <n v="47.8"/>
  </r>
  <r>
    <d v="2025-06-06T15:12:47"/>
    <x v="6"/>
    <s v="Plaquettes de finition positives"/>
    <s v="230525"/>
    <s v="SOULAS YANIS"/>
    <n v="10"/>
    <x v="0"/>
    <x v="2"/>
    <s v="PLAQUETTES"/>
    <x v="0"/>
    <n v="87"/>
  </r>
  <r>
    <d v="2025-03-20T00:53:47"/>
    <x v="6"/>
    <s v="Plaquettes de finition positives"/>
    <s v="J519914"/>
    <s v="MARLY DAVID"/>
    <n v="10"/>
    <x v="1"/>
    <x v="2"/>
    <s v="PLAQUETTES"/>
    <x v="0"/>
    <n v="87"/>
  </r>
  <r>
    <d v="2025-03-20T00:54:22"/>
    <x v="2"/>
    <s v="Plaquettes d'ébauches rhombiques"/>
    <s v="J519914"/>
    <s v="MARLY DAVID"/>
    <n v="10"/>
    <x v="1"/>
    <x v="0"/>
    <s v="PLAQUETTES"/>
    <x v="0"/>
    <n v="70"/>
  </r>
  <r>
    <d v="2025-03-20T05:31:05"/>
    <x v="2"/>
    <s v="Plaquettes d'ébauches rhombiques"/>
    <s v="080924"/>
    <s v="DABLEMONT AURELIEN"/>
    <n v="10"/>
    <x v="1"/>
    <x v="1"/>
    <s v="PLAQUETTES"/>
    <x v="0"/>
    <n v="70"/>
  </r>
  <r>
    <d v="2025-06-06T15:13:09"/>
    <x v="6"/>
    <s v="Plaquettes de finition positives"/>
    <s v="230525"/>
    <s v="SOULAS YANIS"/>
    <n v="10"/>
    <x v="0"/>
    <x v="2"/>
    <s v="PLAQUETTES"/>
    <x v="0"/>
    <n v="87"/>
  </r>
  <r>
    <d v="2025-03-20T05:31:45"/>
    <x v="1"/>
    <s v="Plaquettes d'ébauches carrées"/>
    <s v="080924"/>
    <s v="DABLEMONT AURELIEN"/>
    <n v="10"/>
    <x v="1"/>
    <x v="0"/>
    <s v="PLAQUETTES"/>
    <x v="0"/>
    <n v="71.2"/>
  </r>
  <r>
    <d v="2025-06-07T00:13:41"/>
    <x v="6"/>
    <s v="Plaquettes de finition positives"/>
    <s v="170325"/>
    <s v="VERDELET BASTIEN"/>
    <n v="10"/>
    <x v="0"/>
    <x v="2"/>
    <s v="PLAQUETTES"/>
    <x v="0"/>
    <n v="87"/>
  </r>
  <r>
    <d v="2025-03-20T05:32:36"/>
    <x v="2"/>
    <s v="Plaquettes d'ébauches rhombiques"/>
    <s v="080924"/>
    <s v="DABLEMONT AURELIEN"/>
    <n v="10"/>
    <x v="3"/>
    <x v="1"/>
    <s v="PLAQUETTES"/>
    <x v="2"/>
    <n v="70"/>
  </r>
  <r>
    <d v="2025-03-20T09:04:18"/>
    <x v="3"/>
    <s v="Plaquettes rondes"/>
    <s v="12824586"/>
    <s v="DA SILVA FERNANDO"/>
    <n v="10"/>
    <x v="2"/>
    <x v="0"/>
    <s v="PLAQUETTES"/>
    <x v="1"/>
    <n v="136.69999999999999"/>
  </r>
  <r>
    <d v="2025-03-20T14:00:09"/>
    <x v="4"/>
    <s v="Plaquettes de finition"/>
    <s v="SE38185"/>
    <s v="VENIAT PIERRE NICOLAS"/>
    <n v="5"/>
    <x v="2"/>
    <x v="2"/>
    <s v="PLAQUETTES"/>
    <x v="1"/>
    <n v="47.8"/>
  </r>
  <r>
    <d v="2025-03-20T14:00:26"/>
    <x v="4"/>
    <s v="Plaquettes de finition"/>
    <s v="SE38185"/>
    <s v="VENIAT PIERRE NICOLAS"/>
    <n v="5"/>
    <x v="2"/>
    <x v="2"/>
    <s v="PLAQUETTES"/>
    <x v="1"/>
    <n v="47.8"/>
  </r>
  <r>
    <d v="2025-03-21T05:16:06"/>
    <x v="6"/>
    <s v="Plaquettes de finition positives"/>
    <s v="U534565"/>
    <s v="HOAREAU MARIUS"/>
    <n v="10"/>
    <x v="1"/>
    <x v="2"/>
    <s v="PLAQUETTES"/>
    <x v="0"/>
    <n v="87"/>
  </r>
  <r>
    <d v="2025-03-21T05:16:53"/>
    <x v="4"/>
    <s v="Plaquettes de finition"/>
    <s v="U080365"/>
    <s v="ALAVOINE SAMUEL"/>
    <n v="5"/>
    <x v="2"/>
    <x v="2"/>
    <s v="PLAQUETTES"/>
    <x v="1"/>
    <n v="47.8"/>
  </r>
  <r>
    <d v="2025-03-21T05:17:39"/>
    <x v="8"/>
    <s v="Plaquettes rhombiques"/>
    <s v="U080365"/>
    <s v="ALAVOINE SAMUEL"/>
    <n v="5"/>
    <x v="2"/>
    <x v="2"/>
    <s v="PLAQUETTES"/>
    <x v="1"/>
    <n v="18.399999999999999"/>
  </r>
  <r>
    <d v="2025-03-21T05:17:59"/>
    <x v="11"/>
    <s v="Plaquettes de finition triangulaires"/>
    <s v="U080365"/>
    <s v="ALAVOINE SAMUEL"/>
    <n v="10"/>
    <x v="2"/>
    <x v="2"/>
    <s v="PLAQUETTES"/>
    <x v="1"/>
    <n v="118.7"/>
  </r>
  <r>
    <d v="2025-03-21T05:18:31"/>
    <x v="9"/>
    <s v="Plaquettes rhombiques"/>
    <s v="U080365"/>
    <s v="ALAVOINE SAMUEL"/>
    <n v="5"/>
    <x v="2"/>
    <x v="2"/>
    <s v="PLAQUETTES"/>
    <x v="1"/>
    <n v="44.85"/>
  </r>
  <r>
    <d v="2025-03-21T05:18:58"/>
    <x v="4"/>
    <s v="Plaquettes de finition"/>
    <s v="U080365"/>
    <s v="ALAVOINE SAMUEL"/>
    <n v="5"/>
    <x v="3"/>
    <x v="2"/>
    <s v="PLAQUETTES"/>
    <x v="2"/>
    <n v="47.8"/>
  </r>
  <r>
    <d v="2025-03-21T05:19:19"/>
    <x v="8"/>
    <s v="Plaquettes rhombiques"/>
    <s v="U080365"/>
    <s v="ALAVOINE SAMUEL"/>
    <n v="5"/>
    <x v="3"/>
    <x v="2"/>
    <s v="PLAQUETTES"/>
    <x v="2"/>
    <n v="18.399999999999999"/>
  </r>
  <r>
    <d v="2025-03-21T05:19:42"/>
    <x v="3"/>
    <s v="Plaquettes rondes"/>
    <s v="U080365"/>
    <s v="ALAVOINE SAMUEL"/>
    <n v="10"/>
    <x v="2"/>
    <x v="0"/>
    <s v="PLAQUETTES"/>
    <x v="1"/>
    <n v="136.69999999999999"/>
  </r>
  <r>
    <d v="2025-03-21T05:20:08"/>
    <x v="2"/>
    <s v="Plaquettes d'ébauches rhombiques"/>
    <s v="U080365"/>
    <s v="ALAVOINE SAMUEL"/>
    <n v="10"/>
    <x v="2"/>
    <x v="0"/>
    <s v="PLAQUETTES"/>
    <x v="1"/>
    <n v="70"/>
  </r>
  <r>
    <d v="2025-03-21T05:20:36"/>
    <x v="1"/>
    <s v="Plaquettes d'ébauches carrées"/>
    <s v="U080365"/>
    <s v="ALAVOINE SAMUEL"/>
    <n v="10"/>
    <x v="2"/>
    <x v="0"/>
    <s v="PLAQUETTES"/>
    <x v="1"/>
    <n v="71.2"/>
  </r>
  <r>
    <d v="2025-03-21T13:27:22"/>
    <x v="2"/>
    <s v="Plaquettes d'ébauches rhombiques"/>
    <s v="170325"/>
    <s v="VERDELET BASTIEN"/>
    <n v="10"/>
    <x v="1"/>
    <x v="1"/>
    <s v="PLAQUETTES"/>
    <x v="0"/>
    <n v="70"/>
  </r>
  <r>
    <d v="2025-03-21T13:27:49"/>
    <x v="1"/>
    <s v="Plaquettes d'ébauches carrées"/>
    <s v="170325"/>
    <s v="VERDELET BASTIEN"/>
    <n v="10"/>
    <x v="1"/>
    <x v="1"/>
    <s v="PLAQUETTES"/>
    <x v="0"/>
    <n v="71.2"/>
  </r>
  <r>
    <d v="2025-03-21T13:28:11"/>
    <x v="6"/>
    <s v="Plaquettes de finition positives"/>
    <s v="170325"/>
    <s v="VERDELET BASTIEN"/>
    <n v="10"/>
    <x v="1"/>
    <x v="2"/>
    <s v="PLAQUETTES"/>
    <x v="0"/>
    <n v="87"/>
  </r>
  <r>
    <d v="2025-03-21T13:28:34"/>
    <x v="6"/>
    <s v="Plaquettes de finition positives"/>
    <s v="170325"/>
    <s v="VERDELET BASTIEN"/>
    <n v="10"/>
    <x v="1"/>
    <x v="2"/>
    <s v="PLAQUETTES"/>
    <x v="0"/>
    <n v="87"/>
  </r>
  <r>
    <d v="2025-03-21T14:46:54"/>
    <x v="2"/>
    <s v="Plaquettes d'ébauches rhombiques"/>
    <s v="SE38185"/>
    <s v="VENIAT PIERRE NICOLAS"/>
    <n v="10"/>
    <x v="2"/>
    <x v="1"/>
    <s v="PLAQUETTES"/>
    <x v="1"/>
    <n v="70"/>
  </r>
  <r>
    <d v="2025-03-21T14:47:10"/>
    <x v="4"/>
    <s v="Plaquettes de finition"/>
    <s v="SE38185"/>
    <s v="VENIAT PIERRE NICOLAS"/>
    <n v="5"/>
    <x v="2"/>
    <x v="2"/>
    <s v="PLAQUETTES"/>
    <x v="1"/>
    <n v="47.8"/>
  </r>
  <r>
    <d v="2025-03-21T22:55:02"/>
    <x v="6"/>
    <s v="Plaquettes de finition positives"/>
    <s v="100225"/>
    <s v="PRUNEAU WILLIAM"/>
    <n v="10"/>
    <x v="3"/>
    <x v="2"/>
    <s v="PLAQUETTES"/>
    <x v="3"/>
    <n v="87"/>
  </r>
  <r>
    <d v="2025-03-22T08:05:27"/>
    <x v="5"/>
    <s v="Plaquettes rondes"/>
    <s v="U080365"/>
    <s v="ALAVOINE SAMUEL"/>
    <n v="10"/>
    <x v="2"/>
    <x v="0"/>
    <s v="PLAQUETTES"/>
    <x v="1"/>
    <n v="108.5"/>
  </r>
  <r>
    <d v="2025-06-07T22:02:46"/>
    <x v="6"/>
    <s v="Plaquettes de finition positives"/>
    <s v="u534565"/>
    <s v="HOAREAU MARIUS"/>
    <n v="10"/>
    <x v="0"/>
    <x v="2"/>
    <s v="PLAQUETTES"/>
    <x v="0"/>
    <n v="87"/>
  </r>
  <r>
    <d v="2025-06-08T17:59:44"/>
    <x v="6"/>
    <s v="Plaquettes de finition positives"/>
    <s v="P717908"/>
    <s v="GONCALVES GEORGES"/>
    <n v="10"/>
    <x v="0"/>
    <x v="2"/>
    <s v="PLAQUETTES"/>
    <x v="0"/>
    <n v="87"/>
  </r>
  <r>
    <d v="2025-06-10T05:08:53"/>
    <x v="6"/>
    <s v="Plaquettes de finition positives"/>
    <s v="230525"/>
    <s v="SOULAS YANIS"/>
    <n v="10"/>
    <x v="0"/>
    <x v="2"/>
    <s v="PLAQUETTES"/>
    <x v="0"/>
    <n v="87"/>
  </r>
  <r>
    <d v="2025-06-11T01:51:49"/>
    <x v="6"/>
    <s v="Plaquettes de finition positives"/>
    <s v="SD13196"/>
    <s v="FRADIN MAXIME"/>
    <n v="10"/>
    <x v="0"/>
    <x v="2"/>
    <s v="PLAQUETTES"/>
    <x v="0"/>
    <n v="87"/>
  </r>
  <r>
    <d v="2025-06-11T05:14:45"/>
    <x v="6"/>
    <s v="Plaquettes de finition positives"/>
    <s v="230525"/>
    <s v="SOULAS YANIS"/>
    <n v="10"/>
    <x v="0"/>
    <x v="2"/>
    <s v="PLAQUETTES"/>
    <x v="0"/>
    <n v="87"/>
  </r>
  <r>
    <d v="2025-03-23T00:54:02"/>
    <x v="6"/>
    <s v="Plaquettes de finition positives"/>
    <s v="U198152"/>
    <s v="AJMIK MUSTAPHA"/>
    <n v="10"/>
    <x v="3"/>
    <x v="2"/>
    <s v="PLAQUETTES"/>
    <x v="3"/>
    <n v="87"/>
  </r>
  <r>
    <d v="2025-03-23T00:54:23"/>
    <x v="4"/>
    <s v="Plaquettes de finition"/>
    <s v="U198152"/>
    <s v="AJMIK MUSTAPHA"/>
    <n v="5"/>
    <x v="2"/>
    <x v="2"/>
    <s v="PLAQUETTES"/>
    <x v="1"/>
    <n v="47.8"/>
  </r>
  <r>
    <d v="2025-03-23T00:54:41"/>
    <x v="2"/>
    <s v="Plaquettes d'ébauches rhombiques"/>
    <s v="U198152"/>
    <s v="AJMIK MUSTAPHA"/>
    <n v="10"/>
    <x v="3"/>
    <x v="0"/>
    <s v="PLAQUETTES"/>
    <x v="0"/>
    <n v="70"/>
  </r>
  <r>
    <d v="2025-03-23T03:08:29"/>
    <x v="2"/>
    <s v="Plaquettes d'ébauches rhombiques"/>
    <s v="U054304"/>
    <s v="BOUACHIK HICHAM"/>
    <n v="10"/>
    <x v="1"/>
    <x v="0"/>
    <s v="PLAQUETTES"/>
    <x v="0"/>
    <n v="70"/>
  </r>
  <r>
    <d v="2025-03-23T13:06:32"/>
    <x v="5"/>
    <s v="Plaquettes rondes"/>
    <s v="U080365"/>
    <s v="ALAVOINE SAMUEL"/>
    <n v="10"/>
    <x v="2"/>
    <x v="0"/>
    <s v="PLAQUETTES"/>
    <x v="1"/>
    <n v="108.5"/>
  </r>
  <r>
    <d v="2025-03-23T13:06:53"/>
    <x v="6"/>
    <s v="Plaquettes de finition positives"/>
    <s v="U080365"/>
    <s v="ALAVOINE SAMUEL"/>
    <n v="10"/>
    <x v="3"/>
    <x v="2"/>
    <s v="PLAQUETTES"/>
    <x v="3"/>
    <n v="87"/>
  </r>
  <r>
    <d v="2025-03-23T13:07:17"/>
    <x v="8"/>
    <s v="Plaquettes rhombiques"/>
    <s v="U080365"/>
    <s v="ALAVOINE SAMUEL"/>
    <n v="5"/>
    <x v="2"/>
    <x v="2"/>
    <s v="PLAQUETTES"/>
    <x v="1"/>
    <n v="18.399999999999999"/>
  </r>
  <r>
    <d v="2025-03-23T13:07:39"/>
    <x v="4"/>
    <s v="Plaquettes de finition"/>
    <s v="U080365"/>
    <s v="ALAVOINE SAMUEL"/>
    <n v="5"/>
    <x v="2"/>
    <x v="2"/>
    <s v="PLAQUETTES"/>
    <x v="1"/>
    <n v="47.8"/>
  </r>
  <r>
    <d v="2025-03-23T13:07:56"/>
    <x v="9"/>
    <s v="Plaquettes rhombiques"/>
    <s v="U080365"/>
    <s v="ALAVOINE SAMUEL"/>
    <n v="5"/>
    <x v="2"/>
    <x v="2"/>
    <s v="PLAQUETTES"/>
    <x v="1"/>
    <n v="44.85"/>
  </r>
  <r>
    <d v="2025-06-12T01:21:59"/>
    <x v="6"/>
    <s v="Plaquettes de finition positives"/>
    <s v="SD13196"/>
    <s v="FRADIN MAXIME"/>
    <n v="10"/>
    <x v="0"/>
    <x v="2"/>
    <s v="PLAQUETTES"/>
    <x v="0"/>
    <n v="87"/>
  </r>
  <r>
    <d v="2025-06-12T06:44:10"/>
    <x v="6"/>
    <s v="Plaquettes de finition positives"/>
    <s v="080924"/>
    <s v="DABLEMONT AURELIEN"/>
    <n v="10"/>
    <x v="0"/>
    <x v="2"/>
    <s v="PLAQUETTES"/>
    <x v="0"/>
    <n v="87"/>
  </r>
  <r>
    <d v="2025-03-24T05:07:44"/>
    <x v="6"/>
    <s v="Plaquettes de finition positives"/>
    <s v="SE38185"/>
    <s v="VENIAT PIERRE NICOLAS"/>
    <n v="10"/>
    <x v="3"/>
    <x v="2"/>
    <s v="PLAQUETTES"/>
    <x v="3"/>
    <n v="87"/>
  </r>
  <r>
    <d v="2025-03-24T05:08:14"/>
    <x v="2"/>
    <s v="Plaquettes d'ébauches rhombiques"/>
    <s v="SE38185"/>
    <s v="VENIAT PIERRE NICOLAS"/>
    <n v="10"/>
    <x v="2"/>
    <x v="1"/>
    <s v="PLAQUETTES"/>
    <x v="1"/>
    <n v="70"/>
  </r>
  <r>
    <d v="2025-03-24T05:08:41"/>
    <x v="1"/>
    <s v="Plaquettes d'ébauches carrées"/>
    <s v="SE38185"/>
    <s v="VENIAT PIERRE NICOLAS"/>
    <n v="10"/>
    <x v="2"/>
    <x v="1"/>
    <s v="PLAQUETTES"/>
    <x v="1"/>
    <n v="71.2"/>
  </r>
  <r>
    <d v="2025-06-13T00:08:25"/>
    <x v="6"/>
    <s v="Plaquettes de finition positives"/>
    <s v="SD13196"/>
    <s v="FRADIN MAXIME"/>
    <n v="10"/>
    <x v="0"/>
    <x v="2"/>
    <s v="PLAQUETTES"/>
    <x v="0"/>
    <n v="87"/>
  </r>
  <r>
    <d v="2025-06-13T06:44:09"/>
    <x v="6"/>
    <s v="Plaquettes de finition positives"/>
    <s v="U518765"/>
    <s v="ROY ADELINE"/>
    <n v="10"/>
    <x v="0"/>
    <x v="2"/>
    <s v="PLAQUETTES"/>
    <x v="0"/>
    <n v="87"/>
  </r>
  <r>
    <d v="2025-06-13T21:15:02"/>
    <x v="6"/>
    <s v="Plaquettes de finition positives"/>
    <s v="SD13196"/>
    <s v="FRADIN MAXIME"/>
    <n v="10"/>
    <x v="0"/>
    <x v="2"/>
    <s v="PLAQUETTES"/>
    <x v="0"/>
    <n v="87"/>
  </r>
  <r>
    <d v="2025-06-14T05:21:01"/>
    <x v="6"/>
    <s v="Plaquettes de finition positives"/>
    <s v="U518765"/>
    <s v="ROY ADELINE"/>
    <n v="10"/>
    <x v="0"/>
    <x v="2"/>
    <s v="PLAQUETTES"/>
    <x v="0"/>
    <n v="87"/>
  </r>
  <r>
    <d v="2025-06-14T18:28:27"/>
    <x v="6"/>
    <s v="Plaquettes de finition positives"/>
    <s v="U054304"/>
    <s v="BOUACHIK HICHAM"/>
    <n v="10"/>
    <x v="0"/>
    <x v="2"/>
    <s v="PLAQUETTES"/>
    <x v="0"/>
    <n v="87"/>
  </r>
  <r>
    <d v="2025-06-15T16:59:44"/>
    <x v="6"/>
    <s v="Plaquettes de finition positives"/>
    <s v="U054304"/>
    <s v="BOUACHIK HICHAM"/>
    <n v="10"/>
    <x v="0"/>
    <x v="2"/>
    <s v="PLAQUETTES"/>
    <x v="0"/>
    <n v="87"/>
  </r>
  <r>
    <d v="2025-06-16T17:30:33"/>
    <x v="6"/>
    <s v="Plaquettes de finition positives"/>
    <s v="SD13196"/>
    <s v="FRADIN MAXIME"/>
    <n v="10"/>
    <x v="0"/>
    <x v="2"/>
    <s v="PLAQUETTES"/>
    <x v="0"/>
    <n v="87"/>
  </r>
  <r>
    <d v="2025-03-24T13:03:37"/>
    <x v="4"/>
    <s v="Plaquettes de finition"/>
    <s v="100225"/>
    <s v="PRUNEAU WILLIAM"/>
    <n v="5"/>
    <x v="2"/>
    <x v="2"/>
    <s v="PLAQUETTES"/>
    <x v="1"/>
    <n v="47.8"/>
  </r>
  <r>
    <d v="2025-03-24T13:04:02"/>
    <x v="6"/>
    <s v="Plaquettes de finition positives"/>
    <s v="100225"/>
    <s v="PRUNEAU WILLIAM"/>
    <n v="10"/>
    <x v="3"/>
    <x v="2"/>
    <s v="PLAQUETTES"/>
    <x v="3"/>
    <n v="87"/>
  </r>
  <r>
    <d v="2025-03-24T21:09:52"/>
    <x v="2"/>
    <s v="Plaquettes d'ébauches rhombiques"/>
    <s v="VERGE G"/>
    <s v="VERGE GREGORY"/>
    <n v="10"/>
    <x v="3"/>
    <x v="0"/>
    <s v="PLAQUETTES"/>
    <x v="5"/>
    <n v="70"/>
  </r>
  <r>
    <d v="2025-03-24T21:10:12"/>
    <x v="1"/>
    <s v="Plaquettes d'ébauches carrées"/>
    <s v="VERGE G"/>
    <s v="VERGE GREGORY"/>
    <n v="10"/>
    <x v="3"/>
    <x v="1"/>
    <s v="PLAQUETTES"/>
    <x v="3"/>
    <n v="71.2"/>
  </r>
  <r>
    <d v="2025-03-24T21:25:11"/>
    <x v="4"/>
    <s v="Plaquettes de finition"/>
    <s v="VERGE G"/>
    <s v="VERGE GREGORY"/>
    <n v="5"/>
    <x v="2"/>
    <x v="2"/>
    <s v="PLAQUETTES"/>
    <x v="1"/>
    <n v="47.8"/>
  </r>
  <r>
    <d v="2025-03-24T21:25:23"/>
    <x v="2"/>
    <s v="Plaquettes d'ébauches rhombiques"/>
    <s v="VERGE G"/>
    <s v="VERGE GREGORY"/>
    <n v="10"/>
    <x v="2"/>
    <x v="1"/>
    <s v="PLAQUETTES"/>
    <x v="1"/>
    <n v="70"/>
  </r>
  <r>
    <d v="2025-03-24T21:25:37"/>
    <x v="1"/>
    <s v="Plaquettes d'ébauches carrées"/>
    <s v="VERGE G"/>
    <s v="VERGE GREGORY"/>
    <n v="10"/>
    <x v="2"/>
    <x v="1"/>
    <s v="PLAQUETTES"/>
    <x v="1"/>
    <n v="71.2"/>
  </r>
  <r>
    <d v="2025-06-18T06:25:32"/>
    <x v="6"/>
    <s v="Plaquettes de finition positives"/>
    <s v="u134838"/>
    <s v="DANAH STEPHANIE"/>
    <n v="10"/>
    <x v="0"/>
    <x v="2"/>
    <s v="PLAQUETTES"/>
    <x v="0"/>
    <n v="87"/>
  </r>
  <r>
    <d v="2025-03-24T22:36:49"/>
    <x v="1"/>
    <s v="Plaquettes d'ébauches carrées"/>
    <s v="080924"/>
    <s v="DABLEMONT AURELIEN"/>
    <n v="10"/>
    <x v="1"/>
    <x v="0"/>
    <s v="PLAQUETTES"/>
    <x v="0"/>
    <n v="71.2"/>
  </r>
  <r>
    <d v="2025-06-18T21:19:57"/>
    <x v="6"/>
    <s v="Plaquettes de finition positives"/>
    <s v="230525"/>
    <s v="SOULAS YANIS"/>
    <n v="10"/>
    <x v="0"/>
    <x v="2"/>
    <s v="PLAQUETTES"/>
    <x v="0"/>
    <n v="87"/>
  </r>
  <r>
    <d v="2025-03-24T22:37:28"/>
    <x v="7"/>
    <s v="Plaquettes de finition triangulaires"/>
    <s v="080924"/>
    <s v="DABLEMONT AURELIEN"/>
    <n v="10"/>
    <x v="1"/>
    <x v="2"/>
    <s v="PLAQUETTES"/>
    <x v="0"/>
    <n v="138.80000000000001"/>
  </r>
  <r>
    <d v="2025-06-25T13:29:17"/>
    <x v="6"/>
    <s v="Plaquettes de finition positives"/>
    <s v="230525"/>
    <s v="SOULAS YANIS"/>
    <n v="10"/>
    <x v="0"/>
    <x v="2"/>
    <s v="PLAQUETTES"/>
    <x v="0"/>
    <n v="87"/>
  </r>
  <r>
    <d v="2025-03-25T01:17:19"/>
    <x v="7"/>
    <s v="Plaquettes de finition triangulaires"/>
    <s v="VERGE G"/>
    <s v="VERGE GREGORY"/>
    <n v="10"/>
    <x v="3"/>
    <x v="2"/>
    <s v="PLAQUETTES"/>
    <x v="3"/>
    <n v="138.80000000000001"/>
  </r>
  <r>
    <d v="2025-03-25T06:05:46"/>
    <x v="6"/>
    <s v="Plaquettes de finition positives"/>
    <s v="SE38185"/>
    <s v="VENIAT PIERRE NICOLAS"/>
    <n v="10"/>
    <x v="3"/>
    <x v="2"/>
    <s v="PLAQUETTES"/>
    <x v="3"/>
    <n v="87"/>
  </r>
  <r>
    <d v="2025-03-25T06:06:21"/>
    <x v="5"/>
    <s v="Plaquettes rondes"/>
    <s v="SE38185"/>
    <s v="VENIAT PIERRE NICOLAS"/>
    <n v="10"/>
    <x v="3"/>
    <x v="0"/>
    <s v="PLAQUETTES"/>
    <x v="3"/>
    <n v="108.5"/>
  </r>
  <r>
    <d v="2025-03-25T06:06:46"/>
    <x v="2"/>
    <s v="Plaquettes d'ébauches rhombiques"/>
    <s v="SE38185"/>
    <s v="VENIAT PIERRE NICOLAS"/>
    <n v="10"/>
    <x v="2"/>
    <x v="1"/>
    <s v="PLAQUETTES"/>
    <x v="1"/>
    <n v="70"/>
  </r>
  <r>
    <d v="2025-03-25T13:16:47"/>
    <x v="1"/>
    <s v="Plaquettes d'ébauches carrées"/>
    <s v="J519914"/>
    <s v="MARLY DAVID"/>
    <n v="10"/>
    <x v="1"/>
    <x v="0"/>
    <s v="PLAQUETTES"/>
    <x v="0"/>
    <n v="71.2"/>
  </r>
  <r>
    <d v="2025-03-25T13:17:14"/>
    <x v="6"/>
    <s v="Plaquettes de finition positives"/>
    <s v="J519914"/>
    <s v="MARLY DAVID"/>
    <n v="10"/>
    <x v="1"/>
    <x v="2"/>
    <s v="PLAQUETTES"/>
    <x v="0"/>
    <n v="87"/>
  </r>
  <r>
    <d v="2025-06-25T15:39:45"/>
    <x v="6"/>
    <s v="Plaquettes de finition positives"/>
    <s v="j529800"/>
    <s v="MONTCHARMONT BAPTISTE"/>
    <n v="10"/>
    <x v="0"/>
    <x v="2"/>
    <s v="PLAQUETTES"/>
    <x v="0"/>
    <n v="87"/>
  </r>
  <r>
    <d v="2025-03-25T14:40:10"/>
    <x v="6"/>
    <s v="Plaquettes de finition positives"/>
    <s v="100225"/>
    <s v="PRUNEAU WILLIAM"/>
    <n v="10"/>
    <x v="3"/>
    <x v="2"/>
    <s v="PLAQUETTES"/>
    <x v="3"/>
    <n v="87"/>
  </r>
  <r>
    <d v="2025-03-25T18:10:54"/>
    <x v="4"/>
    <s v="Plaquettes de finition"/>
    <s v="100225"/>
    <s v="PRUNEAU WILLIAM"/>
    <n v="5"/>
    <x v="2"/>
    <x v="2"/>
    <s v="PLAQUETTES"/>
    <x v="1"/>
    <n v="47.8"/>
  </r>
  <r>
    <d v="2025-03-25T21:07:47"/>
    <x v="1"/>
    <s v="Plaquettes d'ébauches carrées"/>
    <s v="VERGE G"/>
    <s v="VERGE GREGORY"/>
    <n v="10"/>
    <x v="3"/>
    <x v="1"/>
    <s v="PLAQUETTES"/>
    <x v="3"/>
    <n v="71.2"/>
  </r>
  <r>
    <d v="2025-03-25T21:08:03"/>
    <x v="1"/>
    <s v="Plaquettes d'ébauches carrées"/>
    <s v="VERGE G"/>
    <s v="VERGE GREGORY"/>
    <n v="10"/>
    <x v="3"/>
    <x v="1"/>
    <s v="PLAQUETTES"/>
    <x v="3"/>
    <n v="71.2"/>
  </r>
  <r>
    <d v="2025-03-25T21:08:16"/>
    <x v="2"/>
    <s v="Plaquettes d'ébauches rhombiques"/>
    <s v="VERGE G"/>
    <s v="VERGE GREGORY"/>
    <n v="10"/>
    <x v="3"/>
    <x v="1"/>
    <s v="PLAQUETTES"/>
    <x v="3"/>
    <n v="70"/>
  </r>
  <r>
    <d v="2025-03-25T21:08:36"/>
    <x v="2"/>
    <s v="Plaquettes d'ébauches rhombiques"/>
    <s v="VERGE G"/>
    <s v="VERGE GREGORY"/>
    <n v="10"/>
    <x v="3"/>
    <x v="1"/>
    <s v="PLAQUETTES"/>
    <x v="3"/>
    <n v="70"/>
  </r>
  <r>
    <d v="2025-03-25T21:08:51"/>
    <x v="4"/>
    <s v="Plaquettes de finition"/>
    <s v="VERGE G"/>
    <s v="VERGE GREGORY"/>
    <n v="5"/>
    <x v="2"/>
    <x v="2"/>
    <s v="PLAQUETTES"/>
    <x v="1"/>
    <n v="47.8"/>
  </r>
  <r>
    <d v="2025-03-25T21:23:15"/>
    <x v="2"/>
    <s v="Plaquettes d'ébauches rhombiques"/>
    <s v="080924"/>
    <s v="DABLEMONT AURELIEN"/>
    <n v="10"/>
    <x v="1"/>
    <x v="1"/>
    <s v="PLAQUETTES"/>
    <x v="0"/>
    <n v="70"/>
  </r>
  <r>
    <d v="2025-06-25T21:20:21"/>
    <x v="6"/>
    <s v="Plaquettes de finition positives"/>
    <s v="u134838"/>
    <s v="DANAH STEPHANIE"/>
    <n v="10"/>
    <x v="0"/>
    <x v="2"/>
    <s v="PLAQUETTES"/>
    <x v="0"/>
    <n v="87"/>
  </r>
  <r>
    <d v="2025-03-25T21:23:49"/>
    <x v="6"/>
    <s v="Plaquettes de finition positives"/>
    <s v="080924"/>
    <s v="DABLEMONT AURELIEN"/>
    <n v="10"/>
    <x v="1"/>
    <x v="2"/>
    <s v="PLAQUETTES"/>
    <x v="0"/>
    <n v="87"/>
  </r>
  <r>
    <d v="2025-03-25T21:25:43"/>
    <x v="8"/>
    <s v="Plaquettes rhombiques"/>
    <s v="VERGE G"/>
    <s v="VERGE GREGORY"/>
    <n v="5"/>
    <x v="2"/>
    <x v="2"/>
    <s v="PLAQUETTES"/>
    <x v="1"/>
    <n v="18.399999999999999"/>
  </r>
  <r>
    <d v="2025-03-26T06:46:43"/>
    <x v="2"/>
    <s v="Plaquettes d'ébauches rhombiques"/>
    <s v="SE38185"/>
    <s v="VENIAT PIERRE NICOLAS"/>
    <n v="10"/>
    <x v="2"/>
    <x v="0"/>
    <s v="PLAQUETTES"/>
    <x v="1"/>
    <n v="70"/>
  </r>
  <r>
    <d v="2025-03-26T06:47:04"/>
    <x v="10"/>
    <s v="Plaquettes de finition"/>
    <s v="SE38185"/>
    <s v="VENIAT PIERRE NICOLAS"/>
    <n v="10"/>
    <x v="3"/>
    <x v="2"/>
    <s v="PLAQUETTES"/>
    <x v="3"/>
    <n v="109.7"/>
  </r>
  <r>
    <d v="2025-03-26T06:47:25"/>
    <x v="6"/>
    <s v="Plaquettes de finition positives"/>
    <s v="SE38185"/>
    <s v="VENIAT PIERRE NICOLAS"/>
    <n v="10"/>
    <x v="3"/>
    <x v="2"/>
    <s v="PLAQUETTES"/>
    <x v="3"/>
    <n v="87"/>
  </r>
  <r>
    <d v="2025-06-26T23:36:24"/>
    <x v="6"/>
    <s v="Plaquettes de finition positives"/>
    <s v="u134838"/>
    <s v="DANAH STEPHANIE"/>
    <n v="10"/>
    <x v="0"/>
    <x v="2"/>
    <s v="PLAQUETTES"/>
    <x v="0"/>
    <n v="87"/>
  </r>
  <r>
    <d v="2025-03-26T08:19:24"/>
    <x v="6"/>
    <s v="Plaquettes de finition positives"/>
    <s v="u134838"/>
    <s v="DANAH STEPHANIE"/>
    <n v="10"/>
    <x v="1"/>
    <x v="2"/>
    <s v="PLAQUETTES"/>
    <x v="0"/>
    <n v="87"/>
  </r>
  <r>
    <d v="2025-03-26T21:07:59"/>
    <x v="1"/>
    <s v="Plaquettes d'ébauches carrées"/>
    <s v="VERGE G"/>
    <s v="VERGE GREGORY"/>
    <n v="10"/>
    <x v="2"/>
    <x v="1"/>
    <s v="PLAQUETTES"/>
    <x v="1"/>
    <n v="71.2"/>
  </r>
  <r>
    <d v="2025-06-28T06:58:04"/>
    <x v="6"/>
    <s v="Plaquettes de finition positives"/>
    <s v="U518765"/>
    <s v="ROY ADELINE"/>
    <n v="10"/>
    <x v="0"/>
    <x v="2"/>
    <s v="PLAQUETTES"/>
    <x v="0"/>
    <n v="87"/>
  </r>
  <r>
    <d v="2025-06-29T06:58:13"/>
    <x v="6"/>
    <s v="Plaquettes de finition positives"/>
    <s v="J534699"/>
    <s v="CHARTON FABIAN"/>
    <n v="10"/>
    <x v="0"/>
    <x v="2"/>
    <s v="PLAQUETTES"/>
    <x v="0"/>
    <n v="87"/>
  </r>
  <r>
    <d v="2025-06-30T05:52:37"/>
    <x v="6"/>
    <s v="Plaquettes de finition positives"/>
    <s v="230525"/>
    <s v="SOULAS YANIS"/>
    <n v="10"/>
    <x v="0"/>
    <x v="2"/>
    <s v="PLAQUETTES"/>
    <x v="0"/>
    <n v="87"/>
  </r>
  <r>
    <d v="2025-03-26T21:09:17"/>
    <x v="4"/>
    <s v="Plaquettes de finition"/>
    <s v="VERGE G"/>
    <s v="VERGE GREGORY"/>
    <n v="5"/>
    <x v="2"/>
    <x v="2"/>
    <s v="PLAQUETTES"/>
    <x v="1"/>
    <n v="47.8"/>
  </r>
  <r>
    <d v="2025-03-26T21:09:37"/>
    <x v="8"/>
    <s v="Plaquettes rhombiques"/>
    <s v="VERGE G"/>
    <s v="VERGE GREGORY"/>
    <n v="5"/>
    <x v="2"/>
    <x v="2"/>
    <s v="PLAQUETTES"/>
    <x v="1"/>
    <n v="18.399999999999999"/>
  </r>
  <r>
    <d v="2025-03-26T21:15:53"/>
    <x v="2"/>
    <s v="Plaquettes d'ébauches rhombiques"/>
    <s v="080924"/>
    <s v="DABLEMONT AURELIEN"/>
    <n v="10"/>
    <x v="1"/>
    <x v="1"/>
    <s v="PLAQUETTES"/>
    <x v="0"/>
    <n v="70"/>
  </r>
  <r>
    <d v="2025-03-26T21:16:06"/>
    <x v="2"/>
    <s v="Plaquettes d'ébauches rhombiques"/>
    <s v="080924"/>
    <s v="DABLEMONT AURELIEN"/>
    <n v="10"/>
    <x v="1"/>
    <x v="0"/>
    <s v="PLAQUETTES"/>
    <x v="0"/>
    <n v="70"/>
  </r>
  <r>
    <d v="2025-03-26T21:16:25"/>
    <x v="1"/>
    <s v="Plaquettes d'ébauches carrées"/>
    <s v="080924"/>
    <s v="DABLEMONT AURELIEN"/>
    <n v="10"/>
    <x v="1"/>
    <x v="1"/>
    <s v="PLAQUETTES"/>
    <x v="0"/>
    <n v="71.2"/>
  </r>
  <r>
    <d v="2025-07-01T13:33:06"/>
    <x v="6"/>
    <s v="Plaquettes de finition positives"/>
    <s v="u134838"/>
    <s v="DANAH STEPHANIE"/>
    <n v="10"/>
    <x v="0"/>
    <x v="2"/>
    <s v="PLAQUETTES"/>
    <x v="0"/>
    <n v="87"/>
  </r>
  <r>
    <d v="2025-03-26T21:16:59"/>
    <x v="6"/>
    <s v="Plaquettes de finition positives"/>
    <s v="080924"/>
    <s v="DABLEMONT AURELIEN"/>
    <n v="10"/>
    <x v="1"/>
    <x v="2"/>
    <s v="PLAQUETTES"/>
    <x v="0"/>
    <n v="87"/>
  </r>
  <r>
    <d v="2025-03-27T03:05:40"/>
    <x v="6"/>
    <s v="Plaquettes de finition positives"/>
    <s v="VERGE G"/>
    <s v="VERGE GREGORY"/>
    <n v="10"/>
    <x v="3"/>
    <x v="2"/>
    <s v="PLAQUETTES"/>
    <x v="3"/>
    <n v="87"/>
  </r>
  <r>
    <d v="2025-03-27T05:44:08"/>
    <x v="9"/>
    <s v="Plaquettes rhombiques"/>
    <s v="SE38185"/>
    <s v="VENIAT PIERRE NICOLAS"/>
    <n v="5"/>
    <x v="2"/>
    <x v="2"/>
    <s v="PLAQUETTES"/>
    <x v="1"/>
    <n v="44.85"/>
  </r>
  <r>
    <d v="2025-03-27T05:44:26"/>
    <x v="4"/>
    <s v="Plaquettes de finition"/>
    <s v="SE38185"/>
    <s v="VENIAT PIERRE NICOLAS"/>
    <n v="5"/>
    <x v="2"/>
    <x v="2"/>
    <s v="PLAQUETTES"/>
    <x v="1"/>
    <n v="47.8"/>
  </r>
  <r>
    <d v="2025-03-27T05:44:46"/>
    <x v="3"/>
    <s v="Plaquettes rondes"/>
    <s v="SE38185"/>
    <s v="VENIAT PIERRE NICOLAS"/>
    <n v="10"/>
    <x v="2"/>
    <x v="0"/>
    <s v="PLAQUETTES"/>
    <x v="1"/>
    <n v="136.69999999999999"/>
  </r>
  <r>
    <d v="2025-03-27T05:45:14"/>
    <x v="2"/>
    <s v="Plaquettes d'ébauches rhombiques"/>
    <s v="SE38185"/>
    <s v="VENIAT PIERRE NICOLAS"/>
    <n v="10"/>
    <x v="3"/>
    <x v="1"/>
    <s v="PLAQUETTES"/>
    <x v="3"/>
    <n v="70"/>
  </r>
  <r>
    <d v="2025-03-27T08:58:23"/>
    <x v="7"/>
    <s v="Plaquettes de finition triangulaires"/>
    <s v="SE38185"/>
    <s v="VENIAT PIERRE NICOLAS"/>
    <n v="10"/>
    <x v="3"/>
    <x v="2"/>
    <s v="PLAQUETTES"/>
    <x v="3"/>
    <n v="138.80000000000001"/>
  </r>
  <r>
    <d v="2025-07-02T14:02:26"/>
    <x v="6"/>
    <s v="Plaquettes de finition positives"/>
    <s v="u134838"/>
    <s v="DANAH STEPHANIE"/>
    <n v="10"/>
    <x v="0"/>
    <x v="2"/>
    <s v="PLAQUETTES"/>
    <x v="0"/>
    <n v="87"/>
  </r>
  <r>
    <d v="2025-07-02T21:18:14"/>
    <x v="6"/>
    <s v="Plaquettes de finition positives"/>
    <s v="SD13196"/>
    <s v="FRADIN MAXIME"/>
    <n v="10"/>
    <x v="0"/>
    <x v="2"/>
    <s v="PLAQUETTES"/>
    <x v="0"/>
    <n v="87"/>
  </r>
  <r>
    <d v="2025-07-03T05:29:06"/>
    <x v="6"/>
    <s v="Plaquettes de finition positives"/>
    <s v="230525"/>
    <s v="SOULAS YANIS"/>
    <n v="10"/>
    <x v="0"/>
    <x v="2"/>
    <s v="PLAQUETTES"/>
    <x v="0"/>
    <n v="87"/>
  </r>
  <r>
    <d v="2025-03-27T13:06:18"/>
    <x v="6"/>
    <s v="Plaquettes de finition positives"/>
    <s v="100225"/>
    <s v="PRUNEAU WILLIAM"/>
    <n v="10"/>
    <x v="3"/>
    <x v="2"/>
    <s v="PLAQUETTES"/>
    <x v="3"/>
    <n v="87"/>
  </r>
  <r>
    <d v="2025-03-27T13:06:52"/>
    <x v="5"/>
    <s v="Plaquettes rondes"/>
    <s v="100225"/>
    <s v="PRUNEAU WILLIAM"/>
    <n v="10"/>
    <x v="2"/>
    <x v="0"/>
    <s v="PLAQUETTES"/>
    <x v="1"/>
    <n v="108.5"/>
  </r>
  <r>
    <d v="2025-07-04T13:16:50"/>
    <x v="6"/>
    <s v="Plaquettes de finition positives"/>
    <s v="u134838"/>
    <s v="DANAH STEPHANIE"/>
    <n v="10"/>
    <x v="0"/>
    <x v="2"/>
    <s v="PLAQUETTES"/>
    <x v="0"/>
    <n v="87"/>
  </r>
  <r>
    <d v="2025-03-27T17:17:26"/>
    <x v="2"/>
    <s v="Plaquettes d'ébauches rhombiques"/>
    <s v="SD13196"/>
    <s v="FRADIN MAXIME"/>
    <n v="10"/>
    <x v="1"/>
    <x v="0"/>
    <s v="PLAQUETTES"/>
    <x v="0"/>
    <n v="70"/>
  </r>
  <r>
    <d v="2025-03-27T17:17:47"/>
    <x v="1"/>
    <s v="Plaquettes d'ébauches carrées"/>
    <s v="SD13196"/>
    <s v="FRADIN MAXIME"/>
    <n v="10"/>
    <x v="1"/>
    <x v="0"/>
    <s v="PLAQUETTES"/>
    <x v="0"/>
    <n v="71.2"/>
  </r>
  <r>
    <d v="2025-07-05T10:51:16"/>
    <x v="6"/>
    <s v="Plaquettes de finition positives"/>
    <s v="U054304"/>
    <s v="BOUACHIK HICHAM"/>
    <n v="10"/>
    <x v="0"/>
    <x v="2"/>
    <s v="PLAQUETTES"/>
    <x v="0"/>
    <n v="87"/>
  </r>
  <r>
    <d v="2025-03-27T17:18:29"/>
    <x v="6"/>
    <s v="Plaquettes de finition positives"/>
    <s v="SD13196"/>
    <s v="FRADIN MAXIME"/>
    <n v="10"/>
    <x v="1"/>
    <x v="2"/>
    <s v="PLAQUETTES"/>
    <x v="0"/>
    <n v="87"/>
  </r>
  <r>
    <d v="2025-07-06T02:07:23"/>
    <x v="6"/>
    <s v="Plaquettes de finition positives"/>
    <s v="J534699"/>
    <s v="CHARTON FABIAN"/>
    <n v="10"/>
    <x v="0"/>
    <x v="2"/>
    <s v="PLAQUETTES"/>
    <x v="0"/>
    <n v="87"/>
  </r>
  <r>
    <d v="2025-03-27T17:19:17"/>
    <x v="10"/>
    <s v="Plaquettes de finition"/>
    <s v="SD13196"/>
    <s v="FRADIN MAXIME"/>
    <n v="10"/>
    <x v="1"/>
    <x v="2"/>
    <s v="PLAQUETTES"/>
    <x v="0"/>
    <n v="109.7"/>
  </r>
  <r>
    <d v="2025-03-27T17:48:26"/>
    <x v="5"/>
    <s v="Plaquettes rondes"/>
    <s v="SD13196"/>
    <s v="FRADIN MAXIME"/>
    <n v="10"/>
    <x v="1"/>
    <x v="0"/>
    <s v="PLAQUETTES"/>
    <x v="0"/>
    <n v="108.5"/>
  </r>
  <r>
    <d v="2025-03-27T21:07:18"/>
    <x v="2"/>
    <s v="Plaquettes d'ébauches rhombiques"/>
    <s v="VERGE G"/>
    <s v="VERGE GREGORY"/>
    <n v="10"/>
    <x v="2"/>
    <x v="1"/>
    <s v="PLAQUETTES"/>
    <x v="1"/>
    <n v="70"/>
  </r>
  <r>
    <d v="2025-03-27T21:07:40"/>
    <x v="1"/>
    <s v="Plaquettes d'ébauches carrées"/>
    <s v="VERGE G"/>
    <s v="VERGE GREGORY"/>
    <n v="10"/>
    <x v="2"/>
    <x v="1"/>
    <s v="PLAQUETTES"/>
    <x v="1"/>
    <n v="71.2"/>
  </r>
  <r>
    <d v="2025-03-27T21:07:53"/>
    <x v="2"/>
    <s v="Plaquettes d'ébauches rhombiques"/>
    <s v="VERGE G"/>
    <s v="VERGE GREGORY"/>
    <n v="10"/>
    <x v="2"/>
    <x v="1"/>
    <s v="PLAQUETTES"/>
    <x v="1"/>
    <n v="70"/>
  </r>
  <r>
    <d v="2025-03-27T21:16:46"/>
    <x v="2"/>
    <s v="Plaquettes d'ébauches rhombiques"/>
    <s v="080924"/>
    <s v="DABLEMONT AURELIEN"/>
    <n v="10"/>
    <x v="1"/>
    <x v="1"/>
    <s v="PLAQUETTES"/>
    <x v="0"/>
    <n v="70"/>
  </r>
  <r>
    <d v="2025-07-06T15:18:57"/>
    <x v="6"/>
    <s v="Plaquettes de finition positives"/>
    <s v="U080365"/>
    <s v="ALAVOINE SAMUEL"/>
    <n v="10"/>
    <x v="0"/>
    <x v="2"/>
    <s v="PLAQUETTES"/>
    <x v="0"/>
    <n v="87"/>
  </r>
  <r>
    <d v="2025-07-08T04:30:02"/>
    <x v="6"/>
    <s v="Plaquettes de finition positives"/>
    <s v="230525"/>
    <s v="SOULAS YANIS"/>
    <n v="10"/>
    <x v="0"/>
    <x v="2"/>
    <s v="PLAQUETTES"/>
    <x v="0"/>
    <n v="87"/>
  </r>
  <r>
    <d v="2025-07-10T06:37:06"/>
    <x v="6"/>
    <s v="Plaquettes de finition positives"/>
    <s v="u134838"/>
    <s v="DANAH STEPHANIE"/>
    <n v="10"/>
    <x v="0"/>
    <x v="2"/>
    <s v="PLAQUETTES"/>
    <x v="0"/>
    <n v="87"/>
  </r>
  <r>
    <d v="2025-07-11T07:20:42"/>
    <x v="6"/>
    <s v="Plaquettes de finition positives"/>
    <s v="U534565"/>
    <s v="HOAREAU MARIUS"/>
    <n v="10"/>
    <x v="0"/>
    <x v="2"/>
    <s v="PLAQUETTES"/>
    <x v="0"/>
    <n v="87"/>
  </r>
  <r>
    <d v="2025-03-27T21:18:17"/>
    <x v="6"/>
    <s v="Plaquettes de finition positives"/>
    <s v="080924"/>
    <s v="DABLEMONT AURELIEN"/>
    <n v="10"/>
    <x v="1"/>
    <x v="2"/>
    <s v="PLAQUETTES"/>
    <x v="0"/>
    <n v="87"/>
  </r>
  <r>
    <d v="2025-03-27T21:20:29"/>
    <x v="6"/>
    <s v="Plaquettes de finition positives"/>
    <s v="VERGE G"/>
    <s v="VERGE GREGORY"/>
    <n v="10"/>
    <x v="3"/>
    <x v="2"/>
    <s v="PLAQUETTES"/>
    <x v="3"/>
    <n v="87"/>
  </r>
  <r>
    <d v="2025-03-28T07:46:40"/>
    <x v="6"/>
    <s v="Plaquettes de finition positives"/>
    <s v="U198152"/>
    <s v="AJMIK MUSTAPHA"/>
    <n v="10"/>
    <x v="3"/>
    <x v="2"/>
    <s v="PLAQUETTES"/>
    <x v="3"/>
    <n v="87"/>
  </r>
  <r>
    <d v="2025-03-28T13:02:38"/>
    <x v="2"/>
    <s v="Plaquettes d'ébauches rhombiques"/>
    <s v="100225"/>
    <s v="PRUNEAU WILLIAM"/>
    <n v="10"/>
    <x v="3"/>
    <x v="1"/>
    <s v="PLAQUETTES"/>
    <x v="3"/>
    <n v="70"/>
  </r>
  <r>
    <d v="2025-03-28T13:03:15"/>
    <x v="6"/>
    <s v="Plaquettes de finition positives"/>
    <s v="100225"/>
    <s v="PRUNEAU WILLIAM"/>
    <n v="10"/>
    <x v="1"/>
    <x v="2"/>
    <s v="PLAQUETTES"/>
    <x v="0"/>
    <n v="87"/>
  </r>
  <r>
    <d v="2025-07-12T04:03:40"/>
    <x v="6"/>
    <s v="Plaquettes de finition positives"/>
    <s v="230525"/>
    <s v="SOULAS YANIS"/>
    <n v="10"/>
    <x v="0"/>
    <x v="2"/>
    <s v="PLAQUETTES"/>
    <x v="0"/>
    <n v="87"/>
  </r>
  <r>
    <d v="2025-07-12T17:26:54"/>
    <x v="6"/>
    <s v="Plaquettes de finition positives"/>
    <s v="U054304"/>
    <s v="BOUACHIK HICHAM"/>
    <n v="10"/>
    <x v="0"/>
    <x v="2"/>
    <s v="PLAQUETTES"/>
    <x v="0"/>
    <n v="87"/>
  </r>
  <r>
    <d v="2025-07-13T00:24:04"/>
    <x v="6"/>
    <s v="Plaquettes de finition positives"/>
    <s v="U054304"/>
    <s v="BOUACHIK HICHAM"/>
    <n v="10"/>
    <x v="0"/>
    <x v="2"/>
    <s v="PLAQUETTES"/>
    <x v="0"/>
    <n v="87"/>
  </r>
  <r>
    <d v="2025-07-13T08:05:49"/>
    <x v="6"/>
    <s v="Plaquettes de finition positives"/>
    <s v="U534565"/>
    <s v="HOAREAU MARIUS"/>
    <n v="10"/>
    <x v="0"/>
    <x v="2"/>
    <s v="PLAQUETTES"/>
    <x v="0"/>
    <n v="87"/>
  </r>
  <r>
    <d v="2025-03-28T21:10:13"/>
    <x v="10"/>
    <s v="Plaquettes de finition"/>
    <s v="080924"/>
    <s v="DABLEMONT AURELIEN"/>
    <n v="10"/>
    <x v="1"/>
    <x v="2"/>
    <s v="PLAQUETTES"/>
    <x v="0"/>
    <n v="109.7"/>
  </r>
  <r>
    <d v="2025-03-28T21:10:35"/>
    <x v="7"/>
    <s v="Plaquettes de finition triangulaires"/>
    <s v="080924"/>
    <s v="DABLEMONT AURELIEN"/>
    <n v="10"/>
    <x v="1"/>
    <x v="2"/>
    <s v="PLAQUETTES"/>
    <x v="0"/>
    <n v="138.80000000000001"/>
  </r>
  <r>
    <d v="2025-03-28T21:53:11"/>
    <x v="2"/>
    <s v="Plaquettes d'ébauches rhombiques"/>
    <s v="VERGE G"/>
    <s v="VERGE GREGORY"/>
    <n v="10"/>
    <x v="3"/>
    <x v="1"/>
    <s v="PLAQUETTES"/>
    <x v="3"/>
    <n v="70"/>
  </r>
  <r>
    <d v="2025-03-28T21:53:34"/>
    <x v="1"/>
    <s v="Plaquettes d'ébauches carrées"/>
    <s v="VERGE G"/>
    <s v="VERGE GREGORY"/>
    <n v="10"/>
    <x v="3"/>
    <x v="1"/>
    <s v="PLAQUETTES"/>
    <x v="3"/>
    <n v="71.2"/>
  </r>
  <r>
    <d v="2025-03-28T21:54:03"/>
    <x v="6"/>
    <s v="Plaquettes de finition positives"/>
    <s v="VERGE G"/>
    <s v="VERGE GREGORY"/>
    <n v="10"/>
    <x v="3"/>
    <x v="2"/>
    <s v="PLAQUETTES"/>
    <x v="3"/>
    <n v="87"/>
  </r>
  <r>
    <d v="2025-07-13T08:06:08"/>
    <x v="6"/>
    <s v="Plaquettes de finition positives"/>
    <s v="U534565"/>
    <s v="HOAREAU MARIUS"/>
    <n v="10"/>
    <x v="0"/>
    <x v="2"/>
    <s v="PLAQUETTES"/>
    <x v="0"/>
    <n v="87"/>
  </r>
  <r>
    <d v="2025-07-14T05:33:35"/>
    <x v="6"/>
    <s v="Plaquettes de finition positives"/>
    <s v="SD13196"/>
    <s v="FRADIN MAXIME"/>
    <n v="10"/>
    <x v="0"/>
    <x v="2"/>
    <s v="PLAQUETTES"/>
    <x v="0"/>
    <n v="87"/>
  </r>
  <r>
    <d v="2025-03-29T06:29:55"/>
    <x v="4"/>
    <s v="Plaquettes de finition"/>
    <s v="U198152"/>
    <s v="AJMIK MUSTAPHA"/>
    <n v="5"/>
    <x v="2"/>
    <x v="2"/>
    <s v="PLAQUETTES"/>
    <x v="1"/>
    <n v="47.8"/>
  </r>
  <r>
    <d v="2025-03-29T06:30:12"/>
    <x v="6"/>
    <s v="Plaquettes de finition positives"/>
    <s v="U198152"/>
    <s v="AJMIK MUSTAPHA"/>
    <n v="10"/>
    <x v="3"/>
    <x v="2"/>
    <s v="PLAQUETTES"/>
    <x v="3"/>
    <n v="87"/>
  </r>
  <r>
    <d v="2025-03-29T06:30:36"/>
    <x v="2"/>
    <s v="Plaquettes d'ébauches rhombiques"/>
    <s v="U198152"/>
    <s v="AJMIK MUSTAPHA"/>
    <n v="10"/>
    <x v="2"/>
    <x v="0"/>
    <s v="PLAQUETTES"/>
    <x v="1"/>
    <n v="70"/>
  </r>
  <r>
    <d v="2025-03-29T15:06:39"/>
    <x v="4"/>
    <s v="Plaquettes de finition"/>
    <s v="U198152"/>
    <s v="AJMIK MUSTAPHA"/>
    <n v="5"/>
    <x v="2"/>
    <x v="2"/>
    <s v="PLAQUETTES"/>
    <x v="1"/>
    <n v="47.8"/>
  </r>
  <r>
    <d v="2025-03-29T15:06:57"/>
    <x v="6"/>
    <s v="Plaquettes de finition positives"/>
    <s v="U198152"/>
    <s v="AJMIK MUSTAPHA"/>
    <n v="10"/>
    <x v="3"/>
    <x v="2"/>
    <s v="PLAQUETTES"/>
    <x v="3"/>
    <n v="87"/>
  </r>
  <r>
    <d v="2025-03-29T17:13:24"/>
    <x v="2"/>
    <s v="Plaquettes d'ébauches rhombiques"/>
    <s v="U080365"/>
    <s v="ALAVOINE SAMUEL"/>
    <n v="10"/>
    <x v="3"/>
    <x v="1"/>
    <s v="PLAQUETTES"/>
    <x v="3"/>
    <n v="70"/>
  </r>
  <r>
    <d v="2025-03-29T17:13:39"/>
    <x v="1"/>
    <s v="Plaquettes d'ébauches carrées"/>
    <s v="U080365"/>
    <s v="ALAVOINE SAMUEL"/>
    <n v="10"/>
    <x v="3"/>
    <x v="1"/>
    <s v="PLAQUETTES"/>
    <x v="3"/>
    <n v="71.2"/>
  </r>
  <r>
    <d v="2025-03-29T17:13:59"/>
    <x v="5"/>
    <s v="Plaquettes rondes"/>
    <s v="U080365"/>
    <s v="ALAVOINE SAMUEL"/>
    <n v="10"/>
    <x v="3"/>
    <x v="0"/>
    <s v="PLAQUETTES"/>
    <x v="3"/>
    <n v="108.5"/>
  </r>
  <r>
    <d v="2025-03-29T17:14:17"/>
    <x v="4"/>
    <s v="Plaquettes de finition"/>
    <s v="U080365"/>
    <s v="ALAVOINE SAMUEL"/>
    <n v="5"/>
    <x v="2"/>
    <x v="2"/>
    <s v="PLAQUETTES"/>
    <x v="1"/>
    <n v="47.8"/>
  </r>
  <r>
    <d v="2025-03-29T17:14:37"/>
    <x v="11"/>
    <s v="Plaquettes de finition triangulaires"/>
    <s v="U080365"/>
    <s v="ALAVOINE SAMUEL"/>
    <n v="10"/>
    <x v="2"/>
    <x v="2"/>
    <s v="PLAQUETTES"/>
    <x v="1"/>
    <n v="118.7"/>
  </r>
  <r>
    <d v="2025-03-29T17:15:12"/>
    <x v="9"/>
    <s v="Plaquettes rhombiques"/>
    <s v="U080365"/>
    <s v="ALAVOINE SAMUEL"/>
    <n v="5"/>
    <x v="2"/>
    <x v="2"/>
    <s v="PLAQUETTES"/>
    <x v="1"/>
    <n v="44.85"/>
  </r>
  <r>
    <d v="2025-03-29T17:15:38"/>
    <x v="8"/>
    <s v="Plaquettes rhombiques"/>
    <s v="U080365"/>
    <s v="ALAVOINE SAMUEL"/>
    <n v="5"/>
    <x v="2"/>
    <x v="2"/>
    <s v="PLAQUETTES"/>
    <x v="1"/>
    <n v="18.399999999999999"/>
  </r>
  <r>
    <d v="2025-03-29T17:15:56"/>
    <x v="6"/>
    <s v="Plaquettes de finition positives"/>
    <s v="U080365"/>
    <s v="ALAVOINE SAMUEL"/>
    <n v="10"/>
    <x v="3"/>
    <x v="2"/>
    <s v="PLAQUETTES"/>
    <x v="3"/>
    <n v="87"/>
  </r>
  <r>
    <d v="2025-03-29T17:16:11"/>
    <x v="7"/>
    <s v="Plaquettes de finition triangulaires"/>
    <s v="U080365"/>
    <s v="ALAVOINE SAMUEL"/>
    <n v="10"/>
    <x v="3"/>
    <x v="2"/>
    <s v="PLAQUETTES"/>
    <x v="3"/>
    <n v="138.80000000000001"/>
  </r>
  <r>
    <d v="2025-03-30T04:22:05"/>
    <x v="2"/>
    <s v="Plaquettes d'ébauches rhombiques"/>
    <s v="U534565"/>
    <s v="HOAREAU MARIUS"/>
    <n v="10"/>
    <x v="1"/>
    <x v="0"/>
    <s v="PLAQUETTES"/>
    <x v="0"/>
    <n v="70"/>
  </r>
  <r>
    <d v="2025-03-30T04:22:36"/>
    <x v="1"/>
    <s v="Plaquettes d'ébauches carrées"/>
    <s v="U534565"/>
    <s v="HOAREAU MARIUS"/>
    <n v="10"/>
    <x v="1"/>
    <x v="0"/>
    <s v="PLAQUETTES"/>
    <x v="0"/>
    <n v="71.2"/>
  </r>
  <r>
    <d v="2025-07-14T05:34:29"/>
    <x v="6"/>
    <s v="Plaquettes de finition positives"/>
    <s v="SD13196"/>
    <s v="FRADIN MAXIME"/>
    <n v="10"/>
    <x v="0"/>
    <x v="2"/>
    <s v="PLAQUETTES"/>
    <x v="0"/>
    <n v="87"/>
  </r>
  <r>
    <d v="2025-03-30T04:23:30"/>
    <x v="6"/>
    <s v="Plaquettes de finition positives"/>
    <s v="U534565"/>
    <s v="HOAREAU MARIUS"/>
    <n v="10"/>
    <x v="1"/>
    <x v="2"/>
    <s v="PLAQUETTES"/>
    <x v="0"/>
    <n v="87"/>
  </r>
  <r>
    <d v="2025-03-30T04:23:49"/>
    <x v="5"/>
    <s v="Plaquettes rondes"/>
    <s v="U534565"/>
    <s v="HOAREAU MARIUS"/>
    <n v="10"/>
    <x v="1"/>
    <x v="0"/>
    <s v="PLAQUETTES"/>
    <x v="0"/>
    <n v="108.5"/>
  </r>
  <r>
    <d v="2025-03-30T09:29:51"/>
    <x v="10"/>
    <s v="Plaquettes de finition"/>
    <s v="U198152"/>
    <s v="AJMIK MUSTAPHA"/>
    <n v="10"/>
    <x v="3"/>
    <x v="2"/>
    <s v="PLAQUETTES"/>
    <x v="3"/>
    <n v="109.7"/>
  </r>
  <r>
    <d v="2025-03-30T09:30:48"/>
    <x v="2"/>
    <s v="Plaquettes d'ébauches rhombiques"/>
    <s v="U198152"/>
    <s v="AJMIK MUSTAPHA"/>
    <n v="10"/>
    <x v="3"/>
    <x v="0"/>
    <s v="PLAQUETTES"/>
    <x v="3"/>
    <n v="70"/>
  </r>
  <r>
    <d v="2025-03-31T03:04:30"/>
    <x v="1"/>
    <s v="Plaquettes d'ébauches carrées"/>
    <s v="U080365"/>
    <s v="ALAVOINE SAMUEL"/>
    <n v="10"/>
    <x v="3"/>
    <x v="0"/>
    <s v="PLAQUETTES"/>
    <x v="3"/>
    <n v="71.2"/>
  </r>
  <r>
    <d v="2025-03-31T11:24:39"/>
    <x v="1"/>
    <s v="Plaquettes d'ébauches carrées"/>
    <s v="12824586"/>
    <s v="DA SILVA FERNANDO"/>
    <n v="10"/>
    <x v="3"/>
    <x v="1"/>
    <s v="PLAQUETTES"/>
    <x v="3"/>
    <n v="71.2"/>
  </r>
  <r>
    <d v="2025-07-16T21:20:49"/>
    <x v="6"/>
    <s v="Plaquettes de finition positives"/>
    <s v="u134838"/>
    <s v="DANAH STEPHANIE"/>
    <n v="10"/>
    <x v="0"/>
    <x v="2"/>
    <s v="PLAQUETTES"/>
    <x v="0"/>
    <n v="87"/>
  </r>
  <r>
    <d v="2025-07-18T13:20:05"/>
    <x v="6"/>
    <s v="Plaquettes de finition positives"/>
    <s v="230525"/>
    <s v="SOULAS YANIS"/>
    <n v="10"/>
    <x v="0"/>
    <x v="2"/>
    <s v="PLAQUETTES"/>
    <x v="0"/>
    <n v="87"/>
  </r>
  <r>
    <d v="2025-07-19T19:49:14"/>
    <x v="6"/>
    <s v="Plaquettes de finition positives"/>
    <s v="U534565"/>
    <s v="HOAREAU MARIUS"/>
    <n v="10"/>
    <x v="0"/>
    <x v="2"/>
    <s v="PLAQUETTES"/>
    <x v="3"/>
    <n v="87"/>
  </r>
  <r>
    <d v="2025-03-31T21:11:27"/>
    <x v="10"/>
    <s v="Plaquettes de finition"/>
    <s v="SE38185"/>
    <s v="VENIAT PIERRE NICOLAS"/>
    <n v="10"/>
    <x v="1"/>
    <x v="2"/>
    <s v="PLAQUETTES"/>
    <x v="0"/>
    <n v="109.7"/>
  </r>
  <r>
    <d v="2025-03-31T21:12:18"/>
    <x v="8"/>
    <s v="Plaquettes rhombiques"/>
    <s v="SE38185"/>
    <s v="VENIAT PIERRE NICOLAS"/>
    <n v="5"/>
    <x v="3"/>
    <x v="2"/>
    <s v="PLAQUETTES"/>
    <x v="2"/>
    <n v="18.399999999999999"/>
  </r>
  <r>
    <d v="2025-03-31T21:12:41"/>
    <x v="4"/>
    <s v="Plaquettes de finition"/>
    <s v="SE38185"/>
    <s v="VENIAT PIERRE NICOLAS"/>
    <n v="5"/>
    <x v="3"/>
    <x v="2"/>
    <s v="PLAQUETTES"/>
    <x v="2"/>
    <n v="47.8"/>
  </r>
  <r>
    <d v="2025-03-31T21:13:37"/>
    <x v="11"/>
    <s v="Plaquettes de finition triangulaires"/>
    <s v="SE38185"/>
    <s v="VENIAT PIERRE NICOLAS"/>
    <n v="10"/>
    <x v="3"/>
    <x v="2"/>
    <s v="PLAQUETTES"/>
    <x v="2"/>
    <n v="118.7"/>
  </r>
  <r>
    <d v="2025-03-31T21:14:07"/>
    <x v="11"/>
    <s v="Plaquettes de finition triangulaires"/>
    <s v="SE38185"/>
    <s v="VENIAT PIERRE NICOLAS"/>
    <n v="10"/>
    <x v="2"/>
    <x v="2"/>
    <s v="PLAQUETTES"/>
    <x v="1"/>
    <n v="118.7"/>
  </r>
  <r>
    <d v="2025-03-31T21:18:14"/>
    <x v="2"/>
    <s v="Plaquettes d'ébauches rhombiques"/>
    <s v="SE38185"/>
    <s v="VENIAT PIERRE NICOLAS"/>
    <n v="10"/>
    <x v="2"/>
    <x v="1"/>
    <s v="PLAQUETTES"/>
    <x v="1"/>
    <n v="70"/>
  </r>
  <r>
    <d v="2025-03-31T21:18:36"/>
    <x v="2"/>
    <s v="Plaquettes d'ébauches rhombiques"/>
    <s v="SE38185"/>
    <s v="VENIAT PIERRE NICOLAS"/>
    <n v="10"/>
    <x v="2"/>
    <x v="1"/>
    <s v="PLAQUETTES"/>
    <x v="1"/>
    <n v="70"/>
  </r>
  <r>
    <d v="2025-04-01T13:03:13"/>
    <x v="2"/>
    <s v="Plaquettes d'ébauches rhombiques"/>
    <s v="VERGE G"/>
    <s v="VERGE GREGORY"/>
    <n v="10"/>
    <x v="2"/>
    <x v="1"/>
    <s v="PLAQUETTES"/>
    <x v="1"/>
    <n v="70"/>
  </r>
  <r>
    <d v="2025-04-01T13:03:47"/>
    <x v="1"/>
    <s v="Plaquettes d'ébauches carrées"/>
    <s v="VERGE G"/>
    <s v="VERGE GREGORY"/>
    <n v="10"/>
    <x v="2"/>
    <x v="1"/>
    <s v="PLAQUETTES"/>
    <x v="1"/>
    <n v="71.2"/>
  </r>
  <r>
    <d v="2025-04-01T13:08:07"/>
    <x v="2"/>
    <s v="Plaquettes d'ébauches rhombiques"/>
    <s v="080924"/>
    <s v="DABLEMONT AURELIEN"/>
    <n v="10"/>
    <x v="1"/>
    <x v="1"/>
    <s v="PLAQUETTES"/>
    <x v="0"/>
    <n v="70"/>
  </r>
  <r>
    <d v="2025-07-20T17:39:00"/>
    <x v="6"/>
    <s v="Plaquettes de finition positives"/>
    <s v="U534565"/>
    <s v="HOAREAU MARIUS"/>
    <n v="10"/>
    <x v="0"/>
    <x v="2"/>
    <s v="PLAQUETTES"/>
    <x v="0"/>
    <n v="87"/>
  </r>
  <r>
    <d v="2025-04-01T13:08:40"/>
    <x v="1"/>
    <s v="Plaquettes d'ébauches carrées"/>
    <s v="080924"/>
    <s v="DABLEMONT AURELIEN"/>
    <n v="10"/>
    <x v="1"/>
    <x v="0"/>
    <s v="PLAQUETTES"/>
    <x v="0"/>
    <n v="71.2"/>
  </r>
  <r>
    <d v="2025-04-01T13:08:55"/>
    <x v="6"/>
    <s v="Plaquettes de finition positives"/>
    <s v="080924"/>
    <s v="DABLEMONT AURELIEN"/>
    <n v="10"/>
    <x v="1"/>
    <x v="2"/>
    <s v="PLAQUETTES"/>
    <x v="0"/>
    <n v="87"/>
  </r>
  <r>
    <d v="2025-04-01T13:09:12"/>
    <x v="7"/>
    <s v="Plaquettes de finition triangulaires"/>
    <s v="080924"/>
    <s v="DABLEMONT AURELIEN"/>
    <n v="10"/>
    <x v="1"/>
    <x v="2"/>
    <s v="PLAQUETTES"/>
    <x v="0"/>
    <n v="138.80000000000001"/>
  </r>
  <r>
    <d v="2025-07-21T05:37:21"/>
    <x v="6"/>
    <s v="Plaquettes de finition positives"/>
    <s v="230525"/>
    <s v="SOULAS YANIS"/>
    <n v="10"/>
    <x v="0"/>
    <x v="2"/>
    <s v="PLAQUETTES"/>
    <x v="0"/>
    <n v="87"/>
  </r>
  <r>
    <d v="2025-07-21T14:36:30"/>
    <x v="6"/>
    <s v="Plaquettes de finition positives"/>
    <s v="u134838"/>
    <s v="DANAH STEPHANIE"/>
    <n v="10"/>
    <x v="0"/>
    <x v="2"/>
    <s v="PLAQUETTES"/>
    <x v="0"/>
    <n v="87"/>
  </r>
  <r>
    <d v="2025-04-01T13:32:00"/>
    <x v="4"/>
    <s v="Plaquettes de finition"/>
    <s v="VERGE G"/>
    <s v="VERGE GREGORY"/>
    <n v="5"/>
    <x v="3"/>
    <x v="2"/>
    <s v="PLAQUETTES"/>
    <x v="2"/>
    <n v="47.8"/>
  </r>
  <r>
    <d v="2025-04-01T13:32:23"/>
    <x v="4"/>
    <s v="Plaquettes de finition"/>
    <s v="VERGE G"/>
    <s v="VERGE GREGORY"/>
    <n v="5"/>
    <x v="2"/>
    <x v="2"/>
    <s v="PLAQUETTES"/>
    <x v="5"/>
    <n v="47.8"/>
  </r>
  <r>
    <d v="2025-04-01T13:32:46"/>
    <x v="2"/>
    <s v="Plaquettes d'ébauches rhombiques"/>
    <s v="VERGE G"/>
    <s v="VERGE GREGORY"/>
    <n v="10"/>
    <x v="3"/>
    <x v="1"/>
    <s v="PLAQUETTES"/>
    <x v="3"/>
    <n v="70"/>
  </r>
  <r>
    <d v="2025-04-01T13:33:03"/>
    <x v="1"/>
    <s v="Plaquettes d'ébauches carrées"/>
    <s v="VERGE G"/>
    <s v="VERGE GREGORY"/>
    <n v="10"/>
    <x v="3"/>
    <x v="1"/>
    <s v="PLAQUETTES"/>
    <x v="0"/>
    <n v="71.2"/>
  </r>
  <r>
    <d v="2025-04-01T23:10:36"/>
    <x v="4"/>
    <s v="Plaquettes de finition"/>
    <s v="u134838"/>
    <s v="DANAH STEPHANIE"/>
    <n v="5"/>
    <x v="3"/>
    <x v="2"/>
    <s v="PLAQUETTES"/>
    <x v="2"/>
    <n v="47.8"/>
  </r>
  <r>
    <d v="2025-04-01T23:11:00"/>
    <x v="4"/>
    <s v="Plaquettes de finition"/>
    <s v="u134838"/>
    <s v="DANAH STEPHANIE"/>
    <n v="5"/>
    <x v="2"/>
    <x v="2"/>
    <s v="PLAQUETTES"/>
    <x v="1"/>
    <n v="47.8"/>
  </r>
  <r>
    <d v="2025-04-01T23:11:28"/>
    <x v="2"/>
    <s v="Plaquettes d'ébauches rhombiques"/>
    <s v="u134838"/>
    <s v="DANAH STEPHANIE"/>
    <n v="10"/>
    <x v="3"/>
    <x v="2"/>
    <s v="PLAQUETTES"/>
    <x v="2"/>
    <n v="70"/>
  </r>
  <r>
    <d v="2025-04-01T23:11:50"/>
    <x v="2"/>
    <s v="Plaquettes d'ébauches rhombiques"/>
    <s v="u134838"/>
    <s v="DANAH STEPHANIE"/>
    <n v="10"/>
    <x v="3"/>
    <x v="0"/>
    <s v="PLAQUETTES"/>
    <x v="2"/>
    <n v="70"/>
  </r>
  <r>
    <d v="2025-07-22T00:32:40"/>
    <x v="6"/>
    <s v="Plaquettes de finition positives"/>
    <s v="j519914"/>
    <s v="MARLY DAVID"/>
    <n v="10"/>
    <x v="0"/>
    <x v="2"/>
    <s v="PLAQUETTES"/>
    <x v="0"/>
    <n v="87"/>
  </r>
  <r>
    <d v="2025-07-22T13:12:44"/>
    <x v="6"/>
    <s v="Plaquettes de finition positives"/>
    <s v="u134838"/>
    <s v="DANAH STEPHANIE"/>
    <n v="10"/>
    <x v="0"/>
    <x v="2"/>
    <s v="PLAQUETTES"/>
    <x v="0"/>
    <n v="87"/>
  </r>
  <r>
    <d v="2025-07-22T21:25:43"/>
    <x v="6"/>
    <s v="Plaquettes de finition positives"/>
    <s v="j519914"/>
    <s v="MARLY DAVID"/>
    <n v="10"/>
    <x v="0"/>
    <x v="2"/>
    <s v="PLAQUETTES"/>
    <x v="0"/>
    <n v="87"/>
  </r>
  <r>
    <d v="2025-04-02T05:21:31"/>
    <x v="2"/>
    <s v="Plaquettes d'ébauches rhombiques"/>
    <s v="J519914"/>
    <s v="MARLY DAVID"/>
    <n v="10"/>
    <x v="1"/>
    <x v="1"/>
    <s v="PLAQUETTES"/>
    <x v="0"/>
    <n v="70"/>
  </r>
  <r>
    <d v="2025-04-02T05:22:23"/>
    <x v="1"/>
    <s v="Plaquettes d'ébauches carrées"/>
    <s v="J519914"/>
    <s v="MARLY DAVID"/>
    <n v="10"/>
    <x v="1"/>
    <x v="1"/>
    <s v="PLAQUETTES"/>
    <x v="0"/>
    <n v="71.2"/>
  </r>
  <r>
    <d v="2025-04-02T05:22:56"/>
    <x v="5"/>
    <s v="Plaquettes rondes"/>
    <s v="J519914"/>
    <s v="MARLY DAVID"/>
    <n v="10"/>
    <x v="1"/>
    <x v="0"/>
    <s v="PLAQUETTES"/>
    <x v="0"/>
    <n v="108.5"/>
  </r>
  <r>
    <d v="2025-04-02T05:23:29"/>
    <x v="6"/>
    <s v="Plaquettes de finition positives"/>
    <s v="J519914"/>
    <s v="MARLY DAVID"/>
    <n v="10"/>
    <x v="1"/>
    <x v="2"/>
    <s v="PLAQUETTES"/>
    <x v="0"/>
    <n v="87"/>
  </r>
  <r>
    <d v="2025-04-02T05:24:11"/>
    <x v="7"/>
    <s v="Plaquettes de finition triangulaires"/>
    <s v="J519914"/>
    <s v="MARLY DAVID"/>
    <n v="10"/>
    <x v="1"/>
    <x v="2"/>
    <s v="PLAQUETTES"/>
    <x v="0"/>
    <n v="138.80000000000001"/>
  </r>
  <r>
    <d v="2025-04-02T13:19:03"/>
    <x v="2"/>
    <s v="Plaquettes d'ébauches rhombiques"/>
    <s v="080924"/>
    <s v="DABLEMONT AURELIEN"/>
    <n v="10"/>
    <x v="1"/>
    <x v="1"/>
    <s v="PLAQUETTES"/>
    <x v="0"/>
    <n v="70"/>
  </r>
  <r>
    <d v="2025-07-23T13:57:43"/>
    <x v="6"/>
    <s v="Plaquettes de finition positives"/>
    <s v="u134838"/>
    <s v="DANAH STEPHANIE"/>
    <n v="10"/>
    <x v="0"/>
    <x v="2"/>
    <s v="PLAQUETTES"/>
    <x v="0"/>
    <n v="87"/>
  </r>
  <r>
    <d v="2025-04-02T15:16:18"/>
    <x v="6"/>
    <s v="Plaquettes de finition positives"/>
    <s v="VERGE G"/>
    <s v="VERGE GREGORY"/>
    <n v="10"/>
    <x v="3"/>
    <x v="2"/>
    <s v="PLAQUETTES"/>
    <x v="0"/>
    <n v="87"/>
  </r>
  <r>
    <d v="2025-04-02T15:16:49"/>
    <x v="7"/>
    <s v="Plaquettes de finition triangulaires"/>
    <s v="VERGE G"/>
    <s v="VERGE GREGORY"/>
    <n v="10"/>
    <x v="3"/>
    <x v="2"/>
    <s v="PLAQUETTES"/>
    <x v="0"/>
    <n v="138.80000000000001"/>
  </r>
  <r>
    <d v="2025-04-02T15:17:02"/>
    <x v="10"/>
    <s v="Plaquettes de finition"/>
    <s v="VERGE G"/>
    <s v="VERGE GREGORY"/>
    <n v="10"/>
    <x v="3"/>
    <x v="2"/>
    <s v="PLAQUETTES"/>
    <x v="0"/>
    <n v="109.7"/>
  </r>
  <r>
    <d v="2025-07-23T21:24:21"/>
    <x v="6"/>
    <s v="Plaquettes de finition positives"/>
    <s v="j519914"/>
    <s v="MARLY DAVID"/>
    <n v="10"/>
    <x v="0"/>
    <x v="2"/>
    <s v="PLAQUETTES"/>
    <x v="0"/>
    <n v="87"/>
  </r>
  <r>
    <d v="2025-04-02T21:49:07"/>
    <x v="2"/>
    <s v="Plaquettes d'ébauches rhombiques"/>
    <s v="u134838"/>
    <s v="DANAH STEPHANIE"/>
    <n v="10"/>
    <x v="3"/>
    <x v="0"/>
    <s v="PLAQUETTES"/>
    <x v="0"/>
    <n v="70"/>
  </r>
  <r>
    <d v="2025-04-02T21:49:27"/>
    <x v="5"/>
    <s v="Plaquettes rondes"/>
    <s v="u134838"/>
    <s v="DANAH STEPHANIE"/>
    <n v="10"/>
    <x v="3"/>
    <x v="0"/>
    <s v="PLAQUETTES"/>
    <x v="0"/>
    <n v="108.5"/>
  </r>
  <r>
    <d v="2025-04-03T00:26:30"/>
    <x v="3"/>
    <s v="Plaquettes rondes"/>
    <s v="u134838"/>
    <s v="DANAH STEPHANIE"/>
    <n v="10"/>
    <x v="2"/>
    <x v="0"/>
    <s v="PLAQUETTES"/>
    <x v="1"/>
    <n v="136.69999999999999"/>
  </r>
  <r>
    <d v="2025-07-23T21:24:53"/>
    <x v="6"/>
    <s v="Plaquettes de finition positives"/>
    <s v="j519914"/>
    <s v="MARLY DAVID"/>
    <n v="10"/>
    <x v="0"/>
    <x v="2"/>
    <s v="PLAQUETTES"/>
    <x v="0"/>
    <n v="87"/>
  </r>
  <r>
    <d v="2025-04-03T08:00:34"/>
    <x v="6"/>
    <s v="Plaquettes de finition positives"/>
    <s v="100225"/>
    <s v="PRUNEAU WILLIAM"/>
    <n v="10"/>
    <x v="3"/>
    <x v="2"/>
    <s v="PLAQUETTES"/>
    <x v="0"/>
    <n v="87"/>
  </r>
  <r>
    <d v="2025-04-03T13:17:32"/>
    <x v="6"/>
    <s v="Plaquettes de finition positives"/>
    <s v="080924"/>
    <s v="DABLEMONT AURELIEN"/>
    <n v="10"/>
    <x v="1"/>
    <x v="2"/>
    <s v="PLAQUETTES"/>
    <x v="0"/>
    <n v="87"/>
  </r>
  <r>
    <d v="2025-08-21T21:27:30"/>
    <x v="6"/>
    <s v="Plaquettes de finition positives"/>
    <s v="j519914"/>
    <s v="MARLY DAVID"/>
    <n v="10"/>
    <x v="0"/>
    <x v="2"/>
    <s v="PLAQUETTES"/>
    <x v="0"/>
    <n v="87"/>
  </r>
  <r>
    <d v="2025-04-03T13:18:04"/>
    <x v="2"/>
    <s v="Plaquettes d'ébauches rhombiques"/>
    <s v="080924"/>
    <s v="DABLEMONT AURELIEN"/>
    <n v="10"/>
    <x v="1"/>
    <x v="1"/>
    <s v="PLAQUETTES"/>
    <x v="0"/>
    <n v="70"/>
  </r>
  <r>
    <d v="2025-08-22T15:07:13"/>
    <x v="6"/>
    <s v="Plaquettes de finition positives"/>
    <s v="230525"/>
    <s v="SOULAS YANIS"/>
    <n v="10"/>
    <x v="0"/>
    <x v="2"/>
    <s v="PLAQUETTES"/>
    <x v="0"/>
    <n v="87"/>
  </r>
  <r>
    <d v="2025-04-03T13:18:35"/>
    <x v="5"/>
    <s v="Plaquettes rondes"/>
    <s v="080924"/>
    <s v="DABLEMONT AURELIEN"/>
    <n v="10"/>
    <x v="1"/>
    <x v="0"/>
    <s v="PLAQUETTES"/>
    <x v="0"/>
    <n v="108.5"/>
  </r>
  <r>
    <d v="2025-04-03T21:44:14"/>
    <x v="4"/>
    <s v="Plaquettes de finition"/>
    <s v="u134838"/>
    <s v="DANAH STEPHANIE"/>
    <n v="5"/>
    <x v="2"/>
    <x v="2"/>
    <s v="PLAQUETTES"/>
    <x v="1"/>
    <n v="47.8"/>
  </r>
  <r>
    <d v="2025-04-04T12:35:59"/>
    <x v="6"/>
    <s v="Plaquettes de finition positives"/>
    <s v="U080365"/>
    <s v="ALAVOINE SAMUEL"/>
    <n v="10"/>
    <x v="3"/>
    <x v="2"/>
    <s v="PLAQUETTES"/>
    <x v="0"/>
    <n v="87"/>
  </r>
  <r>
    <d v="2025-04-04T13:08:06"/>
    <x v="1"/>
    <s v="Plaquettes d'ébauches carrées"/>
    <s v="VERGE G"/>
    <s v="VERGE GREGORY"/>
    <n v="10"/>
    <x v="3"/>
    <x v="1"/>
    <s v="PLAQUETTES"/>
    <x v="3"/>
    <n v="71.2"/>
  </r>
  <r>
    <d v="2025-04-04T13:08:20"/>
    <x v="2"/>
    <s v="Plaquettes d'ébauches rhombiques"/>
    <s v="VERGE G"/>
    <s v="VERGE GREGORY"/>
    <n v="10"/>
    <x v="3"/>
    <x v="1"/>
    <s v="PLAQUETTES"/>
    <x v="3"/>
    <n v="70"/>
  </r>
  <r>
    <d v="2025-04-04T13:08:37"/>
    <x v="4"/>
    <s v="Plaquettes de finition"/>
    <s v="VERGE G"/>
    <s v="VERGE GREGORY"/>
    <n v="5"/>
    <x v="2"/>
    <x v="2"/>
    <s v="PLAQUETTES"/>
    <x v="1"/>
    <n v="47.8"/>
  </r>
  <r>
    <d v="2025-04-04T13:29:55"/>
    <x v="2"/>
    <s v="Plaquettes d'ébauches rhombiques"/>
    <s v="080924"/>
    <s v="DABLEMONT AURELIEN"/>
    <n v="10"/>
    <x v="1"/>
    <x v="1"/>
    <s v="PLAQUETTES"/>
    <x v="0"/>
    <n v="70"/>
  </r>
  <r>
    <d v="2025-08-24T09:26:14"/>
    <x v="6"/>
    <s v="Plaquettes de finition positives"/>
    <s v="P717908"/>
    <s v="GONCALVES GEORGES"/>
    <n v="10"/>
    <x v="0"/>
    <x v="2"/>
    <s v="PLAQUETTES"/>
    <x v="0"/>
    <n v="87"/>
  </r>
  <r>
    <d v="2025-04-04T13:30:24"/>
    <x v="1"/>
    <s v="Plaquettes d'ébauches carrées"/>
    <s v="080924"/>
    <s v="DABLEMONT AURELIEN"/>
    <n v="10"/>
    <x v="1"/>
    <x v="1"/>
    <s v="PLAQUETTES"/>
    <x v="0"/>
    <n v="71.2"/>
  </r>
  <r>
    <d v="2025-04-04T13:30:41"/>
    <x v="6"/>
    <s v="Plaquettes de finition positives"/>
    <s v="080924"/>
    <s v="DABLEMONT AURELIEN"/>
    <n v="10"/>
    <x v="1"/>
    <x v="2"/>
    <s v="PLAQUETTES"/>
    <x v="0"/>
    <n v="87"/>
  </r>
  <r>
    <d v="2025-04-04T18:00:35"/>
    <x v="2"/>
    <s v="Plaquettes d'ébauches rhombiques"/>
    <s v="VERGE G"/>
    <s v="VERGE GREGORY"/>
    <n v="10"/>
    <x v="3"/>
    <x v="1"/>
    <s v="PLAQUETTES"/>
    <x v="3"/>
    <n v="70"/>
  </r>
  <r>
    <d v="2025-08-24T17:01:56"/>
    <x v="6"/>
    <s v="Plaquettes de finition positives"/>
    <s v="U054304"/>
    <s v="BOUACHIK HICHAM"/>
    <n v="10"/>
    <x v="0"/>
    <x v="2"/>
    <s v="PLAQUETTES"/>
    <x v="0"/>
    <n v="87"/>
  </r>
  <r>
    <d v="2025-04-04T18:24:21"/>
    <x v="10"/>
    <s v="Plaquettes de finition"/>
    <s v="080924"/>
    <s v="DABLEMONT AURELIEN"/>
    <n v="10"/>
    <x v="1"/>
    <x v="2"/>
    <s v="PLAQUETTES"/>
    <x v="0"/>
    <n v="109.7"/>
  </r>
  <r>
    <d v="2025-04-04T18:24:40"/>
    <x v="7"/>
    <s v="Plaquettes de finition triangulaires"/>
    <s v="080924"/>
    <s v="DABLEMONT AURELIEN"/>
    <n v="10"/>
    <x v="1"/>
    <x v="2"/>
    <s v="PLAQUETTES"/>
    <x v="0"/>
    <n v="138.80000000000001"/>
  </r>
  <r>
    <d v="2025-04-04T22:29:03"/>
    <x v="4"/>
    <s v="Plaquettes de finition"/>
    <s v="u134838"/>
    <s v="DANAH STEPHANIE"/>
    <n v="5"/>
    <x v="2"/>
    <x v="2"/>
    <s v="PLAQUETTES"/>
    <x v="1"/>
    <n v="47.8"/>
  </r>
  <r>
    <d v="2025-04-04T22:29:22"/>
    <x v="8"/>
    <s v="Plaquettes rhombiques"/>
    <s v="u134838"/>
    <s v="DANAH STEPHANIE"/>
    <n v="5"/>
    <x v="2"/>
    <x v="2"/>
    <s v="PLAQUETTES"/>
    <x v="1"/>
    <n v="18.399999999999999"/>
  </r>
  <r>
    <d v="2025-04-04T22:29:48"/>
    <x v="6"/>
    <s v="Plaquettes de finition positives"/>
    <s v="u134838"/>
    <s v="DANAH STEPHANIE"/>
    <n v="10"/>
    <x v="3"/>
    <x v="2"/>
    <s v="PLAQUETTES"/>
    <x v="0"/>
    <n v="87"/>
  </r>
  <r>
    <d v="2025-04-04T22:30:16"/>
    <x v="5"/>
    <s v="Plaquettes rondes"/>
    <s v="u134838"/>
    <s v="DANAH STEPHANIE"/>
    <n v="10"/>
    <x v="2"/>
    <x v="0"/>
    <s v="PLAQUETTES"/>
    <x v="1"/>
    <n v="108.5"/>
  </r>
  <r>
    <d v="2025-08-26T06:22:23"/>
    <x v="6"/>
    <s v="Plaquettes de finition positives"/>
    <s v="u462308"/>
    <s v="MAITRE SEBASTIEN"/>
    <n v="10"/>
    <x v="0"/>
    <x v="2"/>
    <s v="PLAQUETTES"/>
    <x v="0"/>
    <n v="87"/>
  </r>
  <r>
    <d v="2025-08-26T14:49:36"/>
    <x v="6"/>
    <s v="Plaquettes de finition positives"/>
    <s v="170325"/>
    <s v="VERDELET BASTIEN"/>
    <n v="10"/>
    <x v="0"/>
    <x v="2"/>
    <s v="PLAQUETTES"/>
    <x v="0"/>
    <n v="87"/>
  </r>
  <r>
    <d v="2025-08-26T23:46:47"/>
    <x v="6"/>
    <s v="Plaquettes de finition positives"/>
    <s v="230525"/>
    <s v="SOULAS YANIS"/>
    <n v="10"/>
    <x v="0"/>
    <x v="2"/>
    <s v="PLAQUETTES"/>
    <x v="0"/>
    <n v="87"/>
  </r>
  <r>
    <d v="2025-08-27T06:25:34"/>
    <x v="6"/>
    <s v="Plaquettes de finition positives"/>
    <s v="u462308"/>
    <s v="MAITRE SEBASTIEN"/>
    <n v="10"/>
    <x v="0"/>
    <x v="2"/>
    <s v="PLAQUETTES"/>
    <x v="0"/>
    <n v="87"/>
  </r>
  <r>
    <d v="2025-04-05T12:13:40"/>
    <x v="6"/>
    <s v="Plaquettes de finition positives"/>
    <s v="U080365"/>
    <s v="ALAVOINE SAMUEL"/>
    <n v="10"/>
    <x v="1"/>
    <x v="2"/>
    <s v="PLAQUETTES"/>
    <x v="0"/>
    <n v="87"/>
  </r>
  <r>
    <d v="2025-08-27T22:28:49"/>
    <x v="6"/>
    <s v="Plaquettes de finition positives"/>
    <s v="j519914"/>
    <s v="MARLY DAVID"/>
    <n v="10"/>
    <x v="0"/>
    <x v="2"/>
    <s v="PLAQUETTES"/>
    <x v="0"/>
    <n v="87"/>
  </r>
  <r>
    <d v="2025-04-05T18:06:28"/>
    <x v="6"/>
    <s v="Plaquettes de finition positives"/>
    <s v="J534699"/>
    <s v="CHARTON FABIAN"/>
    <n v="10"/>
    <x v="1"/>
    <x v="2"/>
    <s v="PLAQUETTES"/>
    <x v="0"/>
    <n v="87"/>
  </r>
  <r>
    <d v="2025-04-05T18:57:18"/>
    <x v="6"/>
    <s v="Plaquettes de finition positives"/>
    <s v="U198152"/>
    <s v="AJMIK MUSTAPHA"/>
    <n v="10"/>
    <x v="3"/>
    <x v="2"/>
    <s v="PLAQUETTES"/>
    <x v="0"/>
    <n v="87"/>
  </r>
  <r>
    <d v="2025-04-05T18:57:40"/>
    <x v="5"/>
    <s v="Plaquettes rondes"/>
    <s v="U198152"/>
    <s v="AJMIK MUSTAPHA"/>
    <n v="10"/>
    <x v="3"/>
    <x v="0"/>
    <s v="PLAQUETTES"/>
    <x v="0"/>
    <n v="108.5"/>
  </r>
  <r>
    <d v="2025-04-05T18:57:55"/>
    <x v="2"/>
    <s v="Plaquettes d'ébauches rhombiques"/>
    <s v="U198152"/>
    <s v="AJMIK MUSTAPHA"/>
    <n v="10"/>
    <x v="3"/>
    <x v="0"/>
    <s v="PLAQUETTES"/>
    <x v="0"/>
    <n v="70"/>
  </r>
  <r>
    <d v="2025-04-05T18:58:12"/>
    <x v="1"/>
    <s v="Plaquettes d'ébauches carrées"/>
    <s v="U198152"/>
    <s v="AJMIK MUSTAPHA"/>
    <n v="10"/>
    <x v="3"/>
    <x v="0"/>
    <s v="PLAQUETTES"/>
    <x v="0"/>
    <n v="71.2"/>
  </r>
  <r>
    <d v="2025-08-28T12:47:37"/>
    <x v="6"/>
    <s v="Plaquettes de finition positives"/>
    <s v="u462308"/>
    <s v="MAITRE SEBASTIEN"/>
    <n v="10"/>
    <x v="0"/>
    <x v="2"/>
    <s v="PLAQUETTES"/>
    <x v="0"/>
    <n v="87"/>
  </r>
  <r>
    <d v="2025-08-28T19:34:30"/>
    <x v="6"/>
    <s v="Plaquettes de finition positives"/>
    <s v="170325"/>
    <s v="VERDELET BASTIEN"/>
    <n v="10"/>
    <x v="0"/>
    <x v="2"/>
    <s v="PLAQUETTES"/>
    <x v="0"/>
    <n v="87"/>
  </r>
  <r>
    <d v="2025-04-06T09:43:58"/>
    <x v="2"/>
    <s v="Plaquettes d'ébauches rhombiques"/>
    <s v="U080365"/>
    <s v="ALAVOINE SAMUEL"/>
    <n v="10"/>
    <x v="1"/>
    <x v="1"/>
    <s v="PLAQUETTES"/>
    <x v="0"/>
    <n v="70"/>
  </r>
  <r>
    <d v="2025-08-29T07:43:32"/>
    <x v="6"/>
    <s v="Plaquettes de finition positives"/>
    <s v="U054304"/>
    <s v="BOUACHIK HICHAM"/>
    <n v="10"/>
    <x v="0"/>
    <x v="2"/>
    <s v="PLAQUETTES"/>
    <x v="0"/>
    <n v="87"/>
  </r>
  <r>
    <d v="2025-04-06T18:11:05"/>
    <x v="6"/>
    <s v="Plaquettes de finition positives"/>
    <s v="U198152"/>
    <s v="AJMIK MUSTAPHA"/>
    <n v="10"/>
    <x v="3"/>
    <x v="2"/>
    <s v="PLAQUETTES"/>
    <x v="0"/>
    <n v="87"/>
  </r>
  <r>
    <d v="2025-04-06T18:11:20"/>
    <x v="2"/>
    <s v="Plaquettes d'ébauches rhombiques"/>
    <s v="U198152"/>
    <s v="AJMIK MUSTAPHA"/>
    <n v="10"/>
    <x v="3"/>
    <x v="0"/>
    <s v="PLAQUETTES"/>
    <x v="0"/>
    <n v="70"/>
  </r>
  <r>
    <d v="2025-04-06T18:11:40"/>
    <x v="1"/>
    <s v="Plaquettes d'ébauches carrées"/>
    <s v="U198152"/>
    <s v="AJMIK MUSTAPHA"/>
    <n v="10"/>
    <x v="3"/>
    <x v="0"/>
    <s v="PLAQUETTES"/>
    <x v="0"/>
    <n v="71.2"/>
  </r>
  <r>
    <d v="2025-08-29T14:08:52"/>
    <x v="6"/>
    <s v="Plaquettes de finition positives"/>
    <s v="170325"/>
    <s v="VERDELET BASTIEN"/>
    <n v="10"/>
    <x v="0"/>
    <x v="2"/>
    <s v="PLAQUETTES"/>
    <x v="0"/>
    <n v="87"/>
  </r>
  <r>
    <d v="2025-08-29T22:57:05"/>
    <x v="6"/>
    <s v="Plaquettes de finition positives"/>
    <s v="j519914"/>
    <s v="MARLY DAVID"/>
    <n v="10"/>
    <x v="0"/>
    <x v="2"/>
    <s v="PLAQUETTES"/>
    <x v="0"/>
    <n v="87"/>
  </r>
  <r>
    <d v="2025-08-31T17:09:39"/>
    <x v="6"/>
    <s v="Plaquettes de finition positives"/>
    <s v="U534565"/>
    <s v="HOAREAU MARIUS"/>
    <n v="10"/>
    <x v="0"/>
    <x v="2"/>
    <s v="PLAQUETTES"/>
    <x v="0"/>
    <n v="87"/>
  </r>
  <r>
    <d v="2025-09-02T15:23:29"/>
    <x v="6"/>
    <s v="Plaquettes de finition positives"/>
    <s v="sd13196"/>
    <s v="FRADIN MAXIME"/>
    <n v="10"/>
    <x v="0"/>
    <x v="2"/>
    <s v="PLAQUETTES"/>
    <x v="0"/>
    <n v="87"/>
  </r>
  <r>
    <d v="2025-04-07T05:18:34"/>
    <x v="2"/>
    <s v="Plaquettes d'ébauches rhombiques"/>
    <s v="VERGE G"/>
    <s v="VERGE GREGORY"/>
    <n v="10"/>
    <x v="3"/>
    <x v="1"/>
    <s v="PLAQUETTES"/>
    <x v="3"/>
    <n v="70"/>
  </r>
  <r>
    <d v="2025-04-07T05:19:08"/>
    <x v="4"/>
    <s v="Plaquettes de finition"/>
    <s v="VERGE G"/>
    <s v="VERGE GREGORY"/>
    <n v="5"/>
    <x v="2"/>
    <x v="2"/>
    <s v="PLAQUETTES"/>
    <x v="1"/>
    <n v="47.8"/>
  </r>
  <r>
    <d v="2025-04-07T05:19:46"/>
    <x v="9"/>
    <s v="Plaquettes rhombiques"/>
    <s v="VERGE G"/>
    <s v="VERGE GREGORY"/>
    <n v="5"/>
    <x v="2"/>
    <x v="2"/>
    <s v="PLAQUETTES"/>
    <x v="1"/>
    <n v="44.85"/>
  </r>
  <r>
    <d v="2025-04-07T10:13:06"/>
    <x v="6"/>
    <s v="Plaquettes de finition positives"/>
    <s v="VERGE G"/>
    <s v="VERGE GREGORY"/>
    <n v="10"/>
    <x v="3"/>
    <x v="2"/>
    <s v="PLAQUETTES"/>
    <x v="3"/>
    <n v="87"/>
  </r>
  <r>
    <d v="2025-04-07T10:13:30"/>
    <x v="1"/>
    <s v="Plaquettes d'ébauches carrées"/>
    <s v="VERGE G"/>
    <s v="VERGE GREGORY"/>
    <n v="10"/>
    <x v="3"/>
    <x v="1"/>
    <s v="PLAQUETTES"/>
    <x v="3"/>
    <n v="71.2"/>
  </r>
  <r>
    <d v="2025-04-07T10:15:22"/>
    <x v="2"/>
    <s v="Plaquettes d'ébauches rhombiques"/>
    <s v="VERGE G"/>
    <s v="VERGE GREGORY"/>
    <n v="10"/>
    <x v="3"/>
    <x v="1"/>
    <s v="PLAQUETTES"/>
    <x v="0"/>
    <n v="70"/>
  </r>
  <r>
    <d v="2025-04-07T19:38:45"/>
    <x v="3"/>
    <s v="Plaquettes rondes"/>
    <s v="u134838"/>
    <s v="DANAH STEPHANIE"/>
    <n v="10"/>
    <x v="2"/>
    <x v="0"/>
    <s v="PLAQUETTES"/>
    <x v="1"/>
    <n v="136.69999999999999"/>
  </r>
  <r>
    <d v="2025-09-03T05:42:53"/>
    <x v="6"/>
    <s v="Plaquettes de finition positives"/>
    <s v="u134838"/>
    <s v="DANAH STEPHANIE"/>
    <n v="10"/>
    <x v="0"/>
    <x v="2"/>
    <s v="PLAQUETTES"/>
    <x v="0"/>
    <n v="87"/>
  </r>
  <r>
    <d v="2025-09-04T01:38:08"/>
    <x v="6"/>
    <s v="Plaquettes de finition positives"/>
    <s v="230525"/>
    <s v="SOULAS YANIS"/>
    <n v="10"/>
    <x v="0"/>
    <x v="2"/>
    <s v="PLAQUETTES"/>
    <x v="0"/>
    <n v="87"/>
  </r>
  <r>
    <d v="2025-09-04T08:05:24"/>
    <x v="6"/>
    <s v="Plaquettes de finition positives"/>
    <s v="170325"/>
    <s v="VERDELET BASTIEN"/>
    <n v="10"/>
    <x v="0"/>
    <x v="2"/>
    <s v="PLAQUETTES"/>
    <x v="0"/>
    <n v="87"/>
  </r>
  <r>
    <d v="2025-04-08T00:10:44"/>
    <x v="6"/>
    <s v="Plaquettes de finition positives"/>
    <s v="J609988"/>
    <s v="AMALRIC VINCENT"/>
    <n v="10"/>
    <x v="1"/>
    <x v="2"/>
    <s v="PLAQUETTES"/>
    <x v="0"/>
    <n v="87"/>
  </r>
  <r>
    <d v="2025-04-08T05:01:47"/>
    <x v="2"/>
    <s v="Plaquettes d'ébauches rhombiques"/>
    <s v="VERGE G"/>
    <s v="VERGE GREGORY"/>
    <n v="10"/>
    <x v="2"/>
    <x v="1"/>
    <s v="PLAQUETTES"/>
    <x v="5"/>
    <n v="70"/>
  </r>
  <r>
    <d v="2025-04-08T05:02:04"/>
    <x v="1"/>
    <s v="Plaquettes d'ébauches carrées"/>
    <s v="VERGE G"/>
    <s v="VERGE GREGORY"/>
    <n v="10"/>
    <x v="2"/>
    <x v="1"/>
    <s v="PLAQUETTES"/>
    <x v="1"/>
    <n v="71.2"/>
  </r>
  <r>
    <d v="2025-04-08T05:02:26"/>
    <x v="4"/>
    <s v="Plaquettes de finition"/>
    <s v="VERGE G"/>
    <s v="VERGE GREGORY"/>
    <n v="5"/>
    <x v="2"/>
    <x v="2"/>
    <s v="PLAQUETTES"/>
    <x v="1"/>
    <n v="47.8"/>
  </r>
  <r>
    <d v="2025-09-04T08:05:36"/>
    <x v="6"/>
    <s v="Plaquettes de finition positives"/>
    <s v="170325"/>
    <s v="VERDELET BASTIEN"/>
    <n v="10"/>
    <x v="0"/>
    <x v="2"/>
    <s v="PLAQUETTES"/>
    <x v="0"/>
    <n v="87"/>
  </r>
  <r>
    <d v="2025-04-08T05:09:26"/>
    <x v="2"/>
    <s v="Plaquettes d'ébauches rhombiques"/>
    <s v="080924"/>
    <s v="DABLEMONT AURELIEN"/>
    <n v="10"/>
    <x v="1"/>
    <x v="1"/>
    <s v="PLAQUETTES"/>
    <x v="0"/>
    <n v="70"/>
  </r>
  <r>
    <d v="2025-04-08T05:09:39"/>
    <x v="1"/>
    <s v="Plaquettes d'ébauches carrées"/>
    <s v="080924"/>
    <s v="DABLEMONT AURELIEN"/>
    <n v="10"/>
    <x v="1"/>
    <x v="1"/>
    <s v="PLAQUETTES"/>
    <x v="0"/>
    <n v="71.2"/>
  </r>
  <r>
    <d v="2025-09-05T00:00:49"/>
    <x v="6"/>
    <s v="Plaquettes de finition positives"/>
    <s v="230525"/>
    <s v="SOULAS YANIS"/>
    <n v="10"/>
    <x v="0"/>
    <x v="2"/>
    <s v="PLAQUETTES"/>
    <x v="0"/>
    <n v="87"/>
  </r>
  <r>
    <d v="2025-04-08T05:10:21"/>
    <x v="6"/>
    <s v="Plaquettes de finition positives"/>
    <s v="080924"/>
    <s v="DABLEMONT AURELIEN"/>
    <n v="10"/>
    <x v="1"/>
    <x v="2"/>
    <s v="PLAQUETTES"/>
    <x v="0"/>
    <n v="87"/>
  </r>
  <r>
    <d v="2025-04-08T06:00:19"/>
    <x v="7"/>
    <s v="Plaquettes de finition triangulaires"/>
    <s v="VERGE G"/>
    <s v="VERGE GREGORY"/>
    <n v="10"/>
    <x v="3"/>
    <x v="2"/>
    <s v="PLAQUETTES"/>
    <x v="3"/>
    <n v="138.80000000000001"/>
  </r>
  <r>
    <d v="2025-04-08T06:00:54"/>
    <x v="10"/>
    <s v="Plaquettes de finition"/>
    <s v="VERGE G"/>
    <s v="VERGE GREGORY"/>
    <n v="10"/>
    <x v="3"/>
    <x v="2"/>
    <s v="PLAQUETTES"/>
    <x v="3"/>
    <n v="109.7"/>
  </r>
  <r>
    <d v="2025-04-08T06:01:17"/>
    <x v="2"/>
    <s v="Plaquettes d'ébauches rhombiques"/>
    <s v="VERGE G"/>
    <s v="VERGE GREGORY"/>
    <n v="10"/>
    <x v="3"/>
    <x v="1"/>
    <s v="PLAQUETTES"/>
    <x v="3"/>
    <n v="70"/>
  </r>
  <r>
    <d v="2025-04-08T06:01:42"/>
    <x v="1"/>
    <s v="Plaquettes d'ébauches carrées"/>
    <s v="VERGE G"/>
    <s v="VERGE GREGORY"/>
    <n v="10"/>
    <x v="3"/>
    <x v="1"/>
    <s v="PLAQUETTES"/>
    <x v="3"/>
    <n v="71.2"/>
  </r>
  <r>
    <d v="2025-09-05T07:21:51"/>
    <x v="6"/>
    <s v="Plaquettes de finition positives"/>
    <s v="U518765"/>
    <s v="ROY ADELINE"/>
    <n v="10"/>
    <x v="0"/>
    <x v="2"/>
    <s v="PLAQUETTES"/>
    <x v="0"/>
    <n v="87"/>
  </r>
  <r>
    <d v="2025-09-06T06:52:53"/>
    <x v="6"/>
    <s v="Plaquettes de finition positives"/>
    <s v="P717908"/>
    <s v="GONCALVES GEORGES"/>
    <n v="10"/>
    <x v="0"/>
    <x v="2"/>
    <s v="PLAQUETTES"/>
    <x v="0"/>
    <n v="87"/>
  </r>
  <r>
    <d v="2025-09-06T16:45:59"/>
    <x v="6"/>
    <s v="Plaquettes de finition positives"/>
    <s v="U054304"/>
    <s v="BOUACHIK HICHAM"/>
    <n v="10"/>
    <x v="0"/>
    <x v="2"/>
    <s v="PLAQUETTES"/>
    <x v="0"/>
    <n v="87"/>
  </r>
  <r>
    <d v="2025-04-08T16:05:19"/>
    <x v="8"/>
    <s v="Plaquettes rhombiques"/>
    <s v="u134838"/>
    <s v="DANAH STEPHANIE"/>
    <n v="5"/>
    <x v="2"/>
    <x v="2"/>
    <s v="PLAQUETTES"/>
    <x v="1"/>
    <n v="18.399999999999999"/>
  </r>
  <r>
    <d v="2025-04-08T16:05:44"/>
    <x v="7"/>
    <s v="Plaquettes de finition triangulaires"/>
    <s v="u134838"/>
    <s v="DANAH STEPHANIE"/>
    <n v="10"/>
    <x v="3"/>
    <x v="2"/>
    <s v="PLAQUETTES"/>
    <x v="3"/>
    <n v="138.80000000000001"/>
  </r>
  <r>
    <d v="2025-04-08T16:06:06"/>
    <x v="6"/>
    <s v="Plaquettes de finition positives"/>
    <s v="u134838"/>
    <s v="DANAH STEPHANIE"/>
    <n v="10"/>
    <x v="3"/>
    <x v="2"/>
    <s v="PLAQUETTES"/>
    <x v="3"/>
    <n v="87"/>
  </r>
  <r>
    <d v="2025-04-08T16:06:30"/>
    <x v="2"/>
    <s v="Plaquettes d'ébauches rhombiques"/>
    <s v="u134838"/>
    <s v="DANAH STEPHANIE"/>
    <n v="10"/>
    <x v="2"/>
    <x v="0"/>
    <s v="PLAQUETTES"/>
    <x v="1"/>
    <n v="70"/>
  </r>
  <r>
    <d v="2025-09-07T07:43:03"/>
    <x v="6"/>
    <s v="Plaquettes de finition positives"/>
    <s v="P717908"/>
    <s v="GONCALVES GEORGES"/>
    <n v="10"/>
    <x v="0"/>
    <x v="2"/>
    <s v="PLAQUETTES"/>
    <x v="0"/>
    <n v="87"/>
  </r>
  <r>
    <d v="2025-09-07T16:53:12"/>
    <x v="6"/>
    <s v="Plaquettes de finition positives"/>
    <s v="U054304"/>
    <s v="BOUACHIK HICHAM"/>
    <n v="10"/>
    <x v="0"/>
    <x v="2"/>
    <s v="PLAQUETTES"/>
    <x v="0"/>
    <n v="87"/>
  </r>
  <r>
    <d v="2025-09-08T05:41:18"/>
    <x v="6"/>
    <s v="Plaquettes de finition positives"/>
    <s v="u462308"/>
    <s v="MAITRE SEBASTIEN"/>
    <n v="10"/>
    <x v="0"/>
    <x v="2"/>
    <s v="PLAQUETTES"/>
    <x v="0"/>
    <n v="87"/>
  </r>
  <r>
    <d v="2025-04-08T21:24:57"/>
    <x v="6"/>
    <s v="Plaquettes de finition positives"/>
    <s v="100225"/>
    <s v="PRUNEAU WILLIAM"/>
    <n v="10"/>
    <x v="3"/>
    <x v="2"/>
    <s v="PLAQUETTES"/>
    <x v="3"/>
    <n v="87"/>
  </r>
  <r>
    <d v="2025-04-09T00:24:11"/>
    <x v="2"/>
    <s v="Plaquettes d'ébauches rhombiques"/>
    <s v="J609988"/>
    <s v="AMALRIC VINCENT"/>
    <n v="10"/>
    <x v="3"/>
    <x v="1"/>
    <s v="PLAQUETTES"/>
    <x v="3"/>
    <n v="70"/>
  </r>
  <r>
    <d v="2025-04-09T00:24:28"/>
    <x v="1"/>
    <s v="Plaquettes d'ébauches carrées"/>
    <s v="J609988"/>
    <s v="AMALRIC VINCENT"/>
    <n v="10"/>
    <x v="3"/>
    <x v="1"/>
    <s v="PLAQUETTES"/>
    <x v="3"/>
    <n v="71.2"/>
  </r>
  <r>
    <d v="2025-04-09T05:08:34"/>
    <x v="2"/>
    <s v="Plaquettes d'ébauches rhombiques"/>
    <s v="VERGE G"/>
    <s v="VERGE GREGORY"/>
    <n v="10"/>
    <x v="3"/>
    <x v="1"/>
    <s v="PLAQUETTES"/>
    <x v="3"/>
    <n v="70"/>
  </r>
  <r>
    <d v="2025-04-09T05:08:53"/>
    <x v="1"/>
    <s v="Plaquettes d'ébauches carrées"/>
    <s v="VERGE G"/>
    <s v="VERGE GREGORY"/>
    <n v="10"/>
    <x v="3"/>
    <x v="1"/>
    <s v="PLAQUETTES"/>
    <x v="3"/>
    <n v="71.2"/>
  </r>
  <r>
    <d v="2025-04-09T05:09:07"/>
    <x v="2"/>
    <s v="Plaquettes d'ébauches rhombiques"/>
    <s v="VERGE G"/>
    <s v="VERGE GREGORY"/>
    <n v="10"/>
    <x v="2"/>
    <x v="1"/>
    <s v="PLAQUETTES"/>
    <x v="1"/>
    <n v="70"/>
  </r>
  <r>
    <d v="2025-04-09T05:09:21"/>
    <x v="1"/>
    <s v="Plaquettes d'ébauches carrées"/>
    <s v="VERGE G"/>
    <s v="VERGE GREGORY"/>
    <n v="10"/>
    <x v="3"/>
    <x v="1"/>
    <s v="PLAQUETTES"/>
    <x v="3"/>
    <n v="71.2"/>
  </r>
  <r>
    <d v="2025-04-09T07:57:14"/>
    <x v="2"/>
    <s v="Plaquettes d'ébauches rhombiques"/>
    <s v="VERGE G"/>
    <s v="VERGE GREGORY"/>
    <n v="10"/>
    <x v="3"/>
    <x v="1"/>
    <s v="PLAQUETTES"/>
    <x v="3"/>
    <n v="70"/>
  </r>
  <r>
    <d v="2025-04-09T07:57:36"/>
    <x v="1"/>
    <s v="Plaquettes d'ébauches carrées"/>
    <s v="VERGE G"/>
    <s v="VERGE GREGORY"/>
    <n v="10"/>
    <x v="3"/>
    <x v="1"/>
    <s v="PLAQUETTES"/>
    <x v="3"/>
    <n v="71.2"/>
  </r>
  <r>
    <d v="2025-04-09T07:57:58"/>
    <x v="2"/>
    <s v="Plaquettes d'ébauches rhombiques"/>
    <s v="VERGE G"/>
    <s v="VERGE GREGORY"/>
    <n v="10"/>
    <x v="3"/>
    <x v="0"/>
    <s v="PLAQUETTES"/>
    <x v="3"/>
    <n v="70"/>
  </r>
  <r>
    <d v="2025-09-10T15:40:28"/>
    <x v="6"/>
    <s v="Plaquettes de finition positives"/>
    <s v="170325"/>
    <s v="VERDELET BASTIEN"/>
    <n v="10"/>
    <x v="0"/>
    <x v="2"/>
    <s v="PLAQUETTES"/>
    <x v="0"/>
    <n v="87"/>
  </r>
  <r>
    <d v="2025-04-09T15:14:14"/>
    <x v="9"/>
    <s v="Plaquettes rhombiques"/>
    <s v="u134838"/>
    <s v="DANAH STEPHANIE"/>
    <n v="5"/>
    <x v="2"/>
    <x v="2"/>
    <s v="PLAQUETTES"/>
    <x v="1"/>
    <n v="44.85"/>
  </r>
  <r>
    <d v="2025-04-09T15:14:31"/>
    <x v="4"/>
    <s v="Plaquettes de finition"/>
    <s v="u134838"/>
    <s v="DANAH STEPHANIE"/>
    <n v="5"/>
    <x v="2"/>
    <x v="2"/>
    <s v="PLAQUETTES"/>
    <x v="1"/>
    <n v="47.8"/>
  </r>
  <r>
    <d v="2025-04-09T15:14:55"/>
    <x v="2"/>
    <s v="Plaquettes d'ébauches rhombiques"/>
    <s v="u134838"/>
    <s v="DANAH STEPHANIE"/>
    <n v="10"/>
    <x v="3"/>
    <x v="0"/>
    <s v="PLAQUETTES"/>
    <x v="3"/>
    <n v="70"/>
  </r>
  <r>
    <d v="2025-09-10T15:40:47"/>
    <x v="6"/>
    <s v="Plaquettes de finition positives"/>
    <s v="170325"/>
    <s v="VERDELET BASTIEN"/>
    <n v="10"/>
    <x v="0"/>
    <x v="2"/>
    <s v="PLAQUETTES"/>
    <x v="0"/>
    <n v="87"/>
  </r>
  <r>
    <d v="2025-04-09T21:46:46"/>
    <x v="6"/>
    <s v="Plaquettes de finition positives"/>
    <s v="J609988"/>
    <s v="AMALRIC VINCENT"/>
    <n v="10"/>
    <x v="3"/>
    <x v="2"/>
    <s v="PLAQUETTES"/>
    <x v="3"/>
    <n v="87"/>
  </r>
  <r>
    <d v="2025-04-09T21:47:10"/>
    <x v="4"/>
    <s v="Plaquettes de finition"/>
    <s v="J609988"/>
    <s v="AMALRIC VINCENT"/>
    <n v="5"/>
    <x v="2"/>
    <x v="2"/>
    <s v="PLAQUETTES"/>
    <x v="1"/>
    <n v="47.8"/>
  </r>
  <r>
    <d v="2025-04-09T21:47:39"/>
    <x v="8"/>
    <s v="Plaquettes rhombiques"/>
    <s v="J609988"/>
    <s v="AMALRIC VINCENT"/>
    <n v="5"/>
    <x v="2"/>
    <x v="2"/>
    <s v="PLAQUETTES"/>
    <x v="1"/>
    <n v="18.399999999999999"/>
  </r>
  <r>
    <d v="2025-09-11T06:03:21"/>
    <x v="6"/>
    <s v="Plaquettes de finition positives"/>
    <s v="u462308"/>
    <s v="MAITRE SEBASTIEN"/>
    <n v="10"/>
    <x v="0"/>
    <x v="2"/>
    <s v="PLAQUETTES"/>
    <x v="0"/>
    <n v="87"/>
  </r>
  <r>
    <d v="2025-04-09T21:48:21"/>
    <x v="1"/>
    <s v="Plaquettes d'ébauches carrées"/>
    <s v="J609988"/>
    <s v="AMALRIC VINCENT"/>
    <n v="10"/>
    <x v="2"/>
    <x v="1"/>
    <s v="PLAQUETTES"/>
    <x v="1"/>
    <n v="71.2"/>
  </r>
  <r>
    <d v="2025-09-11T10:37:40"/>
    <x v="6"/>
    <s v="Plaquettes de finition positives"/>
    <s v="12824586"/>
    <s v="DA SILVA FERNANDO"/>
    <n v="10"/>
    <x v="0"/>
    <x v="2"/>
    <s v="PLAQUETTES"/>
    <x v="4"/>
    <n v="87"/>
  </r>
  <r>
    <d v="2025-04-09T23:39:44"/>
    <x v="6"/>
    <s v="Plaquettes de finition positives"/>
    <s v="J519914"/>
    <s v="MARLY DAVID"/>
    <n v="10"/>
    <x v="1"/>
    <x v="2"/>
    <s v="PLAQUETTES"/>
    <x v="0"/>
    <n v="87"/>
  </r>
  <r>
    <d v="2025-04-09T23:40:19"/>
    <x v="2"/>
    <s v="Plaquettes d'ébauches rhombiques"/>
    <s v="J519914"/>
    <s v="MARLY DAVID"/>
    <n v="10"/>
    <x v="1"/>
    <x v="1"/>
    <s v="PLAQUETTES"/>
    <x v="0"/>
    <n v="70"/>
  </r>
  <r>
    <d v="2025-09-11T14:09:36"/>
    <x v="6"/>
    <s v="Plaquettes de finition positives"/>
    <s v="170325"/>
    <s v="VERDELET BASTIEN"/>
    <n v="10"/>
    <x v="0"/>
    <x v="2"/>
    <s v="PLAQUETTES"/>
    <x v="0"/>
    <n v="87"/>
  </r>
  <r>
    <d v="2025-09-13T01:17:13"/>
    <x v="6"/>
    <s v="Plaquettes de finition positives"/>
    <s v="sd13196"/>
    <s v="FRADIN MAXIME"/>
    <n v="10"/>
    <x v="0"/>
    <x v="2"/>
    <s v="PLAQUETTES"/>
    <x v="3"/>
    <n v="87"/>
  </r>
  <r>
    <d v="2025-09-13T05:21:35"/>
    <x v="6"/>
    <s v="Plaquettes de finition positives"/>
    <s v="U054304"/>
    <s v="BOUACHIK HICHAM"/>
    <n v="10"/>
    <x v="0"/>
    <x v="2"/>
    <s v="PLAQUETTES"/>
    <x v="0"/>
    <n v="87"/>
  </r>
  <r>
    <d v="2025-09-14T05:35:57"/>
    <x v="6"/>
    <s v="Plaquettes de finition positives"/>
    <s v="J534699"/>
    <s v="CHARTON FABIAN"/>
    <n v="10"/>
    <x v="0"/>
    <x v="2"/>
    <s v="PLAQUETTES"/>
    <x v="0"/>
    <n v="87"/>
  </r>
  <r>
    <d v="2025-09-15T06:41:47"/>
    <x v="6"/>
    <s v="Plaquettes de finition positives"/>
    <s v="u134838"/>
    <s v="DANAH STEPHANIE"/>
    <n v="10"/>
    <x v="0"/>
    <x v="2"/>
    <s v="PLAQUETTES"/>
    <x v="0"/>
    <n v="87"/>
  </r>
  <r>
    <d v="2025-04-10T13:20:16"/>
    <x v="6"/>
    <s v="Plaquettes de finition positives"/>
    <s v="170325"/>
    <s v="VERDELET BASTIEN"/>
    <n v="10"/>
    <x v="1"/>
    <x v="2"/>
    <s v="PLAQUETTES"/>
    <x v="0"/>
    <n v="87"/>
  </r>
  <r>
    <d v="2025-04-10T14:27:26"/>
    <x v="4"/>
    <s v="Plaquettes de finition"/>
    <s v="u134838"/>
    <s v="DANAH STEPHANIE"/>
    <n v="5"/>
    <x v="2"/>
    <x v="2"/>
    <s v="PLAQUETTES"/>
    <x v="1"/>
    <n v="47.8"/>
  </r>
  <r>
    <d v="2025-04-10T14:27:47"/>
    <x v="6"/>
    <s v="Plaquettes de finition positives"/>
    <s v="u134838"/>
    <s v="DANAH STEPHANIE"/>
    <n v="10"/>
    <x v="3"/>
    <x v="2"/>
    <s v="PLAQUETTES"/>
    <x v="3"/>
    <n v="87"/>
  </r>
  <r>
    <d v="2025-04-10T14:28:11"/>
    <x v="3"/>
    <s v="Plaquettes rondes"/>
    <s v="u134838"/>
    <s v="DANAH STEPHANIE"/>
    <n v="10"/>
    <x v="2"/>
    <x v="0"/>
    <s v="PLAQUETTES"/>
    <x v="1"/>
    <n v="136.69999999999999"/>
  </r>
  <r>
    <d v="2025-04-10T14:28:37"/>
    <x v="2"/>
    <s v="Plaquettes d'ébauches rhombiques"/>
    <s v="u134838"/>
    <s v="DANAH STEPHANIE"/>
    <n v="10"/>
    <x v="2"/>
    <x v="0"/>
    <s v="PLAQUETTES"/>
    <x v="1"/>
    <n v="70"/>
  </r>
  <r>
    <d v="2025-04-10T14:28:57"/>
    <x v="5"/>
    <s v="Plaquettes rondes"/>
    <s v="u134838"/>
    <s v="DANAH STEPHANIE"/>
    <n v="10"/>
    <x v="3"/>
    <x v="0"/>
    <s v="PLAQUETTES"/>
    <x v="3"/>
    <n v="108.5"/>
  </r>
  <r>
    <d v="2025-04-10T22:50:27"/>
    <x v="10"/>
    <s v="Plaquettes de finition"/>
    <s v="J519914"/>
    <s v="MARLY DAVID"/>
    <n v="10"/>
    <x v="1"/>
    <x v="2"/>
    <s v="PLAQUETTES"/>
    <x v="0"/>
    <n v="109.7"/>
  </r>
  <r>
    <d v="2025-04-10T22:50:50"/>
    <x v="2"/>
    <s v="Plaquettes d'ébauches rhombiques"/>
    <s v="J519914"/>
    <s v="MARLY DAVID"/>
    <n v="10"/>
    <x v="1"/>
    <x v="0"/>
    <s v="PLAQUETTES"/>
    <x v="0"/>
    <n v="70"/>
  </r>
  <r>
    <d v="2025-09-15T13:20:32"/>
    <x v="6"/>
    <s v="Plaquettes de finition positives"/>
    <s v="u462308"/>
    <s v="MAITRE SEBASTIEN"/>
    <n v="10"/>
    <x v="0"/>
    <x v="2"/>
    <s v="PLAQUETTES"/>
    <x v="0"/>
    <n v="87"/>
  </r>
  <r>
    <d v="2025-04-10T22:51:43"/>
    <x v="1"/>
    <s v="Plaquettes d'ébauches carrées"/>
    <s v="J519914"/>
    <s v="MARLY DAVID"/>
    <n v="10"/>
    <x v="1"/>
    <x v="0"/>
    <s v="PLAQUETTES"/>
    <x v="0"/>
    <n v="71.2"/>
  </r>
  <r>
    <d v="2025-04-11T04:16:37"/>
    <x v="2"/>
    <s v="Plaquettes d'ébauches rhombiques"/>
    <s v="J519914"/>
    <s v="MARLY DAVID"/>
    <n v="10"/>
    <x v="1"/>
    <x v="0"/>
    <s v="PLAQUETTES"/>
    <x v="0"/>
    <n v="70"/>
  </r>
  <r>
    <d v="2025-04-11T05:20:37"/>
    <x v="4"/>
    <s v="Plaquettes de finition"/>
    <s v="U198152"/>
    <s v="AJMIK MUSTAPHA"/>
    <n v="5"/>
    <x v="2"/>
    <x v="2"/>
    <s v="PLAQUETTES"/>
    <x v="1"/>
    <n v="47.8"/>
  </r>
  <r>
    <d v="2025-04-11T05:20:57"/>
    <x v="11"/>
    <s v="Plaquettes de finition triangulaires"/>
    <s v="U198152"/>
    <s v="AJMIK MUSTAPHA"/>
    <n v="10"/>
    <x v="2"/>
    <x v="2"/>
    <s v="PLAQUETTES"/>
    <x v="1"/>
    <n v="118.7"/>
  </r>
  <r>
    <d v="2025-04-11T05:21:22"/>
    <x v="9"/>
    <s v="Plaquettes rhombiques"/>
    <s v="U198152"/>
    <s v="AJMIK MUSTAPHA"/>
    <n v="5"/>
    <x v="2"/>
    <x v="2"/>
    <s v="PLAQUETTES"/>
    <x v="1"/>
    <n v="44.85"/>
  </r>
  <r>
    <d v="2025-04-11T05:21:46"/>
    <x v="2"/>
    <s v="Plaquettes d'ébauches rhombiques"/>
    <s v="U198152"/>
    <s v="AJMIK MUSTAPHA"/>
    <n v="10"/>
    <x v="3"/>
    <x v="0"/>
    <s v="PLAQUETTES"/>
    <x v="3"/>
    <n v="70"/>
  </r>
  <r>
    <d v="2025-04-11T05:22:09"/>
    <x v="10"/>
    <s v="Plaquettes de finition"/>
    <s v="U198152"/>
    <s v="AJMIK MUSTAPHA"/>
    <n v="10"/>
    <x v="3"/>
    <x v="2"/>
    <s v="PLAQUETTES"/>
    <x v="3"/>
    <n v="109.7"/>
  </r>
  <r>
    <d v="2025-04-11T08:45:55"/>
    <x v="6"/>
    <s v="Plaquettes de finition positives"/>
    <s v="U198152"/>
    <s v="AJMIK MUSTAPHA"/>
    <n v="10"/>
    <x v="3"/>
    <x v="2"/>
    <s v="PLAQUETTES"/>
    <x v="3"/>
    <n v="87"/>
  </r>
  <r>
    <d v="2025-04-11T08:46:17"/>
    <x v="7"/>
    <s v="Plaquettes de finition triangulaires"/>
    <s v="U198152"/>
    <s v="AJMIK MUSTAPHA"/>
    <n v="10"/>
    <x v="3"/>
    <x v="2"/>
    <s v="PLAQUETTES"/>
    <x v="3"/>
    <n v="138.80000000000001"/>
  </r>
  <r>
    <d v="2025-09-16T13:31:38"/>
    <x v="6"/>
    <s v="Plaquettes de finition positives"/>
    <s v="u462308"/>
    <s v="MAITRE SEBASTIEN"/>
    <n v="10"/>
    <x v="0"/>
    <x v="2"/>
    <s v="PLAQUETTES"/>
    <x v="0"/>
    <n v="87"/>
  </r>
  <r>
    <d v="2025-09-17T03:42:27"/>
    <x v="6"/>
    <s v="Plaquettes de finition positives"/>
    <s v="230525"/>
    <s v="SOULAS YANIS"/>
    <n v="10"/>
    <x v="0"/>
    <x v="2"/>
    <s v="PLAQUETTES"/>
    <x v="0"/>
    <n v="87"/>
  </r>
  <r>
    <d v="2025-09-18T08:09:12"/>
    <x v="6"/>
    <s v="Plaquettes de finition positives"/>
    <s v="u134838"/>
    <s v="DANAH STEPHANIE"/>
    <n v="10"/>
    <x v="0"/>
    <x v="2"/>
    <s v="PLAQUETTES"/>
    <x v="0"/>
    <n v="87"/>
  </r>
  <r>
    <d v="2025-04-11T08:50:16"/>
    <x v="6"/>
    <s v="Plaquettes de finition positives"/>
    <s v="U080365"/>
    <s v="ALAVOINE SAMUEL"/>
    <n v="10"/>
    <x v="1"/>
    <x v="2"/>
    <s v="PLAQUETTES"/>
    <x v="0"/>
    <n v="87"/>
  </r>
  <r>
    <d v="2025-04-11T14:34:39"/>
    <x v="6"/>
    <s v="Plaquettes de finition positives"/>
    <s v="170325"/>
    <s v="VERDELET BASTIEN"/>
    <n v="10"/>
    <x v="3"/>
    <x v="2"/>
    <s v="PLAQUETTES"/>
    <x v="3"/>
    <n v="87"/>
  </r>
  <r>
    <d v="2025-04-11T14:34:58"/>
    <x v="5"/>
    <s v="Plaquettes rondes"/>
    <s v="170325"/>
    <s v="VERDELET BASTIEN"/>
    <n v="10"/>
    <x v="2"/>
    <x v="0"/>
    <s v="PLAQUETTES"/>
    <x v="1"/>
    <n v="108.5"/>
  </r>
  <r>
    <d v="2025-04-11T14:35:15"/>
    <x v="2"/>
    <s v="Plaquettes d'ébauches rhombiques"/>
    <s v="170325"/>
    <s v="VERDELET BASTIEN"/>
    <n v="10"/>
    <x v="2"/>
    <x v="0"/>
    <s v="PLAQUETTES"/>
    <x v="1"/>
    <n v="70"/>
  </r>
  <r>
    <d v="2025-04-11T14:35:34"/>
    <x v="1"/>
    <s v="Plaquettes d'ébauches carrées"/>
    <s v="170325"/>
    <s v="VERDELET BASTIEN"/>
    <n v="10"/>
    <x v="2"/>
    <x v="0"/>
    <s v="PLAQUETTES"/>
    <x v="1"/>
    <n v="71.2"/>
  </r>
  <r>
    <d v="2025-04-11T21:04:35"/>
    <x v="2"/>
    <s v="Plaquettes d'ébauches rhombiques"/>
    <s v="080924"/>
    <s v="DABLEMONT AURELIEN"/>
    <n v="10"/>
    <x v="1"/>
    <x v="1"/>
    <s v="PLAQUETTES"/>
    <x v="0"/>
    <n v="70"/>
  </r>
  <r>
    <d v="2025-09-18T23:47:15"/>
    <x v="6"/>
    <s v="Plaquettes de finition positives"/>
    <s v="230525"/>
    <s v="SOULAS YANIS"/>
    <n v="10"/>
    <x v="0"/>
    <x v="2"/>
    <s v="PLAQUETTES"/>
    <x v="0"/>
    <n v="87"/>
  </r>
  <r>
    <d v="2025-09-18T23:47:30"/>
    <x v="6"/>
    <s v="Plaquettes de finition positives"/>
    <s v="230525"/>
    <s v="SOULAS YANIS"/>
    <n v="10"/>
    <x v="0"/>
    <x v="2"/>
    <s v="PLAQUETTES"/>
    <x v="0"/>
    <n v="87"/>
  </r>
  <r>
    <d v="2025-09-20T07:55:53"/>
    <x v="6"/>
    <s v="Plaquettes de finition positives"/>
    <s v="U518765"/>
    <s v="ROY ADELINE"/>
    <n v="10"/>
    <x v="0"/>
    <x v="2"/>
    <s v="PLAQUETTES"/>
    <x v="0"/>
    <n v="87"/>
  </r>
  <r>
    <d v="2025-09-20T07:56:12"/>
    <x v="6"/>
    <s v="Plaquettes de finition positives"/>
    <s v="U518765"/>
    <s v="ROY ADELINE"/>
    <n v="10"/>
    <x v="0"/>
    <x v="2"/>
    <s v="PLAQUETTES"/>
    <x v="0"/>
    <n v="87"/>
  </r>
  <r>
    <d v="2025-09-20T16:46:09"/>
    <x v="6"/>
    <s v="Plaquettes de finition positives"/>
    <s v="U054304"/>
    <s v="BOUACHIK HICHAM"/>
    <n v="10"/>
    <x v="0"/>
    <x v="2"/>
    <s v="PLAQUETTES"/>
    <x v="0"/>
    <n v="87"/>
  </r>
  <r>
    <d v="2025-09-21T16:53:10"/>
    <x v="6"/>
    <s v="Plaquettes de finition positives"/>
    <s v="U054304"/>
    <s v="BOUACHIK HICHAM"/>
    <n v="10"/>
    <x v="0"/>
    <x v="2"/>
    <s v="PLAQUETTES"/>
    <x v="0"/>
    <n v="87"/>
  </r>
  <r>
    <d v="2025-04-12T06:40:07"/>
    <x v="4"/>
    <s v="Plaquettes de finition"/>
    <s v="U198152"/>
    <s v="AJMIK MUSTAPHA"/>
    <n v="5"/>
    <x v="2"/>
    <x v="2"/>
    <s v="PLAQUETTES"/>
    <x v="1"/>
    <n v="47.8"/>
  </r>
  <r>
    <d v="2025-04-12T06:40:23"/>
    <x v="8"/>
    <s v="Plaquettes rhombiques"/>
    <s v="U198152"/>
    <s v="AJMIK MUSTAPHA"/>
    <n v="5"/>
    <x v="2"/>
    <x v="2"/>
    <s v="PLAQUETTES"/>
    <x v="1"/>
    <n v="18.399999999999999"/>
  </r>
  <r>
    <d v="2025-04-12T06:40:39"/>
    <x v="9"/>
    <s v="Plaquettes rhombiques"/>
    <s v="U198152"/>
    <s v="AJMIK MUSTAPHA"/>
    <n v="5"/>
    <x v="2"/>
    <x v="2"/>
    <s v="PLAQUETTES"/>
    <x v="1"/>
    <n v="44.85"/>
  </r>
  <r>
    <d v="2025-04-12T06:40:57"/>
    <x v="11"/>
    <s v="Plaquettes de finition triangulaires"/>
    <s v="U198152"/>
    <s v="AJMIK MUSTAPHA"/>
    <n v="10"/>
    <x v="2"/>
    <x v="2"/>
    <s v="PLAQUETTES"/>
    <x v="1"/>
    <n v="118.7"/>
  </r>
  <r>
    <d v="2025-04-12T06:41:16"/>
    <x v="6"/>
    <s v="Plaquettes de finition positives"/>
    <s v="U198152"/>
    <s v="AJMIK MUSTAPHA"/>
    <n v="10"/>
    <x v="3"/>
    <x v="2"/>
    <s v="PLAQUETTES"/>
    <x v="3"/>
    <n v="87"/>
  </r>
  <r>
    <d v="2025-04-12T06:41:44"/>
    <x v="2"/>
    <s v="Plaquettes d'ébauches rhombiques"/>
    <s v="U198152"/>
    <s v="AJMIK MUSTAPHA"/>
    <n v="10"/>
    <x v="3"/>
    <x v="0"/>
    <s v="PLAQUETTES"/>
    <x v="3"/>
    <n v="70"/>
  </r>
  <r>
    <d v="2025-09-22T07:41:06"/>
    <x v="6"/>
    <s v="Plaquettes de finition positives"/>
    <s v="sd13196"/>
    <s v="FRADIN MAXIME"/>
    <n v="10"/>
    <x v="0"/>
    <x v="2"/>
    <s v="PLAQUETTES"/>
    <x v="3"/>
    <n v="87"/>
  </r>
  <r>
    <d v="2025-09-22T15:51:33"/>
    <x v="6"/>
    <s v="Plaquettes de finition positives"/>
    <s v="12824586"/>
    <s v="DA SILVA FERNANDO"/>
    <n v="10"/>
    <x v="0"/>
    <x v="2"/>
    <s v="PLAQUETTES"/>
    <x v="4"/>
    <n v="87"/>
  </r>
  <r>
    <d v="2025-04-13T05:53:31"/>
    <x v="2"/>
    <s v="Plaquettes d'ébauches rhombiques"/>
    <s v="U080365"/>
    <s v="ALAVOINE SAMUEL"/>
    <n v="10"/>
    <x v="1"/>
    <x v="0"/>
    <s v="PLAQUETTES"/>
    <x v="0"/>
    <n v="70"/>
  </r>
  <r>
    <d v="2025-09-22T17:09:59"/>
    <x v="6"/>
    <s v="Plaquettes de finition positives"/>
    <s v="170325"/>
    <s v="VERDELET BASTIEN"/>
    <n v="10"/>
    <x v="0"/>
    <x v="2"/>
    <s v="PLAQUETTES"/>
    <x v="0"/>
    <n v="87"/>
  </r>
  <r>
    <d v="2025-09-25T13:42:52"/>
    <x v="6"/>
    <s v="Plaquettes de finition positives"/>
    <s v="170325"/>
    <s v="VERDELET BASTIEN"/>
    <n v="10"/>
    <x v="0"/>
    <x v="2"/>
    <s v="PLAQUETTES"/>
    <x v="0"/>
    <n v="87"/>
  </r>
  <r>
    <d v="2025-09-26T06:36:44"/>
    <x v="6"/>
    <s v="Plaquettes de finition positives"/>
    <s v="U518765"/>
    <s v="ROY ADELINE"/>
    <n v="10"/>
    <x v="0"/>
    <x v="2"/>
    <s v="PLAQUETTES"/>
    <x v="0"/>
    <n v="87"/>
  </r>
  <r>
    <d v="2025-04-13T11:14:22"/>
    <x v="10"/>
    <s v="Plaquettes de finition"/>
    <s v="U198152"/>
    <s v="AJMIK MUSTAPHA"/>
    <n v="10"/>
    <x v="1"/>
    <x v="2"/>
    <s v="PLAQUETTES"/>
    <x v="0"/>
    <n v="109.7"/>
  </r>
  <r>
    <d v="2025-04-13T11:14:43"/>
    <x v="6"/>
    <s v="Plaquettes de finition positives"/>
    <s v="U198152"/>
    <s v="AJMIK MUSTAPHA"/>
    <n v="10"/>
    <x v="1"/>
    <x v="2"/>
    <s v="PLAQUETTES"/>
    <x v="0"/>
    <n v="87"/>
  </r>
  <r>
    <d v="2025-04-13T11:15:03"/>
    <x v="2"/>
    <s v="Plaquettes d'ébauches rhombiques"/>
    <s v="U198152"/>
    <s v="AJMIK MUSTAPHA"/>
    <n v="10"/>
    <x v="1"/>
    <x v="0"/>
    <s v="PLAQUETTES"/>
    <x v="0"/>
    <n v="70"/>
  </r>
  <r>
    <d v="2025-09-27T05:45:22"/>
    <x v="6"/>
    <s v="Plaquettes de finition positives"/>
    <s v="U054304"/>
    <s v="BOUACHIK HICHAM"/>
    <n v="10"/>
    <x v="0"/>
    <x v="2"/>
    <s v="PLAQUETTES"/>
    <x v="0"/>
    <n v="87"/>
  </r>
  <r>
    <d v="2025-09-27T20:28:45"/>
    <x v="6"/>
    <s v="Plaquettes de finition positives"/>
    <s v="U518765"/>
    <s v="ROY ADELINE"/>
    <n v="10"/>
    <x v="0"/>
    <x v="2"/>
    <s v="PLAQUETTES"/>
    <x v="0"/>
    <n v="87"/>
  </r>
  <r>
    <d v="2025-09-27T20:29:10"/>
    <x v="6"/>
    <s v="Plaquettes de finition positives"/>
    <s v="U518765"/>
    <s v="ROY ADELINE"/>
    <n v="10"/>
    <x v="0"/>
    <x v="2"/>
    <s v="PLAQUETTES"/>
    <x v="0"/>
    <n v="87"/>
  </r>
  <r>
    <d v="2025-04-14T13:11:58"/>
    <x v="6"/>
    <s v="Plaquettes de finition positives"/>
    <s v="100225"/>
    <s v="PRUNEAU WILLIAM"/>
    <n v="10"/>
    <x v="3"/>
    <x v="2"/>
    <s v="PLAQUETTES"/>
    <x v="0"/>
    <n v="87"/>
  </r>
  <r>
    <d v="2025-04-14T13:12:35"/>
    <x v="2"/>
    <s v="Plaquettes d'ébauches rhombiques"/>
    <s v="100225"/>
    <s v="PRUNEAU WILLIAM"/>
    <n v="10"/>
    <x v="3"/>
    <x v="1"/>
    <s v="PLAQUETTES"/>
    <x v="0"/>
    <n v="70"/>
  </r>
  <r>
    <d v="2025-04-14T13:36:56"/>
    <x v="6"/>
    <s v="Plaquettes de finition positives"/>
    <s v="J519914"/>
    <s v="MARLY DAVID"/>
    <n v="10"/>
    <x v="1"/>
    <x v="2"/>
    <s v="PLAQUETTES"/>
    <x v="0"/>
    <n v="87"/>
  </r>
  <r>
    <d v="2025-09-28T05:05:47"/>
    <x v="6"/>
    <s v="Plaquettes de finition positives"/>
    <s v="U054304"/>
    <s v="BOUACHIK HICHAM"/>
    <n v="10"/>
    <x v="0"/>
    <x v="2"/>
    <s v="PLAQUETTES"/>
    <x v="0"/>
    <n v="87"/>
  </r>
  <r>
    <d v="2025-04-14T13:38:44"/>
    <x v="2"/>
    <s v="Plaquettes d'ébauches rhombiques"/>
    <s v="J519914"/>
    <s v="MARLY DAVID"/>
    <n v="10"/>
    <x v="1"/>
    <x v="0"/>
    <s v="PLAQUETTES"/>
    <x v="0"/>
    <n v="70"/>
  </r>
  <r>
    <d v="2025-09-28T17:43:30"/>
    <x v="6"/>
    <s v="Plaquettes de finition positives"/>
    <s v="j534699"/>
    <s v="CHARTON FABIAN"/>
    <n v="10"/>
    <x v="0"/>
    <x v="2"/>
    <s v="PLAQUETTES"/>
    <x v="0"/>
    <n v="87"/>
  </r>
  <r>
    <d v="2025-04-14T21:24:26"/>
    <x v="2"/>
    <s v="Plaquettes d'ébauches rhombiques"/>
    <s v="080924"/>
    <s v="DABLEMONT AURELIEN"/>
    <n v="10"/>
    <x v="1"/>
    <x v="1"/>
    <s v="PLAQUETTES"/>
    <x v="0"/>
    <n v="70"/>
  </r>
  <r>
    <d v="2025-04-14T21:24:44"/>
    <x v="6"/>
    <s v="Plaquettes de finition positives"/>
    <s v="080924"/>
    <s v="DABLEMONT AURELIEN"/>
    <n v="10"/>
    <x v="1"/>
    <x v="2"/>
    <s v="PLAQUETTES"/>
    <x v="0"/>
    <n v="87"/>
  </r>
  <r>
    <d v="2025-04-14T21:29:43"/>
    <x v="2"/>
    <s v="Plaquettes d'ébauches rhombiques"/>
    <s v="VERGE G"/>
    <s v="VERGE GREGORY"/>
    <n v="10"/>
    <x v="3"/>
    <x v="1"/>
    <s v="PLAQUETTES"/>
    <x v="0"/>
    <n v="70"/>
  </r>
  <r>
    <d v="2025-04-14T21:29:57"/>
    <x v="1"/>
    <s v="Plaquettes d'ébauches carrées"/>
    <s v="VERGE G"/>
    <s v="VERGE GREGORY"/>
    <n v="10"/>
    <x v="3"/>
    <x v="1"/>
    <s v="PLAQUETTES"/>
    <x v="0"/>
    <n v="71.2"/>
  </r>
  <r>
    <d v="2025-04-14T21:30:15"/>
    <x v="6"/>
    <s v="Plaquettes de finition positives"/>
    <s v="VERGE G"/>
    <s v="VERGE GREGORY"/>
    <n v="10"/>
    <x v="3"/>
    <x v="2"/>
    <s v="PLAQUETTES"/>
    <x v="0"/>
    <n v="87"/>
  </r>
  <r>
    <d v="2025-04-15T05:47:33"/>
    <x v="10"/>
    <s v="Plaquettes de finition"/>
    <s v="u134838"/>
    <s v="DANAH STEPHANIE"/>
    <n v="10"/>
    <x v="3"/>
    <x v="2"/>
    <s v="PLAQUETTES"/>
    <x v="0"/>
    <n v="109.7"/>
  </r>
  <r>
    <d v="2025-04-15T05:48:10"/>
    <x v="5"/>
    <s v="Plaquettes rondes"/>
    <s v="u134838"/>
    <s v="DANAH STEPHANIE"/>
    <n v="10"/>
    <x v="3"/>
    <x v="0"/>
    <s v="PLAQUETTES"/>
    <x v="0"/>
    <n v="108.5"/>
  </r>
  <r>
    <d v="2025-09-28T17:43:56"/>
    <x v="6"/>
    <s v="Plaquettes de finition positives"/>
    <s v="j534699"/>
    <s v="CHARTON FABIAN"/>
    <n v="10"/>
    <x v="0"/>
    <x v="2"/>
    <s v="PLAQUETTES"/>
    <x v="0"/>
    <n v="87"/>
  </r>
  <r>
    <d v="2025-09-28T17:48:06"/>
    <x v="6"/>
    <s v="Plaquettes de finition positives"/>
    <s v="j534699"/>
    <s v="CHARTON FABIAN"/>
    <n v="10"/>
    <x v="0"/>
    <x v="2"/>
    <s v="PLAQUETTES"/>
    <x v="0"/>
    <n v="87"/>
  </r>
  <r>
    <d v="2025-09-29T22:40:11"/>
    <x v="6"/>
    <s v="Plaquettes de finition positives"/>
    <s v="230525"/>
    <s v="SOULAS YANIS"/>
    <n v="10"/>
    <x v="0"/>
    <x v="2"/>
    <s v="PLAQUETTES"/>
    <x v="0"/>
    <n v="87"/>
  </r>
  <r>
    <d v="2025-09-29T22:40:23"/>
    <x v="6"/>
    <s v="Plaquettes de finition positives"/>
    <s v="230525"/>
    <s v="SOULAS YANIS"/>
    <n v="10"/>
    <x v="0"/>
    <x v="2"/>
    <s v="PLAQUETTES"/>
    <x v="0"/>
    <n v="87"/>
  </r>
  <r>
    <d v="2025-04-15T13:06:19"/>
    <x v="1"/>
    <s v="Plaquettes d'ébauches carrées"/>
    <s v="J519914"/>
    <s v="MARLY DAVID"/>
    <n v="10"/>
    <x v="1"/>
    <x v="1"/>
    <s v="PLAQUETTES"/>
    <x v="0"/>
    <n v="71.2"/>
  </r>
  <r>
    <d v="2025-09-30T21:46:09"/>
    <x v="6"/>
    <s v="Plaquettes de finition positives"/>
    <s v="j519914"/>
    <s v="MARLY DAVID"/>
    <n v="10"/>
    <x v="0"/>
    <x v="2"/>
    <s v="PLAQUETTES"/>
    <x v="0"/>
    <n v="87"/>
  </r>
  <r>
    <d v="2025-04-15T13:14:03"/>
    <x v="6"/>
    <s v="Plaquettes de finition positives"/>
    <s v="100225"/>
    <s v="PRUNEAU WILLIAM"/>
    <n v="10"/>
    <x v="3"/>
    <x v="2"/>
    <s v="PLAQUETTES"/>
    <x v="0"/>
    <n v="87"/>
  </r>
  <r>
    <d v="2025-10-01T08:21:07"/>
    <x v="6"/>
    <s v="Plaquettes de finition positives"/>
    <s v="u134838"/>
    <s v="DANAH STEPHANIE"/>
    <n v="10"/>
    <x v="0"/>
    <x v="2"/>
    <s v="PLAQUETTES"/>
    <x v="0"/>
    <n v="87"/>
  </r>
  <r>
    <d v="2025-10-01T21:08:49"/>
    <x v="6"/>
    <s v="Plaquettes de finition positives"/>
    <s v="j519914"/>
    <s v="MARLY DAVID"/>
    <n v="10"/>
    <x v="0"/>
    <x v="2"/>
    <s v="PLAQUETTES"/>
    <x v="0"/>
    <n v="87"/>
  </r>
  <r>
    <d v="2025-10-01T22:28:57"/>
    <x v="6"/>
    <s v="Plaquettes de finition positives"/>
    <s v="j519914"/>
    <s v="MARLY DAVID"/>
    <n v="10"/>
    <x v="0"/>
    <x v="2"/>
    <s v="PLAQUETTES"/>
    <x v="0"/>
    <n v="87"/>
  </r>
  <r>
    <d v="2025-04-16T06:09:44"/>
    <x v="6"/>
    <s v="Plaquettes de finition positives"/>
    <s v="u134838"/>
    <s v="DANAH STEPHANIE"/>
    <n v="10"/>
    <x v="3"/>
    <x v="2"/>
    <s v="PLAQUETTES"/>
    <x v="0"/>
    <n v="87"/>
  </r>
  <r>
    <d v="2025-10-02T07:41:38"/>
    <x v="6"/>
    <s v="Plaquettes de finition positives"/>
    <s v="u134838"/>
    <s v="DANAH STEPHANIE"/>
    <n v="10"/>
    <x v="0"/>
    <x v="2"/>
    <s v="PLAQUETTES"/>
    <x v="0"/>
    <n v="87"/>
  </r>
  <r>
    <d v="2025-10-02T18:45:35"/>
    <x v="6"/>
    <s v="Plaquettes de finition positives"/>
    <s v="u462308"/>
    <s v="MAITRE SEBASTIEN"/>
    <n v="10"/>
    <x v="0"/>
    <x v="2"/>
    <s v="PLAQUETTES"/>
    <x v="0"/>
    <n v="87"/>
  </r>
  <r>
    <d v="2025-10-03T21:28:45"/>
    <x v="6"/>
    <s v="Plaquettes de finition positives"/>
    <s v="j519914"/>
    <s v="MARLY DAVID"/>
    <n v="10"/>
    <x v="0"/>
    <x v="2"/>
    <s v="PLAQUETTES"/>
    <x v="0"/>
    <n v="87"/>
  </r>
  <r>
    <d v="2025-10-04T00:36:23"/>
    <x v="6"/>
    <s v="Plaquettes de finition positives"/>
    <s v="j519914"/>
    <s v="MARLY DAVID"/>
    <n v="10"/>
    <x v="0"/>
    <x v="2"/>
    <s v="PLAQUETTES"/>
    <x v="0"/>
    <n v="87"/>
  </r>
  <r>
    <d v="2025-10-04T05:38:28"/>
    <x v="6"/>
    <s v="Plaquettes de finition positives"/>
    <s v="U534565"/>
    <s v="HOAREAU MARIUS"/>
    <n v="10"/>
    <x v="0"/>
    <x v="2"/>
    <s v="PLAQUETTES"/>
    <x v="0"/>
    <n v="87"/>
  </r>
  <r>
    <d v="2025-10-05T05:34:48"/>
    <x v="6"/>
    <s v="Plaquettes de finition positives"/>
    <s v="U534565"/>
    <s v="HOAREAU MARIUS"/>
    <n v="10"/>
    <x v="0"/>
    <x v="2"/>
    <s v="PLAQUETTES"/>
    <x v="0"/>
    <n v="87"/>
  </r>
  <r>
    <d v="2025-04-16T13:50:05"/>
    <x v="6"/>
    <s v="Plaquettes de finition positives"/>
    <s v="J519914"/>
    <s v="MARLY DAVID"/>
    <n v="10"/>
    <x v="1"/>
    <x v="2"/>
    <s v="PLAQUETTES"/>
    <x v="0"/>
    <n v="87"/>
  </r>
  <r>
    <d v="2025-04-16T13:50:39"/>
    <x v="2"/>
    <s v="Plaquettes d'ébauches rhombiques"/>
    <s v="J519914"/>
    <s v="MARLY DAVID"/>
    <n v="10"/>
    <x v="1"/>
    <x v="0"/>
    <s v="PLAQUETTES"/>
    <x v="0"/>
    <n v="70"/>
  </r>
  <r>
    <d v="2025-04-16T21:30:30"/>
    <x v="6"/>
    <s v="Plaquettes de finition positives"/>
    <s v="VERGE G"/>
    <s v="VERGE GREGORY"/>
    <n v="10"/>
    <x v="3"/>
    <x v="2"/>
    <s v="PLAQUETTES"/>
    <x v="0"/>
    <n v="87"/>
  </r>
  <r>
    <d v="2025-10-05T17:23:58"/>
    <x v="6"/>
    <s v="Plaquettes de finition positives"/>
    <s v="U054304"/>
    <s v="BOUACHIK HICHAM"/>
    <n v="10"/>
    <x v="0"/>
    <x v="2"/>
    <s v="PLAQUETTES"/>
    <x v="0"/>
    <n v="87"/>
  </r>
  <r>
    <d v="2025-10-05T17:24:12"/>
    <x v="6"/>
    <s v="Plaquettes de finition positives"/>
    <s v="U054304"/>
    <s v="BOUACHIK HICHAM"/>
    <n v="10"/>
    <x v="0"/>
    <x v="2"/>
    <s v="PLAQUETTES"/>
    <x v="0"/>
    <n v="87"/>
  </r>
  <r>
    <d v="2025-10-15T13:16:23"/>
    <x v="6"/>
    <s v="Plaquettes de finition positives"/>
    <s v="12824586"/>
    <s v="DA SILVA FERNANDO"/>
    <n v="10"/>
    <x v="0"/>
    <x v="2"/>
    <s v="PLAQUETTES"/>
    <x v="4"/>
    <n v="87"/>
  </r>
  <r>
    <d v="2025-10-15T22:16:24"/>
    <x v="6"/>
    <s v="Plaquettes de finition positives"/>
    <s v="j519914"/>
    <s v="MARLY DAVID"/>
    <n v="10"/>
    <x v="0"/>
    <x v="2"/>
    <s v="PLAQUETTES"/>
    <x v="0"/>
    <n v="87"/>
  </r>
  <r>
    <d v="2025-10-16T06:09:35"/>
    <x v="6"/>
    <s v="Plaquettes de finition positives"/>
    <s v="u134838"/>
    <s v="DANAH STEPHANIE"/>
    <n v="10"/>
    <x v="0"/>
    <x v="2"/>
    <s v="PLAQUETTES"/>
    <x v="0"/>
    <n v="87"/>
  </r>
  <r>
    <d v="2025-04-17T08:51:40"/>
    <x v="6"/>
    <s v="Plaquettes de finition positives"/>
    <s v="12824586"/>
    <s v="DA SILVA FERNANDO"/>
    <n v="10"/>
    <x v="2"/>
    <x v="2"/>
    <s v="PLAQUETTES"/>
    <x v="4"/>
    <n v="87"/>
  </r>
  <r>
    <d v="2025-04-17T08:52:22"/>
    <x v="6"/>
    <s v="Plaquettes de finition positives"/>
    <s v="12824586"/>
    <s v="DA SILVA FERNANDO"/>
    <n v="30"/>
    <x v="2"/>
    <x v="2"/>
    <s v="PLAQUETTES"/>
    <x v="4"/>
    <n v="261"/>
  </r>
  <r>
    <d v="2025-10-16T06:10:43"/>
    <x v="6"/>
    <s v="Plaquettes de finition positives"/>
    <s v="u134838"/>
    <s v="DANAH STEPHANIE"/>
    <n v="10"/>
    <x v="0"/>
    <x v="2"/>
    <s v="PLAQUETTES"/>
    <x v="0"/>
    <n v="87"/>
  </r>
  <r>
    <d v="2025-04-17T13:08:04"/>
    <x v="6"/>
    <s v="Plaquettes de finition positives"/>
    <s v="J519914"/>
    <s v="MARLY DAVID"/>
    <n v="10"/>
    <x v="1"/>
    <x v="2"/>
    <s v="PLAQUETTES"/>
    <x v="0"/>
    <n v="87"/>
  </r>
  <r>
    <d v="2025-10-19T19:36:04"/>
    <x v="6"/>
    <s v="Plaquettes de finition positives"/>
    <s v="U054304"/>
    <s v="BOUACHIK HICHAM"/>
    <n v="10"/>
    <x v="0"/>
    <x v="2"/>
    <s v="PLAQUETTES"/>
    <x v="0"/>
    <n v="87"/>
  </r>
  <r>
    <d v="2025-04-17T13:09:07"/>
    <x v="1"/>
    <s v="Plaquettes d'ébauches carrées"/>
    <s v="J519914"/>
    <s v="MARLY DAVID"/>
    <n v="10"/>
    <x v="1"/>
    <x v="0"/>
    <s v="PLAQUETTES"/>
    <x v="0"/>
    <n v="71.2"/>
  </r>
  <r>
    <d v="2025-10-21T13:54:44"/>
    <x v="6"/>
    <s v="Plaquettes de finition positives"/>
    <s v="u134838"/>
    <s v="DANAH STEPHANIE"/>
    <n v="10"/>
    <x v="0"/>
    <x v="2"/>
    <s v="PLAQUETTES"/>
    <x v="0"/>
    <n v="87"/>
  </r>
  <r>
    <d v="2025-04-18T02:22:26"/>
    <x v="2"/>
    <s v="Plaquettes d'ébauches rhombiques"/>
    <s v="080924"/>
    <s v="DABLEMONT AURELIEN"/>
    <n v="10"/>
    <x v="1"/>
    <x v="1"/>
    <s v="PLAQUETTES"/>
    <x v="0"/>
    <n v="70"/>
  </r>
  <r>
    <d v="2025-10-22T00:01:53"/>
    <x v="6"/>
    <s v="Plaquettes de finition positives"/>
    <s v="j519914"/>
    <s v="MARLY DAVID"/>
    <n v="10"/>
    <x v="0"/>
    <x v="2"/>
    <s v="PLAQUETTES"/>
    <x v="0"/>
    <n v="87"/>
  </r>
  <r>
    <d v="2025-04-18T05:13:41"/>
    <x v="6"/>
    <s v="Plaquettes de finition positives"/>
    <s v="U518765"/>
    <s v="ROY ADELINE"/>
    <n v="10"/>
    <x v="3"/>
    <x v="2"/>
    <s v="PLAQUETTES"/>
    <x v="0"/>
    <n v="87"/>
  </r>
  <r>
    <d v="2025-04-18T06:59:54"/>
    <x v="5"/>
    <s v="Plaquettes rondes"/>
    <s v="u534565"/>
    <s v="HOAREAU MARIUS"/>
    <n v="10"/>
    <x v="1"/>
    <x v="0"/>
    <s v="PLAQUETTES"/>
    <x v="0"/>
    <n v="108.5"/>
  </r>
  <r>
    <d v="2025-04-18T07:00:27"/>
    <x v="6"/>
    <s v="Plaquettes de finition positives"/>
    <s v="u534565"/>
    <s v="HOAREAU MARIUS"/>
    <n v="10"/>
    <x v="1"/>
    <x v="2"/>
    <s v="PLAQUETTES"/>
    <x v="0"/>
    <n v="87"/>
  </r>
  <r>
    <d v="2025-04-18T14:12:02"/>
    <x v="2"/>
    <s v="Plaquettes d'ébauches rhombiques"/>
    <s v="100225"/>
    <s v="PRUNEAU WILLIAM"/>
    <n v="10"/>
    <x v="3"/>
    <x v="1"/>
    <s v="PLAQUETTES"/>
    <x v="2"/>
    <n v="70"/>
  </r>
  <r>
    <d v="2025-04-18T14:12:22"/>
    <x v="1"/>
    <s v="Plaquettes d'ébauches carrées"/>
    <s v="100225"/>
    <s v="PRUNEAU WILLIAM"/>
    <n v="10"/>
    <x v="3"/>
    <x v="1"/>
    <s v="PLAQUETTES"/>
    <x v="2"/>
    <n v="71.2"/>
  </r>
  <r>
    <d v="2025-04-18T14:12:42"/>
    <x v="4"/>
    <s v="Plaquettes de finition"/>
    <s v="100225"/>
    <s v="PRUNEAU WILLIAM"/>
    <n v="5"/>
    <x v="3"/>
    <x v="2"/>
    <s v="PLAQUETTES"/>
    <x v="2"/>
    <n v="47.8"/>
  </r>
  <r>
    <d v="2025-04-18T14:12:59"/>
    <x v="10"/>
    <s v="Plaquettes de finition"/>
    <s v="100225"/>
    <s v="PRUNEAU WILLIAM"/>
    <n v="10"/>
    <x v="3"/>
    <x v="2"/>
    <s v="PLAQUETTES"/>
    <x v="2"/>
    <n v="109.7"/>
  </r>
  <r>
    <d v="2025-04-18T14:13:49"/>
    <x v="11"/>
    <s v="Plaquettes de finition triangulaires"/>
    <s v="100225"/>
    <s v="PRUNEAU WILLIAM"/>
    <n v="10"/>
    <x v="3"/>
    <x v="2"/>
    <s v="PLAQUETTES"/>
    <x v="2"/>
    <n v="118.7"/>
  </r>
  <r>
    <d v="2025-04-18T14:14:19"/>
    <x v="12"/>
    <s v="Plaquettes de gorge"/>
    <s v="100225"/>
    <s v="PRUNEAU WILLIAM"/>
    <n v="10"/>
    <x v="3"/>
    <x v="0"/>
    <s v="PLAQUETTES"/>
    <x v="2"/>
    <n v="157"/>
  </r>
  <r>
    <d v="2025-10-22T13:52:36"/>
    <x v="6"/>
    <s v="Plaquettes de finition positives"/>
    <s v="u134838"/>
    <s v="DANAH STEPHANIE"/>
    <n v="10"/>
    <x v="0"/>
    <x v="2"/>
    <s v="PLAQUETTES"/>
    <x v="0"/>
    <n v="87"/>
  </r>
  <r>
    <d v="2025-10-24T05:26:48"/>
    <x v="6"/>
    <s v="Plaquettes de finition positives"/>
    <s v="U054304"/>
    <s v="BOUACHIK HICHAM"/>
    <n v="10"/>
    <x v="0"/>
    <x v="2"/>
    <s v="PLAQUETTES"/>
    <x v="0"/>
    <n v="87"/>
  </r>
  <r>
    <d v="2025-10-28T21:31:52"/>
    <x v="6"/>
    <s v="Plaquettes de finition positives"/>
    <s v="j519914"/>
    <s v="MARLY DAVID"/>
    <n v="10"/>
    <x v="0"/>
    <x v="2"/>
    <s v="PLAQUETTES"/>
    <x v="0"/>
    <n v="87"/>
  </r>
  <r>
    <d v="2025-04-18T18:20:36"/>
    <x v="12"/>
    <s v="Plaquettes de gorge"/>
    <s v="100225"/>
    <s v="PRUNEAU WILLIAM"/>
    <n v="10"/>
    <x v="1"/>
    <x v="0"/>
    <s v="PLAQUETTES"/>
    <x v="2"/>
    <n v="157"/>
  </r>
  <r>
    <d v="2025-04-18T18:21:06"/>
    <x v="4"/>
    <s v="Plaquettes de finition"/>
    <s v="100225"/>
    <s v="PRUNEAU WILLIAM"/>
    <n v="5"/>
    <x v="1"/>
    <x v="2"/>
    <s v="PLAQUETTES"/>
    <x v="2"/>
    <n v="47.8"/>
  </r>
  <r>
    <d v="2025-04-19T10:29:42"/>
    <x v="2"/>
    <s v="Plaquettes d'ébauches rhombiques"/>
    <s v="U518765"/>
    <s v="ROY ADELINE"/>
    <n v="10"/>
    <x v="3"/>
    <x v="1"/>
    <s v="PLAQUETTES"/>
    <x v="2"/>
    <n v="70"/>
  </r>
  <r>
    <d v="2025-04-19T14:28:35"/>
    <x v="4"/>
    <s v="Plaquettes de finition"/>
    <s v="U518765"/>
    <s v="ROY ADELINE"/>
    <n v="5"/>
    <x v="3"/>
    <x v="2"/>
    <s v="PLAQUETTES"/>
    <x v="2"/>
    <n v="47.8"/>
  </r>
  <r>
    <d v="2025-10-30T00:02:49"/>
    <x v="6"/>
    <s v="Plaquettes de finition positives"/>
    <s v="j519914"/>
    <s v="MARLY DAVID"/>
    <n v="10"/>
    <x v="0"/>
    <x v="2"/>
    <s v="PLAQUETTES"/>
    <x v="0"/>
    <n v="87"/>
  </r>
  <r>
    <d v="2025-10-30T22:31:31"/>
    <x v="6"/>
    <s v="Plaquettes de finition positives"/>
    <s v="j519914"/>
    <s v="MARLY DAVID"/>
    <n v="10"/>
    <x v="0"/>
    <x v="2"/>
    <s v="PLAQUETTES"/>
    <x v="0"/>
    <n v="87"/>
  </r>
  <r>
    <d v="2025-11-01T17:45:15"/>
    <x v="6"/>
    <s v="Plaquettes de finition positives"/>
    <s v="U054304"/>
    <s v="BOUACHIK HICHAM"/>
    <n v="10"/>
    <x v="0"/>
    <x v="2"/>
    <s v="PLAQUETTES"/>
    <x v="0"/>
    <n v="87"/>
  </r>
  <r>
    <d v="2025-04-19T17:33:26"/>
    <x v="6"/>
    <s v="Plaquettes de finition positives"/>
    <s v="U198152"/>
    <s v="AJMIK MUSTAPHA"/>
    <n v="10"/>
    <x v="1"/>
    <x v="2"/>
    <s v="PLAQUETTES"/>
    <x v="0"/>
    <n v="87"/>
  </r>
  <r>
    <d v="2025-04-19T21:34:35"/>
    <x v="4"/>
    <s v="Plaquettes de finition"/>
    <s v="U198152"/>
    <s v="AJMIK MUSTAPHA"/>
    <n v="5"/>
    <x v="3"/>
    <x v="2"/>
    <s v="PLAQUETTES"/>
    <x v="2"/>
    <n v="47.8"/>
  </r>
  <r>
    <d v="2025-04-19T21:34:55"/>
    <x v="2"/>
    <s v="Plaquettes d'ébauches rhombiques"/>
    <s v="U198152"/>
    <s v="AJMIK MUSTAPHA"/>
    <n v="10"/>
    <x v="3"/>
    <x v="2"/>
    <s v="PLAQUETTES"/>
    <x v="2"/>
    <n v="70"/>
  </r>
  <r>
    <d v="2025-04-19T21:35:13"/>
    <x v="2"/>
    <s v="Plaquettes d'ébauches rhombiques"/>
    <s v="U198152"/>
    <s v="AJMIK MUSTAPHA"/>
    <n v="10"/>
    <x v="3"/>
    <x v="0"/>
    <s v="PLAQUETTES"/>
    <x v="2"/>
    <n v="70"/>
  </r>
  <r>
    <d v="2025-11-02T20:23:50"/>
    <x v="6"/>
    <s v="Plaquettes de finition positives"/>
    <s v="U054304"/>
    <s v="BOUACHIK HICHAM"/>
    <n v="10"/>
    <x v="0"/>
    <x v="2"/>
    <s v="PLAQUETTES"/>
    <x v="0"/>
    <n v="87"/>
  </r>
  <r>
    <d v="2025-11-05T16:12:06"/>
    <x v="6"/>
    <s v="Plaquettes de finition positives"/>
    <s v="u134838"/>
    <s v="DANAH STEPHANIE"/>
    <n v="10"/>
    <x v="0"/>
    <x v="2"/>
    <s v="PLAQUETTES"/>
    <x v="0"/>
    <n v="87"/>
  </r>
  <r>
    <d v="2025-11-06T14:06:44"/>
    <x v="6"/>
    <s v="Plaquettes de finition positives"/>
    <s v="u134838"/>
    <s v="DANAH STEPHANIE"/>
    <n v="10"/>
    <x v="0"/>
    <x v="2"/>
    <s v="PLAQUETTES"/>
    <x v="0"/>
    <n v="87"/>
  </r>
  <r>
    <d v="2025-11-07T12:15:45"/>
    <x v="6"/>
    <s v="Plaquettes de finition positives"/>
    <s v="U054304"/>
    <s v="BOUACHIK HICHAM"/>
    <n v="10"/>
    <x v="0"/>
    <x v="2"/>
    <s v="PLAQUETTES"/>
    <x v="0"/>
    <n v="87"/>
  </r>
  <r>
    <d v="2025-11-07T13:49:09"/>
    <x v="6"/>
    <s v="Plaquettes de finition positives"/>
    <s v="u134838"/>
    <s v="DANAH STEPHANIE"/>
    <n v="10"/>
    <x v="0"/>
    <x v="2"/>
    <s v="PLAQUETTES"/>
    <x v="0"/>
    <n v="87"/>
  </r>
  <r>
    <d v="2025-04-20T17:26:14"/>
    <x v="5"/>
    <s v="Plaquettes rondes"/>
    <s v="U198152"/>
    <s v="AJMIK MUSTAPHA"/>
    <n v="10"/>
    <x v="1"/>
    <x v="0"/>
    <s v="PLAQUETTES"/>
    <x v="0"/>
    <n v="108.5"/>
  </r>
  <r>
    <d v="2025-04-21T05:11:01"/>
    <x v="6"/>
    <s v="Plaquettes de finition positives"/>
    <s v="J519914"/>
    <s v="MARLY DAVID"/>
    <n v="10"/>
    <x v="1"/>
    <x v="2"/>
    <s v="PLAQUETTES"/>
    <x v="0"/>
    <n v="87"/>
  </r>
  <r>
    <d v="2025-04-21T05:11:28"/>
    <x v="7"/>
    <s v="Plaquettes de finition triangulaires"/>
    <s v="J519914"/>
    <s v="MARLY DAVID"/>
    <n v="10"/>
    <x v="1"/>
    <x v="2"/>
    <s v="PLAQUETTES"/>
    <x v="0"/>
    <n v="138.80000000000001"/>
  </r>
  <r>
    <d v="2025-04-21T05:11:50"/>
    <x v="10"/>
    <s v="Plaquettes de finition"/>
    <s v="J519914"/>
    <s v="MARLY DAVID"/>
    <n v="10"/>
    <x v="1"/>
    <x v="2"/>
    <s v="PLAQUETTES"/>
    <x v="0"/>
    <n v="109.7"/>
  </r>
  <r>
    <d v="2025-11-08T07:00:34"/>
    <x v="6"/>
    <s v="Plaquettes de finition positives"/>
    <s v="U054304"/>
    <s v="BOUACHIK HICHAM"/>
    <n v="10"/>
    <x v="0"/>
    <x v="2"/>
    <s v="PLAQUETTES"/>
    <x v="0"/>
    <n v="87"/>
  </r>
  <r>
    <d v="2025-04-21T05:13:27"/>
    <x v="2"/>
    <s v="Plaquettes d'ébauches rhombiques"/>
    <s v="J519914"/>
    <s v="MARLY DAVID"/>
    <n v="10"/>
    <x v="1"/>
    <x v="1"/>
    <s v="PLAQUETTES"/>
    <x v="0"/>
    <n v="70"/>
  </r>
  <r>
    <d v="2025-04-21T05:13:47"/>
    <x v="1"/>
    <s v="Plaquettes d'ébauches carrées"/>
    <s v="J519914"/>
    <s v="MARLY DAVID"/>
    <n v="10"/>
    <x v="1"/>
    <x v="1"/>
    <s v="PLAQUETTES"/>
    <x v="0"/>
    <n v="71.2"/>
  </r>
  <r>
    <d v="2025-04-21T05:14:10"/>
    <x v="2"/>
    <s v="Plaquettes d'ébauches rhombiques"/>
    <s v="J519914"/>
    <s v="MARLY DAVID"/>
    <n v="10"/>
    <x v="1"/>
    <x v="1"/>
    <s v="PLAQUETTES"/>
    <x v="0"/>
    <n v="70"/>
  </r>
  <r>
    <d v="2025-04-21T05:14:48"/>
    <x v="5"/>
    <s v="Plaquettes rondes"/>
    <s v="J519914"/>
    <s v="MARLY DAVID"/>
    <n v="10"/>
    <x v="1"/>
    <x v="0"/>
    <s v="PLAQUETTES"/>
    <x v="0"/>
    <n v="108.5"/>
  </r>
  <r>
    <d v="2025-04-21T15:17:19"/>
    <x v="1"/>
    <s v="Plaquettes d'ébauches carrées"/>
    <s v="VERGE G"/>
    <s v="VERGE GREGORY"/>
    <n v="10"/>
    <x v="3"/>
    <x v="1"/>
    <s v="PLAQUETTES"/>
    <x v="2"/>
    <n v="71.2"/>
  </r>
  <r>
    <d v="2025-04-21T15:17:37"/>
    <x v="2"/>
    <s v="Plaquettes d'ébauches rhombiques"/>
    <s v="VERGE G"/>
    <s v="VERGE GREGORY"/>
    <n v="10"/>
    <x v="3"/>
    <x v="1"/>
    <s v="PLAQUETTES"/>
    <x v="2"/>
    <n v="70"/>
  </r>
  <r>
    <d v="2025-04-21T15:17:51"/>
    <x v="12"/>
    <s v="Plaquettes de gorge"/>
    <s v="VERGE G"/>
    <s v="VERGE GREGORY"/>
    <n v="10"/>
    <x v="3"/>
    <x v="0"/>
    <s v="PLAQUETTES"/>
    <x v="2"/>
    <n v="157"/>
  </r>
  <r>
    <d v="2025-11-09T05:54:11"/>
    <x v="6"/>
    <s v="Plaquettes de finition positives"/>
    <s v="U054304"/>
    <s v="BOUACHIK HICHAM"/>
    <n v="10"/>
    <x v="0"/>
    <x v="2"/>
    <s v="PLAQUETTES"/>
    <x v="0"/>
    <n v="87"/>
  </r>
  <r>
    <d v="2025-11-09T17:27:06"/>
    <x v="6"/>
    <s v="Plaquettes de finition positives"/>
    <s v="U518765"/>
    <s v="ROY ADELINE"/>
    <n v="10"/>
    <x v="0"/>
    <x v="2"/>
    <s v="PLAQUETTES"/>
    <x v="0"/>
    <n v="87"/>
  </r>
  <r>
    <d v="2025-04-21T21:20:13"/>
    <x v="4"/>
    <s v="Plaquettes de finition"/>
    <s v="170325"/>
    <s v="VERDELET BASTIEN"/>
    <n v="5"/>
    <x v="3"/>
    <x v="2"/>
    <s v="PLAQUETTES"/>
    <x v="2"/>
    <n v="47.8"/>
  </r>
  <r>
    <d v="2025-04-21T21:20:32"/>
    <x v="4"/>
    <s v="Plaquettes de finition"/>
    <s v="170325"/>
    <s v="VERDELET BASTIEN"/>
    <n v="5"/>
    <x v="3"/>
    <x v="2"/>
    <s v="PLAQUETTES"/>
    <x v="2"/>
    <n v="47.8"/>
  </r>
  <r>
    <d v="2025-04-21T21:20:51"/>
    <x v="2"/>
    <s v="Plaquettes d'ébauches rhombiques"/>
    <s v="170325"/>
    <s v="VERDELET BASTIEN"/>
    <n v="10"/>
    <x v="2"/>
    <x v="0"/>
    <s v="PLAQUETTES"/>
    <x v="1"/>
    <n v="70"/>
  </r>
  <r>
    <d v="2025-04-21T21:21:10"/>
    <x v="1"/>
    <s v="Plaquettes d'ébauches carrées"/>
    <s v="170325"/>
    <s v="VERDELET BASTIEN"/>
    <n v="10"/>
    <x v="2"/>
    <x v="0"/>
    <s v="PLAQUETTES"/>
    <x v="1"/>
    <n v="71.2"/>
  </r>
  <r>
    <d v="2025-11-10T01:59:39"/>
    <x v="6"/>
    <s v="Plaquettes de finition positives"/>
    <s v="U518765"/>
    <s v="ROY ADELINE"/>
    <n v="10"/>
    <x v="0"/>
    <x v="2"/>
    <s v="PLAQUETTES"/>
    <x v="0"/>
    <n v="87"/>
  </r>
  <r>
    <d v="2025-11-15T23:43:16"/>
    <x v="6"/>
    <s v="Plaquettes de finition positives"/>
    <s v="U054304"/>
    <s v="BOUACHIK HICHAM"/>
    <n v="10"/>
    <x v="0"/>
    <x v="2"/>
    <s v="PLAQUETTES"/>
    <x v="0"/>
    <n v="87"/>
  </r>
  <r>
    <d v="2025-04-21T21:22:16"/>
    <x v="6"/>
    <s v="Plaquettes de finition positives"/>
    <s v="170325"/>
    <s v="VERDELET BASTIEN"/>
    <n v="10"/>
    <x v="1"/>
    <x v="2"/>
    <s v="PLAQUETTES"/>
    <x v="0"/>
    <n v="87"/>
  </r>
  <r>
    <d v="2025-11-15T23:43:31"/>
    <x v="6"/>
    <s v="Plaquettes de finition positives"/>
    <s v="U054304"/>
    <s v="BOUACHIK HICHAM"/>
    <n v="10"/>
    <x v="0"/>
    <x v="2"/>
    <s v="PLAQUETTES"/>
    <x v="0"/>
    <n v="87"/>
  </r>
  <r>
    <d v="2025-04-22T05:03:27"/>
    <x v="4"/>
    <s v="Plaquettes de finition"/>
    <s v="100225"/>
    <s v="PRUNEAU WILLIAM"/>
    <n v="5"/>
    <x v="2"/>
    <x v="2"/>
    <s v="PLAQUETTES"/>
    <x v="1"/>
    <n v="47.8"/>
  </r>
  <r>
    <d v="2025-11-18T23:23:54"/>
    <x v="6"/>
    <s v="Plaquettes de finition positives"/>
    <s v="j519914"/>
    <s v="MARLY DAVID"/>
    <n v="10"/>
    <x v="0"/>
    <x v="2"/>
    <s v="PLAQUETTES"/>
    <x v="0"/>
    <n v="87"/>
  </r>
  <r>
    <d v="2025-04-22T05:36:46"/>
    <x v="2"/>
    <s v="Plaquettes d'ébauches rhombiques"/>
    <s v="J519914"/>
    <s v="MARLY DAVID"/>
    <n v="10"/>
    <x v="1"/>
    <x v="0"/>
    <s v="PLAQUETTES"/>
    <x v="0"/>
    <n v="70"/>
  </r>
  <r>
    <d v="2025-04-22T05:38:13"/>
    <x v="1"/>
    <s v="Plaquettes d'ébauches carrées"/>
    <s v="J519914"/>
    <s v="MARLY DAVID"/>
    <n v="10"/>
    <x v="1"/>
    <x v="0"/>
    <s v="PLAQUETTES"/>
    <x v="0"/>
    <n v="71.2"/>
  </r>
  <r>
    <d v="2025-04-22T06:38:09"/>
    <x v="6"/>
    <s v="Plaquettes de finition positives"/>
    <s v="J519914"/>
    <s v="MARLY DAVID"/>
    <n v="10"/>
    <x v="1"/>
    <x v="2"/>
    <s v="PLAQUETTES"/>
    <x v="0"/>
    <n v="87"/>
  </r>
  <r>
    <d v="2025-04-22T08:14:14"/>
    <x v="9"/>
    <s v="Plaquettes rhombiques"/>
    <s v="100225"/>
    <s v="PRUNEAU WILLIAM"/>
    <n v="5"/>
    <x v="2"/>
    <x v="2"/>
    <s v="PLAQUETTES"/>
    <x v="1"/>
    <n v="44.85"/>
  </r>
  <r>
    <d v="2025-04-22T09:22:05"/>
    <x v="9"/>
    <s v="Plaquettes rhombiques"/>
    <s v="100225"/>
    <s v="PRUNEAU WILLIAM"/>
    <n v="5"/>
    <x v="2"/>
    <x v="2"/>
    <s v="PLAQUETTES"/>
    <x v="1"/>
    <n v="44.85"/>
  </r>
  <r>
    <d v="2025-04-22T13:27:32"/>
    <x v="2"/>
    <s v="Plaquettes d'ébauches rhombiques"/>
    <s v="VERGE G"/>
    <s v="VERGE GREGORY"/>
    <n v="10"/>
    <x v="3"/>
    <x v="1"/>
    <s v="PLAQUETTES"/>
    <x v="2"/>
    <n v="70"/>
  </r>
  <r>
    <d v="2025-04-22T13:27:50"/>
    <x v="2"/>
    <s v="Plaquettes d'ébauches rhombiques"/>
    <s v="VERGE G"/>
    <s v="VERGE GREGORY"/>
    <n v="10"/>
    <x v="3"/>
    <x v="1"/>
    <s v="PLAQUETTES"/>
    <x v="2"/>
    <n v="70"/>
  </r>
  <r>
    <d v="2025-04-22T13:28:16"/>
    <x v="1"/>
    <s v="Plaquettes d'ébauches carrées"/>
    <s v="VERGE G"/>
    <s v="VERGE GREGORY"/>
    <n v="10"/>
    <x v="3"/>
    <x v="1"/>
    <s v="PLAQUETTES"/>
    <x v="3"/>
    <n v="71.2"/>
  </r>
  <r>
    <d v="2025-04-22T13:28:31"/>
    <x v="3"/>
    <s v="Plaquettes rondes"/>
    <s v="VERGE G"/>
    <s v="VERGE GREGORY"/>
    <n v="10"/>
    <x v="2"/>
    <x v="0"/>
    <s v="PLAQUETTES"/>
    <x v="1"/>
    <n v="136.69999999999999"/>
  </r>
  <r>
    <d v="2025-04-22T13:28:47"/>
    <x v="4"/>
    <s v="Plaquettes de finition"/>
    <s v="VERGE G"/>
    <s v="VERGE GREGORY"/>
    <n v="5"/>
    <x v="3"/>
    <x v="2"/>
    <s v="PLAQUETTES"/>
    <x v="2"/>
    <n v="47.8"/>
  </r>
  <r>
    <d v="2025-04-22T13:29:04"/>
    <x v="4"/>
    <s v="Plaquettes de finition"/>
    <s v="VERGE G"/>
    <s v="VERGE GREGORY"/>
    <n v="5"/>
    <x v="2"/>
    <x v="2"/>
    <s v="PLAQUETTES"/>
    <x v="1"/>
    <n v="47.8"/>
  </r>
  <r>
    <d v="2025-04-22T16:55:55"/>
    <x v="5"/>
    <s v="Plaquettes rondes"/>
    <s v="080924"/>
    <s v="DABLEMONT AURELIEN"/>
    <n v="10"/>
    <x v="1"/>
    <x v="0"/>
    <s v="PLAQUETTES"/>
    <x v="0"/>
    <n v="108.5"/>
  </r>
  <r>
    <d v="2025-11-19T13:52:35"/>
    <x v="6"/>
    <s v="Plaquettes de finition positives"/>
    <s v="u134838"/>
    <s v="DANAH STEPHANIE"/>
    <n v="10"/>
    <x v="0"/>
    <x v="2"/>
    <s v="PLAQUETTES"/>
    <x v="0"/>
    <n v="87"/>
  </r>
  <r>
    <d v="2025-04-22T16:56:42"/>
    <x v="1"/>
    <s v="Plaquettes d'ébauches carrées"/>
    <s v="080924"/>
    <s v="DABLEMONT AURELIEN"/>
    <n v="10"/>
    <x v="1"/>
    <x v="1"/>
    <s v="PLAQUETTES"/>
    <x v="0"/>
    <n v="71.2"/>
  </r>
  <r>
    <d v="2025-04-23T05:11:37"/>
    <x v="2"/>
    <s v="Plaquettes d'ébauches rhombiques"/>
    <s v="U080365"/>
    <s v="ALAVOINE SAMUEL"/>
    <n v="10"/>
    <x v="2"/>
    <x v="1"/>
    <s v="PLAQUETTES"/>
    <x v="1"/>
    <n v="70"/>
  </r>
  <r>
    <d v="2025-11-20T15:30:54"/>
    <x v="6"/>
    <s v="Plaquettes de finition positives"/>
    <s v="u134838"/>
    <s v="DANAH STEPHANIE"/>
    <n v="10"/>
    <x v="0"/>
    <x v="2"/>
    <s v="PLAQUETTES"/>
    <x v="0"/>
    <n v="87"/>
  </r>
  <r>
    <d v="2025-04-23T05:30:28"/>
    <x v="6"/>
    <s v="Plaquettes de finition positives"/>
    <s v="J519914"/>
    <s v="MARLY DAVID"/>
    <n v="10"/>
    <x v="1"/>
    <x v="2"/>
    <s v="PLAQUETTES"/>
    <x v="0"/>
    <n v="87"/>
  </r>
  <r>
    <d v="2025-04-23T05:31:05"/>
    <x v="2"/>
    <s v="Plaquettes d'ébauches rhombiques"/>
    <s v="J519914"/>
    <s v="MARLY DAVID"/>
    <n v="10"/>
    <x v="1"/>
    <x v="0"/>
    <s v="PLAQUETTES"/>
    <x v="0"/>
    <n v="70"/>
  </r>
  <r>
    <d v="2025-04-23T05:31:27"/>
    <x v="1"/>
    <s v="Plaquettes d'ébauches carrées"/>
    <s v="J519914"/>
    <s v="MARLY DAVID"/>
    <n v="10"/>
    <x v="1"/>
    <x v="0"/>
    <s v="PLAQUETTES"/>
    <x v="0"/>
    <n v="71.2"/>
  </r>
  <r>
    <d v="2025-04-23T06:42:20"/>
    <x v="8"/>
    <s v="Plaquettes rhombiques"/>
    <s v="U080365"/>
    <s v="ALAVOINE SAMUEL"/>
    <n v="5"/>
    <x v="2"/>
    <x v="2"/>
    <s v="PLAQUETTES"/>
    <x v="1"/>
    <n v="18.399999999999999"/>
  </r>
  <r>
    <d v="2025-04-23T06:42:38"/>
    <x v="10"/>
    <s v="Plaquettes de finition"/>
    <s v="U080365"/>
    <s v="ALAVOINE SAMUEL"/>
    <n v="10"/>
    <x v="3"/>
    <x v="2"/>
    <s v="PLAQUETTES"/>
    <x v="3"/>
    <n v="109.7"/>
  </r>
  <r>
    <d v="2025-04-23T06:43:04"/>
    <x v="7"/>
    <s v="Plaquettes de finition triangulaires"/>
    <s v="U080365"/>
    <s v="ALAVOINE SAMUEL"/>
    <n v="10"/>
    <x v="3"/>
    <x v="2"/>
    <s v="PLAQUETTES"/>
    <x v="3"/>
    <n v="138.80000000000001"/>
  </r>
  <r>
    <d v="2025-04-23T06:43:40"/>
    <x v="7"/>
    <s v="Plaquettes de finition triangulaires"/>
    <s v="U080365"/>
    <s v="ALAVOINE SAMUEL"/>
    <n v="10"/>
    <x v="3"/>
    <x v="2"/>
    <s v="PLAQUETTES"/>
    <x v="3"/>
    <n v="138.80000000000001"/>
  </r>
  <r>
    <d v="2025-04-23T06:44:02"/>
    <x v="6"/>
    <s v="Plaquettes de finition positives"/>
    <s v="U080365"/>
    <s v="ALAVOINE SAMUEL"/>
    <n v="10"/>
    <x v="3"/>
    <x v="2"/>
    <s v="PLAQUETTES"/>
    <x v="3"/>
    <n v="87"/>
  </r>
  <r>
    <d v="2025-04-23T06:44:23"/>
    <x v="2"/>
    <s v="Plaquettes d'ébauches rhombiques"/>
    <s v="U080365"/>
    <s v="ALAVOINE SAMUEL"/>
    <n v="10"/>
    <x v="3"/>
    <x v="1"/>
    <s v="PLAQUETTES"/>
    <x v="3"/>
    <n v="70"/>
  </r>
  <r>
    <d v="2025-04-23T06:45:08"/>
    <x v="5"/>
    <s v="Plaquettes rondes"/>
    <s v="U080365"/>
    <s v="ALAVOINE SAMUEL"/>
    <n v="10"/>
    <x v="3"/>
    <x v="0"/>
    <s v="PLAQUETTES"/>
    <x v="3"/>
    <n v="108.5"/>
  </r>
  <r>
    <d v="2025-04-23T13:26:29"/>
    <x v="2"/>
    <s v="Plaquettes d'ébauches rhombiques"/>
    <s v="VERGE G"/>
    <s v="VERGE GREGORY"/>
    <n v="10"/>
    <x v="3"/>
    <x v="1"/>
    <s v="PLAQUETTES"/>
    <x v="3"/>
    <n v="70"/>
  </r>
  <r>
    <d v="2025-04-23T13:26:43"/>
    <x v="1"/>
    <s v="Plaquettes d'ébauches carrées"/>
    <s v="VERGE G"/>
    <s v="VERGE GREGORY"/>
    <n v="10"/>
    <x v="3"/>
    <x v="1"/>
    <s v="PLAQUETTES"/>
    <x v="3"/>
    <n v="71.2"/>
  </r>
  <r>
    <d v="2025-11-24T23:18:49"/>
    <x v="6"/>
    <s v="Plaquettes de finition positives"/>
    <s v="j519914"/>
    <s v="MARLY DAVID"/>
    <n v="10"/>
    <x v="0"/>
    <x v="2"/>
    <s v="PLAQUETTES"/>
    <x v="0"/>
    <n v="87"/>
  </r>
  <r>
    <d v="2025-11-24T23:19:14"/>
    <x v="6"/>
    <s v="Plaquettes de finition positives"/>
    <s v="j519914"/>
    <s v="MARLY DAVID"/>
    <n v="10"/>
    <x v="0"/>
    <x v="2"/>
    <s v="PLAQUETTES"/>
    <x v="0"/>
    <n v="87"/>
  </r>
  <r>
    <d v="2025-04-23T14:34:59"/>
    <x v="2"/>
    <s v="Plaquettes d'ébauches rhombiques"/>
    <s v="080924"/>
    <s v="DABLEMONT AURELIEN"/>
    <n v="10"/>
    <x v="1"/>
    <x v="1"/>
    <s v="PLAQUETTES"/>
    <x v="0"/>
    <n v="70"/>
  </r>
  <r>
    <d v="2025-04-23T22:01:06"/>
    <x v="4"/>
    <s v="Plaquettes de finition"/>
    <s v="u134838"/>
    <s v="DANAH STEPHANIE"/>
    <n v="5"/>
    <x v="2"/>
    <x v="2"/>
    <s v="PLAQUETTES"/>
    <x v="1"/>
    <n v="47.8"/>
  </r>
  <r>
    <d v="2025-04-23T22:01:32"/>
    <x v="6"/>
    <s v="Plaquettes de finition positives"/>
    <s v="u134838"/>
    <s v="DANAH STEPHANIE"/>
    <n v="10"/>
    <x v="3"/>
    <x v="2"/>
    <s v="PLAQUETTES"/>
    <x v="3"/>
    <n v="87"/>
  </r>
  <r>
    <d v="2025-11-25T23:43:15"/>
    <x v="6"/>
    <s v="Plaquettes de finition positives"/>
    <s v="j519914"/>
    <s v="MARLY DAVID"/>
    <n v="10"/>
    <x v="0"/>
    <x v="2"/>
    <s v="PLAQUETTES"/>
    <x v="0"/>
    <n v="87"/>
  </r>
  <r>
    <d v="2025-04-24T05:42:05"/>
    <x v="6"/>
    <s v="Plaquettes de finition positives"/>
    <s v="J519914"/>
    <s v="MARLY DAVID"/>
    <n v="10"/>
    <x v="1"/>
    <x v="2"/>
    <s v="PLAQUETTES"/>
    <x v="0"/>
    <n v="87"/>
  </r>
  <r>
    <d v="2025-11-25T23:44:37"/>
    <x v="6"/>
    <s v="Plaquettes de finition positives"/>
    <s v="j519914"/>
    <s v="MARLY DAVID"/>
    <n v="10"/>
    <x v="0"/>
    <x v="2"/>
    <s v="PLAQUETTES"/>
    <x v="0"/>
    <n v="87"/>
  </r>
  <r>
    <d v="2025-11-27T21:19:48"/>
    <x v="6"/>
    <s v="Plaquettes de finition positives"/>
    <s v="j519914"/>
    <s v="MARLY DAVID"/>
    <n v="10"/>
    <x v="0"/>
    <x v="2"/>
    <s v="PLAQUETTES"/>
    <x v="0"/>
    <n v="87"/>
  </r>
  <r>
    <d v="2025-12-01T05:10:18"/>
    <x v="6"/>
    <s v="Plaquettes de finition positives"/>
    <s v="sd13196"/>
    <s v="FRADIN MAXIME"/>
    <n v="10"/>
    <x v="0"/>
    <x v="2"/>
    <s v="PLAQUETTES"/>
    <x v="0"/>
    <n v="87"/>
  </r>
  <r>
    <d v="2025-12-04T10:14:34"/>
    <x v="6"/>
    <s v="Plaquettes de finition positives"/>
    <s v="u462308"/>
    <s v="MAITRE SEBASTIEN"/>
    <n v="10"/>
    <x v="0"/>
    <x v="2"/>
    <s v="PLAQUETTES"/>
    <x v="0"/>
    <n v="87"/>
  </r>
  <r>
    <d v="2025-04-24T13:46:45"/>
    <x v="4"/>
    <s v="Plaquettes de finition"/>
    <s v="VERGE G"/>
    <s v="VERGE GREGORY"/>
    <n v="5"/>
    <x v="2"/>
    <x v="2"/>
    <s v="PLAQUETTES"/>
    <x v="1"/>
    <n v="47.8"/>
  </r>
  <r>
    <d v="2025-04-24T13:47:04"/>
    <x v="6"/>
    <s v="Plaquettes de finition positives"/>
    <s v="VERGE G"/>
    <s v="VERGE GREGORY"/>
    <n v="10"/>
    <x v="3"/>
    <x v="2"/>
    <s v="PLAQUETTES"/>
    <x v="3"/>
    <n v="87"/>
  </r>
  <r>
    <d v="2025-04-24T13:47:20"/>
    <x v="2"/>
    <s v="Plaquettes d'ébauches rhombiques"/>
    <s v="VERGE G"/>
    <s v="VERGE GREGORY"/>
    <n v="10"/>
    <x v="3"/>
    <x v="1"/>
    <s v="PLAQUETTES"/>
    <x v="3"/>
    <n v="70"/>
  </r>
  <r>
    <d v="2025-04-24T13:47:36"/>
    <x v="1"/>
    <s v="Plaquettes d'ébauches carrées"/>
    <s v="VERGE G"/>
    <s v="VERGE GREGORY"/>
    <n v="10"/>
    <x v="3"/>
    <x v="1"/>
    <s v="PLAQUETTES"/>
    <x v="0"/>
    <n v="71.2"/>
  </r>
  <r>
    <d v="2025-04-24T13:47:54"/>
    <x v="4"/>
    <s v="Plaquettes de finition"/>
    <s v="VERGE G"/>
    <s v="VERGE GREGORY"/>
    <n v="5"/>
    <x v="3"/>
    <x v="2"/>
    <s v="PLAQUETTES"/>
    <x v="5"/>
    <n v="47.8"/>
  </r>
  <r>
    <d v="2025-04-24T22:02:15"/>
    <x v="9"/>
    <s v="Plaquettes rhombiques"/>
    <s v="u134838"/>
    <s v="DANAH STEPHANIE"/>
    <n v="5"/>
    <x v="2"/>
    <x v="2"/>
    <s v="PLAQUETTES"/>
    <x v="1"/>
    <n v="44.85"/>
  </r>
  <r>
    <d v="2025-04-24T22:02:35"/>
    <x v="8"/>
    <s v="Plaquettes rhombiques"/>
    <s v="u134838"/>
    <s v="DANAH STEPHANIE"/>
    <n v="5"/>
    <x v="2"/>
    <x v="2"/>
    <s v="PLAQUETTES"/>
    <x v="1"/>
    <n v="18.399999999999999"/>
  </r>
  <r>
    <d v="2025-04-24T22:02:59"/>
    <x v="3"/>
    <s v="Plaquettes rondes"/>
    <s v="u134838"/>
    <s v="DANAH STEPHANIE"/>
    <n v="10"/>
    <x v="2"/>
    <x v="0"/>
    <s v="PLAQUETTES"/>
    <x v="1"/>
    <n v="136.69999999999999"/>
  </r>
  <r>
    <d v="2025-04-24T22:03:23"/>
    <x v="5"/>
    <s v="Plaquettes rondes"/>
    <s v="u134838"/>
    <s v="DANAH STEPHANIE"/>
    <n v="10"/>
    <x v="3"/>
    <x v="0"/>
    <s v="PLAQUETTES"/>
    <x v="3"/>
    <n v="108.5"/>
  </r>
  <r>
    <d v="2025-12-05T08:47:50"/>
    <x v="6"/>
    <s v="Plaquettes de finition positives"/>
    <s v="j534699"/>
    <s v="CHARTON FABIAN"/>
    <n v="10"/>
    <x v="0"/>
    <x v="2"/>
    <s v="PLAQUETTES"/>
    <x v="0"/>
    <n v="87"/>
  </r>
  <r>
    <d v="2025-12-05T13:45:58"/>
    <x v="6"/>
    <s v="Plaquettes de finition positives"/>
    <s v="u134838"/>
    <s v="DANAH STEPHANIE"/>
    <n v="10"/>
    <x v="0"/>
    <x v="2"/>
    <s v="PLAQUETTES"/>
    <x v="0"/>
    <n v="87"/>
  </r>
  <r>
    <d v="2025-04-25T07:23:32"/>
    <x v="6"/>
    <s v="Plaquettes de finition positives"/>
    <s v="U080365"/>
    <s v="ALAVOINE SAMUEL"/>
    <n v="10"/>
    <x v="3"/>
    <x v="2"/>
    <s v="PLAQUETTES"/>
    <x v="3"/>
    <n v="87"/>
  </r>
  <r>
    <d v="2025-04-25T07:23:49"/>
    <x v="2"/>
    <s v="Plaquettes d'ébauches rhombiques"/>
    <s v="U080365"/>
    <s v="ALAVOINE SAMUEL"/>
    <n v="10"/>
    <x v="3"/>
    <x v="1"/>
    <s v="PLAQUETTES"/>
    <x v="3"/>
    <n v="70"/>
  </r>
  <r>
    <d v="2025-12-06T00:41:37"/>
    <x v="6"/>
    <s v="Plaquettes de finition positives"/>
    <s v="j519914"/>
    <s v="MARLY DAVID"/>
    <n v="10"/>
    <x v="0"/>
    <x v="2"/>
    <s v="PLAQUETTES"/>
    <x v="0"/>
    <n v="87"/>
  </r>
  <r>
    <d v="2025-04-25T13:14:50"/>
    <x v="1"/>
    <s v="Plaquettes d'ébauches carrées"/>
    <s v="080924"/>
    <s v="DABLEMONT AURELIEN"/>
    <n v="10"/>
    <x v="1"/>
    <x v="0"/>
    <s v="PLAQUETTES"/>
    <x v="0"/>
    <n v="71.2"/>
  </r>
  <r>
    <d v="2025-04-25T13:15:08"/>
    <x v="6"/>
    <s v="Plaquettes de finition positives"/>
    <s v="080924"/>
    <s v="DABLEMONT AURELIEN"/>
    <n v="10"/>
    <x v="1"/>
    <x v="2"/>
    <s v="PLAQUETTES"/>
    <x v="0"/>
    <n v="87"/>
  </r>
  <r>
    <d v="2025-04-25T16:04:32"/>
    <x v="2"/>
    <s v="Plaquettes d'ébauches rhombiques"/>
    <s v="VERGE G"/>
    <s v="VERGE GREGORY"/>
    <n v="10"/>
    <x v="2"/>
    <x v="1"/>
    <s v="PLAQUETTES"/>
    <x v="1"/>
    <n v="70"/>
  </r>
  <r>
    <d v="2025-04-25T16:04:56"/>
    <x v="6"/>
    <s v="Plaquettes de finition positives"/>
    <s v="VERGE G"/>
    <s v="VERGE GREGORY"/>
    <n v="10"/>
    <x v="3"/>
    <x v="2"/>
    <s v="PLAQUETTES"/>
    <x v="3"/>
    <n v="87"/>
  </r>
  <r>
    <d v="2025-04-25T16:05:15"/>
    <x v="4"/>
    <s v="Plaquettes de finition"/>
    <s v="VERGE G"/>
    <s v="VERGE GREGORY"/>
    <n v="5"/>
    <x v="2"/>
    <x v="2"/>
    <s v="PLAQUETTES"/>
    <x v="1"/>
    <n v="47.8"/>
  </r>
  <r>
    <d v="2025-12-06T06:32:02"/>
    <x v="6"/>
    <s v="Plaquettes de finition positives"/>
    <s v="U054304"/>
    <s v="BOUACHIK HICHAM"/>
    <n v="10"/>
    <x v="0"/>
    <x v="2"/>
    <s v="PLAQUETTES"/>
    <x v="0"/>
    <n v="87"/>
  </r>
  <r>
    <d v="2025-12-08T10:13:52"/>
    <x v="6"/>
    <s v="Plaquettes de finition positives"/>
    <s v="04522ACAA77080"/>
    <s v="VILLALOBOS ANTHONY"/>
    <n v="10"/>
    <x v="0"/>
    <x v="2"/>
    <s v="PLAQUETTES"/>
    <x v="0"/>
    <n v="87"/>
  </r>
  <r>
    <d v="2025-12-08T10:14:09"/>
    <x v="6"/>
    <s v="Plaquettes de finition positives"/>
    <s v="04522ACAA77080"/>
    <s v="VILLALOBOS ANTHONY"/>
    <n v="10"/>
    <x v="0"/>
    <x v="2"/>
    <s v="PLAQUETTES"/>
    <x v="0"/>
    <n v="87"/>
  </r>
  <r>
    <d v="2025-04-25T19:08:56"/>
    <x v="2"/>
    <s v="Plaquettes d'ébauches rhombiques"/>
    <s v="080924"/>
    <s v="DABLEMONT AURELIEN"/>
    <n v="10"/>
    <x v="1"/>
    <x v="1"/>
    <s v="PLAQUETTES"/>
    <x v="0"/>
    <n v="70"/>
  </r>
  <r>
    <d v="2025-04-25T21:21:29"/>
    <x v="4"/>
    <s v="Plaquettes de finition"/>
    <s v="u134838"/>
    <s v="DANAH STEPHANIE"/>
    <n v="5"/>
    <x v="2"/>
    <x v="2"/>
    <s v="PLAQUETTES"/>
    <x v="1"/>
    <n v="47.8"/>
  </r>
  <r>
    <d v="2025-04-25T21:21:51"/>
    <x v="6"/>
    <s v="Plaquettes de finition positives"/>
    <s v="u134838"/>
    <s v="DANAH STEPHANIE"/>
    <n v="10"/>
    <x v="3"/>
    <x v="2"/>
    <s v="PLAQUETTES"/>
    <x v="3"/>
    <n v="87"/>
  </r>
  <r>
    <d v="2025-04-25T21:22:17"/>
    <x v="2"/>
    <s v="Plaquettes d'ébauches rhombiques"/>
    <s v="u134838"/>
    <s v="DANAH STEPHANIE"/>
    <n v="10"/>
    <x v="2"/>
    <x v="0"/>
    <s v="PLAQUETTES"/>
    <x v="1"/>
    <n v="70"/>
  </r>
  <r>
    <d v="2025-04-25T21:22:40"/>
    <x v="1"/>
    <s v="Plaquettes d'ébauches carrées"/>
    <s v="u134838"/>
    <s v="DANAH STEPHANIE"/>
    <n v="10"/>
    <x v="2"/>
    <x v="0"/>
    <s v="PLAQUETTES"/>
    <x v="1"/>
    <n v="71.2"/>
  </r>
  <r>
    <d v="2025-12-08T23:35:46"/>
    <x v="6"/>
    <s v="Plaquettes de finition positives"/>
    <s v="j519914"/>
    <s v="MARLY DAVID"/>
    <n v="10"/>
    <x v="0"/>
    <x v="2"/>
    <s v="PLAQUETTES"/>
    <x v="0"/>
    <n v="87"/>
  </r>
  <r>
    <d v="2025-04-26T06:46:59"/>
    <x v="6"/>
    <s v="Plaquettes de finition positives"/>
    <s v="U054304"/>
    <s v="BOUACHIK HICHAM"/>
    <n v="10"/>
    <x v="1"/>
    <x v="2"/>
    <s v="PLAQUETTES"/>
    <x v="0"/>
    <n v="87"/>
  </r>
  <r>
    <d v="2025-12-09T11:16:23"/>
    <x v="6"/>
    <s v="Plaquettes de finition positives"/>
    <s v="04522ACAA77080"/>
    <s v="VILLALOBOS ANTHONY"/>
    <n v="10"/>
    <x v="0"/>
    <x v="2"/>
    <s v="PLAQUETTES"/>
    <x v="0"/>
    <n v="87"/>
  </r>
  <r>
    <d v="2025-12-09T11:16:41"/>
    <x v="6"/>
    <s v="Plaquettes de finition positives"/>
    <s v="04522ACAA77080"/>
    <s v="VILLALOBOS ANTHONY"/>
    <n v="10"/>
    <x v="0"/>
    <x v="2"/>
    <s v="PLAQUETTES"/>
    <x v="0"/>
    <n v="87"/>
  </r>
  <r>
    <d v="2025-04-26T12:13:14"/>
    <x v="4"/>
    <s v="Plaquettes de finition"/>
    <s v="U198152"/>
    <s v="AJMIK MUSTAPHA"/>
    <n v="5"/>
    <x v="2"/>
    <x v="2"/>
    <s v="PLAQUETTES"/>
    <x v="1"/>
    <n v="47.8"/>
  </r>
  <r>
    <d v="2025-04-26T12:13:26"/>
    <x v="8"/>
    <s v="Plaquettes rhombiques"/>
    <s v="U198152"/>
    <s v="AJMIK MUSTAPHA"/>
    <n v="5"/>
    <x v="2"/>
    <x v="2"/>
    <s v="PLAQUETTES"/>
    <x v="1"/>
    <n v="18.399999999999999"/>
  </r>
  <r>
    <d v="2025-04-26T12:13:49"/>
    <x v="10"/>
    <s v="Plaquettes de finition"/>
    <s v="U198152"/>
    <s v="AJMIK MUSTAPHA"/>
    <n v="10"/>
    <x v="3"/>
    <x v="2"/>
    <s v="PLAQUETTES"/>
    <x v="3"/>
    <n v="109.7"/>
  </r>
  <r>
    <d v="2025-04-26T12:14:04"/>
    <x v="2"/>
    <s v="Plaquettes d'ébauches rhombiques"/>
    <s v="U198152"/>
    <s v="AJMIK MUSTAPHA"/>
    <n v="10"/>
    <x v="3"/>
    <x v="0"/>
    <s v="PLAQUETTES"/>
    <x v="3"/>
    <n v="70"/>
  </r>
  <r>
    <d v="2025-04-26T12:14:25"/>
    <x v="6"/>
    <s v="Plaquettes de finition positives"/>
    <s v="U198152"/>
    <s v="AJMIK MUSTAPHA"/>
    <n v="10"/>
    <x v="3"/>
    <x v="2"/>
    <s v="PLAQUETTES"/>
    <x v="3"/>
    <n v="87"/>
  </r>
  <r>
    <d v="2025-12-09T21:20:15"/>
    <x v="6"/>
    <s v="Plaquettes de finition positives"/>
    <s v="j529800"/>
    <s v="MONTCHARMONT BAPTISTE"/>
    <n v="10"/>
    <x v="0"/>
    <x v="2"/>
    <s v="PLAQUETTES"/>
    <x v="0"/>
    <n v="87"/>
  </r>
  <r>
    <d v="2025-04-26T20:49:09"/>
    <x v="2"/>
    <s v="Plaquettes d'ébauches rhombiques"/>
    <s v="U518765"/>
    <s v="ROY ADELINE"/>
    <n v="10"/>
    <x v="1"/>
    <x v="0"/>
    <s v="PLAQUETTES"/>
    <x v="0"/>
    <n v="70"/>
  </r>
  <r>
    <d v="2025-04-26T20:49:36"/>
    <x v="6"/>
    <s v="Plaquettes de finition positives"/>
    <s v="U518765"/>
    <s v="ROY ADELINE"/>
    <n v="10"/>
    <x v="1"/>
    <x v="2"/>
    <s v="PLAQUETTES"/>
    <x v="0"/>
    <n v="87"/>
  </r>
  <r>
    <d v="2025-04-27T04:23:18"/>
    <x v="5"/>
    <s v="Plaquettes rondes"/>
    <s v="u534565"/>
    <s v="HOAREAU MARIUS"/>
    <n v="10"/>
    <x v="3"/>
    <x v="0"/>
    <s v="PLAQUETTES"/>
    <x v="0"/>
    <n v="108.5"/>
  </r>
  <r>
    <d v="2025-04-27T04:24:02"/>
    <x v="3"/>
    <s v="Plaquettes rondes"/>
    <s v="u534565"/>
    <s v="HOAREAU MARIUS"/>
    <n v="10"/>
    <x v="2"/>
    <x v="0"/>
    <s v="PLAQUETTES"/>
    <x v="1"/>
    <n v="136.69999999999999"/>
  </r>
  <r>
    <d v="2025-04-27T06:26:04"/>
    <x v="6"/>
    <s v="Plaquettes de finition positives"/>
    <s v="U198152"/>
    <s v="AJMIK MUSTAPHA"/>
    <n v="10"/>
    <x v="3"/>
    <x v="2"/>
    <s v="PLAQUETTES"/>
    <x v="3"/>
    <n v="87"/>
  </r>
  <r>
    <d v="2025-04-27T06:26:21"/>
    <x v="7"/>
    <s v="Plaquettes de finition triangulaires"/>
    <s v="U198152"/>
    <s v="AJMIK MUSTAPHA"/>
    <n v="10"/>
    <x v="3"/>
    <x v="2"/>
    <s v="PLAQUETTES"/>
    <x v="3"/>
    <n v="138.80000000000001"/>
  </r>
  <r>
    <d v="2025-04-27T06:26:38"/>
    <x v="10"/>
    <s v="Plaquettes de finition"/>
    <s v="U198152"/>
    <s v="AJMIK MUSTAPHA"/>
    <n v="10"/>
    <x v="3"/>
    <x v="2"/>
    <s v="PLAQUETTES"/>
    <x v="3"/>
    <n v="109.7"/>
  </r>
  <r>
    <d v="2025-04-27T06:26:57"/>
    <x v="6"/>
    <s v="Plaquettes de finition positives"/>
    <s v="U198152"/>
    <s v="AJMIK MUSTAPHA"/>
    <n v="10"/>
    <x v="3"/>
    <x v="2"/>
    <s v="PLAQUETTES"/>
    <x v="3"/>
    <n v="87"/>
  </r>
  <r>
    <d v="2025-12-10T05:29:46"/>
    <x v="6"/>
    <s v="Plaquettes de finition positives"/>
    <s v="04522ACAA77080"/>
    <s v="VILLALOBOS ANTHONY"/>
    <n v="10"/>
    <x v="0"/>
    <x v="2"/>
    <s v="PLAQUETTES"/>
    <x v="0"/>
    <n v="87"/>
  </r>
  <r>
    <d v="2025-12-10T05:30:22"/>
    <x v="6"/>
    <s v="Plaquettes de finition positives"/>
    <s v="04522ACAA77080"/>
    <s v="VILLALOBOS ANTHONY"/>
    <n v="10"/>
    <x v="0"/>
    <x v="2"/>
    <s v="PLAQUETTES"/>
    <x v="0"/>
    <n v="87"/>
  </r>
  <r>
    <d v="2025-04-27T18:22:03"/>
    <x v="6"/>
    <s v="Plaquettes de finition positives"/>
    <s v="J519914"/>
    <s v="MARLY DAVID"/>
    <n v="10"/>
    <x v="1"/>
    <x v="2"/>
    <s v="PLAQUETTES"/>
    <x v="0"/>
    <n v="87"/>
  </r>
  <r>
    <d v="2025-12-11T05:25:53"/>
    <x v="6"/>
    <s v="Plaquettes de finition positives"/>
    <s v="u134838"/>
    <s v="DANAH STEPHANIE"/>
    <n v="10"/>
    <x v="0"/>
    <x v="2"/>
    <s v="PLAQUETTES"/>
    <x v="0"/>
    <n v="87"/>
  </r>
  <r>
    <d v="2025-04-27T18:23:07"/>
    <x v="2"/>
    <s v="Plaquettes d'ébauches rhombiques"/>
    <s v="J519914"/>
    <s v="MARLY DAVID"/>
    <n v="10"/>
    <x v="1"/>
    <x v="0"/>
    <s v="PLAQUETTES"/>
    <x v="0"/>
    <n v="70"/>
  </r>
  <r>
    <d v="2025-04-27T18:23:40"/>
    <x v="5"/>
    <s v="Plaquettes rondes"/>
    <s v="J519914"/>
    <s v="MARLY DAVID"/>
    <n v="10"/>
    <x v="1"/>
    <x v="0"/>
    <s v="PLAQUETTES"/>
    <x v="0"/>
    <n v="108.5"/>
  </r>
  <r>
    <d v="2025-12-11T23:44:16"/>
    <x v="6"/>
    <s v="Plaquettes de finition positives"/>
    <s v="j519914"/>
    <s v="MARLY DAVID"/>
    <n v="10"/>
    <x v="0"/>
    <x v="2"/>
    <s v="PLAQUETTES"/>
    <x v="0"/>
    <n v="87"/>
  </r>
  <r>
    <d v="2025-04-27T18:55:25"/>
    <x v="10"/>
    <s v="Plaquettes de finition"/>
    <s v="J519914"/>
    <s v="MARLY DAVID"/>
    <n v="10"/>
    <x v="1"/>
    <x v="2"/>
    <s v="PLAQUETTES"/>
    <x v="0"/>
    <n v="109.7"/>
  </r>
  <r>
    <d v="2025-04-27T18:55:50"/>
    <x v="7"/>
    <s v="Plaquettes de finition triangulaires"/>
    <s v="J519914"/>
    <s v="MARLY DAVID"/>
    <n v="10"/>
    <x v="1"/>
    <x v="2"/>
    <s v="PLAQUETTES"/>
    <x v="0"/>
    <n v="138.80000000000001"/>
  </r>
  <r>
    <d v="2025-12-15T21:51:15"/>
    <x v="6"/>
    <s v="Plaquettes de finition positives"/>
    <s v="j519914"/>
    <s v="MARLY DAVID"/>
    <n v="10"/>
    <x v="0"/>
    <x v="2"/>
    <s v="PLAQUETTES"/>
    <x v="0"/>
    <n v="87"/>
  </r>
  <r>
    <d v="2025-04-28T07:21:51"/>
    <x v="2"/>
    <s v="Plaquettes d'ébauches rhombiques"/>
    <s v="080924"/>
    <s v="DABLEMONT AURELIEN"/>
    <n v="10"/>
    <x v="1"/>
    <x v="1"/>
    <s v="PLAQUETTES"/>
    <x v="0"/>
    <n v="70"/>
  </r>
  <r>
    <d v="2025-04-28T07:22:10"/>
    <x v="1"/>
    <s v="Plaquettes d'ébauches carrées"/>
    <s v="080924"/>
    <s v="DABLEMONT AURELIEN"/>
    <n v="10"/>
    <x v="1"/>
    <x v="0"/>
    <s v="PLAQUETTES"/>
    <x v="0"/>
    <n v="71.2"/>
  </r>
  <r>
    <d v="2025-04-28T07:22:32"/>
    <x v="6"/>
    <s v="Plaquettes de finition positives"/>
    <s v="080924"/>
    <s v="DABLEMONT AURELIEN"/>
    <n v="10"/>
    <x v="1"/>
    <x v="2"/>
    <s v="PLAQUETTES"/>
    <x v="0"/>
    <n v="87"/>
  </r>
  <r>
    <d v="2025-04-28T08:00:25"/>
    <x v="4"/>
    <s v="Plaquettes de finition"/>
    <s v="VERGE G"/>
    <s v="VERGE GREGORY"/>
    <n v="5"/>
    <x v="2"/>
    <x v="2"/>
    <s v="PLAQUETTES"/>
    <x v="1"/>
    <n v="47.8"/>
  </r>
  <r>
    <d v="2025-04-28T08:00:39"/>
    <x v="6"/>
    <s v="Plaquettes de finition positives"/>
    <s v="VERGE G"/>
    <s v="VERGE GREGORY"/>
    <n v="10"/>
    <x v="3"/>
    <x v="2"/>
    <s v="PLAQUETTES"/>
    <x v="0"/>
    <n v="87"/>
  </r>
  <r>
    <d v="2025-04-28T09:55:29"/>
    <x v="12"/>
    <s v="Plaquettes de gorge"/>
    <s v="020824"/>
    <s v="DA SILVA RENAUD"/>
    <n v="10"/>
    <x v="1"/>
    <x v="0"/>
    <s v="PLAQUETTES"/>
    <x v="4"/>
    <n v="157"/>
  </r>
  <r>
    <d v="2025-04-28T13:36:53"/>
    <x v="11"/>
    <s v="Plaquettes de finition triangulaires"/>
    <s v="u134838"/>
    <s v="DANAH STEPHANIE"/>
    <n v="10"/>
    <x v="2"/>
    <x v="2"/>
    <s v="PLAQUETTES"/>
    <x v="1"/>
    <n v="118.7"/>
  </r>
  <r>
    <d v="2025-04-28T13:37:32"/>
    <x v="8"/>
    <s v="Plaquettes rhombiques"/>
    <s v="u134838"/>
    <s v="DANAH STEPHANIE"/>
    <n v="5"/>
    <x v="2"/>
    <x v="2"/>
    <s v="PLAQUETTES"/>
    <x v="1"/>
    <n v="18.399999999999999"/>
  </r>
  <r>
    <d v="2025-04-28T13:37:55"/>
    <x v="9"/>
    <s v="Plaquettes rhombiques"/>
    <s v="u134838"/>
    <s v="DANAH STEPHANIE"/>
    <n v="5"/>
    <x v="2"/>
    <x v="2"/>
    <s v="PLAQUETTES"/>
    <x v="1"/>
    <n v="44.85"/>
  </r>
  <r>
    <d v="2025-12-15T21:51:41"/>
    <x v="6"/>
    <s v="Plaquettes de finition positives"/>
    <s v="j519914"/>
    <s v="MARLY DAVID"/>
    <n v="10"/>
    <x v="0"/>
    <x v="2"/>
    <s v="PLAQUETTES"/>
    <x v="0"/>
    <n v="87"/>
  </r>
  <r>
    <d v="2025-04-28T21:09:11"/>
    <x v="6"/>
    <s v="Plaquettes de finition positives"/>
    <s v="J519914"/>
    <s v="MARLY DAVID"/>
    <n v="10"/>
    <x v="1"/>
    <x v="2"/>
    <s v="PLAQUETTES"/>
    <x v="0"/>
    <n v="87"/>
  </r>
  <r>
    <d v="2025-04-28T21:09:47"/>
    <x v="2"/>
    <s v="Plaquettes d'ébauches rhombiques"/>
    <s v="J519914"/>
    <s v="MARLY DAVID"/>
    <n v="10"/>
    <x v="1"/>
    <x v="0"/>
    <s v="PLAQUETTES"/>
    <x v="0"/>
    <n v="70"/>
  </r>
  <r>
    <d v="2025-04-28T21:11:09"/>
    <x v="1"/>
    <s v="Plaquettes d'ébauches carrées"/>
    <s v="J519914"/>
    <s v="MARLY DAVID"/>
    <n v="10"/>
    <x v="1"/>
    <x v="0"/>
    <s v="PLAQUETTES"/>
    <x v="0"/>
    <n v="71.2"/>
  </r>
  <r>
    <d v="2025-12-16T13:07:12"/>
    <x v="6"/>
    <s v="Plaquettes de finition positives"/>
    <s v="u134838"/>
    <s v="DANAH STEPHANIE"/>
    <n v="10"/>
    <x v="0"/>
    <x v="2"/>
    <s v="PLAQUETTES"/>
    <x v="0"/>
    <n v="87"/>
  </r>
  <r>
    <d v="2025-04-29T06:15:10"/>
    <x v="2"/>
    <s v="Plaquettes d'ébauches rhombiques"/>
    <s v="VERGE G"/>
    <s v="VERGE GREGORY"/>
    <n v="10"/>
    <x v="2"/>
    <x v="1"/>
    <s v="PLAQUETTES"/>
    <x v="1"/>
    <n v="70"/>
  </r>
  <r>
    <d v="2025-04-29T06:15:26"/>
    <x v="2"/>
    <s v="Plaquettes d'ébauches rhombiques"/>
    <s v="VERGE G"/>
    <s v="VERGE GREGORY"/>
    <n v="10"/>
    <x v="2"/>
    <x v="1"/>
    <s v="PLAQUETTES"/>
    <x v="1"/>
    <n v="70"/>
  </r>
  <r>
    <d v="2025-04-29T06:15:36"/>
    <x v="9"/>
    <s v="Plaquettes rhombiques"/>
    <s v="VERGE G"/>
    <s v="VERGE GREGORY"/>
    <n v="5"/>
    <x v="2"/>
    <x v="2"/>
    <s v="PLAQUETTES"/>
    <x v="1"/>
    <n v="44.85"/>
  </r>
  <r>
    <d v="2025-04-29T06:16:02"/>
    <x v="4"/>
    <s v="Plaquettes de finition"/>
    <s v="VERGE G"/>
    <s v="VERGE GREGORY"/>
    <n v="5"/>
    <x v="2"/>
    <x v="2"/>
    <s v="PLAQUETTES"/>
    <x v="1"/>
    <n v="47.8"/>
  </r>
  <r>
    <d v="2025-04-29T06:16:22"/>
    <x v="6"/>
    <s v="Plaquettes de finition positives"/>
    <s v="VERGE G"/>
    <s v="VERGE GREGORY"/>
    <n v="10"/>
    <x v="3"/>
    <x v="2"/>
    <s v="PLAQUETTES"/>
    <x v="0"/>
    <n v="87"/>
  </r>
  <r>
    <d v="2025-04-29T06:58:07"/>
    <x v="2"/>
    <s v="Plaquettes d'ébauches rhombiques"/>
    <s v="080924"/>
    <s v="DABLEMONT AURELIEN"/>
    <n v="10"/>
    <x v="1"/>
    <x v="1"/>
    <s v="PLAQUETTES"/>
    <x v="0"/>
    <n v="70"/>
  </r>
  <r>
    <d v="2025-12-16T21:10:16"/>
    <x v="6"/>
    <s v="Plaquettes de finition positives"/>
    <s v="j529800"/>
    <s v="MONTCHARMONT BAPTISTE"/>
    <n v="10"/>
    <x v="0"/>
    <x v="2"/>
    <s v="PLAQUETTES"/>
    <x v="0"/>
    <n v="87"/>
  </r>
  <r>
    <d v="2025-12-19T16:05:24"/>
    <x v="6"/>
    <s v="Plaquettes de finition positives"/>
    <s v="04522ACAA77080"/>
    <s v="VILLALOBOS ANTHONY"/>
    <n v="10"/>
    <x v="0"/>
    <x v="2"/>
    <s v="PLAQUETTES"/>
    <x v="0"/>
    <n v="87"/>
  </r>
  <r>
    <d v="2025-04-29T13:26:56"/>
    <x v="4"/>
    <s v="Plaquettes de finition"/>
    <s v="u134838"/>
    <s v="DANAH STEPHANIE"/>
    <n v="5"/>
    <x v="2"/>
    <x v="2"/>
    <s v="PLAQUETTES"/>
    <x v="1"/>
    <n v="47.8"/>
  </r>
  <r>
    <d v="2025-04-29T13:27:16"/>
    <x v="6"/>
    <s v="Plaquettes de finition positives"/>
    <s v="u134838"/>
    <s v="DANAH STEPHANIE"/>
    <n v="10"/>
    <x v="3"/>
    <x v="2"/>
    <s v="PLAQUETTES"/>
    <x v="0"/>
    <n v="87"/>
  </r>
  <r>
    <d v="2025-04-29T13:27:53"/>
    <x v="2"/>
    <s v="Plaquettes d'ébauches rhombiques"/>
    <s v="u134838"/>
    <s v="DANAH STEPHANIE"/>
    <n v="10"/>
    <x v="3"/>
    <x v="0"/>
    <s v="PLAQUETTES"/>
    <x v="0"/>
    <n v="70"/>
  </r>
  <r>
    <d v="2025-04-29T13:28:40"/>
    <x v="1"/>
    <s v="Plaquettes d'ébauches carrées"/>
    <s v="u134838"/>
    <s v="DANAH STEPHANIE"/>
    <n v="10"/>
    <x v="2"/>
    <x v="0"/>
    <s v="PLAQUETTES"/>
    <x v="1"/>
    <n v="71.2"/>
  </r>
  <r>
    <d v="2025-12-19T16:05:39"/>
    <x v="6"/>
    <s v="Plaquettes de finition positives"/>
    <s v="04522ACAA77080"/>
    <s v="VILLALOBOS ANTHONY"/>
    <n v="10"/>
    <x v="0"/>
    <x v="2"/>
    <s v="PLAQUETTES"/>
    <x v="0"/>
    <n v="87"/>
  </r>
  <r>
    <d v="2025-12-19T22:20:26"/>
    <x v="6"/>
    <s v="Plaquettes de finition positives"/>
    <s v="j519914"/>
    <s v="MARLY DAVID"/>
    <n v="10"/>
    <x v="0"/>
    <x v="2"/>
    <s v="PLAQUETTES"/>
    <x v="0"/>
    <n v="87"/>
  </r>
  <r>
    <d v="2025-04-29T21:03:46"/>
    <x v="2"/>
    <s v="Plaquettes d'ébauches rhombiques"/>
    <s v="J519914"/>
    <s v="MARLY DAVID"/>
    <n v="10"/>
    <x v="1"/>
    <x v="0"/>
    <s v="PLAQUETTES"/>
    <x v="0"/>
    <n v="70"/>
  </r>
  <r>
    <d v="2025-04-29T21:04:05"/>
    <x v="1"/>
    <s v="Plaquettes d'ébauches carrées"/>
    <s v="J519914"/>
    <s v="MARLY DAVID"/>
    <n v="10"/>
    <x v="1"/>
    <x v="0"/>
    <s v="PLAQUETTES"/>
    <x v="0"/>
    <n v="71.2"/>
  </r>
  <r>
    <d v="2025-12-21T17:50:58"/>
    <x v="6"/>
    <s v="Plaquettes de finition positives"/>
    <s v="U534565"/>
    <s v="HOAREAU MARIUS"/>
    <n v="10"/>
    <x v="0"/>
    <x v="2"/>
    <s v="PLAQUETTES"/>
    <x v="0"/>
    <n v="87"/>
  </r>
  <r>
    <d v="2025-04-29T21:05:21"/>
    <x v="5"/>
    <s v="Plaquettes rondes"/>
    <s v="J519914"/>
    <s v="MARLY DAVID"/>
    <n v="10"/>
    <x v="1"/>
    <x v="0"/>
    <s v="PLAQUETTES"/>
    <x v="0"/>
    <n v="108.5"/>
  </r>
  <r>
    <d v="2025-04-29T21:06:15"/>
    <x v="6"/>
    <s v="Plaquettes de finition positives"/>
    <s v="J519914"/>
    <s v="MARLY DAVID"/>
    <n v="10"/>
    <x v="1"/>
    <x v="2"/>
    <s v="PLAQUETTES"/>
    <x v="0"/>
    <n v="87"/>
  </r>
  <r>
    <d v="2025-04-30T05:21:04"/>
    <x v="1"/>
    <s v="Plaquettes d'ébauches carrées"/>
    <s v="VERGE G"/>
    <s v="VERGE GREGORY"/>
    <n v="10"/>
    <x v="2"/>
    <x v="1"/>
    <s v="PLAQUETTES"/>
    <x v="1"/>
    <n v="71.2"/>
  </r>
  <r>
    <d v="2025-12-21T17:51:24"/>
    <x v="6"/>
    <s v="Plaquettes de finition positives"/>
    <s v="U534565"/>
    <s v="HOAREAU MARIUS"/>
    <n v="10"/>
    <x v="0"/>
    <x v="2"/>
    <s v="PLAQUETTES"/>
    <x v="0"/>
    <n v="87"/>
  </r>
  <r>
    <d v="2025-12-22T05:22:25"/>
    <x v="6"/>
    <s v="Plaquettes de finition positives"/>
    <s v="04522ACAA77080"/>
    <s v="VILLALOBOS ANTHONY"/>
    <n v="10"/>
    <x v="0"/>
    <x v="2"/>
    <s v="PLAQUETTES"/>
    <x v="0"/>
    <n v="87"/>
  </r>
  <r>
    <d v="2025-04-30T06:09:16"/>
    <x v="1"/>
    <s v="Plaquettes d'ébauches carrées"/>
    <s v="080924"/>
    <s v="DABLEMONT AURELIEN"/>
    <n v="10"/>
    <x v="1"/>
    <x v="1"/>
    <s v="PLAQUETTES"/>
    <x v="0"/>
    <n v="71.2"/>
  </r>
  <r>
    <d v="2025-04-30T06:09:34"/>
    <x v="6"/>
    <s v="Plaquettes de finition positives"/>
    <s v="080924"/>
    <s v="DABLEMONT AURELIEN"/>
    <n v="10"/>
    <x v="1"/>
    <x v="2"/>
    <s v="PLAQUETTES"/>
    <x v="0"/>
    <n v="87"/>
  </r>
  <r>
    <d v="2025-04-30T06:09:54"/>
    <x v="5"/>
    <s v="Plaquettes rondes"/>
    <s v="080924"/>
    <s v="DABLEMONT AURELIEN"/>
    <n v="10"/>
    <x v="1"/>
    <x v="0"/>
    <s v="PLAQUETTES"/>
    <x v="0"/>
    <n v="108.5"/>
  </r>
  <r>
    <d v="2025-04-30T07:52:21"/>
    <x v="4"/>
    <s v="Plaquettes de finition"/>
    <s v="VERGE G"/>
    <s v="VERGE GREGORY"/>
    <n v="5"/>
    <x v="2"/>
    <x v="2"/>
    <s v="PLAQUETTES"/>
    <x v="1"/>
    <n v="47.8"/>
  </r>
  <r>
    <d v="2025-04-30T07:52:40"/>
    <x v="6"/>
    <s v="Plaquettes de finition positives"/>
    <s v="VERGE G"/>
    <s v="VERGE GREGORY"/>
    <n v="10"/>
    <x v="3"/>
    <x v="2"/>
    <s v="PLAQUETTES"/>
    <x v="3"/>
    <n v="87"/>
  </r>
  <r>
    <d v="2025-12-22T21:15:30"/>
    <x v="6"/>
    <s v="Plaquettes de finition positives"/>
    <s v="230525"/>
    <s v="SOULAS YANIS"/>
    <n v="10"/>
    <x v="0"/>
    <x v="2"/>
    <s v="PLAQUETTES"/>
    <x v="0"/>
    <n v="87"/>
  </r>
  <r>
    <d v="2025-01-31T21:39:38"/>
    <x v="11"/>
    <s v="Plaquettes de finition triangulaires"/>
    <s v="U134838"/>
    <s v="DANAH STEPHANIE"/>
    <n v="10"/>
    <x v="0"/>
    <x v="2"/>
    <s v="PLAQUETTES"/>
    <x v="1"/>
    <n v="118.7"/>
  </r>
  <r>
    <d v="2025-05-01T00:05:21"/>
    <x v="6"/>
    <s v="Plaquettes de finition positives"/>
    <s v="SD13196"/>
    <s v="FRADIN MAXIME"/>
    <n v="10"/>
    <x v="1"/>
    <x v="2"/>
    <s v="PLAQUETTES"/>
    <x v="0"/>
    <n v="87"/>
  </r>
  <r>
    <d v="2025-02-07T22:21:00"/>
    <x v="11"/>
    <s v="Plaquettes de finition triangulaires"/>
    <s v="SD13196"/>
    <s v="FRADIN MAXIME"/>
    <n v="10"/>
    <x v="0"/>
    <x v="2"/>
    <s v="PLAQUETTES"/>
    <x v="1"/>
    <n v="118.7"/>
  </r>
  <r>
    <d v="2025-05-02T06:53:10"/>
    <x v="6"/>
    <s v="Plaquettes de finition positives"/>
    <s v="u534565"/>
    <s v="HOAREAU MARIUS"/>
    <n v="10"/>
    <x v="1"/>
    <x v="2"/>
    <s v="PLAQUETTES"/>
    <x v="0"/>
    <n v="87"/>
  </r>
  <r>
    <d v="2025-05-02T06:53:33"/>
    <x v="6"/>
    <s v="Plaquettes de finition positives"/>
    <s v="u534565"/>
    <s v="HOAREAU MARIUS"/>
    <n v="10"/>
    <x v="1"/>
    <x v="2"/>
    <s v="PLAQUETTES"/>
    <x v="0"/>
    <n v="87"/>
  </r>
  <r>
    <d v="2025-02-08T15:01:29"/>
    <x v="11"/>
    <s v="Plaquettes de finition triangulaires"/>
    <s v="P910513"/>
    <s v="IMBERT MICKAEL"/>
    <n v="20"/>
    <x v="0"/>
    <x v="2"/>
    <s v="PLAQUETTES"/>
    <x v="1"/>
    <n v="237.4"/>
  </r>
  <r>
    <d v="2025-05-02T14:42:37"/>
    <x v="3"/>
    <s v="Plaquettes rondes"/>
    <s v="SE38185"/>
    <s v="VENIAT PIERRE NICOLAS"/>
    <n v="10"/>
    <x v="2"/>
    <x v="0"/>
    <s v="PLAQUETTES"/>
    <x v="1"/>
    <n v="136.69999999999999"/>
  </r>
  <r>
    <d v="2025-05-02T14:42:57"/>
    <x v="5"/>
    <s v="Plaquettes rondes"/>
    <s v="SE38185"/>
    <s v="VENIAT PIERRE NICOLAS"/>
    <n v="10"/>
    <x v="3"/>
    <x v="0"/>
    <s v="PLAQUETTES"/>
    <x v="0"/>
    <n v="108.5"/>
  </r>
  <r>
    <d v="2025-05-02T14:43:14"/>
    <x v="4"/>
    <s v="Plaquettes de finition"/>
    <s v="SE38185"/>
    <s v="VENIAT PIERRE NICOLAS"/>
    <n v="5"/>
    <x v="2"/>
    <x v="2"/>
    <s v="PLAQUETTES"/>
    <x v="1"/>
    <n v="47.8"/>
  </r>
  <r>
    <d v="2025-02-17T05:05:01"/>
    <x v="11"/>
    <s v="Plaquettes de finition triangulaires"/>
    <s v="SIEGEL F"/>
    <s v="SIEGEL FRANCK"/>
    <n v="10"/>
    <x v="0"/>
    <x v="2"/>
    <s v="PLAQUETTES"/>
    <x v="1"/>
    <n v="118.7"/>
  </r>
  <r>
    <d v="2025-02-20T18:38:49"/>
    <x v="7"/>
    <s v="Plaquettes de finition triangulaires"/>
    <s v="080924"/>
    <s v="DABLEMONT AURELIEN"/>
    <n v="10"/>
    <x v="0"/>
    <x v="2"/>
    <s v="PLAQUETTES"/>
    <x v="0"/>
    <n v="138.80000000000001"/>
  </r>
  <r>
    <d v="2025-05-02T16:04:56"/>
    <x v="8"/>
    <s v="Plaquettes rhombiques"/>
    <s v="SE38185"/>
    <s v="VENIAT PIERRE NICOLAS"/>
    <n v="5"/>
    <x v="2"/>
    <x v="2"/>
    <s v="PLAQUETTES"/>
    <x v="1"/>
    <n v="18.399999999999999"/>
  </r>
  <r>
    <d v="2025-05-02T21:03:26"/>
    <x v="6"/>
    <s v="Plaquettes de finition positives"/>
    <s v="100225"/>
    <s v="PRUNEAU WILLIAM"/>
    <n v="10"/>
    <x v="3"/>
    <x v="2"/>
    <s v="PLAQUETTES"/>
    <x v="0"/>
    <n v="87"/>
  </r>
  <r>
    <d v="2025-05-02T21:03:57"/>
    <x v="2"/>
    <s v="Plaquettes d'ébauches rhombiques"/>
    <s v="100225"/>
    <s v="PRUNEAU WILLIAM"/>
    <n v="10"/>
    <x v="3"/>
    <x v="1"/>
    <s v="PLAQUETTES"/>
    <x v="0"/>
    <n v="70"/>
  </r>
  <r>
    <d v="2025-02-24T18:26:04"/>
    <x v="11"/>
    <s v="Plaquettes de finition triangulaires"/>
    <s v="U134838"/>
    <s v="DANAH STEPHANIE"/>
    <n v="10"/>
    <x v="0"/>
    <x v="2"/>
    <s v="PLAQUETTES"/>
    <x v="1"/>
    <n v="118.7"/>
  </r>
  <r>
    <d v="2025-02-25T14:22:35"/>
    <x v="7"/>
    <s v="Plaquettes de finition triangulaires"/>
    <s v="12824586"/>
    <s v="DA SILVA FERNANDO"/>
    <n v="10"/>
    <x v="0"/>
    <x v="2"/>
    <s v="PLAQUETTES"/>
    <x v="3"/>
    <n v="138.80000000000001"/>
  </r>
  <r>
    <d v="2025-03-02T17:39:10"/>
    <x v="11"/>
    <s v="Plaquettes de finition triangulaires"/>
    <s v="U534565"/>
    <s v="HOAREAU MARIUS"/>
    <n v="10"/>
    <x v="0"/>
    <x v="2"/>
    <s v="PLAQUETTES"/>
    <x v="1"/>
    <n v="118.7"/>
  </r>
  <r>
    <d v="2025-05-03T06:27:58"/>
    <x v="4"/>
    <s v="Plaquettes de finition"/>
    <s v="U198152"/>
    <s v="AJMIK MUSTAPHA"/>
    <n v="5"/>
    <x v="2"/>
    <x v="2"/>
    <s v="PLAQUETTES"/>
    <x v="1"/>
    <n v="47.8"/>
  </r>
  <r>
    <d v="2025-05-03T06:28:19"/>
    <x v="8"/>
    <s v="Plaquettes rhombiques"/>
    <s v="U198152"/>
    <s v="AJMIK MUSTAPHA"/>
    <n v="5"/>
    <x v="2"/>
    <x v="2"/>
    <s v="PLAQUETTES"/>
    <x v="1"/>
    <n v="18.399999999999999"/>
  </r>
  <r>
    <d v="2025-05-03T06:28:38"/>
    <x v="11"/>
    <s v="Plaquettes de finition triangulaires"/>
    <s v="U198152"/>
    <s v="AJMIK MUSTAPHA"/>
    <n v="10"/>
    <x v="2"/>
    <x v="2"/>
    <s v="PLAQUETTES"/>
    <x v="1"/>
    <n v="118.7"/>
  </r>
  <r>
    <d v="2025-05-03T06:28:55"/>
    <x v="2"/>
    <s v="Plaquettes d'ébauches rhombiques"/>
    <s v="U198152"/>
    <s v="AJMIK MUSTAPHA"/>
    <n v="10"/>
    <x v="3"/>
    <x v="0"/>
    <s v="PLAQUETTES"/>
    <x v="0"/>
    <n v="70"/>
  </r>
  <r>
    <d v="2025-05-03T06:29:15"/>
    <x v="1"/>
    <s v="Plaquettes d'ébauches carrées"/>
    <s v="U198152"/>
    <s v="AJMIK MUSTAPHA"/>
    <n v="10"/>
    <x v="3"/>
    <x v="0"/>
    <s v="PLAQUETTES"/>
    <x v="0"/>
    <n v="71.2"/>
  </r>
  <r>
    <d v="2025-05-03T06:29:38"/>
    <x v="6"/>
    <s v="Plaquettes de finition positives"/>
    <s v="U198152"/>
    <s v="AJMIK MUSTAPHA"/>
    <n v="10"/>
    <x v="3"/>
    <x v="2"/>
    <s v="PLAQUETTES"/>
    <x v="0"/>
    <n v="87"/>
  </r>
  <r>
    <d v="2025-03-10T05:33:21"/>
    <x v="11"/>
    <s v="Plaquettes de finition triangulaires"/>
    <s v="J519914"/>
    <s v="MARLY DAVID"/>
    <n v="10"/>
    <x v="0"/>
    <x v="2"/>
    <s v="PLAQUETTES"/>
    <x v="1"/>
    <n v="118.7"/>
  </r>
  <r>
    <d v="2025-03-17T13:39:59"/>
    <x v="11"/>
    <s v="Plaquettes de finition triangulaires"/>
    <s v="170325"/>
    <s v="VERDELET BASTIEN"/>
    <n v="10"/>
    <x v="0"/>
    <x v="2"/>
    <s v="PLAQUETTES"/>
    <x v="1"/>
    <n v="118.7"/>
  </r>
  <r>
    <d v="2025-05-03T17:13:25"/>
    <x v="1"/>
    <s v="Plaquettes d'ébauches carrées"/>
    <s v="U054304"/>
    <s v="BOUACHIK HICHAM"/>
    <n v="10"/>
    <x v="1"/>
    <x v="0"/>
    <s v="PLAQUETTES"/>
    <x v="0"/>
    <n v="71.2"/>
  </r>
  <r>
    <d v="2025-03-19T01:07:06"/>
    <x v="7"/>
    <s v="Plaquettes de finition triangulaires"/>
    <s v="SD13196"/>
    <s v="FRADIN MAXIME"/>
    <n v="10"/>
    <x v="0"/>
    <x v="2"/>
    <s v="PLAQUETTES"/>
    <x v="0"/>
    <n v="138.80000000000001"/>
  </r>
  <r>
    <d v="2025-05-04T03:23:43"/>
    <x v="4"/>
    <s v="Plaquettes de finition"/>
    <s v="u534565"/>
    <s v="HOAREAU MARIUS"/>
    <n v="5"/>
    <x v="2"/>
    <x v="2"/>
    <s v="PLAQUETTES"/>
    <x v="1"/>
    <n v="47.8"/>
  </r>
  <r>
    <d v="2025-05-04T03:33:59"/>
    <x v="5"/>
    <s v="Plaquettes rondes"/>
    <s v="u534565"/>
    <s v="HOAREAU MARIUS"/>
    <n v="10"/>
    <x v="3"/>
    <x v="0"/>
    <s v="PLAQUETTES"/>
    <x v="0"/>
    <n v="108.5"/>
  </r>
  <r>
    <d v="2025-05-04T03:34:57"/>
    <x v="2"/>
    <s v="Plaquettes d'ébauches rhombiques"/>
    <s v="u534565"/>
    <s v="HOAREAU MARIUS"/>
    <n v="10"/>
    <x v="3"/>
    <x v="0"/>
    <s v="PLAQUETTES"/>
    <x v="0"/>
    <n v="70"/>
  </r>
  <r>
    <d v="2025-05-04T03:35:45"/>
    <x v="6"/>
    <s v="Plaquettes de finition positives"/>
    <s v="u534565"/>
    <s v="HOAREAU MARIUS"/>
    <n v="10"/>
    <x v="3"/>
    <x v="2"/>
    <s v="PLAQUETTES"/>
    <x v="0"/>
    <n v="87"/>
  </r>
  <r>
    <d v="2025-05-04T03:40:59"/>
    <x v="9"/>
    <s v="Plaquettes rhombiques"/>
    <s v="u534565"/>
    <s v="HOAREAU MARIUS"/>
    <n v="5"/>
    <x v="2"/>
    <x v="2"/>
    <s v="PLAQUETTES"/>
    <x v="1"/>
    <n v="44.85"/>
  </r>
  <r>
    <d v="2025-03-24T05:16:02"/>
    <x v="7"/>
    <s v="Plaquettes de finition triangulaires"/>
    <s v="170325"/>
    <s v="VERDELET BASTIEN"/>
    <n v="10"/>
    <x v="0"/>
    <x v="2"/>
    <s v="PLAQUETTES"/>
    <x v="0"/>
    <n v="138.80000000000001"/>
  </r>
  <r>
    <d v="2025-05-04T06:30:36"/>
    <x v="2"/>
    <s v="Plaquettes d'ébauches rhombiques"/>
    <s v="U518765"/>
    <s v="ROY ADELINE"/>
    <n v="10"/>
    <x v="1"/>
    <x v="0"/>
    <s v="PLAQUETTES"/>
    <x v="0"/>
    <n v="70"/>
  </r>
  <r>
    <d v="2025-05-04T06:31:01"/>
    <x v="10"/>
    <s v="Plaquettes de finition"/>
    <s v="U518765"/>
    <s v="ROY ADELINE"/>
    <n v="10"/>
    <x v="1"/>
    <x v="2"/>
    <s v="PLAQUETTES"/>
    <x v="0"/>
    <n v="109.7"/>
  </r>
  <r>
    <d v="2025-04-08T00:10:12"/>
    <x v="7"/>
    <s v="Plaquettes de finition triangulaires"/>
    <s v="J609988"/>
    <s v="AMALRIC VINCENT"/>
    <n v="10"/>
    <x v="0"/>
    <x v="2"/>
    <s v="PLAQUETTES"/>
    <x v="0"/>
    <n v="138.80000000000001"/>
  </r>
  <r>
    <d v="2025-05-04T06:31:43"/>
    <x v="6"/>
    <s v="Plaquettes de finition positives"/>
    <s v="U518765"/>
    <s v="ROY ADELINE"/>
    <n v="10"/>
    <x v="1"/>
    <x v="2"/>
    <s v="PLAQUETTES"/>
    <x v="0"/>
    <n v="87"/>
  </r>
  <r>
    <d v="2025-04-13T11:14:06"/>
    <x v="7"/>
    <s v="Plaquettes de finition triangulaires"/>
    <s v="U198152"/>
    <s v="AJMIK MUSTAPHA"/>
    <n v="10"/>
    <x v="0"/>
    <x v="2"/>
    <s v="PLAQUETTES"/>
    <x v="0"/>
    <n v="138.80000000000001"/>
  </r>
  <r>
    <d v="2025-04-18T02:22:07"/>
    <x v="11"/>
    <s v="Plaquettes de finition triangulaires"/>
    <s v="080924"/>
    <s v="DABLEMONT AURELIEN"/>
    <n v="10"/>
    <x v="0"/>
    <x v="2"/>
    <s v="PLAQUETTES"/>
    <x v="1"/>
    <n v="118.7"/>
  </r>
  <r>
    <d v="2025-05-05T03:08:47"/>
    <x v="2"/>
    <s v="Plaquettes d'ébauches rhombiques"/>
    <s v="u534565"/>
    <s v="HOAREAU MARIUS"/>
    <n v="10"/>
    <x v="3"/>
    <x v="0"/>
    <s v="PLAQUETTES"/>
    <x v="0"/>
    <n v="70"/>
  </r>
  <r>
    <d v="2025-05-05T03:09:08"/>
    <x v="1"/>
    <s v="Plaquettes d'ébauches carrées"/>
    <s v="u534565"/>
    <s v="HOAREAU MARIUS"/>
    <n v="10"/>
    <x v="1"/>
    <x v="0"/>
    <s v="PLAQUETTES"/>
    <x v="0"/>
    <n v="71.2"/>
  </r>
  <r>
    <d v="2025-05-05T05:18:45"/>
    <x v="4"/>
    <s v="Plaquettes de finition"/>
    <s v="SE38185"/>
    <s v="VENIAT PIERRE NICOLAS"/>
    <n v="5"/>
    <x v="2"/>
    <x v="2"/>
    <s v="PLAQUETTES"/>
    <x v="1"/>
    <n v="47.8"/>
  </r>
  <r>
    <d v="2025-05-05T05:19:03"/>
    <x v="6"/>
    <s v="Plaquettes de finition positives"/>
    <s v="SE38185"/>
    <s v="VENIAT PIERRE NICOLAS"/>
    <n v="10"/>
    <x v="3"/>
    <x v="2"/>
    <s v="PLAQUETTES"/>
    <x v="0"/>
    <n v="87"/>
  </r>
  <r>
    <d v="2025-05-05T05:19:25"/>
    <x v="2"/>
    <s v="Plaquettes d'ébauches rhombiques"/>
    <s v="SE38185"/>
    <s v="VENIAT PIERRE NICOLAS"/>
    <n v="10"/>
    <x v="3"/>
    <x v="1"/>
    <s v="PLAQUETTES"/>
    <x v="0"/>
    <n v="70"/>
  </r>
  <r>
    <d v="2025-05-05T05:19:44"/>
    <x v="1"/>
    <s v="Plaquettes d'ébauches carrées"/>
    <s v="SE38185"/>
    <s v="VENIAT PIERRE NICOLAS"/>
    <n v="10"/>
    <x v="3"/>
    <x v="1"/>
    <s v="PLAQUETTES"/>
    <x v="0"/>
    <n v="71.2"/>
  </r>
  <r>
    <d v="2025-04-25T19:08:40"/>
    <x v="11"/>
    <s v="Plaquettes de finition triangulaires"/>
    <s v="080924"/>
    <s v="DABLEMONT AURELIEN"/>
    <n v="10"/>
    <x v="0"/>
    <x v="2"/>
    <s v="PLAQUETTES"/>
    <x v="1"/>
    <n v="118.7"/>
  </r>
  <r>
    <d v="2025-05-05T06:29:11"/>
    <x v="11"/>
    <s v="Plaquettes de finition triangulaires"/>
    <s v="170325"/>
    <s v="VERDELET BASTIEN"/>
    <n v="10"/>
    <x v="0"/>
    <x v="2"/>
    <s v="PLAQUETTES"/>
    <x v="1"/>
    <n v="118.7"/>
  </r>
  <r>
    <d v="2025-05-05T06:30:16"/>
    <x v="6"/>
    <s v="Plaquettes de finition positives"/>
    <s v="170325"/>
    <s v="VERDELET BASTIEN"/>
    <n v="10"/>
    <x v="1"/>
    <x v="2"/>
    <s v="PLAQUETTES"/>
    <x v="0"/>
    <n v="87"/>
  </r>
  <r>
    <d v="2025-05-05T06:30:44"/>
    <x v="2"/>
    <s v="Plaquettes d'ébauches rhombiques"/>
    <s v="170325"/>
    <s v="VERDELET BASTIEN"/>
    <n v="10"/>
    <x v="1"/>
    <x v="0"/>
    <s v="PLAQUETTES"/>
    <x v="0"/>
    <n v="70"/>
  </r>
  <r>
    <d v="2025-05-09T07:00:05"/>
    <x v="11"/>
    <s v="Plaquettes de finition triangulaires"/>
    <s v="J534699"/>
    <s v="CHARTON FABIAN"/>
    <n v="10"/>
    <x v="0"/>
    <x v="2"/>
    <s v="PLAQUETTES"/>
    <x v="1"/>
    <n v="118.7"/>
  </r>
  <r>
    <d v="2025-05-05T10:59:17"/>
    <x v="4"/>
    <s v="Plaquettes de finition"/>
    <s v="SE38185"/>
    <s v="VENIAT PIERRE NICOLAS"/>
    <n v="5"/>
    <x v="3"/>
    <x v="2"/>
    <s v="PLAQUETTES"/>
    <x v="2"/>
    <n v="47.8"/>
  </r>
  <r>
    <d v="2025-05-05T11:01:12"/>
    <x v="4"/>
    <s v="Plaquettes de finition"/>
    <s v="SG16371"/>
    <s v="MORISSE GUILLAUME"/>
    <n v="5"/>
    <x v="3"/>
    <x v="2"/>
    <s v="PLAQUETTES"/>
    <x v="4"/>
    <n v="47.8"/>
  </r>
  <r>
    <d v="2025-05-17T05:05:40"/>
    <x v="11"/>
    <s v="Plaquettes de finition triangulaires"/>
    <s v="J534699"/>
    <s v="CHARTON FABIAN"/>
    <n v="10"/>
    <x v="0"/>
    <x v="2"/>
    <s v="PLAQUETTES"/>
    <x v="1"/>
    <n v="118.7"/>
  </r>
  <r>
    <d v="2025-05-05T16:58:27"/>
    <x v="12"/>
    <s v="Plaquettes de gorge"/>
    <s v="100225"/>
    <s v="PRUNEAU WILLIAM"/>
    <n v="10"/>
    <x v="3"/>
    <x v="0"/>
    <s v="PLAQUETTES"/>
    <x v="2"/>
    <n v="157"/>
  </r>
  <r>
    <d v="2025-05-05T16:59:05"/>
    <x v="10"/>
    <s v="Plaquettes de finition"/>
    <s v="100225"/>
    <s v="PRUNEAU WILLIAM"/>
    <n v="10"/>
    <x v="3"/>
    <x v="2"/>
    <s v="PLAQUETTES"/>
    <x v="2"/>
    <n v="109.7"/>
  </r>
  <r>
    <d v="2025-05-05T16:59:27"/>
    <x v="2"/>
    <s v="Plaquettes d'ébauches rhombiques"/>
    <s v="100225"/>
    <s v="PRUNEAU WILLIAM"/>
    <n v="10"/>
    <x v="3"/>
    <x v="2"/>
    <s v="PLAQUETTES"/>
    <x v="2"/>
    <n v="70"/>
  </r>
  <r>
    <d v="2025-05-05T17:26:01"/>
    <x v="2"/>
    <s v="Plaquettes d'ébauches rhombiques"/>
    <s v="J519914"/>
    <s v="MARLY DAVID"/>
    <n v="10"/>
    <x v="1"/>
    <x v="0"/>
    <s v="PLAQUETTES"/>
    <x v="0"/>
    <n v="70"/>
  </r>
  <r>
    <d v="2025-05-05T17:26:37"/>
    <x v="1"/>
    <s v="Plaquettes d'ébauches carrées"/>
    <s v="J519914"/>
    <s v="MARLY DAVID"/>
    <n v="10"/>
    <x v="1"/>
    <x v="0"/>
    <s v="PLAQUETTES"/>
    <x v="0"/>
    <n v="71.2"/>
  </r>
  <r>
    <d v="2025-05-05T17:27:13"/>
    <x v="6"/>
    <s v="Plaquettes de finition positives"/>
    <s v="J519914"/>
    <s v="MARLY DAVID"/>
    <n v="10"/>
    <x v="1"/>
    <x v="2"/>
    <s v="PLAQUETTES"/>
    <x v="0"/>
    <n v="87"/>
  </r>
  <r>
    <d v="2025-05-18T15:56:44"/>
    <x v="11"/>
    <s v="Plaquettes de finition triangulaires"/>
    <s v="P717908"/>
    <s v="GONCALVES GEORGES"/>
    <n v="10"/>
    <x v="0"/>
    <x v="2"/>
    <s v="PLAQUETTES"/>
    <x v="1"/>
    <n v="118.7"/>
  </r>
  <r>
    <d v="2025-05-06T01:27:42"/>
    <x v="1"/>
    <s v="Plaquettes d'ébauches carrées"/>
    <s v="080924"/>
    <s v="DABLEMONT AURELIEN"/>
    <n v="10"/>
    <x v="1"/>
    <x v="0"/>
    <s v="PLAQUETTES"/>
    <x v="0"/>
    <n v="71.2"/>
  </r>
  <r>
    <d v="2025-05-06T02:35:03"/>
    <x v="3"/>
    <s v="Plaquettes rondes"/>
    <s v="VERGE G"/>
    <s v="VERGE GREGORY"/>
    <n v="10"/>
    <x v="2"/>
    <x v="0"/>
    <s v="PLAQUETTES"/>
    <x v="1"/>
    <n v="136.69999999999999"/>
  </r>
  <r>
    <d v="2025-05-06T05:14:32"/>
    <x v="4"/>
    <s v="Plaquettes de finition"/>
    <s v="SE38185"/>
    <s v="VENIAT PIERRE NICOLAS"/>
    <n v="5"/>
    <x v="2"/>
    <x v="2"/>
    <s v="PLAQUETTES"/>
    <x v="1"/>
    <n v="47.8"/>
  </r>
  <r>
    <d v="2025-05-06T05:14:55"/>
    <x v="4"/>
    <s v="Plaquettes de finition"/>
    <s v="SE38185"/>
    <s v="VENIAT PIERRE NICOLAS"/>
    <n v="5"/>
    <x v="2"/>
    <x v="2"/>
    <s v="PLAQUETTES"/>
    <x v="1"/>
    <n v="47.8"/>
  </r>
  <r>
    <d v="2025-05-06T05:15:18"/>
    <x v="2"/>
    <s v="Plaquettes d'ébauches rhombiques"/>
    <s v="SE38185"/>
    <s v="VENIAT PIERRE NICOLAS"/>
    <n v="10"/>
    <x v="2"/>
    <x v="0"/>
    <s v="PLAQUETTES"/>
    <x v="1"/>
    <n v="70"/>
  </r>
  <r>
    <d v="2025-05-06T07:30:41"/>
    <x v="4"/>
    <s v="Plaquettes de finition"/>
    <s v="SE38185"/>
    <s v="VENIAT PIERRE NICOLAS"/>
    <n v="5"/>
    <x v="3"/>
    <x v="2"/>
    <s v="PLAQUETTES"/>
    <x v="2"/>
    <n v="47.8"/>
  </r>
  <r>
    <d v="2025-05-06T08:24:44"/>
    <x v="8"/>
    <s v="Plaquettes rhombiques"/>
    <s v="SE38185"/>
    <s v="VENIAT PIERRE NICOLAS"/>
    <n v="5"/>
    <x v="2"/>
    <x v="2"/>
    <s v="PLAQUETTES"/>
    <x v="1"/>
    <n v="18.399999999999999"/>
  </r>
  <r>
    <d v="2025-05-06T08:25:01"/>
    <x v="9"/>
    <s v="Plaquettes rhombiques"/>
    <s v="SE38185"/>
    <s v="VENIAT PIERRE NICOLAS"/>
    <n v="5"/>
    <x v="2"/>
    <x v="2"/>
    <s v="PLAQUETTES"/>
    <x v="1"/>
    <n v="44.85"/>
  </r>
  <r>
    <d v="2025-05-07T00:51:12"/>
    <x v="2"/>
    <s v="Plaquettes d'ébauches rhombiques"/>
    <s v="080924"/>
    <s v="DABLEMONT AURELIEN"/>
    <n v="10"/>
    <x v="1"/>
    <x v="1"/>
    <s v="PLAQUETTES"/>
    <x v="0"/>
    <n v="70"/>
  </r>
  <r>
    <d v="2025-05-07T00:51:23"/>
    <x v="5"/>
    <s v="Plaquettes rondes"/>
    <s v="080924"/>
    <s v="DABLEMONT AURELIEN"/>
    <n v="10"/>
    <x v="1"/>
    <x v="0"/>
    <s v="PLAQUETTES"/>
    <x v="0"/>
    <n v="108.5"/>
  </r>
  <r>
    <d v="2025-05-07T00:51:34"/>
    <x v="1"/>
    <s v="Plaquettes d'ébauches carrées"/>
    <s v="080924"/>
    <s v="DABLEMONT AURELIEN"/>
    <n v="10"/>
    <x v="1"/>
    <x v="1"/>
    <s v="PLAQUETTES"/>
    <x v="0"/>
    <n v="71.2"/>
  </r>
  <r>
    <d v="2025-05-21T19:37:42"/>
    <x v="7"/>
    <s v="Plaquettes de finition triangulaires"/>
    <s v="170325"/>
    <s v="VERDELET BASTIEN"/>
    <n v="10"/>
    <x v="0"/>
    <x v="2"/>
    <s v="PLAQUETTES"/>
    <x v="0"/>
    <n v="138.80000000000001"/>
  </r>
  <r>
    <d v="2025-06-07T22:03:04"/>
    <x v="7"/>
    <s v="Plaquettes de finition triangulaires"/>
    <s v="u534565"/>
    <s v="HOAREAU MARIUS"/>
    <n v="10"/>
    <x v="0"/>
    <x v="2"/>
    <s v="PLAQUETTES"/>
    <x v="0"/>
    <n v="138.80000000000001"/>
  </r>
  <r>
    <d v="2025-06-11T12:47:19"/>
    <x v="7"/>
    <s v="Plaquettes de finition triangulaires"/>
    <s v="080924"/>
    <s v="DABLEMONT AURELIEN"/>
    <n v="10"/>
    <x v="0"/>
    <x v="2"/>
    <s v="PLAQUETTES"/>
    <x v="0"/>
    <n v="138.80000000000001"/>
  </r>
  <r>
    <d v="2025-05-07T00:52:43"/>
    <x v="6"/>
    <s v="Plaquettes de finition positives"/>
    <s v="080924"/>
    <s v="DABLEMONT AURELIEN"/>
    <n v="10"/>
    <x v="1"/>
    <x v="2"/>
    <s v="PLAQUETTES"/>
    <x v="0"/>
    <n v="87"/>
  </r>
  <r>
    <d v="2025-05-07T06:22:17"/>
    <x v="2"/>
    <s v="Plaquettes d'ébauches rhombiques"/>
    <s v="SE38185"/>
    <s v="VENIAT PIERRE NICOLAS"/>
    <n v="10"/>
    <x v="2"/>
    <x v="2"/>
    <s v="PLAQUETTES"/>
    <x v="1"/>
    <n v="70"/>
  </r>
  <r>
    <d v="2025-05-07T06:22:36"/>
    <x v="1"/>
    <s v="Plaquettes d'ébauches carrées"/>
    <s v="SE38185"/>
    <s v="VENIAT PIERRE NICOLAS"/>
    <n v="10"/>
    <x v="2"/>
    <x v="1"/>
    <s v="PLAQUETTES"/>
    <x v="1"/>
    <n v="71.2"/>
  </r>
  <r>
    <d v="2025-05-07T06:22:54"/>
    <x v="5"/>
    <s v="Plaquettes rondes"/>
    <s v="SE38185"/>
    <s v="VENIAT PIERRE NICOLAS"/>
    <n v="10"/>
    <x v="3"/>
    <x v="0"/>
    <s v="PLAQUETTES"/>
    <x v="0"/>
    <n v="108.5"/>
  </r>
  <r>
    <d v="2025-05-07T08:54:04"/>
    <x v="4"/>
    <s v="Plaquettes de finition"/>
    <s v="SE38185"/>
    <s v="VENIAT PIERRE NICOLAS"/>
    <n v="5"/>
    <x v="2"/>
    <x v="2"/>
    <s v="PLAQUETTES"/>
    <x v="1"/>
    <n v="47.8"/>
  </r>
  <r>
    <d v="2025-05-07T22:08:59"/>
    <x v="2"/>
    <s v="Plaquettes d'ébauches rhombiques"/>
    <s v="080924"/>
    <s v="DABLEMONT AURELIEN"/>
    <n v="10"/>
    <x v="1"/>
    <x v="1"/>
    <s v="PLAQUETTES"/>
    <x v="0"/>
    <n v="70"/>
  </r>
  <r>
    <d v="2025-05-07T22:09:15"/>
    <x v="1"/>
    <s v="Plaquettes d'ébauches carrées"/>
    <s v="080924"/>
    <s v="DABLEMONT AURELIEN"/>
    <n v="10"/>
    <x v="1"/>
    <x v="1"/>
    <s v="PLAQUETTES"/>
    <x v="0"/>
    <n v="71.2"/>
  </r>
  <r>
    <d v="2025-05-07T22:09:44"/>
    <x v="5"/>
    <s v="Plaquettes rondes"/>
    <s v="080924"/>
    <s v="DABLEMONT AURELIEN"/>
    <n v="10"/>
    <x v="1"/>
    <x v="0"/>
    <s v="PLAQUETTES"/>
    <x v="0"/>
    <n v="108.5"/>
  </r>
  <r>
    <d v="2025-05-07T22:10:06"/>
    <x v="6"/>
    <s v="Plaquettes de finition positives"/>
    <s v="080924"/>
    <s v="DABLEMONT AURELIEN"/>
    <n v="10"/>
    <x v="1"/>
    <x v="2"/>
    <s v="PLAQUETTES"/>
    <x v="0"/>
    <n v="87"/>
  </r>
  <r>
    <d v="2025-05-08T05:35:27"/>
    <x v="2"/>
    <s v="Plaquettes d'ébauches rhombiques"/>
    <s v="170325"/>
    <s v="VERDELET BASTIEN"/>
    <n v="10"/>
    <x v="1"/>
    <x v="0"/>
    <s v="PLAQUETTES"/>
    <x v="0"/>
    <n v="70"/>
  </r>
  <r>
    <d v="2025-05-08T06:04:18"/>
    <x v="4"/>
    <s v="Plaquettes de finition"/>
    <s v="u134838"/>
    <s v="DANAH STEPHANIE"/>
    <n v="5"/>
    <x v="2"/>
    <x v="2"/>
    <s v="PLAQUETTES"/>
    <x v="1"/>
    <n v="47.8"/>
  </r>
  <r>
    <d v="2025-05-08T06:04:39"/>
    <x v="2"/>
    <s v="Plaquettes d'ébauches rhombiques"/>
    <s v="u134838"/>
    <s v="DANAH STEPHANIE"/>
    <n v="10"/>
    <x v="2"/>
    <x v="0"/>
    <s v="PLAQUETTES"/>
    <x v="1"/>
    <n v="70"/>
  </r>
  <r>
    <d v="2025-05-08T06:05:05"/>
    <x v="1"/>
    <s v="Plaquettes d'ébauches carrées"/>
    <s v="u134838"/>
    <s v="DANAH STEPHANIE"/>
    <n v="10"/>
    <x v="3"/>
    <x v="0"/>
    <s v="PLAQUETTES"/>
    <x v="2"/>
    <n v="71.2"/>
  </r>
  <r>
    <d v="2025-05-08T06:05:40"/>
    <x v="4"/>
    <s v="Plaquettes de finition"/>
    <s v="u134838"/>
    <s v="DANAH STEPHANIE"/>
    <n v="5"/>
    <x v="3"/>
    <x v="2"/>
    <s v="PLAQUETTES"/>
    <x v="2"/>
    <n v="47.8"/>
  </r>
  <r>
    <d v="2025-05-08T06:06:11"/>
    <x v="2"/>
    <s v="Plaquettes d'ébauches rhombiques"/>
    <s v="u134838"/>
    <s v="DANAH STEPHANIE"/>
    <n v="10"/>
    <x v="3"/>
    <x v="2"/>
    <s v="PLAQUETTES"/>
    <x v="2"/>
    <n v="70"/>
  </r>
  <r>
    <d v="2025-05-08T14:10:16"/>
    <x v="6"/>
    <s v="Plaquettes de finition positives"/>
    <s v="J519914"/>
    <s v="MARLY DAVID"/>
    <n v="10"/>
    <x v="1"/>
    <x v="2"/>
    <s v="PLAQUETTES"/>
    <x v="0"/>
    <n v="87"/>
  </r>
  <r>
    <d v="2025-06-19T11:28:41"/>
    <x v="11"/>
    <s v="Plaquettes de finition triangulaires"/>
    <s v="u134838"/>
    <s v="DANAH STEPHANIE"/>
    <n v="10"/>
    <x v="0"/>
    <x v="2"/>
    <s v="PLAQUETTES"/>
    <x v="1"/>
    <n v="118.7"/>
  </r>
  <r>
    <d v="2025-05-08T14:12:42"/>
    <x v="2"/>
    <s v="Plaquettes d'ébauches rhombiques"/>
    <s v="J519914"/>
    <s v="MARLY DAVID"/>
    <n v="10"/>
    <x v="1"/>
    <x v="0"/>
    <s v="PLAQUETTES"/>
    <x v="0"/>
    <n v="70"/>
  </r>
  <r>
    <d v="2025-06-25T15:38:59"/>
    <x v="7"/>
    <s v="Plaquettes de finition triangulaires"/>
    <s v="j529800"/>
    <s v="MONTCHARMONT BAPTISTE"/>
    <n v="10"/>
    <x v="0"/>
    <x v="2"/>
    <s v="PLAQUETTES"/>
    <x v="0"/>
    <n v="138.80000000000001"/>
  </r>
  <r>
    <d v="2025-06-25T21:20:01"/>
    <x v="7"/>
    <s v="Plaquettes de finition triangulaires"/>
    <s v="u134838"/>
    <s v="DANAH STEPHANIE"/>
    <n v="10"/>
    <x v="0"/>
    <x v="2"/>
    <s v="PLAQUETTES"/>
    <x v="0"/>
    <n v="138.80000000000001"/>
  </r>
  <r>
    <d v="2025-07-09T05:55:43"/>
    <x v="7"/>
    <s v="Plaquettes de finition triangulaires"/>
    <s v="u134838"/>
    <s v="DANAH STEPHANIE"/>
    <n v="10"/>
    <x v="0"/>
    <x v="2"/>
    <s v="PLAQUETTES"/>
    <x v="0"/>
    <n v="138.80000000000001"/>
  </r>
  <r>
    <d v="2025-05-09T00:30:39"/>
    <x v="6"/>
    <s v="Plaquettes de finition positives"/>
    <s v="VERGE G"/>
    <s v="VERGE GREGORY"/>
    <n v="10"/>
    <x v="3"/>
    <x v="2"/>
    <s v="PLAQUETTES"/>
    <x v="0"/>
    <n v="87"/>
  </r>
  <r>
    <d v="2025-05-09T00:30:53"/>
    <x v="4"/>
    <s v="Plaquettes de finition"/>
    <s v="VERGE G"/>
    <s v="VERGE GREGORY"/>
    <n v="5"/>
    <x v="2"/>
    <x v="2"/>
    <s v="PLAQUETTES"/>
    <x v="1"/>
    <n v="47.8"/>
  </r>
  <r>
    <d v="2025-05-09T00:31:04"/>
    <x v="2"/>
    <s v="Plaquettes d'ébauches rhombiques"/>
    <s v="VERGE G"/>
    <s v="VERGE GREGORY"/>
    <n v="10"/>
    <x v="3"/>
    <x v="1"/>
    <s v="PLAQUETTES"/>
    <x v="0"/>
    <n v="70"/>
  </r>
  <r>
    <d v="2025-05-09T04:07:47"/>
    <x v="2"/>
    <s v="Plaquettes d'ébauches rhombiques"/>
    <s v="080924"/>
    <s v="DABLEMONT AURELIEN"/>
    <n v="10"/>
    <x v="1"/>
    <x v="1"/>
    <s v="PLAQUETTES"/>
    <x v="0"/>
    <n v="70"/>
  </r>
  <r>
    <d v="2025-05-09T05:39:18"/>
    <x v="8"/>
    <s v="Plaquettes rhombiques"/>
    <s v="U198152"/>
    <s v="AJMIK MUSTAPHA"/>
    <n v="5"/>
    <x v="2"/>
    <x v="2"/>
    <s v="PLAQUETTES"/>
    <x v="1"/>
    <n v="18.399999999999999"/>
  </r>
  <r>
    <d v="2025-05-09T05:39:35"/>
    <x v="10"/>
    <s v="Plaquettes de finition"/>
    <s v="U198152"/>
    <s v="AJMIK MUSTAPHA"/>
    <n v="10"/>
    <x v="3"/>
    <x v="2"/>
    <s v="PLAQUETTES"/>
    <x v="0"/>
    <n v="109.7"/>
  </r>
  <r>
    <d v="2025-05-09T05:39:53"/>
    <x v="7"/>
    <s v="Plaquettes de finition triangulaires"/>
    <s v="U198152"/>
    <s v="AJMIK MUSTAPHA"/>
    <n v="10"/>
    <x v="3"/>
    <x v="2"/>
    <s v="PLAQUETTES"/>
    <x v="0"/>
    <n v="138.80000000000001"/>
  </r>
  <r>
    <d v="2025-05-09T05:40:09"/>
    <x v="6"/>
    <s v="Plaquettes de finition positives"/>
    <s v="U198152"/>
    <s v="AJMIK MUSTAPHA"/>
    <n v="10"/>
    <x v="3"/>
    <x v="2"/>
    <s v="PLAQUETTES"/>
    <x v="0"/>
    <n v="87"/>
  </r>
  <r>
    <d v="2025-07-11T23:01:25"/>
    <x v="7"/>
    <s v="Plaquettes de finition triangulaires"/>
    <s v="230525"/>
    <s v="SOULAS YANIS"/>
    <n v="10"/>
    <x v="0"/>
    <x v="2"/>
    <s v="PLAQUETTES"/>
    <x v="0"/>
    <n v="138.80000000000001"/>
  </r>
  <r>
    <d v="2025-07-14T05:34:14"/>
    <x v="7"/>
    <s v="Plaquettes de finition triangulaires"/>
    <s v="SD13196"/>
    <s v="FRADIN MAXIME"/>
    <n v="10"/>
    <x v="0"/>
    <x v="2"/>
    <s v="PLAQUETTES"/>
    <x v="0"/>
    <n v="138.80000000000001"/>
  </r>
  <r>
    <d v="2025-07-16T21:20:26"/>
    <x v="7"/>
    <s v="Plaquettes de finition triangulaires"/>
    <s v="u134838"/>
    <s v="DANAH STEPHANIE"/>
    <n v="10"/>
    <x v="0"/>
    <x v="2"/>
    <s v="PLAQUETTES"/>
    <x v="0"/>
    <n v="138.80000000000001"/>
  </r>
  <r>
    <d v="2025-07-21T05:37:36"/>
    <x v="7"/>
    <s v="Plaquettes de finition triangulaires"/>
    <s v="230525"/>
    <s v="SOULAS YANIS"/>
    <n v="10"/>
    <x v="0"/>
    <x v="2"/>
    <s v="PLAQUETTES"/>
    <x v="0"/>
    <n v="138.80000000000001"/>
  </r>
  <r>
    <d v="2025-07-22T13:11:55"/>
    <x v="7"/>
    <s v="Plaquettes de finition triangulaires"/>
    <s v="u134838"/>
    <s v="DANAH STEPHANIE"/>
    <n v="10"/>
    <x v="0"/>
    <x v="2"/>
    <s v="PLAQUETTES"/>
    <x v="0"/>
    <n v="138.80000000000001"/>
  </r>
  <r>
    <d v="2025-07-24T17:40:42"/>
    <x v="11"/>
    <s v="Plaquettes de finition triangulaires"/>
    <s v="u134838"/>
    <s v="DANAH STEPHANIE"/>
    <n v="10"/>
    <x v="0"/>
    <x v="2"/>
    <s v="PLAQUETTES"/>
    <x v="1"/>
    <n v="118.7"/>
  </r>
  <r>
    <d v="2025-08-21T21:27:05"/>
    <x v="7"/>
    <s v="Plaquettes de finition triangulaires"/>
    <s v="j519914"/>
    <s v="MARLY DAVID"/>
    <n v="10"/>
    <x v="0"/>
    <x v="2"/>
    <s v="PLAQUETTES"/>
    <x v="0"/>
    <n v="138.80000000000001"/>
  </r>
  <r>
    <d v="2025-08-25T21:16:52"/>
    <x v="7"/>
    <s v="Plaquettes de finition triangulaires"/>
    <s v="230525"/>
    <s v="SOULAS YANIS"/>
    <n v="10"/>
    <x v="0"/>
    <x v="2"/>
    <s v="PLAQUETTES"/>
    <x v="0"/>
    <n v="138.80000000000001"/>
  </r>
  <r>
    <d v="2025-05-09T07:03:08"/>
    <x v="7"/>
    <s v="Plaquettes de finition triangulaires"/>
    <s v="J534699"/>
    <s v="CHARTON FABIAN"/>
    <n v="10"/>
    <x v="1"/>
    <x v="2"/>
    <s v="PLAQUETTES"/>
    <x v="0"/>
    <n v="138.80000000000001"/>
  </r>
  <r>
    <d v="2025-05-09T07:03:35"/>
    <x v="6"/>
    <s v="Plaquettes de finition positives"/>
    <s v="J534699"/>
    <s v="CHARTON FABIAN"/>
    <n v="10"/>
    <x v="1"/>
    <x v="2"/>
    <s v="PLAQUETTES"/>
    <x v="0"/>
    <n v="87"/>
  </r>
  <r>
    <d v="2025-05-09T07:04:00"/>
    <x v="6"/>
    <s v="Plaquettes de finition positives"/>
    <s v="J534699"/>
    <s v="CHARTON FABIAN"/>
    <n v="10"/>
    <x v="1"/>
    <x v="2"/>
    <s v="PLAQUETTES"/>
    <x v="0"/>
    <n v="87"/>
  </r>
  <r>
    <d v="2025-05-09T07:04:25"/>
    <x v="10"/>
    <s v="Plaquettes de finition"/>
    <s v="J534699"/>
    <s v="CHARTON FABIAN"/>
    <n v="10"/>
    <x v="1"/>
    <x v="2"/>
    <s v="PLAQUETTES"/>
    <x v="0"/>
    <n v="109.7"/>
  </r>
  <r>
    <d v="2025-05-09T07:05:00"/>
    <x v="1"/>
    <s v="Plaquettes d'ébauches carrées"/>
    <s v="J534699"/>
    <s v="CHARTON FABIAN"/>
    <n v="10"/>
    <x v="1"/>
    <x v="0"/>
    <s v="PLAQUETTES"/>
    <x v="0"/>
    <n v="71.2"/>
  </r>
  <r>
    <d v="2025-05-09T07:05:25"/>
    <x v="2"/>
    <s v="Plaquettes d'ébauches rhombiques"/>
    <s v="J534699"/>
    <s v="CHARTON FABIAN"/>
    <n v="10"/>
    <x v="1"/>
    <x v="0"/>
    <s v="PLAQUETTES"/>
    <x v="0"/>
    <n v="70"/>
  </r>
  <r>
    <d v="2025-05-09T13:22:18"/>
    <x v="6"/>
    <s v="Plaquettes de finition positives"/>
    <s v="100225"/>
    <s v="PRUNEAU WILLIAM"/>
    <n v="10"/>
    <x v="3"/>
    <x v="2"/>
    <s v="PLAQUETTES"/>
    <x v="0"/>
    <n v="87"/>
  </r>
  <r>
    <d v="2025-05-09T13:51:00"/>
    <x v="2"/>
    <s v="Plaquettes d'ébauches rhombiques"/>
    <s v="100225"/>
    <s v="PRUNEAU WILLIAM"/>
    <n v="10"/>
    <x v="2"/>
    <x v="1"/>
    <s v="PLAQUETTES"/>
    <x v="1"/>
    <n v="70"/>
  </r>
  <r>
    <d v="2025-05-09T15:50:28"/>
    <x v="10"/>
    <s v="Plaquettes de finition"/>
    <s v="J519914"/>
    <s v="MARLY DAVID"/>
    <n v="10"/>
    <x v="1"/>
    <x v="2"/>
    <s v="PLAQUETTES"/>
    <x v="0"/>
    <n v="109.7"/>
  </r>
  <r>
    <d v="2025-05-09T15:54:03"/>
    <x v="7"/>
    <s v="Plaquettes de finition triangulaires"/>
    <s v="J519914"/>
    <s v="MARLY DAVID"/>
    <n v="10"/>
    <x v="1"/>
    <x v="2"/>
    <s v="PLAQUETTES"/>
    <x v="0"/>
    <n v="138.80000000000001"/>
  </r>
  <r>
    <d v="2025-05-09T22:22:50"/>
    <x v="3"/>
    <s v="Plaquettes rondes"/>
    <s v="VERGE G"/>
    <s v="VERGE GREGORY"/>
    <n v="10"/>
    <x v="2"/>
    <x v="0"/>
    <s v="PLAQUETTES"/>
    <x v="1"/>
    <n v="136.69999999999999"/>
  </r>
  <r>
    <d v="2025-05-09T22:23:01"/>
    <x v="2"/>
    <s v="Plaquettes d'ébauches rhombiques"/>
    <s v="VERGE G"/>
    <s v="VERGE GREGORY"/>
    <n v="10"/>
    <x v="2"/>
    <x v="1"/>
    <s v="PLAQUETTES"/>
    <x v="1"/>
    <n v="70"/>
  </r>
  <r>
    <d v="2025-05-09T22:23:14"/>
    <x v="1"/>
    <s v="Plaquettes d'ébauches carrées"/>
    <s v="VERGE G"/>
    <s v="VERGE GREGORY"/>
    <n v="10"/>
    <x v="2"/>
    <x v="1"/>
    <s v="PLAQUETTES"/>
    <x v="1"/>
    <n v="71.2"/>
  </r>
  <r>
    <d v="2025-05-10T02:05:11"/>
    <x v="2"/>
    <s v="Plaquettes d'ébauches rhombiques"/>
    <s v="080924"/>
    <s v="DABLEMONT AURELIEN"/>
    <n v="10"/>
    <x v="1"/>
    <x v="1"/>
    <s v="PLAQUETTES"/>
    <x v="0"/>
    <n v="70"/>
  </r>
  <r>
    <d v="2025-05-10T06:03:13"/>
    <x v="5"/>
    <s v="Plaquettes rondes"/>
    <s v="U198152"/>
    <s v="AJMIK MUSTAPHA"/>
    <n v="10"/>
    <x v="1"/>
    <x v="0"/>
    <s v="PLAQUETTES"/>
    <x v="0"/>
    <n v="108.5"/>
  </r>
  <r>
    <d v="2025-05-10T12:01:17"/>
    <x v="4"/>
    <s v="Plaquettes de finition"/>
    <s v="U198152"/>
    <s v="AJMIK MUSTAPHA"/>
    <n v="5"/>
    <x v="2"/>
    <x v="2"/>
    <s v="PLAQUETTES"/>
    <x v="1"/>
    <n v="47.8"/>
  </r>
  <r>
    <d v="2025-05-10T12:01:47"/>
    <x v="11"/>
    <s v="Plaquettes de finition triangulaires"/>
    <s v="U198152"/>
    <s v="AJMIK MUSTAPHA"/>
    <n v="10"/>
    <x v="2"/>
    <x v="2"/>
    <s v="PLAQUETTES"/>
    <x v="1"/>
    <n v="118.7"/>
  </r>
  <r>
    <d v="2025-08-28T12:47:17"/>
    <x v="7"/>
    <s v="Plaquettes de finition triangulaires"/>
    <s v="u462308"/>
    <s v="MAITRE SEBASTIEN"/>
    <n v="10"/>
    <x v="0"/>
    <x v="2"/>
    <s v="PLAQUETTES"/>
    <x v="0"/>
    <n v="138.80000000000001"/>
  </r>
  <r>
    <d v="2025-09-03T05:42:31"/>
    <x v="7"/>
    <s v="Plaquettes de finition triangulaires"/>
    <s v="u134838"/>
    <s v="DANAH STEPHANIE"/>
    <n v="10"/>
    <x v="0"/>
    <x v="2"/>
    <s v="PLAQUETTES"/>
    <x v="0"/>
    <n v="138.80000000000001"/>
  </r>
  <r>
    <d v="2025-09-04T08:05:50"/>
    <x v="7"/>
    <s v="Plaquettes de finition triangulaires"/>
    <s v="170325"/>
    <s v="VERDELET BASTIEN"/>
    <n v="10"/>
    <x v="0"/>
    <x v="2"/>
    <s v="PLAQUETTES"/>
    <x v="0"/>
    <n v="138.80000000000001"/>
  </r>
  <r>
    <d v="2025-05-11T07:34:33"/>
    <x v="4"/>
    <s v="Plaquettes de finition"/>
    <s v="U198152"/>
    <s v="AJMIK MUSTAPHA"/>
    <n v="5"/>
    <x v="2"/>
    <x v="2"/>
    <s v="PLAQUETTES"/>
    <x v="1"/>
    <n v="47.8"/>
  </r>
  <r>
    <d v="2025-05-11T07:34:58"/>
    <x v="9"/>
    <s v="Plaquettes rhombiques"/>
    <s v="U198152"/>
    <s v="AJMIK MUSTAPHA"/>
    <n v="5"/>
    <x v="2"/>
    <x v="2"/>
    <s v="PLAQUETTES"/>
    <x v="1"/>
    <n v="44.85"/>
  </r>
  <r>
    <d v="2025-05-11T07:35:16"/>
    <x v="8"/>
    <s v="Plaquettes rhombiques"/>
    <s v="U198152"/>
    <s v="AJMIK MUSTAPHA"/>
    <n v="5"/>
    <x v="2"/>
    <x v="2"/>
    <s v="PLAQUETTES"/>
    <x v="1"/>
    <n v="18.399999999999999"/>
  </r>
  <r>
    <d v="2025-05-11T07:35:33"/>
    <x v="6"/>
    <s v="Plaquettes de finition positives"/>
    <s v="U198152"/>
    <s v="AJMIK MUSTAPHA"/>
    <n v="10"/>
    <x v="3"/>
    <x v="2"/>
    <s v="PLAQUETTES"/>
    <x v="0"/>
    <n v="87"/>
  </r>
  <r>
    <d v="2025-05-11T14:20:32"/>
    <x v="4"/>
    <s v="Plaquettes de finition"/>
    <s v="U198152"/>
    <s v="AJMIK MUSTAPHA"/>
    <n v="5"/>
    <x v="2"/>
    <x v="2"/>
    <s v="PLAQUETTES"/>
    <x v="1"/>
    <n v="47.8"/>
  </r>
  <r>
    <d v="2025-05-11T14:20:46"/>
    <x v="6"/>
    <s v="Plaquettes de finition positives"/>
    <s v="U198152"/>
    <s v="AJMIK MUSTAPHA"/>
    <n v="10"/>
    <x v="3"/>
    <x v="2"/>
    <s v="PLAQUETTES"/>
    <x v="0"/>
    <n v="87"/>
  </r>
  <r>
    <d v="2025-05-11T14:21:20"/>
    <x v="5"/>
    <s v="Plaquettes rondes"/>
    <s v="U198152"/>
    <s v="AJMIK MUSTAPHA"/>
    <n v="10"/>
    <x v="3"/>
    <x v="0"/>
    <s v="PLAQUETTES"/>
    <x v="0"/>
    <n v="108.5"/>
  </r>
  <r>
    <d v="2025-05-11T14:21:36"/>
    <x v="2"/>
    <s v="Plaquettes d'ébauches rhombiques"/>
    <s v="U198152"/>
    <s v="AJMIK MUSTAPHA"/>
    <n v="10"/>
    <x v="3"/>
    <x v="0"/>
    <s v="PLAQUETTES"/>
    <x v="0"/>
    <n v="70"/>
  </r>
  <r>
    <d v="2025-05-11T14:21:55"/>
    <x v="1"/>
    <s v="Plaquettes d'ébauches carrées"/>
    <s v="U198152"/>
    <s v="AJMIK MUSTAPHA"/>
    <n v="10"/>
    <x v="3"/>
    <x v="0"/>
    <s v="PLAQUETTES"/>
    <x v="0"/>
    <n v="71.2"/>
  </r>
  <r>
    <d v="2025-05-11T14:22:11"/>
    <x v="3"/>
    <s v="Plaquettes rondes"/>
    <s v="U198152"/>
    <s v="AJMIK MUSTAPHA"/>
    <n v="10"/>
    <x v="2"/>
    <x v="0"/>
    <s v="PLAQUETTES"/>
    <x v="1"/>
    <n v="136.69999999999999"/>
  </r>
  <r>
    <d v="2025-05-12T11:23:41"/>
    <x v="12"/>
    <s v="Plaquettes de gorge"/>
    <s v="12824586"/>
    <s v="DA SILVA FERNANDO"/>
    <n v="10"/>
    <x v="1"/>
    <x v="0"/>
    <s v="PLAQUETTES"/>
    <x v="4"/>
    <n v="157"/>
  </r>
  <r>
    <d v="2025-05-12T13:14:44"/>
    <x v="2"/>
    <s v="Plaquettes d'ébauches rhombiques"/>
    <s v="080924"/>
    <s v="DABLEMONT AURELIEN"/>
    <n v="10"/>
    <x v="1"/>
    <x v="1"/>
    <s v="PLAQUETTES"/>
    <x v="0"/>
    <n v="70"/>
  </r>
  <r>
    <d v="2025-05-12T13:15:00"/>
    <x v="5"/>
    <s v="Plaquettes rondes"/>
    <s v="080924"/>
    <s v="DABLEMONT AURELIEN"/>
    <n v="10"/>
    <x v="1"/>
    <x v="0"/>
    <s v="PLAQUETTES"/>
    <x v="0"/>
    <n v="108.5"/>
  </r>
  <r>
    <d v="2025-05-12T13:15:16"/>
    <x v="6"/>
    <s v="Plaquettes de finition positives"/>
    <s v="080924"/>
    <s v="DABLEMONT AURELIEN"/>
    <n v="10"/>
    <x v="1"/>
    <x v="2"/>
    <s v="PLAQUETTES"/>
    <x v="0"/>
    <n v="87"/>
  </r>
  <r>
    <d v="2025-05-12T13:26:28"/>
    <x v="2"/>
    <s v="Plaquettes d'ébauches rhombiques"/>
    <s v="VERGE G"/>
    <s v="VERGE GREGORY"/>
    <n v="10"/>
    <x v="2"/>
    <x v="1"/>
    <s v="PLAQUETTES"/>
    <x v="1"/>
    <n v="70"/>
  </r>
  <r>
    <d v="2025-05-12T13:26:47"/>
    <x v="1"/>
    <s v="Plaquettes d'ébauches carrées"/>
    <s v="VERGE G"/>
    <s v="VERGE GREGORY"/>
    <n v="10"/>
    <x v="2"/>
    <x v="1"/>
    <s v="PLAQUETTES"/>
    <x v="1"/>
    <n v="71.2"/>
  </r>
  <r>
    <d v="2025-05-12T20:23:34"/>
    <x v="2"/>
    <s v="Plaquettes d'ébauches rhombiques"/>
    <s v="080924"/>
    <s v="DABLEMONT AURELIEN"/>
    <n v="10"/>
    <x v="1"/>
    <x v="1"/>
    <s v="PLAQUETTES"/>
    <x v="0"/>
    <n v="70"/>
  </r>
  <r>
    <d v="2025-05-12T21:21:19"/>
    <x v="4"/>
    <s v="Plaquettes de finition"/>
    <s v="SE38185"/>
    <s v="VENIAT PIERRE NICOLAS"/>
    <n v="5"/>
    <x v="2"/>
    <x v="2"/>
    <s v="PLAQUETTES"/>
    <x v="1"/>
    <n v="47.8"/>
  </r>
  <r>
    <d v="2025-05-12T21:21:47"/>
    <x v="10"/>
    <s v="Plaquettes de finition"/>
    <s v="SE38185"/>
    <s v="VENIAT PIERRE NICOLAS"/>
    <n v="10"/>
    <x v="3"/>
    <x v="2"/>
    <s v="PLAQUETTES"/>
    <x v="0"/>
    <n v="109.7"/>
  </r>
  <r>
    <d v="2025-05-12T21:22:18"/>
    <x v="6"/>
    <s v="Plaquettes de finition positives"/>
    <s v="SE38185"/>
    <s v="VENIAT PIERRE NICOLAS"/>
    <n v="10"/>
    <x v="3"/>
    <x v="2"/>
    <s v="PLAQUETTES"/>
    <x v="0"/>
    <n v="87"/>
  </r>
  <r>
    <d v="2025-05-13T05:54:30"/>
    <x v="4"/>
    <s v="Plaquettes de finition"/>
    <s v="100225"/>
    <s v="PRUNEAU WILLIAM"/>
    <n v="5"/>
    <x v="2"/>
    <x v="2"/>
    <s v="PLAQUETTES"/>
    <x v="1"/>
    <n v="47.8"/>
  </r>
  <r>
    <d v="2025-05-13T08:56:04"/>
    <x v="1"/>
    <s v="Plaquettes d'ébauches carrées"/>
    <s v="12824586"/>
    <s v="DA SILVA FERNANDO"/>
    <n v="10"/>
    <x v="1"/>
    <x v="1"/>
    <s v="PLAQUETTES"/>
    <x v="4"/>
    <n v="71.2"/>
  </r>
  <r>
    <d v="2025-05-13T09:14:31"/>
    <x v="6"/>
    <s v="Plaquettes de finition positives"/>
    <s v="J519914"/>
    <s v="MARLY DAVID"/>
    <n v="10"/>
    <x v="1"/>
    <x v="2"/>
    <s v="PLAQUETTES"/>
    <x v="0"/>
    <n v="87"/>
  </r>
  <r>
    <d v="2025-05-13T09:14:59"/>
    <x v="6"/>
    <s v="Plaquettes de finition positives"/>
    <s v="J519914"/>
    <s v="MARLY DAVID"/>
    <n v="10"/>
    <x v="1"/>
    <x v="2"/>
    <s v="PLAQUETTES"/>
    <x v="0"/>
    <n v="87"/>
  </r>
  <r>
    <d v="2025-09-12T05:16:36"/>
    <x v="7"/>
    <s v="Plaquettes de finition triangulaires"/>
    <s v="U518765"/>
    <s v="ROY ADELINE"/>
    <n v="10"/>
    <x v="0"/>
    <x v="2"/>
    <s v="PLAQUETTES"/>
    <x v="0"/>
    <n v="138.80000000000001"/>
  </r>
  <r>
    <d v="2025-09-13T01:17:30"/>
    <x v="7"/>
    <s v="Plaquettes de finition triangulaires"/>
    <s v="sd13196"/>
    <s v="FRADIN MAXIME"/>
    <n v="10"/>
    <x v="0"/>
    <x v="2"/>
    <s v="PLAQUETTES"/>
    <x v="3"/>
    <n v="138.80000000000001"/>
  </r>
  <r>
    <d v="2025-05-13T13:11:24"/>
    <x v="2"/>
    <s v="Plaquettes d'ébauches rhombiques"/>
    <s v="080924"/>
    <s v="DABLEMONT AURELIEN"/>
    <n v="10"/>
    <x v="1"/>
    <x v="1"/>
    <s v="PLAQUETTES"/>
    <x v="0"/>
    <n v="70"/>
  </r>
  <r>
    <d v="2025-05-13T13:11:40"/>
    <x v="6"/>
    <s v="Plaquettes de finition positives"/>
    <s v="080924"/>
    <s v="DABLEMONT AURELIEN"/>
    <n v="10"/>
    <x v="1"/>
    <x v="2"/>
    <s v="PLAQUETTES"/>
    <x v="0"/>
    <n v="87"/>
  </r>
  <r>
    <d v="2025-05-13T13:22:40"/>
    <x v="2"/>
    <s v="Plaquettes d'ébauches rhombiques"/>
    <s v="VERGE G"/>
    <s v="VERGE GREGORY"/>
    <n v="10"/>
    <x v="2"/>
    <x v="1"/>
    <s v="PLAQUETTES"/>
    <x v="5"/>
    <n v="70"/>
  </r>
  <r>
    <d v="2025-05-13T13:23:01"/>
    <x v="4"/>
    <s v="Plaquettes de finition"/>
    <s v="VERGE G"/>
    <s v="VERGE GREGORY"/>
    <n v="5"/>
    <x v="2"/>
    <x v="2"/>
    <s v="PLAQUETTES"/>
    <x v="1"/>
    <n v="47.8"/>
  </r>
  <r>
    <d v="2025-05-13T13:23:14"/>
    <x v="6"/>
    <s v="Plaquettes de finition positives"/>
    <s v="VERGE G"/>
    <s v="VERGE GREGORY"/>
    <n v="10"/>
    <x v="3"/>
    <x v="2"/>
    <s v="PLAQUETTES"/>
    <x v="0"/>
    <n v="87"/>
  </r>
  <r>
    <d v="2025-09-29T06:36:33"/>
    <x v="7"/>
    <s v="Plaquettes de finition triangulaires"/>
    <s v="u134838"/>
    <s v="DANAH STEPHANIE"/>
    <n v="10"/>
    <x v="0"/>
    <x v="2"/>
    <s v="PLAQUETTES"/>
    <x v="0"/>
    <n v="138.80000000000001"/>
  </r>
  <r>
    <d v="2025-10-02T07:41:18"/>
    <x v="7"/>
    <s v="Plaquettes de finition triangulaires"/>
    <s v="u134838"/>
    <s v="DANAH STEPHANIE"/>
    <n v="10"/>
    <x v="0"/>
    <x v="2"/>
    <s v="PLAQUETTES"/>
    <x v="0"/>
    <n v="138.80000000000001"/>
  </r>
  <r>
    <d v="2025-05-14T01:41:53"/>
    <x v="8"/>
    <s v="Plaquettes rhombiques"/>
    <s v="SE38185"/>
    <s v="VENIAT PIERRE NICOLAS"/>
    <n v="5"/>
    <x v="2"/>
    <x v="2"/>
    <s v="PLAQUETTES"/>
    <x v="1"/>
    <n v="18.399999999999999"/>
  </r>
  <r>
    <d v="2025-05-14T03:57:43"/>
    <x v="4"/>
    <s v="Plaquettes de finition"/>
    <s v="SE38185"/>
    <s v="VENIAT PIERRE NICOLAS"/>
    <n v="5"/>
    <x v="2"/>
    <x v="2"/>
    <s v="PLAQUETTES"/>
    <x v="1"/>
    <n v="47.8"/>
  </r>
  <r>
    <d v="2025-05-14T03:58:03"/>
    <x v="11"/>
    <s v="Plaquettes de finition triangulaires"/>
    <s v="SE38185"/>
    <s v="VENIAT PIERRE NICOLAS"/>
    <n v="10"/>
    <x v="2"/>
    <x v="2"/>
    <s v="PLAQUETTES"/>
    <x v="1"/>
    <n v="118.7"/>
  </r>
  <r>
    <d v="2025-05-14T03:58:22"/>
    <x v="9"/>
    <s v="Plaquettes rhombiques"/>
    <s v="SE38185"/>
    <s v="VENIAT PIERRE NICOLAS"/>
    <n v="5"/>
    <x v="2"/>
    <x v="2"/>
    <s v="PLAQUETTES"/>
    <x v="1"/>
    <n v="44.85"/>
  </r>
  <r>
    <d v="2025-05-14T03:58:39"/>
    <x v="8"/>
    <s v="Plaquettes rhombiques"/>
    <s v="SE38185"/>
    <s v="VENIAT PIERRE NICOLAS"/>
    <n v="5"/>
    <x v="2"/>
    <x v="2"/>
    <s v="PLAQUETTES"/>
    <x v="1"/>
    <n v="18.399999999999999"/>
  </r>
  <r>
    <d v="2025-05-14T03:58:59"/>
    <x v="10"/>
    <s v="Plaquettes de finition"/>
    <s v="SE38185"/>
    <s v="VENIAT PIERRE NICOLAS"/>
    <n v="10"/>
    <x v="3"/>
    <x v="2"/>
    <s v="PLAQUETTES"/>
    <x v="0"/>
    <n v="109.7"/>
  </r>
  <r>
    <d v="2025-05-14T03:59:21"/>
    <x v="7"/>
    <s v="Plaquettes de finition triangulaires"/>
    <s v="SE38185"/>
    <s v="VENIAT PIERRE NICOLAS"/>
    <n v="10"/>
    <x v="3"/>
    <x v="2"/>
    <s v="PLAQUETTES"/>
    <x v="0"/>
    <n v="138.80000000000001"/>
  </r>
  <r>
    <d v="2025-05-14T03:59:38"/>
    <x v="6"/>
    <s v="Plaquettes de finition positives"/>
    <s v="SE38185"/>
    <s v="VENIAT PIERRE NICOLAS"/>
    <n v="10"/>
    <x v="3"/>
    <x v="2"/>
    <s v="PLAQUETTES"/>
    <x v="0"/>
    <n v="87"/>
  </r>
  <r>
    <d v="2025-05-14T04:00:20"/>
    <x v="2"/>
    <s v="Plaquettes d'ébauches rhombiques"/>
    <s v="SE38185"/>
    <s v="VENIAT PIERRE NICOLAS"/>
    <n v="10"/>
    <x v="2"/>
    <x v="0"/>
    <s v="PLAQUETTES"/>
    <x v="1"/>
    <n v="70"/>
  </r>
  <r>
    <d v="2025-05-14T04:00:40"/>
    <x v="1"/>
    <s v="Plaquettes d'ébauches carrées"/>
    <s v="SE38185"/>
    <s v="VENIAT PIERRE NICOLAS"/>
    <n v="10"/>
    <x v="2"/>
    <x v="0"/>
    <s v="PLAQUETTES"/>
    <x v="1"/>
    <n v="71.2"/>
  </r>
  <r>
    <d v="2025-05-14T04:00:59"/>
    <x v="5"/>
    <s v="Plaquettes rondes"/>
    <s v="SE38185"/>
    <s v="VENIAT PIERRE NICOLAS"/>
    <n v="10"/>
    <x v="2"/>
    <x v="0"/>
    <s v="PLAQUETTES"/>
    <x v="1"/>
    <n v="108.5"/>
  </r>
  <r>
    <d v="2025-05-14T04:01:18"/>
    <x v="3"/>
    <s v="Plaquettes rondes"/>
    <s v="SE38185"/>
    <s v="VENIAT PIERRE NICOLAS"/>
    <n v="10"/>
    <x v="2"/>
    <x v="0"/>
    <s v="PLAQUETTES"/>
    <x v="1"/>
    <n v="136.69999999999999"/>
  </r>
  <r>
    <d v="2025-05-14T05:05:48"/>
    <x v="5"/>
    <s v="Plaquettes rondes"/>
    <s v="J519914"/>
    <s v="MARLY DAVID"/>
    <n v="10"/>
    <x v="1"/>
    <x v="0"/>
    <s v="PLAQUETTES"/>
    <x v="0"/>
    <n v="108.5"/>
  </r>
  <r>
    <d v="2025-10-15T22:17:40"/>
    <x v="7"/>
    <s v="Plaquettes de finition triangulaires"/>
    <s v="j519914"/>
    <s v="MARLY DAVID"/>
    <n v="10"/>
    <x v="0"/>
    <x v="2"/>
    <s v="PLAQUETTES"/>
    <x v="0"/>
    <n v="138.80000000000001"/>
  </r>
  <r>
    <d v="2025-10-16T12:20:24"/>
    <x v="11"/>
    <s v="Plaquettes de finition triangulaires"/>
    <s v="u134838"/>
    <s v="DANAH STEPHANIE"/>
    <n v="10"/>
    <x v="0"/>
    <x v="2"/>
    <s v="PLAQUETTES"/>
    <x v="1"/>
    <n v="118.7"/>
  </r>
  <r>
    <d v="2025-05-14T05:07:46"/>
    <x v="6"/>
    <s v="Plaquettes de finition positives"/>
    <s v="J519914"/>
    <s v="MARLY DAVID"/>
    <n v="10"/>
    <x v="1"/>
    <x v="2"/>
    <s v="PLAQUETTES"/>
    <x v="0"/>
    <n v="87"/>
  </r>
  <r>
    <d v="2025-10-21T13:54:27"/>
    <x v="7"/>
    <s v="Plaquettes de finition triangulaires"/>
    <s v="u134838"/>
    <s v="DANAH STEPHANIE"/>
    <n v="10"/>
    <x v="0"/>
    <x v="2"/>
    <s v="PLAQUETTES"/>
    <x v="0"/>
    <n v="138.80000000000001"/>
  </r>
  <r>
    <d v="2025-10-23T15:25:08"/>
    <x v="11"/>
    <s v="Plaquettes de finition triangulaires"/>
    <s v="u134838"/>
    <s v="DANAH STEPHANIE"/>
    <n v="10"/>
    <x v="0"/>
    <x v="2"/>
    <s v="PLAQUETTES"/>
    <x v="1"/>
    <n v="118.7"/>
  </r>
  <r>
    <d v="2025-05-14T13:14:06"/>
    <x v="2"/>
    <s v="Plaquettes d'ébauches rhombiques"/>
    <s v="080924"/>
    <s v="DABLEMONT AURELIEN"/>
    <n v="10"/>
    <x v="1"/>
    <x v="1"/>
    <s v="PLAQUETTES"/>
    <x v="0"/>
    <n v="70"/>
  </r>
  <r>
    <d v="2025-05-14T13:14:23"/>
    <x v="1"/>
    <s v="Plaquettes d'ébauches carrées"/>
    <s v="080924"/>
    <s v="DABLEMONT AURELIEN"/>
    <n v="10"/>
    <x v="1"/>
    <x v="1"/>
    <s v="PLAQUETTES"/>
    <x v="0"/>
    <n v="71.2"/>
  </r>
  <r>
    <d v="2025-10-31T13:25:56"/>
    <x v="11"/>
    <s v="Plaquettes de finition triangulaires"/>
    <s v="u134838"/>
    <s v="DANAH STEPHANIE"/>
    <n v="10"/>
    <x v="0"/>
    <x v="2"/>
    <s v="PLAQUETTES"/>
    <x v="1"/>
    <n v="118.7"/>
  </r>
  <r>
    <d v="2025-05-14T22:44:23"/>
    <x v="4"/>
    <s v="Plaquettes de finition"/>
    <s v="u134838"/>
    <s v="DANAH STEPHANIE"/>
    <n v="5"/>
    <x v="2"/>
    <x v="2"/>
    <s v="PLAQUETTES"/>
    <x v="1"/>
    <n v="47.8"/>
  </r>
  <r>
    <d v="2025-05-14T22:44:52"/>
    <x v="6"/>
    <s v="Plaquettes de finition positives"/>
    <s v="u134838"/>
    <s v="DANAH STEPHANIE"/>
    <n v="10"/>
    <x v="3"/>
    <x v="2"/>
    <s v="PLAQUETTES"/>
    <x v="0"/>
    <n v="87"/>
  </r>
  <r>
    <d v="2025-05-14T22:45:18"/>
    <x v="2"/>
    <s v="Plaquettes d'ébauches rhombiques"/>
    <s v="u134838"/>
    <s v="DANAH STEPHANIE"/>
    <n v="10"/>
    <x v="2"/>
    <x v="0"/>
    <s v="PLAQUETTES"/>
    <x v="1"/>
    <n v="70"/>
  </r>
  <r>
    <d v="2025-05-15T05:36:44"/>
    <x v="4"/>
    <s v="Plaquettes de finition"/>
    <s v="100225"/>
    <s v="PRUNEAU WILLIAM"/>
    <n v="5"/>
    <x v="2"/>
    <x v="2"/>
    <s v="PLAQUETTES"/>
    <x v="1"/>
    <n v="47.8"/>
  </r>
  <r>
    <d v="2025-05-15T06:05:27"/>
    <x v="6"/>
    <s v="Plaquettes de finition positives"/>
    <s v="J519914"/>
    <s v="MARLY DAVID"/>
    <n v="10"/>
    <x v="1"/>
    <x v="2"/>
    <s v="PLAQUETTES"/>
    <x v="0"/>
    <n v="87"/>
  </r>
  <r>
    <d v="2025-05-15T06:06:52"/>
    <x v="2"/>
    <s v="Plaquettes d'ébauches rhombiques"/>
    <s v="J519914"/>
    <s v="MARLY DAVID"/>
    <n v="10"/>
    <x v="1"/>
    <x v="0"/>
    <s v="PLAQUETTES"/>
    <x v="0"/>
    <n v="70"/>
  </r>
  <r>
    <d v="2025-05-15T13:44:29"/>
    <x v="6"/>
    <s v="Plaquettes de finition positives"/>
    <s v="VERGE G"/>
    <s v="VERGE GREGORY"/>
    <n v="10"/>
    <x v="3"/>
    <x v="2"/>
    <s v="PLAQUETTES"/>
    <x v="0"/>
    <n v="87"/>
  </r>
  <r>
    <d v="2025-05-15T13:44:42"/>
    <x v="2"/>
    <s v="Plaquettes d'ébauches rhombiques"/>
    <s v="VERGE G"/>
    <s v="VERGE GREGORY"/>
    <n v="10"/>
    <x v="3"/>
    <x v="1"/>
    <s v="PLAQUETTES"/>
    <x v="3"/>
    <n v="70"/>
  </r>
  <r>
    <d v="2025-05-15T13:57:05"/>
    <x v="2"/>
    <s v="Plaquettes d'ébauches rhombiques"/>
    <s v="080924"/>
    <s v="DABLEMONT AURELIEN"/>
    <n v="10"/>
    <x v="1"/>
    <x v="1"/>
    <s v="PLAQUETTES"/>
    <x v="0"/>
    <n v="70"/>
  </r>
  <r>
    <d v="2025-11-05T16:11:44"/>
    <x v="7"/>
    <s v="Plaquettes de finition triangulaires"/>
    <s v="u134838"/>
    <s v="DANAH STEPHANIE"/>
    <n v="10"/>
    <x v="0"/>
    <x v="2"/>
    <s v="PLAQUETTES"/>
    <x v="0"/>
    <n v="138.80000000000001"/>
  </r>
  <r>
    <d v="2025-05-15T13:57:34"/>
    <x v="1"/>
    <s v="Plaquettes d'ébauches carrées"/>
    <s v="080924"/>
    <s v="DABLEMONT AURELIEN"/>
    <n v="10"/>
    <x v="1"/>
    <x v="1"/>
    <s v="PLAQUETTES"/>
    <x v="0"/>
    <n v="71.2"/>
  </r>
  <r>
    <d v="2025-05-15T13:57:59"/>
    <x v="6"/>
    <s v="Plaquettes de finition positives"/>
    <s v="080924"/>
    <s v="DABLEMONT AURELIEN"/>
    <n v="10"/>
    <x v="1"/>
    <x v="2"/>
    <s v="PLAQUETTES"/>
    <x v="0"/>
    <n v="87"/>
  </r>
  <r>
    <d v="2025-05-15T22:38:53"/>
    <x v="10"/>
    <s v="Plaquettes de finition"/>
    <s v="170325"/>
    <s v="VERDELET BASTIEN"/>
    <n v="10"/>
    <x v="1"/>
    <x v="2"/>
    <s v="PLAQUETTES"/>
    <x v="0"/>
    <n v="109.7"/>
  </r>
  <r>
    <d v="2025-11-12T13:10:44"/>
    <x v="11"/>
    <s v="Plaquettes de finition triangulaires"/>
    <s v="sd13196"/>
    <s v="FRADIN MAXIME"/>
    <n v="10"/>
    <x v="0"/>
    <x v="2"/>
    <s v="PLAQUETTES"/>
    <x v="1"/>
    <n v="118.7"/>
  </r>
  <r>
    <d v="2025-05-15T23:32:15"/>
    <x v="5"/>
    <s v="Plaquettes rondes"/>
    <s v="u134838"/>
    <s v="DANAH STEPHANIE"/>
    <n v="10"/>
    <x v="3"/>
    <x v="0"/>
    <s v="PLAQUETTES"/>
    <x v="0"/>
    <n v="108.5"/>
  </r>
  <r>
    <d v="2025-05-15T23:32:56"/>
    <x v="6"/>
    <s v="Plaquettes de finition positives"/>
    <s v="u134838"/>
    <s v="DANAH STEPHANIE"/>
    <n v="10"/>
    <x v="3"/>
    <x v="2"/>
    <s v="PLAQUETTES"/>
    <x v="0"/>
    <n v="87"/>
  </r>
  <r>
    <d v="2025-05-16T05:13:40"/>
    <x v="2"/>
    <s v="Plaquettes d'ébauches rhombiques"/>
    <s v="U518765"/>
    <s v="ROY ADELINE"/>
    <n v="10"/>
    <x v="2"/>
    <x v="1"/>
    <s v="PLAQUETTES"/>
    <x v="1"/>
    <n v="70"/>
  </r>
  <r>
    <d v="2025-05-16T05:14:02"/>
    <x v="1"/>
    <s v="Plaquettes d'ébauches carrées"/>
    <s v="U518765"/>
    <s v="ROY ADELINE"/>
    <n v="10"/>
    <x v="3"/>
    <x v="0"/>
    <s v="PLAQUETTES"/>
    <x v="0"/>
    <n v="71.2"/>
  </r>
  <r>
    <d v="2025-05-16T05:14:23"/>
    <x v="4"/>
    <s v="Plaquettes de finition"/>
    <s v="U518765"/>
    <s v="ROY ADELINE"/>
    <n v="5"/>
    <x v="2"/>
    <x v="2"/>
    <s v="PLAQUETTES"/>
    <x v="1"/>
    <n v="47.8"/>
  </r>
  <r>
    <d v="2025-05-16T05:14:47"/>
    <x v="6"/>
    <s v="Plaquettes de finition positives"/>
    <s v="U518765"/>
    <s v="ROY ADELINE"/>
    <n v="10"/>
    <x v="3"/>
    <x v="2"/>
    <s v="PLAQUETTES"/>
    <x v="0"/>
    <n v="87"/>
  </r>
  <r>
    <d v="2025-05-16T08:40:55"/>
    <x v="1"/>
    <s v="Plaquettes d'ébauches carrées"/>
    <s v="12824586"/>
    <s v="DA SILVA FERNANDO"/>
    <n v="10"/>
    <x v="3"/>
    <x v="1"/>
    <s v="PLAQUETTES"/>
    <x v="4"/>
    <n v="71.2"/>
  </r>
  <r>
    <d v="2025-05-16T08:42:51"/>
    <x v="6"/>
    <s v="Plaquettes de finition positives"/>
    <s v="U080365"/>
    <s v="ALAVOINE SAMUEL"/>
    <n v="10"/>
    <x v="1"/>
    <x v="2"/>
    <s v="PLAQUETTES"/>
    <x v="0"/>
    <n v="87"/>
  </r>
  <r>
    <d v="2025-05-16T09:41:17"/>
    <x v="9"/>
    <s v="Plaquettes rhombiques"/>
    <s v="12824586"/>
    <s v="DA SILVA FERNANDO"/>
    <n v="5"/>
    <x v="3"/>
    <x v="0"/>
    <s v="PLAQUETTES"/>
    <x v="4"/>
    <n v="44.85"/>
  </r>
  <r>
    <d v="2025-11-17T20:25:19"/>
    <x v="7"/>
    <s v="Plaquettes de finition triangulaires"/>
    <s v="u134838"/>
    <s v="DANAH STEPHANIE"/>
    <n v="10"/>
    <x v="0"/>
    <x v="2"/>
    <s v="PLAQUETTES"/>
    <x v="0"/>
    <n v="138.80000000000001"/>
  </r>
  <r>
    <d v="2025-11-21T03:57:59"/>
    <x v="11"/>
    <s v="Plaquettes de finition triangulaires"/>
    <s v="j519914"/>
    <s v="MARLY DAVID"/>
    <n v="10"/>
    <x v="0"/>
    <x v="2"/>
    <s v="PLAQUETTES"/>
    <x v="1"/>
    <n v="118.7"/>
  </r>
  <r>
    <d v="2025-05-16T21:42:44"/>
    <x v="4"/>
    <s v="Plaquettes de finition"/>
    <s v="u134838"/>
    <s v="DANAH STEPHANIE"/>
    <n v="5"/>
    <x v="2"/>
    <x v="2"/>
    <s v="PLAQUETTES"/>
    <x v="1"/>
    <n v="47.8"/>
  </r>
  <r>
    <d v="2025-05-16T21:43:04"/>
    <x v="8"/>
    <s v="Plaquettes rhombiques"/>
    <s v="u134838"/>
    <s v="DANAH STEPHANIE"/>
    <n v="5"/>
    <x v="2"/>
    <x v="2"/>
    <s v="PLAQUETTES"/>
    <x v="1"/>
    <n v="18.399999999999999"/>
  </r>
  <r>
    <d v="2025-05-16T21:43:26"/>
    <x v="6"/>
    <s v="Plaquettes de finition positives"/>
    <s v="u134838"/>
    <s v="DANAH STEPHANIE"/>
    <n v="10"/>
    <x v="3"/>
    <x v="2"/>
    <s v="PLAQUETTES"/>
    <x v="0"/>
    <n v="87"/>
  </r>
  <r>
    <d v="2025-05-16T21:44:13"/>
    <x v="2"/>
    <s v="Plaquettes d'ébauches rhombiques"/>
    <s v="u134838"/>
    <s v="DANAH STEPHANIE"/>
    <n v="10"/>
    <x v="2"/>
    <x v="0"/>
    <s v="PLAQUETTES"/>
    <x v="1"/>
    <n v="70"/>
  </r>
  <r>
    <d v="2025-05-16T21:44:44"/>
    <x v="2"/>
    <s v="Plaquettes d'ébauches rhombiques"/>
    <s v="u134838"/>
    <s v="DANAH STEPHANIE"/>
    <n v="10"/>
    <x v="3"/>
    <x v="0"/>
    <s v="PLAQUETTES"/>
    <x v="0"/>
    <n v="70"/>
  </r>
  <r>
    <d v="2025-05-16T21:45:13"/>
    <x v="1"/>
    <s v="Plaquettes d'ébauches carrées"/>
    <s v="u134838"/>
    <s v="DANAH STEPHANIE"/>
    <n v="10"/>
    <x v="3"/>
    <x v="0"/>
    <s v="PLAQUETTES"/>
    <x v="0"/>
    <n v="71.2"/>
  </r>
  <r>
    <d v="2025-11-27T02:51:20"/>
    <x v="11"/>
    <s v="Plaquettes de finition triangulaires"/>
    <s v="j519914"/>
    <s v="MARLY DAVID"/>
    <n v="10"/>
    <x v="0"/>
    <x v="2"/>
    <s v="PLAQUETTES"/>
    <x v="1"/>
    <n v="118.7"/>
  </r>
  <r>
    <d v="2025-12-12T17:07:00"/>
    <x v="11"/>
    <s v="Plaquettes de finition triangulaires"/>
    <s v="sd13196"/>
    <s v="FRADIN MAXIME"/>
    <n v="10"/>
    <x v="0"/>
    <x v="2"/>
    <s v="PLAQUETTES"/>
    <x v="1"/>
    <n v="118.7"/>
  </r>
  <r>
    <d v="2025-12-15T21:50:52"/>
    <x v="7"/>
    <s v="Plaquettes de finition triangulaires"/>
    <s v="j519914"/>
    <s v="MARLY DAVID"/>
    <n v="10"/>
    <x v="0"/>
    <x v="2"/>
    <s v="PLAQUETTES"/>
    <x v="0"/>
    <n v="138.80000000000001"/>
  </r>
  <r>
    <d v="2025-12-16T13:06:46"/>
    <x v="7"/>
    <s v="Plaquettes de finition triangulaires"/>
    <s v="u134838"/>
    <s v="DANAH STEPHANIE"/>
    <n v="10"/>
    <x v="0"/>
    <x v="2"/>
    <s v="PLAQUETTES"/>
    <x v="0"/>
    <n v="138.80000000000001"/>
  </r>
  <r>
    <d v="2025-12-18T13:54:30"/>
    <x v="11"/>
    <s v="Plaquettes de finition triangulaires"/>
    <s v="04522ACAA77080"/>
    <s v="VILLALOBOS ANTHONY"/>
    <n v="10"/>
    <x v="0"/>
    <x v="2"/>
    <s v="PLAQUETTES"/>
    <x v="1"/>
    <n v="118.7"/>
  </r>
  <r>
    <d v="2025-12-21T17:51:50"/>
    <x v="7"/>
    <s v="Plaquettes de finition triangulaires"/>
    <s v="U534565"/>
    <s v="HOAREAU MARIUS"/>
    <n v="10"/>
    <x v="0"/>
    <x v="2"/>
    <s v="PLAQUETTES"/>
    <x v="0"/>
    <n v="138.80000000000001"/>
  </r>
  <r>
    <d v="2025-01-21T09:21:49"/>
    <x v="12"/>
    <s v="Plaquettes de gorge"/>
    <s v="U134838"/>
    <s v="DANAH STEPHANIE"/>
    <n v="10"/>
    <x v="0"/>
    <x v="0"/>
    <s v="PLAQUETTES"/>
    <x v="1"/>
    <n v="157"/>
  </r>
  <r>
    <d v="2025-01-23T21:24:30"/>
    <x v="12"/>
    <s v="Plaquettes de gorge"/>
    <s v="VERGE G"/>
    <s v="VERGE GREGORY"/>
    <n v="10"/>
    <x v="0"/>
    <x v="0"/>
    <s v="PLAQUETTES"/>
    <x v="1"/>
    <n v="157"/>
  </r>
  <r>
    <d v="2025-05-17T05:07:09"/>
    <x v="6"/>
    <s v="Plaquettes de finition positives"/>
    <s v="J534699"/>
    <s v="CHARTON FABIAN"/>
    <n v="10"/>
    <x v="1"/>
    <x v="2"/>
    <s v="PLAQUETTES"/>
    <x v="0"/>
    <n v="87"/>
  </r>
  <r>
    <d v="2025-05-17T05:07:47"/>
    <x v="6"/>
    <s v="Plaquettes de finition positives"/>
    <s v="J534699"/>
    <s v="CHARTON FABIAN"/>
    <n v="10"/>
    <x v="1"/>
    <x v="2"/>
    <s v="PLAQUETTES"/>
    <x v="0"/>
    <n v="87"/>
  </r>
  <r>
    <d v="2025-05-17T05:08:23"/>
    <x v="2"/>
    <s v="Plaquettes d'ébauches rhombiques"/>
    <s v="J534699"/>
    <s v="CHARTON FABIAN"/>
    <n v="10"/>
    <x v="1"/>
    <x v="0"/>
    <s v="PLAQUETTES"/>
    <x v="0"/>
    <n v="70"/>
  </r>
  <r>
    <d v="2025-05-17T13:39:26"/>
    <x v="4"/>
    <s v="Plaquettes de finition"/>
    <s v="P717908"/>
    <s v="GONCALVES GEORGES"/>
    <n v="5"/>
    <x v="2"/>
    <x v="2"/>
    <s v="PLAQUETTES"/>
    <x v="1"/>
    <n v="47.8"/>
  </r>
  <r>
    <d v="2025-05-17T13:40:37"/>
    <x v="8"/>
    <s v="Plaquettes rhombiques"/>
    <s v="P717908"/>
    <s v="GONCALVES GEORGES"/>
    <n v="5"/>
    <x v="2"/>
    <x v="2"/>
    <s v="PLAQUETTES"/>
    <x v="1"/>
    <n v="18.399999999999999"/>
  </r>
  <r>
    <d v="2025-05-17T19:51:52"/>
    <x v="2"/>
    <s v="Plaquettes d'ébauches rhombiques"/>
    <s v="U080365"/>
    <s v="ALAVOINE SAMUEL"/>
    <n v="10"/>
    <x v="3"/>
    <x v="0"/>
    <s v="PLAQUETTES"/>
    <x v="0"/>
    <n v="70"/>
  </r>
  <r>
    <d v="2025-05-17T19:52:15"/>
    <x v="1"/>
    <s v="Plaquettes d'ébauches carrées"/>
    <s v="U080365"/>
    <s v="ALAVOINE SAMUEL"/>
    <n v="10"/>
    <x v="3"/>
    <x v="0"/>
    <s v="PLAQUETTES"/>
    <x v="0"/>
    <n v="71.2"/>
  </r>
  <r>
    <d v="2025-05-17T19:52:33"/>
    <x v="5"/>
    <s v="Plaquettes rondes"/>
    <s v="U080365"/>
    <s v="ALAVOINE SAMUEL"/>
    <n v="10"/>
    <x v="3"/>
    <x v="0"/>
    <s v="PLAQUETTES"/>
    <x v="0"/>
    <n v="108.5"/>
  </r>
  <r>
    <d v="2025-05-17T19:53:07"/>
    <x v="3"/>
    <s v="Plaquettes rondes"/>
    <s v="U080365"/>
    <s v="ALAVOINE SAMUEL"/>
    <n v="10"/>
    <x v="2"/>
    <x v="0"/>
    <s v="PLAQUETTES"/>
    <x v="1"/>
    <n v="136.69999999999999"/>
  </r>
  <r>
    <d v="2025-05-17T19:53:27"/>
    <x v="6"/>
    <s v="Plaquettes de finition positives"/>
    <s v="U080365"/>
    <s v="ALAVOINE SAMUEL"/>
    <n v="10"/>
    <x v="3"/>
    <x v="2"/>
    <s v="PLAQUETTES"/>
    <x v="0"/>
    <n v="87"/>
  </r>
  <r>
    <d v="2025-05-17T19:53:44"/>
    <x v="4"/>
    <s v="Plaquettes de finition"/>
    <s v="U080365"/>
    <s v="ALAVOINE SAMUEL"/>
    <n v="5"/>
    <x v="2"/>
    <x v="2"/>
    <s v="PLAQUETTES"/>
    <x v="1"/>
    <n v="47.8"/>
  </r>
  <r>
    <d v="2025-05-17T19:54:00"/>
    <x v="8"/>
    <s v="Plaquettes rhombiques"/>
    <s v="U080365"/>
    <s v="ALAVOINE SAMUEL"/>
    <n v="5"/>
    <x v="2"/>
    <x v="2"/>
    <s v="PLAQUETTES"/>
    <x v="1"/>
    <n v="18.399999999999999"/>
  </r>
  <r>
    <d v="2025-05-17T19:54:22"/>
    <x v="9"/>
    <s v="Plaquettes rhombiques"/>
    <s v="U080365"/>
    <s v="ALAVOINE SAMUEL"/>
    <n v="5"/>
    <x v="2"/>
    <x v="2"/>
    <s v="PLAQUETTES"/>
    <x v="1"/>
    <n v="44.85"/>
  </r>
  <r>
    <d v="2025-01-27T13:44:04"/>
    <x v="12"/>
    <s v="Plaquettes de gorge"/>
    <s v="VERGE G"/>
    <s v="VERGE GREGORY"/>
    <n v="10"/>
    <x v="0"/>
    <x v="0"/>
    <s v="PLAQUETTES"/>
    <x v="1"/>
    <n v="157"/>
  </r>
  <r>
    <d v="2025-01-30T19:33:08"/>
    <x v="12"/>
    <s v="Plaquettes de gorge"/>
    <s v="080924"/>
    <s v="DABLEMONT AURELIEN"/>
    <n v="10"/>
    <x v="0"/>
    <x v="0"/>
    <s v="PLAQUETTES"/>
    <x v="1"/>
    <n v="157"/>
  </r>
  <r>
    <d v="2025-05-18T15:57:26"/>
    <x v="10"/>
    <s v="Plaquettes de finition"/>
    <s v="P717908"/>
    <s v="GONCALVES GEORGES"/>
    <n v="10"/>
    <x v="1"/>
    <x v="2"/>
    <s v="PLAQUETTES"/>
    <x v="0"/>
    <n v="109.7"/>
  </r>
  <r>
    <d v="2025-05-18T15:57:56"/>
    <x v="6"/>
    <s v="Plaquettes de finition positives"/>
    <s v="P717908"/>
    <s v="GONCALVES GEORGES"/>
    <n v="10"/>
    <x v="1"/>
    <x v="2"/>
    <s v="PLAQUETTES"/>
    <x v="0"/>
    <n v="87"/>
  </r>
  <r>
    <d v="2025-05-18T15:58:26"/>
    <x v="2"/>
    <s v="Plaquettes d'ébauches rhombiques"/>
    <s v="P717908"/>
    <s v="GONCALVES GEORGES"/>
    <n v="10"/>
    <x v="1"/>
    <x v="1"/>
    <s v="PLAQUETTES"/>
    <x v="0"/>
    <n v="70"/>
  </r>
  <r>
    <d v="2025-02-03T05:13:55"/>
    <x v="12"/>
    <s v="Plaquettes de gorge"/>
    <s v="080924"/>
    <s v="DABLEMONT AURELIEN"/>
    <n v="10"/>
    <x v="0"/>
    <x v="0"/>
    <s v="PLAQUETTES"/>
    <x v="1"/>
    <n v="157"/>
  </r>
  <r>
    <d v="2025-05-18T21:36:05"/>
    <x v="2"/>
    <s v="Plaquettes d'ébauches rhombiques"/>
    <s v="J519914"/>
    <s v="MARLY DAVID"/>
    <n v="10"/>
    <x v="1"/>
    <x v="0"/>
    <s v="PLAQUETTES"/>
    <x v="0"/>
    <n v="70"/>
  </r>
  <r>
    <d v="2025-05-18T21:36:52"/>
    <x v="1"/>
    <s v="Plaquettes d'ébauches carrées"/>
    <s v="J519914"/>
    <s v="MARLY DAVID"/>
    <n v="10"/>
    <x v="1"/>
    <x v="0"/>
    <s v="PLAQUETTES"/>
    <x v="0"/>
    <n v="71.2"/>
  </r>
  <r>
    <d v="2025-05-18T21:38:55"/>
    <x v="5"/>
    <s v="Plaquettes rondes"/>
    <s v="J519914"/>
    <s v="MARLY DAVID"/>
    <n v="10"/>
    <x v="1"/>
    <x v="0"/>
    <s v="PLAQUETTES"/>
    <x v="0"/>
    <n v="108.5"/>
  </r>
  <r>
    <d v="2025-05-19T06:09:27"/>
    <x v="2"/>
    <s v="Plaquettes d'ébauches rhombiques"/>
    <s v="080924"/>
    <s v="DABLEMONT AURELIEN"/>
    <n v="10"/>
    <x v="1"/>
    <x v="1"/>
    <s v="PLAQUETTES"/>
    <x v="0"/>
    <n v="70"/>
  </r>
  <r>
    <d v="2025-05-19T06:09:43"/>
    <x v="6"/>
    <s v="Plaquettes de finition positives"/>
    <s v="080924"/>
    <s v="DABLEMONT AURELIEN"/>
    <n v="10"/>
    <x v="1"/>
    <x v="2"/>
    <s v="PLAQUETTES"/>
    <x v="0"/>
    <n v="87"/>
  </r>
  <r>
    <d v="2025-02-04T23:57:44"/>
    <x v="12"/>
    <s v="Plaquettes de gorge"/>
    <s v="J519914"/>
    <s v="MARLY DAVID"/>
    <n v="10"/>
    <x v="0"/>
    <x v="0"/>
    <s v="PLAQUETTES"/>
    <x v="1"/>
    <n v="157"/>
  </r>
  <r>
    <d v="2025-02-05T08:57:59"/>
    <x v="12"/>
    <s v="Plaquettes de gorge"/>
    <s v="080924"/>
    <s v="DABLEMONT AURELIEN"/>
    <n v="10"/>
    <x v="0"/>
    <x v="0"/>
    <s v="PLAQUETTES"/>
    <x v="1"/>
    <n v="157"/>
  </r>
  <r>
    <d v="2025-05-19T06:10:31"/>
    <x v="1"/>
    <s v="Plaquettes d'ébauches carrées"/>
    <s v="080924"/>
    <s v="DABLEMONT AURELIEN"/>
    <n v="10"/>
    <x v="1"/>
    <x v="1"/>
    <s v="PLAQUETTES"/>
    <x v="0"/>
    <n v="71.2"/>
  </r>
  <r>
    <d v="2025-02-08T15:00:18"/>
    <x v="12"/>
    <s v="Plaquettes de gorge"/>
    <s v="P910513"/>
    <s v="IMBERT MICKAEL"/>
    <n v="10"/>
    <x v="0"/>
    <x v="0"/>
    <s v="PLAQUETTES"/>
    <x v="1"/>
    <n v="157"/>
  </r>
  <r>
    <d v="2025-02-10T09:41:52"/>
    <x v="12"/>
    <s v="Plaquettes de gorge"/>
    <s v="100125"/>
    <s v="MEUNIER Louis"/>
    <n v="10"/>
    <x v="0"/>
    <x v="0"/>
    <s v="PLAQUETTES"/>
    <x v="1"/>
    <n v="157"/>
  </r>
  <r>
    <d v="2025-02-11T13:08:41"/>
    <x v="12"/>
    <s v="Plaquettes de gorge"/>
    <s v="SIEGEL F"/>
    <s v="SIEGEL FRANCK"/>
    <n v="10"/>
    <x v="0"/>
    <x v="0"/>
    <s v="PLAQUETTES"/>
    <x v="1"/>
    <n v="157"/>
  </r>
  <r>
    <d v="2025-02-13T00:15:45"/>
    <x v="12"/>
    <s v="Plaquettes de gorge"/>
    <s v="080924"/>
    <s v="DABLEMONT AURELIEN"/>
    <n v="10"/>
    <x v="0"/>
    <x v="0"/>
    <s v="PLAQUETTES"/>
    <x v="1"/>
    <n v="157"/>
  </r>
  <r>
    <d v="2025-05-19T06:28:41"/>
    <x v="2"/>
    <s v="Plaquettes d'ébauches rhombiques"/>
    <s v="VERGE G"/>
    <s v="VERGE GREGORY"/>
    <n v="10"/>
    <x v="2"/>
    <x v="1"/>
    <s v="PLAQUETTES"/>
    <x v="1"/>
    <n v="70"/>
  </r>
  <r>
    <d v="2025-05-19T06:29:12"/>
    <x v="4"/>
    <s v="Plaquettes de finition"/>
    <s v="VERGE G"/>
    <s v="VERGE GREGORY"/>
    <n v="5"/>
    <x v="2"/>
    <x v="2"/>
    <s v="PLAQUETTES"/>
    <x v="1"/>
    <n v="47.8"/>
  </r>
  <r>
    <d v="2025-02-13T13:09:52"/>
    <x v="12"/>
    <s v="Plaquettes de gorge"/>
    <s v="SIEGEL F"/>
    <s v="SIEGEL FRANCK"/>
    <n v="10"/>
    <x v="0"/>
    <x v="0"/>
    <s v="PLAQUETTES"/>
    <x v="1"/>
    <n v="157"/>
  </r>
  <r>
    <d v="2025-05-19T15:34:18"/>
    <x v="4"/>
    <s v="Plaquettes de finition"/>
    <s v="u134838"/>
    <s v="DANAH STEPHANIE"/>
    <n v="5"/>
    <x v="2"/>
    <x v="2"/>
    <s v="PLAQUETTES"/>
    <x v="5"/>
    <n v="47.8"/>
  </r>
  <r>
    <d v="2025-05-19T15:34:57"/>
    <x v="11"/>
    <s v="Plaquettes de finition triangulaires"/>
    <s v="u134838"/>
    <s v="DANAH STEPHANIE"/>
    <n v="10"/>
    <x v="2"/>
    <x v="2"/>
    <s v="PLAQUETTES"/>
    <x v="1"/>
    <n v="118.7"/>
  </r>
  <r>
    <d v="2025-05-19T15:35:18"/>
    <x v="4"/>
    <s v="Plaquettes de finition"/>
    <s v="u134838"/>
    <s v="DANAH STEPHANIE"/>
    <n v="5"/>
    <x v="3"/>
    <x v="2"/>
    <s v="PLAQUETTES"/>
    <x v="2"/>
    <n v="47.8"/>
  </r>
  <r>
    <d v="2025-05-19T15:35:50"/>
    <x v="11"/>
    <s v="Plaquettes de finition triangulaires"/>
    <s v="u134838"/>
    <s v="DANAH STEPHANIE"/>
    <n v="10"/>
    <x v="3"/>
    <x v="2"/>
    <s v="PLAQUETTES"/>
    <x v="2"/>
    <n v="118.7"/>
  </r>
  <r>
    <d v="2025-05-19T15:36:08"/>
    <x v="2"/>
    <s v="Plaquettes d'ébauches rhombiques"/>
    <s v="u134838"/>
    <s v="DANAH STEPHANIE"/>
    <n v="10"/>
    <x v="3"/>
    <x v="2"/>
    <s v="PLAQUETTES"/>
    <x v="2"/>
    <n v="70"/>
  </r>
  <r>
    <d v="2025-05-19T23:49:16"/>
    <x v="2"/>
    <s v="Plaquettes d'ébauches rhombiques"/>
    <s v="J519914"/>
    <s v="MARLY DAVID"/>
    <n v="10"/>
    <x v="1"/>
    <x v="0"/>
    <s v="PLAQUETTES"/>
    <x v="0"/>
    <n v="70"/>
  </r>
  <r>
    <d v="2025-05-19T23:49:38"/>
    <x v="1"/>
    <s v="Plaquettes d'ébauches carrées"/>
    <s v="J519914"/>
    <s v="MARLY DAVID"/>
    <n v="10"/>
    <x v="1"/>
    <x v="0"/>
    <s v="PLAQUETTES"/>
    <x v="0"/>
    <n v="71.2"/>
  </r>
  <r>
    <d v="2025-05-20T05:09:34"/>
    <x v="2"/>
    <s v="Plaquettes d'ébauches rhombiques"/>
    <s v="VERGE G"/>
    <s v="VERGE GREGORY"/>
    <n v="10"/>
    <x v="2"/>
    <x v="1"/>
    <s v="PLAQUETTES"/>
    <x v="1"/>
    <n v="70"/>
  </r>
  <r>
    <d v="2025-05-20T05:09:47"/>
    <x v="4"/>
    <s v="Plaquettes de finition"/>
    <s v="VERGE G"/>
    <s v="VERGE GREGORY"/>
    <n v="5"/>
    <x v="2"/>
    <x v="2"/>
    <s v="PLAQUETTES"/>
    <x v="1"/>
    <n v="47.8"/>
  </r>
  <r>
    <d v="2025-05-20T05:50:54"/>
    <x v="2"/>
    <s v="Plaquettes d'ébauches rhombiques"/>
    <s v="VERGE G"/>
    <s v="VERGE GREGORY"/>
    <n v="10"/>
    <x v="2"/>
    <x v="1"/>
    <s v="PLAQUETTES"/>
    <x v="1"/>
    <n v="70"/>
  </r>
  <r>
    <d v="2025-05-20T06:20:21"/>
    <x v="5"/>
    <s v="Plaquettes rondes"/>
    <s v="080924"/>
    <s v="DABLEMONT AURELIEN"/>
    <n v="10"/>
    <x v="1"/>
    <x v="0"/>
    <s v="PLAQUETTES"/>
    <x v="0"/>
    <n v="108.5"/>
  </r>
  <r>
    <d v="2025-02-14T21:29:00"/>
    <x v="12"/>
    <s v="Plaquettes de gorge"/>
    <s v="080924"/>
    <s v="DABLEMONT AURELIEN"/>
    <n v="10"/>
    <x v="0"/>
    <x v="0"/>
    <s v="PLAQUETTES"/>
    <x v="1"/>
    <n v="157"/>
  </r>
  <r>
    <d v="2025-05-20T13:21:51"/>
    <x v="6"/>
    <s v="Plaquettes de finition positives"/>
    <s v="170325"/>
    <s v="VERDELET BASTIEN"/>
    <n v="10"/>
    <x v="1"/>
    <x v="2"/>
    <s v="PLAQUETTES"/>
    <x v="0"/>
    <n v="87"/>
  </r>
  <r>
    <d v="2025-05-20T14:02:21"/>
    <x v="9"/>
    <s v="Plaquettes rhombiques"/>
    <s v="u134838"/>
    <s v="DANAH STEPHANIE"/>
    <n v="5"/>
    <x v="2"/>
    <x v="2"/>
    <s v="PLAQUETTES"/>
    <x v="1"/>
    <n v="44.85"/>
  </r>
  <r>
    <d v="2025-05-20T14:02:48"/>
    <x v="5"/>
    <s v="Plaquettes rondes"/>
    <s v="u134838"/>
    <s v="DANAH STEPHANIE"/>
    <n v="10"/>
    <x v="3"/>
    <x v="0"/>
    <s v="PLAQUETTES"/>
    <x v="2"/>
    <n v="108.5"/>
  </r>
  <r>
    <d v="2025-05-20T21:17:22"/>
    <x v="10"/>
    <s v="Plaquettes de finition"/>
    <s v="J519914"/>
    <s v="MARLY DAVID"/>
    <n v="10"/>
    <x v="1"/>
    <x v="2"/>
    <s v="PLAQUETTES"/>
    <x v="0"/>
    <n v="109.7"/>
  </r>
  <r>
    <d v="2025-05-20T21:17:55"/>
    <x v="7"/>
    <s v="Plaquettes de finition triangulaires"/>
    <s v="J519914"/>
    <s v="MARLY DAVID"/>
    <n v="10"/>
    <x v="1"/>
    <x v="2"/>
    <s v="PLAQUETTES"/>
    <x v="0"/>
    <n v="138.80000000000001"/>
  </r>
  <r>
    <d v="2025-02-17T05:04:07"/>
    <x v="12"/>
    <s v="Plaquettes de gorge"/>
    <s v="SIEGEL F"/>
    <s v="SIEGEL FRANCK"/>
    <n v="10"/>
    <x v="0"/>
    <x v="0"/>
    <s v="PLAQUETTES"/>
    <x v="1"/>
    <n v="157"/>
  </r>
  <r>
    <d v="2025-05-20T21:20:07"/>
    <x v="2"/>
    <s v="Plaquettes d'ébauches rhombiques"/>
    <s v="J519914"/>
    <s v="MARLY DAVID"/>
    <n v="10"/>
    <x v="1"/>
    <x v="0"/>
    <s v="PLAQUETTES"/>
    <x v="0"/>
    <n v="70"/>
  </r>
  <r>
    <d v="2025-05-20T21:20:56"/>
    <x v="1"/>
    <s v="Plaquettes d'ébauches carrées"/>
    <s v="J519914"/>
    <s v="MARLY DAVID"/>
    <n v="10"/>
    <x v="1"/>
    <x v="0"/>
    <s v="PLAQUETTES"/>
    <x v="0"/>
    <n v="71.2"/>
  </r>
  <r>
    <d v="2025-05-20T21:21:32"/>
    <x v="5"/>
    <s v="Plaquettes rondes"/>
    <s v="J519914"/>
    <s v="MARLY DAVID"/>
    <n v="10"/>
    <x v="1"/>
    <x v="0"/>
    <s v="PLAQUETTES"/>
    <x v="0"/>
    <n v="108.5"/>
  </r>
  <r>
    <d v="2025-02-24T21:11:48"/>
    <x v="12"/>
    <s v="Plaquettes de gorge"/>
    <s v="SIEGEL F"/>
    <s v="SIEGEL FRANCK"/>
    <n v="10"/>
    <x v="0"/>
    <x v="0"/>
    <s v="PLAQUETTES"/>
    <x v="1"/>
    <n v="157"/>
  </r>
  <r>
    <d v="2025-05-21T05:52:58"/>
    <x v="4"/>
    <s v="Plaquettes de finition"/>
    <s v="VERGE G"/>
    <s v="VERGE GREGORY"/>
    <n v="5"/>
    <x v="2"/>
    <x v="2"/>
    <s v="PLAQUETTES"/>
    <x v="5"/>
    <n v="47.8"/>
  </r>
  <r>
    <d v="2025-05-21T05:53:59"/>
    <x v="2"/>
    <s v="Plaquettes d'ébauches rhombiques"/>
    <s v="VERGE G"/>
    <s v="VERGE GREGORY"/>
    <n v="10"/>
    <x v="3"/>
    <x v="1"/>
    <s v="PLAQUETTES"/>
    <x v="0"/>
    <n v="70"/>
  </r>
  <r>
    <d v="2025-05-21T05:54:16"/>
    <x v="1"/>
    <s v="Plaquettes d'ébauches carrées"/>
    <s v="VERGE G"/>
    <s v="VERGE GREGORY"/>
    <n v="10"/>
    <x v="3"/>
    <x v="1"/>
    <s v="PLAQUETTES"/>
    <x v="0"/>
    <n v="71.2"/>
  </r>
  <r>
    <d v="2025-02-26T05:35:35"/>
    <x v="12"/>
    <s v="Plaquettes de gorge"/>
    <s v="080924"/>
    <s v="DABLEMONT AURELIEN"/>
    <n v="10"/>
    <x v="0"/>
    <x v="0"/>
    <s v="PLAQUETTES"/>
    <x v="1"/>
    <n v="157"/>
  </r>
  <r>
    <d v="2025-05-21T13:21:12"/>
    <x v="2"/>
    <s v="Plaquettes d'ébauches rhombiques"/>
    <s v="170325"/>
    <s v="VERDELET BASTIEN"/>
    <n v="10"/>
    <x v="1"/>
    <x v="0"/>
    <s v="PLAQUETTES"/>
    <x v="0"/>
    <n v="70"/>
  </r>
  <r>
    <d v="2025-05-21T13:21:27"/>
    <x v="1"/>
    <s v="Plaquettes d'ébauches carrées"/>
    <s v="170325"/>
    <s v="VERDELET BASTIEN"/>
    <n v="10"/>
    <x v="1"/>
    <x v="0"/>
    <s v="PLAQUETTES"/>
    <x v="0"/>
    <n v="71.2"/>
  </r>
  <r>
    <d v="2025-05-21T19:36:48"/>
    <x v="6"/>
    <s v="Plaquettes de finition positives"/>
    <s v="170325"/>
    <s v="VERDELET BASTIEN"/>
    <n v="10"/>
    <x v="1"/>
    <x v="2"/>
    <s v="PLAQUETTES"/>
    <x v="0"/>
    <n v="87"/>
  </r>
  <r>
    <d v="2025-05-21T19:37:04"/>
    <x v="6"/>
    <s v="Plaquettes de finition positives"/>
    <s v="170325"/>
    <s v="VERDELET BASTIEN"/>
    <n v="10"/>
    <x v="1"/>
    <x v="2"/>
    <s v="PLAQUETTES"/>
    <x v="0"/>
    <n v="87"/>
  </r>
  <r>
    <d v="2025-02-27T14:02:24"/>
    <x v="12"/>
    <s v="Plaquettes de gorge"/>
    <s v="u134838"/>
    <s v="DANAH STEPHANIE"/>
    <n v="10"/>
    <x v="0"/>
    <x v="0"/>
    <s v="PLAQUETTES"/>
    <x v="1"/>
    <n v="157"/>
  </r>
  <r>
    <d v="2025-03-03T05:54:26"/>
    <x v="12"/>
    <s v="Plaquettes de gorge"/>
    <s v="u134838"/>
    <s v="DANAH STEPHANIE"/>
    <n v="10"/>
    <x v="0"/>
    <x v="0"/>
    <s v="PLAQUETTES"/>
    <x v="1"/>
    <n v="157"/>
  </r>
  <r>
    <d v="2025-05-22T03:17:34"/>
    <x v="6"/>
    <s v="Plaquettes de finition positives"/>
    <s v="J519914"/>
    <s v="MARLY DAVID"/>
    <n v="10"/>
    <x v="1"/>
    <x v="2"/>
    <s v="PLAQUETTES"/>
    <x v="0"/>
    <n v="87"/>
  </r>
  <r>
    <d v="2025-05-22T03:18:14"/>
    <x v="2"/>
    <s v="Plaquettes d'ébauches rhombiques"/>
    <s v="J519914"/>
    <s v="MARLY DAVID"/>
    <n v="10"/>
    <x v="1"/>
    <x v="0"/>
    <s v="PLAQUETTES"/>
    <x v="0"/>
    <n v="70"/>
  </r>
  <r>
    <d v="2025-05-22T03:18:31"/>
    <x v="1"/>
    <s v="Plaquettes d'ébauches carrées"/>
    <s v="J519914"/>
    <s v="MARLY DAVID"/>
    <n v="10"/>
    <x v="1"/>
    <x v="0"/>
    <s v="PLAQUETTES"/>
    <x v="0"/>
    <n v="71.2"/>
  </r>
  <r>
    <d v="2025-05-22T05:21:11"/>
    <x v="2"/>
    <s v="Plaquettes d'ébauches rhombiques"/>
    <s v="VERGE G"/>
    <s v="VERGE GREGORY"/>
    <n v="10"/>
    <x v="2"/>
    <x v="1"/>
    <s v="PLAQUETTES"/>
    <x v="1"/>
    <n v="70"/>
  </r>
  <r>
    <d v="2025-05-22T05:21:27"/>
    <x v="2"/>
    <s v="Plaquettes d'ébauches rhombiques"/>
    <s v="VERGE G"/>
    <s v="VERGE GREGORY"/>
    <n v="10"/>
    <x v="2"/>
    <x v="1"/>
    <s v="PLAQUETTES"/>
    <x v="1"/>
    <n v="70"/>
  </r>
  <r>
    <d v="2025-05-22T06:32:33"/>
    <x v="6"/>
    <s v="Plaquettes de finition positives"/>
    <s v="080924"/>
    <s v="DABLEMONT AURELIEN"/>
    <n v="10"/>
    <x v="1"/>
    <x v="2"/>
    <s v="PLAQUETTES"/>
    <x v="0"/>
    <n v="87"/>
  </r>
  <r>
    <d v="2025-03-06T05:38:25"/>
    <x v="12"/>
    <s v="Plaquettes de gorge"/>
    <s v="u134838"/>
    <s v="DANAH STEPHANIE"/>
    <n v="10"/>
    <x v="0"/>
    <x v="0"/>
    <s v="PLAQUETTES"/>
    <x v="1"/>
    <n v="157"/>
  </r>
  <r>
    <d v="2025-03-07T14:31:59"/>
    <x v="12"/>
    <s v="Plaquettes de gorge"/>
    <s v="SD13196"/>
    <s v="FRADIN MAXIME"/>
    <n v="10"/>
    <x v="0"/>
    <x v="0"/>
    <s v="PLAQUETTES"/>
    <x v="1"/>
    <n v="157"/>
  </r>
  <r>
    <d v="2025-05-22T06:33:20"/>
    <x v="1"/>
    <s v="Plaquettes d'ébauches carrées"/>
    <s v="080924"/>
    <s v="DABLEMONT AURELIEN"/>
    <n v="10"/>
    <x v="1"/>
    <x v="1"/>
    <s v="PLAQUETTES"/>
    <x v="0"/>
    <n v="71.2"/>
  </r>
  <r>
    <d v="2025-05-22T13:20:47"/>
    <x v="10"/>
    <s v="Plaquettes de finition"/>
    <s v="u134838"/>
    <s v="DANAH STEPHANIE"/>
    <n v="10"/>
    <x v="3"/>
    <x v="2"/>
    <s v="PLAQUETTES"/>
    <x v="0"/>
    <n v="109.7"/>
  </r>
  <r>
    <d v="2025-05-22T13:21:16"/>
    <x v="7"/>
    <s v="Plaquettes de finition triangulaires"/>
    <s v="u134838"/>
    <s v="DANAH STEPHANIE"/>
    <n v="10"/>
    <x v="3"/>
    <x v="2"/>
    <s v="PLAQUETTES"/>
    <x v="0"/>
    <n v="138.80000000000001"/>
  </r>
  <r>
    <d v="2025-05-22T13:21:37"/>
    <x v="6"/>
    <s v="Plaquettes de finition positives"/>
    <s v="u134838"/>
    <s v="DANAH STEPHANIE"/>
    <n v="10"/>
    <x v="3"/>
    <x v="2"/>
    <s v="PLAQUETTES"/>
    <x v="0"/>
    <n v="87"/>
  </r>
  <r>
    <d v="2025-03-11T00:16:01"/>
    <x v="12"/>
    <s v="Plaquettes de gorge"/>
    <s v="u134838"/>
    <s v="DANAH STEPHANIE"/>
    <n v="10"/>
    <x v="0"/>
    <x v="0"/>
    <s v="PLAQUETTES"/>
    <x v="1"/>
    <n v="157"/>
  </r>
  <r>
    <d v="2025-05-22T22:57:18"/>
    <x v="4"/>
    <s v="Plaquettes de finition"/>
    <s v="100225"/>
    <s v="PRUNEAU WILLIAM"/>
    <n v="5"/>
    <x v="2"/>
    <x v="2"/>
    <s v="PLAQUETTES"/>
    <x v="1"/>
    <n v="47.8"/>
  </r>
  <r>
    <d v="2025-05-23T03:16:43"/>
    <x v="6"/>
    <s v="Plaquettes de finition positives"/>
    <s v="J519914"/>
    <s v="MARLY DAVID"/>
    <n v="10"/>
    <x v="1"/>
    <x v="2"/>
    <s v="PLAQUETTES"/>
    <x v="0"/>
    <n v="87"/>
  </r>
  <r>
    <d v="2025-05-23T03:17:09"/>
    <x v="2"/>
    <s v="Plaquettes d'ébauches rhombiques"/>
    <s v="J519914"/>
    <s v="MARLY DAVID"/>
    <n v="10"/>
    <x v="1"/>
    <x v="0"/>
    <s v="PLAQUETTES"/>
    <x v="0"/>
    <n v="70"/>
  </r>
  <r>
    <d v="2025-05-23T03:17:30"/>
    <x v="1"/>
    <s v="Plaquettes d'ébauches carrées"/>
    <s v="J519914"/>
    <s v="MARLY DAVID"/>
    <n v="10"/>
    <x v="1"/>
    <x v="0"/>
    <s v="PLAQUETTES"/>
    <x v="0"/>
    <n v="71.2"/>
  </r>
  <r>
    <d v="2025-03-12T06:34:32"/>
    <x v="12"/>
    <s v="Plaquettes de gorge"/>
    <s v="SD13196"/>
    <s v="FRADIN MAXIME"/>
    <n v="10"/>
    <x v="0"/>
    <x v="0"/>
    <s v="PLAQUETTES"/>
    <x v="1"/>
    <n v="157"/>
  </r>
  <r>
    <d v="2025-03-12T15:50:36"/>
    <x v="12"/>
    <s v="Plaquettes de gorge"/>
    <s v="080924"/>
    <s v="DABLEMONT AURELIEN"/>
    <n v="10"/>
    <x v="0"/>
    <x v="0"/>
    <s v="PLAQUETTES"/>
    <x v="1"/>
    <n v="157"/>
  </r>
  <r>
    <d v="2025-05-23T05:43:26"/>
    <x v="1"/>
    <s v="Plaquettes d'ébauches carrées"/>
    <s v="U054304"/>
    <s v="BOUACHIK HICHAM"/>
    <n v="10"/>
    <x v="1"/>
    <x v="1"/>
    <s v="PLAQUETTES"/>
    <x v="0"/>
    <n v="71.2"/>
  </r>
  <r>
    <d v="2025-05-23T09:35:18"/>
    <x v="3"/>
    <s v="Plaquettes rondes"/>
    <s v="J534699"/>
    <s v="CHARTON FABIAN"/>
    <n v="10"/>
    <x v="2"/>
    <x v="0"/>
    <s v="PLAQUETTES"/>
    <x v="1"/>
    <n v="136.69999999999999"/>
  </r>
  <r>
    <d v="2025-05-23T09:35:42"/>
    <x v="2"/>
    <s v="Plaquettes d'ébauches rhombiques"/>
    <s v="J534699"/>
    <s v="CHARTON FABIAN"/>
    <n v="10"/>
    <x v="2"/>
    <x v="0"/>
    <s v="PLAQUETTES"/>
    <x v="1"/>
    <n v="70"/>
  </r>
  <r>
    <d v="2025-05-23T09:36:02"/>
    <x v="1"/>
    <s v="Plaquettes d'ébauches carrées"/>
    <s v="J534699"/>
    <s v="CHARTON FABIAN"/>
    <n v="10"/>
    <x v="2"/>
    <x v="0"/>
    <s v="PLAQUETTES"/>
    <x v="1"/>
    <n v="71.2"/>
  </r>
  <r>
    <d v="2025-05-23T09:36:27"/>
    <x v="6"/>
    <s v="Plaquettes de finition positives"/>
    <s v="J534699"/>
    <s v="CHARTON FABIAN"/>
    <n v="10"/>
    <x v="3"/>
    <x v="2"/>
    <s v="PLAQUETTES"/>
    <x v="0"/>
    <n v="87"/>
  </r>
  <r>
    <d v="2025-05-23T09:36:48"/>
    <x v="10"/>
    <s v="Plaquettes de finition"/>
    <s v="J534699"/>
    <s v="CHARTON FABIAN"/>
    <n v="10"/>
    <x v="3"/>
    <x v="2"/>
    <s v="PLAQUETTES"/>
    <x v="0"/>
    <n v="109.7"/>
  </r>
  <r>
    <d v="2025-05-23T09:37:15"/>
    <x v="4"/>
    <s v="Plaquettes de finition"/>
    <s v="J534699"/>
    <s v="CHARTON FABIAN"/>
    <n v="5"/>
    <x v="2"/>
    <x v="2"/>
    <s v="PLAQUETTES"/>
    <x v="1"/>
    <n v="47.8"/>
  </r>
  <r>
    <d v="2025-05-23T09:46:30"/>
    <x v="5"/>
    <s v="Plaquettes rondes"/>
    <s v="J534699"/>
    <s v="CHARTON FABIAN"/>
    <n v="10"/>
    <x v="2"/>
    <x v="0"/>
    <s v="PLAQUETTES"/>
    <x v="1"/>
    <n v="108.5"/>
  </r>
  <r>
    <d v="2025-05-23T09:46:54"/>
    <x v="9"/>
    <s v="Plaquettes rhombiques"/>
    <s v="J534699"/>
    <s v="CHARTON FABIAN"/>
    <n v="5"/>
    <x v="2"/>
    <x v="2"/>
    <s v="PLAQUETTES"/>
    <x v="1"/>
    <n v="44.85"/>
  </r>
  <r>
    <d v="2025-05-23T10:47:27"/>
    <x v="8"/>
    <s v="Plaquettes rhombiques"/>
    <s v="J534699"/>
    <s v="CHARTON FABIAN"/>
    <n v="5"/>
    <x v="2"/>
    <x v="2"/>
    <s v="PLAQUETTES"/>
    <x v="1"/>
    <n v="18.399999999999999"/>
  </r>
  <r>
    <d v="2025-03-14T17:34:03"/>
    <x v="12"/>
    <s v="Plaquettes de gorge"/>
    <s v="080924"/>
    <s v="DABLEMONT AURELIEN"/>
    <n v="10"/>
    <x v="0"/>
    <x v="0"/>
    <s v="PLAQUETTES"/>
    <x v="1"/>
    <n v="157"/>
  </r>
  <r>
    <d v="2025-03-17T05:16:02"/>
    <x v="12"/>
    <s v="Plaquettes de gorge"/>
    <s v="080924"/>
    <s v="DABLEMONT AURELIEN"/>
    <n v="10"/>
    <x v="0"/>
    <x v="0"/>
    <s v="PLAQUETTES"/>
    <x v="1"/>
    <n v="157"/>
  </r>
  <r>
    <d v="2025-05-23T21:37:05"/>
    <x v="5"/>
    <s v="Plaquettes rondes"/>
    <s v="J519914"/>
    <s v="MARLY DAVID"/>
    <n v="10"/>
    <x v="1"/>
    <x v="0"/>
    <s v="PLAQUETTES"/>
    <x v="0"/>
    <n v="108.5"/>
  </r>
  <r>
    <d v="2025-04-14T05:29:46"/>
    <x v="12"/>
    <s v="Plaquettes de gorge"/>
    <s v="170325"/>
    <s v="VERDELET BASTIEN"/>
    <n v="10"/>
    <x v="0"/>
    <x v="0"/>
    <s v="PLAQUETTES"/>
    <x v="1"/>
    <n v="157"/>
  </r>
  <r>
    <d v="2025-05-23T21:37:56"/>
    <x v="6"/>
    <s v="Plaquettes de finition positives"/>
    <s v="J519914"/>
    <s v="MARLY DAVID"/>
    <n v="10"/>
    <x v="1"/>
    <x v="2"/>
    <s v="PLAQUETTES"/>
    <x v="0"/>
    <n v="87"/>
  </r>
  <r>
    <d v="2025-05-24T05:43:00"/>
    <x v="4"/>
    <s v="Plaquettes de finition"/>
    <s v="J534699"/>
    <s v="CHARTON FABIAN"/>
    <n v="5"/>
    <x v="2"/>
    <x v="2"/>
    <s v="PLAQUETTES"/>
    <x v="1"/>
    <n v="47.8"/>
  </r>
  <r>
    <d v="2025-05-24T05:43:15"/>
    <x v="4"/>
    <s v="Plaquettes de finition"/>
    <s v="J534699"/>
    <s v="CHARTON FABIAN"/>
    <n v="5"/>
    <x v="2"/>
    <x v="2"/>
    <s v="PLAQUETTES"/>
    <x v="1"/>
    <n v="47.8"/>
  </r>
  <r>
    <d v="2025-05-24T05:43:37"/>
    <x v="6"/>
    <s v="Plaquettes de finition positives"/>
    <s v="J534699"/>
    <s v="CHARTON FABIAN"/>
    <n v="10"/>
    <x v="3"/>
    <x v="2"/>
    <s v="PLAQUETTES"/>
    <x v="0"/>
    <n v="87"/>
  </r>
  <r>
    <d v="2025-05-24T05:43:55"/>
    <x v="6"/>
    <s v="Plaquettes de finition positives"/>
    <s v="J534699"/>
    <s v="CHARTON FABIAN"/>
    <n v="10"/>
    <x v="3"/>
    <x v="2"/>
    <s v="PLAQUETTES"/>
    <x v="0"/>
    <n v="87"/>
  </r>
  <r>
    <d v="2025-05-24T05:44:18"/>
    <x v="1"/>
    <s v="Plaquettes d'ébauches carrées"/>
    <s v="J534699"/>
    <s v="CHARTON FABIAN"/>
    <n v="10"/>
    <x v="3"/>
    <x v="0"/>
    <s v="PLAQUETTES"/>
    <x v="0"/>
    <n v="71.2"/>
  </r>
  <r>
    <d v="2025-05-24T05:44:38"/>
    <x v="2"/>
    <s v="Plaquettes d'ébauches rhombiques"/>
    <s v="J534699"/>
    <s v="CHARTON FABIAN"/>
    <n v="10"/>
    <x v="3"/>
    <x v="0"/>
    <s v="PLAQUETTES"/>
    <x v="0"/>
    <n v="70"/>
  </r>
  <r>
    <d v="2025-04-16T06:34:17"/>
    <x v="12"/>
    <s v="Plaquettes de gorge"/>
    <s v="170325"/>
    <s v="VERDELET BASTIEN"/>
    <n v="10"/>
    <x v="0"/>
    <x v="0"/>
    <s v="PLAQUETTES"/>
    <x v="1"/>
    <n v="157"/>
  </r>
  <r>
    <d v="2025-04-16T06:34:38"/>
    <x v="12"/>
    <s v="Plaquettes de gorge"/>
    <s v="170325"/>
    <s v="VERDELET BASTIEN"/>
    <n v="10"/>
    <x v="0"/>
    <x v="0"/>
    <s v="PLAQUETTES"/>
    <x v="1"/>
    <n v="157"/>
  </r>
  <r>
    <d v="2025-05-24T18:45:28"/>
    <x v="6"/>
    <s v="Plaquettes de finition positives"/>
    <s v="u534565"/>
    <s v="HOAREAU MARIUS"/>
    <n v="10"/>
    <x v="1"/>
    <x v="2"/>
    <s v="PLAQUETTES"/>
    <x v="0"/>
    <n v="87"/>
  </r>
  <r>
    <d v="2025-05-24T20:27:37"/>
    <x v="2"/>
    <s v="Plaquettes d'ébauches rhombiques"/>
    <s v="U518765"/>
    <s v="ROY ADELINE"/>
    <n v="10"/>
    <x v="3"/>
    <x v="1"/>
    <s v="PLAQUETTES"/>
    <x v="0"/>
    <n v="70"/>
  </r>
  <r>
    <d v="2025-05-24T20:28:15"/>
    <x v="5"/>
    <s v="Plaquettes rondes"/>
    <s v="U518765"/>
    <s v="ROY ADELINE"/>
    <n v="10"/>
    <x v="2"/>
    <x v="0"/>
    <s v="PLAQUETTES"/>
    <x v="1"/>
    <n v="108.5"/>
  </r>
  <r>
    <d v="2025-05-24T20:28:48"/>
    <x v="4"/>
    <s v="Plaquettes de finition"/>
    <s v="U518765"/>
    <s v="ROY ADELINE"/>
    <n v="5"/>
    <x v="2"/>
    <x v="2"/>
    <s v="PLAQUETTES"/>
    <x v="1"/>
    <n v="47.8"/>
  </r>
  <r>
    <d v="2025-05-24T20:29:12"/>
    <x v="8"/>
    <s v="Plaquettes rhombiques"/>
    <s v="U518765"/>
    <s v="ROY ADELINE"/>
    <n v="5"/>
    <x v="2"/>
    <x v="2"/>
    <s v="PLAQUETTES"/>
    <x v="1"/>
    <n v="18.399999999999999"/>
  </r>
  <r>
    <d v="2025-05-25T05:10:20"/>
    <x v="9"/>
    <s v="Plaquettes rhombiques"/>
    <s v="J534699"/>
    <s v="CHARTON FABIAN"/>
    <n v="5"/>
    <x v="2"/>
    <x v="2"/>
    <s v="PLAQUETTES"/>
    <x v="1"/>
    <n v="44.85"/>
  </r>
  <r>
    <d v="2025-05-25T05:10:59"/>
    <x v="6"/>
    <s v="Plaquettes de finition positives"/>
    <s v="J534699"/>
    <s v="CHARTON FABIAN"/>
    <n v="10"/>
    <x v="3"/>
    <x v="2"/>
    <s v="PLAQUETTES"/>
    <x v="0"/>
    <n v="87"/>
  </r>
  <r>
    <d v="2025-05-25T05:11:20"/>
    <x v="3"/>
    <s v="Plaquettes rondes"/>
    <s v="J534699"/>
    <s v="CHARTON FABIAN"/>
    <n v="10"/>
    <x v="2"/>
    <x v="0"/>
    <s v="PLAQUETTES"/>
    <x v="1"/>
    <n v="136.69999999999999"/>
  </r>
  <r>
    <d v="2025-05-25T05:11:41"/>
    <x v="1"/>
    <s v="Plaquettes d'ébauches carrées"/>
    <s v="J534699"/>
    <s v="CHARTON FABIAN"/>
    <n v="10"/>
    <x v="3"/>
    <x v="0"/>
    <s v="PLAQUETTES"/>
    <x v="0"/>
    <n v="71.2"/>
  </r>
  <r>
    <d v="2025-05-25T05:12:04"/>
    <x v="2"/>
    <s v="Plaquettes d'ébauches rhombiques"/>
    <s v="J534699"/>
    <s v="CHARTON FABIAN"/>
    <n v="10"/>
    <x v="3"/>
    <x v="0"/>
    <s v="PLAQUETTES"/>
    <x v="0"/>
    <n v="70"/>
  </r>
  <r>
    <d v="2025-04-21T21:22:55"/>
    <x v="12"/>
    <s v="Plaquettes de gorge"/>
    <s v="170325"/>
    <s v="VERDELET BASTIEN"/>
    <n v="10"/>
    <x v="0"/>
    <x v="0"/>
    <s v="PLAQUETTES"/>
    <x v="1"/>
    <n v="157"/>
  </r>
  <r>
    <d v="2025-04-24T05:44:44"/>
    <x v="12"/>
    <s v="Plaquettes de gorge"/>
    <s v="J519914"/>
    <s v="MARLY DAVID"/>
    <n v="10"/>
    <x v="0"/>
    <x v="0"/>
    <s v="PLAQUETTES"/>
    <x v="1"/>
    <n v="157"/>
  </r>
  <r>
    <d v="2025-04-27T18:24:25"/>
    <x v="12"/>
    <s v="Plaquettes de gorge"/>
    <s v="J519914"/>
    <s v="MARLY DAVID"/>
    <n v="10"/>
    <x v="0"/>
    <x v="0"/>
    <s v="PLAQUETTES"/>
    <x v="1"/>
    <n v="157"/>
  </r>
  <r>
    <d v="2025-04-29T21:04:54"/>
    <x v="12"/>
    <s v="Plaquettes de gorge"/>
    <s v="J519914"/>
    <s v="MARLY DAVID"/>
    <n v="10"/>
    <x v="0"/>
    <x v="0"/>
    <s v="PLAQUETTES"/>
    <x v="1"/>
    <n v="157"/>
  </r>
  <r>
    <d v="2025-05-25T17:48:47"/>
    <x v="6"/>
    <s v="Plaquettes de finition positives"/>
    <s v="u534565"/>
    <s v="HOAREAU MARIUS"/>
    <n v="10"/>
    <x v="1"/>
    <x v="2"/>
    <s v="PLAQUETTES"/>
    <x v="0"/>
    <n v="87"/>
  </r>
  <r>
    <d v="2025-05-25T17:49:11"/>
    <x v="2"/>
    <s v="Plaquettes d'ébauches rhombiques"/>
    <s v="u534565"/>
    <s v="HOAREAU MARIUS"/>
    <n v="10"/>
    <x v="1"/>
    <x v="0"/>
    <s v="PLAQUETTES"/>
    <x v="0"/>
    <n v="70"/>
  </r>
  <r>
    <d v="2025-05-25T17:49:43"/>
    <x v="1"/>
    <s v="Plaquettes d'ébauches carrées"/>
    <s v="u534565"/>
    <s v="HOAREAU MARIUS"/>
    <n v="10"/>
    <x v="1"/>
    <x v="1"/>
    <s v="PLAQUETTES"/>
    <x v="0"/>
    <n v="71.2"/>
  </r>
  <r>
    <d v="2025-05-25T23:24:44"/>
    <x v="6"/>
    <s v="Plaquettes de finition positives"/>
    <s v="u534565"/>
    <s v="HOAREAU MARIUS"/>
    <n v="10"/>
    <x v="1"/>
    <x v="2"/>
    <s v="PLAQUETTES"/>
    <x v="0"/>
    <n v="87"/>
  </r>
  <r>
    <d v="2025-05-26T03:30:45"/>
    <x v="2"/>
    <s v="Plaquettes d'ébauches rhombiques"/>
    <s v="U518765"/>
    <s v="ROY ADELINE"/>
    <n v="10"/>
    <x v="3"/>
    <x v="0"/>
    <s v="PLAQUETTES"/>
    <x v="0"/>
    <n v="70"/>
  </r>
  <r>
    <d v="2025-05-26T03:31:07"/>
    <x v="6"/>
    <s v="Plaquettes de finition positives"/>
    <s v="U518765"/>
    <s v="ROY ADELINE"/>
    <n v="10"/>
    <x v="3"/>
    <x v="2"/>
    <s v="PLAQUETTES"/>
    <x v="0"/>
    <n v="87"/>
  </r>
  <r>
    <d v="2025-05-26T03:31:38"/>
    <x v="5"/>
    <s v="Plaquettes rondes"/>
    <s v="U518765"/>
    <s v="ROY ADELINE"/>
    <n v="10"/>
    <x v="3"/>
    <x v="0"/>
    <s v="PLAQUETTES"/>
    <x v="0"/>
    <n v="108.5"/>
  </r>
  <r>
    <d v="2025-04-30T13:27:11"/>
    <x v="12"/>
    <s v="Plaquettes de gorge"/>
    <s v="170325"/>
    <s v="VERDELET BASTIEN"/>
    <n v="10"/>
    <x v="0"/>
    <x v="0"/>
    <s v="PLAQUETTES"/>
    <x v="1"/>
    <n v="157"/>
  </r>
  <r>
    <d v="2025-05-26T05:28:37"/>
    <x v="7"/>
    <s v="Plaquettes de finition triangulaires"/>
    <s v="170325"/>
    <s v="VERDELET BASTIEN"/>
    <n v="10"/>
    <x v="1"/>
    <x v="2"/>
    <s v="PLAQUETTES"/>
    <x v="0"/>
    <n v="138.80000000000001"/>
  </r>
  <r>
    <d v="2025-05-26T08:19:03"/>
    <x v="6"/>
    <s v="Plaquettes de finition positives"/>
    <s v="SG16371"/>
    <s v="MORISSE GUILLAUME"/>
    <n v="10"/>
    <x v="3"/>
    <x v="2"/>
    <s v="PLAQUETTES"/>
    <x v="4"/>
    <n v="87"/>
  </r>
  <r>
    <d v="2025-05-26T12:44:02"/>
    <x v="2"/>
    <s v="Plaquettes d'ébauches rhombiques"/>
    <s v="170325"/>
    <s v="VERDELET BASTIEN"/>
    <n v="10"/>
    <x v="1"/>
    <x v="0"/>
    <s v="PLAQUETTES"/>
    <x v="0"/>
    <n v="70"/>
  </r>
  <r>
    <d v="2025-05-07T00:51:56"/>
    <x v="12"/>
    <s v="Plaquettes de gorge"/>
    <s v="080924"/>
    <s v="DABLEMONT AURELIEN"/>
    <n v="10"/>
    <x v="0"/>
    <x v="0"/>
    <s v="PLAQUETTES"/>
    <x v="1"/>
    <n v="157"/>
  </r>
  <r>
    <d v="2025-05-26T13:05:57"/>
    <x v="7"/>
    <s v="Plaquettes de finition triangulaires"/>
    <s v="J519914"/>
    <s v="MARLY DAVID"/>
    <n v="10"/>
    <x v="1"/>
    <x v="2"/>
    <s v="PLAQUETTES"/>
    <x v="0"/>
    <n v="138.80000000000001"/>
  </r>
  <r>
    <d v="2025-05-26T13:06:46"/>
    <x v="2"/>
    <s v="Plaquettes d'ébauches rhombiques"/>
    <s v="J519914"/>
    <s v="MARLY DAVID"/>
    <n v="10"/>
    <x v="1"/>
    <x v="0"/>
    <s v="PLAQUETTES"/>
    <x v="0"/>
    <n v="70"/>
  </r>
  <r>
    <d v="2025-05-26T13:07:24"/>
    <x v="1"/>
    <s v="Plaquettes d'ébauches carrées"/>
    <s v="J519914"/>
    <s v="MARLY DAVID"/>
    <n v="10"/>
    <x v="1"/>
    <x v="0"/>
    <s v="PLAQUETTES"/>
    <x v="0"/>
    <n v="71.2"/>
  </r>
  <r>
    <d v="2025-05-26T13:07:45"/>
    <x v="5"/>
    <s v="Plaquettes rondes"/>
    <s v="J519914"/>
    <s v="MARLY DAVID"/>
    <n v="10"/>
    <x v="1"/>
    <x v="0"/>
    <s v="PLAQUETTES"/>
    <x v="0"/>
    <n v="108.5"/>
  </r>
  <r>
    <d v="2025-05-26T22:58:24"/>
    <x v="4"/>
    <s v="Plaquettes de finition"/>
    <s v="VERGE G"/>
    <s v="VERGE GREGORY"/>
    <n v="5"/>
    <x v="2"/>
    <x v="2"/>
    <s v="PLAQUETTES"/>
    <x v="1"/>
    <n v="47.8"/>
  </r>
  <r>
    <d v="2025-05-27T03:31:52"/>
    <x v="6"/>
    <s v="Plaquettes de finition positives"/>
    <s v="VERGE G"/>
    <s v="VERGE GREGORY"/>
    <n v="10"/>
    <x v="3"/>
    <x v="2"/>
    <s v="PLAQUETTES"/>
    <x v="0"/>
    <n v="87"/>
  </r>
  <r>
    <d v="2025-05-27T03:32:07"/>
    <x v="4"/>
    <s v="Plaquettes de finition"/>
    <s v="VERGE G"/>
    <s v="VERGE GREGORY"/>
    <n v="5"/>
    <x v="2"/>
    <x v="2"/>
    <s v="PLAQUETTES"/>
    <x v="5"/>
    <n v="47.8"/>
  </r>
  <r>
    <d v="2025-05-27T05:49:28"/>
    <x v="2"/>
    <s v="Plaquettes d'ébauches rhombiques"/>
    <s v="170325"/>
    <s v="VERDELET BASTIEN"/>
    <n v="10"/>
    <x v="1"/>
    <x v="0"/>
    <s v="PLAQUETTES"/>
    <x v="0"/>
    <n v="70"/>
  </r>
  <r>
    <d v="2025-05-27T05:49:46"/>
    <x v="1"/>
    <s v="Plaquettes d'ébauches carrées"/>
    <s v="170325"/>
    <s v="VERDELET BASTIEN"/>
    <n v="10"/>
    <x v="1"/>
    <x v="0"/>
    <s v="PLAQUETTES"/>
    <x v="0"/>
    <n v="71.2"/>
  </r>
  <r>
    <d v="2025-05-09T07:01:22"/>
    <x v="12"/>
    <s v="Plaquettes de gorge"/>
    <s v="J534699"/>
    <s v="CHARTON FABIAN"/>
    <n v="10"/>
    <x v="0"/>
    <x v="0"/>
    <s v="PLAQUETTES"/>
    <x v="1"/>
    <n v="157"/>
  </r>
  <r>
    <d v="2025-05-27T09:12:14"/>
    <x v="4"/>
    <s v="Plaquettes de finition"/>
    <s v="u134838"/>
    <s v="DANAH STEPHANIE"/>
    <n v="5"/>
    <x v="2"/>
    <x v="2"/>
    <s v="PLAQUETTES"/>
    <x v="1"/>
    <n v="47.8"/>
  </r>
  <r>
    <d v="2025-05-27T09:12:44"/>
    <x v="2"/>
    <s v="Plaquettes d'ébauches rhombiques"/>
    <s v="u134838"/>
    <s v="DANAH STEPHANIE"/>
    <n v="10"/>
    <x v="3"/>
    <x v="0"/>
    <s v="PLAQUETTES"/>
    <x v="0"/>
    <n v="70"/>
  </r>
  <r>
    <d v="2025-05-27T13:07:21"/>
    <x v="6"/>
    <s v="Plaquettes de finition positives"/>
    <s v="100225"/>
    <s v="PRUNEAU WILLIAM"/>
    <n v="10"/>
    <x v="3"/>
    <x v="2"/>
    <s v="PLAQUETTES"/>
    <x v="0"/>
    <n v="87"/>
  </r>
  <r>
    <d v="2025-05-27T15:39:44"/>
    <x v="2"/>
    <s v="Plaquettes d'ébauches rhombiques"/>
    <s v="SD13196"/>
    <s v="FRADIN MAXIME"/>
    <n v="10"/>
    <x v="1"/>
    <x v="0"/>
    <s v="PLAQUETTES"/>
    <x v="0"/>
    <n v="70"/>
  </r>
  <r>
    <d v="2025-05-27T15:40:03"/>
    <x v="1"/>
    <s v="Plaquettes d'ébauches carrées"/>
    <s v="SD13196"/>
    <s v="FRADIN MAXIME"/>
    <n v="10"/>
    <x v="1"/>
    <x v="0"/>
    <s v="PLAQUETTES"/>
    <x v="0"/>
    <n v="71.2"/>
  </r>
  <r>
    <d v="2025-05-27T15:40:22"/>
    <x v="6"/>
    <s v="Plaquettes de finition positives"/>
    <s v="SD13196"/>
    <s v="FRADIN MAXIME"/>
    <n v="10"/>
    <x v="1"/>
    <x v="2"/>
    <s v="PLAQUETTES"/>
    <x v="0"/>
    <n v="87"/>
  </r>
  <r>
    <d v="2025-05-27T22:09:04"/>
    <x v="10"/>
    <s v="Plaquettes de finition"/>
    <s v="080924"/>
    <s v="DABLEMONT AURELIEN"/>
    <n v="10"/>
    <x v="1"/>
    <x v="2"/>
    <s v="PLAQUETTES"/>
    <x v="0"/>
    <n v="109.7"/>
  </r>
  <r>
    <d v="2025-05-13T21:27:26"/>
    <x v="12"/>
    <s v="Plaquettes de gorge"/>
    <s v="170325"/>
    <s v="VERDELET BASTIEN"/>
    <n v="10"/>
    <x v="0"/>
    <x v="0"/>
    <s v="PLAQUETTES"/>
    <x v="1"/>
    <n v="157"/>
  </r>
  <r>
    <d v="2025-05-17T05:04:19"/>
    <x v="12"/>
    <s v="Plaquettes de gorge"/>
    <s v="J534699"/>
    <s v="CHARTON FABIAN"/>
    <n v="10"/>
    <x v="0"/>
    <x v="0"/>
    <s v="PLAQUETTES"/>
    <x v="1"/>
    <n v="157"/>
  </r>
  <r>
    <d v="2025-05-19T06:11:14"/>
    <x v="12"/>
    <s v="Plaquettes de gorge"/>
    <s v="080924"/>
    <s v="DABLEMONT AURELIEN"/>
    <n v="10"/>
    <x v="0"/>
    <x v="0"/>
    <s v="PLAQUETTES"/>
    <x v="1"/>
    <n v="157"/>
  </r>
  <r>
    <d v="2025-05-28T05:56:43"/>
    <x v="4"/>
    <s v="Plaquettes de finition"/>
    <s v="u134838"/>
    <s v="DANAH STEPHANIE"/>
    <n v="5"/>
    <x v="2"/>
    <x v="2"/>
    <s v="PLAQUETTES"/>
    <x v="1"/>
    <n v="47.8"/>
  </r>
  <r>
    <d v="2025-05-28T05:57:08"/>
    <x v="6"/>
    <s v="Plaquettes de finition positives"/>
    <s v="u134838"/>
    <s v="DANAH STEPHANIE"/>
    <n v="10"/>
    <x v="3"/>
    <x v="2"/>
    <s v="PLAQUETTES"/>
    <x v="0"/>
    <n v="87"/>
  </r>
  <r>
    <d v="2025-05-28T05:57:29"/>
    <x v="2"/>
    <s v="Plaquettes d'ébauches rhombiques"/>
    <s v="u134838"/>
    <s v="DANAH STEPHANIE"/>
    <n v="10"/>
    <x v="3"/>
    <x v="0"/>
    <s v="PLAQUETTES"/>
    <x v="0"/>
    <n v="70"/>
  </r>
  <r>
    <d v="2025-05-28T05:57:50"/>
    <x v="1"/>
    <s v="Plaquettes d'ébauches carrées"/>
    <s v="u134838"/>
    <s v="DANAH STEPHANIE"/>
    <n v="10"/>
    <x v="3"/>
    <x v="0"/>
    <s v="PLAQUETTES"/>
    <x v="0"/>
    <n v="71.2"/>
  </r>
  <r>
    <d v="2025-05-28T13:07:55"/>
    <x v="2"/>
    <s v="Plaquettes d'ébauches rhombiques"/>
    <s v="J519914"/>
    <s v="MARLY DAVID"/>
    <n v="10"/>
    <x v="1"/>
    <x v="0"/>
    <s v="PLAQUETTES"/>
    <x v="0"/>
    <n v="70"/>
  </r>
  <r>
    <d v="2025-05-28T13:08:13"/>
    <x v="1"/>
    <s v="Plaquettes d'ébauches carrées"/>
    <s v="J519914"/>
    <s v="MARLY DAVID"/>
    <n v="10"/>
    <x v="1"/>
    <x v="0"/>
    <s v="PLAQUETTES"/>
    <x v="0"/>
    <n v="71.2"/>
  </r>
  <r>
    <d v="2025-05-28T13:09:24"/>
    <x v="7"/>
    <s v="Plaquettes de finition triangulaires"/>
    <s v="J519914"/>
    <s v="MARLY DAVID"/>
    <n v="10"/>
    <x v="1"/>
    <x v="2"/>
    <s v="PLAQUETTES"/>
    <x v="0"/>
    <n v="138.80000000000001"/>
  </r>
  <r>
    <d v="2025-05-20T21:19:43"/>
    <x v="12"/>
    <s v="Plaquettes de gorge"/>
    <s v="J519914"/>
    <s v="MARLY DAVID"/>
    <n v="10"/>
    <x v="0"/>
    <x v="0"/>
    <s v="PLAQUETTES"/>
    <x v="1"/>
    <n v="157"/>
  </r>
  <r>
    <d v="2025-05-28T14:19:25"/>
    <x v="6"/>
    <s v="Plaquettes de finition positives"/>
    <s v="100225"/>
    <s v="PRUNEAU WILLIAM"/>
    <n v="10"/>
    <x v="3"/>
    <x v="2"/>
    <s v="PLAQUETTES"/>
    <x v="0"/>
    <n v="87"/>
  </r>
  <r>
    <d v="2025-05-28T21:15:39"/>
    <x v="2"/>
    <s v="Plaquettes d'ébauches rhombiques"/>
    <s v="VERGE G"/>
    <s v="VERGE GREGORY"/>
    <n v="10"/>
    <x v="3"/>
    <x v="1"/>
    <s v="PLAQUETTES"/>
    <x v="0"/>
    <n v="70"/>
  </r>
  <r>
    <d v="2025-05-28T21:15:52"/>
    <x v="2"/>
    <s v="Plaquettes d'ébauches rhombiques"/>
    <s v="VERGE G"/>
    <s v="VERGE GREGORY"/>
    <n v="10"/>
    <x v="3"/>
    <x v="1"/>
    <s v="PLAQUETTES"/>
    <x v="3"/>
    <n v="70"/>
  </r>
  <r>
    <d v="2025-05-28T21:16:14"/>
    <x v="6"/>
    <s v="Plaquettes de finition positives"/>
    <s v="VERGE G"/>
    <s v="VERGE GREGORY"/>
    <n v="10"/>
    <x v="3"/>
    <x v="2"/>
    <s v="PLAQUETTES"/>
    <x v="0"/>
    <n v="87"/>
  </r>
  <r>
    <d v="2025-05-29T00:52:45"/>
    <x v="6"/>
    <s v="Plaquettes de finition positives"/>
    <s v="080924"/>
    <s v="DABLEMONT AURELIEN"/>
    <n v="10"/>
    <x v="1"/>
    <x v="2"/>
    <s v="PLAQUETTES"/>
    <x v="0"/>
    <n v="87"/>
  </r>
  <r>
    <d v="2025-06-11T08:22:29"/>
    <x v="12"/>
    <s v="Plaquettes de gorge"/>
    <s v="12824586"/>
    <s v="DA SILVA FERNANDO"/>
    <n v="10"/>
    <x v="0"/>
    <x v="0"/>
    <s v="PLAQUETTES"/>
    <x v="4"/>
    <n v="157"/>
  </r>
  <r>
    <d v="2025-05-29T05:29:25"/>
    <x v="2"/>
    <s v="Plaquettes d'ébauches rhombiques"/>
    <s v="170325"/>
    <s v="VERDELET BASTIEN"/>
    <n v="10"/>
    <x v="1"/>
    <x v="0"/>
    <s v="PLAQUETTES"/>
    <x v="0"/>
    <n v="70"/>
  </r>
  <r>
    <d v="2025-05-29T05:56:06"/>
    <x v="1"/>
    <s v="Plaquettes d'ébauches carrées"/>
    <s v="u462308"/>
    <s v="MAITRE SEBASTIEN"/>
    <n v="10"/>
    <x v="3"/>
    <x v="1"/>
    <s v="PLAQUETTES"/>
    <x v="0"/>
    <n v="71.2"/>
  </r>
  <r>
    <d v="2025-05-29T05:56:30"/>
    <x v="6"/>
    <s v="Plaquettes de finition positives"/>
    <s v="u462308"/>
    <s v="MAITRE SEBASTIEN"/>
    <n v="10"/>
    <x v="3"/>
    <x v="2"/>
    <s v="PLAQUETTES"/>
    <x v="0"/>
    <n v="87"/>
  </r>
  <r>
    <d v="2025-05-29T13:06:25"/>
    <x v="2"/>
    <s v="Plaquettes d'ébauches rhombiques"/>
    <s v="J519914"/>
    <s v="MARLY DAVID"/>
    <n v="10"/>
    <x v="1"/>
    <x v="0"/>
    <s v="PLAQUETTES"/>
    <x v="0"/>
    <n v="70"/>
  </r>
  <r>
    <d v="2025-05-29T13:06:50"/>
    <x v="1"/>
    <s v="Plaquettes d'ébauches carrées"/>
    <s v="J519914"/>
    <s v="MARLY DAVID"/>
    <n v="10"/>
    <x v="1"/>
    <x v="0"/>
    <s v="PLAQUETTES"/>
    <x v="0"/>
    <n v="71.2"/>
  </r>
  <r>
    <d v="2025-05-29T13:07:10"/>
    <x v="6"/>
    <s v="Plaquettes de finition positives"/>
    <s v="J519914"/>
    <s v="MARLY DAVID"/>
    <n v="10"/>
    <x v="1"/>
    <x v="2"/>
    <s v="PLAQUETTES"/>
    <x v="0"/>
    <n v="87"/>
  </r>
  <r>
    <d v="2025-05-29T13:07:32"/>
    <x v="7"/>
    <s v="Plaquettes de finition triangulaires"/>
    <s v="J519914"/>
    <s v="MARLY DAVID"/>
    <n v="10"/>
    <x v="1"/>
    <x v="2"/>
    <s v="PLAQUETTES"/>
    <x v="0"/>
    <n v="138.80000000000001"/>
  </r>
  <r>
    <d v="2025-05-29T13:07:56"/>
    <x v="10"/>
    <s v="Plaquettes de finition"/>
    <s v="J519914"/>
    <s v="MARLY DAVID"/>
    <n v="10"/>
    <x v="1"/>
    <x v="2"/>
    <s v="PLAQUETTES"/>
    <x v="0"/>
    <n v="109.7"/>
  </r>
  <r>
    <d v="2025-06-20T21:16:20"/>
    <x v="12"/>
    <s v="Plaquettes de gorge"/>
    <s v="080924"/>
    <s v="DABLEMONT AURELIEN"/>
    <n v="10"/>
    <x v="0"/>
    <x v="0"/>
    <s v="PLAQUETTES"/>
    <x v="1"/>
    <n v="157"/>
  </r>
  <r>
    <d v="2025-05-30T09:31:12"/>
    <x v="6"/>
    <s v="Plaquettes de finition positives"/>
    <s v="J534699"/>
    <s v="CHARTON FABIAN"/>
    <n v="10"/>
    <x v="3"/>
    <x v="2"/>
    <s v="PLAQUETTES"/>
    <x v="0"/>
    <n v="87"/>
  </r>
  <r>
    <d v="2025-05-30T09:31:37"/>
    <x v="1"/>
    <s v="Plaquettes d'ébauches carrées"/>
    <s v="J534699"/>
    <s v="CHARTON FABIAN"/>
    <n v="10"/>
    <x v="3"/>
    <x v="0"/>
    <s v="PLAQUETTES"/>
    <x v="0"/>
    <n v="71.2"/>
  </r>
  <r>
    <d v="2025-05-30T09:31:58"/>
    <x v="2"/>
    <s v="Plaquettes d'ébauches rhombiques"/>
    <s v="J534699"/>
    <s v="CHARTON FABIAN"/>
    <n v="10"/>
    <x v="3"/>
    <x v="0"/>
    <s v="PLAQUETTES"/>
    <x v="0"/>
    <n v="70"/>
  </r>
  <r>
    <d v="2025-05-30T09:32:20"/>
    <x v="5"/>
    <s v="Plaquettes rondes"/>
    <s v="J534699"/>
    <s v="CHARTON FABIAN"/>
    <n v="10"/>
    <x v="3"/>
    <x v="0"/>
    <s v="PLAQUETTES"/>
    <x v="0"/>
    <n v="108.5"/>
  </r>
  <r>
    <d v="2025-05-30T09:32:45"/>
    <x v="4"/>
    <s v="Plaquettes de finition"/>
    <s v="J534699"/>
    <s v="CHARTON FABIAN"/>
    <n v="5"/>
    <x v="2"/>
    <x v="2"/>
    <s v="PLAQUETTES"/>
    <x v="1"/>
    <n v="47.8"/>
  </r>
  <r>
    <d v="2025-05-30T13:29:16"/>
    <x v="2"/>
    <s v="Plaquettes d'ébauches rhombiques"/>
    <s v="J519914"/>
    <s v="MARLY DAVID"/>
    <n v="10"/>
    <x v="1"/>
    <x v="0"/>
    <s v="PLAQUETTES"/>
    <x v="0"/>
    <n v="70"/>
  </r>
  <r>
    <d v="2025-05-30T13:29:33"/>
    <x v="2"/>
    <s v="Plaquettes d'ébauches rhombiques"/>
    <s v="J519914"/>
    <s v="MARLY DAVID"/>
    <n v="10"/>
    <x v="1"/>
    <x v="0"/>
    <s v="PLAQUETTES"/>
    <x v="0"/>
    <n v="70"/>
  </r>
  <r>
    <d v="2025-05-30T13:30:01"/>
    <x v="1"/>
    <s v="Plaquettes d'ébauches carrées"/>
    <s v="J519914"/>
    <s v="MARLY DAVID"/>
    <n v="10"/>
    <x v="1"/>
    <x v="1"/>
    <s v="PLAQUETTES"/>
    <x v="0"/>
    <n v="71.2"/>
  </r>
  <r>
    <d v="2025-05-30T13:30:45"/>
    <x v="5"/>
    <s v="Plaquettes rondes"/>
    <s v="J519914"/>
    <s v="MARLY DAVID"/>
    <n v="10"/>
    <x v="1"/>
    <x v="0"/>
    <s v="PLAQUETTES"/>
    <x v="0"/>
    <n v="108.5"/>
  </r>
  <r>
    <d v="2025-06-24T13:24:17"/>
    <x v="12"/>
    <s v="Plaquettes de gorge"/>
    <s v="230525"/>
    <s v="SOULAS YANIS"/>
    <n v="10"/>
    <x v="0"/>
    <x v="0"/>
    <s v="PLAQUETTES"/>
    <x v="1"/>
    <n v="157"/>
  </r>
  <r>
    <d v="2025-05-30T13:31:35"/>
    <x v="6"/>
    <s v="Plaquettes de finition positives"/>
    <s v="J519914"/>
    <s v="MARLY DAVID"/>
    <n v="10"/>
    <x v="1"/>
    <x v="2"/>
    <s v="PLAQUETTES"/>
    <x v="0"/>
    <n v="87"/>
  </r>
  <r>
    <d v="2025-05-30T21:09:45"/>
    <x v="2"/>
    <s v="Plaquettes d'ébauches rhombiques"/>
    <s v="VERGE G"/>
    <s v="VERGE GREGORY"/>
    <n v="10"/>
    <x v="3"/>
    <x v="1"/>
    <s v="PLAQUETTES"/>
    <x v="0"/>
    <n v="70"/>
  </r>
  <r>
    <d v="2025-05-30T21:10:00"/>
    <x v="1"/>
    <s v="Plaquettes d'ébauches carrées"/>
    <s v="VERGE G"/>
    <s v="VERGE GREGORY"/>
    <n v="10"/>
    <x v="3"/>
    <x v="1"/>
    <s v="PLAQUETTES"/>
    <x v="3"/>
    <n v="71.2"/>
  </r>
  <r>
    <d v="2025-05-30T21:10:16"/>
    <x v="2"/>
    <s v="Plaquettes d'ébauches rhombiques"/>
    <s v="VERGE G"/>
    <s v="VERGE GREGORY"/>
    <n v="10"/>
    <x v="3"/>
    <x v="1"/>
    <s v="PLAQUETTES"/>
    <x v="3"/>
    <n v="70"/>
  </r>
  <r>
    <d v="2025-05-30T21:10:29"/>
    <x v="4"/>
    <s v="Plaquettes de finition"/>
    <s v="VERGE G"/>
    <s v="VERGE GREGORY"/>
    <n v="5"/>
    <x v="2"/>
    <x v="2"/>
    <s v="PLAQUETTES"/>
    <x v="1"/>
    <n v="47.8"/>
  </r>
  <r>
    <d v="2025-05-30T21:10:48"/>
    <x v="6"/>
    <s v="Plaquettes de finition positives"/>
    <s v="VERGE G"/>
    <s v="VERGE GREGORY"/>
    <n v="10"/>
    <x v="3"/>
    <x v="2"/>
    <s v="PLAQUETTES"/>
    <x v="0"/>
    <n v="87"/>
  </r>
  <r>
    <d v="2025-07-24T23:39:16"/>
    <x v="12"/>
    <s v="Plaquettes de gorge"/>
    <s v="j519914"/>
    <s v="MARLY DAVID"/>
    <n v="10"/>
    <x v="0"/>
    <x v="0"/>
    <s v="PLAQUETTES"/>
    <x v="1"/>
    <n v="157"/>
  </r>
  <r>
    <d v="2025-07-27T15:49:07"/>
    <x v="12"/>
    <s v="Plaquettes de gorge"/>
    <s v="U518765"/>
    <s v="ROY ADELINE"/>
    <n v="10"/>
    <x v="0"/>
    <x v="0"/>
    <s v="PLAQUETTES"/>
    <x v="1"/>
    <n v="157"/>
  </r>
  <r>
    <d v="2025-10-08T00:14:09"/>
    <x v="12"/>
    <s v="Plaquettes de gorge"/>
    <s v="j519914"/>
    <s v="MARLY DAVID"/>
    <n v="10"/>
    <x v="0"/>
    <x v="0"/>
    <s v="PLAQUETTES"/>
    <x v="1"/>
    <n v="157"/>
  </r>
  <r>
    <d v="2025-05-31T05:49:49"/>
    <x v="6"/>
    <s v="Plaquettes de finition positives"/>
    <s v="U518765"/>
    <s v="ROY ADELINE"/>
    <n v="10"/>
    <x v="1"/>
    <x v="2"/>
    <s v="PLAQUETTES"/>
    <x v="0"/>
    <n v="87"/>
  </r>
  <r>
    <d v="2025-05-31T05:50:09"/>
    <x v="2"/>
    <s v="Plaquettes d'ébauches rhombiques"/>
    <s v="U518765"/>
    <s v="ROY ADELINE"/>
    <n v="10"/>
    <x v="1"/>
    <x v="0"/>
    <s v="PLAQUETTES"/>
    <x v="0"/>
    <n v="70"/>
  </r>
  <r>
    <d v="2025-05-31T12:04:51"/>
    <x v="6"/>
    <s v="Plaquettes de finition positives"/>
    <s v="u534565"/>
    <s v="HOAREAU MARIUS"/>
    <n v="10"/>
    <x v="3"/>
    <x v="2"/>
    <s v="PLAQUETTES"/>
    <x v="0"/>
    <n v="87"/>
  </r>
  <r>
    <d v="2025-05-31T13:45:51"/>
    <x v="2"/>
    <s v="Plaquettes d'ébauches rhombiques"/>
    <s v="u534565"/>
    <s v="HOAREAU MARIUS"/>
    <n v="10"/>
    <x v="3"/>
    <x v="0"/>
    <s v="PLAQUETTES"/>
    <x v="0"/>
    <n v="70"/>
  </r>
  <r>
    <d v="2025-05-31T13:46:17"/>
    <x v="5"/>
    <s v="Plaquettes rondes"/>
    <s v="u534565"/>
    <s v="HOAREAU MARIUS"/>
    <n v="10"/>
    <x v="1"/>
    <x v="0"/>
    <s v="PLAQUETTES"/>
    <x v="0"/>
    <n v="108.5"/>
  </r>
  <r>
    <d v="2025-05-31T13:46:56"/>
    <x v="3"/>
    <s v="Plaquettes rondes"/>
    <s v="u534565"/>
    <s v="HOAREAU MARIUS"/>
    <n v="10"/>
    <x v="2"/>
    <x v="0"/>
    <s v="PLAQUETTES"/>
    <x v="1"/>
    <n v="136.69999999999999"/>
  </r>
  <r>
    <d v="2025-05-31T14:00:09"/>
    <x v="7"/>
    <s v="Plaquettes de finition triangulaires"/>
    <s v="u534565"/>
    <s v="HOAREAU MARIUS"/>
    <n v="10"/>
    <x v="3"/>
    <x v="2"/>
    <s v="PLAQUETTES"/>
    <x v="0"/>
    <n v="138.80000000000001"/>
  </r>
  <r>
    <d v="2025-06-01T00:54:12"/>
    <x v="4"/>
    <s v="Plaquettes de finition"/>
    <s v="U198152"/>
    <s v="AJMIK MUSTAPHA"/>
    <n v="5"/>
    <x v="2"/>
    <x v="2"/>
    <s v="PLAQUETTES"/>
    <x v="1"/>
    <n v="47.8"/>
  </r>
  <r>
    <d v="2025-06-01T00:54:30"/>
    <x v="8"/>
    <s v="Plaquettes rhombiques"/>
    <s v="U198152"/>
    <s v="AJMIK MUSTAPHA"/>
    <n v="5"/>
    <x v="2"/>
    <x v="2"/>
    <s v="PLAQUETTES"/>
    <x v="1"/>
    <n v="18.399999999999999"/>
  </r>
  <r>
    <d v="2025-06-01T00:54:47"/>
    <x v="6"/>
    <s v="Plaquettes de finition positives"/>
    <s v="U198152"/>
    <s v="AJMIK MUSTAPHA"/>
    <n v="10"/>
    <x v="3"/>
    <x v="2"/>
    <s v="PLAQUETTES"/>
    <x v="0"/>
    <n v="87"/>
  </r>
  <r>
    <d v="2025-06-01T06:49:49"/>
    <x v="9"/>
    <s v="Plaquettes rhombiques"/>
    <s v="u534565"/>
    <s v="HOAREAU MARIUS"/>
    <n v="5"/>
    <x v="2"/>
    <x v="2"/>
    <s v="PLAQUETTES"/>
    <x v="1"/>
    <n v="44.85"/>
  </r>
  <r>
    <d v="2025-06-01T06:50:13"/>
    <x v="6"/>
    <s v="Plaquettes de finition positives"/>
    <s v="u534565"/>
    <s v="HOAREAU MARIUS"/>
    <n v="10"/>
    <x v="3"/>
    <x v="2"/>
    <s v="PLAQUETTES"/>
    <x v="0"/>
    <n v="87"/>
  </r>
  <r>
    <d v="2025-06-01T08:17:46"/>
    <x v="6"/>
    <s v="Plaquettes de finition positives"/>
    <s v="U518765"/>
    <s v="ROY ADELINE"/>
    <n v="10"/>
    <x v="1"/>
    <x v="2"/>
    <s v="PLAQUETTES"/>
    <x v="0"/>
    <n v="87"/>
  </r>
  <r>
    <d v="2025-06-01T08:18:09"/>
    <x v="10"/>
    <s v="Plaquettes de finition"/>
    <s v="U518765"/>
    <s v="ROY ADELINE"/>
    <n v="10"/>
    <x v="1"/>
    <x v="2"/>
    <s v="PLAQUETTES"/>
    <x v="0"/>
    <n v="109.7"/>
  </r>
  <r>
    <d v="2025-10-10T21:48:00"/>
    <x v="12"/>
    <s v="Plaquettes de gorge"/>
    <s v="230525"/>
    <s v="SOULAS YANIS"/>
    <n v="10"/>
    <x v="0"/>
    <x v="0"/>
    <s v="PLAQUETTES"/>
    <x v="1"/>
    <n v="157"/>
  </r>
  <r>
    <d v="2025-06-01T18:56:03"/>
    <x v="1"/>
    <s v="Plaquettes d'ébauches carrées"/>
    <s v="U198152"/>
    <s v="AJMIK MUSTAPHA"/>
    <n v="10"/>
    <x v="3"/>
    <x v="0"/>
    <s v="PLAQUETTES"/>
    <x v="0"/>
    <n v="71.2"/>
  </r>
  <r>
    <d v="2025-06-01T18:56:22"/>
    <x v="2"/>
    <s v="Plaquettes d'ébauches rhombiques"/>
    <s v="U198152"/>
    <s v="AJMIK MUSTAPHA"/>
    <n v="10"/>
    <x v="3"/>
    <x v="0"/>
    <s v="PLAQUETTES"/>
    <x v="0"/>
    <n v="70"/>
  </r>
  <r>
    <d v="2025-06-01T18:56:39"/>
    <x v="5"/>
    <s v="Plaquettes rondes"/>
    <s v="U198152"/>
    <s v="AJMIK MUSTAPHA"/>
    <n v="10"/>
    <x v="3"/>
    <x v="0"/>
    <s v="PLAQUETTES"/>
    <x v="0"/>
    <n v="108.5"/>
  </r>
  <r>
    <d v="2025-10-12T05:26:18"/>
    <x v="12"/>
    <s v="Plaquettes de gorge"/>
    <s v="J534699"/>
    <s v="CHARTON FABIAN"/>
    <n v="10"/>
    <x v="0"/>
    <x v="0"/>
    <s v="PLAQUETTES"/>
    <x v="1"/>
    <n v="157"/>
  </r>
  <r>
    <d v="2025-10-15T08:22:46"/>
    <x v="12"/>
    <s v="Plaquettes de gorge"/>
    <s v="12824586"/>
    <s v="DA SILVA FERNANDO"/>
    <n v="10"/>
    <x v="0"/>
    <x v="0"/>
    <s v="PLAQUETTES"/>
    <x v="4"/>
    <n v="157"/>
  </r>
  <r>
    <d v="2025-10-16T21:38:44"/>
    <x v="12"/>
    <s v="Plaquettes de gorge"/>
    <s v="j519914"/>
    <s v="MARLY DAVID"/>
    <n v="10"/>
    <x v="0"/>
    <x v="0"/>
    <s v="PLAQUETTES"/>
    <x v="1"/>
    <n v="157"/>
  </r>
  <r>
    <d v="2025-06-02T05:02:28"/>
    <x v="2"/>
    <s v="Plaquettes d'ébauches rhombiques"/>
    <s v="100225"/>
    <s v="PRUNEAU WILLIAM"/>
    <n v="10"/>
    <x v="3"/>
    <x v="1"/>
    <s v="PLAQUETTES"/>
    <x v="0"/>
    <n v="70"/>
  </r>
  <r>
    <d v="2025-06-02T05:02:55"/>
    <x v="2"/>
    <s v="Plaquettes d'ébauches rhombiques"/>
    <s v="100225"/>
    <s v="PRUNEAU WILLIAM"/>
    <n v="10"/>
    <x v="3"/>
    <x v="1"/>
    <s v="PLAQUETTES"/>
    <x v="0"/>
    <n v="70"/>
  </r>
  <r>
    <d v="2025-06-02T05:03:31"/>
    <x v="6"/>
    <s v="Plaquettes de finition positives"/>
    <s v="100225"/>
    <s v="PRUNEAU WILLIAM"/>
    <n v="10"/>
    <x v="3"/>
    <x v="2"/>
    <s v="PLAQUETTES"/>
    <x v="0"/>
    <n v="87"/>
  </r>
  <r>
    <d v="2025-06-02T06:32:00"/>
    <x v="6"/>
    <s v="Plaquettes de finition positives"/>
    <s v="J519914"/>
    <s v="MARLY DAVID"/>
    <n v="10"/>
    <x v="1"/>
    <x v="2"/>
    <s v="PLAQUETTES"/>
    <x v="0"/>
    <n v="87"/>
  </r>
  <r>
    <d v="2025-06-02T06:32:32"/>
    <x v="6"/>
    <s v="Plaquettes de finition positives"/>
    <s v="J519914"/>
    <s v="MARLY DAVID"/>
    <n v="10"/>
    <x v="1"/>
    <x v="2"/>
    <s v="PLAQUETTES"/>
    <x v="0"/>
    <n v="87"/>
  </r>
  <r>
    <d v="2025-06-02T06:33:05"/>
    <x v="1"/>
    <s v="Plaquettes d'ébauches carrées"/>
    <s v="J519914"/>
    <s v="MARLY DAVID"/>
    <n v="10"/>
    <x v="1"/>
    <x v="0"/>
    <s v="PLAQUETTES"/>
    <x v="0"/>
    <n v="71.2"/>
  </r>
  <r>
    <d v="2025-06-02T09:05:31"/>
    <x v="4"/>
    <s v="Plaquettes de finition"/>
    <s v="100225"/>
    <s v="PRUNEAU WILLIAM"/>
    <n v="5"/>
    <x v="2"/>
    <x v="2"/>
    <s v="PLAQUETTES"/>
    <x v="1"/>
    <n v="47.8"/>
  </r>
  <r>
    <d v="2025-06-02T13:40:17"/>
    <x v="2"/>
    <s v="Plaquettes d'ébauches rhombiques"/>
    <s v="080924"/>
    <s v="DABLEMONT AURELIEN"/>
    <n v="10"/>
    <x v="1"/>
    <x v="1"/>
    <s v="PLAQUETTES"/>
    <x v="0"/>
    <n v="70"/>
  </r>
  <r>
    <d v="2025-10-18T05:14:26"/>
    <x v="12"/>
    <s v="Plaquettes de gorge"/>
    <s v="U518765"/>
    <s v="ROY ADELINE"/>
    <n v="10"/>
    <x v="0"/>
    <x v="0"/>
    <s v="PLAQUETTES"/>
    <x v="1"/>
    <n v="157"/>
  </r>
  <r>
    <d v="2025-06-02T23:10:16"/>
    <x v="4"/>
    <s v="Plaquettes de finition"/>
    <s v="170325"/>
    <s v="VERDELET BASTIEN"/>
    <n v="5"/>
    <x v="2"/>
    <x v="2"/>
    <s v="PLAQUETTES"/>
    <x v="1"/>
    <n v="47.8"/>
  </r>
  <r>
    <d v="2025-06-02T23:10:39"/>
    <x v="1"/>
    <s v="Plaquettes d'ébauches carrées"/>
    <s v="170325"/>
    <s v="VERDELET BASTIEN"/>
    <n v="10"/>
    <x v="2"/>
    <x v="0"/>
    <s v="PLAQUETTES"/>
    <x v="1"/>
    <n v="71.2"/>
  </r>
  <r>
    <d v="2025-06-02T23:10:54"/>
    <x v="6"/>
    <s v="Plaquettes de finition positives"/>
    <s v="170325"/>
    <s v="VERDELET BASTIEN"/>
    <n v="10"/>
    <x v="3"/>
    <x v="2"/>
    <s v="PLAQUETTES"/>
    <x v="0"/>
    <n v="87"/>
  </r>
  <r>
    <d v="2025-06-03T06:30:36"/>
    <x v="6"/>
    <s v="Plaquettes de finition positives"/>
    <s v="J519914"/>
    <s v="MARLY DAVID"/>
    <n v="10"/>
    <x v="1"/>
    <x v="2"/>
    <s v="PLAQUETTES"/>
    <x v="0"/>
    <n v="87"/>
  </r>
  <r>
    <d v="2025-06-03T06:30:53"/>
    <x v="6"/>
    <s v="Plaquettes de finition positives"/>
    <s v="J519914"/>
    <s v="MARLY DAVID"/>
    <n v="10"/>
    <x v="1"/>
    <x v="2"/>
    <s v="PLAQUETTES"/>
    <x v="0"/>
    <n v="87"/>
  </r>
  <r>
    <d v="2025-10-23T15:23:41"/>
    <x v="12"/>
    <s v="Plaquettes de gorge"/>
    <s v="u134838"/>
    <s v="DANAH STEPHANIE"/>
    <n v="10"/>
    <x v="0"/>
    <x v="0"/>
    <s v="PLAQUETTES"/>
    <x v="1"/>
    <n v="157"/>
  </r>
  <r>
    <d v="2025-06-03T06:31:54"/>
    <x v="1"/>
    <s v="Plaquettes d'ébauches carrées"/>
    <s v="J519914"/>
    <s v="MARLY DAVID"/>
    <n v="10"/>
    <x v="1"/>
    <x v="0"/>
    <s v="PLAQUETTES"/>
    <x v="0"/>
    <n v="71.2"/>
  </r>
  <r>
    <d v="2025-10-28T05:18:08"/>
    <x v="12"/>
    <s v="Plaquettes de gorge"/>
    <s v="u134838"/>
    <s v="DANAH STEPHANIE"/>
    <n v="10"/>
    <x v="0"/>
    <x v="0"/>
    <s v="PLAQUETTES"/>
    <x v="1"/>
    <n v="157"/>
  </r>
  <r>
    <d v="2025-06-03T13:24:43"/>
    <x v="2"/>
    <s v="Plaquettes d'ébauches rhombiques"/>
    <s v="VERGE G"/>
    <s v="VERGE GREGORY"/>
    <n v="10"/>
    <x v="3"/>
    <x v="1"/>
    <s v="PLAQUETTES"/>
    <x v="0"/>
    <n v="70"/>
  </r>
  <r>
    <d v="2025-06-03T13:24:57"/>
    <x v="1"/>
    <s v="Plaquettes d'ébauches carrées"/>
    <s v="VERGE G"/>
    <s v="VERGE GREGORY"/>
    <n v="10"/>
    <x v="3"/>
    <x v="1"/>
    <s v="PLAQUETTES"/>
    <x v="0"/>
    <n v="71.2"/>
  </r>
  <r>
    <d v="2025-06-03T13:25:10"/>
    <x v="4"/>
    <s v="Plaquettes de finition"/>
    <s v="VERGE G"/>
    <s v="VERGE GREGORY"/>
    <n v="5"/>
    <x v="2"/>
    <x v="2"/>
    <s v="PLAQUETTES"/>
    <x v="1"/>
    <n v="47.8"/>
  </r>
  <r>
    <d v="2025-06-03T21:29:52"/>
    <x v="6"/>
    <s v="Plaquettes de finition positives"/>
    <s v="170325"/>
    <s v="VERDELET BASTIEN"/>
    <n v="10"/>
    <x v="3"/>
    <x v="2"/>
    <s v="PLAQUETTES"/>
    <x v="0"/>
    <n v="87"/>
  </r>
  <r>
    <d v="2025-06-03T21:30:09"/>
    <x v="3"/>
    <s v="Plaquettes rondes"/>
    <s v="170325"/>
    <s v="VERDELET BASTIEN"/>
    <n v="10"/>
    <x v="2"/>
    <x v="0"/>
    <s v="PLAQUETTES"/>
    <x v="1"/>
    <n v="136.69999999999999"/>
  </r>
  <r>
    <d v="2025-11-02T05:26:49"/>
    <x v="12"/>
    <s v="Plaquettes de gorge"/>
    <s v="U534565"/>
    <s v="HOAREAU MARIUS"/>
    <n v="10"/>
    <x v="0"/>
    <x v="0"/>
    <s v="PLAQUETTES"/>
    <x v="1"/>
    <n v="157"/>
  </r>
  <r>
    <d v="2025-06-03T21:50:03"/>
    <x v="6"/>
    <s v="Plaquettes de finition positives"/>
    <s v="u134838"/>
    <s v="DANAH STEPHANIE"/>
    <n v="10"/>
    <x v="1"/>
    <x v="2"/>
    <s v="PLAQUETTES"/>
    <x v="0"/>
    <n v="87"/>
  </r>
  <r>
    <d v="2025-06-03T21:50:24"/>
    <x v="5"/>
    <s v="Plaquettes rondes"/>
    <s v="u134838"/>
    <s v="DANAH STEPHANIE"/>
    <n v="10"/>
    <x v="1"/>
    <x v="0"/>
    <s v="PLAQUETTES"/>
    <x v="0"/>
    <n v="108.5"/>
  </r>
  <r>
    <d v="2025-06-04T06:16:45"/>
    <x v="6"/>
    <s v="Plaquettes de finition positives"/>
    <s v="J519914"/>
    <s v="MARLY DAVID"/>
    <n v="10"/>
    <x v="1"/>
    <x v="2"/>
    <s v="PLAQUETTES"/>
    <x v="0"/>
    <n v="87"/>
  </r>
  <r>
    <d v="2025-06-04T06:17:01"/>
    <x v="2"/>
    <s v="Plaquettes d'ébauches rhombiques"/>
    <s v="J519914"/>
    <s v="MARLY DAVID"/>
    <n v="10"/>
    <x v="1"/>
    <x v="0"/>
    <s v="PLAQUETTES"/>
    <x v="0"/>
    <n v="70"/>
  </r>
  <r>
    <d v="2025-06-04T06:17:17"/>
    <x v="1"/>
    <s v="Plaquettes d'ébauches carrées"/>
    <s v="J519914"/>
    <s v="MARLY DAVID"/>
    <n v="10"/>
    <x v="1"/>
    <x v="0"/>
    <s v="PLAQUETTES"/>
    <x v="0"/>
    <n v="71.2"/>
  </r>
  <r>
    <d v="2025-06-04T06:17:33"/>
    <x v="2"/>
    <s v="Plaquettes d'ébauches rhombiques"/>
    <s v="J519914"/>
    <s v="MARLY DAVID"/>
    <n v="10"/>
    <x v="1"/>
    <x v="0"/>
    <s v="PLAQUETTES"/>
    <x v="0"/>
    <n v="70"/>
  </r>
  <r>
    <d v="2025-06-04T13:18:34"/>
    <x v="4"/>
    <s v="Plaquettes de finition"/>
    <s v="VERGE G"/>
    <s v="VERGE GREGORY"/>
    <n v="5"/>
    <x v="2"/>
    <x v="2"/>
    <s v="PLAQUETTES"/>
    <x v="1"/>
    <n v="47.8"/>
  </r>
  <r>
    <d v="2025-06-04T13:18:49"/>
    <x v="6"/>
    <s v="Plaquettes de finition positives"/>
    <s v="VERGE G"/>
    <s v="VERGE GREGORY"/>
    <n v="10"/>
    <x v="3"/>
    <x v="2"/>
    <s v="PLAQUETTES"/>
    <x v="3"/>
    <n v="87"/>
  </r>
  <r>
    <d v="2025-06-04T13:19:03"/>
    <x v="2"/>
    <s v="Plaquettes d'ébauches rhombiques"/>
    <s v="VERGE G"/>
    <s v="VERGE GREGORY"/>
    <n v="10"/>
    <x v="3"/>
    <x v="1"/>
    <s v="PLAQUETTES"/>
    <x v="0"/>
    <n v="70"/>
  </r>
  <r>
    <d v="2025-06-04T13:19:17"/>
    <x v="2"/>
    <s v="Plaquettes d'ébauches rhombiques"/>
    <s v="VERGE G"/>
    <s v="VERGE GREGORY"/>
    <n v="10"/>
    <x v="3"/>
    <x v="1"/>
    <s v="PLAQUETTES"/>
    <x v="3"/>
    <n v="70"/>
  </r>
  <r>
    <d v="2025-11-21T23:25:11"/>
    <x v="12"/>
    <s v="Plaquettes de gorge"/>
    <s v="j519914"/>
    <s v="MARLY DAVID"/>
    <n v="10"/>
    <x v="0"/>
    <x v="0"/>
    <s v="PLAQUETTES"/>
    <x v="1"/>
    <n v="157"/>
  </r>
  <r>
    <d v="2025-06-04T22:27:11"/>
    <x v="6"/>
    <s v="Plaquettes de finition positives"/>
    <s v="u134838"/>
    <s v="DANAH STEPHANIE"/>
    <n v="10"/>
    <x v="1"/>
    <x v="2"/>
    <s v="PLAQUETTES"/>
    <x v="0"/>
    <n v="87"/>
  </r>
  <r>
    <d v="2025-11-23T07:34:18"/>
    <x v="12"/>
    <s v="Plaquettes de gorge"/>
    <s v="u134838"/>
    <s v="DANAH STEPHANIE"/>
    <n v="10"/>
    <x v="0"/>
    <x v="0"/>
    <s v="PLAQUETTES"/>
    <x v="1"/>
    <n v="157"/>
  </r>
  <r>
    <d v="2025-11-24T03:04:45"/>
    <x v="12"/>
    <s v="Plaquettes de gorge"/>
    <s v="U534565"/>
    <s v="HOAREAU MARIUS"/>
    <n v="10"/>
    <x v="0"/>
    <x v="0"/>
    <s v="PLAQUETTES"/>
    <x v="1"/>
    <n v="157"/>
  </r>
  <r>
    <d v="2025-06-04T22:28:16"/>
    <x v="1"/>
    <s v="Plaquettes d'ébauches carrées"/>
    <s v="u134838"/>
    <s v="DANAH STEPHANIE"/>
    <n v="10"/>
    <x v="1"/>
    <x v="1"/>
    <s v="PLAQUETTES"/>
    <x v="0"/>
    <n v="71.2"/>
  </r>
  <r>
    <d v="2025-06-04T22:28:35"/>
    <x v="5"/>
    <s v="Plaquettes rondes"/>
    <s v="u134838"/>
    <s v="DANAH STEPHANIE"/>
    <n v="10"/>
    <x v="1"/>
    <x v="0"/>
    <s v="PLAQUETTES"/>
    <x v="0"/>
    <n v="108.5"/>
  </r>
  <r>
    <d v="2025-06-04T22:44:20"/>
    <x v="6"/>
    <s v="Plaquettes de finition positives"/>
    <s v="170325"/>
    <s v="VERDELET BASTIEN"/>
    <n v="10"/>
    <x v="3"/>
    <x v="2"/>
    <s v="PLAQUETTES"/>
    <x v="0"/>
    <n v="87"/>
  </r>
  <r>
    <d v="2025-06-04T22:44:35"/>
    <x v="2"/>
    <s v="Plaquettes d'ébauches rhombiques"/>
    <s v="170325"/>
    <s v="VERDELET BASTIEN"/>
    <n v="10"/>
    <x v="3"/>
    <x v="0"/>
    <s v="PLAQUETTES"/>
    <x v="0"/>
    <n v="70"/>
  </r>
  <r>
    <d v="2025-06-04T22:44:52"/>
    <x v="8"/>
    <s v="Plaquettes rhombiques"/>
    <s v="170325"/>
    <s v="VERDELET BASTIEN"/>
    <n v="5"/>
    <x v="2"/>
    <x v="2"/>
    <s v="PLAQUETTES"/>
    <x v="1"/>
    <n v="18.399999999999999"/>
  </r>
  <r>
    <d v="2025-06-04T22:45:07"/>
    <x v="4"/>
    <s v="Plaquettes de finition"/>
    <s v="170325"/>
    <s v="VERDELET BASTIEN"/>
    <n v="5"/>
    <x v="2"/>
    <x v="2"/>
    <s v="PLAQUETTES"/>
    <x v="1"/>
    <n v="47.8"/>
  </r>
  <r>
    <d v="2025-06-04T22:45:23"/>
    <x v="11"/>
    <s v="Plaquettes de finition triangulaires"/>
    <s v="170325"/>
    <s v="VERDELET BASTIEN"/>
    <n v="10"/>
    <x v="2"/>
    <x v="2"/>
    <s v="PLAQUETTES"/>
    <x v="1"/>
    <n v="118.7"/>
  </r>
  <r>
    <d v="2025-06-05T06:47:10"/>
    <x v="6"/>
    <s v="Plaquettes de finition positives"/>
    <s v="100225"/>
    <s v="PRUNEAU WILLIAM"/>
    <n v="10"/>
    <x v="3"/>
    <x v="2"/>
    <s v="PLAQUETTES"/>
    <x v="0"/>
    <n v="87"/>
  </r>
  <r>
    <d v="2025-06-05T08:19:22"/>
    <x v="1"/>
    <s v="Plaquettes d'ébauches carrées"/>
    <s v="12824586"/>
    <s v="DA SILVA FERNANDO"/>
    <n v="10"/>
    <x v="1"/>
    <x v="1"/>
    <s v="PLAQUETTES"/>
    <x v="4"/>
    <n v="71.2"/>
  </r>
  <r>
    <d v="2025-06-05T09:14:43"/>
    <x v="12"/>
    <s v="Plaquettes de gorge"/>
    <s v="100225"/>
    <s v="PRUNEAU WILLIAM"/>
    <n v="10"/>
    <x v="3"/>
    <x v="0"/>
    <s v="PLAQUETTES"/>
    <x v="2"/>
    <n v="157"/>
  </r>
  <r>
    <d v="2025-06-05T09:15:47"/>
    <x v="4"/>
    <s v="Plaquettes de finition"/>
    <s v="100225"/>
    <s v="PRUNEAU WILLIAM"/>
    <n v="5"/>
    <x v="3"/>
    <x v="2"/>
    <s v="PLAQUETTES"/>
    <x v="2"/>
    <n v="47.8"/>
  </r>
  <r>
    <d v="2025-06-05T09:16:50"/>
    <x v="2"/>
    <s v="Plaquettes d'ébauches rhombiques"/>
    <s v="100225"/>
    <s v="PRUNEAU WILLIAM"/>
    <n v="10"/>
    <x v="3"/>
    <x v="2"/>
    <s v="PLAQUETTES"/>
    <x v="2"/>
    <n v="70"/>
  </r>
  <r>
    <d v="2025-12-01T14:22:00"/>
    <x v="12"/>
    <s v="Plaquettes de gorge"/>
    <s v="020824"/>
    <s v="DA SILVA RENAUD"/>
    <n v="10"/>
    <x v="0"/>
    <x v="0"/>
    <s v="PLAQUETTES"/>
    <x v="1"/>
    <n v="157"/>
  </r>
  <r>
    <d v="2025-12-03T04:15:53"/>
    <x v="12"/>
    <s v="Plaquettes de gorge"/>
    <s v="j519914"/>
    <s v="MARLY DAVID"/>
    <n v="10"/>
    <x v="0"/>
    <x v="0"/>
    <s v="PLAQUETTES"/>
    <x v="1"/>
    <n v="157"/>
  </r>
  <r>
    <d v="2025-12-12T17:07:35"/>
    <x v="12"/>
    <s v="Plaquettes de gorge"/>
    <s v="sd13196"/>
    <s v="FRADIN MAXIME"/>
    <n v="10"/>
    <x v="0"/>
    <x v="0"/>
    <s v="PLAQUETTES"/>
    <x v="1"/>
    <n v="157"/>
  </r>
  <r>
    <d v="2025-01-10T02:11:41"/>
    <x v="1"/>
    <s v="Plaquettes d'ébauches carrées"/>
    <s v="U134838"/>
    <s v="DANAH STEPHANIE"/>
    <n v="10"/>
    <x v="0"/>
    <x v="1"/>
    <s v="PLAQUETTES"/>
    <x v="0"/>
    <n v="71.2"/>
  </r>
  <r>
    <d v="2025-01-10T13:16:24"/>
    <x v="1"/>
    <s v="Plaquettes d'ébauches carrées"/>
    <s v="080924"/>
    <s v="DABLEMONT AURELIEN"/>
    <n v="10"/>
    <x v="0"/>
    <x v="1"/>
    <s v="PLAQUETTES"/>
    <x v="1"/>
    <n v="71.2"/>
  </r>
  <r>
    <d v="2025-06-05T18:48:09"/>
    <x v="6"/>
    <s v="Plaquettes de finition positives"/>
    <s v="230525"/>
    <s v="SOULAS YANIS"/>
    <n v="10"/>
    <x v="1"/>
    <x v="2"/>
    <s v="PLAQUETTES"/>
    <x v="0"/>
    <n v="87"/>
  </r>
  <r>
    <d v="2025-06-05T18:48:23"/>
    <x v="6"/>
    <s v="Plaquettes de finition positives"/>
    <s v="230525"/>
    <s v="SOULAS YANIS"/>
    <n v="10"/>
    <x v="1"/>
    <x v="2"/>
    <s v="PLAQUETTES"/>
    <x v="0"/>
    <n v="87"/>
  </r>
  <r>
    <d v="2025-06-05T21:34:51"/>
    <x v="10"/>
    <s v="Plaquettes de finition"/>
    <s v="170325"/>
    <s v="VERDELET BASTIEN"/>
    <n v="10"/>
    <x v="3"/>
    <x v="2"/>
    <s v="PLAQUETTES"/>
    <x v="2"/>
    <n v="109.7"/>
  </r>
  <r>
    <d v="2025-06-05T21:35:05"/>
    <x v="4"/>
    <s v="Plaquettes de finition"/>
    <s v="170325"/>
    <s v="VERDELET BASTIEN"/>
    <n v="5"/>
    <x v="3"/>
    <x v="2"/>
    <s v="PLAQUETTES"/>
    <x v="2"/>
    <n v="47.8"/>
  </r>
  <r>
    <d v="2025-06-05T21:35:19"/>
    <x v="5"/>
    <s v="Plaquettes rondes"/>
    <s v="170325"/>
    <s v="VERDELET BASTIEN"/>
    <n v="10"/>
    <x v="2"/>
    <x v="0"/>
    <s v="PLAQUETTES"/>
    <x v="1"/>
    <n v="108.5"/>
  </r>
  <r>
    <d v="2025-06-05T21:35:52"/>
    <x v="2"/>
    <s v="Plaquettes d'ébauches rhombiques"/>
    <s v="170325"/>
    <s v="VERDELET BASTIEN"/>
    <n v="10"/>
    <x v="2"/>
    <x v="0"/>
    <s v="PLAQUETTES"/>
    <x v="1"/>
    <n v="70"/>
  </r>
  <r>
    <d v="2025-06-05T21:36:31"/>
    <x v="2"/>
    <s v="Plaquettes d'ébauches rhombiques"/>
    <s v="170325"/>
    <s v="VERDELET BASTIEN"/>
    <n v="10"/>
    <x v="2"/>
    <x v="0"/>
    <s v="PLAQUETTES"/>
    <x v="1"/>
    <n v="70"/>
  </r>
  <r>
    <d v="2025-01-13T21:16:40"/>
    <x v="1"/>
    <s v="Plaquettes d'ébauches carrées"/>
    <s v="SIEGEL F"/>
    <s v="SIEGEL FRANCK"/>
    <n v="10"/>
    <x v="0"/>
    <x v="1"/>
    <s v="PLAQUETTES"/>
    <x v="1"/>
    <n v="71.2"/>
  </r>
  <r>
    <d v="2025-06-06T06:08:26"/>
    <x v="1"/>
    <s v="Plaquettes d'ébauches carrées"/>
    <s v="U054304"/>
    <s v="BOUACHIK HICHAM"/>
    <n v="10"/>
    <x v="1"/>
    <x v="0"/>
    <s v="PLAQUETTES"/>
    <x v="0"/>
    <n v="71.2"/>
  </r>
  <r>
    <d v="2025-06-06T06:43:54"/>
    <x v="2"/>
    <s v="Plaquettes d'ébauches rhombiques"/>
    <s v="U054304"/>
    <s v="BOUACHIK HICHAM"/>
    <n v="10"/>
    <x v="1"/>
    <x v="0"/>
    <s v="PLAQUETTES"/>
    <x v="0"/>
    <n v="70"/>
  </r>
  <r>
    <d v="2025-06-06T09:45:27"/>
    <x v="4"/>
    <s v="Plaquettes de finition"/>
    <s v="U198152"/>
    <s v="AJMIK MUSTAPHA"/>
    <n v="5"/>
    <x v="2"/>
    <x v="2"/>
    <s v="PLAQUETTES"/>
    <x v="1"/>
    <n v="47.8"/>
  </r>
  <r>
    <d v="2025-06-06T09:45:48"/>
    <x v="4"/>
    <s v="Plaquettes de finition"/>
    <s v="U198152"/>
    <s v="AJMIK MUSTAPHA"/>
    <n v="5"/>
    <x v="2"/>
    <x v="2"/>
    <s v="PLAQUETTES"/>
    <x v="1"/>
    <n v="47.8"/>
  </r>
  <r>
    <d v="2025-06-06T09:46:05"/>
    <x v="11"/>
    <s v="Plaquettes de finition triangulaires"/>
    <s v="U198152"/>
    <s v="AJMIK MUSTAPHA"/>
    <n v="10"/>
    <x v="2"/>
    <x v="2"/>
    <s v="PLAQUETTES"/>
    <x v="1"/>
    <n v="118.7"/>
  </r>
  <r>
    <d v="2025-01-14T16:19:28"/>
    <x v="1"/>
    <s v="Plaquettes d'ébauches carrées"/>
    <s v="12824586"/>
    <s v="DA SILVA FERNANDO"/>
    <n v="10"/>
    <x v="0"/>
    <x v="1"/>
    <s v="PLAQUETTES"/>
    <x v="1"/>
    <n v="71.2"/>
  </r>
  <r>
    <d v="2025-01-17T16:45:09"/>
    <x v="1"/>
    <s v="Plaquettes d'ébauches carrées"/>
    <s v="U134838"/>
    <s v="DANAH STEPHANIE"/>
    <n v="10"/>
    <x v="0"/>
    <x v="1"/>
    <s v="PLAQUETTES"/>
    <x v="0"/>
    <n v="71.2"/>
  </r>
  <r>
    <d v="2025-01-20T05:30:00"/>
    <x v="1"/>
    <s v="Plaquettes d'ébauches carrées"/>
    <s v="U134838"/>
    <s v="DANAH STEPHANIE"/>
    <n v="10"/>
    <x v="0"/>
    <x v="1"/>
    <s v="PLAQUETTES"/>
    <x v="1"/>
    <n v="71.2"/>
  </r>
  <r>
    <d v="2025-01-20T08:41:18"/>
    <x v="1"/>
    <s v="Plaquettes d'ébauches carrées"/>
    <s v="12824586"/>
    <s v="DA SILVA FERNANDO"/>
    <n v="10"/>
    <x v="0"/>
    <x v="1"/>
    <s v="PLAQUETTES"/>
    <x v="0"/>
    <n v="71.2"/>
  </r>
  <r>
    <d v="2025-06-06T15:13:28"/>
    <x v="10"/>
    <s v="Plaquettes de finition"/>
    <s v="230525"/>
    <s v="SOULAS YANIS"/>
    <n v="10"/>
    <x v="1"/>
    <x v="2"/>
    <s v="PLAQUETTES"/>
    <x v="0"/>
    <n v="109.7"/>
  </r>
  <r>
    <d v="2025-06-06T15:13:46"/>
    <x v="7"/>
    <s v="Plaquettes de finition triangulaires"/>
    <s v="230525"/>
    <s v="SOULAS YANIS"/>
    <n v="10"/>
    <x v="1"/>
    <x v="2"/>
    <s v="PLAQUETTES"/>
    <x v="0"/>
    <n v="138.80000000000001"/>
  </r>
  <r>
    <d v="2025-06-06T21:32:51"/>
    <x v="4"/>
    <s v="Plaquettes de finition"/>
    <s v="u462308"/>
    <s v="MAITRE SEBASTIEN"/>
    <n v="5"/>
    <x v="3"/>
    <x v="2"/>
    <s v="PLAQUETTES"/>
    <x v="2"/>
    <n v="47.8"/>
  </r>
  <r>
    <d v="2025-06-06T21:33:15"/>
    <x v="4"/>
    <s v="Plaquettes de finition"/>
    <s v="u462308"/>
    <s v="MAITRE SEBASTIEN"/>
    <n v="5"/>
    <x v="2"/>
    <x v="2"/>
    <s v="PLAQUETTES"/>
    <x v="1"/>
    <n v="47.8"/>
  </r>
  <r>
    <d v="2025-06-06T21:33:35"/>
    <x v="2"/>
    <s v="Plaquettes d'ébauches rhombiques"/>
    <s v="u462308"/>
    <s v="MAITRE SEBASTIEN"/>
    <n v="10"/>
    <x v="3"/>
    <x v="1"/>
    <s v="PLAQUETTES"/>
    <x v="0"/>
    <n v="70"/>
  </r>
  <r>
    <d v="2025-06-06T21:33:54"/>
    <x v="1"/>
    <s v="Plaquettes d'ébauches carrées"/>
    <s v="u462308"/>
    <s v="MAITRE SEBASTIEN"/>
    <n v="10"/>
    <x v="3"/>
    <x v="1"/>
    <s v="PLAQUETTES"/>
    <x v="0"/>
    <n v="71.2"/>
  </r>
  <r>
    <d v="2025-06-07T00:13:20"/>
    <x v="6"/>
    <s v="Plaquettes de finition positives"/>
    <s v="170325"/>
    <s v="VERDELET BASTIEN"/>
    <n v="10"/>
    <x v="1"/>
    <x v="2"/>
    <s v="PLAQUETTES"/>
    <x v="0"/>
    <n v="87"/>
  </r>
  <r>
    <d v="2025-01-21T09:20:41"/>
    <x v="1"/>
    <s v="Plaquettes d'ébauches carrées"/>
    <s v="U134838"/>
    <s v="DANAH STEPHANIE"/>
    <n v="10"/>
    <x v="0"/>
    <x v="1"/>
    <s v="PLAQUETTES"/>
    <x v="1"/>
    <n v="71.2"/>
  </r>
  <r>
    <d v="2025-01-21T17:03:22"/>
    <x v="1"/>
    <s v="Plaquettes d'ébauches carrées"/>
    <s v="SIEGEL F"/>
    <s v="SIEGEL FRANCK"/>
    <n v="10"/>
    <x v="0"/>
    <x v="1"/>
    <s v="PLAQUETTES"/>
    <x v="1"/>
    <n v="71.2"/>
  </r>
  <r>
    <d v="2025-06-07T02:26:19"/>
    <x v="7"/>
    <s v="Plaquettes de finition triangulaires"/>
    <s v="u462308"/>
    <s v="MAITRE SEBASTIEN"/>
    <n v="10"/>
    <x v="3"/>
    <x v="2"/>
    <s v="PLAQUETTES"/>
    <x v="0"/>
    <n v="138.80000000000001"/>
  </r>
  <r>
    <d v="2025-06-07T02:26:39"/>
    <x v="10"/>
    <s v="Plaquettes de finition"/>
    <s v="u462308"/>
    <s v="MAITRE SEBASTIEN"/>
    <n v="10"/>
    <x v="3"/>
    <x v="2"/>
    <s v="PLAQUETTES"/>
    <x v="0"/>
    <n v="109.7"/>
  </r>
  <r>
    <d v="2025-06-07T02:26:58"/>
    <x v="6"/>
    <s v="Plaquettes de finition positives"/>
    <s v="u462308"/>
    <s v="MAITRE SEBASTIEN"/>
    <n v="10"/>
    <x v="3"/>
    <x v="2"/>
    <s v="PLAQUETTES"/>
    <x v="0"/>
    <n v="87"/>
  </r>
  <r>
    <d v="2025-06-07T07:17:38"/>
    <x v="2"/>
    <s v="Plaquettes d'ébauches rhombiques"/>
    <s v="U054304"/>
    <s v="BOUACHIK HICHAM"/>
    <n v="10"/>
    <x v="1"/>
    <x v="0"/>
    <s v="PLAQUETTES"/>
    <x v="0"/>
    <n v="70"/>
  </r>
  <r>
    <d v="2025-06-07T07:17:59"/>
    <x v="1"/>
    <s v="Plaquettes d'ébauches carrées"/>
    <s v="U054304"/>
    <s v="BOUACHIK HICHAM"/>
    <n v="10"/>
    <x v="1"/>
    <x v="0"/>
    <s v="PLAQUETTES"/>
    <x v="0"/>
    <n v="71.2"/>
  </r>
  <r>
    <d v="2025-06-07T12:39:44"/>
    <x v="2"/>
    <s v="Plaquettes d'ébauches rhombiques"/>
    <s v="U054304"/>
    <s v="BOUACHIK HICHAM"/>
    <n v="10"/>
    <x v="1"/>
    <x v="0"/>
    <s v="PLAQUETTES"/>
    <x v="0"/>
    <n v="70"/>
  </r>
  <r>
    <d v="2025-06-07T13:18:03"/>
    <x v="8"/>
    <s v="Plaquettes rhombiques"/>
    <s v="U198152"/>
    <s v="AJMIK MUSTAPHA"/>
    <n v="5"/>
    <x v="2"/>
    <x v="2"/>
    <s v="PLAQUETTES"/>
    <x v="1"/>
    <n v="18.399999999999999"/>
  </r>
  <r>
    <d v="2025-06-07T13:18:16"/>
    <x v="9"/>
    <s v="Plaquettes rhombiques"/>
    <s v="U198152"/>
    <s v="AJMIK MUSTAPHA"/>
    <n v="5"/>
    <x v="2"/>
    <x v="2"/>
    <s v="PLAQUETTES"/>
    <x v="1"/>
    <n v="44.85"/>
  </r>
  <r>
    <d v="2025-06-07T13:18:34"/>
    <x v="6"/>
    <s v="Plaquettes de finition positives"/>
    <s v="U198152"/>
    <s v="AJMIK MUSTAPHA"/>
    <n v="10"/>
    <x v="3"/>
    <x v="2"/>
    <s v="PLAQUETTES"/>
    <x v="3"/>
    <n v="87"/>
  </r>
  <r>
    <d v="2025-06-07T13:18:54"/>
    <x v="1"/>
    <s v="Plaquettes d'ébauches carrées"/>
    <s v="U198152"/>
    <s v="AJMIK MUSTAPHA"/>
    <n v="10"/>
    <x v="2"/>
    <x v="0"/>
    <s v="PLAQUETTES"/>
    <x v="1"/>
    <n v="71.2"/>
  </r>
  <r>
    <d v="2025-06-07T13:19:19"/>
    <x v="5"/>
    <s v="Plaquettes rondes"/>
    <s v="U198152"/>
    <s v="AJMIK MUSTAPHA"/>
    <n v="10"/>
    <x v="3"/>
    <x v="0"/>
    <s v="PLAQUETTES"/>
    <x v="3"/>
    <n v="108.5"/>
  </r>
  <r>
    <d v="2025-06-07T13:19:36"/>
    <x v="3"/>
    <s v="Plaquettes rondes"/>
    <s v="U198152"/>
    <s v="AJMIK MUSTAPHA"/>
    <n v="10"/>
    <x v="2"/>
    <x v="0"/>
    <s v="PLAQUETTES"/>
    <x v="1"/>
    <n v="136.69999999999999"/>
  </r>
  <r>
    <d v="2025-01-24T08:45:48"/>
    <x v="1"/>
    <s v="Plaquettes d'ébauches carrées"/>
    <s v="12824586"/>
    <s v="DA SILVA FERNANDO"/>
    <n v="10"/>
    <x v="0"/>
    <x v="1"/>
    <s v="PLAQUETTES"/>
    <x v="3"/>
    <n v="71.2"/>
  </r>
  <r>
    <d v="2025-01-31T14:41:24"/>
    <x v="1"/>
    <s v="Plaquettes d'ébauches carrées"/>
    <s v="SE05926"/>
    <s v="ALVES ARTHUR"/>
    <n v="10"/>
    <x v="0"/>
    <x v="1"/>
    <s v="PLAQUETTES"/>
    <x v="0"/>
    <n v="71.2"/>
  </r>
  <r>
    <d v="2025-06-07T22:01:24"/>
    <x v="6"/>
    <s v="Plaquettes de finition positives"/>
    <s v="u534565"/>
    <s v="HOAREAU MARIUS"/>
    <n v="10"/>
    <x v="1"/>
    <x v="2"/>
    <s v="PLAQUETTES"/>
    <x v="0"/>
    <n v="87"/>
  </r>
  <r>
    <d v="2025-02-03T05:12:58"/>
    <x v="1"/>
    <s v="Plaquettes d'ébauches carrées"/>
    <s v="080924"/>
    <s v="DABLEMONT AURELIEN"/>
    <n v="20"/>
    <x v="0"/>
    <x v="1"/>
    <s v="PLAQUETTES"/>
    <x v="1"/>
    <n v="142.4"/>
  </r>
  <r>
    <d v="2025-02-08T14:58:00"/>
    <x v="1"/>
    <s v="Plaquettes d'ébauches carrées"/>
    <s v="P910513"/>
    <s v="IMBERT MICKAEL"/>
    <n v="20"/>
    <x v="0"/>
    <x v="1"/>
    <s v="PLAQUETTES"/>
    <x v="1"/>
    <n v="142.4"/>
  </r>
  <r>
    <d v="2025-02-09T10:01:00"/>
    <x v="1"/>
    <s v="Plaquettes d'ébauches carrées"/>
    <s v="U534565"/>
    <s v="HOAREAU MARIUS"/>
    <n v="10"/>
    <x v="0"/>
    <x v="1"/>
    <s v="PLAQUETTES"/>
    <x v="3"/>
    <n v="71.2"/>
  </r>
  <r>
    <d v="2025-02-11T13:07:14"/>
    <x v="1"/>
    <s v="Plaquettes d'ébauches carrées"/>
    <s v="SIEGEL F"/>
    <s v="SIEGEL FRANCK"/>
    <n v="10"/>
    <x v="0"/>
    <x v="1"/>
    <s v="PLAQUETTES"/>
    <x v="1"/>
    <n v="71.2"/>
  </r>
  <r>
    <d v="2025-06-08T04:11:28"/>
    <x v="2"/>
    <s v="Plaquettes d'ébauches rhombiques"/>
    <s v="U518765"/>
    <s v="ROY ADELINE"/>
    <n v="10"/>
    <x v="3"/>
    <x v="0"/>
    <s v="PLAQUETTES"/>
    <x v="3"/>
    <n v="70"/>
  </r>
  <r>
    <d v="2025-06-08T04:11:57"/>
    <x v="5"/>
    <s v="Plaquettes rondes"/>
    <s v="U518765"/>
    <s v="ROY ADELINE"/>
    <n v="10"/>
    <x v="3"/>
    <x v="0"/>
    <s v="PLAQUETTES"/>
    <x v="3"/>
    <n v="108.5"/>
  </r>
  <r>
    <d v="2025-06-08T04:12:22"/>
    <x v="6"/>
    <s v="Plaquettes de finition positives"/>
    <s v="U518765"/>
    <s v="ROY ADELINE"/>
    <n v="10"/>
    <x v="3"/>
    <x v="2"/>
    <s v="PLAQUETTES"/>
    <x v="0"/>
    <n v="87"/>
  </r>
  <r>
    <d v="2025-06-08T04:12:44"/>
    <x v="8"/>
    <s v="Plaquettes rhombiques"/>
    <s v="U518765"/>
    <s v="ROY ADELINE"/>
    <n v="5"/>
    <x v="2"/>
    <x v="2"/>
    <s v="PLAQUETTES"/>
    <x v="1"/>
    <n v="18.399999999999999"/>
  </r>
  <r>
    <d v="2025-06-08T04:13:03"/>
    <x v="4"/>
    <s v="Plaquettes de finition"/>
    <s v="U518765"/>
    <s v="ROY ADELINE"/>
    <n v="5"/>
    <x v="2"/>
    <x v="2"/>
    <s v="PLAQUETTES"/>
    <x v="1"/>
    <n v="47.8"/>
  </r>
  <r>
    <d v="2025-06-08T04:29:40"/>
    <x v="6"/>
    <s v="Plaquettes de finition positives"/>
    <s v="u534565"/>
    <s v="HOAREAU MARIUS"/>
    <n v="10"/>
    <x v="1"/>
    <x v="2"/>
    <s v="PLAQUETTES"/>
    <x v="0"/>
    <n v="87"/>
  </r>
  <r>
    <d v="2025-06-08T17:58:58"/>
    <x v="6"/>
    <s v="Plaquettes de finition positives"/>
    <s v="P717908"/>
    <s v="GONCALVES GEORGES"/>
    <n v="10"/>
    <x v="1"/>
    <x v="2"/>
    <s v="PLAQUETTES"/>
    <x v="0"/>
    <n v="87"/>
  </r>
  <r>
    <d v="2025-02-13T13:09:35"/>
    <x v="1"/>
    <s v="Plaquettes d'ébauches carrées"/>
    <s v="SIEGEL F"/>
    <s v="SIEGEL FRANCK"/>
    <n v="10"/>
    <x v="0"/>
    <x v="1"/>
    <s v="PLAQUETTES"/>
    <x v="1"/>
    <n v="71.2"/>
  </r>
  <r>
    <d v="2025-02-13T14:22:35"/>
    <x v="1"/>
    <s v="Plaquettes d'ébauches carrées"/>
    <s v="SF51433"/>
    <s v="BONTEMS COLINE"/>
    <n v="10"/>
    <x v="0"/>
    <x v="1"/>
    <s v="PLAQUETTES"/>
    <x v="0"/>
    <n v="71.2"/>
  </r>
  <r>
    <d v="2025-06-08T18:00:59"/>
    <x v="2"/>
    <s v="Plaquettes d'ébauches rhombiques"/>
    <s v="P717908"/>
    <s v="GONCALVES GEORGES"/>
    <n v="10"/>
    <x v="1"/>
    <x v="1"/>
    <s v="PLAQUETTES"/>
    <x v="0"/>
    <n v="70"/>
  </r>
  <r>
    <d v="2025-06-08T18:01:40"/>
    <x v="5"/>
    <s v="Plaquettes rondes"/>
    <s v="P717908"/>
    <s v="GONCALVES GEORGES"/>
    <n v="10"/>
    <x v="1"/>
    <x v="0"/>
    <s v="PLAQUETTES"/>
    <x v="0"/>
    <n v="108.5"/>
  </r>
  <r>
    <d v="2025-06-09T00:24:17"/>
    <x v="1"/>
    <s v="Plaquettes d'ébauches carrées"/>
    <s v="U518765"/>
    <s v="ROY ADELINE"/>
    <n v="10"/>
    <x v="3"/>
    <x v="1"/>
    <s v="PLAQUETTES"/>
    <x v="3"/>
    <n v="71.2"/>
  </r>
  <r>
    <d v="2025-06-09T00:24:39"/>
    <x v="2"/>
    <s v="Plaquettes d'ébauches rhombiques"/>
    <s v="U518765"/>
    <s v="ROY ADELINE"/>
    <n v="10"/>
    <x v="3"/>
    <x v="0"/>
    <s v="PLAQUETTES"/>
    <x v="3"/>
    <n v="70"/>
  </r>
  <r>
    <d v="2025-06-09T00:25:12"/>
    <x v="6"/>
    <s v="Plaquettes de finition positives"/>
    <s v="U518765"/>
    <s v="ROY ADELINE"/>
    <n v="10"/>
    <x v="1"/>
    <x v="2"/>
    <s v="PLAQUETTES"/>
    <x v="0"/>
    <n v="87"/>
  </r>
  <r>
    <d v="2025-06-09T00:25:34"/>
    <x v="4"/>
    <s v="Plaquettes de finition"/>
    <s v="U518765"/>
    <s v="ROY ADELINE"/>
    <n v="5"/>
    <x v="2"/>
    <x v="2"/>
    <s v="PLAQUETTES"/>
    <x v="1"/>
    <n v="47.8"/>
  </r>
  <r>
    <d v="2025-02-13T14:22:47"/>
    <x v="1"/>
    <s v="Plaquettes d'ébauches carrées"/>
    <s v="SF51433"/>
    <s v="BONTEMS COLINE"/>
    <n v="-10"/>
    <x v="0"/>
    <x v="1"/>
    <s v="PLAQUETTES"/>
    <x v="0"/>
    <n v="-71.2"/>
  </r>
  <r>
    <d v="2025-06-09T05:20:02"/>
    <x v="2"/>
    <s v="Plaquettes d'ébauches rhombiques"/>
    <s v="230525"/>
    <s v="SOULAS YANIS"/>
    <n v="10"/>
    <x v="1"/>
    <x v="0"/>
    <s v="PLAQUETTES"/>
    <x v="0"/>
    <n v="70"/>
  </r>
  <r>
    <d v="2025-02-17T05:03:52"/>
    <x v="1"/>
    <s v="Plaquettes d'ébauches carrées"/>
    <s v="SIEGEL F"/>
    <s v="SIEGEL FRANCK"/>
    <n v="10"/>
    <x v="0"/>
    <x v="1"/>
    <s v="PLAQUETTES"/>
    <x v="1"/>
    <n v="71.2"/>
  </r>
  <r>
    <d v="2025-06-09T14:04:15"/>
    <x v="6"/>
    <s v="Plaquettes de finition positives"/>
    <s v="u134838"/>
    <s v="DANAH STEPHANIE"/>
    <n v="10"/>
    <x v="1"/>
    <x v="2"/>
    <s v="PLAQUETTES"/>
    <x v="0"/>
    <n v="87"/>
  </r>
  <r>
    <d v="2025-06-09T14:04:39"/>
    <x v="1"/>
    <s v="Plaquettes d'ébauches carrées"/>
    <s v="u134838"/>
    <s v="DANAH STEPHANIE"/>
    <n v="10"/>
    <x v="1"/>
    <x v="0"/>
    <s v="PLAQUETTES"/>
    <x v="0"/>
    <n v="71.2"/>
  </r>
  <r>
    <d v="2025-06-09T14:34:38"/>
    <x v="2"/>
    <s v="Plaquettes d'ébauches rhombiques"/>
    <s v="170325"/>
    <s v="VERDELET BASTIEN"/>
    <n v="10"/>
    <x v="3"/>
    <x v="0"/>
    <s v="PLAQUETTES"/>
    <x v="0"/>
    <n v="70"/>
  </r>
  <r>
    <d v="2025-06-09T14:34:59"/>
    <x v="6"/>
    <s v="Plaquettes de finition positives"/>
    <s v="170325"/>
    <s v="VERDELET BASTIEN"/>
    <n v="10"/>
    <x v="3"/>
    <x v="2"/>
    <s v="PLAQUETTES"/>
    <x v="3"/>
    <n v="87"/>
  </r>
  <r>
    <d v="2025-06-10T01:32:06"/>
    <x v="4"/>
    <s v="Plaquettes de finition"/>
    <s v="SD13196"/>
    <s v="FRADIN MAXIME"/>
    <n v="5"/>
    <x v="2"/>
    <x v="2"/>
    <s v="PLAQUETTES"/>
    <x v="1"/>
    <n v="47.8"/>
  </r>
  <r>
    <d v="2025-02-17T20:06:01"/>
    <x v="1"/>
    <s v="Plaquettes d'ébauches carrées"/>
    <s v="J534699"/>
    <s v="CHARTON FABIAN"/>
    <n v="10"/>
    <x v="0"/>
    <x v="0"/>
    <s v="PLAQUETTES"/>
    <x v="1"/>
    <n v="71.2"/>
  </r>
  <r>
    <d v="2025-06-10T05:09:15"/>
    <x v="2"/>
    <s v="Plaquettes d'ébauches rhombiques"/>
    <s v="230525"/>
    <s v="SOULAS YANIS"/>
    <n v="10"/>
    <x v="1"/>
    <x v="0"/>
    <s v="PLAQUETTES"/>
    <x v="0"/>
    <n v="70"/>
  </r>
  <r>
    <d v="2025-06-10T05:10:14"/>
    <x v="2"/>
    <s v="Plaquettes d'ébauches rhombiques"/>
    <s v="230525"/>
    <s v="SOULAS YANIS"/>
    <n v="10"/>
    <x v="1"/>
    <x v="0"/>
    <s v="PLAQUETTES"/>
    <x v="0"/>
    <n v="70"/>
  </r>
  <r>
    <d v="2025-06-10T05:10:38"/>
    <x v="1"/>
    <s v="Plaquettes d'ébauches carrées"/>
    <s v="230525"/>
    <s v="SOULAS YANIS"/>
    <n v="10"/>
    <x v="1"/>
    <x v="0"/>
    <s v="PLAQUETTES"/>
    <x v="0"/>
    <n v="71.2"/>
  </r>
  <r>
    <d v="2025-06-10T05:12:17"/>
    <x v="2"/>
    <s v="Plaquettes d'ébauches rhombiques"/>
    <s v="VERGE G"/>
    <s v="VERGE GREGORY"/>
    <n v="10"/>
    <x v="2"/>
    <x v="1"/>
    <s v="PLAQUETTES"/>
    <x v="1"/>
    <n v="70"/>
  </r>
  <r>
    <d v="2025-06-10T05:12:34"/>
    <x v="1"/>
    <s v="Plaquettes d'ébauches carrées"/>
    <s v="VERGE G"/>
    <s v="VERGE GREGORY"/>
    <n v="10"/>
    <x v="2"/>
    <x v="1"/>
    <s v="PLAQUETTES"/>
    <x v="1"/>
    <n v="71.2"/>
  </r>
  <r>
    <d v="2025-06-10T05:12:47"/>
    <x v="4"/>
    <s v="Plaquettes de finition"/>
    <s v="VERGE G"/>
    <s v="VERGE GREGORY"/>
    <n v="5"/>
    <x v="2"/>
    <x v="2"/>
    <s v="PLAQUETTES"/>
    <x v="1"/>
    <n v="47.8"/>
  </r>
  <r>
    <d v="2025-02-19T06:06:21"/>
    <x v="1"/>
    <s v="Plaquettes d'ébauches carrées"/>
    <s v="SIEGEL F"/>
    <s v="SIEGEL FRANCK"/>
    <n v="10"/>
    <x v="0"/>
    <x v="1"/>
    <s v="PLAQUETTES"/>
    <x v="1"/>
    <n v="71.2"/>
  </r>
  <r>
    <d v="2025-06-10T13:40:33"/>
    <x v="6"/>
    <s v="Plaquettes de finition positives"/>
    <s v="170325"/>
    <s v="VERDELET BASTIEN"/>
    <n v="10"/>
    <x v="3"/>
    <x v="2"/>
    <s v="PLAQUETTES"/>
    <x v="3"/>
    <n v="87"/>
  </r>
  <r>
    <d v="2025-06-10T13:41:02"/>
    <x v="4"/>
    <s v="Plaquettes de finition"/>
    <s v="170325"/>
    <s v="VERDELET BASTIEN"/>
    <n v="5"/>
    <x v="2"/>
    <x v="2"/>
    <s v="PLAQUETTES"/>
    <x v="1"/>
    <n v="47.8"/>
  </r>
  <r>
    <d v="2025-06-10T13:41:33"/>
    <x v="9"/>
    <s v="Plaquettes rhombiques"/>
    <s v="170325"/>
    <s v="VERDELET BASTIEN"/>
    <n v="5"/>
    <x v="2"/>
    <x v="2"/>
    <s v="PLAQUETTES"/>
    <x v="1"/>
    <n v="44.85"/>
  </r>
  <r>
    <d v="2025-06-10T13:41:51"/>
    <x v="3"/>
    <s v="Plaquettes rondes"/>
    <s v="170325"/>
    <s v="VERDELET BASTIEN"/>
    <n v="10"/>
    <x v="2"/>
    <x v="0"/>
    <s v="PLAQUETTES"/>
    <x v="1"/>
    <n v="136.69999999999999"/>
  </r>
  <r>
    <d v="2025-06-10T14:12:17"/>
    <x v="6"/>
    <s v="Plaquettes de finition positives"/>
    <s v="u134838"/>
    <s v="DANAH STEPHANIE"/>
    <n v="10"/>
    <x v="1"/>
    <x v="2"/>
    <s v="PLAQUETTES"/>
    <x v="0"/>
    <n v="87"/>
  </r>
  <r>
    <d v="2025-02-20T13:33:53"/>
    <x v="1"/>
    <s v="Plaquettes d'ébauches carrées"/>
    <s v="080924"/>
    <s v="DABLEMONT AURELIEN"/>
    <n v="10"/>
    <x v="0"/>
    <x v="0"/>
    <s v="PLAQUETTES"/>
    <x v="0"/>
    <n v="71.2"/>
  </r>
  <r>
    <d v="2025-02-26T21:16:48"/>
    <x v="1"/>
    <s v="Plaquettes d'ébauches carrées"/>
    <s v="SIEGEL F"/>
    <s v="SIEGEL FRANCK"/>
    <n v="10"/>
    <x v="0"/>
    <x v="1"/>
    <s v="PLAQUETTES"/>
    <x v="1"/>
    <n v="71.2"/>
  </r>
  <r>
    <d v="2025-02-27T11:03:56"/>
    <x v="1"/>
    <s v="Plaquettes d'ébauches carrées"/>
    <s v="SF51433"/>
    <s v="BONTEMS COLINE"/>
    <n v="10"/>
    <x v="0"/>
    <x v="1"/>
    <s v="PLAQUETTES"/>
    <x v="0"/>
    <n v="71.2"/>
  </r>
  <r>
    <d v="2025-06-11T05:15:09"/>
    <x v="1"/>
    <s v="Plaquettes d'ébauches carrées"/>
    <s v="230525"/>
    <s v="SOULAS YANIS"/>
    <n v="10"/>
    <x v="1"/>
    <x v="1"/>
    <s v="PLAQUETTES"/>
    <x v="0"/>
    <n v="71.2"/>
  </r>
  <r>
    <d v="2025-06-11T05:15:41"/>
    <x v="2"/>
    <s v="Plaquettes d'ébauches rhombiques"/>
    <s v="230525"/>
    <s v="SOULAS YANIS"/>
    <n v="10"/>
    <x v="1"/>
    <x v="1"/>
    <s v="PLAQUETTES"/>
    <x v="0"/>
    <n v="70"/>
  </r>
  <r>
    <d v="2025-06-11T05:16:31"/>
    <x v="2"/>
    <s v="Plaquettes d'ébauches rhombiques"/>
    <s v="VERGE G"/>
    <s v="VERGE GREGORY"/>
    <n v="10"/>
    <x v="2"/>
    <x v="1"/>
    <s v="PLAQUETTES"/>
    <x v="1"/>
    <n v="70"/>
  </r>
  <r>
    <d v="2025-06-11T05:16:44"/>
    <x v="1"/>
    <s v="Plaquettes d'ébauches carrées"/>
    <s v="VERGE G"/>
    <s v="VERGE GREGORY"/>
    <n v="10"/>
    <x v="2"/>
    <x v="1"/>
    <s v="PLAQUETTES"/>
    <x v="1"/>
    <n v="71.2"/>
  </r>
  <r>
    <d v="2025-06-11T05:16:56"/>
    <x v="4"/>
    <s v="Plaquettes de finition"/>
    <s v="VERGE G"/>
    <s v="VERGE GREGORY"/>
    <n v="5"/>
    <x v="2"/>
    <x v="2"/>
    <s v="PLAQUETTES"/>
    <x v="1"/>
    <n v="47.8"/>
  </r>
  <r>
    <d v="2025-06-11T05:45:02"/>
    <x v="8"/>
    <s v="Plaquettes rhombiques"/>
    <s v="VERGE G"/>
    <s v="VERGE GREGORY"/>
    <n v="5"/>
    <x v="2"/>
    <x v="2"/>
    <s v="PLAQUETTES"/>
    <x v="1"/>
    <n v="18.399999999999999"/>
  </r>
  <r>
    <d v="2025-02-27T11:04:10"/>
    <x v="1"/>
    <s v="Plaquettes d'ébauches carrées"/>
    <s v="SF51433"/>
    <s v="BONTEMS COLINE"/>
    <n v="-10"/>
    <x v="0"/>
    <x v="1"/>
    <s v="PLAQUETTES"/>
    <x v="0"/>
    <n v="-71.2"/>
  </r>
  <r>
    <d v="2025-06-11T08:27:16"/>
    <x v="5"/>
    <s v="Plaquettes rondes"/>
    <s v="12824586"/>
    <s v="DA SILVA FERNANDO"/>
    <n v="10"/>
    <x v="1"/>
    <x v="0"/>
    <s v="PLAQUETTES"/>
    <x v="4"/>
    <n v="108.5"/>
  </r>
  <r>
    <d v="2025-06-11T12:46:53"/>
    <x v="2"/>
    <s v="Plaquettes d'ébauches rhombiques"/>
    <s v="080924"/>
    <s v="DABLEMONT AURELIEN"/>
    <n v="10"/>
    <x v="1"/>
    <x v="1"/>
    <s v="PLAQUETTES"/>
    <x v="0"/>
    <n v="70"/>
  </r>
  <r>
    <d v="2025-03-02T06:15:10"/>
    <x v="1"/>
    <s v="Plaquettes d'ébauches carrées"/>
    <s v="U054304"/>
    <s v="BOUACHIK HICHAM"/>
    <n v="10"/>
    <x v="0"/>
    <x v="1"/>
    <s v="PLAQUETTES"/>
    <x v="1"/>
    <n v="71.2"/>
  </r>
  <r>
    <d v="2025-06-11T12:47:31"/>
    <x v="6"/>
    <s v="Plaquettes de finition positives"/>
    <s v="080924"/>
    <s v="DABLEMONT AURELIEN"/>
    <n v="10"/>
    <x v="1"/>
    <x v="2"/>
    <s v="PLAQUETTES"/>
    <x v="0"/>
    <n v="87"/>
  </r>
  <r>
    <d v="2025-06-11T12:47:41"/>
    <x v="6"/>
    <s v="Plaquettes de finition positives"/>
    <s v="080924"/>
    <s v="DABLEMONT AURELIEN"/>
    <n v="10"/>
    <x v="1"/>
    <x v="2"/>
    <s v="PLAQUETTES"/>
    <x v="0"/>
    <n v="87"/>
  </r>
  <r>
    <d v="2025-06-11T13:14:09"/>
    <x v="4"/>
    <s v="Plaquettes de finition"/>
    <s v="170325"/>
    <s v="VERDELET BASTIEN"/>
    <n v="5"/>
    <x v="2"/>
    <x v="2"/>
    <s v="PLAQUETTES"/>
    <x v="1"/>
    <n v="47.8"/>
  </r>
  <r>
    <d v="2025-06-11T13:14:23"/>
    <x v="5"/>
    <s v="Plaquettes rondes"/>
    <s v="170325"/>
    <s v="VERDELET BASTIEN"/>
    <n v="10"/>
    <x v="2"/>
    <x v="0"/>
    <s v="PLAQUETTES"/>
    <x v="1"/>
    <n v="108.5"/>
  </r>
  <r>
    <d v="2025-06-11T13:14:37"/>
    <x v="2"/>
    <s v="Plaquettes d'ébauches rhombiques"/>
    <s v="170325"/>
    <s v="VERDELET BASTIEN"/>
    <n v="10"/>
    <x v="2"/>
    <x v="0"/>
    <s v="PLAQUETTES"/>
    <x v="1"/>
    <n v="70"/>
  </r>
  <r>
    <d v="2025-06-11T13:15:08"/>
    <x v="6"/>
    <s v="Plaquettes de finition positives"/>
    <s v="170325"/>
    <s v="VERDELET BASTIEN"/>
    <n v="10"/>
    <x v="3"/>
    <x v="2"/>
    <s v="PLAQUETTES"/>
    <x v="3"/>
    <n v="87"/>
  </r>
  <r>
    <d v="2025-06-11T13:17:22"/>
    <x v="1"/>
    <s v="Plaquettes d'ébauches carrées"/>
    <s v="u134838"/>
    <s v="DANAH STEPHANIE"/>
    <n v="10"/>
    <x v="1"/>
    <x v="0"/>
    <s v="PLAQUETTES"/>
    <x v="0"/>
    <n v="71.2"/>
  </r>
  <r>
    <d v="2025-06-11T13:17:41"/>
    <x v="5"/>
    <s v="Plaquettes rondes"/>
    <s v="u134838"/>
    <s v="DANAH STEPHANIE"/>
    <n v="10"/>
    <x v="1"/>
    <x v="0"/>
    <s v="PLAQUETTES"/>
    <x v="0"/>
    <n v="108.5"/>
  </r>
  <r>
    <d v="2025-03-05T00:31:59"/>
    <x v="1"/>
    <s v="Plaquettes d'ébauches carrées"/>
    <s v="080924"/>
    <s v="DABLEMONT AURELIEN"/>
    <n v="10"/>
    <x v="0"/>
    <x v="0"/>
    <s v="PLAQUETTES"/>
    <x v="1"/>
    <n v="71.2"/>
  </r>
  <r>
    <d v="2025-03-06T05:37:43"/>
    <x v="1"/>
    <s v="Plaquettes d'ébauches carrées"/>
    <s v="u134838"/>
    <s v="DANAH STEPHANIE"/>
    <n v="10"/>
    <x v="0"/>
    <x v="1"/>
    <s v="PLAQUETTES"/>
    <x v="0"/>
    <n v="71.2"/>
  </r>
  <r>
    <d v="2025-03-08T16:59:01"/>
    <x v="1"/>
    <s v="Plaquettes d'ébauches carrées"/>
    <s v="U054304"/>
    <s v="BOUACHIK HICHAM"/>
    <n v="10"/>
    <x v="0"/>
    <x v="1"/>
    <s v="PLAQUETTES"/>
    <x v="1"/>
    <n v="71.2"/>
  </r>
  <r>
    <d v="2025-06-12T05:20:43"/>
    <x v="4"/>
    <s v="Plaquettes de finition"/>
    <s v="080924"/>
    <s v="DABLEMONT AURELIEN"/>
    <n v="5"/>
    <x v="2"/>
    <x v="2"/>
    <s v="PLAQUETTES"/>
    <x v="1"/>
    <n v="47.8"/>
  </r>
  <r>
    <d v="2025-06-12T06:43:41"/>
    <x v="2"/>
    <s v="Plaquettes d'ébauches rhombiques"/>
    <s v="080924"/>
    <s v="DABLEMONT AURELIEN"/>
    <n v="10"/>
    <x v="1"/>
    <x v="1"/>
    <s v="PLAQUETTES"/>
    <x v="0"/>
    <n v="70"/>
  </r>
  <r>
    <d v="2025-06-12T06:43:54"/>
    <x v="6"/>
    <s v="Plaquettes de finition positives"/>
    <s v="080924"/>
    <s v="DABLEMONT AURELIEN"/>
    <n v="10"/>
    <x v="1"/>
    <x v="2"/>
    <s v="PLAQUETTES"/>
    <x v="0"/>
    <n v="87"/>
  </r>
  <r>
    <d v="2025-03-08T16:59:33"/>
    <x v="1"/>
    <s v="Plaquettes d'ébauches carrées"/>
    <s v="U054304"/>
    <s v="BOUACHIK HICHAM"/>
    <n v="10"/>
    <x v="0"/>
    <x v="1"/>
    <s v="PLAQUETTES"/>
    <x v="1"/>
    <n v="71.2"/>
  </r>
  <r>
    <d v="2025-06-12T08:15:16"/>
    <x v="2"/>
    <s v="Plaquettes d'ébauches rhombiques"/>
    <s v="VERGE G"/>
    <s v="VERGE GREGORY"/>
    <n v="10"/>
    <x v="2"/>
    <x v="1"/>
    <s v="PLAQUETTES"/>
    <x v="1"/>
    <n v="70"/>
  </r>
  <r>
    <d v="2025-06-12T08:15:34"/>
    <x v="2"/>
    <s v="Plaquettes d'ébauches rhombiques"/>
    <s v="VERGE G"/>
    <s v="VERGE GREGORY"/>
    <n v="10"/>
    <x v="2"/>
    <x v="1"/>
    <s v="PLAQUETTES"/>
    <x v="1"/>
    <n v="70"/>
  </r>
  <r>
    <d v="2025-03-10T03:51:09"/>
    <x v="1"/>
    <s v="Plaquettes d'ébauches carrées"/>
    <s v="U054304"/>
    <s v="BOUACHIK HICHAM"/>
    <n v="10"/>
    <x v="0"/>
    <x v="0"/>
    <s v="PLAQUETTES"/>
    <x v="1"/>
    <n v="71.2"/>
  </r>
  <r>
    <d v="2025-06-12T13:56:45"/>
    <x v="10"/>
    <s v="Plaquettes de finition"/>
    <s v="u134838"/>
    <s v="DANAH STEPHANIE"/>
    <n v="10"/>
    <x v="1"/>
    <x v="2"/>
    <s v="PLAQUETTES"/>
    <x v="0"/>
    <n v="109.7"/>
  </r>
  <r>
    <d v="2025-06-12T13:57:53"/>
    <x v="7"/>
    <s v="Plaquettes de finition triangulaires"/>
    <s v="u134838"/>
    <s v="DANAH STEPHANIE"/>
    <n v="10"/>
    <x v="1"/>
    <x v="2"/>
    <s v="PLAQUETTES"/>
    <x v="0"/>
    <n v="138.80000000000001"/>
  </r>
  <r>
    <d v="2025-06-12T14:00:46"/>
    <x v="10"/>
    <s v="Plaquettes de finition"/>
    <s v="170325"/>
    <s v="VERDELET BASTIEN"/>
    <n v="10"/>
    <x v="3"/>
    <x v="2"/>
    <s v="PLAQUETTES"/>
    <x v="3"/>
    <n v="109.7"/>
  </r>
  <r>
    <d v="2025-06-12T14:01:04"/>
    <x v="6"/>
    <s v="Plaquettes de finition positives"/>
    <s v="170325"/>
    <s v="VERDELET BASTIEN"/>
    <n v="10"/>
    <x v="3"/>
    <x v="2"/>
    <s v="PLAQUETTES"/>
    <x v="3"/>
    <n v="87"/>
  </r>
  <r>
    <d v="2025-06-12T22:17:09"/>
    <x v="8"/>
    <s v="Plaquettes rhombiques"/>
    <s v="J609988"/>
    <s v="AMALRIC VINCENT"/>
    <n v="5"/>
    <x v="2"/>
    <x v="2"/>
    <s v="PLAQUETTES"/>
    <x v="1"/>
    <n v="18.399999999999999"/>
  </r>
  <r>
    <d v="2025-06-12T22:17:28"/>
    <x v="4"/>
    <s v="Plaquettes de finition"/>
    <s v="J609988"/>
    <s v="AMALRIC VINCENT"/>
    <n v="5"/>
    <x v="2"/>
    <x v="2"/>
    <s v="PLAQUETTES"/>
    <x v="1"/>
    <n v="47.8"/>
  </r>
  <r>
    <d v="2025-06-12T22:17:53"/>
    <x v="2"/>
    <s v="Plaquettes d'ébauches rhombiques"/>
    <s v="J609988"/>
    <s v="AMALRIC VINCENT"/>
    <n v="10"/>
    <x v="2"/>
    <x v="2"/>
    <s v="PLAQUETTES"/>
    <x v="1"/>
    <n v="70"/>
  </r>
  <r>
    <d v="2025-06-12T22:18:22"/>
    <x v="1"/>
    <s v="Plaquettes d'ébauches carrées"/>
    <s v="J609988"/>
    <s v="AMALRIC VINCENT"/>
    <n v="10"/>
    <x v="3"/>
    <x v="0"/>
    <s v="PLAQUETTES"/>
    <x v="0"/>
    <n v="71.2"/>
  </r>
  <r>
    <d v="2025-06-12T22:18:42"/>
    <x v="10"/>
    <s v="Plaquettes de finition"/>
    <s v="J609988"/>
    <s v="AMALRIC VINCENT"/>
    <n v="10"/>
    <x v="3"/>
    <x v="2"/>
    <s v="PLAQUETTES"/>
    <x v="3"/>
    <n v="109.7"/>
  </r>
  <r>
    <d v="2025-06-12T22:19:00"/>
    <x v="6"/>
    <s v="Plaquettes de finition positives"/>
    <s v="J609988"/>
    <s v="AMALRIC VINCENT"/>
    <n v="10"/>
    <x v="3"/>
    <x v="2"/>
    <s v="PLAQUETTES"/>
    <x v="3"/>
    <n v="87"/>
  </r>
  <r>
    <d v="2025-03-10T17:11:21"/>
    <x v="1"/>
    <s v="Plaquettes d'ébauches carrées"/>
    <s v="080924"/>
    <s v="DABLEMONT AURELIEN"/>
    <n v="10"/>
    <x v="0"/>
    <x v="0"/>
    <s v="PLAQUETTES"/>
    <x v="1"/>
    <n v="71.2"/>
  </r>
  <r>
    <d v="2025-03-11T12:09:08"/>
    <x v="1"/>
    <s v="Plaquettes d'ébauches carrées"/>
    <s v="SD13196"/>
    <s v="FRADIN MAXIME"/>
    <n v="10"/>
    <x v="0"/>
    <x v="1"/>
    <s v="PLAQUETTES"/>
    <x v="1"/>
    <n v="71.2"/>
  </r>
  <r>
    <d v="2025-03-13T13:51:42"/>
    <x v="1"/>
    <s v="Plaquettes d'ébauches carrées"/>
    <s v="J534699"/>
    <s v="CHARTON FABIAN"/>
    <n v="10"/>
    <x v="0"/>
    <x v="0"/>
    <s v="PLAQUETTES"/>
    <x v="1"/>
    <n v="71.2"/>
  </r>
  <r>
    <d v="2025-06-13T06:42:03"/>
    <x v="4"/>
    <s v="Plaquettes de finition"/>
    <s v="u534565"/>
    <s v="HOAREAU MARIUS"/>
    <n v="5"/>
    <x v="2"/>
    <x v="2"/>
    <s v="PLAQUETTES"/>
    <x v="1"/>
    <n v="47.8"/>
  </r>
  <r>
    <d v="2025-03-14T17:33:40"/>
    <x v="1"/>
    <s v="Plaquettes d'ébauches carrées"/>
    <s v="080924"/>
    <s v="DABLEMONT AURELIEN"/>
    <n v="10"/>
    <x v="0"/>
    <x v="0"/>
    <s v="PLAQUETTES"/>
    <x v="1"/>
    <n v="71.2"/>
  </r>
  <r>
    <d v="2025-06-13T06:44:23"/>
    <x v="6"/>
    <s v="Plaquettes de finition positives"/>
    <s v="U518765"/>
    <s v="ROY ADELINE"/>
    <n v="10"/>
    <x v="1"/>
    <x v="2"/>
    <s v="PLAQUETTES"/>
    <x v="0"/>
    <n v="87"/>
  </r>
  <r>
    <d v="2025-06-13T06:44:42"/>
    <x v="2"/>
    <s v="Plaquettes d'ébauches rhombiques"/>
    <s v="U518765"/>
    <s v="ROY ADELINE"/>
    <n v="10"/>
    <x v="1"/>
    <x v="0"/>
    <s v="PLAQUETTES"/>
    <x v="0"/>
    <n v="70"/>
  </r>
  <r>
    <d v="2025-06-13T15:02:59"/>
    <x v="2"/>
    <s v="Plaquettes d'ébauches rhombiques"/>
    <s v="SE38185"/>
    <s v="VENIAT PIERRE NICOLAS"/>
    <n v="10"/>
    <x v="2"/>
    <x v="1"/>
    <s v="PLAQUETTES"/>
    <x v="1"/>
    <n v="70"/>
  </r>
  <r>
    <d v="2025-06-13T15:03:20"/>
    <x v="3"/>
    <s v="Plaquettes rondes"/>
    <s v="SE38185"/>
    <s v="VENIAT PIERRE NICOLAS"/>
    <n v="10"/>
    <x v="2"/>
    <x v="0"/>
    <s v="PLAQUETTES"/>
    <x v="1"/>
    <n v="136.69999999999999"/>
  </r>
  <r>
    <d v="2025-06-13T21:14:07"/>
    <x v="2"/>
    <s v="Plaquettes d'ébauches rhombiques"/>
    <s v="SD13196"/>
    <s v="FRADIN MAXIME"/>
    <n v="10"/>
    <x v="1"/>
    <x v="1"/>
    <s v="PLAQUETTES"/>
    <x v="0"/>
    <n v="70"/>
  </r>
  <r>
    <d v="2025-06-13T21:14:24"/>
    <x v="2"/>
    <s v="Plaquettes d'ébauches rhombiques"/>
    <s v="SD13196"/>
    <s v="FRADIN MAXIME"/>
    <n v="10"/>
    <x v="1"/>
    <x v="1"/>
    <s v="PLAQUETTES"/>
    <x v="0"/>
    <n v="70"/>
  </r>
  <r>
    <d v="2025-03-15T09:05:38"/>
    <x v="1"/>
    <s v="Plaquettes d'ébauches carrées"/>
    <s v="U054304"/>
    <s v="BOUACHIK HICHAM"/>
    <n v="10"/>
    <x v="0"/>
    <x v="0"/>
    <s v="PLAQUETTES"/>
    <x v="1"/>
    <n v="71.2"/>
  </r>
  <r>
    <d v="2025-03-16T07:34:40"/>
    <x v="1"/>
    <s v="Plaquettes d'ébauches carrées"/>
    <s v="U054304"/>
    <s v="BOUACHIK HICHAM"/>
    <n v="10"/>
    <x v="0"/>
    <x v="0"/>
    <s v="PLAQUETTES"/>
    <x v="1"/>
    <n v="71.2"/>
  </r>
  <r>
    <d v="2025-03-18T13:23:38"/>
    <x v="1"/>
    <s v="Plaquettes d'ébauches carrées"/>
    <s v="170325"/>
    <s v="VERDELET BASTIEN"/>
    <n v="10"/>
    <x v="0"/>
    <x v="0"/>
    <s v="PLAQUETTES"/>
    <x v="1"/>
    <n v="71.2"/>
  </r>
  <r>
    <d v="2025-06-14T05:19:59"/>
    <x v="2"/>
    <s v="Plaquettes d'ébauches rhombiques"/>
    <s v="U518765"/>
    <s v="ROY ADELINE"/>
    <n v="10"/>
    <x v="1"/>
    <x v="0"/>
    <s v="PLAQUETTES"/>
    <x v="0"/>
    <n v="70"/>
  </r>
  <r>
    <d v="2025-03-22T16:46:38"/>
    <x v="1"/>
    <s v="Plaquettes d'ébauches carrées"/>
    <s v="U054304"/>
    <s v="BOUACHIK HICHAM"/>
    <n v="10"/>
    <x v="0"/>
    <x v="0"/>
    <s v="PLAQUETTES"/>
    <x v="0"/>
    <n v="71.2"/>
  </r>
  <r>
    <d v="2025-06-14T05:20:42"/>
    <x v="6"/>
    <s v="Plaquettes de finition positives"/>
    <s v="U518765"/>
    <s v="ROY ADELINE"/>
    <n v="10"/>
    <x v="1"/>
    <x v="2"/>
    <s v="PLAQUETTES"/>
    <x v="0"/>
    <n v="87"/>
  </r>
  <r>
    <d v="2025-03-24T05:15:36"/>
    <x v="1"/>
    <s v="Plaquettes d'ébauches carrées"/>
    <s v="170325"/>
    <s v="VERDELET BASTIEN"/>
    <n v="10"/>
    <x v="0"/>
    <x v="0"/>
    <s v="PLAQUETTES"/>
    <x v="0"/>
    <n v="71.2"/>
  </r>
  <r>
    <d v="2025-06-14T06:05:07"/>
    <x v="4"/>
    <s v="Plaquettes de finition"/>
    <s v="U534565"/>
    <s v="HOAREAU MARIUS"/>
    <n v="5"/>
    <x v="2"/>
    <x v="2"/>
    <s v="PLAQUETTES"/>
    <x v="1"/>
    <n v="47.8"/>
  </r>
  <r>
    <d v="2025-06-14T06:05:31"/>
    <x v="11"/>
    <s v="Plaquettes de finition triangulaires"/>
    <s v="U534565"/>
    <s v="HOAREAU MARIUS"/>
    <n v="10"/>
    <x v="2"/>
    <x v="2"/>
    <s v="PLAQUETTES"/>
    <x v="1"/>
    <n v="118.7"/>
  </r>
  <r>
    <d v="2025-06-14T06:05:52"/>
    <x v="9"/>
    <s v="Plaquettes rhombiques"/>
    <s v="U534565"/>
    <s v="HOAREAU MARIUS"/>
    <n v="5"/>
    <x v="2"/>
    <x v="2"/>
    <s v="PLAQUETTES"/>
    <x v="1"/>
    <n v="44.85"/>
  </r>
  <r>
    <d v="2025-06-14T06:06:23"/>
    <x v="8"/>
    <s v="Plaquettes rhombiques"/>
    <s v="U534565"/>
    <s v="HOAREAU MARIUS"/>
    <n v="5"/>
    <x v="2"/>
    <x v="2"/>
    <s v="PLAQUETTES"/>
    <x v="1"/>
    <n v="18.399999999999999"/>
  </r>
  <r>
    <d v="2025-06-14T06:06:47"/>
    <x v="2"/>
    <s v="Plaquettes d'ébauches rhombiques"/>
    <s v="U534565"/>
    <s v="HOAREAU MARIUS"/>
    <n v="10"/>
    <x v="2"/>
    <x v="0"/>
    <s v="PLAQUETTES"/>
    <x v="1"/>
    <n v="70"/>
  </r>
  <r>
    <d v="2025-06-14T06:07:15"/>
    <x v="6"/>
    <s v="Plaquettes de finition positives"/>
    <s v="U534565"/>
    <s v="HOAREAU MARIUS"/>
    <n v="10"/>
    <x v="3"/>
    <x v="2"/>
    <s v="PLAQUETTES"/>
    <x v="0"/>
    <n v="87"/>
  </r>
  <r>
    <d v="2025-06-14T06:07:41"/>
    <x v="2"/>
    <s v="Plaquettes d'ébauches rhombiques"/>
    <s v="U534565"/>
    <s v="HOAREAU MARIUS"/>
    <n v="10"/>
    <x v="3"/>
    <x v="0"/>
    <s v="PLAQUETTES"/>
    <x v="0"/>
    <n v="70"/>
  </r>
  <r>
    <d v="2025-06-14T06:07:56"/>
    <x v="1"/>
    <s v="Plaquettes d'ébauches carrées"/>
    <s v="U534565"/>
    <s v="HOAREAU MARIUS"/>
    <n v="10"/>
    <x v="3"/>
    <x v="0"/>
    <s v="PLAQUETTES"/>
    <x v="0"/>
    <n v="71.2"/>
  </r>
  <r>
    <d v="2025-06-14T09:39:33"/>
    <x v="5"/>
    <s v="Plaquettes rondes"/>
    <s v="U534565"/>
    <s v="HOAREAU MARIUS"/>
    <n v="10"/>
    <x v="3"/>
    <x v="0"/>
    <s v="PLAQUETTES"/>
    <x v="0"/>
    <n v="108.5"/>
  </r>
  <r>
    <d v="2025-06-14T09:39:51"/>
    <x v="6"/>
    <s v="Plaquettes de finition positives"/>
    <s v="U534565"/>
    <s v="HOAREAU MARIUS"/>
    <n v="10"/>
    <x v="3"/>
    <x v="2"/>
    <s v="PLAQUETTES"/>
    <x v="0"/>
    <n v="87"/>
  </r>
  <r>
    <d v="2025-06-14T15:51:30"/>
    <x v="4"/>
    <s v="Plaquettes de finition"/>
    <s v="U534565"/>
    <s v="HOAREAU MARIUS"/>
    <n v="5"/>
    <x v="2"/>
    <x v="2"/>
    <s v="PLAQUETTES"/>
    <x v="1"/>
    <n v="47.8"/>
  </r>
  <r>
    <d v="2025-06-14T15:51:57"/>
    <x v="6"/>
    <s v="Plaquettes de finition positives"/>
    <s v="U534565"/>
    <s v="HOAREAU MARIUS"/>
    <n v="10"/>
    <x v="3"/>
    <x v="2"/>
    <s v="PLAQUETTES"/>
    <x v="0"/>
    <n v="87"/>
  </r>
  <r>
    <d v="2025-06-14T15:52:13"/>
    <x v="7"/>
    <s v="Plaquettes de finition triangulaires"/>
    <s v="U534565"/>
    <s v="HOAREAU MARIUS"/>
    <n v="10"/>
    <x v="3"/>
    <x v="2"/>
    <s v="PLAQUETTES"/>
    <x v="0"/>
    <n v="138.80000000000001"/>
  </r>
  <r>
    <d v="2025-03-26T21:08:50"/>
    <x v="1"/>
    <s v="Plaquettes d'ébauches carrées"/>
    <s v="VERGE G"/>
    <s v="VERGE GREGORY"/>
    <n v="10"/>
    <x v="0"/>
    <x v="1"/>
    <s v="PLAQUETTES"/>
    <x v="3"/>
    <n v="71.2"/>
  </r>
  <r>
    <d v="2025-03-27T12:23:11"/>
    <x v="1"/>
    <s v="Plaquettes d'ébauches carrées"/>
    <s v="u134838"/>
    <s v="DANAH STEPHANIE"/>
    <n v="10"/>
    <x v="0"/>
    <x v="1"/>
    <s v="PLAQUETTES"/>
    <x v="0"/>
    <n v="71.2"/>
  </r>
  <r>
    <d v="2025-03-27T17:18:08"/>
    <x v="1"/>
    <s v="Plaquettes d'ébauches carrées"/>
    <s v="SD13196"/>
    <s v="FRADIN MAXIME"/>
    <n v="10"/>
    <x v="0"/>
    <x v="1"/>
    <s v="PLAQUETTES"/>
    <x v="0"/>
    <n v="71.2"/>
  </r>
  <r>
    <d v="2025-06-15T04:27:59"/>
    <x v="2"/>
    <s v="Plaquettes d'ébauches rhombiques"/>
    <s v="U054304"/>
    <s v="BOUACHIK HICHAM"/>
    <n v="10"/>
    <x v="1"/>
    <x v="0"/>
    <s v="PLAQUETTES"/>
    <x v="0"/>
    <n v="70"/>
  </r>
  <r>
    <d v="2025-06-15T07:34:42"/>
    <x v="6"/>
    <s v="Plaquettes de finition positives"/>
    <s v="U518765"/>
    <s v="ROY ADELINE"/>
    <n v="10"/>
    <x v="1"/>
    <x v="2"/>
    <s v="PLAQUETTES"/>
    <x v="0"/>
    <n v="87"/>
  </r>
  <r>
    <d v="2025-06-15T07:35:04"/>
    <x v="6"/>
    <s v="Plaquettes de finition positives"/>
    <s v="U518765"/>
    <s v="ROY ADELINE"/>
    <n v="10"/>
    <x v="1"/>
    <x v="2"/>
    <s v="PLAQUETTES"/>
    <x v="0"/>
    <n v="87"/>
  </r>
  <r>
    <d v="2025-06-15T16:59:17"/>
    <x v="10"/>
    <s v="Plaquettes de finition"/>
    <s v="U054304"/>
    <s v="BOUACHIK HICHAM"/>
    <n v="10"/>
    <x v="1"/>
    <x v="2"/>
    <s v="PLAQUETTES"/>
    <x v="0"/>
    <n v="109.7"/>
  </r>
  <r>
    <d v="2025-03-27T21:17:45"/>
    <x v="1"/>
    <s v="Plaquettes d'ébauches carrées"/>
    <s v="080924"/>
    <s v="DABLEMONT AURELIEN"/>
    <n v="10"/>
    <x v="0"/>
    <x v="0"/>
    <s v="PLAQUETTES"/>
    <x v="0"/>
    <n v="71.2"/>
  </r>
  <r>
    <d v="2025-06-15T17:00:02"/>
    <x v="6"/>
    <s v="Plaquettes de finition positives"/>
    <s v="U054304"/>
    <s v="BOUACHIK HICHAM"/>
    <n v="10"/>
    <x v="1"/>
    <x v="2"/>
    <s v="PLAQUETTES"/>
    <x v="0"/>
    <n v="87"/>
  </r>
  <r>
    <d v="2025-06-15T18:14:50"/>
    <x v="2"/>
    <s v="Plaquettes d'ébauches rhombiques"/>
    <s v="u080365"/>
    <s v="ALAVOINE SAMUEL"/>
    <n v="10"/>
    <x v="2"/>
    <x v="0"/>
    <s v="PLAQUETTES"/>
    <x v="1"/>
    <n v="70"/>
  </r>
  <r>
    <d v="2025-06-15T18:15:16"/>
    <x v="1"/>
    <s v="Plaquettes d'ébauches carrées"/>
    <s v="u080365"/>
    <s v="ALAVOINE SAMUEL"/>
    <n v="10"/>
    <x v="2"/>
    <x v="0"/>
    <s v="PLAQUETTES"/>
    <x v="1"/>
    <n v="71.2"/>
  </r>
  <r>
    <d v="2025-06-15T18:15:57"/>
    <x v="3"/>
    <s v="Plaquettes rondes"/>
    <s v="u080365"/>
    <s v="ALAVOINE SAMUEL"/>
    <n v="10"/>
    <x v="2"/>
    <x v="0"/>
    <s v="PLAQUETTES"/>
    <x v="1"/>
    <n v="136.69999999999999"/>
  </r>
  <r>
    <d v="2025-06-15T21:32:18"/>
    <x v="6"/>
    <s v="Plaquettes de finition positives"/>
    <s v="U198152"/>
    <s v="AJMIK MUSTAPHA"/>
    <n v="10"/>
    <x v="3"/>
    <x v="2"/>
    <s v="PLAQUETTES"/>
    <x v="3"/>
    <n v="87"/>
  </r>
  <r>
    <d v="2025-03-28T16:18:01"/>
    <x v="1"/>
    <s v="Plaquettes d'ébauches carrées"/>
    <s v="J609988"/>
    <s v="AMALRIC VINCENT"/>
    <n v="10"/>
    <x v="0"/>
    <x v="1"/>
    <s v="PLAQUETTES"/>
    <x v="0"/>
    <n v="71.2"/>
  </r>
  <r>
    <d v="2025-04-01T23:21:35"/>
    <x v="1"/>
    <s v="Plaquettes d'ébauches carrées"/>
    <s v="170325"/>
    <s v="VERDELET BASTIEN"/>
    <n v="10"/>
    <x v="0"/>
    <x v="0"/>
    <s v="PLAQUETTES"/>
    <x v="0"/>
    <n v="71.2"/>
  </r>
  <r>
    <d v="2025-06-16T06:26:42"/>
    <x v="7"/>
    <s v="Plaquettes de finition triangulaires"/>
    <s v="u134838"/>
    <s v="DANAH STEPHANIE"/>
    <n v="10"/>
    <x v="1"/>
    <x v="2"/>
    <s v="PLAQUETTES"/>
    <x v="0"/>
    <n v="138.80000000000001"/>
  </r>
  <r>
    <d v="2025-04-03T13:18:20"/>
    <x v="1"/>
    <s v="Plaquettes d'ébauches carrées"/>
    <s v="080924"/>
    <s v="DABLEMONT AURELIEN"/>
    <n v="10"/>
    <x v="0"/>
    <x v="0"/>
    <s v="PLAQUETTES"/>
    <x v="0"/>
    <n v="71.2"/>
  </r>
  <r>
    <d v="2025-06-16T06:50:27"/>
    <x v="2"/>
    <s v="Plaquettes d'ébauches rhombiques"/>
    <s v="170325"/>
    <s v="VERDELET BASTIEN"/>
    <n v="10"/>
    <x v="3"/>
    <x v="0"/>
    <s v="PLAQUETTES"/>
    <x v="3"/>
    <n v="70"/>
  </r>
  <r>
    <d v="2025-06-16T13:04:22"/>
    <x v="4"/>
    <s v="Plaquettes de finition"/>
    <s v="100225"/>
    <s v="PRUNEAU WILLIAM"/>
    <n v="5"/>
    <x v="3"/>
    <x v="2"/>
    <s v="PLAQUETTES"/>
    <x v="2"/>
    <n v="47.8"/>
  </r>
  <r>
    <d v="2025-06-16T13:04:48"/>
    <x v="11"/>
    <s v="Plaquettes de finition triangulaires"/>
    <s v="100225"/>
    <s v="PRUNEAU WILLIAM"/>
    <n v="10"/>
    <x v="3"/>
    <x v="2"/>
    <s v="PLAQUETTES"/>
    <x v="2"/>
    <n v="118.7"/>
  </r>
  <r>
    <d v="2025-06-16T13:05:20"/>
    <x v="2"/>
    <s v="Plaquettes d'ébauches rhombiques"/>
    <s v="100225"/>
    <s v="PRUNEAU WILLIAM"/>
    <n v="10"/>
    <x v="3"/>
    <x v="2"/>
    <s v="PLAQUETTES"/>
    <x v="2"/>
    <n v="70"/>
  </r>
  <r>
    <d v="2025-04-07T05:17:30"/>
    <x v="1"/>
    <s v="Plaquettes d'ébauches carrées"/>
    <s v="080924"/>
    <s v="DABLEMONT AURELIEN"/>
    <n v="10"/>
    <x v="0"/>
    <x v="1"/>
    <s v="PLAQUETTES"/>
    <x v="0"/>
    <n v="71.2"/>
  </r>
  <r>
    <d v="2025-04-07T23:25:41"/>
    <x v="1"/>
    <s v="Plaquettes d'ébauches carrées"/>
    <s v="J609988"/>
    <s v="AMALRIC VINCENT"/>
    <n v="10"/>
    <x v="0"/>
    <x v="1"/>
    <s v="PLAQUETTES"/>
    <x v="0"/>
    <n v="71.2"/>
  </r>
  <r>
    <d v="2025-04-08T21:21:26"/>
    <x v="1"/>
    <s v="Plaquettes d'ébauches carrées"/>
    <s v="J519914"/>
    <s v="MARLY DAVID"/>
    <n v="10"/>
    <x v="0"/>
    <x v="0"/>
    <s v="PLAQUETTES"/>
    <x v="0"/>
    <n v="71.2"/>
  </r>
  <r>
    <d v="2025-06-16T17:30:57"/>
    <x v="6"/>
    <s v="Plaquettes de finition positives"/>
    <s v="SD13196"/>
    <s v="FRADIN MAXIME"/>
    <n v="10"/>
    <x v="1"/>
    <x v="2"/>
    <s v="PLAQUETTES"/>
    <x v="0"/>
    <n v="87"/>
  </r>
  <r>
    <d v="2025-06-16T21:12:13"/>
    <x v="6"/>
    <s v="Plaquettes de finition positives"/>
    <s v="230525"/>
    <s v="SOULAS YANIS"/>
    <n v="10"/>
    <x v="1"/>
    <x v="2"/>
    <s v="PLAQUETTES"/>
    <x v="0"/>
    <n v="87"/>
  </r>
  <r>
    <d v="2025-06-16T21:12:31"/>
    <x v="2"/>
    <s v="Plaquettes d'ébauches rhombiques"/>
    <s v="230525"/>
    <s v="SOULAS YANIS"/>
    <n v="10"/>
    <x v="1"/>
    <x v="1"/>
    <s v="PLAQUETTES"/>
    <x v="0"/>
    <n v="70"/>
  </r>
  <r>
    <d v="2025-04-09T23:40:45"/>
    <x v="1"/>
    <s v="Plaquettes d'ébauches carrées"/>
    <s v="J519914"/>
    <s v="MARLY DAVID"/>
    <n v="10"/>
    <x v="0"/>
    <x v="0"/>
    <s v="PLAQUETTES"/>
    <x v="0"/>
    <n v="71.2"/>
  </r>
  <r>
    <d v="2025-06-16T21:36:47"/>
    <x v="1"/>
    <s v="Plaquettes d'ébauches carrées"/>
    <s v="080924"/>
    <s v="DABLEMONT AURELIEN"/>
    <n v="10"/>
    <x v="1"/>
    <x v="1"/>
    <s v="PLAQUETTES"/>
    <x v="0"/>
    <n v="71.2"/>
  </r>
  <r>
    <d v="2025-06-17T05:37:53"/>
    <x v="6"/>
    <s v="Plaquettes de finition positives"/>
    <s v="u134838"/>
    <s v="DANAH STEPHANIE"/>
    <n v="10"/>
    <x v="1"/>
    <x v="2"/>
    <s v="PLAQUETTES"/>
    <x v="0"/>
    <n v="87"/>
  </r>
  <r>
    <d v="2025-04-11T08:49:49"/>
    <x v="1"/>
    <s v="Plaquettes d'ébauches carrées"/>
    <s v="U080365"/>
    <s v="ALAVOINE SAMUEL"/>
    <n v="10"/>
    <x v="0"/>
    <x v="1"/>
    <s v="PLAQUETTES"/>
    <x v="0"/>
    <n v="71.2"/>
  </r>
  <r>
    <d v="2025-06-17T05:38:38"/>
    <x v="5"/>
    <s v="Plaquettes rondes"/>
    <s v="u134838"/>
    <s v="DANAH STEPHANIE"/>
    <n v="10"/>
    <x v="1"/>
    <x v="0"/>
    <s v="PLAQUETTES"/>
    <x v="0"/>
    <n v="108.5"/>
  </r>
  <r>
    <d v="2025-06-17T06:05:44"/>
    <x v="4"/>
    <s v="Plaquettes de finition"/>
    <s v="170325"/>
    <s v="VERDELET BASTIEN"/>
    <n v="5"/>
    <x v="3"/>
    <x v="2"/>
    <s v="PLAQUETTES"/>
    <x v="2"/>
    <n v="47.8"/>
  </r>
  <r>
    <d v="2025-06-17T06:06:09"/>
    <x v="5"/>
    <s v="Plaquettes rondes"/>
    <s v="170325"/>
    <s v="VERDELET BASTIEN"/>
    <n v="10"/>
    <x v="3"/>
    <x v="0"/>
    <s v="PLAQUETTES"/>
    <x v="2"/>
    <n v="108.5"/>
  </r>
  <r>
    <d v="2025-06-17T06:06:34"/>
    <x v="2"/>
    <s v="Plaquettes d'ébauches rhombiques"/>
    <s v="170325"/>
    <s v="VERDELET BASTIEN"/>
    <n v="10"/>
    <x v="3"/>
    <x v="0"/>
    <s v="PLAQUETTES"/>
    <x v="2"/>
    <n v="70"/>
  </r>
  <r>
    <d v="2025-06-17T06:07:14"/>
    <x v="9"/>
    <s v="Plaquettes rhombiques"/>
    <s v="170325"/>
    <s v="VERDELET BASTIEN"/>
    <n v="5"/>
    <x v="2"/>
    <x v="2"/>
    <s v="PLAQUETTES"/>
    <x v="1"/>
    <n v="44.85"/>
  </r>
  <r>
    <d v="2025-06-17T17:09:52"/>
    <x v="7"/>
    <s v="Plaquettes de finition triangulaires"/>
    <s v="100225"/>
    <s v="PRUNEAU WILLIAM"/>
    <n v="10"/>
    <x v="3"/>
    <x v="2"/>
    <s v="PLAQUETTES"/>
    <x v="0"/>
    <n v="138.80000000000001"/>
  </r>
  <r>
    <d v="2025-06-17T17:10:19"/>
    <x v="6"/>
    <s v="Plaquettes de finition positives"/>
    <s v="100225"/>
    <s v="PRUNEAU WILLIAM"/>
    <n v="10"/>
    <x v="3"/>
    <x v="2"/>
    <s v="PLAQUETTES"/>
    <x v="0"/>
    <n v="87"/>
  </r>
  <r>
    <d v="2025-06-17T21:14:59"/>
    <x v="2"/>
    <s v="Plaquettes d'ébauches rhombiques"/>
    <s v="080924"/>
    <s v="DABLEMONT AURELIEN"/>
    <n v="10"/>
    <x v="1"/>
    <x v="1"/>
    <s v="PLAQUETTES"/>
    <x v="0"/>
    <n v="70"/>
  </r>
  <r>
    <d v="2025-04-11T21:04:54"/>
    <x v="1"/>
    <s v="Plaquettes d'ébauches carrées"/>
    <s v="080924"/>
    <s v="DABLEMONT AURELIEN"/>
    <n v="10"/>
    <x v="0"/>
    <x v="1"/>
    <s v="PLAQUETTES"/>
    <x v="0"/>
    <n v="71.2"/>
  </r>
  <r>
    <d v="2025-06-17T23:53:28"/>
    <x v="6"/>
    <s v="Plaquettes de finition positives"/>
    <s v="230525"/>
    <s v="SOULAS YANIS"/>
    <n v="10"/>
    <x v="1"/>
    <x v="2"/>
    <s v="PLAQUETTES"/>
    <x v="0"/>
    <n v="87"/>
  </r>
  <r>
    <d v="2025-06-17T23:53:40"/>
    <x v="6"/>
    <s v="Plaquettes de finition positives"/>
    <s v="230525"/>
    <s v="SOULAS YANIS"/>
    <n v="10"/>
    <x v="1"/>
    <x v="2"/>
    <s v="PLAQUETTES"/>
    <x v="0"/>
    <n v="87"/>
  </r>
  <r>
    <d v="2025-06-17T23:59:02"/>
    <x v="2"/>
    <s v="Plaquettes d'ébauches rhombiques"/>
    <s v="080924"/>
    <s v="DABLEMONT AURELIEN"/>
    <n v="10"/>
    <x v="1"/>
    <x v="1"/>
    <s v="PLAQUETTES"/>
    <x v="0"/>
    <n v="70"/>
  </r>
  <r>
    <d v="2025-06-18T06:23:54"/>
    <x v="4"/>
    <s v="Plaquettes de finition"/>
    <s v="u134838"/>
    <s v="DANAH STEPHANIE"/>
    <n v="5"/>
    <x v="2"/>
    <x v="2"/>
    <s v="PLAQUETTES"/>
    <x v="1"/>
    <n v="47.8"/>
  </r>
  <r>
    <d v="2025-06-18T06:25:10"/>
    <x v="7"/>
    <s v="Plaquettes de finition triangulaires"/>
    <s v="u134838"/>
    <s v="DANAH STEPHANIE"/>
    <n v="10"/>
    <x v="1"/>
    <x v="2"/>
    <s v="PLAQUETTES"/>
    <x v="0"/>
    <n v="138.80000000000001"/>
  </r>
  <r>
    <d v="2025-04-13T05:53:05"/>
    <x v="1"/>
    <s v="Plaquettes d'ébauches carrées"/>
    <s v="U080365"/>
    <s v="ALAVOINE SAMUEL"/>
    <n v="10"/>
    <x v="0"/>
    <x v="0"/>
    <s v="PLAQUETTES"/>
    <x v="0"/>
    <n v="71.2"/>
  </r>
  <r>
    <d v="2025-04-13T11:13:44"/>
    <x v="1"/>
    <s v="Plaquettes d'ébauches carrées"/>
    <s v="U198152"/>
    <s v="AJMIK MUSTAPHA"/>
    <n v="10"/>
    <x v="0"/>
    <x v="1"/>
    <s v="PLAQUETTES"/>
    <x v="0"/>
    <n v="71.2"/>
  </r>
  <r>
    <d v="2025-06-18T06:26:16"/>
    <x v="2"/>
    <s v="Plaquettes d'ébauches rhombiques"/>
    <s v="u134838"/>
    <s v="DANAH STEPHANIE"/>
    <n v="10"/>
    <x v="1"/>
    <x v="0"/>
    <s v="PLAQUETTES"/>
    <x v="0"/>
    <n v="70"/>
  </r>
  <r>
    <d v="2025-04-14T13:38:17"/>
    <x v="1"/>
    <s v="Plaquettes d'ébauches carrées"/>
    <s v="J519914"/>
    <s v="MARLY DAVID"/>
    <n v="10"/>
    <x v="0"/>
    <x v="1"/>
    <s v="PLAQUETTES"/>
    <x v="1"/>
    <n v="71.2"/>
  </r>
  <r>
    <d v="2025-06-18T09:42:40"/>
    <x v="2"/>
    <s v="Plaquettes d'ébauches rhombiques"/>
    <s v="170325"/>
    <s v="VERDELET BASTIEN"/>
    <n v="10"/>
    <x v="2"/>
    <x v="0"/>
    <s v="PLAQUETTES"/>
    <x v="1"/>
    <n v="70"/>
  </r>
  <r>
    <d v="2025-06-18T09:43:06"/>
    <x v="1"/>
    <s v="Plaquettes d'ébauches carrées"/>
    <s v="170325"/>
    <s v="VERDELET BASTIEN"/>
    <n v="10"/>
    <x v="2"/>
    <x v="0"/>
    <s v="PLAQUETTES"/>
    <x v="1"/>
    <n v="71.2"/>
  </r>
  <r>
    <d v="2025-06-18T09:43:24"/>
    <x v="6"/>
    <s v="Plaquettes de finition positives"/>
    <s v="170325"/>
    <s v="VERDELET BASTIEN"/>
    <n v="10"/>
    <x v="3"/>
    <x v="2"/>
    <s v="PLAQUETTES"/>
    <x v="0"/>
    <n v="87"/>
  </r>
  <r>
    <d v="2025-06-18T14:03:22"/>
    <x v="8"/>
    <s v="Plaquettes rhombiques"/>
    <s v="100225"/>
    <s v="PRUNEAU WILLIAM"/>
    <n v="5"/>
    <x v="2"/>
    <x v="2"/>
    <s v="PLAQUETTES"/>
    <x v="1"/>
    <n v="18.399999999999999"/>
  </r>
  <r>
    <d v="2025-04-15T06:11:11"/>
    <x v="1"/>
    <s v="Plaquettes d'ébauches carrées"/>
    <s v="170325"/>
    <s v="VERDELET BASTIEN"/>
    <n v="10"/>
    <x v="0"/>
    <x v="0"/>
    <s v="PLAQUETTES"/>
    <x v="1"/>
    <n v="71.2"/>
  </r>
  <r>
    <d v="2025-06-18T21:19:04"/>
    <x v="2"/>
    <s v="Plaquettes d'ébauches rhombiques"/>
    <s v="230525"/>
    <s v="SOULAS YANIS"/>
    <n v="10"/>
    <x v="1"/>
    <x v="0"/>
    <s v="PLAQUETTES"/>
    <x v="0"/>
    <n v="70"/>
  </r>
  <r>
    <d v="2025-04-16T06:35:46"/>
    <x v="1"/>
    <s v="Plaquettes d'ébauches carrées"/>
    <s v="170325"/>
    <s v="VERDELET BASTIEN"/>
    <n v="10"/>
    <x v="0"/>
    <x v="0"/>
    <s v="PLAQUETTES"/>
    <x v="1"/>
    <n v="71.2"/>
  </r>
  <r>
    <d v="2025-04-18T18:19:19"/>
    <x v="1"/>
    <s v="Plaquettes d'ébauches carrées"/>
    <s v="100225"/>
    <s v="PRUNEAU WILLIAM"/>
    <n v="10"/>
    <x v="0"/>
    <x v="1"/>
    <s v="PLAQUETTES"/>
    <x v="0"/>
    <n v="71.2"/>
  </r>
  <r>
    <d v="2025-06-19T02:13:51"/>
    <x v="4"/>
    <s v="Plaquettes de finition"/>
    <s v="VERGE G"/>
    <s v="VERGE GREGORY"/>
    <n v="5"/>
    <x v="2"/>
    <x v="2"/>
    <s v="PLAQUETTES"/>
    <x v="1"/>
    <n v="47.8"/>
  </r>
  <r>
    <d v="2025-06-19T02:14:20"/>
    <x v="2"/>
    <s v="Plaquettes d'ébauches rhombiques"/>
    <s v="VERGE G"/>
    <s v="VERGE GREGORY"/>
    <n v="10"/>
    <x v="3"/>
    <x v="1"/>
    <s v="PLAQUETTES"/>
    <x v="0"/>
    <n v="70"/>
  </r>
  <r>
    <d v="2025-06-19T11:27:37"/>
    <x v="6"/>
    <s v="Plaquettes de finition positives"/>
    <s v="u134838"/>
    <s v="DANAH STEPHANIE"/>
    <n v="10"/>
    <x v="1"/>
    <x v="2"/>
    <s v="PLAQUETTES"/>
    <x v="0"/>
    <n v="87"/>
  </r>
  <r>
    <d v="2025-04-19T17:32:16"/>
    <x v="1"/>
    <s v="Plaquettes d'ébauches carrées"/>
    <s v="U198152"/>
    <s v="AJMIK MUSTAPHA"/>
    <n v="10"/>
    <x v="0"/>
    <x v="0"/>
    <s v="PLAQUETTES"/>
    <x v="1"/>
    <n v="71.2"/>
  </r>
  <r>
    <d v="2025-04-20T17:18:07"/>
    <x v="1"/>
    <s v="Plaquettes d'ébauches carrées"/>
    <s v="U198152"/>
    <s v="AJMIK MUSTAPHA"/>
    <n v="10"/>
    <x v="0"/>
    <x v="0"/>
    <s v="PLAQUETTES"/>
    <x v="0"/>
    <n v="71.2"/>
  </r>
  <r>
    <d v="2025-04-21T17:15:39"/>
    <x v="1"/>
    <s v="Plaquettes d'ébauches carrées"/>
    <s v="080924"/>
    <s v="DABLEMONT AURELIEN"/>
    <n v="10"/>
    <x v="0"/>
    <x v="0"/>
    <s v="PLAQUETTES"/>
    <x v="1"/>
    <n v="71.2"/>
  </r>
  <r>
    <d v="2025-04-24T05:44:00"/>
    <x v="1"/>
    <s v="Plaquettes d'ébauches carrées"/>
    <s v="J519914"/>
    <s v="MARLY DAVID"/>
    <n v="10"/>
    <x v="0"/>
    <x v="1"/>
    <s v="PLAQUETTES"/>
    <x v="1"/>
    <n v="71.2"/>
  </r>
  <r>
    <d v="2025-06-19T13:13:33"/>
    <x v="6"/>
    <s v="Plaquettes de finition positives"/>
    <s v="100225"/>
    <s v="PRUNEAU WILLIAM"/>
    <n v="10"/>
    <x v="3"/>
    <x v="2"/>
    <s v="PLAQUETTES"/>
    <x v="0"/>
    <n v="87"/>
  </r>
  <r>
    <d v="2025-06-19T13:13:52"/>
    <x v="8"/>
    <s v="Plaquettes rhombiques"/>
    <s v="100225"/>
    <s v="PRUNEAU WILLIAM"/>
    <n v="5"/>
    <x v="2"/>
    <x v="2"/>
    <s v="PLAQUETTES"/>
    <x v="1"/>
    <n v="18.399999999999999"/>
  </r>
  <r>
    <d v="2025-06-19T13:14:16"/>
    <x v="1"/>
    <s v="Plaquettes d'ébauches carrées"/>
    <s v="100225"/>
    <s v="PRUNEAU WILLIAM"/>
    <n v="10"/>
    <x v="2"/>
    <x v="1"/>
    <s v="PLAQUETTES"/>
    <x v="1"/>
    <n v="71.2"/>
  </r>
  <r>
    <d v="2025-06-19T13:14:53"/>
    <x v="2"/>
    <s v="Plaquettes d'ébauches rhombiques"/>
    <s v="100225"/>
    <s v="PRUNEAU WILLIAM"/>
    <n v="10"/>
    <x v="2"/>
    <x v="1"/>
    <s v="PLAQUETTES"/>
    <x v="1"/>
    <n v="70"/>
  </r>
  <r>
    <d v="2025-06-19T13:32:58"/>
    <x v="4"/>
    <s v="Plaquettes de finition"/>
    <s v="100225"/>
    <s v="PRUNEAU WILLIAM"/>
    <n v="5"/>
    <x v="2"/>
    <x v="2"/>
    <s v="PLAQUETTES"/>
    <x v="1"/>
    <n v="47.8"/>
  </r>
  <r>
    <d v="2025-06-19T21:06:07"/>
    <x v="1"/>
    <s v="Plaquettes d'ébauches carrées"/>
    <s v="VERGE G"/>
    <s v="VERGE GREGORY"/>
    <n v="10"/>
    <x v="2"/>
    <x v="1"/>
    <s v="PLAQUETTES"/>
    <x v="1"/>
    <n v="71.2"/>
  </r>
  <r>
    <d v="2025-06-19T21:06:27"/>
    <x v="2"/>
    <s v="Plaquettes d'ébauches rhombiques"/>
    <s v="VERGE G"/>
    <s v="VERGE GREGORY"/>
    <n v="10"/>
    <x v="2"/>
    <x v="1"/>
    <s v="PLAQUETTES"/>
    <x v="1"/>
    <n v="70"/>
  </r>
  <r>
    <d v="2025-04-26T06:47:38"/>
    <x v="1"/>
    <s v="Plaquettes d'ébauches carrées"/>
    <s v="U054304"/>
    <s v="BOUACHIK HICHAM"/>
    <n v="10"/>
    <x v="0"/>
    <x v="0"/>
    <s v="PLAQUETTES"/>
    <x v="1"/>
    <n v="71.2"/>
  </r>
  <r>
    <d v="2025-04-27T18:21:24"/>
    <x v="1"/>
    <s v="Plaquettes d'ébauches carrées"/>
    <s v="J519914"/>
    <s v="MARLY DAVID"/>
    <n v="10"/>
    <x v="0"/>
    <x v="1"/>
    <s v="PLAQUETTES"/>
    <x v="0"/>
    <n v="71.2"/>
  </r>
  <r>
    <d v="2025-05-03T00:24:44"/>
    <x v="1"/>
    <s v="Plaquettes d'ébauches carrées"/>
    <s v="J519914"/>
    <s v="MARLY DAVID"/>
    <n v="10"/>
    <x v="0"/>
    <x v="0"/>
    <s v="PLAQUETTES"/>
    <x v="1"/>
    <n v="71.2"/>
  </r>
  <r>
    <d v="2025-06-20T08:08:42"/>
    <x v="12"/>
    <s v="Plaquettes de gorge"/>
    <s v="SF51433"/>
    <s v="BONTEMS COLINE"/>
    <n v="10"/>
    <x v="1"/>
    <x v="0"/>
    <s v="PLAQUETTES"/>
    <x v="2"/>
    <n v="157"/>
  </r>
  <r>
    <d v="2025-06-20T08:08:51"/>
    <x v="12"/>
    <s v="Plaquettes de gorge"/>
    <s v="SF51433"/>
    <s v="BONTEMS COLINE"/>
    <n v="-10"/>
    <x v="1"/>
    <x v="0"/>
    <s v="PLAQUETTES"/>
    <x v="2"/>
    <n v="-157"/>
  </r>
  <r>
    <d v="2025-06-20T08:55:07"/>
    <x v="5"/>
    <s v="Plaquettes rondes"/>
    <s v="170325"/>
    <s v="VERDELET BASTIEN"/>
    <n v="10"/>
    <x v="2"/>
    <x v="0"/>
    <s v="PLAQUETTES"/>
    <x v="1"/>
    <n v="108.5"/>
  </r>
  <r>
    <d v="2025-06-20T08:55:23"/>
    <x v="6"/>
    <s v="Plaquettes de finition positives"/>
    <s v="170325"/>
    <s v="VERDELET BASTIEN"/>
    <n v="10"/>
    <x v="3"/>
    <x v="2"/>
    <s v="PLAQUETTES"/>
    <x v="0"/>
    <n v="87"/>
  </r>
  <r>
    <d v="2025-06-20T08:55:50"/>
    <x v="4"/>
    <s v="Plaquettes de finition"/>
    <s v="170325"/>
    <s v="VERDELET BASTIEN"/>
    <n v="5"/>
    <x v="2"/>
    <x v="2"/>
    <s v="PLAQUETTES"/>
    <x v="1"/>
    <n v="47.8"/>
  </r>
  <r>
    <d v="2025-06-20T13:07:35"/>
    <x v="2"/>
    <s v="Plaquettes d'ébauches rhombiques"/>
    <s v="100225"/>
    <s v="PRUNEAU WILLIAM"/>
    <n v="10"/>
    <x v="2"/>
    <x v="0"/>
    <s v="PLAQUETTES"/>
    <x v="1"/>
    <n v="70"/>
  </r>
  <r>
    <d v="2025-06-20T21:15:52"/>
    <x v="2"/>
    <s v="Plaquettes d'ébauches rhombiques"/>
    <s v="080924"/>
    <s v="DABLEMONT AURELIEN"/>
    <n v="10"/>
    <x v="1"/>
    <x v="1"/>
    <s v="PLAQUETTES"/>
    <x v="0"/>
    <n v="70"/>
  </r>
  <r>
    <d v="2025-06-20T21:16:04"/>
    <x v="1"/>
    <s v="Plaquettes d'ébauches carrées"/>
    <s v="080924"/>
    <s v="DABLEMONT AURELIEN"/>
    <n v="10"/>
    <x v="1"/>
    <x v="1"/>
    <s v="PLAQUETTES"/>
    <x v="0"/>
    <n v="71.2"/>
  </r>
  <r>
    <d v="2025-05-05T14:35:42"/>
    <x v="1"/>
    <s v="Plaquettes d'ébauches carrées"/>
    <s v="SF51433"/>
    <s v="BONTEMS COLINE"/>
    <n v="10"/>
    <x v="0"/>
    <x v="1"/>
    <s v="PLAQUETTES"/>
    <x v="4"/>
    <n v="71.2"/>
  </r>
  <r>
    <d v="2025-06-20T21:16:45"/>
    <x v="1"/>
    <s v="Plaquettes d'ébauches carrées"/>
    <s v="080924"/>
    <s v="DABLEMONT AURELIEN"/>
    <n v="10"/>
    <x v="1"/>
    <x v="0"/>
    <s v="PLAQUETTES"/>
    <x v="0"/>
    <n v="71.2"/>
  </r>
  <r>
    <d v="2025-06-20T21:16:56"/>
    <x v="2"/>
    <s v="Plaquettes d'ébauches rhombiques"/>
    <s v="080924"/>
    <s v="DABLEMONT AURELIEN"/>
    <n v="10"/>
    <x v="1"/>
    <x v="1"/>
    <s v="PLAQUETTES"/>
    <x v="0"/>
    <n v="70"/>
  </r>
  <r>
    <d v="2025-05-08T21:11:42"/>
    <x v="1"/>
    <s v="Plaquettes d'ébauches carrées"/>
    <s v="080924"/>
    <s v="DABLEMONT AURELIEN"/>
    <n v="10"/>
    <x v="0"/>
    <x v="1"/>
    <s v="PLAQUETTES"/>
    <x v="1"/>
    <n v="71.2"/>
  </r>
  <r>
    <d v="2025-06-20T21:17:38"/>
    <x v="6"/>
    <s v="Plaquettes de finition positives"/>
    <s v="080924"/>
    <s v="DABLEMONT AURELIEN"/>
    <n v="10"/>
    <x v="1"/>
    <x v="2"/>
    <s v="PLAQUETTES"/>
    <x v="0"/>
    <n v="87"/>
  </r>
  <r>
    <d v="2025-06-21T05:14:53"/>
    <x v="6"/>
    <s v="Plaquettes de finition positives"/>
    <s v="U054304"/>
    <s v="BOUACHIK HICHAM"/>
    <n v="10"/>
    <x v="1"/>
    <x v="2"/>
    <s v="PLAQUETTES"/>
    <x v="0"/>
    <n v="87"/>
  </r>
  <r>
    <d v="2025-05-09T07:02:12"/>
    <x v="1"/>
    <s v="Plaquettes d'ébauches carrées"/>
    <s v="J534699"/>
    <s v="CHARTON FABIAN"/>
    <n v="10"/>
    <x v="0"/>
    <x v="0"/>
    <s v="PLAQUETTES"/>
    <x v="1"/>
    <n v="71.2"/>
  </r>
  <r>
    <d v="2025-06-21T07:38:02"/>
    <x v="4"/>
    <s v="Plaquettes de finition"/>
    <s v="U080365"/>
    <s v="ALAVOINE SAMUEL"/>
    <n v="5"/>
    <x v="2"/>
    <x v="2"/>
    <s v="PLAQUETTES"/>
    <x v="1"/>
    <n v="47.8"/>
  </r>
  <r>
    <d v="2025-06-21T07:38:16"/>
    <x v="4"/>
    <s v="Plaquettes de finition"/>
    <s v="U080365"/>
    <s v="ALAVOINE SAMUEL"/>
    <n v="5"/>
    <x v="2"/>
    <x v="2"/>
    <s v="PLAQUETTES"/>
    <x v="1"/>
    <n v="47.8"/>
  </r>
  <r>
    <d v="2025-06-21T07:38:36"/>
    <x v="11"/>
    <s v="Plaquettes de finition triangulaires"/>
    <s v="U080365"/>
    <s v="ALAVOINE SAMUEL"/>
    <n v="10"/>
    <x v="2"/>
    <x v="2"/>
    <s v="PLAQUETTES"/>
    <x v="1"/>
    <n v="118.7"/>
  </r>
  <r>
    <d v="2025-06-21T07:38:56"/>
    <x v="9"/>
    <s v="Plaquettes rhombiques"/>
    <s v="U080365"/>
    <s v="ALAVOINE SAMUEL"/>
    <n v="5"/>
    <x v="2"/>
    <x v="2"/>
    <s v="PLAQUETTES"/>
    <x v="1"/>
    <n v="44.85"/>
  </r>
  <r>
    <d v="2025-06-21T07:39:23"/>
    <x v="8"/>
    <s v="Plaquettes rhombiques"/>
    <s v="U080365"/>
    <s v="ALAVOINE SAMUEL"/>
    <n v="5"/>
    <x v="2"/>
    <x v="2"/>
    <s v="PLAQUETTES"/>
    <x v="1"/>
    <n v="18.399999999999999"/>
  </r>
  <r>
    <d v="2025-06-21T07:39:40"/>
    <x v="10"/>
    <s v="Plaquettes de finition"/>
    <s v="U080365"/>
    <s v="ALAVOINE SAMUEL"/>
    <n v="10"/>
    <x v="3"/>
    <x v="2"/>
    <s v="PLAQUETTES"/>
    <x v="0"/>
    <n v="109.7"/>
  </r>
  <r>
    <d v="2025-06-21T07:39:55"/>
    <x v="7"/>
    <s v="Plaquettes de finition triangulaires"/>
    <s v="U080365"/>
    <s v="ALAVOINE SAMUEL"/>
    <n v="10"/>
    <x v="3"/>
    <x v="2"/>
    <s v="PLAQUETTES"/>
    <x v="0"/>
    <n v="138.80000000000001"/>
  </r>
  <r>
    <d v="2025-06-21T07:40:24"/>
    <x v="7"/>
    <s v="Plaquettes de finition triangulaires"/>
    <s v="U080365"/>
    <s v="ALAVOINE SAMUEL"/>
    <n v="10"/>
    <x v="3"/>
    <x v="2"/>
    <s v="PLAQUETTES"/>
    <x v="0"/>
    <n v="138.80000000000001"/>
  </r>
  <r>
    <d v="2025-06-21T07:40:48"/>
    <x v="6"/>
    <s v="Plaquettes de finition positives"/>
    <s v="U080365"/>
    <s v="ALAVOINE SAMUEL"/>
    <n v="10"/>
    <x v="3"/>
    <x v="2"/>
    <s v="PLAQUETTES"/>
    <x v="0"/>
    <n v="87"/>
  </r>
  <r>
    <d v="2025-06-21T07:41:03"/>
    <x v="5"/>
    <s v="Plaquettes rondes"/>
    <s v="U080365"/>
    <s v="ALAVOINE SAMUEL"/>
    <n v="10"/>
    <x v="2"/>
    <x v="0"/>
    <s v="PLAQUETTES"/>
    <x v="1"/>
    <n v="108.5"/>
  </r>
  <r>
    <d v="2025-06-21T07:41:27"/>
    <x v="3"/>
    <s v="Plaquettes rondes"/>
    <s v="U080365"/>
    <s v="ALAVOINE SAMUEL"/>
    <n v="10"/>
    <x v="2"/>
    <x v="0"/>
    <s v="PLAQUETTES"/>
    <x v="1"/>
    <n v="136.69999999999999"/>
  </r>
  <r>
    <d v="2025-06-21T07:41:47"/>
    <x v="2"/>
    <s v="Plaquettes d'ébauches rhombiques"/>
    <s v="U080365"/>
    <s v="ALAVOINE SAMUEL"/>
    <n v="10"/>
    <x v="2"/>
    <x v="0"/>
    <s v="PLAQUETTES"/>
    <x v="1"/>
    <n v="70"/>
  </r>
  <r>
    <d v="2025-06-21T07:42:08"/>
    <x v="1"/>
    <s v="Plaquettes d'ébauches carrées"/>
    <s v="U080365"/>
    <s v="ALAVOINE SAMUEL"/>
    <n v="10"/>
    <x v="2"/>
    <x v="0"/>
    <s v="PLAQUETTES"/>
    <x v="1"/>
    <n v="71.2"/>
  </r>
  <r>
    <d v="2025-06-21T08:27:45"/>
    <x v="2"/>
    <s v="Plaquettes d'ébauches rhombiques"/>
    <s v="U054304"/>
    <s v="BOUACHIK HICHAM"/>
    <n v="10"/>
    <x v="1"/>
    <x v="0"/>
    <s v="PLAQUETTES"/>
    <x v="0"/>
    <n v="70"/>
  </r>
  <r>
    <d v="2025-06-21T08:28:16"/>
    <x v="5"/>
    <s v="Plaquettes rondes"/>
    <s v="U054304"/>
    <s v="BOUACHIK HICHAM"/>
    <n v="10"/>
    <x v="1"/>
    <x v="0"/>
    <s v="PLAQUETTES"/>
    <x v="0"/>
    <n v="108.5"/>
  </r>
  <r>
    <d v="2025-06-21T09:38:13"/>
    <x v="6"/>
    <s v="Plaquettes de finition positives"/>
    <s v="U109136"/>
    <s v="WIPLIE FREDERIC"/>
    <n v="10"/>
    <x v="1"/>
    <x v="2"/>
    <s v="PLAQUETTES"/>
    <x v="0"/>
    <n v="87"/>
  </r>
  <r>
    <d v="2025-06-21T12:58:58"/>
    <x v="6"/>
    <s v="Plaquettes de finition positives"/>
    <s v="u080365"/>
    <s v="ALAVOINE SAMUEL"/>
    <n v="10"/>
    <x v="3"/>
    <x v="2"/>
    <s v="PLAQUETTES"/>
    <x v="0"/>
    <n v="87"/>
  </r>
  <r>
    <d v="2025-06-21T12:59:17"/>
    <x v="2"/>
    <s v="Plaquettes d'ébauches rhombiques"/>
    <s v="u080365"/>
    <s v="ALAVOINE SAMUEL"/>
    <n v="10"/>
    <x v="2"/>
    <x v="0"/>
    <s v="PLAQUETTES"/>
    <x v="1"/>
    <n v="70"/>
  </r>
  <r>
    <d v="2025-06-21T12:59:38"/>
    <x v="1"/>
    <s v="Plaquettes d'ébauches carrées"/>
    <s v="u080365"/>
    <s v="ALAVOINE SAMUEL"/>
    <n v="10"/>
    <x v="2"/>
    <x v="0"/>
    <s v="PLAQUETTES"/>
    <x v="1"/>
    <n v="71.2"/>
  </r>
  <r>
    <d v="2025-06-21T23:29:34"/>
    <x v="10"/>
    <s v="Plaquettes de finition"/>
    <s v="U534565"/>
    <s v="HOAREAU MARIUS"/>
    <n v="10"/>
    <x v="1"/>
    <x v="2"/>
    <s v="PLAQUETTES"/>
    <x v="0"/>
    <n v="109.7"/>
  </r>
  <r>
    <d v="2025-06-22T03:31:27"/>
    <x v="6"/>
    <s v="Plaquettes de finition positives"/>
    <s v="U534565"/>
    <s v="HOAREAU MARIUS"/>
    <n v="10"/>
    <x v="1"/>
    <x v="2"/>
    <s v="PLAQUETTES"/>
    <x v="0"/>
    <n v="87"/>
  </r>
  <r>
    <d v="2025-05-14T05:06:36"/>
    <x v="1"/>
    <s v="Plaquettes d'ébauches carrées"/>
    <s v="J519914"/>
    <s v="MARLY DAVID"/>
    <n v="10"/>
    <x v="0"/>
    <x v="0"/>
    <s v="PLAQUETTES"/>
    <x v="1"/>
    <n v="71.2"/>
  </r>
  <r>
    <d v="2025-06-22T03:32:39"/>
    <x v="2"/>
    <s v="Plaquettes d'ébauches rhombiques"/>
    <s v="U534565"/>
    <s v="HOAREAU MARIUS"/>
    <n v="10"/>
    <x v="1"/>
    <x v="0"/>
    <s v="PLAQUETTES"/>
    <x v="0"/>
    <n v="70"/>
  </r>
  <r>
    <d v="2025-05-16T21:22:18"/>
    <x v="1"/>
    <s v="Plaquettes d'ébauches carrées"/>
    <s v="170325"/>
    <s v="VERDELET BASTIEN"/>
    <n v="10"/>
    <x v="0"/>
    <x v="0"/>
    <s v="PLAQUETTES"/>
    <x v="1"/>
    <n v="71.2"/>
  </r>
  <r>
    <d v="2025-05-17T05:03:53"/>
    <x v="1"/>
    <s v="Plaquettes d'ébauches carrées"/>
    <s v="J534699"/>
    <s v="CHARTON FABIAN"/>
    <n v="10"/>
    <x v="0"/>
    <x v="1"/>
    <s v="PLAQUETTES"/>
    <x v="0"/>
    <n v="71.2"/>
  </r>
  <r>
    <d v="2025-06-22T06:21:10"/>
    <x v="4"/>
    <s v="Plaquettes de finition"/>
    <s v="J534699"/>
    <s v="CHARTON FABIAN"/>
    <n v="5"/>
    <x v="2"/>
    <x v="2"/>
    <s v="PLAQUETTES"/>
    <x v="1"/>
    <n v="47.8"/>
  </r>
  <r>
    <d v="2025-06-22T06:21:40"/>
    <x v="4"/>
    <s v="Plaquettes de finition"/>
    <s v="J534699"/>
    <s v="CHARTON FABIAN"/>
    <n v="5"/>
    <x v="2"/>
    <x v="2"/>
    <s v="PLAQUETTES"/>
    <x v="1"/>
    <n v="47.8"/>
  </r>
  <r>
    <d v="2025-06-22T06:22:05"/>
    <x v="8"/>
    <s v="Plaquettes rhombiques"/>
    <s v="J534699"/>
    <s v="CHARTON FABIAN"/>
    <n v="5"/>
    <x v="2"/>
    <x v="2"/>
    <s v="PLAQUETTES"/>
    <x v="1"/>
    <n v="18.399999999999999"/>
  </r>
  <r>
    <d v="2025-06-22T06:22:35"/>
    <x v="11"/>
    <s v="Plaquettes de finition triangulaires"/>
    <s v="J534699"/>
    <s v="CHARTON FABIAN"/>
    <n v="10"/>
    <x v="2"/>
    <x v="2"/>
    <s v="PLAQUETTES"/>
    <x v="1"/>
    <n v="118.7"/>
  </r>
  <r>
    <d v="2025-06-22T06:23:04"/>
    <x v="6"/>
    <s v="Plaquettes de finition positives"/>
    <s v="J534699"/>
    <s v="CHARTON FABIAN"/>
    <n v="10"/>
    <x v="3"/>
    <x v="2"/>
    <s v="PLAQUETTES"/>
    <x v="0"/>
    <n v="87"/>
  </r>
  <r>
    <d v="2025-06-22T06:23:36"/>
    <x v="3"/>
    <s v="Plaquettes rondes"/>
    <s v="J534699"/>
    <s v="CHARTON FABIAN"/>
    <n v="10"/>
    <x v="2"/>
    <x v="0"/>
    <s v="PLAQUETTES"/>
    <x v="1"/>
    <n v="136.69999999999999"/>
  </r>
  <r>
    <d v="2025-06-22T06:24:08"/>
    <x v="2"/>
    <s v="Plaquettes d'ébauches rhombiques"/>
    <s v="J534699"/>
    <s v="CHARTON FABIAN"/>
    <n v="10"/>
    <x v="3"/>
    <x v="0"/>
    <s v="PLAQUETTES"/>
    <x v="0"/>
    <n v="70"/>
  </r>
  <r>
    <d v="2025-06-22T08:46:17"/>
    <x v="6"/>
    <s v="Plaquettes de finition positives"/>
    <s v="U054304"/>
    <s v="BOUACHIK HICHAM"/>
    <n v="10"/>
    <x v="1"/>
    <x v="2"/>
    <s v="PLAQUETTES"/>
    <x v="0"/>
    <n v="87"/>
  </r>
  <r>
    <d v="2025-06-22T08:50:31"/>
    <x v="6"/>
    <s v="Plaquettes de finition positives"/>
    <s v="J534699"/>
    <s v="CHARTON FABIAN"/>
    <n v="10"/>
    <x v="3"/>
    <x v="2"/>
    <s v="PLAQUETTES"/>
    <x v="0"/>
    <n v="87"/>
  </r>
  <r>
    <d v="2025-05-19T06:11:29"/>
    <x v="1"/>
    <s v="Plaquettes d'ébauches carrées"/>
    <s v="080924"/>
    <s v="DABLEMONT AURELIEN"/>
    <n v="10"/>
    <x v="0"/>
    <x v="0"/>
    <s v="PLAQUETTES"/>
    <x v="1"/>
    <n v="71.2"/>
  </r>
  <r>
    <d v="2025-06-22T18:00:31"/>
    <x v="6"/>
    <s v="Plaquettes de finition positives"/>
    <s v="U534565"/>
    <s v="HOAREAU MARIUS"/>
    <n v="10"/>
    <x v="1"/>
    <x v="2"/>
    <s v="PLAQUETTES"/>
    <x v="0"/>
    <n v="87"/>
  </r>
  <r>
    <d v="2025-06-22T18:00:51"/>
    <x v="2"/>
    <s v="Plaquettes d'ébauches rhombiques"/>
    <s v="U534565"/>
    <s v="HOAREAU MARIUS"/>
    <n v="10"/>
    <x v="1"/>
    <x v="0"/>
    <s v="PLAQUETTES"/>
    <x v="0"/>
    <n v="70"/>
  </r>
  <r>
    <d v="2025-06-22T18:01:20"/>
    <x v="7"/>
    <s v="Plaquettes de finition triangulaires"/>
    <s v="U534565"/>
    <s v="HOAREAU MARIUS"/>
    <n v="10"/>
    <x v="1"/>
    <x v="2"/>
    <s v="PLAQUETTES"/>
    <x v="0"/>
    <n v="138.80000000000001"/>
  </r>
  <r>
    <d v="2025-05-19T08:52:38"/>
    <x v="1"/>
    <s v="Plaquettes d'ébauches carrées"/>
    <s v="12824586"/>
    <s v="DA SILVA FERNANDO"/>
    <n v="10"/>
    <x v="0"/>
    <x v="1"/>
    <s v="PLAQUETTES"/>
    <x v="4"/>
    <n v="71.2"/>
  </r>
  <r>
    <d v="2025-06-23T00:32:19"/>
    <x v="6"/>
    <s v="Plaquettes de finition positives"/>
    <s v="U518765"/>
    <s v="ROY ADELINE"/>
    <n v="10"/>
    <x v="3"/>
    <x v="2"/>
    <s v="PLAQUETTES"/>
    <x v="0"/>
    <n v="87"/>
  </r>
  <r>
    <d v="2025-06-23T00:32:38"/>
    <x v="2"/>
    <s v="Plaquettes d'ébauches rhombiques"/>
    <s v="U518765"/>
    <s v="ROY ADELINE"/>
    <n v="10"/>
    <x v="2"/>
    <x v="0"/>
    <s v="PLAQUETTES"/>
    <x v="1"/>
    <n v="70"/>
  </r>
  <r>
    <d v="2025-06-23T00:33:00"/>
    <x v="8"/>
    <s v="Plaquettes rhombiques"/>
    <s v="U518765"/>
    <s v="ROY ADELINE"/>
    <n v="5"/>
    <x v="2"/>
    <x v="2"/>
    <s v="PLAQUETTES"/>
    <x v="1"/>
    <n v="18.399999999999999"/>
  </r>
  <r>
    <d v="2025-06-23T00:33:34"/>
    <x v="4"/>
    <s v="Plaquettes de finition"/>
    <s v="U518765"/>
    <s v="ROY ADELINE"/>
    <n v="5"/>
    <x v="3"/>
    <x v="2"/>
    <s v="PLAQUETTES"/>
    <x v="5"/>
    <n v="47.8"/>
  </r>
  <r>
    <d v="2025-06-23T05:03:31"/>
    <x v="2"/>
    <s v="Plaquettes d'ébauches rhombiques"/>
    <s v="100225"/>
    <s v="PRUNEAU WILLIAM"/>
    <n v="10"/>
    <x v="2"/>
    <x v="1"/>
    <s v="PLAQUETTES"/>
    <x v="1"/>
    <n v="70"/>
  </r>
  <r>
    <d v="2025-06-23T05:04:09"/>
    <x v="1"/>
    <s v="Plaquettes d'ébauches carrées"/>
    <s v="100225"/>
    <s v="PRUNEAU WILLIAM"/>
    <n v="10"/>
    <x v="2"/>
    <x v="1"/>
    <s v="PLAQUETTES"/>
    <x v="1"/>
    <n v="71.2"/>
  </r>
  <r>
    <d v="2025-06-01T21:10:12"/>
    <x v="1"/>
    <s v="Plaquettes d'ébauches carrées"/>
    <s v="U054304"/>
    <s v="BOUACHIK HICHAM"/>
    <n v="10"/>
    <x v="0"/>
    <x v="0"/>
    <s v="PLAQUETTES"/>
    <x v="0"/>
    <n v="71.2"/>
  </r>
  <r>
    <d v="2025-06-05T18:47:48"/>
    <x v="1"/>
    <s v="Plaquettes d'ébauches carrées"/>
    <s v="230525"/>
    <s v="SOULAS YANIS"/>
    <n v="10"/>
    <x v="0"/>
    <x v="0"/>
    <s v="PLAQUETTES"/>
    <x v="0"/>
    <n v="71.2"/>
  </r>
  <r>
    <d v="2025-06-23T10:30:37"/>
    <x v="1"/>
    <s v="Plaquettes d'ébauches carrées"/>
    <s v="SD13196"/>
    <s v="FRADIN MAXIME"/>
    <n v="10"/>
    <x v="1"/>
    <x v="1"/>
    <s v="PLAQUETTES"/>
    <x v="0"/>
    <n v="71.2"/>
  </r>
  <r>
    <d v="2025-06-06T14:33:05"/>
    <x v="1"/>
    <s v="Plaquettes d'ébauches carrées"/>
    <s v="230525"/>
    <s v="SOULAS YANIS"/>
    <n v="10"/>
    <x v="0"/>
    <x v="0"/>
    <s v="PLAQUETTES"/>
    <x v="0"/>
    <n v="71.2"/>
  </r>
  <r>
    <d v="2025-06-07T22:01:01"/>
    <x v="1"/>
    <s v="Plaquettes d'ébauches carrées"/>
    <s v="u534565"/>
    <s v="HOAREAU MARIUS"/>
    <n v="10"/>
    <x v="0"/>
    <x v="1"/>
    <s v="PLAQUETTES"/>
    <x v="0"/>
    <n v="71.2"/>
  </r>
  <r>
    <d v="2025-06-09T05:20:21"/>
    <x v="1"/>
    <s v="Plaquettes d'ébauches carrées"/>
    <s v="230525"/>
    <s v="SOULAS YANIS"/>
    <n v="10"/>
    <x v="0"/>
    <x v="1"/>
    <s v="PLAQUETTES"/>
    <x v="0"/>
    <n v="71.2"/>
  </r>
  <r>
    <d v="2025-06-12T01:22:30"/>
    <x v="1"/>
    <s v="Plaquettes d'ébauches carrées"/>
    <s v="SD13196"/>
    <s v="FRADIN MAXIME"/>
    <n v="10"/>
    <x v="0"/>
    <x v="1"/>
    <s v="PLAQUETTES"/>
    <x v="0"/>
    <n v="71.2"/>
  </r>
  <r>
    <d v="2025-06-23T15:50:41"/>
    <x v="6"/>
    <s v="Plaquettes de finition positives"/>
    <s v="080924"/>
    <s v="DABLEMONT AURELIEN"/>
    <n v="10"/>
    <x v="1"/>
    <x v="2"/>
    <s v="PLAQUETTES"/>
    <x v="0"/>
    <n v="87"/>
  </r>
  <r>
    <d v="2025-06-23T15:51:06"/>
    <x v="1"/>
    <s v="Plaquettes d'ébauches carrées"/>
    <s v="080924"/>
    <s v="DABLEMONT AURELIEN"/>
    <n v="10"/>
    <x v="1"/>
    <x v="1"/>
    <s v="PLAQUETTES"/>
    <x v="0"/>
    <n v="71.2"/>
  </r>
  <r>
    <d v="2025-06-23T21:52:35"/>
    <x v="6"/>
    <s v="Plaquettes de finition positives"/>
    <s v="u462308"/>
    <s v="MAITRE SEBASTIEN"/>
    <n v="10"/>
    <x v="3"/>
    <x v="2"/>
    <s v="PLAQUETTES"/>
    <x v="3"/>
    <n v="87"/>
  </r>
  <r>
    <d v="2025-06-23T21:52:58"/>
    <x v="2"/>
    <s v="Plaquettes d'ébauches rhombiques"/>
    <s v="u462308"/>
    <s v="MAITRE SEBASTIEN"/>
    <n v="10"/>
    <x v="3"/>
    <x v="1"/>
    <s v="PLAQUETTES"/>
    <x v="3"/>
    <n v="70"/>
  </r>
  <r>
    <d v="2025-06-23T21:53:19"/>
    <x v="1"/>
    <s v="Plaquettes d'ébauches carrées"/>
    <s v="u462308"/>
    <s v="MAITRE SEBASTIEN"/>
    <n v="10"/>
    <x v="3"/>
    <x v="1"/>
    <s v="PLAQUETTES"/>
    <x v="3"/>
    <n v="71.2"/>
  </r>
  <r>
    <d v="2025-06-24T00:32:12"/>
    <x v="4"/>
    <s v="Plaquettes de finition"/>
    <s v="u462308"/>
    <s v="MAITRE SEBASTIEN"/>
    <n v="5"/>
    <x v="2"/>
    <x v="2"/>
    <s v="PLAQUETTES"/>
    <x v="1"/>
    <n v="47.8"/>
  </r>
  <r>
    <d v="2025-06-13T00:08:11"/>
    <x v="1"/>
    <s v="Plaquettes d'ébauches carrées"/>
    <s v="SD13196"/>
    <s v="FRADIN MAXIME"/>
    <n v="10"/>
    <x v="0"/>
    <x v="1"/>
    <s v="PLAQUETTES"/>
    <x v="0"/>
    <n v="71.2"/>
  </r>
  <r>
    <d v="2025-06-13T21:14:40"/>
    <x v="1"/>
    <s v="Plaquettes d'ébauches carrées"/>
    <s v="SD13196"/>
    <s v="FRADIN MAXIME"/>
    <n v="10"/>
    <x v="0"/>
    <x v="1"/>
    <s v="PLAQUETTES"/>
    <x v="0"/>
    <n v="71.2"/>
  </r>
  <r>
    <d v="2025-06-24T07:44:15"/>
    <x v="6"/>
    <s v="Plaquettes de finition positives"/>
    <s v="100225"/>
    <s v="PRUNEAU WILLIAM"/>
    <n v="10"/>
    <x v="3"/>
    <x v="2"/>
    <s v="PLAQUETTES"/>
    <x v="3"/>
    <n v="87"/>
  </r>
  <r>
    <d v="2025-06-14T05:20:16"/>
    <x v="1"/>
    <s v="Plaquettes d'ébauches carrées"/>
    <s v="U518765"/>
    <s v="ROY ADELINE"/>
    <n v="10"/>
    <x v="0"/>
    <x v="1"/>
    <s v="PLAQUETTES"/>
    <x v="0"/>
    <n v="71.2"/>
  </r>
  <r>
    <d v="2025-06-14T18:27:43"/>
    <x v="1"/>
    <s v="Plaquettes d'ébauches carrées"/>
    <s v="U054304"/>
    <s v="BOUACHIK HICHAM"/>
    <n v="10"/>
    <x v="0"/>
    <x v="0"/>
    <s v="PLAQUETTES"/>
    <x v="0"/>
    <n v="71.2"/>
  </r>
  <r>
    <d v="2025-06-24T13:23:00"/>
    <x v="6"/>
    <s v="Plaquettes de finition positives"/>
    <s v="230525"/>
    <s v="SOULAS YANIS"/>
    <n v="10"/>
    <x v="1"/>
    <x v="2"/>
    <s v="PLAQUETTES"/>
    <x v="0"/>
    <n v="87"/>
  </r>
  <r>
    <d v="2025-06-16T00:49:23"/>
    <x v="1"/>
    <s v="Plaquettes d'ébauches carrées"/>
    <s v="U054304"/>
    <s v="BOUACHIK HICHAM"/>
    <n v="10"/>
    <x v="0"/>
    <x v="0"/>
    <s v="PLAQUETTES"/>
    <x v="0"/>
    <n v="71.2"/>
  </r>
  <r>
    <d v="2025-06-17T21:15:13"/>
    <x v="1"/>
    <s v="Plaquettes d'ébauches carrées"/>
    <s v="080924"/>
    <s v="DABLEMONT AURELIEN"/>
    <n v="10"/>
    <x v="0"/>
    <x v="1"/>
    <s v="PLAQUETTES"/>
    <x v="0"/>
    <n v="71.2"/>
  </r>
  <r>
    <d v="2025-06-18T06:26:40"/>
    <x v="1"/>
    <s v="Plaquettes d'ébauches carrées"/>
    <s v="u134838"/>
    <s v="DANAH STEPHANIE"/>
    <n v="10"/>
    <x v="0"/>
    <x v="0"/>
    <s v="PLAQUETTES"/>
    <x v="0"/>
    <n v="71.2"/>
  </r>
  <r>
    <d v="2025-06-24T13:32:53"/>
    <x v="2"/>
    <s v="Plaquettes d'ébauches rhombiques"/>
    <s v="VERGE G"/>
    <s v="VERGE GREGORY"/>
    <n v="10"/>
    <x v="3"/>
    <x v="1"/>
    <s v="PLAQUETTES"/>
    <x v="3"/>
    <n v="70"/>
  </r>
  <r>
    <d v="2025-06-24T13:33:13"/>
    <x v="1"/>
    <s v="Plaquettes d'ébauches carrées"/>
    <s v="VERGE G"/>
    <s v="VERGE GREGORY"/>
    <n v="10"/>
    <x v="3"/>
    <x v="1"/>
    <s v="PLAQUETTES"/>
    <x v="3"/>
    <n v="71.2"/>
  </r>
  <r>
    <d v="2025-06-24T13:33:26"/>
    <x v="8"/>
    <s v="Plaquettes rhombiques"/>
    <s v="VERGE G"/>
    <s v="VERGE GREGORY"/>
    <n v="5"/>
    <x v="2"/>
    <x v="2"/>
    <s v="PLAQUETTES"/>
    <x v="1"/>
    <n v="18.399999999999999"/>
  </r>
  <r>
    <d v="2025-06-18T21:19:25"/>
    <x v="1"/>
    <s v="Plaquettes d'ébauches carrées"/>
    <s v="230525"/>
    <s v="SOULAS YANIS"/>
    <n v="10"/>
    <x v="0"/>
    <x v="0"/>
    <s v="PLAQUETTES"/>
    <x v="0"/>
    <n v="71.2"/>
  </r>
  <r>
    <d v="2025-06-24T23:25:04"/>
    <x v="4"/>
    <s v="Plaquettes de finition"/>
    <s v="170325"/>
    <s v="VERDELET BASTIEN"/>
    <n v="5"/>
    <x v="2"/>
    <x v="2"/>
    <s v="PLAQUETTES"/>
    <x v="1"/>
    <n v="47.8"/>
  </r>
  <r>
    <d v="2025-06-24T23:25:22"/>
    <x v="6"/>
    <s v="Plaquettes de finition positives"/>
    <s v="170325"/>
    <s v="VERDELET BASTIEN"/>
    <n v="10"/>
    <x v="3"/>
    <x v="2"/>
    <s v="PLAQUETTES"/>
    <x v="3"/>
    <n v="87"/>
  </r>
  <r>
    <d v="2025-06-24T23:25:40"/>
    <x v="5"/>
    <s v="Plaquettes rondes"/>
    <s v="170325"/>
    <s v="VERDELET BASTIEN"/>
    <n v="10"/>
    <x v="2"/>
    <x v="0"/>
    <s v="PLAQUETTES"/>
    <x v="1"/>
    <n v="108.5"/>
  </r>
  <r>
    <d v="2025-06-24T23:26:09"/>
    <x v="9"/>
    <s v="Plaquettes rhombiques"/>
    <s v="170325"/>
    <s v="VERDELET BASTIEN"/>
    <n v="5"/>
    <x v="2"/>
    <x v="2"/>
    <s v="PLAQUETTES"/>
    <x v="1"/>
    <n v="44.85"/>
  </r>
  <r>
    <d v="2025-06-22T03:33:14"/>
    <x v="1"/>
    <s v="Plaquettes d'ébauches carrées"/>
    <s v="U534565"/>
    <s v="HOAREAU MARIUS"/>
    <n v="10"/>
    <x v="0"/>
    <x v="0"/>
    <s v="PLAQUETTES"/>
    <x v="1"/>
    <n v="71.2"/>
  </r>
  <r>
    <d v="2025-06-25T00:08:25"/>
    <x v="5"/>
    <s v="Plaquettes rondes"/>
    <s v="u134838"/>
    <s v="DANAH STEPHANIE"/>
    <n v="10"/>
    <x v="1"/>
    <x v="0"/>
    <s v="PLAQUETTES"/>
    <x v="0"/>
    <n v="108.5"/>
  </r>
  <r>
    <d v="2025-06-22T18:01:39"/>
    <x v="1"/>
    <s v="Plaquettes d'ébauches carrées"/>
    <s v="U534565"/>
    <s v="HOAREAU MARIUS"/>
    <n v="10"/>
    <x v="0"/>
    <x v="0"/>
    <s v="PLAQUETTES"/>
    <x v="1"/>
    <n v="71.2"/>
  </r>
  <r>
    <d v="2025-06-23T08:39:24"/>
    <x v="1"/>
    <s v="Plaquettes d'ébauches carrées"/>
    <s v="12824586"/>
    <s v="DA SILVA FERNANDO"/>
    <n v="10"/>
    <x v="0"/>
    <x v="1"/>
    <s v="PLAQUETTES"/>
    <x v="4"/>
    <n v="71.2"/>
  </r>
  <r>
    <d v="2025-06-24T13:22:39"/>
    <x v="1"/>
    <s v="Plaquettes d'ébauches carrées"/>
    <s v="230525"/>
    <s v="SOULAS YANIS"/>
    <n v="10"/>
    <x v="0"/>
    <x v="0"/>
    <s v="PLAQUETTES"/>
    <x v="0"/>
    <n v="71.2"/>
  </r>
  <r>
    <d v="2025-06-25T13:29:40"/>
    <x v="2"/>
    <s v="Plaquettes d'ébauches rhombiques"/>
    <s v="VERGE G"/>
    <s v="VERGE GREGORY"/>
    <n v="10"/>
    <x v="3"/>
    <x v="1"/>
    <s v="PLAQUETTES"/>
    <x v="0"/>
    <n v="70"/>
  </r>
  <r>
    <d v="2025-06-25T13:30:00"/>
    <x v="1"/>
    <s v="Plaquettes d'ébauches carrées"/>
    <s v="VERGE G"/>
    <s v="VERGE GREGORY"/>
    <n v="10"/>
    <x v="3"/>
    <x v="1"/>
    <s v="PLAQUETTES"/>
    <x v="3"/>
    <n v="71.2"/>
  </r>
  <r>
    <d v="2025-06-24T13:23:30"/>
    <x v="1"/>
    <s v="Plaquettes d'ébauches carrées"/>
    <s v="230525"/>
    <s v="SOULAS YANIS"/>
    <n v="10"/>
    <x v="0"/>
    <x v="1"/>
    <s v="PLAQUETTES"/>
    <x v="1"/>
    <n v="71.2"/>
  </r>
  <r>
    <d v="2025-06-26T23:37:27"/>
    <x v="1"/>
    <s v="Plaquettes d'ébauches carrées"/>
    <s v="u134838"/>
    <s v="DANAH STEPHANIE"/>
    <n v="10"/>
    <x v="0"/>
    <x v="0"/>
    <s v="PLAQUETTES"/>
    <x v="0"/>
    <n v="71.2"/>
  </r>
  <r>
    <d v="2025-06-27T16:56:30"/>
    <x v="1"/>
    <s v="Plaquettes d'ébauches carrées"/>
    <s v="230525"/>
    <s v="SOULAS YANIS"/>
    <n v="10"/>
    <x v="0"/>
    <x v="1"/>
    <s v="PLAQUETTES"/>
    <x v="0"/>
    <n v="71.2"/>
  </r>
  <r>
    <d v="2025-06-28T15:38:14"/>
    <x v="1"/>
    <s v="Plaquettes d'ébauches carrées"/>
    <s v="U518765"/>
    <s v="ROY ADELINE"/>
    <n v="10"/>
    <x v="0"/>
    <x v="1"/>
    <s v="PLAQUETTES"/>
    <x v="0"/>
    <n v="71.2"/>
  </r>
  <r>
    <d v="2025-06-29T06:59:01"/>
    <x v="1"/>
    <s v="Plaquettes d'ébauches carrées"/>
    <s v="J534699"/>
    <s v="CHARTON FABIAN"/>
    <n v="10"/>
    <x v="0"/>
    <x v="1"/>
    <s v="PLAQUETTES"/>
    <x v="0"/>
    <n v="71.2"/>
  </r>
  <r>
    <d v="2025-07-02T07:54:31"/>
    <x v="1"/>
    <s v="Plaquettes d'ébauches carrées"/>
    <s v="230525"/>
    <s v="SOULAS YANIS"/>
    <n v="10"/>
    <x v="0"/>
    <x v="1"/>
    <s v="PLAQUETTES"/>
    <x v="0"/>
    <n v="71.2"/>
  </r>
  <r>
    <d v="2025-06-25T21:20:49"/>
    <x v="2"/>
    <s v="Plaquettes d'ébauches rhombiques"/>
    <s v="u134838"/>
    <s v="DANAH STEPHANIE"/>
    <n v="10"/>
    <x v="1"/>
    <x v="1"/>
    <s v="PLAQUETTES"/>
    <x v="0"/>
    <n v="70"/>
  </r>
  <r>
    <d v="2025-06-25T21:24:46"/>
    <x v="6"/>
    <s v="Plaquettes de finition positives"/>
    <s v="170325"/>
    <s v="VERDELET BASTIEN"/>
    <n v="10"/>
    <x v="3"/>
    <x v="2"/>
    <s v="PLAQUETTES"/>
    <x v="3"/>
    <n v="87"/>
  </r>
  <r>
    <d v="2025-07-02T21:19:43"/>
    <x v="1"/>
    <s v="Plaquettes d'ébauches carrées"/>
    <s v="SD13196"/>
    <s v="FRADIN MAXIME"/>
    <n v="10"/>
    <x v="0"/>
    <x v="0"/>
    <s v="PLAQUETTES"/>
    <x v="0"/>
    <n v="71.2"/>
  </r>
  <r>
    <d v="2025-07-03T17:05:28"/>
    <x v="1"/>
    <s v="Plaquettes d'ébauches carrées"/>
    <s v="u134838"/>
    <s v="DANAH STEPHANIE"/>
    <n v="10"/>
    <x v="0"/>
    <x v="1"/>
    <s v="PLAQUETTES"/>
    <x v="0"/>
    <n v="71.2"/>
  </r>
  <r>
    <d v="2025-06-26T21:13:12"/>
    <x v="6"/>
    <s v="Plaquettes de finition positives"/>
    <s v="170325"/>
    <s v="VERDELET BASTIEN"/>
    <n v="10"/>
    <x v="3"/>
    <x v="2"/>
    <s v="PLAQUETTES"/>
    <x v="3"/>
    <n v="87"/>
  </r>
  <r>
    <d v="2025-06-26T21:13:28"/>
    <x v="4"/>
    <s v="Plaquettes de finition"/>
    <s v="170325"/>
    <s v="VERDELET BASTIEN"/>
    <n v="5"/>
    <x v="2"/>
    <x v="2"/>
    <s v="PLAQUETTES"/>
    <x v="1"/>
    <n v="47.8"/>
  </r>
  <r>
    <d v="2025-07-04T13:16:30"/>
    <x v="1"/>
    <s v="Plaquettes d'ébauches carrées"/>
    <s v="u134838"/>
    <s v="DANAH STEPHANIE"/>
    <n v="10"/>
    <x v="0"/>
    <x v="0"/>
    <s v="PLAQUETTES"/>
    <x v="0"/>
    <n v="71.2"/>
  </r>
  <r>
    <d v="2025-06-26T23:36:44"/>
    <x v="6"/>
    <s v="Plaquettes de finition positives"/>
    <s v="u134838"/>
    <s v="DANAH STEPHANIE"/>
    <n v="10"/>
    <x v="1"/>
    <x v="2"/>
    <s v="PLAQUETTES"/>
    <x v="0"/>
    <n v="87"/>
  </r>
  <r>
    <d v="2025-07-06T02:06:04"/>
    <x v="1"/>
    <s v="Plaquettes d'ébauches carrées"/>
    <s v="J534699"/>
    <s v="CHARTON FABIAN"/>
    <n v="10"/>
    <x v="0"/>
    <x v="1"/>
    <s v="PLAQUETTES"/>
    <x v="0"/>
    <n v="71.2"/>
  </r>
  <r>
    <d v="2025-07-06T15:18:40"/>
    <x v="1"/>
    <s v="Plaquettes d'ébauches carrées"/>
    <s v="U080365"/>
    <s v="ALAVOINE SAMUEL"/>
    <n v="10"/>
    <x v="0"/>
    <x v="1"/>
    <s v="PLAQUETTES"/>
    <x v="3"/>
    <n v="71.2"/>
  </r>
  <r>
    <d v="2025-06-27T04:40:31"/>
    <x v="2"/>
    <s v="Plaquettes d'ébauches rhombiques"/>
    <s v="170325"/>
    <s v="VERDELET BASTIEN"/>
    <n v="10"/>
    <x v="3"/>
    <x v="0"/>
    <s v="PLAQUETTES"/>
    <x v="3"/>
    <n v="70"/>
  </r>
  <r>
    <d v="2025-06-27T09:21:20"/>
    <x v="6"/>
    <s v="Plaquettes de finition positives"/>
    <s v="U534565"/>
    <s v="HOAREAU MARIUS"/>
    <n v="10"/>
    <x v="3"/>
    <x v="2"/>
    <s v="PLAQUETTES"/>
    <x v="0"/>
    <n v="87"/>
  </r>
  <r>
    <d v="2025-07-09T22:40:01"/>
    <x v="1"/>
    <s v="Plaquettes d'ébauches carrées"/>
    <s v="230525"/>
    <s v="SOULAS YANIS"/>
    <n v="10"/>
    <x v="0"/>
    <x v="0"/>
    <s v="PLAQUETTES"/>
    <x v="0"/>
    <n v="71.2"/>
  </r>
  <r>
    <d v="2025-06-27T12:23:21"/>
    <x v="5"/>
    <s v="Plaquettes rondes"/>
    <s v="U518765"/>
    <s v="ROY ADELINE"/>
    <n v="10"/>
    <x v="1"/>
    <x v="0"/>
    <s v="PLAQUETTES"/>
    <x v="0"/>
    <n v="108.5"/>
  </r>
  <r>
    <d v="2025-06-27T12:23:47"/>
    <x v="6"/>
    <s v="Plaquettes de finition positives"/>
    <s v="u518765"/>
    <s v="ROY ADELINE"/>
    <n v="10"/>
    <x v="1"/>
    <x v="2"/>
    <s v="PLAQUETTES"/>
    <x v="0"/>
    <n v="87"/>
  </r>
  <r>
    <d v="2025-06-27T13:15:01"/>
    <x v="8"/>
    <s v="Plaquettes rhombiques"/>
    <s v="VERGE G"/>
    <s v="VERGE GREGORY"/>
    <n v="5"/>
    <x v="2"/>
    <x v="2"/>
    <s v="PLAQUETTES"/>
    <x v="1"/>
    <n v="18.399999999999999"/>
  </r>
  <r>
    <d v="2025-06-27T13:15:14"/>
    <x v="2"/>
    <s v="Plaquettes d'ébauches rhombiques"/>
    <s v="VERGE G"/>
    <s v="VERGE GREGORY"/>
    <n v="10"/>
    <x v="2"/>
    <x v="1"/>
    <s v="PLAQUETTES"/>
    <x v="1"/>
    <n v="70"/>
  </r>
  <r>
    <d v="2025-06-27T13:15:35"/>
    <x v="1"/>
    <s v="Plaquettes d'ébauches carrées"/>
    <s v="VERGE G"/>
    <s v="VERGE GREGORY"/>
    <n v="10"/>
    <x v="2"/>
    <x v="1"/>
    <s v="PLAQUETTES"/>
    <x v="1"/>
    <n v="71.2"/>
  </r>
  <r>
    <d v="2025-07-11T03:32:44"/>
    <x v="1"/>
    <s v="Plaquettes d'ébauches carrées"/>
    <s v="230525"/>
    <s v="SOULAS YANIS"/>
    <n v="10"/>
    <x v="0"/>
    <x v="1"/>
    <s v="PLAQUETTES"/>
    <x v="0"/>
    <n v="71.2"/>
  </r>
  <r>
    <d v="2025-07-11T14:00:55"/>
    <x v="1"/>
    <s v="Plaquettes d'ébauches carrées"/>
    <s v="SD13196"/>
    <s v="FRADIN MAXIME"/>
    <n v="10"/>
    <x v="0"/>
    <x v="1"/>
    <s v="PLAQUETTES"/>
    <x v="0"/>
    <n v="71.2"/>
  </r>
  <r>
    <d v="2025-06-27T21:27:46"/>
    <x v="6"/>
    <s v="Plaquettes de finition positives"/>
    <s v="u134838"/>
    <s v="DANAH STEPHANIE"/>
    <n v="10"/>
    <x v="1"/>
    <x v="2"/>
    <s v="PLAQUETTES"/>
    <x v="0"/>
    <n v="87"/>
  </r>
  <r>
    <d v="2025-06-27T21:28:09"/>
    <x v="2"/>
    <s v="Plaquettes d'ébauches rhombiques"/>
    <s v="u134838"/>
    <s v="DANAH STEPHANIE"/>
    <n v="10"/>
    <x v="1"/>
    <x v="1"/>
    <s v="PLAQUETTES"/>
    <x v="0"/>
    <n v="70"/>
  </r>
  <r>
    <d v="2025-06-28T05:21:27"/>
    <x v="6"/>
    <s v="Plaquettes de finition positives"/>
    <s v="J534699"/>
    <s v="CHARTON FABIAN"/>
    <n v="10"/>
    <x v="3"/>
    <x v="2"/>
    <s v="PLAQUETTES"/>
    <x v="3"/>
    <n v="87"/>
  </r>
  <r>
    <d v="2025-06-28T05:21:49"/>
    <x v="6"/>
    <s v="Plaquettes de finition positives"/>
    <s v="J534699"/>
    <s v="CHARTON FABIAN"/>
    <n v="10"/>
    <x v="3"/>
    <x v="2"/>
    <s v="PLAQUETTES"/>
    <x v="3"/>
    <n v="87"/>
  </r>
  <r>
    <d v="2025-06-28T05:22:16"/>
    <x v="5"/>
    <s v="Plaquettes rondes"/>
    <s v="J534699"/>
    <s v="CHARTON FABIAN"/>
    <n v="10"/>
    <x v="3"/>
    <x v="0"/>
    <s v="PLAQUETTES"/>
    <x v="3"/>
    <n v="108.5"/>
  </r>
  <r>
    <d v="2025-06-28T05:22:40"/>
    <x v="1"/>
    <s v="Plaquettes d'ébauches carrées"/>
    <s v="J534699"/>
    <s v="CHARTON FABIAN"/>
    <n v="10"/>
    <x v="3"/>
    <x v="0"/>
    <s v="PLAQUETTES"/>
    <x v="3"/>
    <n v="71.2"/>
  </r>
  <r>
    <d v="2025-06-28T05:23:09"/>
    <x v="2"/>
    <s v="Plaquettes d'ébauches rhombiques"/>
    <s v="J534699"/>
    <s v="CHARTON FABIAN"/>
    <n v="10"/>
    <x v="3"/>
    <x v="1"/>
    <s v="PLAQUETTES"/>
    <x v="3"/>
    <n v="70"/>
  </r>
  <r>
    <d v="2025-07-11T23:01:55"/>
    <x v="1"/>
    <s v="Plaquettes d'ébauches carrées"/>
    <s v="230525"/>
    <s v="SOULAS YANIS"/>
    <n v="10"/>
    <x v="0"/>
    <x v="1"/>
    <s v="PLAQUETTES"/>
    <x v="0"/>
    <n v="71.2"/>
  </r>
  <r>
    <d v="2025-07-14T02:13:43"/>
    <x v="1"/>
    <s v="Plaquettes d'ébauches carrées"/>
    <s v="U054304"/>
    <s v="BOUACHIK HICHAM"/>
    <n v="10"/>
    <x v="0"/>
    <x v="0"/>
    <s v="PLAQUETTES"/>
    <x v="0"/>
    <n v="71.2"/>
  </r>
  <r>
    <d v="2025-06-28T06:58:23"/>
    <x v="6"/>
    <s v="Plaquettes de finition positives"/>
    <s v="U518765"/>
    <s v="ROY ADELINE"/>
    <n v="10"/>
    <x v="1"/>
    <x v="2"/>
    <s v="PLAQUETTES"/>
    <x v="0"/>
    <n v="87"/>
  </r>
  <r>
    <d v="2025-07-14T05:31:53"/>
    <x v="1"/>
    <s v="Plaquettes d'ébauches carrées"/>
    <s v="SD13196"/>
    <s v="FRADIN MAXIME"/>
    <n v="10"/>
    <x v="0"/>
    <x v="0"/>
    <s v="PLAQUETTES"/>
    <x v="0"/>
    <n v="71.2"/>
  </r>
  <r>
    <d v="2025-07-14T17:52:39"/>
    <x v="1"/>
    <s v="Plaquettes d'ébauches carrées"/>
    <s v="230525"/>
    <s v="SOULAS YANIS"/>
    <n v="10"/>
    <x v="0"/>
    <x v="1"/>
    <s v="PLAQUETTES"/>
    <x v="0"/>
    <n v="71.2"/>
  </r>
  <r>
    <d v="2025-06-29T03:58:56"/>
    <x v="6"/>
    <s v="Plaquettes de finition positives"/>
    <s v="U080365"/>
    <s v="ALAVOINE SAMUEL"/>
    <n v="10"/>
    <x v="3"/>
    <x v="2"/>
    <s v="PLAQUETTES"/>
    <x v="3"/>
    <n v="87"/>
  </r>
  <r>
    <d v="2025-06-29T06:57:46"/>
    <x v="6"/>
    <s v="Plaquettes de finition positives"/>
    <s v="J534699"/>
    <s v="CHARTON FABIAN"/>
    <n v="10"/>
    <x v="1"/>
    <x v="2"/>
    <s v="PLAQUETTES"/>
    <x v="0"/>
    <n v="87"/>
  </r>
  <r>
    <d v="2025-07-15T14:09:09"/>
    <x v="1"/>
    <s v="Plaquettes d'ébauches carrées"/>
    <s v="230525"/>
    <s v="SOULAS YANIS"/>
    <n v="10"/>
    <x v="0"/>
    <x v="1"/>
    <s v="PLAQUETTES"/>
    <x v="0"/>
    <n v="71.2"/>
  </r>
  <r>
    <d v="2025-06-29T06:58:37"/>
    <x v="10"/>
    <s v="Plaquettes de finition"/>
    <s v="J534699"/>
    <s v="CHARTON FABIAN"/>
    <n v="10"/>
    <x v="1"/>
    <x v="2"/>
    <s v="PLAQUETTES"/>
    <x v="0"/>
    <n v="109.7"/>
  </r>
  <r>
    <d v="2025-07-16T13:21:45"/>
    <x v="1"/>
    <s v="Plaquettes d'ébauches carrées"/>
    <s v="230525"/>
    <s v="SOULAS YANIS"/>
    <n v="10"/>
    <x v="0"/>
    <x v="1"/>
    <s v="PLAQUETTES"/>
    <x v="0"/>
    <n v="71.2"/>
  </r>
  <r>
    <d v="2025-06-29T06:59:23"/>
    <x v="2"/>
    <s v="Plaquettes d'ébauches rhombiques"/>
    <s v="J534699"/>
    <s v="CHARTON FABIAN"/>
    <n v="10"/>
    <x v="1"/>
    <x v="1"/>
    <s v="PLAQUETTES"/>
    <x v="0"/>
    <n v="70"/>
  </r>
  <r>
    <d v="2025-06-29T06:59:48"/>
    <x v="5"/>
    <s v="Plaquettes rondes"/>
    <s v="J534699"/>
    <s v="CHARTON FABIAN"/>
    <n v="10"/>
    <x v="1"/>
    <x v="0"/>
    <s v="PLAQUETTES"/>
    <x v="0"/>
    <n v="108.5"/>
  </r>
  <r>
    <d v="2025-07-17T16:07:27"/>
    <x v="1"/>
    <s v="Plaquettes d'ébauches carrées"/>
    <s v="230525"/>
    <s v="SOULAS YANIS"/>
    <n v="10"/>
    <x v="0"/>
    <x v="1"/>
    <s v="PLAQUETTES"/>
    <x v="0"/>
    <n v="71.2"/>
  </r>
  <r>
    <d v="2025-06-29T16:05:51"/>
    <x v="6"/>
    <s v="Plaquettes de finition positives"/>
    <s v="U518765"/>
    <s v="ROY ADELINE"/>
    <n v="10"/>
    <x v="1"/>
    <x v="2"/>
    <s v="PLAQUETTES"/>
    <x v="0"/>
    <n v="87"/>
  </r>
  <r>
    <d v="2025-06-30T05:09:15"/>
    <x v="2"/>
    <s v="Plaquettes d'ébauches rhombiques"/>
    <s v="VERGE G"/>
    <s v="VERGE GREGORY"/>
    <n v="10"/>
    <x v="2"/>
    <x v="1"/>
    <s v="PLAQUETTES"/>
    <x v="1"/>
    <n v="70"/>
  </r>
  <r>
    <d v="2025-06-30T05:09:36"/>
    <x v="1"/>
    <s v="Plaquettes d'ébauches carrées"/>
    <s v="VERGE G"/>
    <s v="VERGE GREGORY"/>
    <n v="10"/>
    <x v="3"/>
    <x v="1"/>
    <s v="PLAQUETTES"/>
    <x v="0"/>
    <n v="71.2"/>
  </r>
  <r>
    <d v="2025-06-30T05:09:50"/>
    <x v="4"/>
    <s v="Plaquettes de finition"/>
    <s v="VERGE G"/>
    <s v="VERGE GREGORY"/>
    <n v="5"/>
    <x v="2"/>
    <x v="2"/>
    <s v="PLAQUETTES"/>
    <x v="1"/>
    <n v="47.8"/>
  </r>
  <r>
    <d v="2025-06-30T05:10:16"/>
    <x v="6"/>
    <s v="Plaquettes de finition positives"/>
    <s v="VERGE G"/>
    <s v="VERGE GREGORY"/>
    <n v="10"/>
    <x v="3"/>
    <x v="2"/>
    <s v="PLAQUETTES"/>
    <x v="3"/>
    <n v="87"/>
  </r>
  <r>
    <d v="2025-07-18T07:19:05"/>
    <x v="1"/>
    <s v="Plaquettes d'ébauches carrées"/>
    <s v="U054304"/>
    <s v="BOUACHIK HICHAM"/>
    <n v="10"/>
    <x v="0"/>
    <x v="0"/>
    <s v="PLAQUETTES"/>
    <x v="0"/>
    <n v="71.2"/>
  </r>
  <r>
    <d v="2025-06-30T05:52:18"/>
    <x v="2"/>
    <s v="Plaquettes d'ébauches rhombiques"/>
    <s v="230525"/>
    <s v="SOULAS YANIS"/>
    <n v="10"/>
    <x v="1"/>
    <x v="0"/>
    <s v="PLAQUETTES"/>
    <x v="0"/>
    <n v="70"/>
  </r>
  <r>
    <d v="2025-07-18T13:19:47"/>
    <x v="1"/>
    <s v="Plaquettes d'ébauches carrées"/>
    <s v="230525"/>
    <s v="SOULAS YANIS"/>
    <n v="10"/>
    <x v="0"/>
    <x v="1"/>
    <s v="PLAQUETTES"/>
    <x v="0"/>
    <n v="71.2"/>
  </r>
  <r>
    <d v="2025-06-30T09:56:47"/>
    <x v="2"/>
    <s v="Plaquettes d'ébauches rhombiques"/>
    <s v="VERGE G"/>
    <s v="VERGE GREGORY"/>
    <n v="10"/>
    <x v="3"/>
    <x v="1"/>
    <s v="PLAQUETTES"/>
    <x v="0"/>
    <n v="70"/>
  </r>
  <r>
    <d v="2025-06-30T13:16:59"/>
    <x v="6"/>
    <s v="Plaquettes de finition positives"/>
    <s v="u134838"/>
    <s v="DANAH STEPHANIE"/>
    <n v="10"/>
    <x v="1"/>
    <x v="2"/>
    <s v="PLAQUETTES"/>
    <x v="0"/>
    <n v="87"/>
  </r>
  <r>
    <d v="2025-06-30T14:05:58"/>
    <x v="4"/>
    <s v="Plaquettes de finition"/>
    <s v="170325"/>
    <s v="VERDELET BASTIEN"/>
    <n v="5"/>
    <x v="2"/>
    <x v="2"/>
    <s v="PLAQUETTES"/>
    <x v="1"/>
    <n v="47.8"/>
  </r>
  <r>
    <d v="2025-06-30T14:06:22"/>
    <x v="8"/>
    <s v="Plaquettes rhombiques"/>
    <s v="170325"/>
    <s v="VERDELET BASTIEN"/>
    <n v="5"/>
    <x v="2"/>
    <x v="2"/>
    <s v="PLAQUETTES"/>
    <x v="1"/>
    <n v="18.399999999999999"/>
  </r>
  <r>
    <d v="2025-06-30T14:06:39"/>
    <x v="3"/>
    <s v="Plaquettes rondes"/>
    <s v="170325"/>
    <s v="VERDELET BASTIEN"/>
    <n v="10"/>
    <x v="2"/>
    <x v="0"/>
    <s v="PLAQUETTES"/>
    <x v="1"/>
    <n v="136.69999999999999"/>
  </r>
  <r>
    <d v="2025-06-30T14:06:55"/>
    <x v="1"/>
    <s v="Plaquettes d'ébauches carrées"/>
    <s v="170325"/>
    <s v="VERDELET BASTIEN"/>
    <n v="10"/>
    <x v="2"/>
    <x v="0"/>
    <s v="PLAQUETTES"/>
    <x v="1"/>
    <n v="71.2"/>
  </r>
  <r>
    <d v="2025-07-23T13:58:24"/>
    <x v="1"/>
    <s v="Plaquettes d'ébauches carrées"/>
    <s v="u134838"/>
    <s v="DANAH STEPHANIE"/>
    <n v="10"/>
    <x v="0"/>
    <x v="0"/>
    <s v="PLAQUETTES"/>
    <x v="0"/>
    <n v="71.2"/>
  </r>
  <r>
    <d v="2025-06-30T15:51:08"/>
    <x v="1"/>
    <s v="Plaquettes d'ébauches carrées"/>
    <s v="u134838"/>
    <s v="DANAH STEPHANIE"/>
    <n v="10"/>
    <x v="1"/>
    <x v="1"/>
    <s v="PLAQUETTES"/>
    <x v="0"/>
    <n v="71.2"/>
  </r>
  <r>
    <d v="2025-07-26T04:27:32"/>
    <x v="1"/>
    <s v="Plaquettes d'ébauches carrées"/>
    <s v="j519914"/>
    <s v="MARLY DAVID"/>
    <n v="10"/>
    <x v="0"/>
    <x v="0"/>
    <s v="PLAQUETTES"/>
    <x v="0"/>
    <n v="71.2"/>
  </r>
  <r>
    <d v="2025-07-01T05:24:06"/>
    <x v="2"/>
    <s v="Plaquettes d'ébauches rhombiques"/>
    <s v="VERGE G"/>
    <s v="VERGE GREGORY"/>
    <n v="10"/>
    <x v="3"/>
    <x v="1"/>
    <s v="PLAQUETTES"/>
    <x v="3"/>
    <n v="70"/>
  </r>
  <r>
    <d v="2025-07-01T05:24:35"/>
    <x v="2"/>
    <s v="Plaquettes d'ébauches rhombiques"/>
    <s v="VERGE G"/>
    <s v="VERGE GREGORY"/>
    <n v="10"/>
    <x v="3"/>
    <x v="1"/>
    <s v="PLAQUETTES"/>
    <x v="3"/>
    <n v="70"/>
  </r>
  <r>
    <d v="2025-07-01T05:24:53"/>
    <x v="1"/>
    <s v="Plaquettes d'ébauches carrées"/>
    <s v="VERGE G"/>
    <s v="VERGE GREGORY"/>
    <n v="10"/>
    <x v="2"/>
    <x v="1"/>
    <s v="PLAQUETTES"/>
    <x v="1"/>
    <n v="71.2"/>
  </r>
  <r>
    <d v="2025-07-01T13:14:55"/>
    <x v="6"/>
    <s v="Plaquettes de finition positives"/>
    <s v="170325"/>
    <s v="VERDELET BASTIEN"/>
    <n v="10"/>
    <x v="3"/>
    <x v="2"/>
    <s v="PLAQUETTES"/>
    <x v="3"/>
    <n v="87"/>
  </r>
  <r>
    <d v="2025-07-01T13:15:09"/>
    <x v="4"/>
    <s v="Plaquettes de finition"/>
    <s v="170325"/>
    <s v="VERDELET BASTIEN"/>
    <n v="5"/>
    <x v="2"/>
    <x v="2"/>
    <s v="PLAQUETTES"/>
    <x v="1"/>
    <n v="47.8"/>
  </r>
  <r>
    <d v="2025-07-01T13:15:26"/>
    <x v="5"/>
    <s v="Plaquettes rondes"/>
    <s v="170325"/>
    <s v="VERDELET BASTIEN"/>
    <n v="10"/>
    <x v="2"/>
    <x v="0"/>
    <s v="PLAQUETTES"/>
    <x v="1"/>
    <n v="108.5"/>
  </r>
  <r>
    <d v="2025-07-01T13:15:42"/>
    <x v="2"/>
    <s v="Plaquettes d'ébauches rhombiques"/>
    <s v="170325"/>
    <s v="VERDELET BASTIEN"/>
    <n v="10"/>
    <x v="3"/>
    <x v="0"/>
    <s v="PLAQUETTES"/>
    <x v="3"/>
    <n v="70"/>
  </r>
  <r>
    <d v="2025-07-01T13:15:58"/>
    <x v="1"/>
    <s v="Plaquettes d'ébauches carrées"/>
    <s v="170325"/>
    <s v="VERDELET BASTIEN"/>
    <n v="10"/>
    <x v="2"/>
    <x v="0"/>
    <s v="PLAQUETTES"/>
    <x v="1"/>
    <n v="71.2"/>
  </r>
  <r>
    <d v="2025-07-26T16:53:11"/>
    <x v="1"/>
    <s v="Plaquettes d'ébauches carrées"/>
    <s v="U054304"/>
    <s v="BOUACHIK HICHAM"/>
    <n v="10"/>
    <x v="0"/>
    <x v="0"/>
    <s v="PLAQUETTES"/>
    <x v="3"/>
    <n v="71.2"/>
  </r>
  <r>
    <d v="2025-07-01T13:33:31"/>
    <x v="6"/>
    <s v="Plaquettes de finition positives"/>
    <s v="u134838"/>
    <s v="DANAH STEPHANIE"/>
    <n v="10"/>
    <x v="1"/>
    <x v="2"/>
    <s v="PLAQUETTES"/>
    <x v="0"/>
    <n v="87"/>
  </r>
  <r>
    <d v="2025-07-01T13:33:58"/>
    <x v="7"/>
    <s v="Plaquettes de finition triangulaires"/>
    <s v="u134838"/>
    <s v="DANAH STEPHANIE"/>
    <n v="10"/>
    <x v="1"/>
    <x v="2"/>
    <s v="PLAQUETTES"/>
    <x v="0"/>
    <n v="138.80000000000001"/>
  </r>
  <r>
    <d v="2025-08-18T13:31:17"/>
    <x v="1"/>
    <s v="Plaquettes d'ébauches carrées"/>
    <s v="230525"/>
    <s v="SOULAS YANIS"/>
    <n v="10"/>
    <x v="0"/>
    <x v="1"/>
    <s v="PLAQUETTES"/>
    <x v="1"/>
    <n v="71.2"/>
  </r>
  <r>
    <d v="2025-07-01T13:34:44"/>
    <x v="1"/>
    <s v="Plaquettes d'ébauches carrées"/>
    <s v="u134838"/>
    <s v="DANAH STEPHANIE"/>
    <n v="10"/>
    <x v="1"/>
    <x v="0"/>
    <s v="PLAQUETTES"/>
    <x v="0"/>
    <n v="71.2"/>
  </r>
  <r>
    <d v="2025-08-20T21:25:25"/>
    <x v="1"/>
    <s v="Plaquettes d'ébauches carrées"/>
    <s v="VERGE G"/>
    <s v="VERGE GREGORY"/>
    <n v="10"/>
    <x v="0"/>
    <x v="1"/>
    <s v="PLAQUETTES"/>
    <x v="3"/>
    <n v="71.2"/>
  </r>
  <r>
    <d v="2025-08-22T15:06:47"/>
    <x v="1"/>
    <s v="Plaquettes d'ébauches carrées"/>
    <s v="230525"/>
    <s v="SOULAS YANIS"/>
    <n v="10"/>
    <x v="0"/>
    <x v="1"/>
    <s v="PLAQUETTES"/>
    <x v="0"/>
    <n v="71.2"/>
  </r>
  <r>
    <d v="2025-07-02T07:55:00"/>
    <x v="5"/>
    <s v="Plaquettes rondes"/>
    <s v="230525"/>
    <s v="SOULAS YANIS"/>
    <n v="10"/>
    <x v="1"/>
    <x v="0"/>
    <s v="PLAQUETTES"/>
    <x v="0"/>
    <n v="108.5"/>
  </r>
  <r>
    <d v="2025-07-02T11:51:29"/>
    <x v="8"/>
    <s v="Plaquettes rhombiques"/>
    <s v="VERGE G"/>
    <s v="VERGE GREGORY"/>
    <n v="5"/>
    <x v="2"/>
    <x v="2"/>
    <s v="PLAQUETTES"/>
    <x v="1"/>
    <n v="18.399999999999999"/>
  </r>
  <r>
    <d v="2025-07-02T13:21:34"/>
    <x v="6"/>
    <s v="Plaquettes de finition positives"/>
    <s v="170325"/>
    <s v="VERDELET BASTIEN"/>
    <n v="10"/>
    <x v="3"/>
    <x v="2"/>
    <s v="PLAQUETTES"/>
    <x v="3"/>
    <n v="87"/>
  </r>
  <r>
    <d v="2025-07-02T13:21:57"/>
    <x v="2"/>
    <s v="Plaquettes d'ébauches rhombiques"/>
    <s v="170325"/>
    <s v="VERDELET BASTIEN"/>
    <n v="10"/>
    <x v="2"/>
    <x v="0"/>
    <s v="PLAQUETTES"/>
    <x v="1"/>
    <n v="70"/>
  </r>
  <r>
    <d v="2025-07-02T14:01:59"/>
    <x v="10"/>
    <s v="Plaquettes de finition"/>
    <s v="u134838"/>
    <s v="DANAH STEPHANIE"/>
    <n v="10"/>
    <x v="1"/>
    <x v="2"/>
    <s v="PLAQUETTES"/>
    <x v="0"/>
    <n v="109.7"/>
  </r>
  <r>
    <d v="2025-08-26T23:46:33"/>
    <x v="1"/>
    <s v="Plaquettes d'ébauches carrées"/>
    <s v="230525"/>
    <s v="SOULAS YANIS"/>
    <n v="10"/>
    <x v="0"/>
    <x v="1"/>
    <s v="PLAQUETTES"/>
    <x v="0"/>
    <n v="71.2"/>
  </r>
  <r>
    <d v="2025-07-02T21:17:53"/>
    <x v="6"/>
    <s v="Plaquettes de finition positives"/>
    <s v="SD13196"/>
    <s v="FRADIN MAXIME"/>
    <n v="10"/>
    <x v="1"/>
    <x v="2"/>
    <s v="PLAQUETTES"/>
    <x v="0"/>
    <n v="87"/>
  </r>
  <r>
    <d v="2025-08-27T06:24:57"/>
    <x v="1"/>
    <s v="Plaquettes d'ébauches carrées"/>
    <s v="u462308"/>
    <s v="MAITRE SEBASTIEN"/>
    <n v="10"/>
    <x v="0"/>
    <x v="1"/>
    <s v="PLAQUETTES"/>
    <x v="0"/>
    <n v="71.2"/>
  </r>
  <r>
    <d v="2025-07-02T21:18:29"/>
    <x v="6"/>
    <s v="Plaquettes de finition positives"/>
    <s v="SD13196"/>
    <s v="FRADIN MAXIME"/>
    <n v="10"/>
    <x v="1"/>
    <x v="2"/>
    <s v="PLAQUETTES"/>
    <x v="0"/>
    <n v="87"/>
  </r>
  <r>
    <d v="2025-08-27T22:29:52"/>
    <x v="1"/>
    <s v="Plaquettes d'ébauches carrées"/>
    <s v="j519914"/>
    <s v="MARLY DAVID"/>
    <n v="10"/>
    <x v="0"/>
    <x v="0"/>
    <s v="PLAQUETTES"/>
    <x v="0"/>
    <n v="71.2"/>
  </r>
  <r>
    <d v="2025-07-02T21:19:16"/>
    <x v="2"/>
    <s v="Plaquettes d'ébauches rhombiques"/>
    <s v="SD13196"/>
    <s v="FRADIN MAXIME"/>
    <n v="10"/>
    <x v="1"/>
    <x v="0"/>
    <s v="PLAQUETTES"/>
    <x v="0"/>
    <n v="70"/>
  </r>
  <r>
    <d v="2025-08-28T23:52:59"/>
    <x v="1"/>
    <s v="Plaquettes d'ébauches carrées"/>
    <s v="230525"/>
    <s v="SOULAS YANIS"/>
    <n v="10"/>
    <x v="0"/>
    <x v="1"/>
    <s v="PLAQUETTES"/>
    <x v="0"/>
    <n v="71.2"/>
  </r>
  <r>
    <d v="2025-07-03T01:48:29"/>
    <x v="4"/>
    <s v="Plaquettes de finition"/>
    <s v="SD13196"/>
    <s v="FRADIN MAXIME"/>
    <n v="5"/>
    <x v="2"/>
    <x v="2"/>
    <s v="PLAQUETTES"/>
    <x v="1"/>
    <n v="47.8"/>
  </r>
  <r>
    <d v="2025-07-03T01:48:42"/>
    <x v="2"/>
    <s v="Plaquettes d'ébauches rhombiques"/>
    <s v="SD13196"/>
    <s v="FRADIN MAXIME"/>
    <n v="10"/>
    <x v="3"/>
    <x v="1"/>
    <s v="PLAQUETTES"/>
    <x v="3"/>
    <n v="70"/>
  </r>
  <r>
    <d v="2025-07-03T01:49:01"/>
    <x v="11"/>
    <s v="Plaquettes de finition triangulaires"/>
    <s v="SD13196"/>
    <s v="FRADIN MAXIME"/>
    <n v="10"/>
    <x v="2"/>
    <x v="2"/>
    <s v="PLAQUETTES"/>
    <x v="1"/>
    <n v="118.7"/>
  </r>
  <r>
    <d v="2025-07-03T05:28:27"/>
    <x v="2"/>
    <s v="Plaquettes d'ébauches rhombiques"/>
    <s v="230525"/>
    <s v="SOULAS YANIS"/>
    <n v="10"/>
    <x v="1"/>
    <x v="1"/>
    <s v="PLAQUETTES"/>
    <x v="0"/>
    <n v="70"/>
  </r>
  <r>
    <d v="2025-09-01T22:08:58"/>
    <x v="1"/>
    <s v="Plaquettes d'ébauches carrées"/>
    <s v="230525"/>
    <s v="SOULAS YANIS"/>
    <n v="10"/>
    <x v="0"/>
    <x v="1"/>
    <s v="PLAQUETTES"/>
    <x v="0"/>
    <n v="71.2"/>
  </r>
  <r>
    <d v="2025-09-01T22:32:21"/>
    <x v="1"/>
    <s v="Plaquettes d'ébauches carrées"/>
    <s v="VERGE G"/>
    <s v="VERGE GREGORY"/>
    <n v="10"/>
    <x v="0"/>
    <x v="1"/>
    <s v="PLAQUETTES"/>
    <x v="3"/>
    <n v="71.2"/>
  </r>
  <r>
    <d v="2025-07-03T10:49:47"/>
    <x v="8"/>
    <s v="Plaquettes rhombiques"/>
    <s v="VERGE G"/>
    <s v="VERGE GREGORY"/>
    <n v="5"/>
    <x v="2"/>
    <x v="2"/>
    <s v="PLAQUETTES"/>
    <x v="1"/>
    <n v="18.399999999999999"/>
  </r>
  <r>
    <d v="2025-07-03T10:50:10"/>
    <x v="6"/>
    <s v="Plaquettes de finition positives"/>
    <s v="VERGE G"/>
    <s v="VERGE GREGORY"/>
    <n v="10"/>
    <x v="3"/>
    <x v="2"/>
    <s v="PLAQUETTES"/>
    <x v="3"/>
    <n v="87"/>
  </r>
  <r>
    <d v="2025-07-03T13:49:34"/>
    <x v="3"/>
    <s v="Plaquettes rondes"/>
    <s v="170325"/>
    <s v="VERDELET BASTIEN"/>
    <n v="10"/>
    <x v="2"/>
    <x v="0"/>
    <s v="PLAQUETTES"/>
    <x v="1"/>
    <n v="136.69999999999999"/>
  </r>
  <r>
    <d v="2025-07-03T13:49:50"/>
    <x v="2"/>
    <s v="Plaquettes d'ébauches rhombiques"/>
    <s v="170325"/>
    <s v="VERDELET BASTIEN"/>
    <n v="10"/>
    <x v="2"/>
    <x v="0"/>
    <s v="PLAQUETTES"/>
    <x v="1"/>
    <n v="70"/>
  </r>
  <r>
    <d v="2025-07-03T13:50:19"/>
    <x v="1"/>
    <s v="Plaquettes d'ébauches carrées"/>
    <s v="170325"/>
    <s v="VERDELET BASTIEN"/>
    <n v="10"/>
    <x v="3"/>
    <x v="0"/>
    <s v="PLAQUETTES"/>
    <x v="3"/>
    <n v="71.2"/>
  </r>
  <r>
    <d v="2025-07-03T13:50:40"/>
    <x v="10"/>
    <s v="Plaquettes de finition"/>
    <s v="170325"/>
    <s v="VERDELET BASTIEN"/>
    <n v="10"/>
    <x v="3"/>
    <x v="2"/>
    <s v="PLAQUETTES"/>
    <x v="3"/>
    <n v="109.7"/>
  </r>
  <r>
    <d v="2025-07-03T17:05:06"/>
    <x v="7"/>
    <s v="Plaquettes de finition triangulaires"/>
    <s v="u134838"/>
    <s v="DANAH STEPHANIE"/>
    <n v="10"/>
    <x v="1"/>
    <x v="2"/>
    <s v="PLAQUETTES"/>
    <x v="0"/>
    <n v="138.80000000000001"/>
  </r>
  <r>
    <d v="2025-09-03T00:10:59"/>
    <x v="1"/>
    <s v="Plaquettes d'ébauches carrées"/>
    <s v="230525"/>
    <s v="SOULAS YANIS"/>
    <n v="10"/>
    <x v="0"/>
    <x v="1"/>
    <s v="PLAQUETTES"/>
    <x v="0"/>
    <n v="71.2"/>
  </r>
  <r>
    <d v="2025-07-03T17:05:51"/>
    <x v="2"/>
    <s v="Plaquettes d'ébauches rhombiques"/>
    <s v="u134838"/>
    <s v="DANAH STEPHANIE"/>
    <n v="10"/>
    <x v="1"/>
    <x v="1"/>
    <s v="PLAQUETTES"/>
    <x v="0"/>
    <n v="70"/>
  </r>
  <r>
    <d v="2025-07-03T17:06:14"/>
    <x v="5"/>
    <s v="Plaquettes rondes"/>
    <s v="u134838"/>
    <s v="DANAH STEPHANIE"/>
    <n v="10"/>
    <x v="1"/>
    <x v="0"/>
    <s v="PLAQUETTES"/>
    <x v="0"/>
    <n v="108.5"/>
  </r>
  <r>
    <d v="2025-07-04T06:26:19"/>
    <x v="5"/>
    <s v="Plaquettes rondes"/>
    <s v="U198152"/>
    <s v="AJMIK MUSTAPHA"/>
    <n v="10"/>
    <x v="3"/>
    <x v="0"/>
    <s v="PLAQUETTES"/>
    <x v="3"/>
    <n v="108.5"/>
  </r>
  <r>
    <d v="2025-07-04T06:26:42"/>
    <x v="6"/>
    <s v="Plaquettes de finition positives"/>
    <s v="U198152"/>
    <s v="AJMIK MUSTAPHA"/>
    <n v="10"/>
    <x v="3"/>
    <x v="2"/>
    <s v="PLAQUETTES"/>
    <x v="3"/>
    <n v="87"/>
  </r>
  <r>
    <d v="2025-07-04T06:27:13"/>
    <x v="7"/>
    <s v="Plaquettes de finition triangulaires"/>
    <s v="U198152"/>
    <s v="AJMIK MUSTAPHA"/>
    <n v="10"/>
    <x v="3"/>
    <x v="2"/>
    <s v="PLAQUETTES"/>
    <x v="3"/>
    <n v="138.80000000000001"/>
  </r>
  <r>
    <d v="2025-09-04T01:37:54"/>
    <x v="1"/>
    <s v="Plaquettes d'ébauches carrées"/>
    <s v="230525"/>
    <s v="SOULAS YANIS"/>
    <n v="10"/>
    <x v="0"/>
    <x v="1"/>
    <s v="PLAQUETTES"/>
    <x v="0"/>
    <n v="71.2"/>
  </r>
  <r>
    <d v="2025-09-04T08:06:42"/>
    <x v="1"/>
    <s v="Plaquettes d'ébauches carrées"/>
    <s v="170325"/>
    <s v="VERDELET BASTIEN"/>
    <n v="10"/>
    <x v="0"/>
    <x v="0"/>
    <s v="PLAQUETTES"/>
    <x v="0"/>
    <n v="71.2"/>
  </r>
  <r>
    <d v="2025-07-04T13:20:38"/>
    <x v="4"/>
    <s v="Plaquettes de finition"/>
    <s v="170325"/>
    <s v="VERDELET BASTIEN"/>
    <n v="5"/>
    <x v="2"/>
    <x v="2"/>
    <s v="PLAQUETTES"/>
    <x v="1"/>
    <n v="47.8"/>
  </r>
  <r>
    <d v="2025-07-04T13:20:51"/>
    <x v="2"/>
    <s v="Plaquettes d'ébauches rhombiques"/>
    <s v="170325"/>
    <s v="VERDELET BASTIEN"/>
    <n v="10"/>
    <x v="3"/>
    <x v="0"/>
    <s v="PLAQUETTES"/>
    <x v="3"/>
    <n v="70"/>
  </r>
  <r>
    <d v="2025-07-04T18:37:21"/>
    <x v="6"/>
    <s v="Plaquettes de finition positives"/>
    <s v="u134838"/>
    <s v="DANAH STEPHANIE"/>
    <n v="10"/>
    <x v="1"/>
    <x v="2"/>
    <s v="PLAQUETTES"/>
    <x v="0"/>
    <n v="87"/>
  </r>
  <r>
    <d v="2025-09-05T00:00:13"/>
    <x v="1"/>
    <s v="Plaquettes d'ébauches carrées"/>
    <s v="230525"/>
    <s v="SOULAS YANIS"/>
    <n v="10"/>
    <x v="0"/>
    <x v="1"/>
    <s v="PLAQUETTES"/>
    <x v="0"/>
    <n v="71.2"/>
  </r>
  <r>
    <d v="2025-07-05T05:11:58"/>
    <x v="6"/>
    <s v="Plaquettes de finition positives"/>
    <s v="U054304"/>
    <s v="BOUACHIK HICHAM"/>
    <n v="10"/>
    <x v="1"/>
    <x v="2"/>
    <s v="PLAQUETTES"/>
    <x v="0"/>
    <n v="87"/>
  </r>
  <r>
    <d v="2025-07-05T07:42:35"/>
    <x v="4"/>
    <s v="Plaquettes de finition"/>
    <s v="U198152"/>
    <s v="AJMIK MUSTAPHA"/>
    <n v="5"/>
    <x v="2"/>
    <x v="2"/>
    <s v="PLAQUETTES"/>
    <x v="1"/>
    <n v="47.8"/>
  </r>
  <r>
    <d v="2025-07-05T07:42:50"/>
    <x v="9"/>
    <s v="Plaquettes rhombiques"/>
    <s v="U198152"/>
    <s v="AJMIK MUSTAPHA"/>
    <n v="5"/>
    <x v="2"/>
    <x v="2"/>
    <s v="PLAQUETTES"/>
    <x v="1"/>
    <n v="44.85"/>
  </r>
  <r>
    <d v="2025-07-05T07:43:05"/>
    <x v="8"/>
    <s v="Plaquettes rhombiques"/>
    <s v="U198152"/>
    <s v="AJMIK MUSTAPHA"/>
    <n v="5"/>
    <x v="2"/>
    <x v="2"/>
    <s v="PLAQUETTES"/>
    <x v="1"/>
    <n v="18.399999999999999"/>
  </r>
  <r>
    <d v="2025-07-05T07:43:22"/>
    <x v="6"/>
    <s v="Plaquettes de finition positives"/>
    <s v="U198152"/>
    <s v="AJMIK MUSTAPHA"/>
    <n v="10"/>
    <x v="3"/>
    <x v="2"/>
    <s v="PLAQUETTES"/>
    <x v="3"/>
    <n v="87"/>
  </r>
  <r>
    <d v="2025-07-05T07:43:39"/>
    <x v="2"/>
    <s v="Plaquettes d'ébauches rhombiques"/>
    <s v="U198152"/>
    <s v="AJMIK MUSTAPHA"/>
    <n v="10"/>
    <x v="3"/>
    <x v="0"/>
    <s v="PLAQUETTES"/>
    <x v="3"/>
    <n v="70"/>
  </r>
  <r>
    <d v="2025-07-05T07:43:54"/>
    <x v="1"/>
    <s v="Plaquettes d'ébauches carrées"/>
    <s v="U198152"/>
    <s v="AJMIK MUSTAPHA"/>
    <n v="10"/>
    <x v="3"/>
    <x v="1"/>
    <s v="PLAQUETTES"/>
    <x v="3"/>
    <n v="71.2"/>
  </r>
  <r>
    <d v="2025-07-05T10:50:52"/>
    <x v="2"/>
    <s v="Plaquettes d'ébauches rhombiques"/>
    <s v="U054304"/>
    <s v="BOUACHIK HICHAM"/>
    <n v="10"/>
    <x v="1"/>
    <x v="0"/>
    <s v="PLAQUETTES"/>
    <x v="0"/>
    <n v="70"/>
  </r>
  <r>
    <d v="2025-09-08T22:53:53"/>
    <x v="1"/>
    <s v="Plaquettes d'ébauches carrées"/>
    <s v="j519914"/>
    <s v="MARLY DAVID"/>
    <n v="10"/>
    <x v="0"/>
    <x v="1"/>
    <s v="PLAQUETTES"/>
    <x v="0"/>
    <n v="71.2"/>
  </r>
  <r>
    <d v="2025-07-05T17:15:10"/>
    <x v="6"/>
    <s v="Plaquettes de finition positives"/>
    <s v="U534565"/>
    <s v="HOAREAU MARIUS"/>
    <n v="10"/>
    <x v="3"/>
    <x v="2"/>
    <s v="PLAQUETTES"/>
    <x v="0"/>
    <n v="87"/>
  </r>
  <r>
    <d v="2025-07-05T17:15:33"/>
    <x v="4"/>
    <s v="Plaquettes de finition"/>
    <s v="U534565"/>
    <s v="HOAREAU MARIUS"/>
    <n v="5"/>
    <x v="2"/>
    <x v="2"/>
    <s v="PLAQUETTES"/>
    <x v="1"/>
    <n v="47.8"/>
  </r>
  <r>
    <d v="2025-07-05T17:15:56"/>
    <x v="1"/>
    <s v="Plaquettes d'ébauches carrées"/>
    <s v="U534565"/>
    <s v="HOAREAU MARIUS"/>
    <n v="10"/>
    <x v="3"/>
    <x v="0"/>
    <s v="PLAQUETTES"/>
    <x v="3"/>
    <n v="71.2"/>
  </r>
  <r>
    <d v="2025-07-05T17:16:14"/>
    <x v="2"/>
    <s v="Plaquettes d'ébauches rhombiques"/>
    <s v="U534565"/>
    <s v="HOAREAU MARIUS"/>
    <n v="10"/>
    <x v="2"/>
    <x v="0"/>
    <s v="PLAQUETTES"/>
    <x v="1"/>
    <n v="70"/>
  </r>
  <r>
    <d v="2025-07-05T17:16:35"/>
    <x v="5"/>
    <s v="Plaquettes rondes"/>
    <s v="U534565"/>
    <s v="HOAREAU MARIUS"/>
    <n v="10"/>
    <x v="2"/>
    <x v="0"/>
    <s v="PLAQUETTES"/>
    <x v="1"/>
    <n v="108.5"/>
  </r>
  <r>
    <d v="2025-09-08T23:16:52"/>
    <x v="1"/>
    <s v="Plaquettes d'ébauches carrées"/>
    <s v="VERGE G"/>
    <s v="VERGE GREGORY"/>
    <n v="10"/>
    <x v="0"/>
    <x v="1"/>
    <s v="PLAQUETTES"/>
    <x v="3"/>
    <n v="71.2"/>
  </r>
  <r>
    <d v="2025-09-10T06:06:14"/>
    <x v="1"/>
    <s v="Plaquettes d'ébauches carrées"/>
    <s v="u462308"/>
    <s v="MAITRE SEBASTIEN"/>
    <n v="10"/>
    <x v="0"/>
    <x v="1"/>
    <s v="PLAQUETTES"/>
    <x v="0"/>
    <n v="71.2"/>
  </r>
  <r>
    <d v="2025-09-10T06:06:31"/>
    <x v="1"/>
    <s v="Plaquettes d'ébauches carrées"/>
    <s v="u462308"/>
    <s v="MAITRE SEBASTIEN"/>
    <n v="10"/>
    <x v="0"/>
    <x v="1"/>
    <s v="PLAQUETTES"/>
    <x v="0"/>
    <n v="71.2"/>
  </r>
  <r>
    <d v="2025-09-14T05:37:36"/>
    <x v="1"/>
    <s v="Plaquettes d'ébauches carrées"/>
    <s v="J534699"/>
    <s v="CHARTON FABIAN"/>
    <n v="10"/>
    <x v="0"/>
    <x v="0"/>
    <s v="PLAQUETTES"/>
    <x v="0"/>
    <n v="71.2"/>
  </r>
  <r>
    <d v="2025-07-06T12:44:31"/>
    <x v="6"/>
    <s v="Plaquettes de finition positives"/>
    <s v="U198152"/>
    <s v="AJMIK MUSTAPHA"/>
    <n v="10"/>
    <x v="3"/>
    <x v="2"/>
    <s v="PLAQUETTES"/>
    <x v="3"/>
    <n v="87"/>
  </r>
  <r>
    <d v="2025-07-06T12:44:49"/>
    <x v="4"/>
    <s v="Plaquettes de finition"/>
    <s v="U198152"/>
    <s v="AJMIK MUSTAPHA"/>
    <n v="5"/>
    <x v="2"/>
    <x v="2"/>
    <s v="PLAQUETTES"/>
    <x v="1"/>
    <n v="47.8"/>
  </r>
  <r>
    <d v="2025-07-06T12:45:07"/>
    <x v="8"/>
    <s v="Plaquettes rhombiques"/>
    <s v="U198152"/>
    <s v="AJMIK MUSTAPHA"/>
    <n v="5"/>
    <x v="2"/>
    <x v="2"/>
    <s v="PLAQUETTES"/>
    <x v="1"/>
    <n v="18.399999999999999"/>
  </r>
  <r>
    <d v="2025-09-15T06:42:49"/>
    <x v="1"/>
    <s v="Plaquettes d'ébauches carrées"/>
    <s v="u134838"/>
    <s v="DANAH STEPHANIE"/>
    <n v="10"/>
    <x v="0"/>
    <x v="0"/>
    <s v="PLAQUETTES"/>
    <x v="0"/>
    <n v="71.2"/>
  </r>
  <r>
    <d v="2025-09-15T21:13:23"/>
    <x v="1"/>
    <s v="Plaquettes d'ébauches carrées"/>
    <s v="VERGE G"/>
    <s v="VERGE GREGORY"/>
    <n v="10"/>
    <x v="0"/>
    <x v="1"/>
    <s v="PLAQUETTES"/>
    <x v="3"/>
    <n v="71.2"/>
  </r>
  <r>
    <d v="2025-09-16T13:32:20"/>
    <x v="1"/>
    <s v="Plaquettes d'ébauches carrées"/>
    <s v="u462308"/>
    <s v="MAITRE SEBASTIEN"/>
    <n v="10"/>
    <x v="0"/>
    <x v="1"/>
    <s v="PLAQUETTES"/>
    <x v="0"/>
    <n v="71.2"/>
  </r>
  <r>
    <d v="2025-07-06T15:19:12"/>
    <x v="6"/>
    <s v="Plaquettes de finition positives"/>
    <s v="U080365"/>
    <s v="ALAVOINE SAMUEL"/>
    <n v="10"/>
    <x v="1"/>
    <x v="2"/>
    <s v="PLAQUETTES"/>
    <x v="0"/>
    <n v="87"/>
  </r>
  <r>
    <d v="2025-07-06T20:29:51"/>
    <x v="3"/>
    <s v="Plaquettes rondes"/>
    <s v="U534565"/>
    <s v="HOAREAU MARIUS"/>
    <n v="10"/>
    <x v="2"/>
    <x v="0"/>
    <s v="PLAQUETTES"/>
    <x v="1"/>
    <n v="136.69999999999999"/>
  </r>
  <r>
    <d v="2025-07-06T20:30:12"/>
    <x v="5"/>
    <s v="Plaquettes rondes"/>
    <s v="U534565"/>
    <s v="HOAREAU MARIUS"/>
    <n v="10"/>
    <x v="3"/>
    <x v="0"/>
    <s v="PLAQUETTES"/>
    <x v="3"/>
    <n v="108.5"/>
  </r>
  <r>
    <d v="2025-07-07T05:40:47"/>
    <x v="2"/>
    <s v="Plaquettes d'ébauches rhombiques"/>
    <s v="170325"/>
    <s v="VERDELET BASTIEN"/>
    <n v="10"/>
    <x v="3"/>
    <x v="0"/>
    <s v="PLAQUETTES"/>
    <x v="0"/>
    <n v="70"/>
  </r>
  <r>
    <d v="2025-07-07T05:41:05"/>
    <x v="1"/>
    <s v="Plaquettes d'ébauches carrées"/>
    <s v="170325"/>
    <s v="VERDELET BASTIEN"/>
    <n v="10"/>
    <x v="3"/>
    <x v="0"/>
    <s v="PLAQUETTES"/>
    <x v="0"/>
    <n v="71.2"/>
  </r>
  <r>
    <d v="2025-07-07T08:30:17"/>
    <x v="10"/>
    <s v="Plaquettes de finition"/>
    <s v="u134838"/>
    <s v="DANAH STEPHANIE"/>
    <n v="10"/>
    <x v="1"/>
    <x v="2"/>
    <s v="PLAQUETTES"/>
    <x v="0"/>
    <n v="109.7"/>
  </r>
  <r>
    <d v="2025-07-07T08:30:39"/>
    <x v="7"/>
    <s v="Plaquettes de finition triangulaires"/>
    <s v="u134838"/>
    <s v="DANAH STEPHANIE"/>
    <n v="10"/>
    <x v="1"/>
    <x v="2"/>
    <s v="PLAQUETTES"/>
    <x v="0"/>
    <n v="138.80000000000001"/>
  </r>
  <r>
    <d v="2025-07-07T13:09:58"/>
    <x v="2"/>
    <s v="Plaquettes d'ébauches rhombiques"/>
    <s v="SD13196"/>
    <s v="FRADIN MAXIME"/>
    <n v="10"/>
    <x v="1"/>
    <x v="1"/>
    <s v="PLAQUETTES"/>
    <x v="0"/>
    <n v="70"/>
  </r>
  <r>
    <d v="2025-07-07T13:10:11"/>
    <x v="1"/>
    <s v="Plaquettes d'ébauches carrées"/>
    <s v="SD13196"/>
    <s v="FRADIN MAXIME"/>
    <n v="10"/>
    <x v="1"/>
    <x v="1"/>
    <s v="PLAQUETTES"/>
    <x v="0"/>
    <n v="71.2"/>
  </r>
  <r>
    <d v="2025-07-07T13:10:33"/>
    <x v="6"/>
    <s v="Plaquettes de finition positives"/>
    <s v="SD13196"/>
    <s v="FRADIN MAXIME"/>
    <n v="10"/>
    <x v="1"/>
    <x v="2"/>
    <s v="PLAQUETTES"/>
    <x v="0"/>
    <n v="87"/>
  </r>
  <r>
    <d v="2025-07-07T21:22:15"/>
    <x v="4"/>
    <s v="Plaquettes de finition"/>
    <s v="VERGE G"/>
    <s v="VERGE GREGORY"/>
    <n v="5"/>
    <x v="2"/>
    <x v="2"/>
    <s v="PLAQUETTES"/>
    <x v="1"/>
    <n v="47.8"/>
  </r>
  <r>
    <d v="2025-07-07T21:22:36"/>
    <x v="6"/>
    <s v="Plaquettes de finition positives"/>
    <s v="VERGE G"/>
    <s v="VERGE GREGORY"/>
    <n v="10"/>
    <x v="3"/>
    <x v="2"/>
    <s v="PLAQUETTES"/>
    <x v="0"/>
    <n v="87"/>
  </r>
  <r>
    <d v="2025-07-07T21:22:53"/>
    <x v="2"/>
    <s v="Plaquettes d'ébauches rhombiques"/>
    <s v="VERGE G"/>
    <s v="VERGE GREGORY"/>
    <n v="10"/>
    <x v="2"/>
    <x v="1"/>
    <s v="PLAQUETTES"/>
    <x v="1"/>
    <n v="70"/>
  </r>
  <r>
    <d v="2025-07-07T21:23:14"/>
    <x v="1"/>
    <s v="Plaquettes d'ébauches carrées"/>
    <s v="VERGE G"/>
    <s v="VERGE GREGORY"/>
    <n v="10"/>
    <x v="2"/>
    <x v="1"/>
    <s v="PLAQUETTES"/>
    <x v="1"/>
    <n v="71.2"/>
  </r>
  <r>
    <d v="2025-09-17T03:43:07"/>
    <x v="1"/>
    <s v="Plaquettes d'ébauches carrées"/>
    <s v="230525"/>
    <s v="SOULAS YANIS"/>
    <n v="10"/>
    <x v="0"/>
    <x v="1"/>
    <s v="PLAQUETTES"/>
    <x v="0"/>
    <n v="71.2"/>
  </r>
  <r>
    <d v="2025-09-17T22:32:45"/>
    <x v="1"/>
    <s v="Plaquettes d'ébauches carrées"/>
    <s v="230525"/>
    <s v="SOULAS YANIS"/>
    <n v="10"/>
    <x v="0"/>
    <x v="0"/>
    <s v="PLAQUETTES"/>
    <x v="0"/>
    <n v="71.2"/>
  </r>
  <r>
    <d v="2025-07-08T11:15:30"/>
    <x v="6"/>
    <s v="Plaquettes de finition positives"/>
    <s v="u134838"/>
    <s v="DANAH STEPHANIE"/>
    <n v="10"/>
    <x v="1"/>
    <x v="2"/>
    <s v="PLAQUETTES"/>
    <x v="0"/>
    <n v="87"/>
  </r>
  <r>
    <d v="2025-09-20T16:45:55"/>
    <x v="1"/>
    <s v="Plaquettes d'ébauches carrées"/>
    <s v="U054304"/>
    <s v="BOUACHIK HICHAM"/>
    <n v="10"/>
    <x v="0"/>
    <x v="0"/>
    <s v="PLAQUETTES"/>
    <x v="0"/>
    <n v="71.2"/>
  </r>
  <r>
    <d v="2025-07-08T13:49:51"/>
    <x v="2"/>
    <s v="Plaquettes d'ébauches rhombiques"/>
    <s v="J609988"/>
    <s v="AMALRIC VINCENT"/>
    <n v="10"/>
    <x v="3"/>
    <x v="1"/>
    <s v="PLAQUETTES"/>
    <x v="0"/>
    <n v="70"/>
  </r>
  <r>
    <d v="2025-07-08T13:50:09"/>
    <x v="1"/>
    <s v="Plaquettes d'ébauches carrées"/>
    <s v="J609988"/>
    <s v="AMALRIC VINCENT"/>
    <n v="10"/>
    <x v="3"/>
    <x v="1"/>
    <s v="PLAQUETTES"/>
    <x v="0"/>
    <n v="71.2"/>
  </r>
  <r>
    <d v="2025-07-08T13:50:31"/>
    <x v="2"/>
    <s v="Plaquettes d'ébauches rhombiques"/>
    <s v="J609988"/>
    <s v="AMALRIC VINCENT"/>
    <n v="10"/>
    <x v="3"/>
    <x v="1"/>
    <s v="PLAQUETTES"/>
    <x v="0"/>
    <n v="70"/>
  </r>
  <r>
    <d v="2025-07-08T13:50:56"/>
    <x v="6"/>
    <s v="Plaquettes de finition positives"/>
    <s v="J609988"/>
    <s v="AMALRIC VINCENT"/>
    <n v="10"/>
    <x v="3"/>
    <x v="2"/>
    <s v="PLAQUETTES"/>
    <x v="0"/>
    <n v="87"/>
  </r>
  <r>
    <d v="2025-09-21T08:43:58"/>
    <x v="1"/>
    <s v="Plaquettes d'ébauches carrées"/>
    <s v="U518765"/>
    <s v="ROY ADELINE"/>
    <n v="10"/>
    <x v="0"/>
    <x v="0"/>
    <s v="PLAQUETTES"/>
    <x v="0"/>
    <n v="71.2"/>
  </r>
  <r>
    <d v="2025-07-08T21:39:27"/>
    <x v="2"/>
    <s v="Plaquettes d'ébauches rhombiques"/>
    <s v="230525"/>
    <s v="SOULAS YANIS"/>
    <n v="10"/>
    <x v="1"/>
    <x v="1"/>
    <s v="PLAQUETTES"/>
    <x v="0"/>
    <n v="70"/>
  </r>
  <r>
    <d v="2025-07-08T21:39:42"/>
    <x v="6"/>
    <s v="Plaquettes de finition positives"/>
    <s v="230525"/>
    <s v="SOULAS YANIS"/>
    <n v="10"/>
    <x v="1"/>
    <x v="2"/>
    <s v="PLAQUETTES"/>
    <x v="0"/>
    <n v="87"/>
  </r>
  <r>
    <d v="2025-07-09T00:56:31"/>
    <x v="4"/>
    <s v="Plaquettes de finition"/>
    <s v="VERGE G"/>
    <s v="VERGE GREGORY"/>
    <n v="5"/>
    <x v="2"/>
    <x v="2"/>
    <s v="PLAQUETTES"/>
    <x v="1"/>
    <n v="47.8"/>
  </r>
  <r>
    <d v="2025-07-09T00:56:47"/>
    <x v="8"/>
    <s v="Plaquettes rhombiques"/>
    <s v="VERGE G"/>
    <s v="VERGE GREGORY"/>
    <n v="5"/>
    <x v="2"/>
    <x v="2"/>
    <s v="PLAQUETTES"/>
    <x v="1"/>
    <n v="18.399999999999999"/>
  </r>
  <r>
    <d v="2025-07-09T05:17:56"/>
    <x v="4"/>
    <s v="Plaquettes de finition"/>
    <s v="170325"/>
    <s v="VERDELET BASTIEN"/>
    <n v="5"/>
    <x v="2"/>
    <x v="2"/>
    <s v="PLAQUETTES"/>
    <x v="1"/>
    <n v="47.8"/>
  </r>
  <r>
    <d v="2025-07-09T05:18:18"/>
    <x v="8"/>
    <s v="Plaquettes rhombiques"/>
    <s v="170325"/>
    <s v="VERDELET BASTIEN"/>
    <n v="5"/>
    <x v="2"/>
    <x v="2"/>
    <s v="PLAQUETTES"/>
    <x v="1"/>
    <n v="18.399999999999999"/>
  </r>
  <r>
    <d v="2025-07-09T05:18:36"/>
    <x v="6"/>
    <s v="Plaquettes de finition positives"/>
    <s v="170325"/>
    <s v="VERDELET BASTIEN"/>
    <n v="10"/>
    <x v="3"/>
    <x v="2"/>
    <s v="PLAQUETTES"/>
    <x v="0"/>
    <n v="87"/>
  </r>
  <r>
    <d v="2025-07-09T05:54:16"/>
    <x v="5"/>
    <s v="Plaquettes rondes"/>
    <s v="u134838"/>
    <s v="DANAH STEPHANIE"/>
    <n v="10"/>
    <x v="1"/>
    <x v="0"/>
    <s v="PLAQUETTES"/>
    <x v="0"/>
    <n v="108.5"/>
  </r>
  <r>
    <d v="2025-07-09T05:54:36"/>
    <x v="2"/>
    <s v="Plaquettes d'ébauches rhombiques"/>
    <s v="u134838"/>
    <s v="DANAH STEPHANIE"/>
    <n v="10"/>
    <x v="1"/>
    <x v="0"/>
    <s v="PLAQUETTES"/>
    <x v="0"/>
    <n v="70"/>
  </r>
  <r>
    <d v="2025-07-09T05:55:02"/>
    <x v="1"/>
    <s v="Plaquettes d'ébauches carrées"/>
    <s v="u134838"/>
    <s v="DANAH STEPHANIE"/>
    <n v="10"/>
    <x v="1"/>
    <x v="0"/>
    <s v="PLAQUETTES"/>
    <x v="0"/>
    <n v="71.2"/>
  </r>
  <r>
    <d v="2025-09-21T16:53:59"/>
    <x v="1"/>
    <s v="Plaquettes d'ébauches carrées"/>
    <s v="U054304"/>
    <s v="BOUACHIK HICHAM"/>
    <n v="10"/>
    <x v="0"/>
    <x v="0"/>
    <s v="PLAQUETTES"/>
    <x v="0"/>
    <n v="71.2"/>
  </r>
  <r>
    <d v="2025-09-23T00:11:11"/>
    <x v="1"/>
    <s v="Plaquettes d'ébauches carrées"/>
    <s v="230525"/>
    <s v="SOULAS YANIS"/>
    <n v="10"/>
    <x v="0"/>
    <x v="1"/>
    <s v="PLAQUETTES"/>
    <x v="0"/>
    <n v="71.2"/>
  </r>
  <r>
    <d v="2025-07-09T05:56:06"/>
    <x v="6"/>
    <s v="Plaquettes de finition positives"/>
    <s v="u134838"/>
    <s v="DANAH STEPHANIE"/>
    <n v="10"/>
    <x v="1"/>
    <x v="2"/>
    <s v="PLAQUETTES"/>
    <x v="0"/>
    <n v="87"/>
  </r>
  <r>
    <d v="2025-07-09T08:53:48"/>
    <x v="2"/>
    <s v="Plaquettes d'ébauches rhombiques"/>
    <s v="12824586"/>
    <s v="DA SILVA FERNANDO"/>
    <n v="10"/>
    <x v="3"/>
    <x v="2"/>
    <s v="PLAQUETTES"/>
    <x v="4"/>
    <n v="70"/>
  </r>
  <r>
    <d v="2025-07-09T09:13:07"/>
    <x v="9"/>
    <s v="Plaquettes rhombiques"/>
    <s v="12824586"/>
    <s v="DA SILVA FERNANDO"/>
    <n v="5"/>
    <x v="2"/>
    <x v="0"/>
    <s v="PLAQUETTES"/>
    <x v="4"/>
    <n v="44.85"/>
  </r>
  <r>
    <d v="2025-07-09T18:41:16"/>
    <x v="2"/>
    <s v="Plaquettes d'ébauches rhombiques"/>
    <s v="SD13196"/>
    <s v="FRADIN MAXIME"/>
    <n v="10"/>
    <x v="1"/>
    <x v="0"/>
    <s v="PLAQUETTES"/>
    <x v="0"/>
    <n v="70"/>
  </r>
  <r>
    <d v="2025-07-09T18:41:29"/>
    <x v="6"/>
    <s v="Plaquettes de finition positives"/>
    <s v="SD13196"/>
    <s v="FRADIN MAXIME"/>
    <n v="10"/>
    <x v="1"/>
    <x v="2"/>
    <s v="PLAQUETTES"/>
    <x v="0"/>
    <n v="87"/>
  </r>
  <r>
    <d v="2025-09-28T17:41:01"/>
    <x v="1"/>
    <s v="Plaquettes d'ébauches carrées"/>
    <s v="j534699"/>
    <s v="CHARTON FABIAN"/>
    <n v="10"/>
    <x v="0"/>
    <x v="1"/>
    <s v="PLAQUETTES"/>
    <x v="0"/>
    <n v="71.2"/>
  </r>
  <r>
    <d v="2025-10-01T08:21:51"/>
    <x v="1"/>
    <s v="Plaquettes d'ébauches carrées"/>
    <s v="u134838"/>
    <s v="DANAH STEPHANIE"/>
    <n v="10"/>
    <x v="0"/>
    <x v="0"/>
    <s v="PLAQUETTES"/>
    <x v="0"/>
    <n v="71.2"/>
  </r>
  <r>
    <d v="2025-07-09T22:41:03"/>
    <x v="6"/>
    <s v="Plaquettes de finition positives"/>
    <s v="230525"/>
    <s v="SOULAS YANIS"/>
    <n v="10"/>
    <x v="1"/>
    <x v="2"/>
    <s v="PLAQUETTES"/>
    <x v="0"/>
    <n v="87"/>
  </r>
  <r>
    <d v="2025-07-10T06:08:16"/>
    <x v="4"/>
    <s v="Plaquettes de finition"/>
    <s v="170325"/>
    <s v="VERDELET BASTIEN"/>
    <n v="5"/>
    <x v="2"/>
    <x v="2"/>
    <s v="PLAQUETTES"/>
    <x v="1"/>
    <n v="47.8"/>
  </r>
  <r>
    <d v="2025-07-10T06:08:34"/>
    <x v="6"/>
    <s v="Plaquettes de finition positives"/>
    <s v="170325"/>
    <s v="VERDELET BASTIEN"/>
    <n v="10"/>
    <x v="3"/>
    <x v="2"/>
    <s v="PLAQUETTES"/>
    <x v="3"/>
    <n v="87"/>
  </r>
  <r>
    <d v="2025-07-10T06:08:53"/>
    <x v="2"/>
    <s v="Plaquettes d'ébauches rhombiques"/>
    <s v="170325"/>
    <s v="VERDELET BASTIEN"/>
    <n v="10"/>
    <x v="2"/>
    <x v="0"/>
    <s v="PLAQUETTES"/>
    <x v="1"/>
    <n v="70"/>
  </r>
  <r>
    <d v="2025-07-10T06:09:29"/>
    <x v="8"/>
    <s v="Plaquettes rhombiques"/>
    <s v="170325"/>
    <s v="VERDELET BASTIEN"/>
    <n v="5"/>
    <x v="2"/>
    <x v="2"/>
    <s v="PLAQUETTES"/>
    <x v="1"/>
    <n v="18.399999999999999"/>
  </r>
  <r>
    <d v="2025-07-10T06:36:48"/>
    <x v="6"/>
    <s v="Plaquettes de finition positives"/>
    <s v="u134838"/>
    <s v="DANAH STEPHANIE"/>
    <n v="10"/>
    <x v="1"/>
    <x v="2"/>
    <s v="PLAQUETTES"/>
    <x v="0"/>
    <n v="87"/>
  </r>
  <r>
    <d v="2025-10-02T07:42:28"/>
    <x v="1"/>
    <s v="Plaquettes d'ébauches carrées"/>
    <s v="u134838"/>
    <s v="DANAH STEPHANIE"/>
    <n v="10"/>
    <x v="0"/>
    <x v="0"/>
    <s v="PLAQUETTES"/>
    <x v="0"/>
    <n v="71.2"/>
  </r>
  <r>
    <d v="2025-07-10T06:37:27"/>
    <x v="2"/>
    <s v="Plaquettes d'ébauches rhombiques"/>
    <s v="u134838"/>
    <s v="DANAH STEPHANIE"/>
    <n v="10"/>
    <x v="1"/>
    <x v="0"/>
    <s v="PLAQUETTES"/>
    <x v="0"/>
    <n v="70"/>
  </r>
  <r>
    <d v="2025-10-03T12:39:13"/>
    <x v="1"/>
    <s v="Plaquettes d'ébauches carrées"/>
    <s v="U534565"/>
    <s v="HOAREAU MARIUS"/>
    <n v="10"/>
    <x v="0"/>
    <x v="1"/>
    <s v="PLAQUETTES"/>
    <x v="0"/>
    <n v="71.2"/>
  </r>
  <r>
    <d v="2025-07-10T13:47:28"/>
    <x v="2"/>
    <s v="Plaquettes d'ébauches rhombiques"/>
    <s v="SD13196"/>
    <s v="FRADIN MAXIME"/>
    <n v="10"/>
    <x v="1"/>
    <x v="1"/>
    <s v="PLAQUETTES"/>
    <x v="0"/>
    <n v="70"/>
  </r>
  <r>
    <d v="2025-07-10T13:47:47"/>
    <x v="1"/>
    <s v="Plaquettes d'ébauches carrées"/>
    <s v="SD13196"/>
    <s v="FRADIN MAXIME"/>
    <n v="10"/>
    <x v="1"/>
    <x v="0"/>
    <s v="PLAQUETTES"/>
    <x v="0"/>
    <n v="71.2"/>
  </r>
  <r>
    <d v="2025-07-10T13:47:59"/>
    <x v="1"/>
    <s v="Plaquettes d'ébauches carrées"/>
    <s v="SD13196"/>
    <s v="FRADIN MAXIME"/>
    <n v="10"/>
    <x v="1"/>
    <x v="1"/>
    <s v="PLAQUETTES"/>
    <x v="0"/>
    <n v="71.2"/>
  </r>
  <r>
    <d v="2025-07-10T13:48:14"/>
    <x v="6"/>
    <s v="Plaquettes de finition positives"/>
    <s v="SD13196"/>
    <s v="FRADIN MAXIME"/>
    <n v="10"/>
    <x v="1"/>
    <x v="2"/>
    <s v="PLAQUETTES"/>
    <x v="0"/>
    <n v="87"/>
  </r>
  <r>
    <d v="2025-07-10T13:59:30"/>
    <x v="2"/>
    <s v="Plaquettes d'ébauches rhombiques"/>
    <s v="100225"/>
    <s v="PRUNEAU WILLIAM"/>
    <n v="10"/>
    <x v="3"/>
    <x v="0"/>
    <s v="PLAQUETTES"/>
    <x v="3"/>
    <n v="70"/>
  </r>
  <r>
    <d v="2025-07-10T23:17:01"/>
    <x v="2"/>
    <s v="Plaquettes d'ébauches rhombiques"/>
    <s v="230525"/>
    <s v="SOULAS YANIS"/>
    <n v="10"/>
    <x v="1"/>
    <x v="1"/>
    <s v="PLAQUETTES"/>
    <x v="0"/>
    <n v="70"/>
  </r>
  <r>
    <d v="2025-10-05T05:33:39"/>
    <x v="1"/>
    <s v="Plaquettes d'ébauches carrées"/>
    <s v="U534565"/>
    <s v="HOAREAU MARIUS"/>
    <n v="10"/>
    <x v="0"/>
    <x v="1"/>
    <s v="PLAQUETTES"/>
    <x v="0"/>
    <n v="71.2"/>
  </r>
  <r>
    <d v="2025-10-06T21:15:47"/>
    <x v="1"/>
    <s v="Plaquettes d'ébauches carrées"/>
    <s v="230525"/>
    <s v="SOULAS YANIS"/>
    <n v="10"/>
    <x v="0"/>
    <x v="1"/>
    <s v="PLAQUETTES"/>
    <x v="0"/>
    <n v="71.2"/>
  </r>
  <r>
    <d v="2025-10-08T13:56:20"/>
    <x v="1"/>
    <s v="Plaquettes d'ébauches carrées"/>
    <s v="170325"/>
    <s v="VERDELET BASTIEN"/>
    <n v="10"/>
    <x v="0"/>
    <x v="0"/>
    <s v="PLAQUETTES"/>
    <x v="1"/>
    <n v="71.2"/>
  </r>
  <r>
    <d v="2025-07-11T03:32:58"/>
    <x v="6"/>
    <s v="Plaquettes de finition positives"/>
    <s v="230525"/>
    <s v="SOULAS YANIS"/>
    <n v="10"/>
    <x v="1"/>
    <x v="2"/>
    <s v="PLAQUETTES"/>
    <x v="0"/>
    <n v="87"/>
  </r>
  <r>
    <d v="2025-07-11T05:36:37"/>
    <x v="6"/>
    <s v="Plaquettes de finition positives"/>
    <s v="u518765"/>
    <s v="ROY ADELINE"/>
    <n v="10"/>
    <x v="3"/>
    <x v="2"/>
    <s v="PLAQUETTES"/>
    <x v="3"/>
    <n v="87"/>
  </r>
  <r>
    <d v="2025-07-11T05:37:00"/>
    <x v="2"/>
    <s v="Plaquettes d'ébauches rhombiques"/>
    <s v="u518765"/>
    <s v="ROY ADELINE"/>
    <n v="10"/>
    <x v="3"/>
    <x v="0"/>
    <s v="PLAQUETTES"/>
    <x v="0"/>
    <n v="70"/>
  </r>
  <r>
    <d v="2025-07-11T07:20:05"/>
    <x v="5"/>
    <s v="Plaquettes rondes"/>
    <s v="U534565"/>
    <s v="HOAREAU MARIUS"/>
    <n v="10"/>
    <x v="1"/>
    <x v="0"/>
    <s v="PLAQUETTES"/>
    <x v="0"/>
    <n v="108.5"/>
  </r>
  <r>
    <d v="2025-10-15T13:39:04"/>
    <x v="1"/>
    <s v="Plaquettes d'ébauches carrées"/>
    <s v="12824586"/>
    <s v="DA SILVA FERNANDO"/>
    <n v="10"/>
    <x v="0"/>
    <x v="1"/>
    <s v="PLAQUETTES"/>
    <x v="4"/>
    <n v="71.2"/>
  </r>
  <r>
    <d v="2025-07-11T07:24:45"/>
    <x v="4"/>
    <s v="Plaquettes de finition"/>
    <s v="u518765"/>
    <s v="ROY ADELINE"/>
    <n v="5"/>
    <x v="2"/>
    <x v="2"/>
    <s v="PLAQUETTES"/>
    <x v="1"/>
    <n v="47.8"/>
  </r>
  <r>
    <d v="2025-07-11T07:25:09"/>
    <x v="4"/>
    <s v="Plaquettes de finition"/>
    <s v="u518765"/>
    <s v="ROY ADELINE"/>
    <n v="5"/>
    <x v="2"/>
    <x v="2"/>
    <s v="PLAQUETTES"/>
    <x v="1"/>
    <n v="47.8"/>
  </r>
  <r>
    <d v="2025-07-11T07:25:32"/>
    <x v="8"/>
    <s v="Plaquettes rhombiques"/>
    <s v="u518765"/>
    <s v="ROY ADELINE"/>
    <n v="5"/>
    <x v="2"/>
    <x v="2"/>
    <s v="PLAQUETTES"/>
    <x v="1"/>
    <n v="18.399999999999999"/>
  </r>
  <r>
    <d v="2025-07-11T07:25:57"/>
    <x v="9"/>
    <s v="Plaquettes rhombiques"/>
    <s v="u518765"/>
    <s v="ROY ADELINE"/>
    <n v="5"/>
    <x v="2"/>
    <x v="2"/>
    <s v="PLAQUETTES"/>
    <x v="1"/>
    <n v="44.85"/>
  </r>
  <r>
    <d v="2025-07-11T07:26:22"/>
    <x v="11"/>
    <s v="Plaquettes de finition triangulaires"/>
    <s v="u518765"/>
    <s v="ROY ADELINE"/>
    <n v="10"/>
    <x v="2"/>
    <x v="2"/>
    <s v="PLAQUETTES"/>
    <x v="1"/>
    <n v="118.7"/>
  </r>
  <r>
    <d v="2025-10-15T16:19:49"/>
    <x v="1"/>
    <s v="Plaquettes d'ébauches carrées"/>
    <s v="sd13196"/>
    <s v="FRADIN MAXIME"/>
    <n v="10"/>
    <x v="0"/>
    <x v="1"/>
    <s v="PLAQUETTES"/>
    <x v="3"/>
    <n v="71.2"/>
  </r>
  <r>
    <d v="2025-10-18T05:14:43"/>
    <x v="1"/>
    <s v="Plaquettes d'ébauches carrées"/>
    <s v="U518765"/>
    <s v="ROY ADELINE"/>
    <n v="10"/>
    <x v="0"/>
    <x v="1"/>
    <s v="PLAQUETTES"/>
    <x v="1"/>
    <n v="71.2"/>
  </r>
  <r>
    <d v="2025-10-19T18:25:44"/>
    <x v="1"/>
    <s v="Plaquettes d'ébauches carrées"/>
    <s v="U054304"/>
    <s v="BOUACHIK HICHAM"/>
    <n v="10"/>
    <x v="0"/>
    <x v="0"/>
    <s v="PLAQUETTES"/>
    <x v="0"/>
    <n v="71.2"/>
  </r>
  <r>
    <d v="2025-10-22T05:35:01"/>
    <x v="1"/>
    <s v="Plaquettes d'ébauches carrées"/>
    <s v="SD13196"/>
    <s v="FRADIN MAXIME"/>
    <n v="10"/>
    <x v="0"/>
    <x v="1"/>
    <s v="PLAQUETTES"/>
    <x v="0"/>
    <n v="71.2"/>
  </r>
  <r>
    <d v="2025-07-11T14:01:28"/>
    <x v="7"/>
    <s v="Plaquettes de finition triangulaires"/>
    <s v="SD13196"/>
    <s v="FRADIN MAXIME"/>
    <n v="10"/>
    <x v="1"/>
    <x v="2"/>
    <s v="PLAQUETTES"/>
    <x v="0"/>
    <n v="138.80000000000001"/>
  </r>
  <r>
    <d v="2025-07-11T14:01:45"/>
    <x v="6"/>
    <s v="Plaquettes de finition positives"/>
    <s v="SD13196"/>
    <s v="FRADIN MAXIME"/>
    <n v="10"/>
    <x v="1"/>
    <x v="2"/>
    <s v="PLAQUETTES"/>
    <x v="0"/>
    <n v="87"/>
  </r>
  <r>
    <d v="2025-07-11T22:04:15"/>
    <x v="1"/>
    <s v="Plaquettes d'ébauches carrées"/>
    <s v="VERGE G"/>
    <s v="VERGE GREGORY"/>
    <n v="10"/>
    <x v="2"/>
    <x v="1"/>
    <s v="PLAQUETTES"/>
    <x v="1"/>
    <n v="71.2"/>
  </r>
  <r>
    <d v="2025-07-11T22:04:30"/>
    <x v="2"/>
    <s v="Plaquettes d'ébauches rhombiques"/>
    <s v="VERGE G"/>
    <s v="VERGE GREGORY"/>
    <n v="10"/>
    <x v="2"/>
    <x v="1"/>
    <s v="PLAQUETTES"/>
    <x v="1"/>
    <n v="70"/>
  </r>
  <r>
    <d v="2025-07-11T22:04:47"/>
    <x v="3"/>
    <s v="Plaquettes rondes"/>
    <s v="VERGE G"/>
    <s v="VERGE GREGORY"/>
    <n v="10"/>
    <x v="2"/>
    <x v="0"/>
    <s v="PLAQUETTES"/>
    <x v="1"/>
    <n v="136.69999999999999"/>
  </r>
  <r>
    <d v="2025-07-11T22:05:04"/>
    <x v="6"/>
    <s v="Plaquettes de finition positives"/>
    <s v="VERGE G"/>
    <s v="VERGE GREGORY"/>
    <n v="10"/>
    <x v="3"/>
    <x v="2"/>
    <s v="PLAQUETTES"/>
    <x v="0"/>
    <n v="87"/>
  </r>
  <r>
    <d v="2025-10-23T15:24:23"/>
    <x v="1"/>
    <s v="Plaquettes d'ébauches carrées"/>
    <s v="u134838"/>
    <s v="DANAH STEPHANIE"/>
    <n v="10"/>
    <x v="0"/>
    <x v="0"/>
    <s v="PLAQUETTES"/>
    <x v="1"/>
    <n v="71.2"/>
  </r>
  <r>
    <d v="2025-10-28T21:33:08"/>
    <x v="1"/>
    <s v="Plaquettes d'ébauches carrées"/>
    <s v="j519914"/>
    <s v="MARLY DAVID"/>
    <n v="10"/>
    <x v="0"/>
    <x v="0"/>
    <s v="PLAQUETTES"/>
    <x v="0"/>
    <n v="71.2"/>
  </r>
  <r>
    <d v="2025-07-11T23:01:42"/>
    <x v="2"/>
    <s v="Plaquettes d'ébauches rhombiques"/>
    <s v="230525"/>
    <s v="SOULAS YANIS"/>
    <n v="10"/>
    <x v="1"/>
    <x v="1"/>
    <s v="PLAQUETTES"/>
    <x v="0"/>
    <n v="70"/>
  </r>
  <r>
    <d v="2025-10-30T22:32:43"/>
    <x v="1"/>
    <s v="Plaquettes d'ébauches carrées"/>
    <s v="j519914"/>
    <s v="MARLY DAVID"/>
    <n v="10"/>
    <x v="0"/>
    <x v="0"/>
    <s v="PLAQUETTES"/>
    <x v="0"/>
    <n v="71.2"/>
  </r>
  <r>
    <d v="2025-11-04T23:49:13"/>
    <x v="1"/>
    <s v="Plaquettes d'ébauches carrées"/>
    <s v="j519914"/>
    <s v="MARLY DAVID"/>
    <n v="10"/>
    <x v="0"/>
    <x v="1"/>
    <s v="PLAQUETTES"/>
    <x v="1"/>
    <n v="71.2"/>
  </r>
  <r>
    <d v="2025-07-12T04:03:24"/>
    <x v="6"/>
    <s v="Plaquettes de finition positives"/>
    <s v="230525"/>
    <s v="SOULAS YANIS"/>
    <n v="10"/>
    <x v="1"/>
    <x v="2"/>
    <s v="PLAQUETTES"/>
    <x v="0"/>
    <n v="87"/>
  </r>
  <r>
    <d v="2025-11-05T16:13:30"/>
    <x v="1"/>
    <s v="Plaquettes d'ébauches carrées"/>
    <s v="u134838"/>
    <s v="DANAH STEPHANIE"/>
    <n v="10"/>
    <x v="0"/>
    <x v="0"/>
    <s v="PLAQUETTES"/>
    <x v="0"/>
    <n v="71.2"/>
  </r>
  <r>
    <d v="2025-07-12T15:33:55"/>
    <x v="2"/>
    <s v="Plaquettes d'ébauches rhombiques"/>
    <s v="u518765"/>
    <s v="ROY ADELINE"/>
    <n v="10"/>
    <x v="3"/>
    <x v="0"/>
    <s v="PLAQUETTES"/>
    <x v="3"/>
    <n v="70"/>
  </r>
  <r>
    <d v="2025-07-12T15:34:20"/>
    <x v="6"/>
    <s v="Plaquettes de finition positives"/>
    <s v="u518765"/>
    <s v="ROY ADELINE"/>
    <n v="10"/>
    <x v="3"/>
    <x v="2"/>
    <s v="PLAQUETTES"/>
    <x v="3"/>
    <n v="87"/>
  </r>
  <r>
    <d v="2025-07-12T15:34:43"/>
    <x v="4"/>
    <s v="Plaquettes de finition"/>
    <s v="u518765"/>
    <s v="ROY ADELINE"/>
    <n v="5"/>
    <x v="2"/>
    <x v="2"/>
    <s v="PLAQUETTES"/>
    <x v="1"/>
    <n v="47.8"/>
  </r>
  <r>
    <d v="2025-07-12T15:52:05"/>
    <x v="5"/>
    <s v="Plaquettes rondes"/>
    <s v="u518765"/>
    <s v="ROY ADELINE"/>
    <n v="10"/>
    <x v="3"/>
    <x v="0"/>
    <s v="PLAQUETTES"/>
    <x v="0"/>
    <n v="108.5"/>
  </r>
  <r>
    <d v="2025-11-06T05:42:22"/>
    <x v="1"/>
    <s v="Plaquettes d'ébauches carrées"/>
    <s v="sd13196"/>
    <s v="FRADIN MAXIME"/>
    <n v="10"/>
    <x v="0"/>
    <x v="1"/>
    <s v="PLAQUETTES"/>
    <x v="0"/>
    <n v="71.2"/>
  </r>
  <r>
    <d v="2025-07-12T17:27:10"/>
    <x v="2"/>
    <s v="Plaquettes d'ébauches rhombiques"/>
    <s v="U054304"/>
    <s v="BOUACHIK HICHAM"/>
    <n v="10"/>
    <x v="1"/>
    <x v="0"/>
    <s v="PLAQUETTES"/>
    <x v="0"/>
    <n v="70"/>
  </r>
  <r>
    <d v="2025-07-12T18:45:15"/>
    <x v="6"/>
    <s v="Plaquettes de finition positives"/>
    <s v="J534699"/>
    <s v="CHARTON FABIAN"/>
    <n v="10"/>
    <x v="3"/>
    <x v="2"/>
    <s v="PLAQUETTES"/>
    <x v="3"/>
    <n v="87"/>
  </r>
  <r>
    <d v="2025-07-12T18:45:40"/>
    <x v="6"/>
    <s v="Plaquettes de finition positives"/>
    <s v="J534699"/>
    <s v="CHARTON FABIAN"/>
    <n v="10"/>
    <x v="3"/>
    <x v="2"/>
    <s v="PLAQUETTES"/>
    <x v="0"/>
    <n v="87"/>
  </r>
  <r>
    <d v="2025-07-12T18:46:19"/>
    <x v="4"/>
    <s v="Plaquettes de finition"/>
    <s v="J534699"/>
    <s v="CHARTON FABIAN"/>
    <n v="5"/>
    <x v="2"/>
    <x v="2"/>
    <s v="PLAQUETTES"/>
    <x v="1"/>
    <n v="47.8"/>
  </r>
  <r>
    <d v="2025-11-14T02:37:13"/>
    <x v="1"/>
    <s v="Plaquettes d'ébauches carrées"/>
    <s v="j519914"/>
    <s v="MARLY DAVID"/>
    <n v="10"/>
    <x v="0"/>
    <x v="0"/>
    <s v="PLAQUETTES"/>
    <x v="0"/>
    <n v="71.2"/>
  </r>
  <r>
    <d v="2025-07-13T00:23:49"/>
    <x v="1"/>
    <s v="Plaquettes d'ébauches carrées"/>
    <s v="U054304"/>
    <s v="BOUACHIK HICHAM"/>
    <n v="10"/>
    <x v="1"/>
    <x v="0"/>
    <s v="PLAQUETTES"/>
    <x v="0"/>
    <n v="71.2"/>
  </r>
  <r>
    <d v="2025-11-18T05:33:38"/>
    <x v="1"/>
    <s v="Plaquettes d'ébauches carrées"/>
    <s v="sd13196"/>
    <s v="FRADIN MAXIME"/>
    <n v="10"/>
    <x v="0"/>
    <x v="0"/>
    <s v="PLAQUETTES"/>
    <x v="0"/>
    <n v="71.2"/>
  </r>
  <r>
    <d v="2025-07-13T08:05:18"/>
    <x v="2"/>
    <s v="Plaquettes d'ébauches rhombiques"/>
    <s v="U534565"/>
    <s v="HOAREAU MARIUS"/>
    <n v="10"/>
    <x v="1"/>
    <x v="0"/>
    <s v="PLAQUETTES"/>
    <x v="0"/>
    <n v="70"/>
  </r>
  <r>
    <d v="2025-11-19T13:53:52"/>
    <x v="1"/>
    <s v="Plaquettes d'ébauches carrées"/>
    <s v="u134838"/>
    <s v="DANAH STEPHANIE"/>
    <n v="10"/>
    <x v="0"/>
    <x v="0"/>
    <s v="PLAQUETTES"/>
    <x v="0"/>
    <n v="71.2"/>
  </r>
  <r>
    <d v="2025-11-20T07:01:28"/>
    <x v="1"/>
    <s v="Plaquettes d'ébauches carrées"/>
    <s v="sd13196"/>
    <s v="FRADIN MAXIME"/>
    <n v="10"/>
    <x v="0"/>
    <x v="0"/>
    <s v="PLAQUETTES"/>
    <x v="0"/>
    <n v="71.2"/>
  </r>
  <r>
    <d v="2025-11-25T18:32:03"/>
    <x v="1"/>
    <s v="Plaquettes d'ébauches carrées"/>
    <s v="sd13196"/>
    <s v="FRADIN MAXIME"/>
    <n v="10"/>
    <x v="0"/>
    <x v="1"/>
    <s v="PLAQUETTES"/>
    <x v="3"/>
    <n v="71.2"/>
  </r>
  <r>
    <d v="2025-11-26T13:32:44"/>
    <x v="1"/>
    <s v="Plaquettes d'ébauches carrées"/>
    <s v="u462308"/>
    <s v="MAITRE SEBASTIEN"/>
    <n v="10"/>
    <x v="0"/>
    <x v="1"/>
    <s v="PLAQUETTES"/>
    <x v="0"/>
    <n v="71.2"/>
  </r>
  <r>
    <d v="2025-11-29T05:17:10"/>
    <x v="1"/>
    <s v="Plaquettes d'ébauches carrées"/>
    <s v="j534699"/>
    <s v="CHARTON FABIAN"/>
    <n v="10"/>
    <x v="0"/>
    <x v="1"/>
    <s v="PLAQUETTES"/>
    <x v="1"/>
    <n v="71.2"/>
  </r>
  <r>
    <d v="2025-12-02T21:55:26"/>
    <x v="1"/>
    <s v="Plaquettes d'ébauches carrées"/>
    <s v="j519914"/>
    <s v="MARLY DAVID"/>
    <n v="10"/>
    <x v="0"/>
    <x v="1"/>
    <s v="PLAQUETTES"/>
    <x v="1"/>
    <n v="71.2"/>
  </r>
  <r>
    <d v="2025-12-03T06:34:37"/>
    <x v="1"/>
    <s v="Plaquettes d'ébauches carrées"/>
    <s v="sd13196"/>
    <s v="FRADIN MAXIME"/>
    <n v="10"/>
    <x v="0"/>
    <x v="0"/>
    <s v="PLAQUETTES"/>
    <x v="0"/>
    <n v="71.2"/>
  </r>
  <r>
    <d v="2025-07-14T05:32:49"/>
    <x v="1"/>
    <s v="Plaquettes d'ébauches carrées"/>
    <s v="SD13196"/>
    <s v="FRADIN MAXIME"/>
    <n v="10"/>
    <x v="1"/>
    <x v="0"/>
    <s v="PLAQUETTES"/>
    <x v="0"/>
    <n v="71.2"/>
  </r>
  <r>
    <d v="2025-07-14T05:33:13"/>
    <x v="5"/>
    <s v="Plaquettes rondes"/>
    <s v="SD13196"/>
    <s v="FRADIN MAXIME"/>
    <n v="10"/>
    <x v="1"/>
    <x v="0"/>
    <s v="PLAQUETTES"/>
    <x v="0"/>
    <n v="108.5"/>
  </r>
  <r>
    <d v="2025-12-08T06:44:03"/>
    <x v="1"/>
    <s v="Plaquettes d'ébauches carrées"/>
    <s v="04522ACAA77080"/>
    <s v="VILLALOBOS ANTHONY"/>
    <n v="10"/>
    <x v="0"/>
    <x v="0"/>
    <s v="PLAQUETTES"/>
    <x v="0"/>
    <n v="71.2"/>
  </r>
  <r>
    <d v="2025-07-14T05:33:53"/>
    <x v="6"/>
    <s v="Plaquettes de finition positives"/>
    <s v="SD13196"/>
    <s v="FRADIN MAXIME"/>
    <n v="10"/>
    <x v="1"/>
    <x v="2"/>
    <s v="PLAQUETTES"/>
    <x v="0"/>
    <n v="87"/>
  </r>
  <r>
    <d v="2025-12-10T05:31:21"/>
    <x v="1"/>
    <s v="Plaquettes d'ébauches carrées"/>
    <s v="04522ACAA77080"/>
    <s v="VILLALOBOS ANTHONY"/>
    <n v="10"/>
    <x v="0"/>
    <x v="0"/>
    <s v="PLAQUETTES"/>
    <x v="0"/>
    <n v="71.2"/>
  </r>
  <r>
    <d v="2025-12-17T13:43:37"/>
    <x v="1"/>
    <s v="Plaquettes d'ébauches carrées"/>
    <s v="u134838"/>
    <s v="DANAH STEPHANIE"/>
    <n v="10"/>
    <x v="0"/>
    <x v="0"/>
    <s v="PLAQUETTES"/>
    <x v="1"/>
    <n v="71.2"/>
  </r>
  <r>
    <d v="2025-07-14T06:04:07"/>
    <x v="8"/>
    <s v="Plaquettes rhombiques"/>
    <s v="SD13196"/>
    <s v="FRADIN MAXIME"/>
    <n v="5"/>
    <x v="2"/>
    <x v="2"/>
    <s v="PLAQUETTES"/>
    <x v="1"/>
    <n v="18.399999999999999"/>
  </r>
  <r>
    <d v="2025-01-02T14:21:16"/>
    <x v="2"/>
    <s v="Plaquettes d'ébauches rhombiques"/>
    <s v="SIEGEL F"/>
    <s v="SIEGEL FRANCK"/>
    <n v="10"/>
    <x v="0"/>
    <x v="1"/>
    <s v="PLAQUETTES"/>
    <x v="1"/>
    <n v="70"/>
  </r>
  <r>
    <d v="2025-01-03T15:46:43"/>
    <x v="2"/>
    <s v="Plaquettes d'ébauches rhombiques"/>
    <s v="SIEGEL F"/>
    <s v="SIEGEL FRANCK"/>
    <n v="10"/>
    <x v="0"/>
    <x v="1"/>
    <s v="PLAQUETTES"/>
    <x v="1"/>
    <n v="70"/>
  </r>
  <r>
    <d v="2025-07-14T13:10:16"/>
    <x v="6"/>
    <s v="Plaquettes de finition positives"/>
    <s v="230525"/>
    <s v="SOULAS YANIS"/>
    <n v="10"/>
    <x v="1"/>
    <x v="2"/>
    <s v="PLAQUETTES"/>
    <x v="0"/>
    <n v="87"/>
  </r>
  <r>
    <d v="2025-07-14T17:52:28"/>
    <x v="2"/>
    <s v="Plaquettes d'ébauches rhombiques"/>
    <s v="230525"/>
    <s v="SOULAS YANIS"/>
    <n v="10"/>
    <x v="1"/>
    <x v="0"/>
    <s v="PLAQUETTES"/>
    <x v="0"/>
    <n v="70"/>
  </r>
  <r>
    <d v="2025-01-05T18:59:57"/>
    <x v="2"/>
    <s v="Plaquettes d'ébauches rhombiques"/>
    <s v="U534565"/>
    <s v="HOAREAU MARIUS"/>
    <n v="10"/>
    <x v="0"/>
    <x v="1"/>
    <s v="PLAQUETTES"/>
    <x v="0"/>
    <n v="70"/>
  </r>
  <r>
    <d v="2025-07-14T22:07:10"/>
    <x v="6"/>
    <s v="Plaquettes de finition positives"/>
    <s v="170325"/>
    <s v="VERDELET BASTIEN"/>
    <n v="10"/>
    <x v="3"/>
    <x v="2"/>
    <s v="PLAQUETTES"/>
    <x v="3"/>
    <n v="87"/>
  </r>
  <r>
    <d v="2025-07-14T22:07:54"/>
    <x v="4"/>
    <s v="Plaquettes de finition"/>
    <s v="170325"/>
    <s v="VERDELET BASTIEN"/>
    <n v="5"/>
    <x v="2"/>
    <x v="2"/>
    <s v="PLAQUETTES"/>
    <x v="1"/>
    <n v="47.8"/>
  </r>
  <r>
    <d v="2025-07-15T13:23:54"/>
    <x v="2"/>
    <s v="Plaquettes d'ébauches rhombiques"/>
    <s v="VERGE G"/>
    <s v="VERGE GREGORY"/>
    <n v="10"/>
    <x v="2"/>
    <x v="1"/>
    <s v="PLAQUETTES"/>
    <x v="1"/>
    <n v="70"/>
  </r>
  <r>
    <d v="2025-07-15T13:24:19"/>
    <x v="1"/>
    <s v="Plaquettes d'ébauches carrées"/>
    <s v="VERGE G"/>
    <s v="VERGE GREGORY"/>
    <n v="10"/>
    <x v="2"/>
    <x v="1"/>
    <s v="PLAQUETTES"/>
    <x v="1"/>
    <n v="71.2"/>
  </r>
  <r>
    <d v="2025-07-15T13:24:32"/>
    <x v="4"/>
    <s v="Plaquettes de finition"/>
    <s v="VERGE G"/>
    <s v="VERGE GREGORY"/>
    <n v="5"/>
    <x v="2"/>
    <x v="2"/>
    <s v="PLAQUETTES"/>
    <x v="1"/>
    <n v="47.8"/>
  </r>
  <r>
    <d v="2025-07-15T13:24:47"/>
    <x v="8"/>
    <s v="Plaquettes rhombiques"/>
    <s v="VERGE G"/>
    <s v="VERGE GREGORY"/>
    <n v="5"/>
    <x v="2"/>
    <x v="2"/>
    <s v="PLAQUETTES"/>
    <x v="1"/>
    <n v="18.399999999999999"/>
  </r>
  <r>
    <d v="2025-01-06T05:42:44"/>
    <x v="2"/>
    <s v="Plaquettes d'ébauches rhombiques"/>
    <s v="SD13196"/>
    <s v="FRADIN MAXIME"/>
    <n v="20"/>
    <x v="0"/>
    <x v="1"/>
    <s v="PLAQUETTES"/>
    <x v="0"/>
    <n v="140"/>
  </r>
  <r>
    <d v="2025-01-07T05:36:43"/>
    <x v="2"/>
    <s v="Plaquettes d'ébauches rhombiques"/>
    <s v="SIEGEL F"/>
    <s v="SIEGEL FRANCK"/>
    <n v="10"/>
    <x v="0"/>
    <x v="1"/>
    <s v="PLAQUETTES"/>
    <x v="1"/>
    <n v="70"/>
  </r>
  <r>
    <d v="2025-07-15T14:09:30"/>
    <x v="6"/>
    <s v="Plaquettes de finition positives"/>
    <s v="230525"/>
    <s v="SOULAS YANIS"/>
    <n v="10"/>
    <x v="1"/>
    <x v="2"/>
    <s v="PLAQUETTES"/>
    <x v="0"/>
    <n v="87"/>
  </r>
  <r>
    <d v="2025-07-15T14:09:52"/>
    <x v="10"/>
    <s v="Plaquettes de finition"/>
    <s v="230525"/>
    <s v="SOULAS YANIS"/>
    <n v="10"/>
    <x v="1"/>
    <x v="2"/>
    <s v="PLAQUETTES"/>
    <x v="0"/>
    <n v="109.7"/>
  </r>
  <r>
    <d v="2025-01-10T02:11:10"/>
    <x v="2"/>
    <s v="Plaquettes d'ébauches rhombiques"/>
    <s v="U134838"/>
    <s v="DANAH STEPHANIE"/>
    <n v="10"/>
    <x v="0"/>
    <x v="1"/>
    <s v="PLAQUETTES"/>
    <x v="0"/>
    <n v="70"/>
  </r>
  <r>
    <d v="2025-01-10T13:15:48"/>
    <x v="2"/>
    <s v="Plaquettes d'ébauches rhombiques"/>
    <s v="080924"/>
    <s v="DABLEMONT AURELIEN"/>
    <n v="20"/>
    <x v="0"/>
    <x v="0"/>
    <s v="PLAQUETTES"/>
    <x v="1"/>
    <n v="140"/>
  </r>
  <r>
    <d v="2025-07-15T21:57:36"/>
    <x v="4"/>
    <s v="Plaquettes de finition"/>
    <s v="170325"/>
    <s v="VERDELET BASTIEN"/>
    <n v="5"/>
    <x v="2"/>
    <x v="2"/>
    <s v="PLAQUETTES"/>
    <x v="1"/>
    <n v="47.8"/>
  </r>
  <r>
    <d v="2025-07-15T21:57:54"/>
    <x v="8"/>
    <s v="Plaquettes rhombiques"/>
    <s v="170325"/>
    <s v="VERDELET BASTIEN"/>
    <n v="5"/>
    <x v="2"/>
    <x v="2"/>
    <s v="PLAQUETTES"/>
    <x v="1"/>
    <n v="18.399999999999999"/>
  </r>
  <r>
    <d v="2025-07-15T21:58:15"/>
    <x v="3"/>
    <s v="Plaquettes rondes"/>
    <s v="170325"/>
    <s v="VERDELET BASTIEN"/>
    <n v="10"/>
    <x v="2"/>
    <x v="0"/>
    <s v="PLAQUETTES"/>
    <x v="1"/>
    <n v="136.69999999999999"/>
  </r>
  <r>
    <d v="2025-07-15T21:58:43"/>
    <x v="2"/>
    <s v="Plaquettes d'ébauches rhombiques"/>
    <s v="170325"/>
    <s v="VERDELET BASTIEN"/>
    <n v="10"/>
    <x v="2"/>
    <x v="0"/>
    <s v="PLAQUETTES"/>
    <x v="1"/>
    <n v="70"/>
  </r>
  <r>
    <d v="2025-07-16T06:40:28"/>
    <x v="4"/>
    <s v="Plaquettes de finition"/>
    <s v="100225"/>
    <s v="PRUNEAU WILLIAM"/>
    <n v="5"/>
    <x v="2"/>
    <x v="2"/>
    <s v="PLAQUETTES"/>
    <x v="1"/>
    <n v="47.8"/>
  </r>
  <r>
    <d v="2025-07-16T08:50:57"/>
    <x v="5"/>
    <s v="Plaquettes rondes"/>
    <s v="12824586"/>
    <s v="DA SILVA FERNANDO"/>
    <n v="10"/>
    <x v="2"/>
    <x v="0"/>
    <s v="PLAQUETTES"/>
    <x v="4"/>
    <n v="108.5"/>
  </r>
  <r>
    <d v="2025-07-16T10:33:35"/>
    <x v="2"/>
    <s v="Plaquettes d'ébauches rhombiques"/>
    <s v="SD13196"/>
    <s v="FRADIN MAXIME"/>
    <n v="10"/>
    <x v="1"/>
    <x v="1"/>
    <s v="PLAQUETTES"/>
    <x v="0"/>
    <n v="70"/>
  </r>
  <r>
    <d v="2025-07-16T10:33:49"/>
    <x v="6"/>
    <s v="Plaquettes de finition positives"/>
    <s v="SD13196"/>
    <s v="FRADIN MAXIME"/>
    <n v="10"/>
    <x v="1"/>
    <x v="2"/>
    <s v="PLAQUETTES"/>
    <x v="0"/>
    <n v="87"/>
  </r>
  <r>
    <d v="2025-01-13T21:16:22"/>
    <x v="2"/>
    <s v="Plaquettes d'ébauches rhombiques"/>
    <s v="SIEGEL F"/>
    <s v="SIEGEL FRANCK"/>
    <n v="10"/>
    <x v="0"/>
    <x v="1"/>
    <s v="PLAQUETTES"/>
    <x v="1"/>
    <n v="70"/>
  </r>
  <r>
    <d v="2025-01-16T03:58:34"/>
    <x v="2"/>
    <s v="Plaquettes d'ébauches rhombiques"/>
    <s v="J609988"/>
    <s v="AMALRIC VINCENT"/>
    <n v="10"/>
    <x v="0"/>
    <x v="1"/>
    <s v="PLAQUETTES"/>
    <x v="0"/>
    <n v="70"/>
  </r>
  <r>
    <d v="2025-07-16T13:21:58"/>
    <x v="6"/>
    <s v="Plaquettes de finition positives"/>
    <s v="230525"/>
    <s v="SOULAS YANIS"/>
    <n v="10"/>
    <x v="1"/>
    <x v="2"/>
    <s v="PLAQUETTES"/>
    <x v="0"/>
    <n v="87"/>
  </r>
  <r>
    <d v="2025-01-16T13:39:31"/>
    <x v="2"/>
    <s v="Plaquettes d'ébauches rhombiques"/>
    <s v="U134838"/>
    <s v="DANAH STEPHANIE"/>
    <n v="10"/>
    <x v="0"/>
    <x v="2"/>
    <s v="PLAQUETTES"/>
    <x v="1"/>
    <n v="70"/>
  </r>
  <r>
    <d v="2025-01-16T21:06:34"/>
    <x v="2"/>
    <s v="Plaquettes d'ébauches rhombiques"/>
    <s v="SIEGEL F"/>
    <s v="SIEGEL FRANCK"/>
    <n v="10"/>
    <x v="0"/>
    <x v="0"/>
    <s v="PLAQUETTES"/>
    <x v="0"/>
    <n v="70"/>
  </r>
  <r>
    <d v="2025-01-16T21:06:54"/>
    <x v="2"/>
    <s v="Plaquettes d'ébauches rhombiques"/>
    <s v="SIEGEL F"/>
    <s v="SIEGEL FRANCK"/>
    <n v="10"/>
    <x v="0"/>
    <x v="1"/>
    <s v="PLAQUETTES"/>
    <x v="1"/>
    <n v="70"/>
  </r>
  <r>
    <d v="2025-07-16T21:21:07"/>
    <x v="6"/>
    <s v="Plaquettes de finition positives"/>
    <s v="u134838"/>
    <s v="DANAH STEPHANIE"/>
    <n v="10"/>
    <x v="1"/>
    <x v="2"/>
    <s v="PLAQUETTES"/>
    <x v="0"/>
    <n v="87"/>
  </r>
  <r>
    <d v="2025-01-21T09:19:37"/>
    <x v="2"/>
    <s v="Plaquettes d'ébauches rhombiques"/>
    <s v="U134838"/>
    <s v="DANAH STEPHANIE"/>
    <n v="10"/>
    <x v="0"/>
    <x v="1"/>
    <s v="PLAQUETTES"/>
    <x v="1"/>
    <n v="70"/>
  </r>
  <r>
    <d v="2025-07-16T21:21:52"/>
    <x v="2"/>
    <s v="Plaquettes d'ébauches rhombiques"/>
    <s v="u134838"/>
    <s v="DANAH STEPHANIE"/>
    <n v="10"/>
    <x v="1"/>
    <x v="0"/>
    <s v="PLAQUETTES"/>
    <x v="0"/>
    <n v="70"/>
  </r>
  <r>
    <d v="2025-07-17T06:08:48"/>
    <x v="6"/>
    <s v="Plaquettes de finition positives"/>
    <s v="100225"/>
    <s v="PRUNEAU WILLIAM"/>
    <n v="10"/>
    <x v="3"/>
    <x v="2"/>
    <s v="PLAQUETTES"/>
    <x v="3"/>
    <n v="87"/>
  </r>
  <r>
    <d v="2025-07-17T06:09:05"/>
    <x v="10"/>
    <s v="Plaquettes de finition"/>
    <s v="100225"/>
    <s v="PRUNEAU WILLIAM"/>
    <n v="10"/>
    <x v="3"/>
    <x v="2"/>
    <s v="PLAQUETTES"/>
    <x v="3"/>
    <n v="109.7"/>
  </r>
  <r>
    <d v="2025-07-17T06:09:24"/>
    <x v="7"/>
    <s v="Plaquettes de finition triangulaires"/>
    <s v="100225"/>
    <s v="PRUNEAU WILLIAM"/>
    <n v="10"/>
    <x v="3"/>
    <x v="2"/>
    <s v="PLAQUETTES"/>
    <x v="3"/>
    <n v="138.80000000000001"/>
  </r>
  <r>
    <d v="2025-07-17T14:05:09"/>
    <x v="2"/>
    <s v="Plaquettes d'ébauches rhombiques"/>
    <s v="VERGE G"/>
    <s v="VERGE GREGORY"/>
    <n v="10"/>
    <x v="3"/>
    <x v="1"/>
    <s v="PLAQUETTES"/>
    <x v="0"/>
    <n v="70"/>
  </r>
  <r>
    <d v="2025-07-17T14:05:30"/>
    <x v="1"/>
    <s v="Plaquettes d'ébauches carrées"/>
    <s v="VERGE G"/>
    <s v="VERGE GREGORY"/>
    <n v="10"/>
    <x v="2"/>
    <x v="1"/>
    <s v="PLAQUETTES"/>
    <x v="1"/>
    <n v="71.2"/>
  </r>
  <r>
    <d v="2025-01-21T17:03:04"/>
    <x v="2"/>
    <s v="Plaquettes d'ébauches rhombiques"/>
    <s v="SIEGEL F"/>
    <s v="SIEGEL FRANCK"/>
    <n v="10"/>
    <x v="0"/>
    <x v="1"/>
    <s v="PLAQUETTES"/>
    <x v="1"/>
    <n v="70"/>
  </r>
  <r>
    <d v="2025-01-23T22:53:38"/>
    <x v="2"/>
    <s v="Plaquettes d'ébauches rhombiques"/>
    <s v="080924"/>
    <s v="DABLEMONT AURELIEN"/>
    <n v="10"/>
    <x v="0"/>
    <x v="2"/>
    <s v="PLAQUETTES"/>
    <x v="1"/>
    <n v="70"/>
  </r>
  <r>
    <d v="2025-07-17T16:07:42"/>
    <x v="2"/>
    <s v="Plaquettes d'ébauches rhombiques"/>
    <s v="230525"/>
    <s v="SOULAS YANIS"/>
    <n v="10"/>
    <x v="1"/>
    <x v="1"/>
    <s v="PLAQUETTES"/>
    <x v="0"/>
    <n v="70"/>
  </r>
  <r>
    <d v="2025-07-17T16:07:56"/>
    <x v="6"/>
    <s v="Plaquettes de finition positives"/>
    <s v="230525"/>
    <s v="SOULAS YANIS"/>
    <n v="10"/>
    <x v="1"/>
    <x v="2"/>
    <s v="PLAQUETTES"/>
    <x v="0"/>
    <n v="87"/>
  </r>
  <r>
    <d v="2025-07-17T21:35:30"/>
    <x v="4"/>
    <s v="Plaquettes de finition"/>
    <s v="170325"/>
    <s v="VERDELET BASTIEN"/>
    <n v="5"/>
    <x v="2"/>
    <x v="2"/>
    <s v="PLAQUETTES"/>
    <x v="1"/>
    <n v="47.8"/>
  </r>
  <r>
    <d v="2025-07-17T21:35:43"/>
    <x v="8"/>
    <s v="Plaquettes rhombiques"/>
    <s v="170325"/>
    <s v="VERDELET BASTIEN"/>
    <n v="5"/>
    <x v="2"/>
    <x v="2"/>
    <s v="PLAQUETTES"/>
    <x v="1"/>
    <n v="18.399999999999999"/>
  </r>
  <r>
    <d v="2025-07-17T21:36:22"/>
    <x v="6"/>
    <s v="Plaquettes de finition positives"/>
    <s v="170325"/>
    <s v="VERDELET BASTIEN"/>
    <n v="10"/>
    <x v="3"/>
    <x v="2"/>
    <s v="PLAQUETTES"/>
    <x v="3"/>
    <n v="87"/>
  </r>
  <r>
    <d v="2025-07-17T21:36:43"/>
    <x v="2"/>
    <s v="Plaquettes d'ébauches rhombiques"/>
    <s v="170325"/>
    <s v="VERDELET BASTIEN"/>
    <n v="10"/>
    <x v="3"/>
    <x v="0"/>
    <s v="PLAQUETTES"/>
    <x v="3"/>
    <n v="70"/>
  </r>
  <r>
    <d v="2025-07-18T05:14:53"/>
    <x v="6"/>
    <s v="Plaquettes de finition positives"/>
    <s v="U054304"/>
    <s v="BOUACHIK HICHAM"/>
    <n v="10"/>
    <x v="1"/>
    <x v="2"/>
    <s v="PLAQUETTES"/>
    <x v="0"/>
    <n v="87"/>
  </r>
  <r>
    <d v="2025-07-18T07:09:27"/>
    <x v="5"/>
    <s v="Plaquettes rondes"/>
    <s v="U054304"/>
    <s v="BOUACHIK HICHAM"/>
    <n v="10"/>
    <x v="1"/>
    <x v="0"/>
    <s v="PLAQUETTES"/>
    <x v="0"/>
    <n v="108.5"/>
  </r>
  <r>
    <d v="2025-01-24T13:02:12"/>
    <x v="2"/>
    <s v="Plaquettes d'ébauches rhombiques"/>
    <s v="SIEGEL F"/>
    <s v="SIEGEL FRANCK"/>
    <n v="20"/>
    <x v="0"/>
    <x v="1"/>
    <s v="PLAQUETTES"/>
    <x v="1"/>
    <n v="140"/>
  </r>
  <r>
    <d v="2025-01-27T06:44:54"/>
    <x v="2"/>
    <s v="Plaquettes d'ébauches rhombiques"/>
    <s v="J519914"/>
    <s v="MARLY DAVID"/>
    <n v="10"/>
    <x v="0"/>
    <x v="0"/>
    <s v="PLAQUETTES"/>
    <x v="0"/>
    <n v="70"/>
  </r>
  <r>
    <d v="2025-07-18T10:07:06"/>
    <x v="4"/>
    <s v="Plaquettes de finition"/>
    <s v="U198152"/>
    <s v="AJMIK MUSTAPHA"/>
    <n v="5"/>
    <x v="2"/>
    <x v="2"/>
    <s v="PLAQUETTES"/>
    <x v="1"/>
    <n v="47.8"/>
  </r>
  <r>
    <d v="2025-07-18T10:07:21"/>
    <x v="6"/>
    <s v="Plaquettes de finition positives"/>
    <s v="U198152"/>
    <s v="AJMIK MUSTAPHA"/>
    <n v="10"/>
    <x v="3"/>
    <x v="2"/>
    <s v="PLAQUETTES"/>
    <x v="3"/>
    <n v="87"/>
  </r>
  <r>
    <d v="2025-07-18T10:07:45"/>
    <x v="5"/>
    <s v="Plaquettes rondes"/>
    <s v="U198152"/>
    <s v="AJMIK MUSTAPHA"/>
    <n v="10"/>
    <x v="3"/>
    <x v="0"/>
    <s v="PLAQUETTES"/>
    <x v="3"/>
    <n v="108.5"/>
  </r>
  <r>
    <d v="2025-07-18T13:01:02"/>
    <x v="2"/>
    <s v="Plaquettes d'ébauches rhombiques"/>
    <s v="VERGE G"/>
    <s v="VERGE GREGORY"/>
    <n v="10"/>
    <x v="2"/>
    <x v="1"/>
    <s v="PLAQUETTES"/>
    <x v="1"/>
    <n v="70"/>
  </r>
  <r>
    <d v="2025-07-18T13:01:18"/>
    <x v="2"/>
    <s v="Plaquettes d'ébauches rhombiques"/>
    <s v="VERGE G"/>
    <s v="VERGE GREGORY"/>
    <n v="10"/>
    <x v="2"/>
    <x v="1"/>
    <s v="PLAQUETTES"/>
    <x v="1"/>
    <n v="70"/>
  </r>
  <r>
    <d v="2025-01-28T14:53:04"/>
    <x v="2"/>
    <s v="Plaquettes d'ébauches rhombiques"/>
    <s v="080924"/>
    <s v="DABLEMONT AURELIEN"/>
    <n v="10"/>
    <x v="0"/>
    <x v="2"/>
    <s v="PLAQUETTES"/>
    <x v="1"/>
    <n v="70"/>
  </r>
  <r>
    <d v="2025-01-29T05:00:45"/>
    <x v="2"/>
    <s v="Plaquettes d'ébauches rhombiques"/>
    <s v="SIEGEL F"/>
    <s v="SIEGEL FRANCK"/>
    <n v="10"/>
    <x v="0"/>
    <x v="1"/>
    <s v="PLAQUETTES"/>
    <x v="1"/>
    <n v="70"/>
  </r>
  <r>
    <d v="2025-01-30T03:49:57"/>
    <x v="2"/>
    <s v="Plaquettes d'ébauches rhombiques"/>
    <s v="100125"/>
    <s v="MEUNIER Louis"/>
    <n v="10"/>
    <x v="0"/>
    <x v="2"/>
    <s v="PLAQUETTES"/>
    <x v="1"/>
    <n v="70"/>
  </r>
  <r>
    <d v="2025-07-18T13:20:31"/>
    <x v="10"/>
    <s v="Plaquettes de finition"/>
    <s v="230525"/>
    <s v="SOULAS YANIS"/>
    <n v="10"/>
    <x v="1"/>
    <x v="2"/>
    <s v="PLAQUETTES"/>
    <x v="0"/>
    <n v="109.7"/>
  </r>
  <r>
    <d v="2025-07-18T21:16:54"/>
    <x v="3"/>
    <s v="Plaquettes rondes"/>
    <s v="170325"/>
    <s v="VERDELET BASTIEN"/>
    <n v="10"/>
    <x v="2"/>
    <x v="0"/>
    <s v="PLAQUETTES"/>
    <x v="1"/>
    <n v="136.69999999999999"/>
  </r>
  <r>
    <d v="2025-07-18T22:49:06"/>
    <x v="6"/>
    <s v="Plaquettes de finition positives"/>
    <s v="u134838"/>
    <s v="DANAH STEPHANIE"/>
    <n v="10"/>
    <x v="1"/>
    <x v="2"/>
    <s v="PLAQUETTES"/>
    <x v="0"/>
    <n v="87"/>
  </r>
  <r>
    <d v="2025-07-18T22:49:29"/>
    <x v="2"/>
    <s v="Plaquettes d'ébauches rhombiques"/>
    <s v="u134838"/>
    <s v="DANAH STEPHANIE"/>
    <n v="10"/>
    <x v="1"/>
    <x v="0"/>
    <s v="PLAQUETTES"/>
    <x v="0"/>
    <n v="70"/>
  </r>
  <r>
    <d v="2025-07-19T10:06:29"/>
    <x v="4"/>
    <s v="Plaquettes de finition"/>
    <s v="U198152"/>
    <s v="AJMIK MUSTAPHA"/>
    <n v="5"/>
    <x v="2"/>
    <x v="2"/>
    <s v="PLAQUETTES"/>
    <x v="1"/>
    <n v="47.8"/>
  </r>
  <r>
    <d v="2025-07-19T10:06:42"/>
    <x v="8"/>
    <s v="Plaquettes rhombiques"/>
    <s v="U198152"/>
    <s v="AJMIK MUSTAPHA"/>
    <n v="5"/>
    <x v="2"/>
    <x v="2"/>
    <s v="PLAQUETTES"/>
    <x v="1"/>
    <n v="18.399999999999999"/>
  </r>
  <r>
    <d v="2025-07-19T10:07:05"/>
    <x v="2"/>
    <s v="Plaquettes d'ébauches rhombiques"/>
    <s v="U198152"/>
    <s v="AJMIK MUSTAPHA"/>
    <n v="10"/>
    <x v="2"/>
    <x v="0"/>
    <s v="PLAQUETTES"/>
    <x v="1"/>
    <n v="70"/>
  </r>
  <r>
    <d v="2025-01-30T05:54:32"/>
    <x v="2"/>
    <s v="Plaquettes d'ébauches rhombiques"/>
    <s v="J519914"/>
    <s v="MARLY DAVID"/>
    <n v="10"/>
    <x v="0"/>
    <x v="1"/>
    <s v="PLAQUETTES"/>
    <x v="1"/>
    <n v="70"/>
  </r>
  <r>
    <d v="2025-07-19T11:14:58"/>
    <x v="6"/>
    <s v="Plaquettes de finition positives"/>
    <s v="U054304"/>
    <s v="BOUACHIK HICHAM"/>
    <n v="10"/>
    <x v="1"/>
    <x v="2"/>
    <s v="PLAQUETTES"/>
    <x v="0"/>
    <n v="87"/>
  </r>
  <r>
    <d v="2025-07-19T17:44:42"/>
    <x v="4"/>
    <s v="Plaquettes de finition"/>
    <s v="J534699"/>
    <s v="CHARTON FABIAN"/>
    <n v="5"/>
    <x v="2"/>
    <x v="2"/>
    <s v="PLAQUETTES"/>
    <x v="1"/>
    <n v="47.8"/>
  </r>
  <r>
    <d v="2025-07-19T17:45:03"/>
    <x v="9"/>
    <s v="Plaquettes rhombiques"/>
    <s v="J534699"/>
    <s v="CHARTON FABIAN"/>
    <n v="5"/>
    <x v="2"/>
    <x v="2"/>
    <s v="PLAQUETTES"/>
    <x v="1"/>
    <n v="44.85"/>
  </r>
  <r>
    <d v="2025-07-19T17:45:27"/>
    <x v="6"/>
    <s v="Plaquettes de finition positives"/>
    <s v="J534699"/>
    <s v="CHARTON FABIAN"/>
    <n v="10"/>
    <x v="3"/>
    <x v="2"/>
    <s v="PLAQUETTES"/>
    <x v="3"/>
    <n v="87"/>
  </r>
  <r>
    <d v="2025-07-19T19:48:58"/>
    <x v="6"/>
    <s v="Plaquettes de finition positives"/>
    <s v="U534565"/>
    <s v="HOAREAU MARIUS"/>
    <n v="10"/>
    <x v="1"/>
    <x v="2"/>
    <s v="PLAQUETTES"/>
    <x v="0"/>
    <n v="87"/>
  </r>
  <r>
    <d v="2025-01-31T14:40:49"/>
    <x v="2"/>
    <s v="Plaquettes d'ébauches rhombiques"/>
    <s v="SE05926"/>
    <s v="ALVES ARTHUR"/>
    <n v="10"/>
    <x v="0"/>
    <x v="1"/>
    <s v="PLAQUETTES"/>
    <x v="0"/>
    <n v="70"/>
  </r>
  <r>
    <d v="2025-01-31T21:40:40"/>
    <x v="2"/>
    <s v="Plaquettes d'ébauches rhombiques"/>
    <s v="U134838"/>
    <s v="DANAH STEPHANIE"/>
    <n v="10"/>
    <x v="0"/>
    <x v="2"/>
    <s v="PLAQUETTES"/>
    <x v="1"/>
    <n v="70"/>
  </r>
  <r>
    <d v="2025-07-19T20:39:02"/>
    <x v="1"/>
    <s v="Plaquettes d'ébauches carrées"/>
    <s v="U534565"/>
    <s v="HOAREAU MARIUS"/>
    <n v="10"/>
    <x v="1"/>
    <x v="0"/>
    <s v="PLAQUETTES"/>
    <x v="0"/>
    <n v="71.2"/>
  </r>
  <r>
    <d v="2025-07-20T02:57:43"/>
    <x v="5"/>
    <s v="Plaquettes rondes"/>
    <s v="U534565"/>
    <s v="HOAREAU MARIUS"/>
    <n v="10"/>
    <x v="1"/>
    <x v="0"/>
    <s v="PLAQUETTES"/>
    <x v="0"/>
    <n v="108.5"/>
  </r>
  <r>
    <d v="2025-02-03T06:21:36"/>
    <x v="2"/>
    <s v="Plaquettes d'ébauches rhombiques"/>
    <s v="080924"/>
    <s v="DABLEMONT AURELIEN"/>
    <n v="10"/>
    <x v="0"/>
    <x v="2"/>
    <s v="PLAQUETTES"/>
    <x v="1"/>
    <n v="70"/>
  </r>
  <r>
    <d v="2025-07-20T07:57:37"/>
    <x v="6"/>
    <s v="Plaquettes de finition positives"/>
    <s v="U054304"/>
    <s v="BOUACHIK HICHAM"/>
    <n v="10"/>
    <x v="1"/>
    <x v="2"/>
    <s v="PLAQUETTES"/>
    <x v="0"/>
    <n v="87"/>
  </r>
  <r>
    <d v="2025-07-20T13:25:28"/>
    <x v="5"/>
    <s v="Plaquettes rondes"/>
    <s v="U198152"/>
    <s v="AJMIK MUSTAPHA"/>
    <n v="10"/>
    <x v="2"/>
    <x v="0"/>
    <s v="PLAQUETTES"/>
    <x v="1"/>
    <n v="108.5"/>
  </r>
  <r>
    <d v="2025-07-20T13:25:48"/>
    <x v="3"/>
    <s v="Plaquettes rondes"/>
    <s v="U198152"/>
    <s v="AJMIK MUSTAPHA"/>
    <n v="10"/>
    <x v="2"/>
    <x v="0"/>
    <s v="PLAQUETTES"/>
    <x v="1"/>
    <n v="136.69999999999999"/>
  </r>
  <r>
    <d v="2025-07-20T13:26:09"/>
    <x v="2"/>
    <s v="Plaquettes d'ébauches rhombiques"/>
    <s v="U198152"/>
    <s v="AJMIK MUSTAPHA"/>
    <n v="10"/>
    <x v="2"/>
    <x v="0"/>
    <s v="PLAQUETTES"/>
    <x v="1"/>
    <n v="70"/>
  </r>
  <r>
    <d v="2025-07-20T13:26:26"/>
    <x v="1"/>
    <s v="Plaquettes d'ébauches carrées"/>
    <s v="U198152"/>
    <s v="AJMIK MUSTAPHA"/>
    <n v="10"/>
    <x v="2"/>
    <x v="0"/>
    <s v="PLAQUETTES"/>
    <x v="1"/>
    <n v="71.2"/>
  </r>
  <r>
    <d v="2025-07-20T13:26:47"/>
    <x v="4"/>
    <s v="Plaquettes de finition"/>
    <s v="U198152"/>
    <s v="AJMIK MUSTAPHA"/>
    <n v="5"/>
    <x v="2"/>
    <x v="2"/>
    <s v="PLAQUETTES"/>
    <x v="1"/>
    <n v="47.8"/>
  </r>
  <r>
    <d v="2025-07-20T13:27:04"/>
    <x v="4"/>
    <s v="Plaquettes de finition"/>
    <s v="U198152"/>
    <s v="AJMIK MUSTAPHA"/>
    <n v="5"/>
    <x v="2"/>
    <x v="2"/>
    <s v="PLAQUETTES"/>
    <x v="1"/>
    <n v="47.8"/>
  </r>
  <r>
    <d v="2025-07-20T13:27:23"/>
    <x v="11"/>
    <s v="Plaquettes de finition triangulaires"/>
    <s v="U198152"/>
    <s v="AJMIK MUSTAPHA"/>
    <n v="10"/>
    <x v="2"/>
    <x v="2"/>
    <s v="PLAQUETTES"/>
    <x v="1"/>
    <n v="118.7"/>
  </r>
  <r>
    <d v="2025-07-20T13:27:41"/>
    <x v="6"/>
    <s v="Plaquettes de finition positives"/>
    <s v="U198152"/>
    <s v="AJMIK MUSTAPHA"/>
    <n v="10"/>
    <x v="3"/>
    <x v="2"/>
    <s v="PLAQUETTES"/>
    <x v="3"/>
    <n v="87"/>
  </r>
  <r>
    <d v="2025-07-20T17:38:39"/>
    <x v="8"/>
    <s v="Plaquettes rhombiques"/>
    <s v="U534565"/>
    <s v="HOAREAU MARIUS"/>
    <n v="5"/>
    <x v="2"/>
    <x v="2"/>
    <s v="PLAQUETTES"/>
    <x v="1"/>
    <n v="18.399999999999999"/>
  </r>
  <r>
    <d v="2025-02-03T21:24:54"/>
    <x v="2"/>
    <s v="Plaquettes d'ébauches rhombiques"/>
    <s v="SIEGEL F"/>
    <s v="SIEGEL FRANCK"/>
    <n v="20"/>
    <x v="0"/>
    <x v="1"/>
    <s v="PLAQUETTES"/>
    <x v="1"/>
    <n v="140"/>
  </r>
  <r>
    <d v="2025-07-20T17:39:28"/>
    <x v="6"/>
    <s v="Plaquettes de finition positives"/>
    <s v="U534565"/>
    <s v="HOAREAU MARIUS"/>
    <n v="10"/>
    <x v="1"/>
    <x v="2"/>
    <s v="PLAQUETTES"/>
    <x v="0"/>
    <n v="87"/>
  </r>
  <r>
    <d v="2025-02-04T20:17:12"/>
    <x v="2"/>
    <s v="Plaquettes d'ébauches rhombiques"/>
    <s v="100125"/>
    <s v="MEUNIER Louis"/>
    <n v="10"/>
    <x v="0"/>
    <x v="0"/>
    <s v="PLAQUETTES"/>
    <x v="1"/>
    <n v="70"/>
  </r>
  <r>
    <d v="2025-02-05T08:58:16"/>
    <x v="2"/>
    <s v="Plaquettes d'ébauches rhombiques"/>
    <s v="080924"/>
    <s v="DABLEMONT AURELIEN"/>
    <n v="10"/>
    <x v="0"/>
    <x v="2"/>
    <s v="PLAQUETTES"/>
    <x v="1"/>
    <n v="70"/>
  </r>
  <r>
    <d v="2025-07-21T05:37:50"/>
    <x v="10"/>
    <s v="Plaquettes de finition"/>
    <s v="230525"/>
    <s v="SOULAS YANIS"/>
    <n v="10"/>
    <x v="1"/>
    <x v="2"/>
    <s v="PLAQUETTES"/>
    <x v="0"/>
    <n v="109.7"/>
  </r>
  <r>
    <d v="2025-07-21T05:38:07"/>
    <x v="2"/>
    <s v="Plaquettes d'ébauches rhombiques"/>
    <s v="230525"/>
    <s v="SOULAS YANIS"/>
    <n v="10"/>
    <x v="1"/>
    <x v="1"/>
    <s v="PLAQUETTES"/>
    <x v="0"/>
    <n v="70"/>
  </r>
  <r>
    <d v="2025-07-21T05:38:21"/>
    <x v="1"/>
    <s v="Plaquettes d'ébauches carrées"/>
    <s v="230525"/>
    <s v="SOULAS YANIS"/>
    <n v="10"/>
    <x v="1"/>
    <x v="1"/>
    <s v="PLAQUETTES"/>
    <x v="0"/>
    <n v="71.2"/>
  </r>
  <r>
    <d v="2025-02-05T21:16:16"/>
    <x v="2"/>
    <s v="Plaquettes d'ébauches rhombiques"/>
    <s v="SIEGEL F"/>
    <s v="SIEGEL FRANCK"/>
    <n v="20"/>
    <x v="0"/>
    <x v="1"/>
    <s v="PLAQUETTES"/>
    <x v="1"/>
    <n v="140"/>
  </r>
  <r>
    <d v="2025-07-21T13:02:08"/>
    <x v="4"/>
    <s v="Plaquettes de finition"/>
    <s v="170325"/>
    <s v="VERDELET BASTIEN"/>
    <n v="5"/>
    <x v="2"/>
    <x v="2"/>
    <s v="PLAQUETTES"/>
    <x v="1"/>
    <n v="47.8"/>
  </r>
  <r>
    <d v="2025-07-21T14:36:11"/>
    <x v="6"/>
    <s v="Plaquettes de finition positives"/>
    <s v="u134838"/>
    <s v="DANAH STEPHANIE"/>
    <n v="10"/>
    <x v="1"/>
    <x v="2"/>
    <s v="PLAQUETTES"/>
    <x v="0"/>
    <n v="87"/>
  </r>
  <r>
    <d v="2025-02-06T10:15:22"/>
    <x v="2"/>
    <s v="Plaquettes d'ébauches rhombiques"/>
    <s v="1234SECOURS"/>
    <s v="SECOURS"/>
    <n v="40"/>
    <x v="0"/>
    <x v="1"/>
    <s v="PLAQUETTES"/>
    <x v="3"/>
    <n v="280"/>
  </r>
  <r>
    <d v="2025-02-06T10:15:51"/>
    <x v="2"/>
    <s v="Plaquettes d'ébauches rhombiques"/>
    <s v="1234SECOURS"/>
    <s v="SECOURS"/>
    <n v="-40"/>
    <x v="0"/>
    <x v="1"/>
    <s v="PLAQUETTES"/>
    <x v="3"/>
    <n v="-280"/>
  </r>
  <r>
    <d v="2025-07-21T14:37:20"/>
    <x v="2"/>
    <s v="Plaquettes d'ébauches rhombiques"/>
    <s v="u134838"/>
    <s v="DANAH STEPHANIE"/>
    <n v="10"/>
    <x v="1"/>
    <x v="0"/>
    <s v="PLAQUETTES"/>
    <x v="0"/>
    <n v="70"/>
  </r>
  <r>
    <d v="2025-07-21T14:37:40"/>
    <x v="1"/>
    <s v="Plaquettes d'ébauches carrées"/>
    <s v="u134838"/>
    <s v="DANAH STEPHANIE"/>
    <n v="10"/>
    <x v="1"/>
    <x v="0"/>
    <s v="PLAQUETTES"/>
    <x v="0"/>
    <n v="71.2"/>
  </r>
  <r>
    <d v="2025-02-08T14:57:01"/>
    <x v="2"/>
    <s v="Plaquettes d'ébauches rhombiques"/>
    <s v="P910513"/>
    <s v="IMBERT MICKAEL"/>
    <n v="10"/>
    <x v="0"/>
    <x v="1"/>
    <s v="PLAQUETTES"/>
    <x v="1"/>
    <n v="70"/>
  </r>
  <r>
    <d v="2025-07-22T00:33:18"/>
    <x v="2"/>
    <s v="Plaquettes d'ébauches rhombiques"/>
    <s v="j519914"/>
    <s v="MARLY DAVID"/>
    <n v="10"/>
    <x v="1"/>
    <x v="1"/>
    <s v="PLAQUETTES"/>
    <x v="0"/>
    <n v="70"/>
  </r>
  <r>
    <d v="2025-07-22T00:33:55"/>
    <x v="1"/>
    <s v="Plaquettes d'ébauches carrées"/>
    <s v="j519914"/>
    <s v="MARLY DAVID"/>
    <n v="10"/>
    <x v="1"/>
    <x v="0"/>
    <s v="PLAQUETTES"/>
    <x v="0"/>
    <n v="71.2"/>
  </r>
  <r>
    <d v="2025-07-22T02:50:00"/>
    <x v="2"/>
    <s v="Plaquettes d'ébauches rhombiques"/>
    <s v="j519914"/>
    <s v="MARLY DAVID"/>
    <n v="10"/>
    <x v="1"/>
    <x v="0"/>
    <s v="PLAQUETTES"/>
    <x v="0"/>
    <n v="70"/>
  </r>
  <r>
    <d v="2025-02-08T14:57:34"/>
    <x v="2"/>
    <s v="Plaquettes d'ébauches rhombiques"/>
    <s v="P910513"/>
    <s v="IMBERT MICKAEL"/>
    <n v="20"/>
    <x v="0"/>
    <x v="1"/>
    <s v="PLAQUETTES"/>
    <x v="1"/>
    <n v="140"/>
  </r>
  <r>
    <d v="2025-07-22T06:35:35"/>
    <x v="1"/>
    <s v="Plaquettes d'ébauches carrées"/>
    <s v="230525"/>
    <s v="SOULAS YANIS"/>
    <n v="10"/>
    <x v="1"/>
    <x v="0"/>
    <s v="PLAQUETTES"/>
    <x v="0"/>
    <n v="71.2"/>
  </r>
  <r>
    <d v="2025-07-22T06:35:53"/>
    <x v="6"/>
    <s v="Plaquettes de finition positives"/>
    <s v="230525"/>
    <s v="SOULAS YANIS"/>
    <n v="10"/>
    <x v="1"/>
    <x v="2"/>
    <s v="PLAQUETTES"/>
    <x v="0"/>
    <n v="87"/>
  </r>
  <r>
    <d v="2025-07-22T13:11:32"/>
    <x v="10"/>
    <s v="Plaquettes de finition"/>
    <s v="u134838"/>
    <s v="DANAH STEPHANIE"/>
    <n v="10"/>
    <x v="1"/>
    <x v="2"/>
    <s v="PLAQUETTES"/>
    <x v="0"/>
    <n v="109.7"/>
  </r>
  <r>
    <d v="2025-02-10T13:04:15"/>
    <x v="2"/>
    <s v="Plaquettes d'ébauches rhombiques"/>
    <s v="SIEGEL F"/>
    <s v="SIEGEL FRANCK"/>
    <n v="20"/>
    <x v="0"/>
    <x v="1"/>
    <s v="PLAQUETTES"/>
    <x v="1"/>
    <n v="140"/>
  </r>
  <r>
    <d v="2025-07-22T13:12:19"/>
    <x v="6"/>
    <s v="Plaquettes de finition positives"/>
    <s v="u134838"/>
    <s v="DANAH STEPHANIE"/>
    <n v="10"/>
    <x v="1"/>
    <x v="2"/>
    <s v="PLAQUETTES"/>
    <x v="0"/>
    <n v="87"/>
  </r>
  <r>
    <d v="2025-02-11T13:06:52"/>
    <x v="2"/>
    <s v="Plaquettes d'ébauches rhombiques"/>
    <s v="SIEGEL F"/>
    <s v="SIEGEL FRANCK"/>
    <n v="10"/>
    <x v="0"/>
    <x v="1"/>
    <s v="PLAQUETTES"/>
    <x v="1"/>
    <n v="70"/>
  </r>
  <r>
    <d v="2025-02-11T18:32:45"/>
    <x v="2"/>
    <s v="Plaquettes d'ébauches rhombiques"/>
    <s v="SIEGEL F"/>
    <s v="SIEGEL FRANCK"/>
    <n v="10"/>
    <x v="0"/>
    <x v="1"/>
    <s v="PLAQUETTES"/>
    <x v="1"/>
    <n v="70"/>
  </r>
  <r>
    <d v="2025-02-12T05:52:44"/>
    <x v="2"/>
    <s v="Plaquettes d'ébauches rhombiques"/>
    <s v="U134838"/>
    <s v="DANAH STEPHANIE"/>
    <n v="10"/>
    <x v="0"/>
    <x v="2"/>
    <s v="PLAQUETTES"/>
    <x v="1"/>
    <n v="70"/>
  </r>
  <r>
    <d v="2025-07-22T19:15:21"/>
    <x v="4"/>
    <s v="Plaquettes de finition"/>
    <s v="170325"/>
    <s v="VERDELET BASTIEN"/>
    <n v="5"/>
    <x v="2"/>
    <x v="2"/>
    <s v="PLAQUETTES"/>
    <x v="1"/>
    <n v="47.8"/>
  </r>
  <r>
    <d v="2025-07-22T19:15:38"/>
    <x v="2"/>
    <s v="Plaquettes d'ébauches rhombiques"/>
    <s v="170325"/>
    <s v="VERDELET BASTIEN"/>
    <n v="10"/>
    <x v="3"/>
    <x v="0"/>
    <s v="PLAQUETTES"/>
    <x v="3"/>
    <n v="70"/>
  </r>
  <r>
    <d v="2025-07-22T21:11:46"/>
    <x v="6"/>
    <s v="Plaquettes de finition positives"/>
    <s v="100225"/>
    <s v="PRUNEAU WILLIAM"/>
    <n v="10"/>
    <x v="3"/>
    <x v="2"/>
    <s v="PLAQUETTES"/>
    <x v="3"/>
    <n v="87"/>
  </r>
  <r>
    <d v="2025-02-13T00:15:25"/>
    <x v="2"/>
    <s v="Plaquettes d'ébauches rhombiques"/>
    <s v="080924"/>
    <s v="DABLEMONT AURELIEN"/>
    <n v="10"/>
    <x v="0"/>
    <x v="1"/>
    <s v="PLAQUETTES"/>
    <x v="1"/>
    <n v="70"/>
  </r>
  <r>
    <d v="2025-07-22T21:24:50"/>
    <x v="1"/>
    <s v="Plaquettes d'ébauches carrées"/>
    <s v="j519914"/>
    <s v="MARLY DAVID"/>
    <n v="10"/>
    <x v="1"/>
    <x v="0"/>
    <s v="PLAQUETTES"/>
    <x v="0"/>
    <n v="71.2"/>
  </r>
  <r>
    <d v="2025-07-22T21:25:19"/>
    <x v="6"/>
    <s v="Plaquettes de finition positives"/>
    <s v="j519914"/>
    <s v="MARLY DAVID"/>
    <n v="10"/>
    <x v="1"/>
    <x v="2"/>
    <s v="PLAQUETTES"/>
    <x v="0"/>
    <n v="87"/>
  </r>
  <r>
    <d v="2025-02-13T06:23:45"/>
    <x v="2"/>
    <s v="Plaquettes d'ébauches rhombiques"/>
    <s v="100125"/>
    <s v="MEUNIER Louis"/>
    <n v="10"/>
    <x v="0"/>
    <x v="0"/>
    <s v="PLAQUETTES"/>
    <x v="1"/>
    <n v="70"/>
  </r>
  <r>
    <d v="2025-07-23T03:09:07"/>
    <x v="2"/>
    <s v="Plaquettes d'ébauches rhombiques"/>
    <s v="j519914"/>
    <s v="MARLY DAVID"/>
    <n v="10"/>
    <x v="1"/>
    <x v="0"/>
    <s v="PLAQUETTES"/>
    <x v="0"/>
    <n v="70"/>
  </r>
  <r>
    <d v="2025-02-13T13:08:59"/>
    <x v="2"/>
    <s v="Plaquettes d'ébauches rhombiques"/>
    <s v="SIEGEL F"/>
    <s v="SIEGEL FRANCK"/>
    <n v="10"/>
    <x v="0"/>
    <x v="1"/>
    <s v="PLAQUETTES"/>
    <x v="1"/>
    <n v="70"/>
  </r>
  <r>
    <d v="2025-02-14T16:53:27"/>
    <x v="2"/>
    <s v="Plaquettes d'ébauches rhombiques"/>
    <s v="SD13196"/>
    <s v="FRADIN MAXIME"/>
    <n v="10"/>
    <x v="0"/>
    <x v="0"/>
    <s v="PLAQUETTES"/>
    <x v="1"/>
    <n v="70"/>
  </r>
  <r>
    <d v="2025-07-23T06:47:15"/>
    <x v="2"/>
    <s v="Plaquettes d'ébauches rhombiques"/>
    <s v="VERGE G"/>
    <s v="VERGE GREGORY"/>
    <n v="10"/>
    <x v="2"/>
    <x v="1"/>
    <s v="PLAQUETTES"/>
    <x v="1"/>
    <n v="70"/>
  </r>
  <r>
    <d v="2025-07-23T06:47:31"/>
    <x v="2"/>
    <s v="Plaquettes d'ébauches rhombiques"/>
    <s v="VERGE G"/>
    <s v="VERGE GREGORY"/>
    <n v="10"/>
    <x v="2"/>
    <x v="1"/>
    <s v="PLAQUETTES"/>
    <x v="1"/>
    <n v="70"/>
  </r>
  <r>
    <d v="2025-07-23T06:47:44"/>
    <x v="4"/>
    <s v="Plaquettes de finition"/>
    <s v="VERGE G"/>
    <s v="VERGE GREGORY"/>
    <n v="5"/>
    <x v="2"/>
    <x v="2"/>
    <s v="PLAQUETTES"/>
    <x v="1"/>
    <n v="47.8"/>
  </r>
  <r>
    <d v="2025-07-23T06:47:56"/>
    <x v="8"/>
    <s v="Plaquettes rhombiques"/>
    <s v="VERGE G"/>
    <s v="VERGE GREGORY"/>
    <n v="5"/>
    <x v="2"/>
    <x v="2"/>
    <s v="PLAQUETTES"/>
    <x v="1"/>
    <n v="18.399999999999999"/>
  </r>
  <r>
    <d v="2025-07-23T13:57:24"/>
    <x v="6"/>
    <s v="Plaquettes de finition positives"/>
    <s v="u134838"/>
    <s v="DANAH STEPHANIE"/>
    <n v="10"/>
    <x v="1"/>
    <x v="2"/>
    <s v="PLAQUETTES"/>
    <x v="0"/>
    <n v="87"/>
  </r>
  <r>
    <d v="2025-02-14T21:29:54"/>
    <x v="2"/>
    <s v="Plaquettes d'ébauches rhombiques"/>
    <s v="080924"/>
    <s v="DABLEMONT AURELIEN"/>
    <n v="10"/>
    <x v="0"/>
    <x v="2"/>
    <s v="PLAQUETTES"/>
    <x v="1"/>
    <n v="70"/>
  </r>
  <r>
    <d v="2025-07-23T13:58:02"/>
    <x v="5"/>
    <s v="Plaquettes rondes"/>
    <s v="u134838"/>
    <s v="DANAH STEPHANIE"/>
    <n v="10"/>
    <x v="1"/>
    <x v="0"/>
    <s v="PLAQUETTES"/>
    <x v="0"/>
    <n v="108.5"/>
  </r>
  <r>
    <d v="2025-02-15T14:55:05"/>
    <x v="2"/>
    <s v="Plaquettes d'ébauches rhombiques"/>
    <s v="U534565"/>
    <s v="HOAREAU MARIUS"/>
    <n v="10"/>
    <x v="0"/>
    <x v="1"/>
    <s v="PLAQUETTES"/>
    <x v="1"/>
    <n v="70"/>
  </r>
  <r>
    <d v="2025-07-23T19:31:38"/>
    <x v="2"/>
    <s v="Plaquettes d'ébauches rhombiques"/>
    <s v="170325"/>
    <s v="VERDELET BASTIEN"/>
    <n v="10"/>
    <x v="2"/>
    <x v="0"/>
    <s v="PLAQUETTES"/>
    <x v="1"/>
    <n v="70"/>
  </r>
  <r>
    <d v="2025-07-23T21:12:54"/>
    <x v="2"/>
    <s v="Plaquettes d'ébauches rhombiques"/>
    <s v="100225"/>
    <s v="PRUNEAU WILLIAM"/>
    <n v="10"/>
    <x v="3"/>
    <x v="0"/>
    <s v="PLAQUETTES"/>
    <x v="0"/>
    <n v="70"/>
  </r>
  <r>
    <d v="2025-07-23T21:13:17"/>
    <x v="4"/>
    <s v="Plaquettes de finition"/>
    <s v="100225"/>
    <s v="PRUNEAU WILLIAM"/>
    <n v="5"/>
    <x v="2"/>
    <x v="2"/>
    <s v="PLAQUETTES"/>
    <x v="1"/>
    <n v="47.8"/>
  </r>
  <r>
    <d v="2025-07-23T21:22:12"/>
    <x v="1"/>
    <s v="Plaquettes d'ébauches carrées"/>
    <s v="j519914"/>
    <s v="MARLY DAVID"/>
    <n v="10"/>
    <x v="1"/>
    <x v="0"/>
    <s v="PLAQUETTES"/>
    <x v="0"/>
    <n v="71.2"/>
  </r>
  <r>
    <d v="2025-07-23T21:22:54"/>
    <x v="1"/>
    <s v="Plaquettes d'ébauches carrées"/>
    <s v="j519914"/>
    <s v="MARLY DAVID"/>
    <n v="10"/>
    <x v="1"/>
    <x v="0"/>
    <s v="PLAQUETTES"/>
    <x v="0"/>
    <n v="71.2"/>
  </r>
  <r>
    <d v="2025-02-17T05:03:37"/>
    <x v="2"/>
    <s v="Plaquettes d'ébauches rhombiques"/>
    <s v="SIEGEL F"/>
    <s v="SIEGEL FRANCK"/>
    <n v="10"/>
    <x v="0"/>
    <x v="1"/>
    <s v="PLAQUETTES"/>
    <x v="1"/>
    <n v="70"/>
  </r>
  <r>
    <d v="2025-07-23T21:23:52"/>
    <x v="2"/>
    <s v="Plaquettes d'ébauches rhombiques"/>
    <s v="j519914"/>
    <s v="MARLY DAVID"/>
    <n v="10"/>
    <x v="1"/>
    <x v="0"/>
    <s v="PLAQUETTES"/>
    <x v="0"/>
    <n v="70"/>
  </r>
  <r>
    <d v="2025-02-17T05:05:21"/>
    <x v="2"/>
    <s v="Plaquettes d'ébauches rhombiques"/>
    <s v="SIEGEL F"/>
    <s v="SIEGEL FRANCK"/>
    <n v="10"/>
    <x v="0"/>
    <x v="2"/>
    <s v="PLAQUETTES"/>
    <x v="1"/>
    <n v="70"/>
  </r>
  <r>
    <d v="2025-02-18T14:03:11"/>
    <x v="2"/>
    <s v="Plaquettes d'ébauches rhombiques"/>
    <s v="080924"/>
    <s v="DABLEMONT AURELIEN"/>
    <n v="10"/>
    <x v="0"/>
    <x v="1"/>
    <s v="PLAQUETTES"/>
    <x v="1"/>
    <n v="70"/>
  </r>
  <r>
    <d v="2025-07-23T23:56:00"/>
    <x v="2"/>
    <s v="Plaquettes d'ébauches rhombiques"/>
    <s v="j519914"/>
    <s v="MARLY DAVID"/>
    <n v="10"/>
    <x v="1"/>
    <x v="0"/>
    <s v="PLAQUETTES"/>
    <x v="0"/>
    <n v="70"/>
  </r>
  <r>
    <d v="2025-02-19T06:06:01"/>
    <x v="2"/>
    <s v="Plaquettes d'ébauches rhombiques"/>
    <s v="SIEGEL F"/>
    <s v="SIEGEL FRANCK"/>
    <n v="10"/>
    <x v="0"/>
    <x v="1"/>
    <s v="PLAQUETTES"/>
    <x v="1"/>
    <n v="70"/>
  </r>
  <r>
    <d v="2025-07-24T11:54:47"/>
    <x v="6"/>
    <s v="Plaquettes de finition positives"/>
    <s v="230525"/>
    <s v="SOULAS YANIS"/>
    <n v="10"/>
    <x v="1"/>
    <x v="2"/>
    <s v="PLAQUETTES"/>
    <x v="0"/>
    <n v="87"/>
  </r>
  <r>
    <d v="2025-07-24T17:39:38"/>
    <x v="5"/>
    <s v="Plaquettes rondes"/>
    <s v="u134838"/>
    <s v="DANAH STEPHANIE"/>
    <n v="10"/>
    <x v="1"/>
    <x v="0"/>
    <s v="PLAQUETTES"/>
    <x v="0"/>
    <n v="108.5"/>
  </r>
  <r>
    <d v="2025-02-19T06:08:05"/>
    <x v="2"/>
    <s v="Plaquettes d'ébauches rhombiques"/>
    <s v="SIEGEL F"/>
    <s v="SIEGEL FRANCK"/>
    <n v="10"/>
    <x v="0"/>
    <x v="2"/>
    <s v="PLAQUETTES"/>
    <x v="1"/>
    <n v="70"/>
  </r>
  <r>
    <d v="2025-02-19T16:02:05"/>
    <x v="2"/>
    <s v="Plaquettes d'ébauches rhombiques"/>
    <s v="080924"/>
    <s v="DABLEMONT AURELIEN"/>
    <n v="10"/>
    <x v="0"/>
    <x v="1"/>
    <s v="PLAQUETTES"/>
    <x v="1"/>
    <n v="70"/>
  </r>
  <r>
    <d v="2025-02-20T13:33:31"/>
    <x v="2"/>
    <s v="Plaquettes d'ébauches rhombiques"/>
    <s v="080924"/>
    <s v="DABLEMONT AURELIEN"/>
    <n v="10"/>
    <x v="0"/>
    <x v="1"/>
    <s v="PLAQUETTES"/>
    <x v="0"/>
    <n v="70"/>
  </r>
  <r>
    <d v="2025-02-21T13:28:21"/>
    <x v="2"/>
    <s v="Plaquettes d'ébauches rhombiques"/>
    <s v="080924"/>
    <s v="DABLEMONT AURELIEN"/>
    <n v="10"/>
    <x v="0"/>
    <x v="1"/>
    <s v="PLAQUETTES"/>
    <x v="0"/>
    <n v="70"/>
  </r>
  <r>
    <d v="2025-02-21T13:29:12"/>
    <x v="2"/>
    <s v="Plaquettes d'ébauches rhombiques"/>
    <s v="080924"/>
    <s v="DABLEMONT AURELIEN"/>
    <n v="10"/>
    <x v="0"/>
    <x v="1"/>
    <s v="PLAQUETTES"/>
    <x v="0"/>
    <n v="70"/>
  </r>
  <r>
    <d v="2025-07-25T01:48:02"/>
    <x v="6"/>
    <s v="Plaquettes de finition positives"/>
    <s v="SD13196"/>
    <s v="FRADIN MAXIME"/>
    <n v="10"/>
    <x v="3"/>
    <x v="2"/>
    <s v="PLAQUETTES"/>
    <x v="0"/>
    <n v="87"/>
  </r>
  <r>
    <d v="2025-07-25T05:37:26"/>
    <x v="10"/>
    <s v="Plaquettes de finition"/>
    <s v="U534565"/>
    <s v="HOAREAU MARIUS"/>
    <n v="10"/>
    <x v="3"/>
    <x v="2"/>
    <s v="PLAQUETTES"/>
    <x v="0"/>
    <n v="109.7"/>
  </r>
  <r>
    <d v="2025-07-25T05:37:41"/>
    <x v="7"/>
    <s v="Plaquettes de finition triangulaires"/>
    <s v="U534565"/>
    <s v="HOAREAU MARIUS"/>
    <n v="10"/>
    <x v="3"/>
    <x v="2"/>
    <s v="PLAQUETTES"/>
    <x v="0"/>
    <n v="138.80000000000001"/>
  </r>
  <r>
    <d v="2025-07-25T05:38:01"/>
    <x v="6"/>
    <s v="Plaquettes de finition positives"/>
    <s v="U534565"/>
    <s v="HOAREAU MARIUS"/>
    <n v="10"/>
    <x v="3"/>
    <x v="2"/>
    <s v="PLAQUETTES"/>
    <x v="0"/>
    <n v="87"/>
  </r>
  <r>
    <d v="2025-02-22T18:46:23"/>
    <x v="2"/>
    <s v="Plaquettes d'ébauches rhombiques"/>
    <s v="J519914"/>
    <s v="MARLY DAVID"/>
    <n v="10"/>
    <x v="0"/>
    <x v="1"/>
    <s v="PLAQUETTES"/>
    <x v="0"/>
    <n v="70"/>
  </r>
  <r>
    <d v="2025-02-23T07:51:29"/>
    <x v="2"/>
    <s v="Plaquettes d'ébauches rhombiques"/>
    <s v="U518765"/>
    <s v="ROY ADELINE"/>
    <n v="10"/>
    <x v="0"/>
    <x v="0"/>
    <s v="PLAQUETTES"/>
    <x v="0"/>
    <n v="70"/>
  </r>
  <r>
    <d v="2025-07-25T12:44:48"/>
    <x v="6"/>
    <s v="Plaquettes de finition positives"/>
    <s v="U518765"/>
    <s v="ROY ADELINE"/>
    <n v="10"/>
    <x v="1"/>
    <x v="2"/>
    <s v="PLAQUETTES"/>
    <x v="0"/>
    <n v="87"/>
  </r>
  <r>
    <d v="2025-07-25T13:26:14"/>
    <x v="6"/>
    <s v="Plaquettes de finition positives"/>
    <s v="170325"/>
    <s v="VERDELET BASTIEN"/>
    <n v="10"/>
    <x v="3"/>
    <x v="2"/>
    <s v="PLAQUETTES"/>
    <x v="0"/>
    <n v="87"/>
  </r>
  <r>
    <d v="2025-07-25T13:26:32"/>
    <x v="2"/>
    <s v="Plaquettes d'ébauches rhombiques"/>
    <s v="170325"/>
    <s v="VERDELET BASTIEN"/>
    <n v="10"/>
    <x v="3"/>
    <x v="0"/>
    <s v="PLAQUETTES"/>
    <x v="0"/>
    <n v="70"/>
  </r>
  <r>
    <d v="2025-07-25T19:35:46"/>
    <x v="6"/>
    <s v="Plaquettes de finition positives"/>
    <s v="u134838"/>
    <s v="DANAH STEPHANIE"/>
    <n v="10"/>
    <x v="1"/>
    <x v="2"/>
    <s v="PLAQUETTES"/>
    <x v="0"/>
    <n v="87"/>
  </r>
  <r>
    <d v="2025-02-24T18:27:02"/>
    <x v="2"/>
    <s v="Plaquettes d'ébauches rhombiques"/>
    <s v="u134838"/>
    <s v="DANAH STEPHANIE"/>
    <n v="10"/>
    <x v="0"/>
    <x v="2"/>
    <s v="PLAQUETTES"/>
    <x v="1"/>
    <n v="70"/>
  </r>
  <r>
    <d v="2025-07-25T19:36:57"/>
    <x v="2"/>
    <s v="Plaquettes d'ébauches rhombiques"/>
    <s v="u134838"/>
    <s v="DANAH STEPHANIE"/>
    <n v="10"/>
    <x v="1"/>
    <x v="0"/>
    <s v="PLAQUETTES"/>
    <x v="0"/>
    <n v="70"/>
  </r>
  <r>
    <d v="2025-07-26T01:03:51"/>
    <x v="6"/>
    <s v="Plaquettes de finition positives"/>
    <s v="j519914"/>
    <s v="MARLY DAVID"/>
    <n v="10"/>
    <x v="1"/>
    <x v="2"/>
    <s v="PLAQUETTES"/>
    <x v="0"/>
    <n v="87"/>
  </r>
  <r>
    <d v="2025-02-24T21:11:33"/>
    <x v="2"/>
    <s v="Plaquettes d'ébauches rhombiques"/>
    <s v="SIEGEL F"/>
    <s v="SIEGEL FRANCK"/>
    <n v="10"/>
    <x v="0"/>
    <x v="1"/>
    <s v="PLAQUETTES"/>
    <x v="1"/>
    <n v="70"/>
  </r>
  <r>
    <d v="2025-07-26T05:21:32"/>
    <x v="6"/>
    <s v="Plaquettes de finition positives"/>
    <s v="U534565"/>
    <s v="HOAREAU MARIUS"/>
    <n v="10"/>
    <x v="3"/>
    <x v="2"/>
    <s v="PLAQUETTES"/>
    <x v="0"/>
    <n v="87"/>
  </r>
  <r>
    <d v="2025-07-26T05:21:49"/>
    <x v="1"/>
    <s v="Plaquettes d'ébauches carrées"/>
    <s v="U534565"/>
    <s v="HOAREAU MARIUS"/>
    <n v="10"/>
    <x v="3"/>
    <x v="0"/>
    <s v="PLAQUETTES"/>
    <x v="0"/>
    <n v="71.2"/>
  </r>
  <r>
    <d v="2025-07-26T06:24:30"/>
    <x v="2"/>
    <s v="Plaquettes d'ébauches rhombiques"/>
    <s v="U534565"/>
    <s v="HOAREAU MARIUS"/>
    <n v="10"/>
    <x v="3"/>
    <x v="0"/>
    <s v="PLAQUETTES"/>
    <x v="0"/>
    <n v="70"/>
  </r>
  <r>
    <d v="2025-07-26T16:52:36"/>
    <x v="5"/>
    <s v="Plaquettes rondes"/>
    <s v="U054304"/>
    <s v="BOUACHIK HICHAM"/>
    <n v="10"/>
    <x v="1"/>
    <x v="0"/>
    <s v="PLAQUETTES"/>
    <x v="0"/>
    <n v="108.5"/>
  </r>
  <r>
    <d v="2025-07-26T16:52:52"/>
    <x v="2"/>
    <s v="Plaquettes d'ébauches rhombiques"/>
    <s v="U054304"/>
    <s v="BOUACHIK HICHAM"/>
    <n v="10"/>
    <x v="1"/>
    <x v="0"/>
    <s v="PLAQUETTES"/>
    <x v="0"/>
    <n v="70"/>
  </r>
  <r>
    <d v="2025-02-26T05:35:54"/>
    <x v="2"/>
    <s v="Plaquettes d'ébauches rhombiques"/>
    <s v="080924"/>
    <s v="DABLEMONT AURELIEN"/>
    <n v="10"/>
    <x v="0"/>
    <x v="1"/>
    <s v="PLAQUETTES"/>
    <x v="1"/>
    <n v="70"/>
  </r>
  <r>
    <d v="2025-07-26T22:20:23"/>
    <x v="4"/>
    <s v="Plaquettes de finition"/>
    <s v="U198152"/>
    <s v="AJMIK MUSTAPHA"/>
    <n v="5"/>
    <x v="2"/>
    <x v="2"/>
    <s v="PLAQUETTES"/>
    <x v="1"/>
    <n v="47.8"/>
  </r>
  <r>
    <d v="2025-07-26T22:20:45"/>
    <x v="8"/>
    <s v="Plaquettes rhombiques"/>
    <s v="U198152"/>
    <s v="AJMIK MUSTAPHA"/>
    <n v="5"/>
    <x v="2"/>
    <x v="2"/>
    <s v="PLAQUETTES"/>
    <x v="1"/>
    <n v="18.399999999999999"/>
  </r>
  <r>
    <d v="2025-07-26T22:21:03"/>
    <x v="9"/>
    <s v="Plaquettes rhombiques"/>
    <s v="U198152"/>
    <s v="AJMIK MUSTAPHA"/>
    <n v="5"/>
    <x v="2"/>
    <x v="2"/>
    <s v="PLAQUETTES"/>
    <x v="1"/>
    <n v="44.85"/>
  </r>
  <r>
    <d v="2025-07-26T22:21:24"/>
    <x v="11"/>
    <s v="Plaquettes de finition triangulaires"/>
    <s v="U198152"/>
    <s v="AJMIK MUSTAPHA"/>
    <n v="10"/>
    <x v="2"/>
    <x v="2"/>
    <s v="PLAQUETTES"/>
    <x v="1"/>
    <n v="118.7"/>
  </r>
  <r>
    <d v="2025-07-26T22:21:46"/>
    <x v="6"/>
    <s v="Plaquettes de finition positives"/>
    <s v="U198152"/>
    <s v="AJMIK MUSTAPHA"/>
    <n v="10"/>
    <x v="3"/>
    <x v="2"/>
    <s v="PLAQUETTES"/>
    <x v="0"/>
    <n v="87"/>
  </r>
  <r>
    <d v="2025-07-26T22:22:07"/>
    <x v="1"/>
    <s v="Plaquettes d'ébauches carrées"/>
    <s v="U198152"/>
    <s v="AJMIK MUSTAPHA"/>
    <n v="10"/>
    <x v="3"/>
    <x v="0"/>
    <s v="PLAQUETTES"/>
    <x v="0"/>
    <n v="71.2"/>
  </r>
  <r>
    <d v="2025-07-26T22:22:23"/>
    <x v="3"/>
    <s v="Plaquettes rondes"/>
    <s v="U198152"/>
    <s v="AJMIK MUSTAPHA"/>
    <n v="10"/>
    <x v="2"/>
    <x v="0"/>
    <s v="PLAQUETTES"/>
    <x v="1"/>
    <n v="136.69999999999999"/>
  </r>
  <r>
    <d v="2025-07-26T22:22:41"/>
    <x v="2"/>
    <s v="Plaquettes d'ébauches rhombiques"/>
    <s v="U198152"/>
    <s v="AJMIK MUSTAPHA"/>
    <n v="10"/>
    <x v="3"/>
    <x v="0"/>
    <s v="PLAQUETTES"/>
    <x v="0"/>
    <n v="70"/>
  </r>
  <r>
    <d v="2025-07-27T08:53:18"/>
    <x v="6"/>
    <s v="Plaquettes de finition positives"/>
    <s v="U080365"/>
    <s v="ALAVOINE SAMUEL"/>
    <n v="10"/>
    <x v="3"/>
    <x v="2"/>
    <s v="PLAQUETTES"/>
    <x v="0"/>
    <n v="87"/>
  </r>
  <r>
    <d v="2025-07-27T08:53:36"/>
    <x v="6"/>
    <s v="Plaquettes de finition positives"/>
    <s v="U080365"/>
    <s v="ALAVOINE SAMUEL"/>
    <n v="10"/>
    <x v="3"/>
    <x v="2"/>
    <s v="PLAQUETTES"/>
    <x v="0"/>
    <n v="87"/>
  </r>
  <r>
    <d v="2025-07-27T08:54:00"/>
    <x v="4"/>
    <s v="Plaquettes de finition"/>
    <s v="U080365"/>
    <s v="ALAVOINE SAMUEL"/>
    <n v="5"/>
    <x v="2"/>
    <x v="2"/>
    <s v="PLAQUETTES"/>
    <x v="1"/>
    <n v="47.8"/>
  </r>
  <r>
    <d v="2025-07-27T08:54:33"/>
    <x v="8"/>
    <s v="Plaquettes rhombiques"/>
    <s v="U080365"/>
    <s v="ALAVOINE SAMUEL"/>
    <n v="5"/>
    <x v="2"/>
    <x v="2"/>
    <s v="PLAQUETTES"/>
    <x v="1"/>
    <n v="18.399999999999999"/>
  </r>
  <r>
    <d v="2025-07-27T08:55:03"/>
    <x v="11"/>
    <s v="Plaquettes de finition triangulaires"/>
    <s v="U080365"/>
    <s v="ALAVOINE SAMUEL"/>
    <n v="10"/>
    <x v="2"/>
    <x v="2"/>
    <s v="PLAQUETTES"/>
    <x v="1"/>
    <n v="118.7"/>
  </r>
  <r>
    <d v="2025-07-27T08:55:22"/>
    <x v="3"/>
    <s v="Plaquettes rondes"/>
    <s v="U080365"/>
    <s v="ALAVOINE SAMUEL"/>
    <n v="10"/>
    <x v="2"/>
    <x v="0"/>
    <s v="PLAQUETTES"/>
    <x v="1"/>
    <n v="136.69999999999999"/>
  </r>
  <r>
    <d v="2025-07-27T08:55:40"/>
    <x v="5"/>
    <s v="Plaquettes rondes"/>
    <s v="U080365"/>
    <s v="ALAVOINE SAMUEL"/>
    <n v="10"/>
    <x v="2"/>
    <x v="0"/>
    <s v="PLAQUETTES"/>
    <x v="1"/>
    <n v="108.5"/>
  </r>
  <r>
    <d v="2025-07-27T08:56:03"/>
    <x v="2"/>
    <s v="Plaquettes d'ébauches rhombiques"/>
    <s v="U080365"/>
    <s v="ALAVOINE SAMUEL"/>
    <n v="10"/>
    <x v="2"/>
    <x v="0"/>
    <s v="PLAQUETTES"/>
    <x v="1"/>
    <n v="70"/>
  </r>
  <r>
    <d v="2025-07-27T08:56:31"/>
    <x v="1"/>
    <s v="Plaquettes d'ébauches carrées"/>
    <s v="U080365"/>
    <s v="ALAVOINE SAMUEL"/>
    <n v="10"/>
    <x v="3"/>
    <x v="1"/>
    <s v="PLAQUETTES"/>
    <x v="0"/>
    <n v="71.2"/>
  </r>
  <r>
    <d v="2025-02-26T21:16:30"/>
    <x v="2"/>
    <s v="Plaquettes d'ébauches rhombiques"/>
    <s v="SIEGEL F"/>
    <s v="SIEGEL FRANCK"/>
    <n v="10"/>
    <x v="0"/>
    <x v="1"/>
    <s v="PLAQUETTES"/>
    <x v="1"/>
    <n v="70"/>
  </r>
  <r>
    <d v="2025-02-26T21:17:03"/>
    <x v="2"/>
    <s v="Plaquettes d'ébauches rhombiques"/>
    <s v="SIEGEL F"/>
    <s v="SIEGEL FRANCK"/>
    <n v="10"/>
    <x v="0"/>
    <x v="0"/>
    <s v="PLAQUETTES"/>
    <x v="1"/>
    <n v="70"/>
  </r>
  <r>
    <d v="2025-02-26T21:17:47"/>
    <x v="2"/>
    <s v="Plaquettes d'ébauches rhombiques"/>
    <s v="SIEGEL F"/>
    <s v="SIEGEL FRANCK"/>
    <n v="10"/>
    <x v="0"/>
    <x v="2"/>
    <s v="PLAQUETTES"/>
    <x v="1"/>
    <n v="70"/>
  </r>
  <r>
    <d v="2025-02-27T22:10:49"/>
    <x v="2"/>
    <s v="Plaquettes d'ébauches rhombiques"/>
    <s v="J519914"/>
    <s v="MARLY DAVID"/>
    <n v="10"/>
    <x v="0"/>
    <x v="1"/>
    <s v="PLAQUETTES"/>
    <x v="0"/>
    <n v="70"/>
  </r>
  <r>
    <d v="2025-07-29T08:45:27"/>
    <x v="6"/>
    <s v="Plaquettes de finition positives"/>
    <s v="020824"/>
    <s v="DA SILVA RENAUD"/>
    <n v="10"/>
    <x v="3"/>
    <x v="2"/>
    <s v="PLAQUETTES"/>
    <x v="0"/>
    <n v="87"/>
  </r>
  <r>
    <d v="2025-07-29T11:12:06"/>
    <x v="2"/>
    <s v="Plaquettes d'ébauches rhombiques"/>
    <s v="170325"/>
    <s v="VERDELET BASTIEN"/>
    <n v="10"/>
    <x v="2"/>
    <x v="0"/>
    <s v="PLAQUETTES"/>
    <x v="1"/>
    <n v="70"/>
  </r>
  <r>
    <d v="2025-07-29T17:20:27"/>
    <x v="6"/>
    <s v="Plaquettes de finition positives"/>
    <s v="U518765"/>
    <s v="ROY ADELINE"/>
    <n v="10"/>
    <x v="3"/>
    <x v="2"/>
    <s v="PLAQUETTES"/>
    <x v="0"/>
    <n v="87"/>
  </r>
  <r>
    <d v="2025-07-30T05:37:42"/>
    <x v="1"/>
    <s v="Plaquettes d'ébauches carrées"/>
    <s v="170325"/>
    <s v="VERDELET BASTIEN"/>
    <n v="10"/>
    <x v="3"/>
    <x v="0"/>
    <s v="PLAQUETTES"/>
    <x v="0"/>
    <n v="71.2"/>
  </r>
  <r>
    <d v="2025-07-30T05:37:59"/>
    <x v="6"/>
    <s v="Plaquettes de finition positives"/>
    <s v="170325"/>
    <s v="VERDELET BASTIEN"/>
    <n v="10"/>
    <x v="3"/>
    <x v="2"/>
    <s v="PLAQUETTES"/>
    <x v="0"/>
    <n v="87"/>
  </r>
  <r>
    <d v="2025-07-30T17:16:11"/>
    <x v="2"/>
    <s v="Plaquettes d'ébauches rhombiques"/>
    <s v="U518765"/>
    <s v="ROY ADELINE"/>
    <n v="10"/>
    <x v="3"/>
    <x v="0"/>
    <s v="PLAQUETTES"/>
    <x v="0"/>
    <n v="70"/>
  </r>
  <r>
    <d v="2025-07-30T17:16:31"/>
    <x v="5"/>
    <s v="Plaquettes rondes"/>
    <s v="U518765"/>
    <s v="ROY ADELINE"/>
    <n v="10"/>
    <x v="3"/>
    <x v="0"/>
    <s v="PLAQUETTES"/>
    <x v="0"/>
    <n v="108.5"/>
  </r>
  <r>
    <d v="2025-07-30T17:16:58"/>
    <x v="10"/>
    <s v="Plaquettes de finition"/>
    <s v="U518765"/>
    <s v="ROY ADELINE"/>
    <n v="10"/>
    <x v="3"/>
    <x v="2"/>
    <s v="PLAQUETTES"/>
    <x v="0"/>
    <n v="109.7"/>
  </r>
  <r>
    <d v="2025-07-30T17:17:16"/>
    <x v="6"/>
    <s v="Plaquettes de finition positives"/>
    <s v="U518765"/>
    <s v="ROY ADELINE"/>
    <n v="10"/>
    <x v="3"/>
    <x v="2"/>
    <s v="PLAQUETTES"/>
    <x v="0"/>
    <n v="87"/>
  </r>
  <r>
    <d v="2025-08-07T13:14:45"/>
    <x v="11"/>
    <s v="Plaquettes de finition triangulaires"/>
    <s v="170325"/>
    <s v="VERDELET BASTIEN"/>
    <n v="10"/>
    <x v="2"/>
    <x v="2"/>
    <s v="PLAQUETTES"/>
    <x v="1"/>
    <n v="118.7"/>
  </r>
  <r>
    <d v="2025-08-18T05:51:10"/>
    <x v="2"/>
    <s v="Plaquettes d'ébauches rhombiques"/>
    <s v="u134838"/>
    <s v="DANAH STEPHANIE"/>
    <n v="10"/>
    <x v="1"/>
    <x v="1"/>
    <s v="PLAQUETTES"/>
    <x v="0"/>
    <n v="70"/>
  </r>
  <r>
    <d v="2025-08-18T05:51:33"/>
    <x v="1"/>
    <s v="Plaquettes d'ébauches carrées"/>
    <s v="u134838"/>
    <s v="DANAH STEPHANIE"/>
    <n v="10"/>
    <x v="1"/>
    <x v="1"/>
    <s v="PLAQUETTES"/>
    <x v="0"/>
    <n v="71.2"/>
  </r>
  <r>
    <d v="2025-08-18T05:51:54"/>
    <x v="5"/>
    <s v="Plaquettes rondes"/>
    <s v="u134838"/>
    <s v="DANAH STEPHANIE"/>
    <n v="10"/>
    <x v="1"/>
    <x v="0"/>
    <s v="PLAQUETTES"/>
    <x v="0"/>
    <n v="108.5"/>
  </r>
  <r>
    <d v="2025-02-28T13:47:29"/>
    <x v="2"/>
    <s v="Plaquettes d'ébauches rhombiques"/>
    <s v="170325"/>
    <s v="VERDELET BASTIEN"/>
    <n v="10"/>
    <x v="0"/>
    <x v="2"/>
    <s v="PLAQUETTES"/>
    <x v="1"/>
    <n v="70"/>
  </r>
  <r>
    <d v="2025-03-01T00:44:49"/>
    <x v="2"/>
    <s v="Plaquettes d'ébauches rhombiques"/>
    <s v="SIEGEL F"/>
    <s v="SIEGEL FRANCK"/>
    <n v="10"/>
    <x v="0"/>
    <x v="1"/>
    <s v="PLAQUETTES"/>
    <x v="1"/>
    <n v="70"/>
  </r>
  <r>
    <d v="2025-08-18T13:31:34"/>
    <x v="2"/>
    <s v="Plaquettes d'ébauches rhombiques"/>
    <s v="230525"/>
    <s v="SOULAS YANIS"/>
    <n v="10"/>
    <x v="1"/>
    <x v="1"/>
    <s v="PLAQUETTES"/>
    <x v="0"/>
    <n v="70"/>
  </r>
  <r>
    <d v="2025-08-18T13:31:51"/>
    <x v="5"/>
    <s v="Plaquettes rondes"/>
    <s v="230525"/>
    <s v="SOULAS YANIS"/>
    <n v="10"/>
    <x v="1"/>
    <x v="0"/>
    <s v="PLAQUETTES"/>
    <x v="0"/>
    <n v="108.5"/>
  </r>
  <r>
    <d v="2025-08-18T13:32:08"/>
    <x v="10"/>
    <s v="Plaquettes de finition"/>
    <s v="230525"/>
    <s v="SOULAS YANIS"/>
    <n v="10"/>
    <x v="1"/>
    <x v="2"/>
    <s v="PLAQUETTES"/>
    <x v="0"/>
    <n v="109.7"/>
  </r>
  <r>
    <d v="2025-08-18T13:32:24"/>
    <x v="6"/>
    <s v="Plaquettes de finition positives"/>
    <s v="230525"/>
    <s v="SOULAS YANIS"/>
    <n v="10"/>
    <x v="1"/>
    <x v="2"/>
    <s v="PLAQUETTES"/>
    <x v="0"/>
    <n v="87"/>
  </r>
  <r>
    <d v="2025-08-18T14:57:27"/>
    <x v="3"/>
    <s v="Plaquettes rondes"/>
    <s v="SD13196"/>
    <s v="FRADIN MAXIME"/>
    <n v="10"/>
    <x v="2"/>
    <x v="0"/>
    <s v="PLAQUETTES"/>
    <x v="1"/>
    <n v="136.69999999999999"/>
  </r>
  <r>
    <d v="2025-08-18T21:26:34"/>
    <x v="2"/>
    <s v="Plaquettes d'ébauches rhombiques"/>
    <s v="VERGE G"/>
    <s v="VERGE GREGORY"/>
    <n v="10"/>
    <x v="2"/>
    <x v="1"/>
    <s v="PLAQUETTES"/>
    <x v="1"/>
    <n v="70"/>
  </r>
  <r>
    <d v="2025-08-18T21:26:54"/>
    <x v="1"/>
    <s v="Plaquettes d'ébauches carrées"/>
    <s v="VERGE G"/>
    <s v="VERGE GREGORY"/>
    <n v="10"/>
    <x v="2"/>
    <x v="0"/>
    <s v="PLAQUETTES"/>
    <x v="1"/>
    <n v="71.2"/>
  </r>
  <r>
    <d v="2025-08-18T21:27:12"/>
    <x v="3"/>
    <s v="Plaquettes rondes"/>
    <s v="VERGE G"/>
    <s v="VERGE GREGORY"/>
    <n v="10"/>
    <x v="2"/>
    <x v="0"/>
    <s v="PLAQUETTES"/>
    <x v="1"/>
    <n v="136.69999999999999"/>
  </r>
  <r>
    <d v="2025-08-18T21:27:28"/>
    <x v="6"/>
    <s v="Plaquettes de finition positives"/>
    <s v="VERGE G"/>
    <s v="VERGE GREGORY"/>
    <n v="10"/>
    <x v="3"/>
    <x v="2"/>
    <s v="PLAQUETTES"/>
    <x v="0"/>
    <n v="87"/>
  </r>
  <r>
    <d v="2025-08-18T21:27:39"/>
    <x v="4"/>
    <s v="Plaquettes de finition"/>
    <s v="VERGE G"/>
    <s v="VERGE GREGORY"/>
    <n v="5"/>
    <x v="2"/>
    <x v="2"/>
    <s v="PLAQUETTES"/>
    <x v="1"/>
    <n v="47.8"/>
  </r>
  <r>
    <d v="2025-08-19T20:27:18"/>
    <x v="4"/>
    <s v="Plaquettes de finition"/>
    <s v="SD13196"/>
    <s v="FRADIN MAXIME"/>
    <n v="5"/>
    <x v="2"/>
    <x v="2"/>
    <s v="PLAQUETTES"/>
    <x v="1"/>
    <n v="47.8"/>
  </r>
  <r>
    <d v="2025-08-19T20:27:33"/>
    <x v="9"/>
    <s v="Plaquettes rhombiques"/>
    <s v="SD13196"/>
    <s v="FRADIN MAXIME"/>
    <n v="5"/>
    <x v="2"/>
    <x v="2"/>
    <s v="PLAQUETTES"/>
    <x v="1"/>
    <n v="44.85"/>
  </r>
  <r>
    <d v="2025-08-19T20:27:46"/>
    <x v="8"/>
    <s v="Plaquettes rhombiques"/>
    <s v="SD13196"/>
    <s v="FRADIN MAXIME"/>
    <n v="5"/>
    <x v="2"/>
    <x v="2"/>
    <s v="PLAQUETTES"/>
    <x v="1"/>
    <n v="18.399999999999999"/>
  </r>
  <r>
    <d v="2025-08-20T06:09:47"/>
    <x v="4"/>
    <s v="Plaquettes de finition"/>
    <s v="170325"/>
    <s v="VERDELET BASTIEN"/>
    <n v="5"/>
    <x v="2"/>
    <x v="2"/>
    <s v="PLAQUETTES"/>
    <x v="1"/>
    <n v="47.8"/>
  </r>
  <r>
    <d v="2025-08-20T06:10:02"/>
    <x v="5"/>
    <s v="Plaquettes rondes"/>
    <s v="170325"/>
    <s v="VERDELET BASTIEN"/>
    <n v="10"/>
    <x v="2"/>
    <x v="0"/>
    <s v="PLAQUETTES"/>
    <x v="1"/>
    <n v="108.5"/>
  </r>
  <r>
    <d v="2025-08-20T06:10:17"/>
    <x v="2"/>
    <s v="Plaquettes d'ébauches rhombiques"/>
    <s v="170325"/>
    <s v="VERDELET BASTIEN"/>
    <n v="10"/>
    <x v="2"/>
    <x v="0"/>
    <s v="PLAQUETTES"/>
    <x v="1"/>
    <n v="70"/>
  </r>
  <r>
    <d v="2025-08-20T06:10:30"/>
    <x v="1"/>
    <s v="Plaquettes d'ébauches carrées"/>
    <s v="170325"/>
    <s v="VERDELET BASTIEN"/>
    <n v="10"/>
    <x v="2"/>
    <x v="0"/>
    <s v="PLAQUETTES"/>
    <x v="1"/>
    <n v="71.2"/>
  </r>
  <r>
    <d v="2025-08-20T06:10:45"/>
    <x v="7"/>
    <s v="Plaquettes de finition triangulaires"/>
    <s v="170325"/>
    <s v="VERDELET BASTIEN"/>
    <n v="10"/>
    <x v="3"/>
    <x v="2"/>
    <s v="PLAQUETTES"/>
    <x v="0"/>
    <n v="138.80000000000001"/>
  </r>
  <r>
    <d v="2025-08-20T06:11:01"/>
    <x v="6"/>
    <s v="Plaquettes de finition positives"/>
    <s v="170325"/>
    <s v="VERDELET BASTIEN"/>
    <n v="10"/>
    <x v="3"/>
    <x v="2"/>
    <s v="PLAQUETTES"/>
    <x v="0"/>
    <n v="87"/>
  </r>
  <r>
    <d v="2025-08-20T21:24:44"/>
    <x v="4"/>
    <s v="Plaquettes de finition"/>
    <s v="VERGE G"/>
    <s v="VERGE GREGORY"/>
    <n v="5"/>
    <x v="2"/>
    <x v="2"/>
    <s v="PLAQUETTES"/>
    <x v="1"/>
    <n v="47.8"/>
  </r>
  <r>
    <d v="2025-08-20T21:24:57"/>
    <x v="6"/>
    <s v="Plaquettes de finition positives"/>
    <s v="VERGE G"/>
    <s v="VERGE GREGORY"/>
    <n v="10"/>
    <x v="3"/>
    <x v="2"/>
    <s v="PLAQUETTES"/>
    <x v="3"/>
    <n v="87"/>
  </r>
  <r>
    <d v="2025-08-20T21:25:14"/>
    <x v="2"/>
    <s v="Plaquettes d'ébauches rhombiques"/>
    <s v="VERGE G"/>
    <s v="VERGE GREGORY"/>
    <n v="10"/>
    <x v="3"/>
    <x v="1"/>
    <s v="PLAQUETTES"/>
    <x v="3"/>
    <n v="70"/>
  </r>
  <r>
    <d v="2025-03-01T17:29:47"/>
    <x v="2"/>
    <s v="Plaquettes d'ébauches rhombiques"/>
    <s v="U534565"/>
    <s v="HOAREAU MARIUS"/>
    <n v="10"/>
    <x v="0"/>
    <x v="0"/>
    <s v="PLAQUETTES"/>
    <x v="1"/>
    <n v="70"/>
  </r>
  <r>
    <d v="2025-08-20T23:46:57"/>
    <x v="6"/>
    <s v="Plaquettes de finition positives"/>
    <s v="j519914"/>
    <s v="MARLY DAVID"/>
    <n v="10"/>
    <x v="1"/>
    <x v="2"/>
    <s v="PLAQUETTES"/>
    <x v="0"/>
    <n v="87"/>
  </r>
  <r>
    <d v="2025-08-20T23:47:21"/>
    <x v="2"/>
    <s v="Plaquettes d'ébauches rhombiques"/>
    <s v="j519914"/>
    <s v="MARLY DAVID"/>
    <n v="10"/>
    <x v="1"/>
    <x v="0"/>
    <s v="PLAQUETTES"/>
    <x v="0"/>
    <n v="70"/>
  </r>
  <r>
    <d v="2025-08-20T23:47:48"/>
    <x v="1"/>
    <s v="Plaquettes d'ébauches carrées"/>
    <s v="j519914"/>
    <s v="MARLY DAVID"/>
    <n v="10"/>
    <x v="1"/>
    <x v="0"/>
    <s v="PLAQUETTES"/>
    <x v="0"/>
    <n v="71.2"/>
  </r>
  <r>
    <d v="2025-08-21T06:00:43"/>
    <x v="6"/>
    <s v="Plaquettes de finition positives"/>
    <s v="u134838"/>
    <s v="DANAH STEPHANIE"/>
    <n v="10"/>
    <x v="1"/>
    <x v="2"/>
    <s v="PLAQUETTES"/>
    <x v="0"/>
    <n v="87"/>
  </r>
  <r>
    <d v="2025-08-21T06:01:07"/>
    <x v="2"/>
    <s v="Plaquettes d'ébauches rhombiques"/>
    <s v="u134838"/>
    <s v="DANAH STEPHANIE"/>
    <n v="10"/>
    <x v="1"/>
    <x v="1"/>
    <s v="PLAQUETTES"/>
    <x v="0"/>
    <n v="70"/>
  </r>
  <r>
    <d v="2025-08-21T06:18:23"/>
    <x v="6"/>
    <s v="Plaquettes de finition positives"/>
    <s v="170325"/>
    <s v="VERDELET BASTIEN"/>
    <n v="10"/>
    <x v="3"/>
    <x v="2"/>
    <s v="PLAQUETTES"/>
    <x v="0"/>
    <n v="87"/>
  </r>
  <r>
    <d v="2025-08-21T06:18:43"/>
    <x v="4"/>
    <s v="Plaquettes de finition"/>
    <s v="170325"/>
    <s v="VERDELET BASTIEN"/>
    <n v="5"/>
    <x v="2"/>
    <x v="2"/>
    <s v="PLAQUETTES"/>
    <x v="1"/>
    <n v="47.8"/>
  </r>
  <r>
    <d v="2025-08-21T06:18:57"/>
    <x v="2"/>
    <s v="Plaquettes d'ébauches rhombiques"/>
    <s v="170325"/>
    <s v="VERDELET BASTIEN"/>
    <n v="10"/>
    <x v="2"/>
    <x v="0"/>
    <s v="PLAQUETTES"/>
    <x v="1"/>
    <n v="70"/>
  </r>
  <r>
    <d v="2025-08-21T21:13:56"/>
    <x v="2"/>
    <s v="Plaquettes d'ébauches rhombiques"/>
    <s v="VERGE G"/>
    <s v="VERGE GREGORY"/>
    <n v="10"/>
    <x v="3"/>
    <x v="1"/>
    <s v="PLAQUETTES"/>
    <x v="3"/>
    <n v="70"/>
  </r>
  <r>
    <d v="2025-08-21T21:14:12"/>
    <x v="2"/>
    <s v="Plaquettes d'ébauches rhombiques"/>
    <s v="VERGE G"/>
    <s v="VERGE GREGORY"/>
    <n v="10"/>
    <x v="3"/>
    <x v="1"/>
    <s v="PLAQUETTES"/>
    <x v="3"/>
    <n v="70"/>
  </r>
  <r>
    <d v="2025-08-21T21:14:28"/>
    <x v="1"/>
    <s v="Plaquettes d'ébauches carrées"/>
    <s v="VERGE G"/>
    <s v="VERGE GREGORY"/>
    <n v="10"/>
    <x v="3"/>
    <x v="1"/>
    <s v="PLAQUETTES"/>
    <x v="0"/>
    <n v="71.2"/>
  </r>
  <r>
    <d v="2025-08-21T21:14:42"/>
    <x v="1"/>
    <s v="Plaquettes d'ébauches carrées"/>
    <s v="VERGE G"/>
    <s v="VERGE GREGORY"/>
    <n v="10"/>
    <x v="3"/>
    <x v="0"/>
    <s v="PLAQUETTES"/>
    <x v="0"/>
    <n v="71.2"/>
  </r>
  <r>
    <d v="2025-03-02T17:39:42"/>
    <x v="2"/>
    <s v="Plaquettes d'ébauches rhombiques"/>
    <s v="U534565"/>
    <s v="HOAREAU MARIUS"/>
    <n v="10"/>
    <x v="0"/>
    <x v="0"/>
    <s v="PLAQUETTES"/>
    <x v="0"/>
    <n v="70"/>
  </r>
  <r>
    <d v="2025-03-03T05:53:01"/>
    <x v="2"/>
    <s v="Plaquettes d'ébauches rhombiques"/>
    <s v="u134838"/>
    <s v="DANAH STEPHANIE"/>
    <n v="10"/>
    <x v="0"/>
    <x v="2"/>
    <s v="PLAQUETTES"/>
    <x v="1"/>
    <n v="70"/>
  </r>
  <r>
    <d v="2025-03-04T21:58:44"/>
    <x v="2"/>
    <s v="Plaquettes d'ébauches rhombiques"/>
    <s v="080924"/>
    <s v="DABLEMONT AURELIEN"/>
    <n v="10"/>
    <x v="0"/>
    <x v="1"/>
    <s v="PLAQUETTES"/>
    <x v="1"/>
    <n v="70"/>
  </r>
  <r>
    <d v="2025-08-21T21:27:53"/>
    <x v="6"/>
    <s v="Plaquettes de finition positives"/>
    <s v="j519914"/>
    <s v="MARLY DAVID"/>
    <n v="10"/>
    <x v="1"/>
    <x v="2"/>
    <s v="PLAQUETTES"/>
    <x v="0"/>
    <n v="87"/>
  </r>
  <r>
    <d v="2025-08-21T21:28:21"/>
    <x v="1"/>
    <s v="Plaquettes d'ébauches carrées"/>
    <s v="j519914"/>
    <s v="MARLY DAVID"/>
    <n v="10"/>
    <x v="1"/>
    <x v="0"/>
    <s v="PLAQUETTES"/>
    <x v="0"/>
    <n v="71.2"/>
  </r>
  <r>
    <d v="2025-03-05T16:49:33"/>
    <x v="2"/>
    <s v="Plaquettes d'ébauches rhombiques"/>
    <s v="J519914"/>
    <s v="MARLY DAVID"/>
    <n v="10"/>
    <x v="0"/>
    <x v="0"/>
    <s v="PLAQUETTES"/>
    <x v="0"/>
    <n v="70"/>
  </r>
  <r>
    <d v="2025-03-06T05:37:17"/>
    <x v="2"/>
    <s v="Plaquettes d'ébauches rhombiques"/>
    <s v="u134838"/>
    <s v="DANAH STEPHANIE"/>
    <n v="10"/>
    <x v="0"/>
    <x v="1"/>
    <s v="PLAQUETTES"/>
    <x v="0"/>
    <n v="70"/>
  </r>
  <r>
    <d v="2025-08-22T05:32:16"/>
    <x v="2"/>
    <s v="Plaquettes d'ébauches rhombiques"/>
    <s v="U534565"/>
    <s v="HOAREAU MARIUS"/>
    <n v="10"/>
    <x v="1"/>
    <x v="0"/>
    <s v="PLAQUETTES"/>
    <x v="0"/>
    <n v="70"/>
  </r>
  <r>
    <d v="2025-08-22T05:32:36"/>
    <x v="6"/>
    <s v="Plaquettes de finition positives"/>
    <s v="U534565"/>
    <s v="HOAREAU MARIUS"/>
    <n v="10"/>
    <x v="1"/>
    <x v="2"/>
    <s v="PLAQUETTES"/>
    <x v="0"/>
    <n v="87"/>
  </r>
  <r>
    <d v="2025-08-22T09:16:14"/>
    <x v="8"/>
    <s v="Plaquettes rhombiques"/>
    <s v="U198152"/>
    <s v="AJMIK MUSTAPHA"/>
    <n v="5"/>
    <x v="2"/>
    <x v="2"/>
    <s v="PLAQUETTES"/>
    <x v="1"/>
    <n v="18.399999999999999"/>
  </r>
  <r>
    <d v="2025-08-22T09:16:28"/>
    <x v="4"/>
    <s v="Plaquettes de finition"/>
    <s v="U198152"/>
    <s v="AJMIK MUSTAPHA"/>
    <n v="5"/>
    <x v="2"/>
    <x v="2"/>
    <s v="PLAQUETTES"/>
    <x v="1"/>
    <n v="47.8"/>
  </r>
  <r>
    <d v="2025-08-22T09:16:48"/>
    <x v="6"/>
    <s v="Plaquettes de finition positives"/>
    <s v="U198152"/>
    <s v="AJMIK MUSTAPHA"/>
    <n v="10"/>
    <x v="3"/>
    <x v="2"/>
    <s v="PLAQUETTES"/>
    <x v="0"/>
    <n v="87"/>
  </r>
  <r>
    <d v="2025-08-22T13:37:58"/>
    <x v="5"/>
    <s v="Plaquettes rondes"/>
    <s v="SD13196"/>
    <s v="FRADIN MAXIME"/>
    <n v="10"/>
    <x v="2"/>
    <x v="0"/>
    <s v="PLAQUETTES"/>
    <x v="1"/>
    <n v="108.5"/>
  </r>
  <r>
    <d v="2025-03-08T16:59:55"/>
    <x v="2"/>
    <s v="Plaquettes d'ébauches rhombiques"/>
    <s v="U054304"/>
    <s v="BOUACHIK HICHAM"/>
    <n v="10"/>
    <x v="0"/>
    <x v="1"/>
    <s v="PLAQUETTES"/>
    <x v="1"/>
    <n v="70"/>
  </r>
  <r>
    <d v="2025-03-08T17:00:48"/>
    <x v="2"/>
    <s v="Plaquettes d'ébauches rhombiques"/>
    <s v="U054304"/>
    <s v="BOUACHIK HICHAM"/>
    <n v="10"/>
    <x v="0"/>
    <x v="2"/>
    <s v="PLAQUETTES"/>
    <x v="1"/>
    <n v="70"/>
  </r>
  <r>
    <d v="2025-03-10T05:30:19"/>
    <x v="2"/>
    <s v="Plaquettes d'ébauches rhombiques"/>
    <s v="J519914"/>
    <s v="MARLY DAVID"/>
    <n v="10"/>
    <x v="0"/>
    <x v="0"/>
    <s v="PLAQUETTES"/>
    <x v="1"/>
    <n v="70"/>
  </r>
  <r>
    <d v="2025-08-22T17:18:51"/>
    <x v="1"/>
    <s v="Plaquettes d'ébauches carrées"/>
    <s v="SD13196"/>
    <s v="FRADIN MAXIME"/>
    <n v="10"/>
    <x v="2"/>
    <x v="1"/>
    <s v="PLAQUETTES"/>
    <x v="1"/>
    <n v="71.2"/>
  </r>
  <r>
    <d v="2025-08-22T17:19:02"/>
    <x v="2"/>
    <s v="Plaquettes d'ébauches rhombiques"/>
    <s v="SD13196"/>
    <s v="FRADIN MAXIME"/>
    <n v="10"/>
    <x v="3"/>
    <x v="1"/>
    <s v="PLAQUETTES"/>
    <x v="3"/>
    <n v="70"/>
  </r>
  <r>
    <d v="2025-08-23T00:48:02"/>
    <x v="6"/>
    <s v="Plaquettes de finition positives"/>
    <s v="j519914"/>
    <s v="MARLY DAVID"/>
    <n v="10"/>
    <x v="1"/>
    <x v="2"/>
    <s v="PLAQUETTES"/>
    <x v="0"/>
    <n v="87"/>
  </r>
  <r>
    <d v="2025-08-23T00:48:28"/>
    <x v="2"/>
    <s v="Plaquettes d'ébauches rhombiques"/>
    <s v="j519914"/>
    <s v="MARLY DAVID"/>
    <n v="10"/>
    <x v="1"/>
    <x v="0"/>
    <s v="PLAQUETTES"/>
    <x v="0"/>
    <n v="70"/>
  </r>
  <r>
    <d v="2025-08-23T05:14:51"/>
    <x v="3"/>
    <s v="Plaquettes rondes"/>
    <s v="U534565"/>
    <s v="HOAREAU MARIUS"/>
    <n v="10"/>
    <x v="2"/>
    <x v="0"/>
    <s v="PLAQUETTES"/>
    <x v="1"/>
    <n v="136.69999999999999"/>
  </r>
  <r>
    <d v="2025-08-23T05:15:33"/>
    <x v="6"/>
    <s v="Plaquettes de finition positives"/>
    <s v="U534565"/>
    <s v="HOAREAU MARIUS"/>
    <n v="10"/>
    <x v="3"/>
    <x v="2"/>
    <s v="PLAQUETTES"/>
    <x v="3"/>
    <n v="87"/>
  </r>
  <r>
    <d v="2025-08-23T05:16:14"/>
    <x v="8"/>
    <s v="Plaquettes rhombiques"/>
    <s v="U534565"/>
    <s v="HOAREAU MARIUS"/>
    <n v="5"/>
    <x v="2"/>
    <x v="2"/>
    <s v="PLAQUETTES"/>
    <x v="1"/>
    <n v="18.399999999999999"/>
  </r>
  <r>
    <d v="2025-08-23T05:16:36"/>
    <x v="4"/>
    <s v="Plaquettes de finition"/>
    <s v="U534565"/>
    <s v="HOAREAU MARIUS"/>
    <n v="5"/>
    <x v="2"/>
    <x v="2"/>
    <s v="PLAQUETTES"/>
    <x v="1"/>
    <n v="47.8"/>
  </r>
  <r>
    <d v="2025-08-23T05:17:19"/>
    <x v="9"/>
    <s v="Plaquettes rhombiques"/>
    <s v="U534565"/>
    <s v="HOAREAU MARIUS"/>
    <n v="5"/>
    <x v="2"/>
    <x v="2"/>
    <s v="PLAQUETTES"/>
    <x v="1"/>
    <n v="44.85"/>
  </r>
  <r>
    <d v="2025-08-23T05:17:55"/>
    <x v="2"/>
    <s v="Plaquettes d'ébauches rhombiques"/>
    <s v="U534565"/>
    <s v="HOAREAU MARIUS"/>
    <n v="10"/>
    <x v="2"/>
    <x v="2"/>
    <s v="PLAQUETTES"/>
    <x v="1"/>
    <n v="70"/>
  </r>
  <r>
    <d v="2025-08-23T21:14:30"/>
    <x v="4"/>
    <s v="Plaquettes de finition"/>
    <s v="U198152"/>
    <s v="AJMIK MUSTAPHA"/>
    <n v="5"/>
    <x v="2"/>
    <x v="2"/>
    <s v="PLAQUETTES"/>
    <x v="1"/>
    <n v="47.8"/>
  </r>
  <r>
    <d v="2025-08-23T21:14:46"/>
    <x v="6"/>
    <s v="Plaquettes de finition positives"/>
    <s v="U198152"/>
    <s v="AJMIK MUSTAPHA"/>
    <n v="10"/>
    <x v="3"/>
    <x v="2"/>
    <s v="PLAQUETTES"/>
    <x v="3"/>
    <n v="87"/>
  </r>
  <r>
    <d v="2025-03-10T17:10:53"/>
    <x v="2"/>
    <s v="Plaquettes d'ébauches rhombiques"/>
    <s v="080924"/>
    <s v="DABLEMONT AURELIEN"/>
    <n v="10"/>
    <x v="0"/>
    <x v="2"/>
    <s v="PLAQUETTES"/>
    <x v="1"/>
    <n v="70"/>
  </r>
  <r>
    <d v="2025-03-11T07:39:20"/>
    <x v="2"/>
    <s v="Plaquettes d'ébauches rhombiques"/>
    <s v="SD13196"/>
    <s v="FRADIN MAXIME"/>
    <n v="10"/>
    <x v="0"/>
    <x v="1"/>
    <s v="PLAQUETTES"/>
    <x v="1"/>
    <n v="70"/>
  </r>
  <r>
    <d v="2025-08-24T14:36:48"/>
    <x v="5"/>
    <s v="Plaquettes rondes"/>
    <s v="U534565"/>
    <s v="HOAREAU MARIUS"/>
    <n v="10"/>
    <x v="2"/>
    <x v="0"/>
    <s v="PLAQUETTES"/>
    <x v="1"/>
    <n v="108.5"/>
  </r>
  <r>
    <d v="2025-08-24T17:01:29"/>
    <x v="1"/>
    <s v="Plaquettes d'ébauches carrées"/>
    <s v="U054304"/>
    <s v="BOUACHIK HICHAM"/>
    <n v="10"/>
    <x v="1"/>
    <x v="0"/>
    <s v="PLAQUETTES"/>
    <x v="0"/>
    <n v="71.2"/>
  </r>
  <r>
    <d v="2025-08-24T17:01:41"/>
    <x v="2"/>
    <s v="Plaquettes d'ébauches rhombiques"/>
    <s v="U054304"/>
    <s v="BOUACHIK HICHAM"/>
    <n v="10"/>
    <x v="1"/>
    <x v="0"/>
    <s v="PLAQUETTES"/>
    <x v="0"/>
    <n v="70"/>
  </r>
  <r>
    <d v="2025-03-12T00:52:22"/>
    <x v="2"/>
    <s v="Plaquettes d'ébauches rhombiques"/>
    <s v="170325"/>
    <s v="VERDELET BASTIEN"/>
    <n v="10"/>
    <x v="0"/>
    <x v="1"/>
    <s v="PLAQUETTES"/>
    <x v="1"/>
    <n v="70"/>
  </r>
  <r>
    <d v="2025-08-24T21:49:58"/>
    <x v="4"/>
    <s v="Plaquettes de finition"/>
    <s v="U198152"/>
    <s v="AJMIK MUSTAPHA"/>
    <n v="5"/>
    <x v="2"/>
    <x v="2"/>
    <s v="PLAQUETTES"/>
    <x v="1"/>
    <n v="47.8"/>
  </r>
  <r>
    <d v="2025-08-24T21:50:12"/>
    <x v="9"/>
    <s v="Plaquettes rhombiques"/>
    <s v="U198152"/>
    <s v="AJMIK MUSTAPHA"/>
    <n v="5"/>
    <x v="2"/>
    <x v="2"/>
    <s v="PLAQUETTES"/>
    <x v="1"/>
    <n v="44.85"/>
  </r>
  <r>
    <d v="2025-08-24T21:50:27"/>
    <x v="6"/>
    <s v="Plaquettes de finition positives"/>
    <s v="U198152"/>
    <s v="AJMIK MUSTAPHA"/>
    <n v="10"/>
    <x v="3"/>
    <x v="2"/>
    <s v="PLAQUETTES"/>
    <x v="3"/>
    <n v="87"/>
  </r>
  <r>
    <d v="2025-08-24T21:50:44"/>
    <x v="2"/>
    <s v="Plaquettes d'ébauches rhombiques"/>
    <s v="U198152"/>
    <s v="AJMIK MUSTAPHA"/>
    <n v="10"/>
    <x v="3"/>
    <x v="0"/>
    <s v="PLAQUETTES"/>
    <x v="3"/>
    <n v="70"/>
  </r>
  <r>
    <d v="2025-03-12T06:33:11"/>
    <x v="2"/>
    <s v="Plaquettes d'ébauches rhombiques"/>
    <s v="SD13196"/>
    <s v="FRADIN MAXIME"/>
    <n v="10"/>
    <x v="0"/>
    <x v="0"/>
    <s v="PLAQUETTES"/>
    <x v="1"/>
    <n v="70"/>
  </r>
  <r>
    <d v="2025-08-25T07:40:57"/>
    <x v="2"/>
    <s v="Plaquettes d'ébauches rhombiques"/>
    <s v="u462308"/>
    <s v="MAITRE SEBASTIEN"/>
    <n v="10"/>
    <x v="1"/>
    <x v="1"/>
    <s v="PLAQUETTES"/>
    <x v="0"/>
    <n v="70"/>
  </r>
  <r>
    <d v="2025-08-25T07:41:18"/>
    <x v="1"/>
    <s v="Plaquettes d'ébauches carrées"/>
    <s v="u462308"/>
    <s v="MAITRE SEBASTIEN"/>
    <n v="10"/>
    <x v="1"/>
    <x v="1"/>
    <s v="PLAQUETTES"/>
    <x v="0"/>
    <n v="71.2"/>
  </r>
  <r>
    <d v="2025-08-25T07:41:36"/>
    <x v="6"/>
    <s v="Plaquettes de finition positives"/>
    <s v="u462308"/>
    <s v="MAITRE SEBASTIEN"/>
    <n v="10"/>
    <x v="1"/>
    <x v="2"/>
    <s v="PLAQUETTES"/>
    <x v="0"/>
    <n v="87"/>
  </r>
  <r>
    <d v="2025-08-25T09:56:06"/>
    <x v="2"/>
    <s v="Plaquettes d'ébauches rhombiques"/>
    <s v="SD13196"/>
    <s v="FRADIN MAXIME"/>
    <n v="10"/>
    <x v="3"/>
    <x v="1"/>
    <s v="PLAQUETTES"/>
    <x v="3"/>
    <n v="70"/>
  </r>
  <r>
    <d v="2025-08-25T12:23:22"/>
    <x v="1"/>
    <s v="Plaquettes d'ébauches carrées"/>
    <s v="SD13196"/>
    <s v="FRADIN MAXIME"/>
    <n v="10"/>
    <x v="2"/>
    <x v="1"/>
    <s v="PLAQUETTES"/>
    <x v="1"/>
    <n v="71.2"/>
  </r>
  <r>
    <d v="2025-08-25T13:46:56"/>
    <x v="6"/>
    <s v="Plaquettes de finition positives"/>
    <s v="u134838"/>
    <s v="DANAH STEPHANIE"/>
    <n v="10"/>
    <x v="3"/>
    <x v="2"/>
    <s v="PLAQUETTES"/>
    <x v="3"/>
    <n v="87"/>
  </r>
  <r>
    <d v="2025-08-25T13:47:17"/>
    <x v="4"/>
    <s v="Plaquettes de finition"/>
    <s v="u134838"/>
    <s v="DANAH STEPHANIE"/>
    <n v="5"/>
    <x v="2"/>
    <x v="2"/>
    <s v="PLAQUETTES"/>
    <x v="1"/>
    <n v="47.8"/>
  </r>
  <r>
    <d v="2025-03-12T15:51:12"/>
    <x v="2"/>
    <s v="Plaquettes d'ébauches rhombiques"/>
    <s v="080924"/>
    <s v="DABLEMONT AURELIEN"/>
    <n v="10"/>
    <x v="0"/>
    <x v="2"/>
    <s v="PLAQUETTES"/>
    <x v="1"/>
    <n v="70"/>
  </r>
  <r>
    <d v="2025-03-12T15:51:55"/>
    <x v="2"/>
    <s v="Plaquettes d'ébauches rhombiques"/>
    <s v="080924"/>
    <s v="DABLEMONT AURELIEN"/>
    <n v="10"/>
    <x v="0"/>
    <x v="0"/>
    <s v="PLAQUETTES"/>
    <x v="1"/>
    <n v="70"/>
  </r>
  <r>
    <d v="2025-03-13T06:29:29"/>
    <x v="2"/>
    <s v="Plaquettes d'ébauches rhombiques"/>
    <s v="SD13196"/>
    <s v="FRADIN MAXIME"/>
    <n v="10"/>
    <x v="0"/>
    <x v="1"/>
    <s v="PLAQUETTES"/>
    <x v="0"/>
    <n v="70"/>
  </r>
  <r>
    <d v="2025-08-25T23:03:05"/>
    <x v="3"/>
    <s v="Plaquettes rondes"/>
    <s v="VERGE G"/>
    <s v="VERGE GREGORY"/>
    <n v="10"/>
    <x v="2"/>
    <x v="0"/>
    <s v="PLAQUETTES"/>
    <x v="1"/>
    <n v="136.69999999999999"/>
  </r>
  <r>
    <d v="2025-08-25T23:03:20"/>
    <x v="2"/>
    <s v="Plaquettes d'ébauches rhombiques"/>
    <s v="VERGE G"/>
    <s v="VERGE GREGORY"/>
    <n v="10"/>
    <x v="2"/>
    <x v="1"/>
    <s v="PLAQUETTES"/>
    <x v="1"/>
    <n v="70"/>
  </r>
  <r>
    <d v="2025-08-26T02:01:57"/>
    <x v="6"/>
    <s v="Plaquettes de finition positives"/>
    <s v="VERGE G"/>
    <s v="VERGE GREGORY"/>
    <n v="10"/>
    <x v="3"/>
    <x v="2"/>
    <s v="PLAQUETTES"/>
    <x v="3"/>
    <n v="87"/>
  </r>
  <r>
    <d v="2025-03-13T13:52:12"/>
    <x v="2"/>
    <s v="Plaquettes d'ébauches rhombiques"/>
    <s v="J534699"/>
    <s v="CHARTON FABIAN"/>
    <n v="10"/>
    <x v="0"/>
    <x v="0"/>
    <s v="PLAQUETTES"/>
    <x v="1"/>
    <n v="70"/>
  </r>
  <r>
    <d v="2025-03-14T17:32:57"/>
    <x v="2"/>
    <s v="Plaquettes d'ébauches rhombiques"/>
    <s v="080924"/>
    <s v="DABLEMONT AURELIEN"/>
    <n v="10"/>
    <x v="0"/>
    <x v="2"/>
    <s v="PLAQUETTES"/>
    <x v="1"/>
    <n v="70"/>
  </r>
  <r>
    <d v="2025-08-26T06:22:41"/>
    <x v="6"/>
    <s v="Plaquettes de finition positives"/>
    <s v="u462308"/>
    <s v="MAITRE SEBASTIEN"/>
    <n v="10"/>
    <x v="1"/>
    <x v="2"/>
    <s v="PLAQUETTES"/>
    <x v="0"/>
    <n v="87"/>
  </r>
  <r>
    <d v="2025-08-26T06:23:04"/>
    <x v="4"/>
    <s v="Plaquettes de finition"/>
    <s v="SD13196"/>
    <s v="FRADIN MAXIME"/>
    <n v="5"/>
    <x v="2"/>
    <x v="2"/>
    <s v="PLAQUETTES"/>
    <x v="1"/>
    <n v="47.8"/>
  </r>
  <r>
    <d v="2025-08-26T06:23:16"/>
    <x v="2"/>
    <s v="Plaquettes d'ébauches rhombiques"/>
    <s v="SD13196"/>
    <s v="FRADIN MAXIME"/>
    <n v="10"/>
    <x v="2"/>
    <x v="1"/>
    <s v="PLAQUETTES"/>
    <x v="1"/>
    <n v="70"/>
  </r>
  <r>
    <d v="2025-08-26T09:39:52"/>
    <x v="4"/>
    <s v="Plaquettes de finition"/>
    <s v="SD13196"/>
    <s v="FRADIN MAXIME"/>
    <n v="5"/>
    <x v="2"/>
    <x v="2"/>
    <s v="PLAQUETTES"/>
    <x v="5"/>
    <n v="47.8"/>
  </r>
  <r>
    <d v="2025-08-26T09:40:04"/>
    <x v="8"/>
    <s v="Plaquettes rhombiques"/>
    <s v="SD13196"/>
    <s v="FRADIN MAXIME"/>
    <n v="5"/>
    <x v="2"/>
    <x v="2"/>
    <s v="PLAQUETTES"/>
    <x v="1"/>
    <n v="18.399999999999999"/>
  </r>
  <r>
    <d v="2025-03-14T17:33:23"/>
    <x v="2"/>
    <s v="Plaquettes d'ébauches rhombiques"/>
    <s v="080924"/>
    <s v="DABLEMONT AURELIEN"/>
    <n v="10"/>
    <x v="0"/>
    <x v="1"/>
    <s v="PLAQUETTES"/>
    <x v="1"/>
    <n v="70"/>
  </r>
  <r>
    <d v="2025-03-15T01:31:14"/>
    <x v="2"/>
    <s v="Plaquettes d'ébauches rhombiques"/>
    <s v="170325"/>
    <s v="VERDELET BASTIEN"/>
    <n v="10"/>
    <x v="0"/>
    <x v="2"/>
    <s v="PLAQUETTES"/>
    <x v="1"/>
    <n v="70"/>
  </r>
  <r>
    <d v="2025-03-15T09:05:12"/>
    <x v="2"/>
    <s v="Plaquettes d'ébauches rhombiques"/>
    <s v="U054304"/>
    <s v="BOUACHIK HICHAM"/>
    <n v="10"/>
    <x v="0"/>
    <x v="0"/>
    <s v="PLAQUETTES"/>
    <x v="1"/>
    <n v="70"/>
  </r>
  <r>
    <d v="2025-08-26T16:13:01"/>
    <x v="5"/>
    <s v="Plaquettes rondes"/>
    <s v="u134838"/>
    <s v="DANAH STEPHANIE"/>
    <n v="10"/>
    <x v="3"/>
    <x v="0"/>
    <s v="PLAQUETTES"/>
    <x v="3"/>
    <n v="108.5"/>
  </r>
  <r>
    <d v="2025-08-26T16:13:26"/>
    <x v="10"/>
    <s v="Plaquettes de finition"/>
    <s v="u134838"/>
    <s v="DANAH STEPHANIE"/>
    <n v="10"/>
    <x v="3"/>
    <x v="2"/>
    <s v="PLAQUETTES"/>
    <x v="3"/>
    <n v="109.7"/>
  </r>
  <r>
    <d v="2025-08-26T16:13:58"/>
    <x v="7"/>
    <s v="Plaquettes de finition triangulaires"/>
    <s v="u134838"/>
    <s v="DANAH STEPHANIE"/>
    <n v="10"/>
    <x v="3"/>
    <x v="2"/>
    <s v="PLAQUETTES"/>
    <x v="3"/>
    <n v="138.80000000000001"/>
  </r>
  <r>
    <d v="2025-08-26T16:14:21"/>
    <x v="6"/>
    <s v="Plaquettes de finition positives"/>
    <s v="u134838"/>
    <s v="DANAH STEPHANIE"/>
    <n v="10"/>
    <x v="3"/>
    <x v="2"/>
    <s v="PLAQUETTES"/>
    <x v="3"/>
    <n v="87"/>
  </r>
  <r>
    <d v="2025-03-16T07:34:18"/>
    <x v="2"/>
    <s v="Plaquettes d'ébauches rhombiques"/>
    <s v="U054304"/>
    <s v="BOUACHIK HICHAM"/>
    <n v="10"/>
    <x v="0"/>
    <x v="0"/>
    <s v="PLAQUETTES"/>
    <x v="1"/>
    <n v="70"/>
  </r>
  <r>
    <d v="2025-03-18T06:46:57"/>
    <x v="2"/>
    <s v="Plaquettes d'ébauches rhombiques"/>
    <s v="080924"/>
    <s v="DABLEMONT AURELIEN"/>
    <n v="10"/>
    <x v="0"/>
    <x v="1"/>
    <s v="PLAQUETTES"/>
    <x v="1"/>
    <n v="70"/>
  </r>
  <r>
    <d v="2025-03-18T13:23:18"/>
    <x v="2"/>
    <s v="Plaquettes d'ébauches rhombiques"/>
    <s v="170325"/>
    <s v="VERDELET BASTIEN"/>
    <n v="10"/>
    <x v="0"/>
    <x v="0"/>
    <s v="PLAQUETTES"/>
    <x v="1"/>
    <n v="70"/>
  </r>
  <r>
    <d v="2025-08-27T01:52:20"/>
    <x v="4"/>
    <s v="Plaquettes de finition"/>
    <s v="j519914"/>
    <s v="MARLY DAVID"/>
    <n v="5"/>
    <x v="2"/>
    <x v="2"/>
    <s v="PLAQUETTES"/>
    <x v="1"/>
    <n v="47.8"/>
  </r>
  <r>
    <d v="2025-08-27T01:52:50"/>
    <x v="2"/>
    <s v="Plaquettes d'ébauches rhombiques"/>
    <s v="j519914"/>
    <s v="MARLY DAVID"/>
    <n v="10"/>
    <x v="3"/>
    <x v="0"/>
    <s v="PLAQUETTES"/>
    <x v="0"/>
    <n v="70"/>
  </r>
  <r>
    <d v="2025-08-27T01:53:23"/>
    <x v="1"/>
    <s v="Plaquettes d'ébauches carrées"/>
    <s v="j519914"/>
    <s v="MARLY DAVID"/>
    <n v="10"/>
    <x v="2"/>
    <x v="1"/>
    <s v="PLAQUETTES"/>
    <x v="1"/>
    <n v="71.2"/>
  </r>
  <r>
    <d v="2025-03-19T01:06:18"/>
    <x v="2"/>
    <s v="Plaquettes d'ébauches rhombiques"/>
    <s v="SD13196"/>
    <s v="FRADIN MAXIME"/>
    <n v="10"/>
    <x v="0"/>
    <x v="1"/>
    <s v="PLAQUETTES"/>
    <x v="0"/>
    <n v="70"/>
  </r>
  <r>
    <d v="2025-03-19T06:40:32"/>
    <x v="2"/>
    <s v="Plaquettes d'ébauches rhombiques"/>
    <s v="080924"/>
    <s v="DABLEMONT AURELIEN"/>
    <n v="10"/>
    <x v="0"/>
    <x v="1"/>
    <s v="PLAQUETTES"/>
    <x v="0"/>
    <n v="70"/>
  </r>
  <r>
    <d v="2025-08-27T06:25:18"/>
    <x v="6"/>
    <s v="Plaquettes de finition positives"/>
    <s v="u462308"/>
    <s v="MAITRE SEBASTIEN"/>
    <n v="10"/>
    <x v="1"/>
    <x v="2"/>
    <s v="PLAQUETTES"/>
    <x v="0"/>
    <n v="87"/>
  </r>
  <r>
    <d v="2025-03-19T13:26:53"/>
    <x v="2"/>
    <s v="Plaquettes d'ébauches rhombiques"/>
    <s v="SE38185"/>
    <s v="VENIAT PIERRE NICOLAS"/>
    <n v="10"/>
    <x v="0"/>
    <x v="2"/>
    <s v="PLAQUETTES"/>
    <x v="1"/>
    <n v="70"/>
  </r>
  <r>
    <d v="2025-08-27T11:07:07"/>
    <x v="6"/>
    <s v="Plaquettes de finition positives"/>
    <s v="SD13196"/>
    <s v="FRADIN MAXIME"/>
    <n v="10"/>
    <x v="3"/>
    <x v="2"/>
    <s v="PLAQUETTES"/>
    <x v="0"/>
    <n v="87"/>
  </r>
  <r>
    <d v="2025-08-27T11:07:19"/>
    <x v="2"/>
    <s v="Plaquettes d'ébauches rhombiques"/>
    <s v="SD13196"/>
    <s v="FRADIN MAXIME"/>
    <n v="10"/>
    <x v="2"/>
    <x v="1"/>
    <s v="PLAQUETTES"/>
    <x v="1"/>
    <n v="70"/>
  </r>
  <r>
    <d v="2025-08-27T15:40:22"/>
    <x v="2"/>
    <s v="Plaquettes d'ébauches rhombiques"/>
    <s v="u134838"/>
    <s v="DANAH STEPHANIE"/>
    <n v="10"/>
    <x v="1"/>
    <x v="0"/>
    <s v="PLAQUETTES"/>
    <x v="0"/>
    <n v="70"/>
  </r>
  <r>
    <d v="2025-08-27T15:40:41"/>
    <x v="6"/>
    <s v="Plaquettes de finition positives"/>
    <s v="u134838"/>
    <s v="DANAH STEPHANIE"/>
    <n v="10"/>
    <x v="3"/>
    <x v="2"/>
    <s v="PLAQUETTES"/>
    <x v="0"/>
    <n v="87"/>
  </r>
  <r>
    <d v="2025-08-27T15:41:02"/>
    <x v="4"/>
    <s v="Plaquettes de finition"/>
    <s v="u134838"/>
    <s v="DANAH STEPHANIE"/>
    <n v="5"/>
    <x v="2"/>
    <x v="2"/>
    <s v="PLAQUETTES"/>
    <x v="1"/>
    <n v="47.8"/>
  </r>
  <r>
    <d v="2025-08-27T15:41:21"/>
    <x v="9"/>
    <s v="Plaquettes rhombiques"/>
    <s v="u134838"/>
    <s v="DANAH STEPHANIE"/>
    <n v="5"/>
    <x v="2"/>
    <x v="2"/>
    <s v="PLAQUETTES"/>
    <x v="1"/>
    <n v="44.85"/>
  </r>
  <r>
    <d v="2025-08-27T15:41:46"/>
    <x v="8"/>
    <s v="Plaquettes rhombiques"/>
    <s v="u134838"/>
    <s v="DANAH STEPHANIE"/>
    <n v="5"/>
    <x v="2"/>
    <x v="2"/>
    <s v="PLAQUETTES"/>
    <x v="1"/>
    <n v="18.399999999999999"/>
  </r>
  <r>
    <d v="2025-08-27T22:28:18"/>
    <x v="6"/>
    <s v="Plaquettes de finition positives"/>
    <s v="j519914"/>
    <s v="MARLY DAVID"/>
    <n v="10"/>
    <x v="1"/>
    <x v="2"/>
    <s v="PLAQUETTES"/>
    <x v="0"/>
    <n v="87"/>
  </r>
  <r>
    <d v="2025-03-20T05:31:23"/>
    <x v="2"/>
    <s v="Plaquettes d'ébauches rhombiques"/>
    <s v="080924"/>
    <s v="DABLEMONT AURELIEN"/>
    <n v="10"/>
    <x v="0"/>
    <x v="0"/>
    <s v="PLAQUETTES"/>
    <x v="0"/>
    <n v="70"/>
  </r>
  <r>
    <d v="2025-08-27T22:29:19"/>
    <x v="2"/>
    <s v="Plaquettes d'ébauches rhombiques"/>
    <s v="j519914"/>
    <s v="MARLY DAVID"/>
    <n v="10"/>
    <x v="1"/>
    <x v="1"/>
    <s v="PLAQUETTES"/>
    <x v="0"/>
    <n v="70"/>
  </r>
  <r>
    <d v="2025-03-22T16:47:17"/>
    <x v="2"/>
    <s v="Plaquettes d'ébauches rhombiques"/>
    <s v="U054304"/>
    <s v="BOUACHIK HICHAM"/>
    <n v="10"/>
    <x v="0"/>
    <x v="0"/>
    <s v="PLAQUETTES"/>
    <x v="0"/>
    <n v="70"/>
  </r>
  <r>
    <d v="2025-08-27T22:30:20"/>
    <x v="2"/>
    <s v="Plaquettes d'ébauches rhombiques"/>
    <s v="j519914"/>
    <s v="MARLY DAVID"/>
    <n v="10"/>
    <x v="1"/>
    <x v="1"/>
    <s v="PLAQUETTES"/>
    <x v="0"/>
    <n v="70"/>
  </r>
  <r>
    <d v="2025-08-28T05:44:00"/>
    <x v="2"/>
    <s v="Plaquettes d'ébauches rhombiques"/>
    <s v="SD13196"/>
    <s v="FRADIN MAXIME"/>
    <n v="10"/>
    <x v="2"/>
    <x v="1"/>
    <s v="PLAQUETTES"/>
    <x v="1"/>
    <n v="70"/>
  </r>
  <r>
    <d v="2025-08-28T05:44:16"/>
    <x v="3"/>
    <s v="Plaquettes rondes"/>
    <s v="SD13196"/>
    <s v="FRADIN MAXIME"/>
    <n v="10"/>
    <x v="2"/>
    <x v="0"/>
    <s v="PLAQUETTES"/>
    <x v="1"/>
    <n v="136.69999999999999"/>
  </r>
  <r>
    <d v="2025-08-28T05:44:39"/>
    <x v="6"/>
    <s v="Plaquettes de finition positives"/>
    <s v="SD13196"/>
    <s v="FRADIN MAXIME"/>
    <n v="10"/>
    <x v="3"/>
    <x v="2"/>
    <s v="PLAQUETTES"/>
    <x v="0"/>
    <n v="87"/>
  </r>
  <r>
    <d v="2025-03-23T19:43:46"/>
    <x v="2"/>
    <s v="Plaquettes d'ébauches rhombiques"/>
    <s v="U054304"/>
    <s v="BOUACHIK HICHAM"/>
    <n v="10"/>
    <x v="0"/>
    <x v="0"/>
    <s v="PLAQUETTES"/>
    <x v="0"/>
    <n v="70"/>
  </r>
  <r>
    <d v="2025-08-28T12:24:04"/>
    <x v="4"/>
    <s v="Plaquettes de finition"/>
    <s v="SD13196"/>
    <s v="FRADIN MAXIME"/>
    <n v="5"/>
    <x v="2"/>
    <x v="2"/>
    <s v="PLAQUETTES"/>
    <x v="1"/>
    <n v="47.8"/>
  </r>
  <r>
    <d v="2025-03-24T05:15:14"/>
    <x v="2"/>
    <s v="Plaquettes d'ébauches rhombiques"/>
    <s v="170325"/>
    <s v="VERDELET BASTIEN"/>
    <n v="10"/>
    <x v="0"/>
    <x v="0"/>
    <s v="PLAQUETTES"/>
    <x v="0"/>
    <n v="70"/>
  </r>
  <r>
    <d v="2025-03-24T22:36:25"/>
    <x v="2"/>
    <s v="Plaquettes d'ébauches rhombiques"/>
    <s v="080924"/>
    <s v="DABLEMONT AURELIEN"/>
    <n v="10"/>
    <x v="0"/>
    <x v="1"/>
    <s v="PLAQUETTES"/>
    <x v="0"/>
    <n v="70"/>
  </r>
  <r>
    <d v="2025-08-28T16:11:55"/>
    <x v="4"/>
    <s v="Plaquettes de finition"/>
    <s v="u134838"/>
    <s v="DANAH STEPHANIE"/>
    <n v="5"/>
    <x v="2"/>
    <x v="2"/>
    <s v="PLAQUETTES"/>
    <x v="1"/>
    <n v="47.8"/>
  </r>
  <r>
    <d v="2025-08-28T16:12:12"/>
    <x v="11"/>
    <s v="Plaquettes de finition triangulaires"/>
    <s v="u134838"/>
    <s v="DANAH STEPHANIE"/>
    <n v="10"/>
    <x v="2"/>
    <x v="2"/>
    <s v="PLAQUETTES"/>
    <x v="1"/>
    <n v="118.7"/>
  </r>
  <r>
    <d v="2025-08-28T16:12:29"/>
    <x v="8"/>
    <s v="Plaquettes rhombiques"/>
    <s v="u134838"/>
    <s v="DANAH STEPHANIE"/>
    <n v="5"/>
    <x v="2"/>
    <x v="2"/>
    <s v="PLAQUETTES"/>
    <x v="1"/>
    <n v="18.399999999999999"/>
  </r>
  <r>
    <d v="2025-08-28T16:12:50"/>
    <x v="6"/>
    <s v="Plaquettes de finition positives"/>
    <s v="u134838"/>
    <s v="DANAH STEPHANIE"/>
    <n v="10"/>
    <x v="3"/>
    <x v="2"/>
    <s v="PLAQUETTES"/>
    <x v="0"/>
    <n v="87"/>
  </r>
  <r>
    <d v="2025-08-28T16:13:12"/>
    <x v="5"/>
    <s v="Plaquettes rondes"/>
    <s v="u134838"/>
    <s v="DANAH STEPHANIE"/>
    <n v="10"/>
    <x v="3"/>
    <x v="0"/>
    <s v="PLAQUETTES"/>
    <x v="0"/>
    <n v="108.5"/>
  </r>
  <r>
    <d v="2025-08-28T16:13:31"/>
    <x v="2"/>
    <s v="Plaquettes d'ébauches rhombiques"/>
    <s v="u134838"/>
    <s v="DANAH STEPHANIE"/>
    <n v="10"/>
    <x v="3"/>
    <x v="0"/>
    <s v="PLAQUETTES"/>
    <x v="0"/>
    <n v="70"/>
  </r>
  <r>
    <d v="2025-08-28T16:13:47"/>
    <x v="1"/>
    <s v="Plaquettes d'ébauches carrées"/>
    <s v="u134838"/>
    <s v="DANAH STEPHANIE"/>
    <n v="10"/>
    <x v="3"/>
    <x v="0"/>
    <s v="PLAQUETTES"/>
    <x v="0"/>
    <n v="71.2"/>
  </r>
  <r>
    <d v="2025-03-25T21:23:27"/>
    <x v="2"/>
    <s v="Plaquettes d'ébauches rhombiques"/>
    <s v="080924"/>
    <s v="DABLEMONT AURELIEN"/>
    <n v="10"/>
    <x v="0"/>
    <x v="1"/>
    <s v="PLAQUETTES"/>
    <x v="0"/>
    <n v="70"/>
  </r>
  <r>
    <d v="2025-03-26T21:08:14"/>
    <x v="2"/>
    <s v="Plaquettes d'ébauches rhombiques"/>
    <s v="VERGE G"/>
    <s v="VERGE GREGORY"/>
    <n v="10"/>
    <x v="0"/>
    <x v="1"/>
    <s v="PLAQUETTES"/>
    <x v="0"/>
    <n v="70"/>
  </r>
  <r>
    <d v="2025-03-26T21:08:35"/>
    <x v="2"/>
    <s v="Plaquettes d'ébauches rhombiques"/>
    <s v="VERGE G"/>
    <s v="VERGE GREGORY"/>
    <n v="10"/>
    <x v="0"/>
    <x v="1"/>
    <s v="PLAQUETTES"/>
    <x v="3"/>
    <n v="70"/>
  </r>
  <r>
    <d v="2025-03-27T12:22:44"/>
    <x v="2"/>
    <s v="Plaquettes d'ébauches rhombiques"/>
    <s v="u134838"/>
    <s v="DANAH STEPHANIE"/>
    <n v="10"/>
    <x v="0"/>
    <x v="1"/>
    <s v="PLAQUETTES"/>
    <x v="0"/>
    <n v="70"/>
  </r>
  <r>
    <d v="2025-08-28T23:53:12"/>
    <x v="6"/>
    <s v="Plaquettes de finition positives"/>
    <s v="230525"/>
    <s v="SOULAS YANIS"/>
    <n v="10"/>
    <x v="1"/>
    <x v="2"/>
    <s v="PLAQUETTES"/>
    <x v="0"/>
    <n v="87"/>
  </r>
  <r>
    <d v="2025-03-27T17:17:04"/>
    <x v="2"/>
    <s v="Plaquettes d'ébauches rhombiques"/>
    <s v="SD13196"/>
    <s v="FRADIN MAXIME"/>
    <n v="10"/>
    <x v="0"/>
    <x v="0"/>
    <s v="PLAQUETTES"/>
    <x v="0"/>
    <n v="70"/>
  </r>
  <r>
    <d v="2025-08-29T07:43:47"/>
    <x v="5"/>
    <s v="Plaquettes rondes"/>
    <s v="U054304"/>
    <s v="BOUACHIK HICHAM"/>
    <n v="10"/>
    <x v="1"/>
    <x v="0"/>
    <s v="PLAQUETTES"/>
    <x v="0"/>
    <n v="108.5"/>
  </r>
  <r>
    <d v="2025-08-29T09:50:28"/>
    <x v="4"/>
    <s v="Plaquettes de finition"/>
    <s v="U198152"/>
    <s v="AJMIK MUSTAPHA"/>
    <n v="5"/>
    <x v="2"/>
    <x v="2"/>
    <s v="PLAQUETTES"/>
    <x v="1"/>
    <n v="47.8"/>
  </r>
  <r>
    <d v="2025-08-29T09:50:44"/>
    <x v="6"/>
    <s v="Plaquettes de finition positives"/>
    <s v="U198152"/>
    <s v="AJMIK MUSTAPHA"/>
    <n v="10"/>
    <x v="3"/>
    <x v="2"/>
    <s v="PLAQUETTES"/>
    <x v="3"/>
    <n v="87"/>
  </r>
  <r>
    <d v="2025-08-29T09:51:04"/>
    <x v="1"/>
    <s v="Plaquettes d'ébauches carrées"/>
    <s v="U198152"/>
    <s v="AJMIK MUSTAPHA"/>
    <n v="10"/>
    <x v="2"/>
    <x v="0"/>
    <s v="PLAQUETTES"/>
    <x v="1"/>
    <n v="71.2"/>
  </r>
  <r>
    <d v="2025-08-29T09:51:26"/>
    <x v="2"/>
    <s v="Plaquettes d'ébauches rhombiques"/>
    <s v="U198152"/>
    <s v="AJMIK MUSTAPHA"/>
    <n v="10"/>
    <x v="2"/>
    <x v="0"/>
    <s v="PLAQUETTES"/>
    <x v="1"/>
    <n v="70"/>
  </r>
  <r>
    <d v="2025-03-27T21:17:03"/>
    <x v="2"/>
    <s v="Plaquettes d'ébauches rhombiques"/>
    <s v="080924"/>
    <s v="DABLEMONT AURELIEN"/>
    <n v="10"/>
    <x v="0"/>
    <x v="1"/>
    <s v="PLAQUETTES"/>
    <x v="0"/>
    <n v="70"/>
  </r>
  <r>
    <d v="2025-08-29T14:09:08"/>
    <x v="2"/>
    <s v="Plaquettes d'ébauches rhombiques"/>
    <s v="170325"/>
    <s v="VERDELET BASTIEN"/>
    <n v="10"/>
    <x v="1"/>
    <x v="0"/>
    <s v="PLAQUETTES"/>
    <x v="0"/>
    <n v="70"/>
  </r>
  <r>
    <d v="2025-08-29T14:09:25"/>
    <x v="1"/>
    <s v="Plaquettes d'ébauches carrées"/>
    <s v="170325"/>
    <s v="VERDELET BASTIEN"/>
    <n v="10"/>
    <x v="1"/>
    <x v="0"/>
    <s v="PLAQUETTES"/>
    <x v="0"/>
    <n v="71.2"/>
  </r>
  <r>
    <d v="2025-03-28T16:17:31"/>
    <x v="2"/>
    <s v="Plaquettes d'ébauches rhombiques"/>
    <s v="J609988"/>
    <s v="AMALRIC VINCENT"/>
    <n v="10"/>
    <x v="0"/>
    <x v="1"/>
    <s v="PLAQUETTES"/>
    <x v="0"/>
    <n v="70"/>
  </r>
  <r>
    <d v="2025-03-28T21:09:52"/>
    <x v="2"/>
    <s v="Plaquettes d'ébauches rhombiques"/>
    <s v="080924"/>
    <s v="DABLEMONT AURELIEN"/>
    <n v="10"/>
    <x v="0"/>
    <x v="1"/>
    <s v="PLAQUETTES"/>
    <x v="0"/>
    <n v="70"/>
  </r>
  <r>
    <d v="2025-08-29T22:58:05"/>
    <x v="2"/>
    <s v="Plaquettes d'ébauches rhombiques"/>
    <s v="j519914"/>
    <s v="MARLY DAVID"/>
    <n v="10"/>
    <x v="1"/>
    <x v="0"/>
    <s v="PLAQUETTES"/>
    <x v="0"/>
    <n v="70"/>
  </r>
  <r>
    <d v="2025-08-29T22:58:32"/>
    <x v="1"/>
    <s v="Plaquettes d'ébauches carrées"/>
    <s v="j519914"/>
    <s v="MARLY DAVID"/>
    <n v="10"/>
    <x v="1"/>
    <x v="0"/>
    <s v="PLAQUETTES"/>
    <x v="0"/>
    <n v="71.2"/>
  </r>
  <r>
    <d v="2025-08-29T22:58:56"/>
    <x v="6"/>
    <s v="Plaquettes de finition positives"/>
    <s v="j519914"/>
    <s v="MARLY DAVID"/>
    <n v="10"/>
    <x v="1"/>
    <x v="2"/>
    <s v="PLAQUETTES"/>
    <x v="0"/>
    <n v="87"/>
  </r>
  <r>
    <d v="2025-08-30T02:18:48"/>
    <x v="4"/>
    <s v="Plaquettes de finition"/>
    <s v="VERGE G"/>
    <s v="VERGE GREGORY"/>
    <n v="5"/>
    <x v="2"/>
    <x v="2"/>
    <s v="PLAQUETTES"/>
    <x v="1"/>
    <n v="47.8"/>
  </r>
  <r>
    <d v="2025-08-30T02:19:02"/>
    <x v="2"/>
    <s v="Plaquettes d'ébauches rhombiques"/>
    <s v="VERGE G"/>
    <s v="VERGE GREGORY"/>
    <n v="10"/>
    <x v="2"/>
    <x v="1"/>
    <s v="PLAQUETTES"/>
    <x v="1"/>
    <n v="70"/>
  </r>
  <r>
    <d v="2025-08-30T02:19:16"/>
    <x v="2"/>
    <s v="Plaquettes d'ébauches rhombiques"/>
    <s v="VERGE G"/>
    <s v="VERGE GREGORY"/>
    <n v="10"/>
    <x v="2"/>
    <x v="1"/>
    <s v="PLAQUETTES"/>
    <x v="1"/>
    <n v="70"/>
  </r>
  <r>
    <d v="2025-08-30T05:15:26"/>
    <x v="4"/>
    <s v="Plaquettes de finition"/>
    <s v="U198152"/>
    <s v="AJMIK MUSTAPHA"/>
    <n v="5"/>
    <x v="2"/>
    <x v="2"/>
    <s v="PLAQUETTES"/>
    <x v="1"/>
    <n v="47.8"/>
  </r>
  <r>
    <d v="2025-08-30T05:15:45"/>
    <x v="9"/>
    <s v="Plaquettes rhombiques"/>
    <s v="U198152"/>
    <s v="AJMIK MUSTAPHA"/>
    <n v="5"/>
    <x v="2"/>
    <x v="2"/>
    <s v="PLAQUETTES"/>
    <x v="1"/>
    <n v="44.85"/>
  </r>
  <r>
    <d v="2025-08-30T05:16:04"/>
    <x v="8"/>
    <s v="Plaquettes rhombiques"/>
    <s v="U198152"/>
    <s v="AJMIK MUSTAPHA"/>
    <n v="5"/>
    <x v="2"/>
    <x v="2"/>
    <s v="PLAQUETTES"/>
    <x v="1"/>
    <n v="18.399999999999999"/>
  </r>
  <r>
    <d v="2025-08-30T05:16:18"/>
    <x v="6"/>
    <s v="Plaquettes de finition positives"/>
    <s v="U198152"/>
    <s v="AJMIK MUSTAPHA"/>
    <n v="10"/>
    <x v="3"/>
    <x v="2"/>
    <s v="PLAQUETTES"/>
    <x v="3"/>
    <n v="87"/>
  </r>
  <r>
    <d v="2025-08-30T05:16:36"/>
    <x v="5"/>
    <s v="Plaquettes rondes"/>
    <s v="U198152"/>
    <s v="AJMIK MUSTAPHA"/>
    <n v="10"/>
    <x v="2"/>
    <x v="0"/>
    <s v="PLAQUETTES"/>
    <x v="1"/>
    <n v="108.5"/>
  </r>
  <r>
    <d v="2025-08-30T05:17:13"/>
    <x v="3"/>
    <s v="Plaquettes rondes"/>
    <s v="U198152"/>
    <s v="AJMIK MUSTAPHA"/>
    <n v="10"/>
    <x v="2"/>
    <x v="0"/>
    <s v="PLAQUETTES"/>
    <x v="1"/>
    <n v="136.69999999999999"/>
  </r>
  <r>
    <d v="2025-08-30T14:33:09"/>
    <x v="4"/>
    <s v="Plaquettes de finition"/>
    <s v="U198152"/>
    <s v="AJMIK MUSTAPHA"/>
    <n v="5"/>
    <x v="2"/>
    <x v="2"/>
    <s v="PLAQUETTES"/>
    <x v="1"/>
    <n v="47.8"/>
  </r>
  <r>
    <d v="2025-08-30T14:33:29"/>
    <x v="6"/>
    <s v="Plaquettes de finition positives"/>
    <s v="U198152"/>
    <s v="AJMIK MUSTAPHA"/>
    <n v="10"/>
    <x v="3"/>
    <x v="2"/>
    <s v="PLAQUETTES"/>
    <x v="0"/>
    <n v="87"/>
  </r>
  <r>
    <d v="2025-08-30T18:11:06"/>
    <x v="6"/>
    <s v="Plaquettes de finition positives"/>
    <s v="U534565"/>
    <s v="HOAREAU MARIUS"/>
    <n v="10"/>
    <x v="1"/>
    <x v="2"/>
    <s v="PLAQUETTES"/>
    <x v="0"/>
    <n v="87"/>
  </r>
  <r>
    <d v="2025-08-30T19:31:12"/>
    <x v="3"/>
    <s v="Plaquettes rondes"/>
    <s v="U518765"/>
    <s v="ROY ADELINE"/>
    <n v="10"/>
    <x v="2"/>
    <x v="0"/>
    <s v="PLAQUETTES"/>
    <x v="1"/>
    <n v="136.69999999999999"/>
  </r>
  <r>
    <d v="2025-08-30T19:31:30"/>
    <x v="2"/>
    <s v="Plaquettes d'ébauches rhombiques"/>
    <s v="U518765"/>
    <s v="ROY ADELINE"/>
    <n v="10"/>
    <x v="2"/>
    <x v="0"/>
    <s v="PLAQUETTES"/>
    <x v="1"/>
    <n v="70"/>
  </r>
  <r>
    <d v="2025-08-30T19:31:56"/>
    <x v="1"/>
    <s v="Plaquettes d'ébauches carrées"/>
    <s v="U518765"/>
    <s v="ROY ADELINE"/>
    <n v="10"/>
    <x v="2"/>
    <x v="0"/>
    <s v="PLAQUETTES"/>
    <x v="1"/>
    <n v="71.2"/>
  </r>
  <r>
    <d v="2025-08-30T19:32:24"/>
    <x v="5"/>
    <s v="Plaquettes rondes"/>
    <s v="U518765"/>
    <s v="ROY ADELINE"/>
    <n v="10"/>
    <x v="3"/>
    <x v="0"/>
    <s v="PLAQUETTES"/>
    <x v="0"/>
    <n v="108.5"/>
  </r>
  <r>
    <d v="2025-08-30T19:32:41"/>
    <x v="4"/>
    <s v="Plaquettes de finition"/>
    <s v="U518765"/>
    <s v="ROY ADELINE"/>
    <n v="5"/>
    <x v="2"/>
    <x v="2"/>
    <s v="PLAQUETTES"/>
    <x v="1"/>
    <n v="47.8"/>
  </r>
  <r>
    <d v="2025-08-31T05:59:38"/>
    <x v="2"/>
    <s v="Plaquettes d'ébauches rhombiques"/>
    <s v="U054304"/>
    <s v="BOUACHIK HICHAM"/>
    <n v="10"/>
    <x v="1"/>
    <x v="0"/>
    <s v="PLAQUETTES"/>
    <x v="0"/>
    <n v="70"/>
  </r>
  <r>
    <d v="2025-08-31T05:59:52"/>
    <x v="1"/>
    <s v="Plaquettes d'ébauches carrées"/>
    <s v="U054304"/>
    <s v="BOUACHIK HICHAM"/>
    <n v="10"/>
    <x v="1"/>
    <x v="0"/>
    <s v="PLAQUETTES"/>
    <x v="0"/>
    <n v="71.2"/>
  </r>
  <r>
    <d v="2025-08-31T06:00:09"/>
    <x v="5"/>
    <s v="Plaquettes rondes"/>
    <s v="U054304"/>
    <s v="BOUACHIK HICHAM"/>
    <n v="10"/>
    <x v="1"/>
    <x v="0"/>
    <s v="PLAQUETTES"/>
    <x v="0"/>
    <n v="108.5"/>
  </r>
  <r>
    <d v="2025-08-31T06:27:47"/>
    <x v="6"/>
    <s v="Plaquettes de finition positives"/>
    <s v="U054304"/>
    <s v="BOUACHIK HICHAM"/>
    <n v="10"/>
    <x v="1"/>
    <x v="2"/>
    <s v="PLAQUETTES"/>
    <x v="0"/>
    <n v="87"/>
  </r>
  <r>
    <d v="2025-08-31T06:27:59"/>
    <x v="6"/>
    <s v="Plaquettes de finition positives"/>
    <s v="U054304"/>
    <s v="BOUACHIK HICHAM"/>
    <n v="10"/>
    <x v="1"/>
    <x v="2"/>
    <s v="PLAQUETTES"/>
    <x v="0"/>
    <n v="87"/>
  </r>
  <r>
    <d v="2025-08-31T14:10:54"/>
    <x v="2"/>
    <s v="Plaquettes d'ébauches rhombiques"/>
    <s v="U054304"/>
    <s v="BOUACHIK HICHAM"/>
    <n v="10"/>
    <x v="1"/>
    <x v="0"/>
    <s v="PLAQUETTES"/>
    <x v="0"/>
    <n v="70"/>
  </r>
  <r>
    <d v="2025-08-31T17:06:26"/>
    <x v="1"/>
    <s v="Plaquettes d'ébauches carrées"/>
    <s v="U518765"/>
    <s v="ROY ADELINE"/>
    <n v="10"/>
    <x v="2"/>
    <x v="0"/>
    <s v="PLAQUETTES"/>
    <x v="1"/>
    <n v="71.2"/>
  </r>
  <r>
    <d v="2025-08-31T17:06:46"/>
    <x v="6"/>
    <s v="Plaquettes de finition positives"/>
    <s v="U518765"/>
    <s v="ROY ADELINE"/>
    <n v="10"/>
    <x v="3"/>
    <x v="2"/>
    <s v="PLAQUETTES"/>
    <x v="0"/>
    <n v="87"/>
  </r>
  <r>
    <d v="2025-08-31T17:07:06"/>
    <x v="10"/>
    <s v="Plaquettes de finition"/>
    <s v="U518765"/>
    <s v="ROY ADELINE"/>
    <n v="10"/>
    <x v="3"/>
    <x v="2"/>
    <s v="PLAQUETTES"/>
    <x v="0"/>
    <n v="109.7"/>
  </r>
  <r>
    <d v="2025-08-31T17:07:33"/>
    <x v="3"/>
    <s v="Plaquettes rondes"/>
    <s v="U518765"/>
    <s v="ROY ADELINE"/>
    <n v="10"/>
    <x v="2"/>
    <x v="0"/>
    <s v="PLAQUETTES"/>
    <x v="1"/>
    <n v="136.69999999999999"/>
  </r>
  <r>
    <d v="2025-08-31T17:07:49"/>
    <x v="5"/>
    <s v="Plaquettes rondes"/>
    <s v="U518765"/>
    <s v="ROY ADELINE"/>
    <n v="10"/>
    <x v="3"/>
    <x v="0"/>
    <s v="PLAQUETTES"/>
    <x v="0"/>
    <n v="108.5"/>
  </r>
  <r>
    <d v="2025-08-31T17:08:11"/>
    <x v="2"/>
    <s v="Plaquettes d'ébauches rhombiques"/>
    <s v="U518765"/>
    <s v="ROY ADELINE"/>
    <n v="10"/>
    <x v="3"/>
    <x v="0"/>
    <s v="PLAQUETTES"/>
    <x v="0"/>
    <n v="70"/>
  </r>
  <r>
    <d v="2025-08-31T17:08:35"/>
    <x v="8"/>
    <s v="Plaquettes rhombiques"/>
    <s v="U518765"/>
    <s v="ROY ADELINE"/>
    <n v="5"/>
    <x v="2"/>
    <x v="2"/>
    <s v="PLAQUETTES"/>
    <x v="1"/>
    <n v="18.399999999999999"/>
  </r>
  <r>
    <d v="2025-08-31T17:08:54"/>
    <x v="4"/>
    <s v="Plaquettes de finition"/>
    <s v="U518765"/>
    <s v="ROY ADELINE"/>
    <n v="5"/>
    <x v="2"/>
    <x v="2"/>
    <s v="PLAQUETTES"/>
    <x v="1"/>
    <n v="47.8"/>
  </r>
  <r>
    <d v="2025-08-31T17:09:23"/>
    <x v="6"/>
    <s v="Plaquettes de finition positives"/>
    <s v="U534565"/>
    <s v="HOAREAU MARIUS"/>
    <n v="10"/>
    <x v="1"/>
    <x v="2"/>
    <s v="PLAQUETTES"/>
    <x v="0"/>
    <n v="87"/>
  </r>
  <r>
    <d v="2025-03-29T05:11:46"/>
    <x v="2"/>
    <s v="Plaquettes d'ébauches rhombiques"/>
    <s v="U054304"/>
    <s v="BOUACHIK HICHAM"/>
    <n v="10"/>
    <x v="0"/>
    <x v="0"/>
    <s v="PLAQUETTES"/>
    <x v="0"/>
    <n v="70"/>
  </r>
  <r>
    <d v="2025-04-01T13:08:21"/>
    <x v="2"/>
    <s v="Plaquettes d'ébauches rhombiques"/>
    <s v="080924"/>
    <s v="DABLEMONT AURELIEN"/>
    <n v="10"/>
    <x v="0"/>
    <x v="1"/>
    <s v="PLAQUETTES"/>
    <x v="0"/>
    <n v="70"/>
  </r>
  <r>
    <d v="2025-04-01T23:21:19"/>
    <x v="2"/>
    <s v="Plaquettes d'ébauches rhombiques"/>
    <s v="170325"/>
    <s v="VERDELET BASTIEN"/>
    <n v="10"/>
    <x v="0"/>
    <x v="0"/>
    <s v="PLAQUETTES"/>
    <x v="0"/>
    <n v="70"/>
  </r>
  <r>
    <d v="2025-09-01T11:47:22"/>
    <x v="6"/>
    <s v="Plaquettes de finition positives"/>
    <s v="u134838"/>
    <s v="DANAH STEPHANIE"/>
    <n v="10"/>
    <x v="1"/>
    <x v="2"/>
    <s v="PLAQUETTES"/>
    <x v="0"/>
    <n v="87"/>
  </r>
  <r>
    <d v="2025-04-02T19:37:20"/>
    <x v="2"/>
    <s v="Plaquettes d'ébauches rhombiques"/>
    <s v="080924"/>
    <s v="DABLEMONT AURELIEN"/>
    <n v="10"/>
    <x v="0"/>
    <x v="0"/>
    <s v="PLAQUETTES"/>
    <x v="0"/>
    <n v="70"/>
  </r>
  <r>
    <d v="2025-09-01T13:29:45"/>
    <x v="2"/>
    <s v="Plaquettes d'ébauches rhombiques"/>
    <s v="u462308"/>
    <s v="MAITRE SEBASTIEN"/>
    <n v="10"/>
    <x v="3"/>
    <x v="1"/>
    <s v="PLAQUETTES"/>
    <x v="0"/>
    <n v="70"/>
  </r>
  <r>
    <d v="2025-09-01T13:30:02"/>
    <x v="6"/>
    <s v="Plaquettes de finition positives"/>
    <s v="u462308"/>
    <s v="MAITRE SEBASTIEN"/>
    <n v="10"/>
    <x v="3"/>
    <x v="2"/>
    <s v="PLAQUETTES"/>
    <x v="0"/>
    <n v="87"/>
  </r>
  <r>
    <d v="2025-09-01T13:30:18"/>
    <x v="9"/>
    <s v="Plaquettes rhombiques"/>
    <s v="u462308"/>
    <s v="MAITRE SEBASTIEN"/>
    <n v="5"/>
    <x v="2"/>
    <x v="2"/>
    <s v="PLAQUETTES"/>
    <x v="1"/>
    <n v="44.85"/>
  </r>
  <r>
    <d v="2025-09-01T13:30:35"/>
    <x v="11"/>
    <s v="Plaquettes de finition triangulaires"/>
    <s v="u462308"/>
    <s v="MAITRE SEBASTIEN"/>
    <n v="10"/>
    <x v="2"/>
    <x v="2"/>
    <s v="PLAQUETTES"/>
    <x v="1"/>
    <n v="118.7"/>
  </r>
  <r>
    <d v="2025-09-01T20:06:51"/>
    <x v="2"/>
    <s v="Plaquettes d'ébauches rhombiques"/>
    <s v="SD13196"/>
    <s v="FRADIN MAXIME"/>
    <n v="10"/>
    <x v="3"/>
    <x v="1"/>
    <s v="PLAQUETTES"/>
    <x v="0"/>
    <n v="70"/>
  </r>
  <r>
    <d v="2025-04-03T02:20:28"/>
    <x v="2"/>
    <s v="Plaquettes d'ébauches rhombiques"/>
    <s v="170325"/>
    <s v="VERDELET BASTIEN"/>
    <n v="10"/>
    <x v="0"/>
    <x v="0"/>
    <s v="PLAQUETTES"/>
    <x v="0"/>
    <n v="70"/>
  </r>
  <r>
    <d v="2025-04-04T13:30:10"/>
    <x v="2"/>
    <s v="Plaquettes d'ébauches rhombiques"/>
    <s v="080924"/>
    <s v="DABLEMONT AURELIEN"/>
    <n v="10"/>
    <x v="0"/>
    <x v="1"/>
    <s v="PLAQUETTES"/>
    <x v="0"/>
    <n v="70"/>
  </r>
  <r>
    <d v="2025-09-01T22:09:23"/>
    <x v="6"/>
    <s v="Plaquettes de finition positives"/>
    <s v="230525"/>
    <s v="SOULAS YANIS"/>
    <n v="10"/>
    <x v="1"/>
    <x v="2"/>
    <s v="PLAQUETTES"/>
    <x v="0"/>
    <n v="87"/>
  </r>
  <r>
    <d v="2025-09-01T22:32:08"/>
    <x v="2"/>
    <s v="Plaquettes d'ébauches rhombiques"/>
    <s v="VERGE G"/>
    <s v="VERGE GREGORY"/>
    <n v="10"/>
    <x v="3"/>
    <x v="1"/>
    <s v="PLAQUETTES"/>
    <x v="3"/>
    <n v="70"/>
  </r>
  <r>
    <d v="2025-04-05T00:27:19"/>
    <x v="2"/>
    <s v="Plaquettes d'ébauches rhombiques"/>
    <s v="170325"/>
    <s v="VERDELET BASTIEN"/>
    <n v="10"/>
    <x v="0"/>
    <x v="0"/>
    <s v="PLAQUETTES"/>
    <x v="0"/>
    <n v="70"/>
  </r>
  <r>
    <d v="2025-09-01T22:32:37"/>
    <x v="6"/>
    <s v="Plaquettes de finition positives"/>
    <s v="VERGE G"/>
    <s v="VERGE GREGORY"/>
    <n v="10"/>
    <x v="3"/>
    <x v="2"/>
    <s v="PLAQUETTES"/>
    <x v="0"/>
    <n v="87"/>
  </r>
  <r>
    <d v="2025-09-02T06:20:39"/>
    <x v="4"/>
    <s v="Plaquettes de finition"/>
    <s v="170325"/>
    <s v="VERDELET BASTIEN"/>
    <n v="5"/>
    <x v="2"/>
    <x v="2"/>
    <s v="PLAQUETTES"/>
    <x v="1"/>
    <n v="47.8"/>
  </r>
  <r>
    <d v="2025-09-02T14:05:44"/>
    <x v="8"/>
    <s v="Plaquettes rhombiques"/>
    <s v="u462308"/>
    <s v="MAITRE SEBASTIEN"/>
    <n v="5"/>
    <x v="2"/>
    <x v="2"/>
    <s v="PLAQUETTES"/>
    <x v="1"/>
    <n v="18.399999999999999"/>
  </r>
  <r>
    <d v="2025-09-02T14:06:05"/>
    <x v="6"/>
    <s v="Plaquettes de finition positives"/>
    <s v="u462308"/>
    <s v="MAITRE SEBASTIEN"/>
    <n v="10"/>
    <x v="3"/>
    <x v="2"/>
    <s v="PLAQUETTES"/>
    <x v="0"/>
    <n v="87"/>
  </r>
  <r>
    <d v="2025-09-02T14:06:22"/>
    <x v="2"/>
    <s v="Plaquettes d'ébauches rhombiques"/>
    <s v="u462308"/>
    <s v="MAITRE SEBASTIEN"/>
    <n v="10"/>
    <x v="3"/>
    <x v="1"/>
    <s v="PLAQUETTES"/>
    <x v="0"/>
    <n v="70"/>
  </r>
  <r>
    <d v="2025-09-02T15:02:16"/>
    <x v="2"/>
    <s v="Plaquettes d'ébauches rhombiques"/>
    <s v="SD13196"/>
    <s v="FRADIN MAXIME"/>
    <n v="10"/>
    <x v="1"/>
    <x v="1"/>
    <s v="PLAQUETTES"/>
    <x v="0"/>
    <n v="70"/>
  </r>
  <r>
    <d v="2025-09-02T15:02:29"/>
    <x v="5"/>
    <s v="Plaquettes rondes"/>
    <s v="SD13196"/>
    <s v="FRADIN MAXIME"/>
    <n v="10"/>
    <x v="1"/>
    <x v="0"/>
    <s v="PLAQUETTES"/>
    <x v="0"/>
    <n v="108.5"/>
  </r>
  <r>
    <d v="2025-09-02T15:02:43"/>
    <x v="2"/>
    <s v="Plaquettes d'ébauches rhombiques"/>
    <s v="SD13196"/>
    <s v="FRADIN MAXIME"/>
    <n v="10"/>
    <x v="1"/>
    <x v="1"/>
    <s v="PLAQUETTES"/>
    <x v="0"/>
    <n v="70"/>
  </r>
  <r>
    <d v="2025-04-05T00:27:38"/>
    <x v="2"/>
    <s v="Plaquettes d'ébauches rhombiques"/>
    <s v="170325"/>
    <s v="VERDELET BASTIEN"/>
    <n v="10"/>
    <x v="0"/>
    <x v="0"/>
    <s v="PLAQUETTES"/>
    <x v="0"/>
    <n v="70"/>
  </r>
  <r>
    <d v="2025-09-02T15:23:46"/>
    <x v="6"/>
    <s v="Plaquettes de finition positives"/>
    <s v="sd13196"/>
    <s v="FRADIN MAXIME"/>
    <n v="10"/>
    <x v="1"/>
    <x v="2"/>
    <s v="PLAQUETTES"/>
    <x v="0"/>
    <n v="87"/>
  </r>
  <r>
    <d v="2025-09-02T15:24:05"/>
    <x v="6"/>
    <s v="Plaquettes de finition positives"/>
    <s v="sd13196"/>
    <s v="FRADIN MAXIME"/>
    <n v="10"/>
    <x v="1"/>
    <x v="2"/>
    <s v="PLAQUETTES"/>
    <x v="0"/>
    <n v="87"/>
  </r>
  <r>
    <d v="2025-09-02T23:13:20"/>
    <x v="4"/>
    <s v="Plaquettes de finition"/>
    <s v="j519914"/>
    <s v="MARLY DAVID"/>
    <n v="5"/>
    <x v="2"/>
    <x v="2"/>
    <s v="PLAQUETTES"/>
    <x v="1"/>
    <n v="47.8"/>
  </r>
  <r>
    <d v="2025-09-02T23:13:46"/>
    <x v="2"/>
    <s v="Plaquettes d'ébauches rhombiques"/>
    <s v="j519914"/>
    <s v="MARLY DAVID"/>
    <n v="10"/>
    <x v="1"/>
    <x v="0"/>
    <s v="PLAQUETTES"/>
    <x v="0"/>
    <n v="70"/>
  </r>
  <r>
    <d v="2025-09-02T23:14:14"/>
    <x v="6"/>
    <s v="Plaquettes de finition positives"/>
    <s v="j519914"/>
    <s v="MARLY DAVID"/>
    <n v="10"/>
    <x v="3"/>
    <x v="2"/>
    <s v="PLAQUETTES"/>
    <x v="0"/>
    <n v="87"/>
  </r>
  <r>
    <d v="2025-09-02T23:14:48"/>
    <x v="1"/>
    <s v="Plaquettes d'ébauches carrées"/>
    <s v="j519914"/>
    <s v="MARLY DAVID"/>
    <n v="10"/>
    <x v="2"/>
    <x v="0"/>
    <s v="PLAQUETTES"/>
    <x v="1"/>
    <n v="71.2"/>
  </r>
  <r>
    <d v="2025-04-06T09:43:29"/>
    <x v="2"/>
    <s v="Plaquettes d'ébauches rhombiques"/>
    <s v="U080365"/>
    <s v="ALAVOINE SAMUEL"/>
    <n v="10"/>
    <x v="0"/>
    <x v="1"/>
    <s v="PLAQUETTES"/>
    <x v="0"/>
    <n v="70"/>
  </r>
  <r>
    <d v="2025-04-07T05:17:10"/>
    <x v="2"/>
    <s v="Plaquettes d'ébauches rhombiques"/>
    <s v="080924"/>
    <s v="DABLEMONT AURELIEN"/>
    <n v="10"/>
    <x v="0"/>
    <x v="1"/>
    <s v="PLAQUETTES"/>
    <x v="0"/>
    <n v="70"/>
  </r>
  <r>
    <d v="2025-09-03T00:11:15"/>
    <x v="6"/>
    <s v="Plaquettes de finition positives"/>
    <s v="230525"/>
    <s v="SOULAS YANIS"/>
    <n v="10"/>
    <x v="1"/>
    <x v="2"/>
    <s v="PLAQUETTES"/>
    <x v="0"/>
    <n v="87"/>
  </r>
  <r>
    <d v="2025-04-07T23:25:19"/>
    <x v="2"/>
    <s v="Plaquettes d'ébauches rhombiques"/>
    <s v="J609988"/>
    <s v="AMALRIC VINCENT"/>
    <n v="10"/>
    <x v="0"/>
    <x v="1"/>
    <s v="PLAQUETTES"/>
    <x v="0"/>
    <n v="70"/>
  </r>
  <r>
    <d v="2025-04-08T13:38:52"/>
    <x v="2"/>
    <s v="Plaquettes d'ébauches rhombiques"/>
    <s v="170325"/>
    <s v="VERDELET BASTIEN"/>
    <n v="10"/>
    <x v="0"/>
    <x v="0"/>
    <s v="PLAQUETTES"/>
    <x v="0"/>
    <n v="70"/>
  </r>
  <r>
    <d v="2025-04-08T13:39:14"/>
    <x v="2"/>
    <s v="Plaquettes d'ébauches rhombiques"/>
    <s v="170325"/>
    <s v="VERDELET BASTIEN"/>
    <n v="10"/>
    <x v="0"/>
    <x v="0"/>
    <s v="PLAQUETTES"/>
    <x v="0"/>
    <n v="70"/>
  </r>
  <r>
    <d v="2025-09-03T05:43:34"/>
    <x v="6"/>
    <s v="Plaquettes de finition positives"/>
    <s v="u134838"/>
    <s v="DANAH STEPHANIE"/>
    <n v="10"/>
    <x v="1"/>
    <x v="2"/>
    <s v="PLAQUETTES"/>
    <x v="0"/>
    <n v="87"/>
  </r>
  <r>
    <d v="2025-09-03T05:43:59"/>
    <x v="2"/>
    <s v="Plaquettes d'ébauches rhombiques"/>
    <s v="u134838"/>
    <s v="DANAH STEPHANIE"/>
    <n v="10"/>
    <x v="1"/>
    <x v="0"/>
    <s v="PLAQUETTES"/>
    <x v="0"/>
    <n v="70"/>
  </r>
  <r>
    <d v="2025-09-03T15:04:05"/>
    <x v="2"/>
    <s v="Plaquettes d'ébauches rhombiques"/>
    <s v="sd13196"/>
    <s v="FRADIN MAXIME"/>
    <n v="10"/>
    <x v="2"/>
    <x v="1"/>
    <s v="PLAQUETTES"/>
    <x v="1"/>
    <n v="70"/>
  </r>
  <r>
    <d v="2025-09-03T15:04:23"/>
    <x v="8"/>
    <s v="Plaquettes rhombiques"/>
    <s v="sd13196"/>
    <s v="FRADIN MAXIME"/>
    <n v="5"/>
    <x v="2"/>
    <x v="2"/>
    <s v="PLAQUETTES"/>
    <x v="1"/>
    <n v="18.399999999999999"/>
  </r>
  <r>
    <d v="2025-09-03T16:14:44"/>
    <x v="6"/>
    <s v="Plaquettes de finition positives"/>
    <s v="u462308"/>
    <s v="MAITRE SEBASTIEN"/>
    <n v="10"/>
    <x v="1"/>
    <x v="2"/>
    <s v="PLAQUETTES"/>
    <x v="0"/>
    <n v="87"/>
  </r>
  <r>
    <d v="2025-09-03T21:18:05"/>
    <x v="2"/>
    <s v="Plaquettes d'ébauches rhombiques"/>
    <s v="VERGE G"/>
    <s v="VERGE GREGORY"/>
    <n v="10"/>
    <x v="3"/>
    <x v="1"/>
    <s v="PLAQUETTES"/>
    <x v="3"/>
    <n v="70"/>
  </r>
  <r>
    <d v="2025-09-03T21:18:18"/>
    <x v="2"/>
    <s v="Plaquettes d'ébauches rhombiques"/>
    <s v="VERGE G"/>
    <s v="VERGE GREGORY"/>
    <n v="10"/>
    <x v="3"/>
    <x v="1"/>
    <s v="PLAQUETTES"/>
    <x v="3"/>
    <n v="70"/>
  </r>
  <r>
    <d v="2025-09-03T21:18:34"/>
    <x v="1"/>
    <s v="Plaquettes d'ébauches carrées"/>
    <s v="VERGE G"/>
    <s v="VERGE GREGORY"/>
    <n v="10"/>
    <x v="3"/>
    <x v="1"/>
    <s v="PLAQUETTES"/>
    <x v="3"/>
    <n v="71.2"/>
  </r>
  <r>
    <d v="2025-09-03T21:19:03"/>
    <x v="6"/>
    <s v="Plaquettes de finition positives"/>
    <s v="VERGE G"/>
    <s v="VERGE GREGORY"/>
    <n v="10"/>
    <x v="3"/>
    <x v="2"/>
    <s v="PLAQUETTES"/>
    <x v="0"/>
    <n v="87"/>
  </r>
  <r>
    <d v="2025-09-03T21:19:24"/>
    <x v="4"/>
    <s v="Plaquettes de finition"/>
    <s v="VERGE G"/>
    <s v="VERGE GREGORY"/>
    <n v="5"/>
    <x v="2"/>
    <x v="2"/>
    <s v="PLAQUETTES"/>
    <x v="1"/>
    <n v="47.8"/>
  </r>
  <r>
    <d v="2025-09-03T21:19:47"/>
    <x v="9"/>
    <s v="Plaquettes rhombiques"/>
    <s v="VERGE G"/>
    <s v="VERGE GREGORY"/>
    <n v="5"/>
    <x v="2"/>
    <x v="2"/>
    <s v="PLAQUETTES"/>
    <x v="1"/>
    <n v="44.85"/>
  </r>
  <r>
    <d v="2025-04-08T21:20:37"/>
    <x v="2"/>
    <s v="Plaquettes d'ébauches rhombiques"/>
    <s v="J519914"/>
    <s v="MARLY DAVID"/>
    <n v="10"/>
    <x v="0"/>
    <x v="0"/>
    <s v="PLAQUETTES"/>
    <x v="0"/>
    <n v="70"/>
  </r>
  <r>
    <d v="2025-04-09T16:00:57"/>
    <x v="2"/>
    <s v="Plaquettes d'ébauches rhombiques"/>
    <s v="170325"/>
    <s v="VERDELET BASTIEN"/>
    <n v="10"/>
    <x v="0"/>
    <x v="0"/>
    <s v="PLAQUETTES"/>
    <x v="0"/>
    <n v="70"/>
  </r>
  <r>
    <d v="2025-04-09T21:48:00"/>
    <x v="2"/>
    <s v="Plaquettes d'ébauches rhombiques"/>
    <s v="J609988"/>
    <s v="AMALRIC VINCENT"/>
    <n v="10"/>
    <x v="0"/>
    <x v="1"/>
    <s v="PLAQUETTES"/>
    <x v="3"/>
    <n v="70"/>
  </r>
  <r>
    <d v="2025-09-04T05:30:03"/>
    <x v="4"/>
    <s v="Plaquettes de finition"/>
    <s v="170325"/>
    <s v="VERDELET BASTIEN"/>
    <n v="5"/>
    <x v="2"/>
    <x v="2"/>
    <s v="PLAQUETTES"/>
    <x v="1"/>
    <n v="47.8"/>
  </r>
  <r>
    <d v="2025-09-04T05:30:17"/>
    <x v="1"/>
    <s v="Plaquettes d'ébauches carrées"/>
    <s v="170325"/>
    <s v="VERDELET BASTIEN"/>
    <n v="10"/>
    <x v="2"/>
    <x v="0"/>
    <s v="PLAQUETTES"/>
    <x v="1"/>
    <n v="71.2"/>
  </r>
  <r>
    <d v="2025-09-04T05:30:40"/>
    <x v="4"/>
    <s v="Plaquettes de finition"/>
    <s v="170325"/>
    <s v="VERDELET BASTIEN"/>
    <n v="5"/>
    <x v="3"/>
    <x v="2"/>
    <s v="PLAQUETTES"/>
    <x v="2"/>
    <n v="47.8"/>
  </r>
  <r>
    <d v="2025-09-04T05:31:23"/>
    <x v="12"/>
    <s v="Plaquettes de gorge"/>
    <s v="170325"/>
    <s v="VERDELET BASTIEN"/>
    <n v="10"/>
    <x v="3"/>
    <x v="0"/>
    <s v="PLAQUETTES"/>
    <x v="2"/>
    <n v="157"/>
  </r>
  <r>
    <d v="2025-09-04T05:31:46"/>
    <x v="11"/>
    <s v="Plaquettes de finition triangulaires"/>
    <s v="170325"/>
    <s v="VERDELET BASTIEN"/>
    <n v="10"/>
    <x v="3"/>
    <x v="2"/>
    <s v="PLAQUETTES"/>
    <x v="2"/>
    <n v="118.7"/>
  </r>
  <r>
    <d v="2025-09-04T05:59:27"/>
    <x v="5"/>
    <s v="Plaquettes rondes"/>
    <s v="170325"/>
    <s v="VERDELET BASTIEN"/>
    <n v="10"/>
    <x v="2"/>
    <x v="0"/>
    <s v="PLAQUETTES"/>
    <x v="1"/>
    <n v="108.5"/>
  </r>
  <r>
    <d v="2025-04-10T07:02:38"/>
    <x v="2"/>
    <s v="Plaquettes d'ébauches rhombiques"/>
    <s v="080924"/>
    <s v="DABLEMONT AURELIEN"/>
    <n v="10"/>
    <x v="0"/>
    <x v="1"/>
    <s v="PLAQUETTES"/>
    <x v="0"/>
    <n v="70"/>
  </r>
  <r>
    <d v="2025-04-11T08:49:09"/>
    <x v="2"/>
    <s v="Plaquettes d'ébauches rhombiques"/>
    <s v="U080365"/>
    <s v="ALAVOINE SAMUEL"/>
    <n v="10"/>
    <x v="0"/>
    <x v="1"/>
    <s v="PLAQUETTES"/>
    <x v="0"/>
    <n v="70"/>
  </r>
  <r>
    <d v="2025-04-12T03:53:21"/>
    <x v="2"/>
    <s v="Plaquettes d'ébauches rhombiques"/>
    <s v="080924"/>
    <s v="DABLEMONT AURELIEN"/>
    <n v="10"/>
    <x v="0"/>
    <x v="1"/>
    <s v="PLAQUETTES"/>
    <x v="0"/>
    <n v="70"/>
  </r>
  <r>
    <d v="2025-09-04T08:06:08"/>
    <x v="5"/>
    <s v="Plaquettes rondes"/>
    <s v="170325"/>
    <s v="VERDELET BASTIEN"/>
    <n v="10"/>
    <x v="1"/>
    <x v="0"/>
    <s v="PLAQUETTES"/>
    <x v="0"/>
    <n v="108.5"/>
  </r>
  <r>
    <d v="2025-09-04T08:06:23"/>
    <x v="2"/>
    <s v="Plaquettes d'ébauches rhombiques"/>
    <s v="170325"/>
    <s v="VERDELET BASTIEN"/>
    <n v="10"/>
    <x v="1"/>
    <x v="0"/>
    <s v="PLAQUETTES"/>
    <x v="0"/>
    <n v="70"/>
  </r>
  <r>
    <d v="2025-04-12T05:14:40"/>
    <x v="2"/>
    <s v="Plaquettes d'ébauches rhombiques"/>
    <s v="U515988"/>
    <s v="BLAHA"/>
    <n v="10"/>
    <x v="0"/>
    <x v="0"/>
    <s v="PLAQUETTES"/>
    <x v="0"/>
    <n v="70"/>
  </r>
  <r>
    <d v="2025-09-04T23:49:35"/>
    <x v="4"/>
    <s v="Plaquettes de finition"/>
    <s v="j519914"/>
    <s v="MARLY DAVID"/>
    <n v="5"/>
    <x v="3"/>
    <x v="2"/>
    <s v="PLAQUETTES"/>
    <x v="2"/>
    <n v="47.8"/>
  </r>
  <r>
    <d v="2025-09-04T23:50:02"/>
    <x v="8"/>
    <s v="Plaquettes rhombiques"/>
    <s v="j519914"/>
    <s v="MARLY DAVID"/>
    <n v="5"/>
    <x v="3"/>
    <x v="2"/>
    <s v="PLAQUETTES"/>
    <x v="2"/>
    <n v="18.399999999999999"/>
  </r>
  <r>
    <d v="2025-09-04T23:50:33"/>
    <x v="10"/>
    <s v="Plaquettes de finition"/>
    <s v="j519914"/>
    <s v="MARLY DAVID"/>
    <n v="10"/>
    <x v="3"/>
    <x v="2"/>
    <s v="PLAQUETTES"/>
    <x v="2"/>
    <n v="109.7"/>
  </r>
  <r>
    <d v="2025-09-04T23:51:10"/>
    <x v="4"/>
    <s v="Plaquettes de finition"/>
    <s v="j519914"/>
    <s v="MARLY DAVID"/>
    <n v="5"/>
    <x v="2"/>
    <x v="2"/>
    <s v="PLAQUETTES"/>
    <x v="1"/>
    <n v="47.8"/>
  </r>
  <r>
    <d v="2025-09-04T23:51:45"/>
    <x v="2"/>
    <s v="Plaquettes d'ébauches rhombiques"/>
    <s v="j519914"/>
    <s v="MARLY DAVID"/>
    <n v="10"/>
    <x v="3"/>
    <x v="0"/>
    <s v="PLAQUETTES"/>
    <x v="2"/>
    <n v="70"/>
  </r>
  <r>
    <d v="2025-09-04T23:52:13"/>
    <x v="1"/>
    <s v="Plaquettes d'ébauches carrées"/>
    <s v="j519914"/>
    <s v="MARLY DAVID"/>
    <n v="10"/>
    <x v="3"/>
    <x v="0"/>
    <s v="PLAQUETTES"/>
    <x v="2"/>
    <n v="71.2"/>
  </r>
  <r>
    <d v="2025-09-04T23:52:41"/>
    <x v="3"/>
    <s v="Plaquettes rondes"/>
    <s v="j519914"/>
    <s v="MARLY DAVID"/>
    <n v="10"/>
    <x v="2"/>
    <x v="0"/>
    <s v="PLAQUETTES"/>
    <x v="1"/>
    <n v="136.69999999999999"/>
  </r>
  <r>
    <d v="2025-09-04T23:53:06"/>
    <x v="5"/>
    <s v="Plaquettes rondes"/>
    <s v="j519914"/>
    <s v="MARLY DAVID"/>
    <n v="10"/>
    <x v="3"/>
    <x v="0"/>
    <s v="PLAQUETTES"/>
    <x v="2"/>
    <n v="108.5"/>
  </r>
  <r>
    <d v="2025-04-14T05:29:22"/>
    <x v="2"/>
    <s v="Plaquettes d'ébauches rhombiques"/>
    <s v="170325"/>
    <s v="VERDELET BASTIEN"/>
    <n v="10"/>
    <x v="0"/>
    <x v="2"/>
    <s v="PLAQUETTES"/>
    <x v="1"/>
    <n v="70"/>
  </r>
  <r>
    <d v="2025-09-05T00:00:31"/>
    <x v="2"/>
    <s v="Plaquettes d'ébauches rhombiques"/>
    <s v="230525"/>
    <s v="SOULAS YANIS"/>
    <n v="10"/>
    <x v="1"/>
    <x v="1"/>
    <s v="PLAQUETTES"/>
    <x v="0"/>
    <n v="70"/>
  </r>
  <r>
    <d v="2025-04-15T06:10:50"/>
    <x v="2"/>
    <s v="Plaquettes d'ébauches rhombiques"/>
    <s v="170325"/>
    <s v="VERDELET BASTIEN"/>
    <n v="10"/>
    <x v="0"/>
    <x v="0"/>
    <s v="PLAQUETTES"/>
    <x v="1"/>
    <n v="70"/>
  </r>
  <r>
    <d v="2025-09-05T00:01:02"/>
    <x v="2"/>
    <s v="Plaquettes d'ébauches rhombiques"/>
    <s v="230525"/>
    <s v="SOULAS YANIS"/>
    <n v="10"/>
    <x v="1"/>
    <x v="0"/>
    <s v="PLAQUETTES"/>
    <x v="0"/>
    <n v="70"/>
  </r>
  <r>
    <d v="2025-09-05T06:49:45"/>
    <x v="2"/>
    <s v="Plaquettes d'ébauches rhombiques"/>
    <s v="U534565"/>
    <s v="HOAREAU MARIUS"/>
    <n v="10"/>
    <x v="2"/>
    <x v="0"/>
    <s v="PLAQUETTES"/>
    <x v="1"/>
    <n v="70"/>
  </r>
  <r>
    <d v="2025-09-05T07:21:19"/>
    <x v="2"/>
    <s v="Plaquettes d'ébauches rhombiques"/>
    <s v="U518765"/>
    <s v="ROY ADELINE"/>
    <n v="10"/>
    <x v="3"/>
    <x v="0"/>
    <s v="PLAQUETTES"/>
    <x v="0"/>
    <n v="70"/>
  </r>
  <r>
    <d v="2025-09-05T07:21:35"/>
    <x v="6"/>
    <s v="Plaquettes de finition positives"/>
    <s v="U518765"/>
    <s v="ROY ADELINE"/>
    <n v="10"/>
    <x v="1"/>
    <x v="2"/>
    <s v="PLAQUETTES"/>
    <x v="0"/>
    <n v="87"/>
  </r>
  <r>
    <d v="2025-04-15T13:03:41"/>
    <x v="2"/>
    <s v="Plaquettes d'ébauches rhombiques"/>
    <s v="J519914"/>
    <s v="MARLY DAVID"/>
    <n v="10"/>
    <x v="0"/>
    <x v="1"/>
    <s v="PLAQUETTES"/>
    <x v="1"/>
    <n v="70"/>
  </r>
  <r>
    <d v="2025-09-05T13:36:04"/>
    <x v="7"/>
    <s v="Plaquettes de finition triangulaires"/>
    <s v="u462308"/>
    <s v="MAITRE SEBASTIEN"/>
    <n v="10"/>
    <x v="3"/>
    <x v="2"/>
    <s v="PLAQUETTES"/>
    <x v="0"/>
    <n v="138.80000000000001"/>
  </r>
  <r>
    <d v="2025-09-05T13:36:21"/>
    <x v="6"/>
    <s v="Plaquettes de finition positives"/>
    <s v="u462308"/>
    <s v="MAITRE SEBASTIEN"/>
    <n v="10"/>
    <x v="3"/>
    <x v="2"/>
    <s v="PLAQUETTES"/>
    <x v="0"/>
    <n v="87"/>
  </r>
  <r>
    <d v="2025-09-05T13:36:55"/>
    <x v="4"/>
    <s v="Plaquettes de finition"/>
    <s v="u462308"/>
    <s v="MAITRE SEBASTIEN"/>
    <n v="5"/>
    <x v="2"/>
    <x v="2"/>
    <s v="PLAQUETTES"/>
    <x v="1"/>
    <n v="47.8"/>
  </r>
  <r>
    <d v="2025-04-16T02:22:53"/>
    <x v="2"/>
    <s v="Plaquettes d'ébauches rhombiques"/>
    <s v="080924"/>
    <s v="DABLEMONT AURELIEN"/>
    <n v="10"/>
    <x v="0"/>
    <x v="1"/>
    <s v="PLAQUETTES"/>
    <x v="1"/>
    <n v="70"/>
  </r>
  <r>
    <d v="2025-09-06T01:13:33"/>
    <x v="1"/>
    <s v="Plaquettes d'ébauches carrées"/>
    <s v="230525"/>
    <s v="SOULAS YANIS"/>
    <n v="10"/>
    <x v="1"/>
    <x v="1"/>
    <s v="PLAQUETTES"/>
    <x v="0"/>
    <n v="71.2"/>
  </r>
  <r>
    <d v="2025-09-06T01:13:46"/>
    <x v="6"/>
    <s v="Plaquettes de finition positives"/>
    <s v="230525"/>
    <s v="SOULAS YANIS"/>
    <n v="10"/>
    <x v="1"/>
    <x v="2"/>
    <s v="PLAQUETTES"/>
    <x v="0"/>
    <n v="87"/>
  </r>
  <r>
    <d v="2025-09-06T05:30:01"/>
    <x v="2"/>
    <s v="Plaquettes d'ébauches rhombiques"/>
    <s v="U534565"/>
    <s v="HOAREAU MARIUS"/>
    <n v="10"/>
    <x v="3"/>
    <x v="1"/>
    <s v="PLAQUETTES"/>
    <x v="0"/>
    <n v="70"/>
  </r>
  <r>
    <d v="2025-09-06T05:30:51"/>
    <x v="1"/>
    <s v="Plaquettes d'ébauches carrées"/>
    <s v="U534565"/>
    <s v="HOAREAU MARIUS"/>
    <n v="10"/>
    <x v="3"/>
    <x v="1"/>
    <s v="PLAQUETTES"/>
    <x v="0"/>
    <n v="71.2"/>
  </r>
  <r>
    <d v="2025-09-06T05:31:33"/>
    <x v="5"/>
    <s v="Plaquettes rondes"/>
    <s v="U534565"/>
    <s v="HOAREAU MARIUS"/>
    <n v="10"/>
    <x v="3"/>
    <x v="0"/>
    <s v="PLAQUETTES"/>
    <x v="0"/>
    <n v="108.5"/>
  </r>
  <r>
    <d v="2025-09-06T05:31:58"/>
    <x v="3"/>
    <s v="Plaquettes rondes"/>
    <s v="U534565"/>
    <s v="HOAREAU MARIUS"/>
    <n v="10"/>
    <x v="2"/>
    <x v="0"/>
    <s v="PLAQUETTES"/>
    <x v="1"/>
    <n v="136.69999999999999"/>
  </r>
  <r>
    <d v="2025-09-06T05:32:39"/>
    <x v="6"/>
    <s v="Plaquettes de finition positives"/>
    <s v="U534565"/>
    <s v="HOAREAU MARIUS"/>
    <n v="10"/>
    <x v="3"/>
    <x v="2"/>
    <s v="PLAQUETTES"/>
    <x v="0"/>
    <n v="87"/>
  </r>
  <r>
    <d v="2025-09-06T05:33:08"/>
    <x v="8"/>
    <s v="Plaquettes rhombiques"/>
    <s v="U534565"/>
    <s v="HOAREAU MARIUS"/>
    <n v="5"/>
    <x v="2"/>
    <x v="2"/>
    <s v="PLAQUETTES"/>
    <x v="1"/>
    <n v="18.399999999999999"/>
  </r>
  <r>
    <d v="2025-09-06T05:33:29"/>
    <x v="4"/>
    <s v="Plaquettes de finition"/>
    <s v="U534565"/>
    <s v="HOAREAU MARIUS"/>
    <n v="5"/>
    <x v="2"/>
    <x v="2"/>
    <s v="PLAQUETTES"/>
    <x v="1"/>
    <n v="47.8"/>
  </r>
  <r>
    <d v="2025-04-16T06:35:27"/>
    <x v="2"/>
    <s v="Plaquettes d'ébauches rhombiques"/>
    <s v="170325"/>
    <s v="VERDELET BASTIEN"/>
    <n v="10"/>
    <x v="0"/>
    <x v="0"/>
    <s v="PLAQUETTES"/>
    <x v="1"/>
    <n v="70"/>
  </r>
  <r>
    <d v="2025-09-06T15:07:31"/>
    <x v="6"/>
    <s v="Plaquettes de finition positives"/>
    <s v="U534565"/>
    <s v="HOAREAU MARIUS"/>
    <n v="10"/>
    <x v="3"/>
    <x v="2"/>
    <s v="PLAQUETTES"/>
    <x v="0"/>
    <n v="87"/>
  </r>
  <r>
    <d v="2025-09-06T15:07:57"/>
    <x v="2"/>
    <s v="Plaquettes d'ébauches rhombiques"/>
    <s v="U534565"/>
    <s v="HOAREAU MARIUS"/>
    <n v="10"/>
    <x v="2"/>
    <x v="0"/>
    <s v="PLAQUETTES"/>
    <x v="1"/>
    <n v="70"/>
  </r>
  <r>
    <d v="2025-04-16T22:08:28"/>
    <x v="2"/>
    <s v="Plaquettes d'ébauches rhombiques"/>
    <s v="080924"/>
    <s v="DABLEMONT AURELIEN"/>
    <n v="10"/>
    <x v="0"/>
    <x v="2"/>
    <s v="PLAQUETTES"/>
    <x v="1"/>
    <n v="70"/>
  </r>
  <r>
    <d v="2025-09-06T16:46:13"/>
    <x v="6"/>
    <s v="Plaquettes de finition positives"/>
    <s v="U054304"/>
    <s v="BOUACHIK HICHAM"/>
    <n v="10"/>
    <x v="1"/>
    <x v="2"/>
    <s v="PLAQUETTES"/>
    <x v="0"/>
    <n v="87"/>
  </r>
  <r>
    <d v="2025-04-16T22:09:11"/>
    <x v="2"/>
    <s v="Plaquettes d'ébauches rhombiques"/>
    <s v="080924"/>
    <s v="DABLEMONT AURELIEN"/>
    <n v="10"/>
    <x v="0"/>
    <x v="1"/>
    <s v="PLAQUETTES"/>
    <x v="1"/>
    <n v="70"/>
  </r>
  <r>
    <d v="2025-04-17T13:08:36"/>
    <x v="2"/>
    <s v="Plaquettes d'ébauches rhombiques"/>
    <s v="J519914"/>
    <s v="MARLY DAVID"/>
    <n v="10"/>
    <x v="0"/>
    <x v="0"/>
    <s v="PLAQUETTES"/>
    <x v="1"/>
    <n v="70"/>
  </r>
  <r>
    <d v="2025-09-06T22:06:53"/>
    <x v="4"/>
    <s v="Plaquettes de finition"/>
    <s v="U198152"/>
    <s v="AJMIK MUSTAPHA"/>
    <n v="5"/>
    <x v="2"/>
    <x v="2"/>
    <s v="PLAQUETTES"/>
    <x v="1"/>
    <n v="47.8"/>
  </r>
  <r>
    <d v="2025-09-06T22:07:05"/>
    <x v="4"/>
    <s v="Plaquettes de finition"/>
    <s v="U198152"/>
    <s v="AJMIK MUSTAPHA"/>
    <n v="5"/>
    <x v="2"/>
    <x v="2"/>
    <s v="PLAQUETTES"/>
    <x v="1"/>
    <n v="47.8"/>
  </r>
  <r>
    <d v="2025-09-06T22:07:21"/>
    <x v="6"/>
    <s v="Plaquettes de finition positives"/>
    <s v="U198152"/>
    <s v="AJMIK MUSTAPHA"/>
    <n v="10"/>
    <x v="3"/>
    <x v="2"/>
    <s v="PLAQUETTES"/>
    <x v="0"/>
    <n v="87"/>
  </r>
  <r>
    <d v="2025-09-06T22:07:40"/>
    <x v="1"/>
    <s v="Plaquettes d'ébauches carrées"/>
    <s v="U198152"/>
    <s v="AJMIK MUSTAPHA"/>
    <n v="10"/>
    <x v="3"/>
    <x v="0"/>
    <s v="PLAQUETTES"/>
    <x v="0"/>
    <n v="71.2"/>
  </r>
  <r>
    <d v="2025-09-06T22:08:01"/>
    <x v="2"/>
    <s v="Plaquettes d'ébauches rhombiques"/>
    <s v="U198152"/>
    <s v="AJMIK MUSTAPHA"/>
    <n v="10"/>
    <x v="3"/>
    <x v="0"/>
    <s v="PLAQUETTES"/>
    <x v="0"/>
    <n v="70"/>
  </r>
  <r>
    <d v="2025-09-07T07:42:40"/>
    <x v="6"/>
    <s v="Plaquettes de finition positives"/>
    <s v="P717908"/>
    <s v="GONCALVES GEORGES"/>
    <n v="10"/>
    <x v="1"/>
    <x v="2"/>
    <s v="PLAQUETTES"/>
    <x v="0"/>
    <n v="87"/>
  </r>
  <r>
    <d v="2025-04-18T18:19:45"/>
    <x v="2"/>
    <s v="Plaquettes d'ébauches rhombiques"/>
    <s v="100225"/>
    <s v="PRUNEAU WILLIAM"/>
    <n v="10"/>
    <x v="0"/>
    <x v="1"/>
    <s v="PLAQUETTES"/>
    <x v="0"/>
    <n v="70"/>
  </r>
  <r>
    <d v="2025-09-07T07:43:41"/>
    <x v="2"/>
    <s v="Plaquettes d'ébauches rhombiques"/>
    <s v="P717908"/>
    <s v="GONCALVES GEORGES"/>
    <n v="10"/>
    <x v="1"/>
    <x v="1"/>
    <s v="PLAQUETTES"/>
    <x v="0"/>
    <n v="70"/>
  </r>
  <r>
    <d v="2025-09-07T08:05:51"/>
    <x v="10"/>
    <s v="Plaquettes de finition"/>
    <s v="P717908"/>
    <s v="GONCALVES GEORGES"/>
    <n v="10"/>
    <x v="1"/>
    <x v="2"/>
    <s v="PLAQUETTES"/>
    <x v="0"/>
    <n v="109.7"/>
  </r>
  <r>
    <d v="2025-04-19T17:32:41"/>
    <x v="2"/>
    <s v="Plaquettes d'ébauches rhombiques"/>
    <s v="U198152"/>
    <s v="AJMIK MUSTAPHA"/>
    <n v="10"/>
    <x v="0"/>
    <x v="0"/>
    <s v="PLAQUETTES"/>
    <x v="0"/>
    <n v="70"/>
  </r>
  <r>
    <d v="2025-09-07T16:52:37"/>
    <x v="1"/>
    <s v="Plaquettes d'ébauches carrées"/>
    <s v="U054304"/>
    <s v="BOUACHIK HICHAM"/>
    <n v="10"/>
    <x v="1"/>
    <x v="0"/>
    <s v="PLAQUETTES"/>
    <x v="0"/>
    <n v="71.2"/>
  </r>
  <r>
    <d v="2025-09-07T16:52:54"/>
    <x v="6"/>
    <s v="Plaquettes de finition positives"/>
    <s v="U054304"/>
    <s v="BOUACHIK HICHAM"/>
    <n v="10"/>
    <x v="1"/>
    <x v="2"/>
    <s v="PLAQUETTES"/>
    <x v="0"/>
    <n v="87"/>
  </r>
  <r>
    <d v="2025-04-20T17:17:06"/>
    <x v="2"/>
    <s v="Plaquettes d'ébauches rhombiques"/>
    <s v="U198152"/>
    <s v="AJMIK MUSTAPHA"/>
    <n v="10"/>
    <x v="0"/>
    <x v="0"/>
    <s v="PLAQUETTES"/>
    <x v="1"/>
    <n v="70"/>
  </r>
  <r>
    <d v="2025-09-08T00:36:50"/>
    <x v="4"/>
    <s v="Plaquettes de finition"/>
    <s v="U198152"/>
    <s v="AJMIK MUSTAPHA"/>
    <n v="5"/>
    <x v="2"/>
    <x v="2"/>
    <s v="PLAQUETTES"/>
    <x v="1"/>
    <n v="47.8"/>
  </r>
  <r>
    <d v="2025-09-08T00:37:21"/>
    <x v="8"/>
    <s v="Plaquettes rhombiques"/>
    <s v="U198152"/>
    <s v="AJMIK MUSTAPHA"/>
    <n v="5"/>
    <x v="2"/>
    <x v="2"/>
    <s v="PLAQUETTES"/>
    <x v="1"/>
    <n v="18.399999999999999"/>
  </r>
  <r>
    <d v="2025-09-08T00:37:49"/>
    <x v="6"/>
    <s v="Plaquettes de finition positives"/>
    <s v="U198152"/>
    <s v="AJMIK MUSTAPHA"/>
    <n v="10"/>
    <x v="3"/>
    <x v="2"/>
    <s v="PLAQUETTES"/>
    <x v="0"/>
    <n v="87"/>
  </r>
  <r>
    <d v="2025-04-20T17:17:23"/>
    <x v="2"/>
    <s v="Plaquettes d'ébauches rhombiques"/>
    <s v="U198152"/>
    <s v="AJMIK MUSTAPHA"/>
    <n v="10"/>
    <x v="0"/>
    <x v="0"/>
    <s v="PLAQUETTES"/>
    <x v="1"/>
    <n v="70"/>
  </r>
  <r>
    <d v="2025-09-08T05:41:36"/>
    <x v="1"/>
    <s v="Plaquettes d'ébauches carrées"/>
    <s v="u462308"/>
    <s v="MAITRE SEBASTIEN"/>
    <n v="10"/>
    <x v="1"/>
    <x v="1"/>
    <s v="PLAQUETTES"/>
    <x v="0"/>
    <n v="71.2"/>
  </r>
  <r>
    <d v="2025-09-08T13:09:00"/>
    <x v="5"/>
    <s v="Plaquettes rondes"/>
    <s v="170325"/>
    <s v="VERDELET BASTIEN"/>
    <n v="10"/>
    <x v="1"/>
    <x v="0"/>
    <s v="PLAQUETTES"/>
    <x v="0"/>
    <n v="108.5"/>
  </r>
  <r>
    <d v="2025-09-08T13:09:17"/>
    <x v="2"/>
    <s v="Plaquettes d'ébauches rhombiques"/>
    <s v="170325"/>
    <s v="VERDELET BASTIEN"/>
    <n v="10"/>
    <x v="1"/>
    <x v="0"/>
    <s v="PLAQUETTES"/>
    <x v="0"/>
    <n v="70"/>
  </r>
  <r>
    <d v="2025-09-08T13:41:38"/>
    <x v="1"/>
    <s v="Plaquettes d'ébauches carrées"/>
    <s v="u134838"/>
    <s v="DANAH STEPHANIE"/>
    <n v="10"/>
    <x v="3"/>
    <x v="0"/>
    <s v="PLAQUETTES"/>
    <x v="0"/>
    <n v="71.2"/>
  </r>
  <r>
    <d v="2025-09-08T13:41:59"/>
    <x v="2"/>
    <s v="Plaquettes d'ébauches rhombiques"/>
    <s v="u134838"/>
    <s v="DANAH STEPHANIE"/>
    <n v="10"/>
    <x v="2"/>
    <x v="0"/>
    <s v="PLAQUETTES"/>
    <x v="1"/>
    <n v="70"/>
  </r>
  <r>
    <d v="2025-09-08T13:42:17"/>
    <x v="5"/>
    <s v="Plaquettes rondes"/>
    <s v="u134838"/>
    <s v="DANAH STEPHANIE"/>
    <n v="10"/>
    <x v="3"/>
    <x v="0"/>
    <s v="PLAQUETTES"/>
    <x v="0"/>
    <n v="108.5"/>
  </r>
  <r>
    <d v="2025-09-08T13:42:36"/>
    <x v="6"/>
    <s v="Plaquettes de finition positives"/>
    <s v="u134838"/>
    <s v="DANAH STEPHANIE"/>
    <n v="10"/>
    <x v="3"/>
    <x v="2"/>
    <s v="PLAQUETTES"/>
    <x v="0"/>
    <n v="87"/>
  </r>
  <r>
    <d v="2025-09-08T13:42:51"/>
    <x v="4"/>
    <s v="Plaquettes de finition"/>
    <s v="u134838"/>
    <s v="DANAH STEPHANIE"/>
    <n v="5"/>
    <x v="2"/>
    <x v="2"/>
    <s v="PLAQUETTES"/>
    <x v="1"/>
    <n v="47.8"/>
  </r>
  <r>
    <d v="2025-09-08T13:43:07"/>
    <x v="9"/>
    <s v="Plaquettes rhombiques"/>
    <s v="u134838"/>
    <s v="DANAH STEPHANIE"/>
    <n v="5"/>
    <x v="2"/>
    <x v="2"/>
    <s v="PLAQUETTES"/>
    <x v="1"/>
    <n v="44.85"/>
  </r>
  <r>
    <d v="2025-09-08T22:52:54"/>
    <x v="6"/>
    <s v="Plaquettes de finition positives"/>
    <s v="j519914"/>
    <s v="MARLY DAVID"/>
    <n v="10"/>
    <x v="1"/>
    <x v="2"/>
    <s v="PLAQUETTES"/>
    <x v="0"/>
    <n v="87"/>
  </r>
  <r>
    <d v="2025-09-08T22:53:24"/>
    <x v="2"/>
    <s v="Plaquettes d'ébauches rhombiques"/>
    <s v="j519914"/>
    <s v="MARLY DAVID"/>
    <n v="10"/>
    <x v="1"/>
    <x v="0"/>
    <s v="PLAQUETTES"/>
    <x v="0"/>
    <n v="70"/>
  </r>
  <r>
    <d v="2025-04-21T17:15:21"/>
    <x v="2"/>
    <s v="Plaquettes d'ébauches rhombiques"/>
    <s v="080924"/>
    <s v="DABLEMONT AURELIEN"/>
    <n v="10"/>
    <x v="0"/>
    <x v="1"/>
    <s v="PLAQUETTES"/>
    <x v="1"/>
    <n v="70"/>
  </r>
  <r>
    <d v="2025-09-08T22:54:51"/>
    <x v="5"/>
    <s v="Plaquettes rondes"/>
    <s v="j519914"/>
    <s v="MARLY DAVID"/>
    <n v="10"/>
    <x v="1"/>
    <x v="0"/>
    <s v="PLAQUETTES"/>
    <x v="0"/>
    <n v="108.5"/>
  </r>
  <r>
    <d v="2025-09-08T23:16:39"/>
    <x v="2"/>
    <s v="Plaquettes d'ébauches rhombiques"/>
    <s v="VERGE G"/>
    <s v="VERGE GREGORY"/>
    <n v="10"/>
    <x v="3"/>
    <x v="1"/>
    <s v="PLAQUETTES"/>
    <x v="3"/>
    <n v="70"/>
  </r>
  <r>
    <d v="2025-04-21T21:21:48"/>
    <x v="2"/>
    <s v="Plaquettes d'ébauches rhombiques"/>
    <s v="170325"/>
    <s v="VERDELET BASTIEN"/>
    <n v="10"/>
    <x v="0"/>
    <x v="0"/>
    <s v="PLAQUETTES"/>
    <x v="1"/>
    <n v="70"/>
  </r>
  <r>
    <d v="2025-09-08T23:17:10"/>
    <x v="4"/>
    <s v="Plaquettes de finition"/>
    <s v="VERGE G"/>
    <s v="VERGE GREGORY"/>
    <n v="5"/>
    <x v="2"/>
    <x v="2"/>
    <s v="PLAQUETTES"/>
    <x v="1"/>
    <n v="47.8"/>
  </r>
  <r>
    <d v="2025-09-08T23:17:25"/>
    <x v="8"/>
    <s v="Plaquettes rhombiques"/>
    <s v="VERGE G"/>
    <s v="VERGE GREGORY"/>
    <n v="5"/>
    <x v="2"/>
    <x v="2"/>
    <s v="PLAQUETTES"/>
    <x v="1"/>
    <n v="18.399999999999999"/>
  </r>
  <r>
    <d v="2025-09-09T04:00:03"/>
    <x v="6"/>
    <s v="Plaquettes de finition positives"/>
    <s v="VERGE G"/>
    <s v="VERGE GREGORY"/>
    <n v="10"/>
    <x v="3"/>
    <x v="2"/>
    <s v="PLAQUETTES"/>
    <x v="0"/>
    <n v="87"/>
  </r>
  <r>
    <d v="2025-09-09T19:24:55"/>
    <x v="6"/>
    <s v="Plaquettes de finition positives"/>
    <s v="u134838"/>
    <s v="DANAH STEPHANIE"/>
    <n v="10"/>
    <x v="3"/>
    <x v="2"/>
    <s v="PLAQUETTES"/>
    <x v="0"/>
    <n v="87"/>
  </r>
  <r>
    <d v="2025-09-09T19:25:12"/>
    <x v="4"/>
    <s v="Plaquettes de finition"/>
    <s v="u134838"/>
    <s v="DANAH STEPHANIE"/>
    <n v="5"/>
    <x v="2"/>
    <x v="2"/>
    <s v="PLAQUETTES"/>
    <x v="1"/>
    <n v="47.8"/>
  </r>
  <r>
    <d v="2025-09-09T19:25:34"/>
    <x v="2"/>
    <s v="Plaquettes d'ébauches rhombiques"/>
    <s v="u134838"/>
    <s v="DANAH STEPHANIE"/>
    <n v="10"/>
    <x v="3"/>
    <x v="0"/>
    <s v="PLAQUETTES"/>
    <x v="0"/>
    <n v="70"/>
  </r>
  <r>
    <d v="2025-09-09T21:30:29"/>
    <x v="2"/>
    <s v="Plaquettes d'ébauches rhombiques"/>
    <s v="VERGE G"/>
    <s v="VERGE GREGORY"/>
    <n v="10"/>
    <x v="2"/>
    <x v="1"/>
    <s v="PLAQUETTES"/>
    <x v="1"/>
    <n v="70"/>
  </r>
  <r>
    <d v="2025-09-09T21:30:43"/>
    <x v="2"/>
    <s v="Plaquettes d'ébauches rhombiques"/>
    <s v="VERGE G"/>
    <s v="VERGE GREGORY"/>
    <n v="10"/>
    <x v="2"/>
    <x v="1"/>
    <s v="PLAQUETTES"/>
    <x v="1"/>
    <n v="70"/>
  </r>
  <r>
    <d v="2025-09-09T21:31:01"/>
    <x v="6"/>
    <s v="Plaquettes de finition positives"/>
    <s v="VERGE G"/>
    <s v="VERGE GREGORY"/>
    <n v="10"/>
    <x v="3"/>
    <x v="2"/>
    <s v="PLAQUETTES"/>
    <x v="0"/>
    <n v="87"/>
  </r>
  <r>
    <d v="2025-09-09T21:31:15"/>
    <x v="4"/>
    <s v="Plaquettes de finition"/>
    <s v="VERGE G"/>
    <s v="VERGE GREGORY"/>
    <n v="5"/>
    <x v="2"/>
    <x v="2"/>
    <s v="PLAQUETTES"/>
    <x v="1"/>
    <n v="47.8"/>
  </r>
  <r>
    <d v="2025-04-22T16:56:22"/>
    <x v="2"/>
    <s v="Plaquettes d'ébauches rhombiques"/>
    <s v="080924"/>
    <s v="DABLEMONT AURELIEN"/>
    <n v="10"/>
    <x v="0"/>
    <x v="1"/>
    <s v="PLAQUETTES"/>
    <x v="1"/>
    <n v="70"/>
  </r>
  <r>
    <d v="2025-04-24T05:43:32"/>
    <x v="2"/>
    <s v="Plaquettes d'ébauches rhombiques"/>
    <s v="J519914"/>
    <s v="MARLY DAVID"/>
    <n v="10"/>
    <x v="0"/>
    <x v="1"/>
    <s v="PLAQUETTES"/>
    <x v="1"/>
    <n v="70"/>
  </r>
  <r>
    <d v="2025-09-09T21:55:13"/>
    <x v="6"/>
    <s v="Plaquettes de finition positives"/>
    <s v="230525"/>
    <s v="SOULAS YANIS"/>
    <n v="10"/>
    <x v="1"/>
    <x v="2"/>
    <s v="PLAQUETTES"/>
    <x v="0"/>
    <n v="87"/>
  </r>
  <r>
    <d v="2025-09-09T21:55:24"/>
    <x v="6"/>
    <s v="Plaquettes de finition positives"/>
    <s v="230525"/>
    <s v="SOULAS YANIS"/>
    <n v="10"/>
    <x v="1"/>
    <x v="2"/>
    <s v="PLAQUETTES"/>
    <x v="0"/>
    <n v="87"/>
  </r>
  <r>
    <d v="2025-04-24T22:07:05"/>
    <x v="2"/>
    <s v="Plaquettes d'ébauches rhombiques"/>
    <s v="170325"/>
    <s v="VERDELET BASTIEN"/>
    <n v="10"/>
    <x v="0"/>
    <x v="0"/>
    <s v="PLAQUETTES"/>
    <x v="1"/>
    <n v="70"/>
  </r>
  <r>
    <d v="2025-04-25T13:14:34"/>
    <x v="2"/>
    <s v="Plaquettes d'ébauches rhombiques"/>
    <s v="080924"/>
    <s v="DABLEMONT AURELIEN"/>
    <n v="10"/>
    <x v="0"/>
    <x v="1"/>
    <s v="PLAQUETTES"/>
    <x v="1"/>
    <n v="70"/>
  </r>
  <r>
    <d v="2025-04-25T19:08:20"/>
    <x v="2"/>
    <s v="Plaquettes d'ébauches rhombiques"/>
    <s v="080924"/>
    <s v="DABLEMONT AURELIEN"/>
    <n v="10"/>
    <x v="0"/>
    <x v="2"/>
    <s v="PLAQUETTES"/>
    <x v="1"/>
    <n v="70"/>
  </r>
  <r>
    <d v="2025-09-10T06:07:05"/>
    <x v="10"/>
    <s v="Plaquettes de finition"/>
    <s v="u462308"/>
    <s v="MAITRE SEBASTIEN"/>
    <n v="10"/>
    <x v="1"/>
    <x v="2"/>
    <s v="PLAQUETTES"/>
    <x v="0"/>
    <n v="109.7"/>
  </r>
  <r>
    <d v="2025-09-10T06:07:24"/>
    <x v="7"/>
    <s v="Plaquettes de finition triangulaires"/>
    <s v="u462308"/>
    <s v="MAITRE SEBASTIEN"/>
    <n v="10"/>
    <x v="1"/>
    <x v="2"/>
    <s v="PLAQUETTES"/>
    <x v="0"/>
    <n v="138.80000000000001"/>
  </r>
  <r>
    <d v="2025-09-10T06:07:43"/>
    <x v="6"/>
    <s v="Plaquettes de finition positives"/>
    <s v="u462308"/>
    <s v="MAITRE SEBASTIEN"/>
    <n v="10"/>
    <x v="1"/>
    <x v="2"/>
    <s v="PLAQUETTES"/>
    <x v="0"/>
    <n v="87"/>
  </r>
  <r>
    <d v="2025-09-10T06:08:02"/>
    <x v="6"/>
    <s v="Plaquettes de finition positives"/>
    <s v="u462308"/>
    <s v="MAITRE SEBASTIEN"/>
    <n v="10"/>
    <x v="1"/>
    <x v="2"/>
    <s v="PLAQUETTES"/>
    <x v="0"/>
    <n v="87"/>
  </r>
  <r>
    <d v="2025-09-10T06:19:51"/>
    <x v="3"/>
    <s v="Plaquettes rondes"/>
    <s v="sd13196"/>
    <s v="FRADIN MAXIME"/>
    <n v="10"/>
    <x v="2"/>
    <x v="0"/>
    <s v="PLAQUETTES"/>
    <x v="1"/>
    <n v="136.69999999999999"/>
  </r>
  <r>
    <d v="2025-09-10T06:21:06"/>
    <x v="2"/>
    <s v="Plaquettes d'ébauches rhombiques"/>
    <s v="sd13196"/>
    <s v="FRADIN MAXIME"/>
    <n v="10"/>
    <x v="3"/>
    <x v="1"/>
    <s v="PLAQUETTES"/>
    <x v="0"/>
    <n v="70"/>
  </r>
  <r>
    <d v="2025-09-10T07:26:19"/>
    <x v="8"/>
    <s v="Plaquettes rhombiques"/>
    <s v="sd13196"/>
    <s v="FRADIN MAXIME"/>
    <n v="5"/>
    <x v="2"/>
    <x v="2"/>
    <s v="PLAQUETTES"/>
    <x v="1"/>
    <n v="18.399999999999999"/>
  </r>
  <r>
    <d v="2025-09-10T13:13:20"/>
    <x v="10"/>
    <s v="Plaquettes de finition"/>
    <s v="u134838"/>
    <s v="DANAH STEPHANIE"/>
    <n v="10"/>
    <x v="3"/>
    <x v="2"/>
    <s v="PLAQUETTES"/>
    <x v="0"/>
    <n v="109.7"/>
  </r>
  <r>
    <d v="2025-09-10T13:13:51"/>
    <x v="7"/>
    <s v="Plaquettes de finition triangulaires"/>
    <s v="u134838"/>
    <s v="DANAH STEPHANIE"/>
    <n v="10"/>
    <x v="3"/>
    <x v="2"/>
    <s v="PLAQUETTES"/>
    <x v="0"/>
    <n v="138.80000000000001"/>
  </r>
  <r>
    <d v="2025-09-10T13:14:12"/>
    <x v="6"/>
    <s v="Plaquettes de finition positives"/>
    <s v="u134838"/>
    <s v="DANAH STEPHANIE"/>
    <n v="10"/>
    <x v="3"/>
    <x v="2"/>
    <s v="PLAQUETTES"/>
    <x v="0"/>
    <n v="87"/>
  </r>
  <r>
    <d v="2025-09-10T13:14:31"/>
    <x v="4"/>
    <s v="Plaquettes de finition"/>
    <s v="u134838"/>
    <s v="DANAH STEPHANIE"/>
    <n v="5"/>
    <x v="2"/>
    <x v="2"/>
    <s v="PLAQUETTES"/>
    <x v="1"/>
    <n v="47.8"/>
  </r>
  <r>
    <d v="2025-09-10T13:14:53"/>
    <x v="1"/>
    <s v="Plaquettes d'ébauches carrées"/>
    <s v="u134838"/>
    <s v="DANAH STEPHANIE"/>
    <n v="10"/>
    <x v="3"/>
    <x v="0"/>
    <s v="PLAQUETTES"/>
    <x v="0"/>
    <n v="71.2"/>
  </r>
  <r>
    <d v="2025-09-10T13:15:52"/>
    <x v="5"/>
    <s v="Plaquettes rondes"/>
    <s v="u134838"/>
    <s v="DANAH STEPHANIE"/>
    <n v="10"/>
    <x v="2"/>
    <x v="0"/>
    <s v="PLAQUETTES"/>
    <x v="1"/>
    <n v="108.5"/>
  </r>
  <r>
    <d v="2025-04-26T06:47:22"/>
    <x v="2"/>
    <s v="Plaquettes d'ébauches rhombiques"/>
    <s v="U054304"/>
    <s v="BOUACHIK HICHAM"/>
    <n v="10"/>
    <x v="0"/>
    <x v="0"/>
    <s v="PLAQUETTES"/>
    <x v="1"/>
    <n v="70"/>
  </r>
  <r>
    <d v="2025-04-27T18:21:46"/>
    <x v="2"/>
    <s v="Plaquettes d'ébauches rhombiques"/>
    <s v="J519914"/>
    <s v="MARLY DAVID"/>
    <n v="10"/>
    <x v="0"/>
    <x v="0"/>
    <s v="PLAQUETTES"/>
    <x v="1"/>
    <n v="70"/>
  </r>
  <r>
    <d v="2025-09-10T15:40:58"/>
    <x v="2"/>
    <s v="Plaquettes d'ébauches rhombiques"/>
    <s v="170325"/>
    <s v="VERDELET BASTIEN"/>
    <n v="10"/>
    <x v="1"/>
    <x v="0"/>
    <s v="PLAQUETTES"/>
    <x v="0"/>
    <n v="70"/>
  </r>
  <r>
    <d v="2025-09-10T15:41:15"/>
    <x v="1"/>
    <s v="Plaquettes d'ébauches carrées"/>
    <s v="170325"/>
    <s v="VERDELET BASTIEN"/>
    <n v="10"/>
    <x v="1"/>
    <x v="0"/>
    <s v="PLAQUETTES"/>
    <x v="0"/>
    <n v="71.2"/>
  </r>
  <r>
    <d v="2025-09-10T23:41:27"/>
    <x v="6"/>
    <s v="Plaquettes de finition positives"/>
    <s v="j519914"/>
    <s v="MARLY DAVID"/>
    <n v="10"/>
    <x v="3"/>
    <x v="2"/>
    <s v="PLAQUETTES"/>
    <x v="0"/>
    <n v="87"/>
  </r>
  <r>
    <d v="2025-09-10T23:42:03"/>
    <x v="4"/>
    <s v="Plaquettes de finition"/>
    <s v="j519914"/>
    <s v="MARLY DAVID"/>
    <n v="5"/>
    <x v="2"/>
    <x v="2"/>
    <s v="PLAQUETTES"/>
    <x v="1"/>
    <n v="47.8"/>
  </r>
  <r>
    <d v="2025-09-11T05:20:56"/>
    <x v="8"/>
    <s v="Plaquettes rhombiques"/>
    <s v="SD13196"/>
    <s v="FRADIN MAXIME"/>
    <n v="5"/>
    <x v="2"/>
    <x v="2"/>
    <s v="PLAQUETTES"/>
    <x v="1"/>
    <n v="18.399999999999999"/>
  </r>
  <r>
    <d v="2025-09-11T05:21:38"/>
    <x v="9"/>
    <s v="Plaquettes rhombiques"/>
    <s v="SD13196"/>
    <s v="FRADIN MAXIME"/>
    <n v="5"/>
    <x v="2"/>
    <x v="2"/>
    <s v="PLAQUETTES"/>
    <x v="1"/>
    <n v="44.85"/>
  </r>
  <r>
    <d v="2025-04-29T06:58:42"/>
    <x v="2"/>
    <s v="Plaquettes d'ébauches rhombiques"/>
    <s v="080924"/>
    <s v="DABLEMONT AURELIEN"/>
    <n v="10"/>
    <x v="0"/>
    <x v="2"/>
    <s v="PLAQUETTES"/>
    <x v="1"/>
    <n v="70"/>
  </r>
  <r>
    <d v="2025-05-02T14:57:18"/>
    <x v="2"/>
    <s v="Plaquettes d'ébauches rhombiques"/>
    <s v="170325"/>
    <s v="VERDELET BASTIEN"/>
    <n v="10"/>
    <x v="0"/>
    <x v="0"/>
    <s v="PLAQUETTES"/>
    <x v="1"/>
    <n v="70"/>
  </r>
  <r>
    <d v="2025-09-11T06:03:40"/>
    <x v="6"/>
    <s v="Plaquettes de finition positives"/>
    <s v="u462308"/>
    <s v="MAITRE SEBASTIEN"/>
    <n v="10"/>
    <x v="1"/>
    <x v="2"/>
    <s v="PLAQUETTES"/>
    <x v="0"/>
    <n v="87"/>
  </r>
  <r>
    <d v="2025-09-11T10:16:31"/>
    <x v="2"/>
    <s v="Plaquettes d'ébauches rhombiques"/>
    <s v="sd13196"/>
    <s v="FRADIN MAXIME"/>
    <n v="10"/>
    <x v="2"/>
    <x v="0"/>
    <s v="PLAQUETTES"/>
    <x v="1"/>
    <n v="70"/>
  </r>
  <r>
    <d v="2025-05-03T00:23:53"/>
    <x v="2"/>
    <s v="Plaquettes d'ébauches rhombiques"/>
    <s v="J519914"/>
    <s v="MARLY DAVID"/>
    <n v="10"/>
    <x v="0"/>
    <x v="0"/>
    <s v="PLAQUETTES"/>
    <x v="1"/>
    <n v="70"/>
  </r>
  <r>
    <d v="2025-05-03T17:12:55"/>
    <x v="2"/>
    <s v="Plaquettes d'ébauches rhombiques"/>
    <s v="U054304"/>
    <s v="BOUACHIK HICHAM"/>
    <n v="10"/>
    <x v="0"/>
    <x v="0"/>
    <s v="PLAQUETTES"/>
    <x v="1"/>
    <n v="70"/>
  </r>
  <r>
    <d v="2025-05-04T17:20:46"/>
    <x v="2"/>
    <s v="Plaquettes d'ébauches rhombiques"/>
    <s v="U054304"/>
    <s v="BOUACHIK HICHAM"/>
    <n v="10"/>
    <x v="0"/>
    <x v="0"/>
    <s v="PLAQUETTES"/>
    <x v="0"/>
    <n v="70"/>
  </r>
  <r>
    <d v="2025-05-05T06:29:38"/>
    <x v="2"/>
    <s v="Plaquettes d'ébauches rhombiques"/>
    <s v="170325"/>
    <s v="VERDELET BASTIEN"/>
    <n v="10"/>
    <x v="0"/>
    <x v="0"/>
    <s v="PLAQUETTES"/>
    <x v="1"/>
    <n v="70"/>
  </r>
  <r>
    <d v="2025-09-11T14:09:51"/>
    <x v="6"/>
    <s v="Plaquettes de finition positives"/>
    <s v="170325"/>
    <s v="VERDELET BASTIEN"/>
    <n v="10"/>
    <x v="1"/>
    <x v="2"/>
    <s v="PLAQUETTES"/>
    <x v="0"/>
    <n v="87"/>
  </r>
  <r>
    <d v="2025-05-06T01:27:30"/>
    <x v="2"/>
    <s v="Plaquettes d'ébauches rhombiques"/>
    <s v="080924"/>
    <s v="DABLEMONT AURELIEN"/>
    <n v="10"/>
    <x v="0"/>
    <x v="1"/>
    <s v="PLAQUETTES"/>
    <x v="1"/>
    <n v="70"/>
  </r>
  <r>
    <d v="2025-09-11T14:19:15"/>
    <x v="4"/>
    <s v="Plaquettes de finition"/>
    <s v="u134838"/>
    <s v="DANAH STEPHANIE"/>
    <n v="5"/>
    <x v="2"/>
    <x v="2"/>
    <s v="PLAQUETTES"/>
    <x v="1"/>
    <n v="47.8"/>
  </r>
  <r>
    <d v="2025-09-11T14:19:33"/>
    <x v="6"/>
    <s v="Plaquettes de finition positives"/>
    <s v="u134838"/>
    <s v="DANAH STEPHANIE"/>
    <n v="10"/>
    <x v="3"/>
    <x v="2"/>
    <s v="PLAQUETTES"/>
    <x v="0"/>
    <n v="87"/>
  </r>
  <r>
    <d v="2025-09-11T14:19:57"/>
    <x v="2"/>
    <s v="Plaquettes d'ébauches rhombiques"/>
    <s v="u134838"/>
    <s v="DANAH STEPHANIE"/>
    <n v="10"/>
    <x v="3"/>
    <x v="0"/>
    <s v="PLAQUETTES"/>
    <x v="0"/>
    <n v="70"/>
  </r>
  <r>
    <d v="2025-09-11T14:20:23"/>
    <x v="3"/>
    <s v="Plaquettes rondes"/>
    <s v="u134838"/>
    <s v="DANAH STEPHANIE"/>
    <n v="10"/>
    <x v="2"/>
    <x v="0"/>
    <s v="PLAQUETTES"/>
    <x v="1"/>
    <n v="136.69999999999999"/>
  </r>
  <r>
    <d v="2025-09-11T21:14:49"/>
    <x v="2"/>
    <s v="Plaquettes d'ébauches rhombiques"/>
    <s v="VERGE G"/>
    <s v="VERGE GREGORY"/>
    <n v="10"/>
    <x v="2"/>
    <x v="1"/>
    <s v="PLAQUETTES"/>
    <x v="1"/>
    <n v="70"/>
  </r>
  <r>
    <d v="2025-09-11T21:15:04"/>
    <x v="2"/>
    <s v="Plaquettes d'ébauches rhombiques"/>
    <s v="VERGE G"/>
    <s v="VERGE GREGORY"/>
    <n v="10"/>
    <x v="2"/>
    <x v="1"/>
    <s v="PLAQUETTES"/>
    <x v="1"/>
    <n v="70"/>
  </r>
  <r>
    <d v="2025-09-11T21:15:19"/>
    <x v="1"/>
    <s v="Plaquettes d'ébauches carrées"/>
    <s v="VERGE G"/>
    <s v="VERGE GREGORY"/>
    <n v="10"/>
    <x v="2"/>
    <x v="1"/>
    <s v="PLAQUETTES"/>
    <x v="1"/>
    <n v="71.2"/>
  </r>
  <r>
    <d v="2025-09-11T21:15:32"/>
    <x v="6"/>
    <s v="Plaquettes de finition positives"/>
    <s v="VERGE G"/>
    <s v="VERGE GREGORY"/>
    <n v="10"/>
    <x v="3"/>
    <x v="2"/>
    <s v="PLAQUETTES"/>
    <x v="0"/>
    <n v="87"/>
  </r>
  <r>
    <d v="2025-09-11T21:15:44"/>
    <x v="4"/>
    <s v="Plaquettes de finition"/>
    <s v="VERGE G"/>
    <s v="VERGE GREGORY"/>
    <n v="5"/>
    <x v="2"/>
    <x v="2"/>
    <s v="PLAQUETTES"/>
    <x v="1"/>
    <n v="47.8"/>
  </r>
  <r>
    <d v="2025-09-12T05:15:33"/>
    <x v="6"/>
    <s v="Plaquettes de finition positives"/>
    <s v="U518765"/>
    <s v="ROY ADELINE"/>
    <n v="10"/>
    <x v="1"/>
    <x v="2"/>
    <s v="PLAQUETTES"/>
    <x v="0"/>
    <n v="87"/>
  </r>
  <r>
    <d v="2025-09-12T05:15:59"/>
    <x v="6"/>
    <s v="Plaquettes de finition positives"/>
    <s v="U518765"/>
    <s v="ROY ADELINE"/>
    <n v="10"/>
    <x v="1"/>
    <x v="2"/>
    <s v="PLAQUETTES"/>
    <x v="0"/>
    <n v="87"/>
  </r>
  <r>
    <d v="2025-05-08T21:11:30"/>
    <x v="2"/>
    <s v="Plaquettes d'ébauches rhombiques"/>
    <s v="080924"/>
    <s v="DABLEMONT AURELIEN"/>
    <n v="10"/>
    <x v="0"/>
    <x v="1"/>
    <s v="PLAQUETTES"/>
    <x v="1"/>
    <n v="70"/>
  </r>
  <r>
    <d v="2025-05-09T06:59:24"/>
    <x v="2"/>
    <s v="Plaquettes d'ébauches rhombiques"/>
    <s v="J534699"/>
    <s v="CHARTON FABIAN"/>
    <n v="10"/>
    <x v="0"/>
    <x v="2"/>
    <s v="PLAQUETTES"/>
    <x v="1"/>
    <n v="70"/>
  </r>
  <r>
    <d v="2025-05-09T07:02:31"/>
    <x v="2"/>
    <s v="Plaquettes d'ébauches rhombiques"/>
    <s v="J534699"/>
    <s v="CHARTON FABIAN"/>
    <n v="10"/>
    <x v="0"/>
    <x v="0"/>
    <s v="PLAQUETTES"/>
    <x v="1"/>
    <n v="70"/>
  </r>
  <r>
    <d v="2025-05-11T04:02:57"/>
    <x v="2"/>
    <s v="Plaquettes d'ébauches rhombiques"/>
    <s v="u534565"/>
    <s v="HOAREAU MARIUS"/>
    <n v="10"/>
    <x v="0"/>
    <x v="0"/>
    <s v="PLAQUETTES"/>
    <x v="1"/>
    <n v="70"/>
  </r>
  <r>
    <d v="2025-09-12T05:35:56"/>
    <x v="2"/>
    <s v="Plaquettes d'ébauches rhombiques"/>
    <s v="U054304"/>
    <s v="BOUACHIK HICHAM"/>
    <n v="10"/>
    <x v="1"/>
    <x v="0"/>
    <s v="PLAQUETTES"/>
    <x v="0"/>
    <n v="70"/>
  </r>
  <r>
    <d v="2025-09-12T05:36:12"/>
    <x v="1"/>
    <s v="Plaquettes d'ébauches carrées"/>
    <s v="U054304"/>
    <s v="BOUACHIK HICHAM"/>
    <n v="10"/>
    <x v="1"/>
    <x v="0"/>
    <s v="PLAQUETTES"/>
    <x v="0"/>
    <n v="71.2"/>
  </r>
  <r>
    <d v="2025-09-12T11:32:16"/>
    <x v="4"/>
    <s v="Plaquettes de finition"/>
    <s v="U198152"/>
    <s v="AJMIK MUSTAPHA"/>
    <n v="5"/>
    <x v="2"/>
    <x v="2"/>
    <s v="PLAQUETTES"/>
    <x v="1"/>
    <n v="47.8"/>
  </r>
  <r>
    <d v="2025-09-12T11:32:36"/>
    <x v="6"/>
    <s v="Plaquettes de finition positives"/>
    <s v="U198152"/>
    <s v="AJMIK MUSTAPHA"/>
    <n v="10"/>
    <x v="3"/>
    <x v="2"/>
    <s v="PLAQUETTES"/>
    <x v="0"/>
    <n v="87"/>
  </r>
  <r>
    <d v="2025-09-12T18:42:20"/>
    <x v="6"/>
    <s v="Plaquettes de finition positives"/>
    <s v="u134838"/>
    <s v="DANAH STEPHANIE"/>
    <n v="10"/>
    <x v="3"/>
    <x v="2"/>
    <s v="PLAQUETTES"/>
    <x v="0"/>
    <n v="87"/>
  </r>
  <r>
    <d v="2025-09-12T18:42:45"/>
    <x v="4"/>
    <s v="Plaquettes de finition"/>
    <s v="u134838"/>
    <s v="DANAH STEPHANIE"/>
    <n v="5"/>
    <x v="2"/>
    <x v="2"/>
    <s v="PLAQUETTES"/>
    <x v="1"/>
    <n v="47.8"/>
  </r>
  <r>
    <d v="2025-09-12T18:43:04"/>
    <x v="8"/>
    <s v="Plaquettes rhombiques"/>
    <s v="u134838"/>
    <s v="DANAH STEPHANIE"/>
    <n v="5"/>
    <x v="2"/>
    <x v="2"/>
    <s v="PLAQUETTES"/>
    <x v="1"/>
    <n v="18.399999999999999"/>
  </r>
  <r>
    <d v="2025-09-12T18:43:33"/>
    <x v="5"/>
    <s v="Plaquettes rondes"/>
    <s v="u134838"/>
    <s v="DANAH STEPHANIE"/>
    <n v="10"/>
    <x v="2"/>
    <x v="0"/>
    <s v="PLAQUETTES"/>
    <x v="1"/>
    <n v="108.5"/>
  </r>
  <r>
    <d v="2025-09-12T18:43:52"/>
    <x v="2"/>
    <s v="Plaquettes d'ébauches rhombiques"/>
    <s v="u134838"/>
    <s v="DANAH STEPHANIE"/>
    <n v="10"/>
    <x v="3"/>
    <x v="0"/>
    <s v="PLAQUETTES"/>
    <x v="0"/>
    <n v="70"/>
  </r>
  <r>
    <d v="2025-09-12T18:44:08"/>
    <x v="1"/>
    <s v="Plaquettes d'ébauches carrées"/>
    <s v="u134838"/>
    <s v="DANAH STEPHANIE"/>
    <n v="10"/>
    <x v="3"/>
    <x v="0"/>
    <s v="PLAQUETTES"/>
    <x v="0"/>
    <n v="71.2"/>
  </r>
  <r>
    <d v="2025-05-13T13:11:11"/>
    <x v="2"/>
    <s v="Plaquettes d'ébauches rhombiques"/>
    <s v="080924"/>
    <s v="DABLEMONT AURELIEN"/>
    <n v="10"/>
    <x v="0"/>
    <x v="1"/>
    <s v="PLAQUETTES"/>
    <x v="1"/>
    <n v="70"/>
  </r>
  <r>
    <d v="2025-05-14T05:06:12"/>
    <x v="2"/>
    <s v="Plaquettes d'ébauches rhombiques"/>
    <s v="J519914"/>
    <s v="MARLY DAVID"/>
    <n v="10"/>
    <x v="0"/>
    <x v="1"/>
    <s v="PLAQUETTES"/>
    <x v="1"/>
    <n v="70"/>
  </r>
  <r>
    <d v="2025-05-15T22:39:28"/>
    <x v="2"/>
    <s v="Plaquettes d'ébauches rhombiques"/>
    <s v="170325"/>
    <s v="VERDELET BASTIEN"/>
    <n v="10"/>
    <x v="0"/>
    <x v="0"/>
    <s v="PLAQUETTES"/>
    <x v="1"/>
    <n v="70"/>
  </r>
  <r>
    <d v="2025-05-16T21:21:57"/>
    <x v="2"/>
    <s v="Plaquettes d'ébauches rhombiques"/>
    <s v="170325"/>
    <s v="VERDELET BASTIEN"/>
    <n v="10"/>
    <x v="0"/>
    <x v="0"/>
    <s v="PLAQUETTES"/>
    <x v="1"/>
    <n v="70"/>
  </r>
  <r>
    <d v="2025-09-13T05:21:49"/>
    <x v="2"/>
    <s v="Plaquettes d'ébauches rhombiques"/>
    <s v="U054304"/>
    <s v="BOUACHIK HICHAM"/>
    <n v="10"/>
    <x v="1"/>
    <x v="0"/>
    <s v="PLAQUETTES"/>
    <x v="0"/>
    <n v="70"/>
  </r>
  <r>
    <d v="2025-09-13T05:22:07"/>
    <x v="1"/>
    <s v="Plaquettes d'ébauches carrées"/>
    <s v="U054304"/>
    <s v="BOUACHIK HICHAM"/>
    <n v="10"/>
    <x v="1"/>
    <x v="0"/>
    <s v="PLAQUETTES"/>
    <x v="0"/>
    <n v="71.2"/>
  </r>
  <r>
    <d v="2025-09-13T06:11:14"/>
    <x v="4"/>
    <s v="Plaquettes de finition"/>
    <s v="U198152"/>
    <s v="AJMIK MUSTAPHA"/>
    <n v="5"/>
    <x v="2"/>
    <x v="2"/>
    <s v="PLAQUETTES"/>
    <x v="1"/>
    <n v="47.8"/>
  </r>
  <r>
    <d v="2025-09-13T06:11:28"/>
    <x v="6"/>
    <s v="Plaquettes de finition positives"/>
    <s v="U198152"/>
    <s v="AJMIK MUSTAPHA"/>
    <n v="10"/>
    <x v="3"/>
    <x v="2"/>
    <s v="PLAQUETTES"/>
    <x v="0"/>
    <n v="87"/>
  </r>
  <r>
    <d v="2025-09-13T06:11:48"/>
    <x v="2"/>
    <s v="Plaquettes d'ébauches rhombiques"/>
    <s v="U198152"/>
    <s v="AJMIK MUSTAPHA"/>
    <n v="10"/>
    <x v="2"/>
    <x v="0"/>
    <s v="PLAQUETTES"/>
    <x v="1"/>
    <n v="70"/>
  </r>
  <r>
    <d v="2025-09-13T06:12:07"/>
    <x v="3"/>
    <s v="Plaquettes rondes"/>
    <s v="U198152"/>
    <s v="AJMIK MUSTAPHA"/>
    <n v="10"/>
    <x v="2"/>
    <x v="0"/>
    <s v="PLAQUETTES"/>
    <x v="1"/>
    <n v="136.69999999999999"/>
  </r>
  <r>
    <d v="2025-05-17T05:03:22"/>
    <x v="2"/>
    <s v="Plaquettes d'ébauches rhombiques"/>
    <s v="J534699"/>
    <s v="CHARTON FABIAN"/>
    <n v="10"/>
    <x v="0"/>
    <x v="1"/>
    <s v="PLAQUETTES"/>
    <x v="0"/>
    <n v="70"/>
  </r>
  <r>
    <d v="2025-09-13T17:49:18"/>
    <x v="6"/>
    <s v="Plaquettes de finition positives"/>
    <s v="U534565"/>
    <s v="HOAREAU MARIUS"/>
    <n v="10"/>
    <x v="1"/>
    <x v="2"/>
    <s v="PLAQUETTES"/>
    <x v="0"/>
    <n v="87"/>
  </r>
  <r>
    <d v="2025-09-13T21:44:50"/>
    <x v="6"/>
    <s v="Plaquettes de finition positives"/>
    <s v="U518765"/>
    <s v="ROY ADELINE"/>
    <n v="10"/>
    <x v="3"/>
    <x v="2"/>
    <s v="PLAQUETTES"/>
    <x v="0"/>
    <n v="87"/>
  </r>
  <r>
    <d v="2025-09-13T21:45:11"/>
    <x v="6"/>
    <s v="Plaquettes de finition positives"/>
    <s v="U518765"/>
    <s v="ROY ADELINE"/>
    <n v="10"/>
    <x v="3"/>
    <x v="2"/>
    <s v="PLAQUETTES"/>
    <x v="0"/>
    <n v="87"/>
  </r>
  <r>
    <d v="2025-09-13T21:45:28"/>
    <x v="8"/>
    <s v="Plaquettes rhombiques"/>
    <s v="U518765"/>
    <s v="ROY ADELINE"/>
    <n v="5"/>
    <x v="2"/>
    <x v="2"/>
    <s v="PLAQUETTES"/>
    <x v="1"/>
    <n v="18.399999999999999"/>
  </r>
  <r>
    <d v="2025-09-13T21:45:48"/>
    <x v="4"/>
    <s v="Plaquettes de finition"/>
    <s v="U518765"/>
    <s v="ROY ADELINE"/>
    <n v="5"/>
    <x v="2"/>
    <x v="2"/>
    <s v="PLAQUETTES"/>
    <x v="1"/>
    <n v="47.8"/>
  </r>
  <r>
    <d v="2025-09-14T04:40:12"/>
    <x v="11"/>
    <s v="Plaquettes de finition triangulaires"/>
    <s v="U198152"/>
    <s v="AJMIK MUSTAPHA"/>
    <n v="10"/>
    <x v="2"/>
    <x v="2"/>
    <s v="PLAQUETTES"/>
    <x v="1"/>
    <n v="118.7"/>
  </r>
  <r>
    <d v="2025-09-14T04:40:29"/>
    <x v="8"/>
    <s v="Plaquettes rhombiques"/>
    <s v="U198152"/>
    <s v="AJMIK MUSTAPHA"/>
    <n v="5"/>
    <x v="2"/>
    <x v="2"/>
    <s v="PLAQUETTES"/>
    <x v="1"/>
    <n v="18.399999999999999"/>
  </r>
  <r>
    <d v="2025-09-14T04:40:44"/>
    <x v="4"/>
    <s v="Plaquettes de finition"/>
    <s v="U198152"/>
    <s v="AJMIK MUSTAPHA"/>
    <n v="5"/>
    <x v="2"/>
    <x v="2"/>
    <s v="PLAQUETTES"/>
    <x v="1"/>
    <n v="47.8"/>
  </r>
  <r>
    <d v="2025-09-14T04:40:59"/>
    <x v="6"/>
    <s v="Plaquettes de finition positives"/>
    <s v="U198152"/>
    <s v="AJMIK MUSTAPHA"/>
    <n v="10"/>
    <x v="3"/>
    <x v="2"/>
    <s v="PLAQUETTES"/>
    <x v="0"/>
    <n v="87"/>
  </r>
  <r>
    <d v="2025-09-14T04:41:17"/>
    <x v="2"/>
    <s v="Plaquettes d'ébauches rhombiques"/>
    <s v="U198152"/>
    <s v="AJMIK MUSTAPHA"/>
    <n v="10"/>
    <x v="3"/>
    <x v="0"/>
    <s v="PLAQUETTES"/>
    <x v="0"/>
    <n v="70"/>
  </r>
  <r>
    <d v="2025-09-14T04:41:33"/>
    <x v="1"/>
    <s v="Plaquettes d'ébauches carrées"/>
    <s v="U198152"/>
    <s v="AJMIK MUSTAPHA"/>
    <n v="10"/>
    <x v="3"/>
    <x v="0"/>
    <s v="PLAQUETTES"/>
    <x v="0"/>
    <n v="71.2"/>
  </r>
  <r>
    <d v="2025-05-17T05:06:38"/>
    <x v="2"/>
    <s v="Plaquettes d'ébauches rhombiques"/>
    <s v="J534699"/>
    <s v="CHARTON FABIAN"/>
    <n v="10"/>
    <x v="0"/>
    <x v="2"/>
    <s v="PLAQUETTES"/>
    <x v="1"/>
    <n v="70"/>
  </r>
  <r>
    <d v="2025-09-14T05:36:25"/>
    <x v="6"/>
    <s v="Plaquettes de finition positives"/>
    <s v="J534699"/>
    <s v="CHARTON FABIAN"/>
    <n v="10"/>
    <x v="1"/>
    <x v="2"/>
    <s v="PLAQUETTES"/>
    <x v="0"/>
    <n v="87"/>
  </r>
  <r>
    <d v="2025-09-14T05:36:52"/>
    <x v="7"/>
    <s v="Plaquettes de finition triangulaires"/>
    <s v="J534699"/>
    <s v="CHARTON FABIAN"/>
    <n v="10"/>
    <x v="1"/>
    <x v="2"/>
    <s v="PLAQUETTES"/>
    <x v="0"/>
    <n v="138.80000000000001"/>
  </r>
  <r>
    <d v="2025-05-19T06:10:00"/>
    <x v="2"/>
    <s v="Plaquettes d'ébauches rhombiques"/>
    <s v="080924"/>
    <s v="DABLEMONT AURELIEN"/>
    <n v="10"/>
    <x v="0"/>
    <x v="1"/>
    <s v="PLAQUETTES"/>
    <x v="1"/>
    <n v="70"/>
  </r>
  <r>
    <d v="2025-05-19T06:10:48"/>
    <x v="2"/>
    <s v="Plaquettes d'ébauches rhombiques"/>
    <s v="080924"/>
    <s v="DABLEMONT AURELIEN"/>
    <n v="10"/>
    <x v="0"/>
    <x v="1"/>
    <s v="PLAQUETTES"/>
    <x v="1"/>
    <n v="70"/>
  </r>
  <r>
    <d v="2025-05-22T06:33:06"/>
    <x v="2"/>
    <s v="Plaquettes d'ébauches rhombiques"/>
    <s v="080924"/>
    <s v="DABLEMONT AURELIEN"/>
    <n v="10"/>
    <x v="0"/>
    <x v="0"/>
    <s v="PLAQUETTES"/>
    <x v="0"/>
    <n v="70"/>
  </r>
  <r>
    <d v="2025-09-14T05:38:17"/>
    <x v="5"/>
    <s v="Plaquettes rondes"/>
    <s v="J534699"/>
    <s v="CHARTON FABIAN"/>
    <n v="10"/>
    <x v="1"/>
    <x v="0"/>
    <s v="PLAQUETTES"/>
    <x v="0"/>
    <n v="108.5"/>
  </r>
  <r>
    <d v="2025-09-14T17:16:26"/>
    <x v="6"/>
    <s v="Plaquettes de finition positives"/>
    <s v="U534565"/>
    <s v="HOAREAU MARIUS"/>
    <n v="10"/>
    <x v="1"/>
    <x v="2"/>
    <s v="PLAQUETTES"/>
    <x v="0"/>
    <n v="87"/>
  </r>
  <r>
    <d v="2025-09-14T17:25:07"/>
    <x v="2"/>
    <s v="Plaquettes d'ébauches rhombiques"/>
    <s v="U518765"/>
    <s v="ROY ADELINE"/>
    <n v="10"/>
    <x v="3"/>
    <x v="0"/>
    <s v="PLAQUETTES"/>
    <x v="0"/>
    <n v="70"/>
  </r>
  <r>
    <d v="2025-05-22T13:26:09"/>
    <x v="2"/>
    <s v="Plaquettes d'ébauches rhombiques"/>
    <s v="170325"/>
    <s v="VERDELET BASTIEN"/>
    <n v="10"/>
    <x v="0"/>
    <x v="0"/>
    <s v="PLAQUETTES"/>
    <x v="0"/>
    <n v="70"/>
  </r>
  <r>
    <d v="2025-09-14T17:25:57"/>
    <x v="9"/>
    <s v="Plaquettes rhombiques"/>
    <s v="U518765"/>
    <s v="ROY ADELINE"/>
    <n v="5"/>
    <x v="2"/>
    <x v="2"/>
    <s v="PLAQUETTES"/>
    <x v="1"/>
    <n v="44.85"/>
  </r>
  <r>
    <d v="2025-09-14T17:26:21"/>
    <x v="4"/>
    <s v="Plaquettes de finition"/>
    <s v="U518765"/>
    <s v="ROY ADELINE"/>
    <n v="5"/>
    <x v="2"/>
    <x v="2"/>
    <s v="PLAQUETTES"/>
    <x v="1"/>
    <n v="47.8"/>
  </r>
  <r>
    <d v="2025-09-14T23:19:18"/>
    <x v="6"/>
    <s v="Plaquettes de finition positives"/>
    <s v="U534565"/>
    <s v="HOAREAU MARIUS"/>
    <n v="10"/>
    <x v="1"/>
    <x v="2"/>
    <s v="PLAQUETTES"/>
    <x v="0"/>
    <n v="87"/>
  </r>
  <r>
    <d v="2025-05-23T05:42:53"/>
    <x v="2"/>
    <s v="Plaquettes d'ébauches rhombiques"/>
    <s v="U054304"/>
    <s v="BOUACHIK HICHAM"/>
    <n v="10"/>
    <x v="0"/>
    <x v="0"/>
    <s v="PLAQUETTES"/>
    <x v="0"/>
    <n v="70"/>
  </r>
  <r>
    <d v="2025-05-23T18:44:19"/>
    <x v="2"/>
    <s v="Plaquettes d'ébauches rhombiques"/>
    <s v="170325"/>
    <s v="VERDELET BASTIEN"/>
    <n v="10"/>
    <x v="0"/>
    <x v="0"/>
    <s v="PLAQUETTES"/>
    <x v="0"/>
    <n v="70"/>
  </r>
  <r>
    <d v="2025-09-15T06:42:04"/>
    <x v="6"/>
    <s v="Plaquettes de finition positives"/>
    <s v="u134838"/>
    <s v="DANAH STEPHANIE"/>
    <n v="10"/>
    <x v="1"/>
    <x v="2"/>
    <s v="PLAQUETTES"/>
    <x v="0"/>
    <n v="87"/>
  </r>
  <r>
    <d v="2025-09-15T06:42:25"/>
    <x v="2"/>
    <s v="Plaquettes d'ébauches rhombiques"/>
    <s v="u134838"/>
    <s v="DANAH STEPHANIE"/>
    <n v="10"/>
    <x v="1"/>
    <x v="0"/>
    <s v="PLAQUETTES"/>
    <x v="0"/>
    <n v="70"/>
  </r>
  <r>
    <d v="2025-05-24T18:45:00"/>
    <x v="2"/>
    <s v="Plaquettes d'ébauches rhombiques"/>
    <s v="u534565"/>
    <s v="HOAREAU MARIUS"/>
    <n v="10"/>
    <x v="0"/>
    <x v="0"/>
    <s v="PLAQUETTES"/>
    <x v="0"/>
    <n v="70"/>
  </r>
  <r>
    <d v="2025-05-25T05:25:15"/>
    <x v="2"/>
    <s v="Plaquettes d'ébauches rhombiques"/>
    <s v="U054304"/>
    <s v="BOUACHIK HICHAM"/>
    <n v="10"/>
    <x v="0"/>
    <x v="0"/>
    <s v="PLAQUETTES"/>
    <x v="0"/>
    <n v="70"/>
  </r>
  <r>
    <d v="2025-09-15T13:30:46"/>
    <x v="2"/>
    <s v="Plaquettes d'ébauches rhombiques"/>
    <s v="sd13196"/>
    <s v="FRADIN MAXIME"/>
    <n v="10"/>
    <x v="3"/>
    <x v="1"/>
    <s v="PLAQUETTES"/>
    <x v="0"/>
    <n v="70"/>
  </r>
  <r>
    <d v="2025-09-15T13:31:02"/>
    <x v="1"/>
    <s v="Plaquettes d'ébauches carrées"/>
    <s v="sd13196"/>
    <s v="FRADIN MAXIME"/>
    <n v="10"/>
    <x v="3"/>
    <x v="1"/>
    <s v="PLAQUETTES"/>
    <x v="5"/>
    <n v="71.2"/>
  </r>
  <r>
    <d v="2025-09-15T16:31:30"/>
    <x v="8"/>
    <s v="Plaquettes rhombiques"/>
    <s v="sd13196"/>
    <s v="FRADIN MAXIME"/>
    <n v="5"/>
    <x v="2"/>
    <x v="2"/>
    <s v="PLAQUETTES"/>
    <x v="1"/>
    <n v="18.399999999999999"/>
  </r>
  <r>
    <d v="2025-09-15T21:12:48"/>
    <x v="2"/>
    <s v="Plaquettes d'ébauches rhombiques"/>
    <s v="VERGE G"/>
    <s v="VERGE GREGORY"/>
    <n v="10"/>
    <x v="3"/>
    <x v="1"/>
    <s v="PLAQUETTES"/>
    <x v="0"/>
    <n v="70"/>
  </r>
  <r>
    <d v="2025-05-27T22:09:19"/>
    <x v="2"/>
    <s v="Plaquettes d'ébauches rhombiques"/>
    <s v="080924"/>
    <s v="DABLEMONT AURELIEN"/>
    <n v="10"/>
    <x v="0"/>
    <x v="1"/>
    <s v="PLAQUETTES"/>
    <x v="0"/>
    <n v="70"/>
  </r>
  <r>
    <d v="2025-05-28T13:10:15"/>
    <x v="2"/>
    <s v="Plaquettes d'ébauches rhombiques"/>
    <s v="J519914"/>
    <s v="MARLY DAVID"/>
    <n v="10"/>
    <x v="0"/>
    <x v="0"/>
    <s v="PLAQUETTES"/>
    <x v="0"/>
    <n v="70"/>
  </r>
  <r>
    <d v="2025-09-15T21:13:34"/>
    <x v="9"/>
    <s v="Plaquettes rhombiques"/>
    <s v="VERGE G"/>
    <s v="VERGE GREGORY"/>
    <n v="5"/>
    <x v="2"/>
    <x v="2"/>
    <s v="PLAQUETTES"/>
    <x v="1"/>
    <n v="44.85"/>
  </r>
  <r>
    <d v="2025-09-15T21:13:48"/>
    <x v="4"/>
    <s v="Plaquettes de finition"/>
    <s v="VERGE G"/>
    <s v="VERGE GREGORY"/>
    <n v="5"/>
    <x v="2"/>
    <x v="2"/>
    <s v="PLAQUETTES"/>
    <x v="1"/>
    <n v="47.8"/>
  </r>
  <r>
    <d v="2025-09-15T21:14:00"/>
    <x v="6"/>
    <s v="Plaquettes de finition positives"/>
    <s v="VERGE G"/>
    <s v="VERGE GREGORY"/>
    <n v="10"/>
    <x v="3"/>
    <x v="2"/>
    <s v="PLAQUETTES"/>
    <x v="0"/>
    <n v="87"/>
  </r>
  <r>
    <d v="2025-09-16T01:29:20"/>
    <x v="2"/>
    <s v="Plaquettes d'ébauches rhombiques"/>
    <s v="230525"/>
    <s v="SOULAS YANIS"/>
    <n v="10"/>
    <x v="1"/>
    <x v="1"/>
    <s v="PLAQUETTES"/>
    <x v="0"/>
    <n v="70"/>
  </r>
  <r>
    <d v="2025-09-16T01:29:38"/>
    <x v="6"/>
    <s v="Plaquettes de finition positives"/>
    <s v="230525"/>
    <s v="SOULAS YANIS"/>
    <n v="10"/>
    <x v="1"/>
    <x v="2"/>
    <s v="PLAQUETTES"/>
    <x v="0"/>
    <n v="87"/>
  </r>
  <r>
    <d v="2025-09-16T01:30:07"/>
    <x v="2"/>
    <s v="Plaquettes d'ébauches rhombiques"/>
    <s v="230525"/>
    <s v="SOULAS YANIS"/>
    <n v="10"/>
    <x v="1"/>
    <x v="1"/>
    <s v="PLAQUETTES"/>
    <x v="0"/>
    <n v="70"/>
  </r>
  <r>
    <d v="2025-05-29T13:08:15"/>
    <x v="2"/>
    <s v="Plaquettes d'ébauches rhombiques"/>
    <s v="J519914"/>
    <s v="MARLY DAVID"/>
    <n v="10"/>
    <x v="0"/>
    <x v="0"/>
    <s v="PLAQUETTES"/>
    <x v="0"/>
    <n v="70"/>
  </r>
  <r>
    <d v="2025-09-16T13:31:54"/>
    <x v="6"/>
    <s v="Plaquettes de finition positives"/>
    <s v="u462308"/>
    <s v="MAITRE SEBASTIEN"/>
    <n v="10"/>
    <x v="1"/>
    <x v="2"/>
    <s v="PLAQUETTES"/>
    <x v="0"/>
    <n v="87"/>
  </r>
  <r>
    <d v="2025-05-30T22:03:15"/>
    <x v="2"/>
    <s v="Plaquettes d'ébauches rhombiques"/>
    <s v="080924"/>
    <s v="DABLEMONT AURELIEN"/>
    <n v="10"/>
    <x v="0"/>
    <x v="1"/>
    <s v="PLAQUETTES"/>
    <x v="0"/>
    <n v="70"/>
  </r>
  <r>
    <d v="2025-09-16T14:01:08"/>
    <x v="4"/>
    <s v="Plaquettes de finition"/>
    <s v="SD13196"/>
    <s v="FRADIN MAXIME"/>
    <n v="5"/>
    <x v="2"/>
    <x v="2"/>
    <s v="PLAQUETTES"/>
    <x v="1"/>
    <n v="47.8"/>
  </r>
  <r>
    <d v="2025-09-16T14:01:48"/>
    <x v="3"/>
    <s v="Plaquettes rondes"/>
    <s v="sd13196"/>
    <s v="FRADIN MAXIME"/>
    <n v="10"/>
    <x v="2"/>
    <x v="0"/>
    <s v="PLAQUETTES"/>
    <x v="1"/>
    <n v="136.69999999999999"/>
  </r>
  <r>
    <d v="2025-09-16T16:12:13"/>
    <x v="9"/>
    <s v="Plaquettes rhombiques"/>
    <s v="sd13196"/>
    <s v="FRADIN MAXIME"/>
    <n v="5"/>
    <x v="2"/>
    <x v="2"/>
    <s v="PLAQUETTES"/>
    <x v="1"/>
    <n v="44.85"/>
  </r>
  <r>
    <d v="2025-09-16T17:17:47"/>
    <x v="5"/>
    <s v="Plaquettes rondes"/>
    <s v="u462308"/>
    <s v="MAITRE SEBASTIEN"/>
    <n v="10"/>
    <x v="1"/>
    <x v="0"/>
    <s v="PLAQUETTES"/>
    <x v="0"/>
    <n v="108.5"/>
  </r>
  <r>
    <d v="2025-09-16T21:19:06"/>
    <x v="2"/>
    <s v="Plaquettes d'ébauches rhombiques"/>
    <s v="VERGE G"/>
    <s v="VERGE GREGORY"/>
    <n v="10"/>
    <x v="2"/>
    <x v="1"/>
    <s v="PLAQUETTES"/>
    <x v="1"/>
    <n v="70"/>
  </r>
  <r>
    <d v="2025-09-16T21:19:18"/>
    <x v="2"/>
    <s v="Plaquettes d'ébauches rhombiques"/>
    <s v="VERGE G"/>
    <s v="VERGE GREGORY"/>
    <n v="10"/>
    <x v="2"/>
    <x v="1"/>
    <s v="PLAQUETTES"/>
    <x v="1"/>
    <n v="70"/>
  </r>
  <r>
    <d v="2025-09-16T21:19:36"/>
    <x v="1"/>
    <s v="Plaquettes d'ébauches carrées"/>
    <s v="VERGE G"/>
    <s v="VERGE GREGORY"/>
    <n v="10"/>
    <x v="2"/>
    <x v="1"/>
    <s v="PLAQUETTES"/>
    <x v="1"/>
    <n v="71.2"/>
  </r>
  <r>
    <d v="2025-09-16T21:19:47"/>
    <x v="4"/>
    <s v="Plaquettes de finition"/>
    <s v="VERGE G"/>
    <s v="VERGE GREGORY"/>
    <n v="5"/>
    <x v="2"/>
    <x v="2"/>
    <s v="PLAQUETTES"/>
    <x v="1"/>
    <n v="47.8"/>
  </r>
  <r>
    <d v="2025-09-16T21:20:03"/>
    <x v="6"/>
    <s v="Plaquettes de finition positives"/>
    <s v="VERGE G"/>
    <s v="VERGE GREGORY"/>
    <n v="10"/>
    <x v="3"/>
    <x v="2"/>
    <s v="PLAQUETTES"/>
    <x v="0"/>
    <n v="87"/>
  </r>
  <r>
    <d v="2025-05-30T22:03:29"/>
    <x v="2"/>
    <s v="Plaquettes d'ébauches rhombiques"/>
    <s v="080924"/>
    <s v="DABLEMONT AURELIEN"/>
    <n v="10"/>
    <x v="0"/>
    <x v="1"/>
    <s v="PLAQUETTES"/>
    <x v="0"/>
    <n v="70"/>
  </r>
  <r>
    <d v="2025-09-17T03:42:39"/>
    <x v="6"/>
    <s v="Plaquettes de finition positives"/>
    <s v="230525"/>
    <s v="SOULAS YANIS"/>
    <n v="10"/>
    <x v="1"/>
    <x v="2"/>
    <s v="PLAQUETTES"/>
    <x v="0"/>
    <n v="87"/>
  </r>
  <r>
    <d v="2025-09-17T03:42:53"/>
    <x v="2"/>
    <s v="Plaquettes d'ébauches rhombiques"/>
    <s v="230525"/>
    <s v="SOULAS YANIS"/>
    <n v="10"/>
    <x v="1"/>
    <x v="1"/>
    <s v="PLAQUETTES"/>
    <x v="0"/>
    <n v="70"/>
  </r>
  <r>
    <d v="2025-06-01T21:09:54"/>
    <x v="2"/>
    <s v="Plaquettes d'ébauches rhombiques"/>
    <s v="U054304"/>
    <s v="BOUACHIK HICHAM"/>
    <n v="10"/>
    <x v="0"/>
    <x v="0"/>
    <s v="PLAQUETTES"/>
    <x v="0"/>
    <n v="70"/>
  </r>
  <r>
    <d v="2025-09-17T06:49:09"/>
    <x v="7"/>
    <s v="Plaquettes de finition triangulaires"/>
    <s v="u134838"/>
    <s v="DANAH STEPHANIE"/>
    <n v="10"/>
    <x v="1"/>
    <x v="2"/>
    <s v="PLAQUETTES"/>
    <x v="0"/>
    <n v="138.80000000000001"/>
  </r>
  <r>
    <d v="2025-06-02T13:40:34"/>
    <x v="2"/>
    <s v="Plaquettes d'ébauches rhombiques"/>
    <s v="080924"/>
    <s v="DABLEMONT AURELIEN"/>
    <n v="10"/>
    <x v="0"/>
    <x v="1"/>
    <s v="PLAQUETTES"/>
    <x v="0"/>
    <n v="70"/>
  </r>
  <r>
    <d v="2025-09-17T06:49:51"/>
    <x v="6"/>
    <s v="Plaquettes de finition positives"/>
    <s v="u134838"/>
    <s v="DANAH STEPHANIE"/>
    <n v="10"/>
    <x v="1"/>
    <x v="2"/>
    <s v="PLAQUETTES"/>
    <x v="0"/>
    <n v="87"/>
  </r>
  <r>
    <d v="2025-09-17T06:50:14"/>
    <x v="2"/>
    <s v="Plaquettes d'ébauches rhombiques"/>
    <s v="u134838"/>
    <s v="DANAH STEPHANIE"/>
    <n v="10"/>
    <x v="1"/>
    <x v="0"/>
    <s v="PLAQUETTES"/>
    <x v="0"/>
    <n v="70"/>
  </r>
  <r>
    <d v="2025-09-17T10:00:22"/>
    <x v="6"/>
    <s v="Plaquettes de finition positives"/>
    <s v="170325"/>
    <s v="VERDELET BASTIEN"/>
    <n v="10"/>
    <x v="3"/>
    <x v="2"/>
    <s v="PLAQUETTES"/>
    <x v="0"/>
    <n v="87"/>
  </r>
  <r>
    <d v="2025-09-17T10:00:37"/>
    <x v="2"/>
    <s v="Plaquettes d'ébauches rhombiques"/>
    <s v="170325"/>
    <s v="VERDELET BASTIEN"/>
    <n v="10"/>
    <x v="2"/>
    <x v="0"/>
    <s v="PLAQUETTES"/>
    <x v="1"/>
    <n v="70"/>
  </r>
  <r>
    <d v="2025-09-17T14:21:55"/>
    <x v="5"/>
    <s v="Plaquettes rondes"/>
    <s v="sd13196"/>
    <s v="FRADIN MAXIME"/>
    <n v="10"/>
    <x v="3"/>
    <x v="0"/>
    <s v="PLAQUETTES"/>
    <x v="3"/>
    <n v="108.5"/>
  </r>
  <r>
    <d v="2025-09-17T15:12:52"/>
    <x v="4"/>
    <s v="Plaquettes de finition"/>
    <s v="sd13196"/>
    <s v="FRADIN MAXIME"/>
    <n v="5"/>
    <x v="2"/>
    <x v="2"/>
    <s v="PLAQUETTES"/>
    <x v="1"/>
    <n v="47.8"/>
  </r>
  <r>
    <d v="2025-09-17T17:37:50"/>
    <x v="6"/>
    <s v="Plaquettes de finition positives"/>
    <s v="u462308"/>
    <s v="MAITRE SEBASTIEN"/>
    <n v="10"/>
    <x v="1"/>
    <x v="2"/>
    <s v="PLAQUETTES"/>
    <x v="0"/>
    <n v="87"/>
  </r>
  <r>
    <d v="2025-09-17T21:34:56"/>
    <x v="6"/>
    <s v="Plaquettes de finition positives"/>
    <s v="VERGE G"/>
    <s v="VERGE GREGORY"/>
    <n v="10"/>
    <x v="3"/>
    <x v="2"/>
    <s v="PLAQUETTES"/>
    <x v="0"/>
    <n v="87"/>
  </r>
  <r>
    <d v="2025-09-17T21:35:10"/>
    <x v="10"/>
    <s v="Plaquettes de finition"/>
    <s v="VERGE G"/>
    <s v="VERGE GREGORY"/>
    <n v="10"/>
    <x v="3"/>
    <x v="2"/>
    <s v="PLAQUETTES"/>
    <x v="0"/>
    <n v="109.7"/>
  </r>
  <r>
    <d v="2025-09-17T21:35:23"/>
    <x v="7"/>
    <s v="Plaquettes de finition triangulaires"/>
    <s v="VERGE G"/>
    <s v="VERGE GREGORY"/>
    <n v="10"/>
    <x v="3"/>
    <x v="2"/>
    <s v="PLAQUETTES"/>
    <x v="0"/>
    <n v="138.80000000000001"/>
  </r>
  <r>
    <d v="2025-09-17T21:35:38"/>
    <x v="2"/>
    <s v="Plaquettes d'ébauches rhombiques"/>
    <s v="VERGE G"/>
    <s v="VERGE GREGORY"/>
    <n v="10"/>
    <x v="2"/>
    <x v="1"/>
    <s v="PLAQUETTES"/>
    <x v="1"/>
    <n v="70"/>
  </r>
  <r>
    <d v="2025-09-17T22:32:30"/>
    <x v="2"/>
    <s v="Plaquettes d'ébauches rhombiques"/>
    <s v="230525"/>
    <s v="SOULAS YANIS"/>
    <n v="10"/>
    <x v="1"/>
    <x v="1"/>
    <s v="PLAQUETTES"/>
    <x v="0"/>
    <n v="70"/>
  </r>
  <r>
    <d v="2025-06-03T06:31:12"/>
    <x v="2"/>
    <s v="Plaquettes d'ébauches rhombiques"/>
    <s v="J519914"/>
    <s v="MARLY DAVID"/>
    <n v="10"/>
    <x v="0"/>
    <x v="0"/>
    <s v="PLAQUETTES"/>
    <x v="0"/>
    <n v="70"/>
  </r>
  <r>
    <d v="2025-09-17T22:32:59"/>
    <x v="6"/>
    <s v="Plaquettes de finition positives"/>
    <s v="230525"/>
    <s v="SOULAS YANIS"/>
    <n v="10"/>
    <x v="1"/>
    <x v="2"/>
    <s v="PLAQUETTES"/>
    <x v="0"/>
    <n v="87"/>
  </r>
  <r>
    <d v="2025-09-18T06:06:36"/>
    <x v="6"/>
    <s v="Plaquettes de finition positives"/>
    <s v="170325"/>
    <s v="VERDELET BASTIEN"/>
    <n v="10"/>
    <x v="3"/>
    <x v="2"/>
    <s v="PLAQUETTES"/>
    <x v="0"/>
    <n v="87"/>
  </r>
  <r>
    <d v="2025-09-18T06:06:53"/>
    <x v="2"/>
    <s v="Plaquettes d'ébauches rhombiques"/>
    <s v="170325"/>
    <s v="VERDELET BASTIEN"/>
    <n v="10"/>
    <x v="2"/>
    <x v="0"/>
    <s v="PLAQUETTES"/>
    <x v="1"/>
    <n v="70"/>
  </r>
  <r>
    <d v="2025-09-18T06:07:16"/>
    <x v="1"/>
    <s v="Plaquettes d'ébauches carrées"/>
    <s v="170325"/>
    <s v="VERDELET BASTIEN"/>
    <n v="10"/>
    <x v="3"/>
    <x v="0"/>
    <s v="PLAQUETTES"/>
    <x v="0"/>
    <n v="71.2"/>
  </r>
  <r>
    <d v="2025-06-04T14:32:00"/>
    <x v="2"/>
    <s v="Plaquettes d'ébauches rhombiques"/>
    <s v="230525"/>
    <s v="SOULAS YANIS"/>
    <n v="10"/>
    <x v="0"/>
    <x v="0"/>
    <s v="PLAQUETTES"/>
    <x v="0"/>
    <n v="70"/>
  </r>
  <r>
    <d v="2025-06-04T22:27:54"/>
    <x v="2"/>
    <s v="Plaquettes d'ébauches rhombiques"/>
    <s v="u134838"/>
    <s v="DANAH STEPHANIE"/>
    <n v="10"/>
    <x v="0"/>
    <x v="1"/>
    <s v="PLAQUETTES"/>
    <x v="0"/>
    <n v="70"/>
  </r>
  <r>
    <d v="2025-09-18T08:09:53"/>
    <x v="6"/>
    <s v="Plaquettes de finition positives"/>
    <s v="u134838"/>
    <s v="DANAH STEPHANIE"/>
    <n v="10"/>
    <x v="1"/>
    <x v="2"/>
    <s v="PLAQUETTES"/>
    <x v="0"/>
    <n v="87"/>
  </r>
  <r>
    <d v="2025-09-18T08:10:12"/>
    <x v="5"/>
    <s v="Plaquettes rondes"/>
    <s v="u134838"/>
    <s v="DANAH STEPHANIE"/>
    <n v="10"/>
    <x v="1"/>
    <x v="0"/>
    <s v="PLAQUETTES"/>
    <x v="0"/>
    <n v="108.5"/>
  </r>
  <r>
    <d v="2025-09-18T08:10:35"/>
    <x v="2"/>
    <s v="Plaquettes d'ébauches rhombiques"/>
    <s v="u134838"/>
    <s v="DANAH STEPHANIE"/>
    <n v="10"/>
    <x v="1"/>
    <x v="0"/>
    <s v="PLAQUETTES"/>
    <x v="0"/>
    <n v="70"/>
  </r>
  <r>
    <d v="2025-09-18T14:06:21"/>
    <x v="6"/>
    <s v="Plaquettes de finition positives"/>
    <s v="u462308"/>
    <s v="MAITRE SEBASTIEN"/>
    <n v="10"/>
    <x v="3"/>
    <x v="2"/>
    <s v="PLAQUETTES"/>
    <x v="0"/>
    <n v="87"/>
  </r>
  <r>
    <d v="2025-09-18T14:06:42"/>
    <x v="2"/>
    <s v="Plaquettes d'ébauches rhombiques"/>
    <s v="u462308"/>
    <s v="MAITRE SEBASTIEN"/>
    <n v="10"/>
    <x v="3"/>
    <x v="1"/>
    <s v="PLAQUETTES"/>
    <x v="0"/>
    <n v="70"/>
  </r>
  <r>
    <d v="2025-09-18T22:09:04"/>
    <x v="4"/>
    <s v="Plaquettes de finition"/>
    <s v="VERGE G"/>
    <s v="VERGE GREGORY"/>
    <n v="5"/>
    <x v="2"/>
    <x v="2"/>
    <s v="PLAQUETTES"/>
    <x v="1"/>
    <n v="47.8"/>
  </r>
  <r>
    <d v="2025-09-18T22:09:22"/>
    <x v="6"/>
    <s v="Plaquettes de finition positives"/>
    <s v="VERGE G"/>
    <s v="VERGE GREGORY"/>
    <n v="10"/>
    <x v="3"/>
    <x v="2"/>
    <s v="PLAQUETTES"/>
    <x v="0"/>
    <n v="87"/>
  </r>
  <r>
    <d v="2025-09-18T22:09:45"/>
    <x v="2"/>
    <s v="Plaquettes d'ébauches rhombiques"/>
    <s v="VERGE G"/>
    <s v="VERGE GREGORY"/>
    <n v="10"/>
    <x v="3"/>
    <x v="1"/>
    <s v="PLAQUETTES"/>
    <x v="0"/>
    <n v="70"/>
  </r>
  <r>
    <d v="2025-09-18T22:10:01"/>
    <x v="2"/>
    <s v="Plaquettes d'ébauches rhombiques"/>
    <s v="VERGE G"/>
    <s v="VERGE GREGORY"/>
    <n v="10"/>
    <x v="3"/>
    <x v="1"/>
    <s v="PLAQUETTES"/>
    <x v="0"/>
    <n v="70"/>
  </r>
  <r>
    <d v="2025-09-18T22:10:18"/>
    <x v="5"/>
    <s v="Plaquettes rondes"/>
    <s v="VERGE G"/>
    <s v="VERGE GREGORY"/>
    <n v="10"/>
    <x v="3"/>
    <x v="0"/>
    <s v="PLAQUETTES"/>
    <x v="0"/>
    <n v="108.5"/>
  </r>
  <r>
    <d v="2025-06-05T12:08:52"/>
    <x v="2"/>
    <s v="Plaquettes d'ébauches rhombiques"/>
    <s v="SD13196"/>
    <s v="FRADIN MAXIME"/>
    <n v="10"/>
    <x v="0"/>
    <x v="1"/>
    <s v="PLAQUETTES"/>
    <x v="3"/>
    <n v="70"/>
  </r>
  <r>
    <d v="2025-06-05T13:19:34"/>
    <x v="2"/>
    <s v="Plaquettes d'ébauches rhombiques"/>
    <s v="230525"/>
    <s v="SOULAS YANIS"/>
    <n v="10"/>
    <x v="0"/>
    <x v="1"/>
    <s v="PLAQUETTES"/>
    <x v="0"/>
    <n v="70"/>
  </r>
  <r>
    <d v="2025-09-18T23:47:44"/>
    <x v="1"/>
    <s v="Plaquettes d'ébauches carrées"/>
    <s v="230525"/>
    <s v="SOULAS YANIS"/>
    <n v="10"/>
    <x v="1"/>
    <x v="1"/>
    <s v="PLAQUETTES"/>
    <x v="0"/>
    <n v="71.2"/>
  </r>
  <r>
    <d v="2025-09-18T23:48:06"/>
    <x v="2"/>
    <s v="Plaquettes d'ébauches rhombiques"/>
    <s v="230525"/>
    <s v="SOULAS YANIS"/>
    <n v="10"/>
    <x v="1"/>
    <x v="1"/>
    <s v="PLAQUETTES"/>
    <x v="0"/>
    <n v="70"/>
  </r>
  <r>
    <d v="2025-09-19T05:43:22"/>
    <x v="8"/>
    <s v="Plaquettes rhombiques"/>
    <s v="J534699"/>
    <s v="CHARTON FABIAN"/>
    <n v="5"/>
    <x v="2"/>
    <x v="2"/>
    <s v="PLAQUETTES"/>
    <x v="1"/>
    <n v="18.399999999999999"/>
  </r>
  <r>
    <d v="2025-09-19T05:43:47"/>
    <x v="2"/>
    <s v="Plaquettes d'ébauches rhombiques"/>
    <s v="J534699"/>
    <s v="CHARTON FABIAN"/>
    <n v="10"/>
    <x v="2"/>
    <x v="2"/>
    <s v="PLAQUETTES"/>
    <x v="1"/>
    <n v="70"/>
  </r>
  <r>
    <d v="2025-09-19T05:44:03"/>
    <x v="4"/>
    <s v="Plaquettes de finition"/>
    <s v="J534699"/>
    <s v="CHARTON FABIAN"/>
    <n v="5"/>
    <x v="2"/>
    <x v="2"/>
    <s v="PLAQUETTES"/>
    <x v="1"/>
    <n v="47.8"/>
  </r>
  <r>
    <d v="2025-09-19T05:44:20"/>
    <x v="11"/>
    <s v="Plaquettes de finition triangulaires"/>
    <s v="J534699"/>
    <s v="CHARTON FABIAN"/>
    <n v="10"/>
    <x v="2"/>
    <x v="2"/>
    <s v="PLAQUETTES"/>
    <x v="1"/>
    <n v="118.7"/>
  </r>
  <r>
    <d v="2025-09-19T05:44:39"/>
    <x v="9"/>
    <s v="Plaquettes rhombiques"/>
    <s v="J534699"/>
    <s v="CHARTON FABIAN"/>
    <n v="5"/>
    <x v="2"/>
    <x v="2"/>
    <s v="PLAQUETTES"/>
    <x v="1"/>
    <n v="44.85"/>
  </r>
  <r>
    <d v="2025-09-19T08:07:07"/>
    <x v="3"/>
    <s v="Plaquettes rondes"/>
    <s v="U534565"/>
    <s v="HOAREAU MARIUS"/>
    <n v="10"/>
    <x v="2"/>
    <x v="0"/>
    <s v="PLAQUETTES"/>
    <x v="1"/>
    <n v="136.69999999999999"/>
  </r>
  <r>
    <d v="2025-06-05T18:47:26"/>
    <x v="2"/>
    <s v="Plaquettes d'ébauches rhombiques"/>
    <s v="230525"/>
    <s v="SOULAS YANIS"/>
    <n v="10"/>
    <x v="0"/>
    <x v="0"/>
    <s v="PLAQUETTES"/>
    <x v="0"/>
    <n v="70"/>
  </r>
  <r>
    <d v="2025-09-19T12:11:08"/>
    <x v="6"/>
    <s v="Plaquettes de finition positives"/>
    <s v="U518765"/>
    <s v="ROY ADELINE"/>
    <n v="10"/>
    <x v="1"/>
    <x v="2"/>
    <s v="PLAQUETTES"/>
    <x v="0"/>
    <n v="87"/>
  </r>
  <r>
    <d v="2025-09-19T12:11:24"/>
    <x v="2"/>
    <s v="Plaquettes d'ébauches rhombiques"/>
    <s v="U518765"/>
    <s v="ROY ADELINE"/>
    <n v="10"/>
    <x v="1"/>
    <x v="0"/>
    <s v="PLAQUETTES"/>
    <x v="0"/>
    <n v="70"/>
  </r>
  <r>
    <d v="2025-09-19T12:11:37"/>
    <x v="6"/>
    <s v="Plaquettes de finition positives"/>
    <s v="U518765"/>
    <s v="ROY ADELINE"/>
    <n v="10"/>
    <x v="1"/>
    <x v="2"/>
    <s v="PLAQUETTES"/>
    <x v="0"/>
    <n v="87"/>
  </r>
  <r>
    <d v="2025-09-19T13:33:15"/>
    <x v="6"/>
    <s v="Plaquettes de finition positives"/>
    <s v="sd13196"/>
    <s v="FRADIN MAXIME"/>
    <n v="10"/>
    <x v="3"/>
    <x v="2"/>
    <s v="PLAQUETTES"/>
    <x v="3"/>
    <n v="87"/>
  </r>
  <r>
    <d v="2025-09-19T22:18:19"/>
    <x v="1"/>
    <s v="Plaquettes d'ébauches carrées"/>
    <s v="230525"/>
    <s v="SOULAS YANIS"/>
    <n v="10"/>
    <x v="1"/>
    <x v="1"/>
    <s v="PLAQUETTES"/>
    <x v="0"/>
    <n v="71.2"/>
  </r>
  <r>
    <d v="2025-09-19T22:18:30"/>
    <x v="2"/>
    <s v="Plaquettes d'ébauches rhombiques"/>
    <s v="230525"/>
    <s v="SOULAS YANIS"/>
    <n v="10"/>
    <x v="1"/>
    <x v="1"/>
    <s v="PLAQUETTES"/>
    <x v="0"/>
    <n v="70"/>
  </r>
  <r>
    <d v="2025-09-19T22:18:47"/>
    <x v="2"/>
    <s v="Plaquettes d'ébauches rhombiques"/>
    <s v="230525"/>
    <s v="SOULAS YANIS"/>
    <n v="10"/>
    <x v="1"/>
    <x v="1"/>
    <s v="PLAQUETTES"/>
    <x v="0"/>
    <n v="70"/>
  </r>
  <r>
    <d v="2025-09-19T22:19:01"/>
    <x v="6"/>
    <s v="Plaquettes de finition positives"/>
    <s v="230525"/>
    <s v="SOULAS YANIS"/>
    <n v="10"/>
    <x v="1"/>
    <x v="2"/>
    <s v="PLAQUETTES"/>
    <x v="0"/>
    <n v="87"/>
  </r>
  <r>
    <d v="2025-09-20T06:54:22"/>
    <x v="4"/>
    <s v="Plaquettes de finition"/>
    <s v="U534565"/>
    <s v="HOAREAU MARIUS"/>
    <n v="5"/>
    <x v="2"/>
    <x v="2"/>
    <s v="PLAQUETTES"/>
    <x v="1"/>
    <n v="47.8"/>
  </r>
  <r>
    <d v="2025-09-20T06:54:44"/>
    <x v="8"/>
    <s v="Plaquettes rhombiques"/>
    <s v="U534565"/>
    <s v="HOAREAU MARIUS"/>
    <n v="5"/>
    <x v="2"/>
    <x v="2"/>
    <s v="PLAQUETTES"/>
    <x v="1"/>
    <n v="18.399999999999999"/>
  </r>
  <r>
    <d v="2025-09-20T06:55:22"/>
    <x v="1"/>
    <s v="Plaquettes d'ébauches carrées"/>
    <s v="U534565"/>
    <s v="HOAREAU MARIUS"/>
    <n v="10"/>
    <x v="3"/>
    <x v="0"/>
    <s v="PLAQUETTES"/>
    <x v="0"/>
    <n v="71.2"/>
  </r>
  <r>
    <d v="2025-09-20T06:55:47"/>
    <x v="6"/>
    <s v="Plaquettes de finition positives"/>
    <s v="U534565"/>
    <s v="HOAREAU MARIUS"/>
    <n v="10"/>
    <x v="3"/>
    <x v="2"/>
    <s v="PLAQUETTES"/>
    <x v="0"/>
    <n v="87"/>
  </r>
  <r>
    <d v="2025-06-06T06:08:12"/>
    <x v="2"/>
    <s v="Plaquettes d'ébauches rhombiques"/>
    <s v="U054304"/>
    <s v="BOUACHIK HICHAM"/>
    <n v="10"/>
    <x v="0"/>
    <x v="0"/>
    <s v="PLAQUETTES"/>
    <x v="0"/>
    <n v="70"/>
  </r>
  <r>
    <d v="2025-09-20T07:55:27"/>
    <x v="5"/>
    <s v="Plaquettes rondes"/>
    <s v="U518765"/>
    <s v="ROY ADELINE"/>
    <n v="10"/>
    <x v="1"/>
    <x v="0"/>
    <s v="PLAQUETTES"/>
    <x v="0"/>
    <n v="108.5"/>
  </r>
  <r>
    <d v="2025-06-06T14:32:43"/>
    <x v="2"/>
    <s v="Plaquettes d'ébauches rhombiques"/>
    <s v="230525"/>
    <s v="SOULAS YANIS"/>
    <n v="10"/>
    <x v="0"/>
    <x v="0"/>
    <s v="PLAQUETTES"/>
    <x v="0"/>
    <n v="70"/>
  </r>
  <r>
    <d v="2025-06-07T00:14:04"/>
    <x v="2"/>
    <s v="Plaquettes d'ébauches rhombiques"/>
    <s v="170325"/>
    <s v="VERDELET BASTIEN"/>
    <n v="10"/>
    <x v="0"/>
    <x v="0"/>
    <s v="PLAQUETTES"/>
    <x v="0"/>
    <n v="70"/>
  </r>
  <r>
    <d v="2025-09-20T07:56:29"/>
    <x v="6"/>
    <s v="Plaquettes de finition positives"/>
    <s v="U518765"/>
    <s v="ROY ADELINE"/>
    <n v="10"/>
    <x v="1"/>
    <x v="2"/>
    <s v="PLAQUETTES"/>
    <x v="0"/>
    <n v="87"/>
  </r>
  <r>
    <d v="2025-09-20T14:28:14"/>
    <x v="6"/>
    <s v="Plaquettes de finition positives"/>
    <s v="U534565"/>
    <s v="HOAREAU MARIUS"/>
    <n v="10"/>
    <x v="3"/>
    <x v="2"/>
    <s v="PLAQUETTES"/>
    <x v="0"/>
    <n v="87"/>
  </r>
  <r>
    <d v="2025-09-20T14:28:39"/>
    <x v="4"/>
    <s v="Plaquettes de finition"/>
    <s v="U534565"/>
    <s v="HOAREAU MARIUS"/>
    <n v="5"/>
    <x v="2"/>
    <x v="2"/>
    <s v="PLAQUETTES"/>
    <x v="1"/>
    <n v="47.8"/>
  </r>
  <r>
    <d v="2025-09-20T14:28:57"/>
    <x v="9"/>
    <s v="Plaquettes rhombiques"/>
    <s v="U534565"/>
    <s v="HOAREAU MARIUS"/>
    <n v="5"/>
    <x v="2"/>
    <x v="2"/>
    <s v="PLAQUETTES"/>
    <x v="1"/>
    <n v="44.85"/>
  </r>
  <r>
    <d v="2025-09-20T14:29:46"/>
    <x v="5"/>
    <s v="Plaquettes rondes"/>
    <s v="U534565"/>
    <s v="HOAREAU MARIUS"/>
    <n v="10"/>
    <x v="2"/>
    <x v="0"/>
    <s v="PLAQUETTES"/>
    <x v="1"/>
    <n v="108.5"/>
  </r>
  <r>
    <d v="2025-06-07T22:00:39"/>
    <x v="2"/>
    <s v="Plaquettes d'ébauches rhombiques"/>
    <s v="u534565"/>
    <s v="HOAREAU MARIUS"/>
    <n v="10"/>
    <x v="0"/>
    <x v="0"/>
    <s v="PLAQUETTES"/>
    <x v="0"/>
    <n v="70"/>
  </r>
  <r>
    <d v="2025-06-08T18:00:23"/>
    <x v="2"/>
    <s v="Plaquettes d'ébauches rhombiques"/>
    <s v="P717908"/>
    <s v="GONCALVES GEORGES"/>
    <n v="10"/>
    <x v="0"/>
    <x v="1"/>
    <s v="PLAQUETTES"/>
    <x v="0"/>
    <n v="70"/>
  </r>
  <r>
    <d v="2025-06-09T05:19:45"/>
    <x v="2"/>
    <s v="Plaquettes d'ébauches rhombiques"/>
    <s v="230525"/>
    <s v="SOULAS YANIS"/>
    <n v="10"/>
    <x v="0"/>
    <x v="1"/>
    <s v="PLAQUETTES"/>
    <x v="0"/>
    <n v="70"/>
  </r>
  <r>
    <d v="2025-09-21T05:30:56"/>
    <x v="8"/>
    <s v="Plaquettes rhombiques"/>
    <s v="U534565"/>
    <s v="HOAREAU MARIUS"/>
    <n v="5"/>
    <x v="2"/>
    <x v="2"/>
    <s v="PLAQUETTES"/>
    <x v="1"/>
    <n v="18.399999999999999"/>
  </r>
  <r>
    <d v="2025-09-21T05:31:25"/>
    <x v="4"/>
    <s v="Plaquettes de finition"/>
    <s v="U534565"/>
    <s v="HOAREAU MARIUS"/>
    <n v="5"/>
    <x v="2"/>
    <x v="2"/>
    <s v="PLAQUETTES"/>
    <x v="1"/>
    <n v="47.8"/>
  </r>
  <r>
    <d v="2025-09-21T05:31:46"/>
    <x v="2"/>
    <s v="Plaquettes d'ébauches rhombiques"/>
    <s v="U534565"/>
    <s v="HOAREAU MARIUS"/>
    <n v="10"/>
    <x v="2"/>
    <x v="0"/>
    <s v="PLAQUETTES"/>
    <x v="1"/>
    <n v="70"/>
  </r>
  <r>
    <d v="2025-09-21T05:32:14"/>
    <x v="6"/>
    <s v="Plaquettes de finition positives"/>
    <s v="U534565"/>
    <s v="HOAREAU MARIUS"/>
    <n v="10"/>
    <x v="3"/>
    <x v="2"/>
    <s v="PLAQUETTES"/>
    <x v="0"/>
    <n v="87"/>
  </r>
  <r>
    <d v="2025-06-11T01:51:16"/>
    <x v="2"/>
    <s v="Plaquettes d'ébauches rhombiques"/>
    <s v="SD13196"/>
    <s v="FRADIN MAXIME"/>
    <n v="10"/>
    <x v="0"/>
    <x v="1"/>
    <s v="PLAQUETTES"/>
    <x v="0"/>
    <n v="70"/>
  </r>
  <r>
    <d v="2025-06-12T01:22:14"/>
    <x v="2"/>
    <s v="Plaquettes d'ébauches rhombiques"/>
    <s v="SD13196"/>
    <s v="FRADIN MAXIME"/>
    <n v="10"/>
    <x v="0"/>
    <x v="1"/>
    <s v="PLAQUETTES"/>
    <x v="0"/>
    <n v="70"/>
  </r>
  <r>
    <d v="2025-09-21T08:44:50"/>
    <x v="6"/>
    <s v="Plaquettes de finition positives"/>
    <s v="U518765"/>
    <s v="ROY ADELINE"/>
    <n v="10"/>
    <x v="1"/>
    <x v="2"/>
    <s v="PLAQUETTES"/>
    <x v="0"/>
    <n v="87"/>
  </r>
  <r>
    <d v="2025-09-21T08:45:10"/>
    <x v="6"/>
    <s v="Plaquettes de finition positives"/>
    <s v="U518765"/>
    <s v="ROY ADELINE"/>
    <n v="10"/>
    <x v="1"/>
    <x v="2"/>
    <s v="PLAQUETTES"/>
    <x v="0"/>
    <n v="87"/>
  </r>
  <r>
    <d v="2025-09-21T16:24:50"/>
    <x v="1"/>
    <s v="Plaquettes d'ébauches carrées"/>
    <s v="U534565"/>
    <s v="HOAREAU MARIUS"/>
    <n v="10"/>
    <x v="3"/>
    <x v="0"/>
    <s v="PLAQUETTES"/>
    <x v="0"/>
    <n v="71.2"/>
  </r>
  <r>
    <d v="2025-09-21T16:25:09"/>
    <x v="3"/>
    <s v="Plaquettes rondes"/>
    <s v="U534565"/>
    <s v="HOAREAU MARIUS"/>
    <n v="10"/>
    <x v="2"/>
    <x v="0"/>
    <s v="PLAQUETTES"/>
    <x v="1"/>
    <n v="136.69999999999999"/>
  </r>
  <r>
    <d v="2025-06-12T10:44:25"/>
    <x v="2"/>
    <s v="Plaquettes d'ébauches rhombiques"/>
    <s v="12824586"/>
    <s v="DA SILVA FERNANDO"/>
    <n v="10"/>
    <x v="0"/>
    <x v="1"/>
    <s v="PLAQUETTES"/>
    <x v="4"/>
    <n v="70"/>
  </r>
  <r>
    <d v="2025-09-21T16:53:26"/>
    <x v="6"/>
    <s v="Plaquettes de finition positives"/>
    <s v="U054304"/>
    <s v="BOUACHIK HICHAM"/>
    <n v="10"/>
    <x v="1"/>
    <x v="2"/>
    <s v="PLAQUETTES"/>
    <x v="0"/>
    <n v="87"/>
  </r>
  <r>
    <d v="2025-06-13T00:08:00"/>
    <x v="2"/>
    <s v="Plaquettes d'ébauches rhombiques"/>
    <s v="SD13196"/>
    <s v="FRADIN MAXIME"/>
    <n v="10"/>
    <x v="0"/>
    <x v="1"/>
    <s v="PLAQUETTES"/>
    <x v="0"/>
    <n v="70"/>
  </r>
  <r>
    <d v="2025-06-14T18:27:21"/>
    <x v="2"/>
    <s v="Plaquettes d'ébauches rhombiques"/>
    <s v="U054304"/>
    <s v="BOUACHIK HICHAM"/>
    <n v="10"/>
    <x v="0"/>
    <x v="0"/>
    <s v="PLAQUETTES"/>
    <x v="0"/>
    <n v="70"/>
  </r>
  <r>
    <d v="2025-09-21T21:24:37"/>
    <x v="5"/>
    <s v="Plaquettes rondes"/>
    <s v="U054304"/>
    <s v="BOUACHIK HICHAM"/>
    <n v="10"/>
    <x v="1"/>
    <x v="0"/>
    <s v="PLAQUETTES"/>
    <x v="0"/>
    <n v="108.5"/>
  </r>
  <r>
    <d v="2025-09-22T05:44:54"/>
    <x v="2"/>
    <s v="Plaquettes d'ébauches rhombiques"/>
    <s v="u462308"/>
    <s v="MAITRE SEBASTIEN"/>
    <n v="10"/>
    <x v="3"/>
    <x v="1"/>
    <s v="PLAQUETTES"/>
    <x v="0"/>
    <n v="70"/>
  </r>
  <r>
    <d v="2025-09-22T05:45:09"/>
    <x v="6"/>
    <s v="Plaquettes de finition positives"/>
    <s v="u462308"/>
    <s v="MAITRE SEBASTIEN"/>
    <n v="10"/>
    <x v="3"/>
    <x v="2"/>
    <s v="PLAQUETTES"/>
    <x v="0"/>
    <n v="87"/>
  </r>
  <r>
    <d v="2025-06-16T00:49:02"/>
    <x v="2"/>
    <s v="Plaquettes d'ébauches rhombiques"/>
    <s v="U054304"/>
    <s v="BOUACHIK HICHAM"/>
    <n v="10"/>
    <x v="0"/>
    <x v="0"/>
    <s v="PLAQUETTES"/>
    <x v="0"/>
    <n v="70"/>
  </r>
  <r>
    <d v="2025-09-22T12:31:55"/>
    <x v="2"/>
    <s v="Plaquettes d'ébauches rhombiques"/>
    <s v="u462308"/>
    <s v="MAITRE SEBASTIEN"/>
    <n v="10"/>
    <x v="3"/>
    <x v="1"/>
    <s v="PLAQUETTES"/>
    <x v="0"/>
    <n v="70"/>
  </r>
  <r>
    <d v="2025-09-22T13:54:08"/>
    <x v="1"/>
    <s v="Plaquettes d'ébauches carrées"/>
    <s v="u134838"/>
    <s v="DANAH STEPHANIE"/>
    <n v="10"/>
    <x v="3"/>
    <x v="1"/>
    <s v="PLAQUETTES"/>
    <x v="0"/>
    <n v="71.2"/>
  </r>
  <r>
    <d v="2025-09-22T13:54:28"/>
    <x v="5"/>
    <s v="Plaquettes rondes"/>
    <s v="u134838"/>
    <s v="DANAH STEPHANIE"/>
    <n v="10"/>
    <x v="2"/>
    <x v="0"/>
    <s v="PLAQUETTES"/>
    <x v="1"/>
    <n v="108.5"/>
  </r>
  <r>
    <d v="2025-09-22T13:54:48"/>
    <x v="6"/>
    <s v="Plaquettes de finition positives"/>
    <s v="u134838"/>
    <s v="DANAH STEPHANIE"/>
    <n v="10"/>
    <x v="3"/>
    <x v="2"/>
    <s v="PLAQUETTES"/>
    <x v="0"/>
    <n v="87"/>
  </r>
  <r>
    <d v="2025-09-22T13:55:07"/>
    <x v="4"/>
    <s v="Plaquettes de finition"/>
    <s v="u134838"/>
    <s v="DANAH STEPHANIE"/>
    <n v="5"/>
    <x v="2"/>
    <x v="2"/>
    <s v="PLAQUETTES"/>
    <x v="1"/>
    <n v="47.8"/>
  </r>
  <r>
    <d v="2025-09-22T13:56:15"/>
    <x v="9"/>
    <s v="Plaquettes rhombiques"/>
    <s v="u134838"/>
    <s v="DANAH STEPHANIE"/>
    <n v="5"/>
    <x v="2"/>
    <x v="2"/>
    <s v="PLAQUETTES"/>
    <x v="1"/>
    <n v="44.85"/>
  </r>
  <r>
    <d v="2025-09-22T13:56:53"/>
    <x v="11"/>
    <s v="Plaquettes de finition triangulaires"/>
    <s v="u134838"/>
    <s v="DANAH STEPHANIE"/>
    <n v="10"/>
    <x v="2"/>
    <x v="2"/>
    <s v="PLAQUETTES"/>
    <x v="1"/>
    <n v="118.7"/>
  </r>
  <r>
    <d v="2025-06-16T14:13:21"/>
    <x v="2"/>
    <s v="Plaquettes d'ébauches rhombiques"/>
    <s v="SF51433"/>
    <s v="BONTEMS COLINE"/>
    <n v="10"/>
    <x v="0"/>
    <x v="0"/>
    <s v="PLAQUETTES"/>
    <x v="3"/>
    <n v="70"/>
  </r>
  <r>
    <d v="2025-06-16T14:13:30"/>
    <x v="2"/>
    <s v="Plaquettes d'ébauches rhombiques"/>
    <s v="SF51433"/>
    <s v="BONTEMS COLINE"/>
    <n v="-10"/>
    <x v="0"/>
    <x v="0"/>
    <s v="PLAQUETTES"/>
    <x v="3"/>
    <n v="-70"/>
  </r>
  <r>
    <d v="2025-06-16T21:12:46"/>
    <x v="2"/>
    <s v="Plaquettes d'ébauches rhombiques"/>
    <s v="230525"/>
    <s v="SOULAS YANIS"/>
    <n v="10"/>
    <x v="0"/>
    <x v="1"/>
    <s v="PLAQUETTES"/>
    <x v="0"/>
    <n v="70"/>
  </r>
  <r>
    <d v="2025-09-22T17:10:29"/>
    <x v="10"/>
    <s v="Plaquettes de finition"/>
    <s v="170325"/>
    <s v="VERDELET BASTIEN"/>
    <n v="10"/>
    <x v="1"/>
    <x v="2"/>
    <s v="PLAQUETTES"/>
    <x v="0"/>
    <n v="109.7"/>
  </r>
  <r>
    <d v="2025-09-22T17:10:47"/>
    <x v="6"/>
    <s v="Plaquettes de finition positives"/>
    <s v="170325"/>
    <s v="VERDELET BASTIEN"/>
    <n v="10"/>
    <x v="1"/>
    <x v="2"/>
    <s v="PLAQUETTES"/>
    <x v="0"/>
    <n v="87"/>
  </r>
  <r>
    <d v="2025-09-22T21:15:42"/>
    <x v="2"/>
    <s v="Plaquettes d'ébauches rhombiques"/>
    <s v="VERGE G"/>
    <s v="VERGE GREGORY"/>
    <n v="10"/>
    <x v="3"/>
    <x v="1"/>
    <s v="PLAQUETTES"/>
    <x v="0"/>
    <n v="70"/>
  </r>
  <r>
    <d v="2025-09-22T21:15:56"/>
    <x v="4"/>
    <s v="Plaquettes de finition"/>
    <s v="VERGE G"/>
    <s v="VERGE GREGORY"/>
    <n v="5"/>
    <x v="2"/>
    <x v="2"/>
    <s v="PLAQUETTES"/>
    <x v="1"/>
    <n v="47.8"/>
  </r>
  <r>
    <d v="2025-09-22T21:16:12"/>
    <x v="6"/>
    <s v="Plaquettes de finition positives"/>
    <s v="VERGE G"/>
    <s v="VERGE GREGORY"/>
    <n v="10"/>
    <x v="3"/>
    <x v="2"/>
    <s v="PLAQUETTES"/>
    <x v="0"/>
    <n v="87"/>
  </r>
  <r>
    <d v="2025-06-17T05:38:14"/>
    <x v="2"/>
    <s v="Plaquettes d'ébauches rhombiques"/>
    <s v="u134838"/>
    <s v="DANAH STEPHANIE"/>
    <n v="10"/>
    <x v="0"/>
    <x v="0"/>
    <s v="PLAQUETTES"/>
    <x v="0"/>
    <n v="70"/>
  </r>
  <r>
    <d v="2025-09-23T00:11:22"/>
    <x v="2"/>
    <s v="Plaquettes d'ébauches rhombiques"/>
    <s v="230525"/>
    <s v="SOULAS YANIS"/>
    <n v="10"/>
    <x v="1"/>
    <x v="1"/>
    <s v="PLAQUETTES"/>
    <x v="0"/>
    <n v="70"/>
  </r>
  <r>
    <d v="2025-09-23T00:11:34"/>
    <x v="10"/>
    <s v="Plaquettes de finition"/>
    <s v="230525"/>
    <s v="SOULAS YANIS"/>
    <n v="10"/>
    <x v="1"/>
    <x v="2"/>
    <s v="PLAQUETTES"/>
    <x v="0"/>
    <n v="109.7"/>
  </r>
  <r>
    <d v="2025-09-23T00:11:47"/>
    <x v="6"/>
    <s v="Plaquettes de finition positives"/>
    <s v="230525"/>
    <s v="SOULAS YANIS"/>
    <n v="10"/>
    <x v="1"/>
    <x v="2"/>
    <s v="PLAQUETTES"/>
    <x v="0"/>
    <n v="87"/>
  </r>
  <r>
    <d v="2025-09-23T00:12:00"/>
    <x v="7"/>
    <s v="Plaquettes de finition triangulaires"/>
    <s v="230525"/>
    <s v="SOULAS YANIS"/>
    <n v="10"/>
    <x v="1"/>
    <x v="2"/>
    <s v="PLAQUETTES"/>
    <x v="0"/>
    <n v="138.80000000000001"/>
  </r>
  <r>
    <d v="2025-09-23T10:56:46"/>
    <x v="2"/>
    <s v="Plaquettes d'ébauches rhombiques"/>
    <s v="u462308"/>
    <s v="MAITRE SEBASTIEN"/>
    <n v="10"/>
    <x v="3"/>
    <x v="0"/>
    <s v="PLAQUETTES"/>
    <x v="0"/>
    <n v="70"/>
  </r>
  <r>
    <d v="2025-09-23T13:23:06"/>
    <x v="8"/>
    <s v="Plaquettes rhombiques"/>
    <s v="u134838"/>
    <s v="DANAH STEPHANIE"/>
    <n v="5"/>
    <x v="2"/>
    <x v="2"/>
    <s v="PLAQUETTES"/>
    <x v="1"/>
    <n v="18.399999999999999"/>
  </r>
  <r>
    <d v="2025-09-23T19:35:29"/>
    <x v="2"/>
    <s v="Plaquettes d'ébauches rhombiques"/>
    <s v="170325"/>
    <s v="VERDELET BASTIEN"/>
    <n v="10"/>
    <x v="1"/>
    <x v="0"/>
    <s v="PLAQUETTES"/>
    <x v="0"/>
    <n v="70"/>
  </r>
  <r>
    <d v="2025-09-23T21:30:20"/>
    <x v="2"/>
    <s v="Plaquettes d'ébauches rhombiques"/>
    <s v="VERGE G"/>
    <s v="VERGE GREGORY"/>
    <n v="10"/>
    <x v="2"/>
    <x v="1"/>
    <s v="PLAQUETTES"/>
    <x v="1"/>
    <n v="70"/>
  </r>
  <r>
    <d v="2025-09-23T21:30:36"/>
    <x v="2"/>
    <s v="Plaquettes d'ébauches rhombiques"/>
    <s v="VERGE G"/>
    <s v="VERGE GREGORY"/>
    <n v="10"/>
    <x v="2"/>
    <x v="1"/>
    <s v="PLAQUETTES"/>
    <x v="1"/>
    <n v="70"/>
  </r>
  <r>
    <d v="2025-09-23T21:30:53"/>
    <x v="1"/>
    <s v="Plaquettes d'ébauches carrées"/>
    <s v="VERGE G"/>
    <s v="VERGE GREGORY"/>
    <n v="10"/>
    <x v="2"/>
    <x v="1"/>
    <s v="PLAQUETTES"/>
    <x v="1"/>
    <n v="71.2"/>
  </r>
  <r>
    <d v="2025-09-24T06:24:01"/>
    <x v="6"/>
    <s v="Plaquettes de finition positives"/>
    <s v="sd13196"/>
    <s v="FRADIN MAXIME"/>
    <n v="10"/>
    <x v="3"/>
    <x v="2"/>
    <s v="PLAQUETTES"/>
    <x v="0"/>
    <n v="87"/>
  </r>
  <r>
    <d v="2025-06-18T21:18:46"/>
    <x v="2"/>
    <s v="Plaquettes d'ébauches rhombiques"/>
    <s v="230525"/>
    <s v="SOULAS YANIS"/>
    <n v="10"/>
    <x v="0"/>
    <x v="1"/>
    <s v="PLAQUETTES"/>
    <x v="0"/>
    <n v="70"/>
  </r>
  <r>
    <d v="2025-09-24T09:47:18"/>
    <x v="1"/>
    <s v="Plaquettes d'ébauches carrées"/>
    <s v="SD13196"/>
    <s v="FRADIN MAXIME"/>
    <n v="10"/>
    <x v="1"/>
    <x v="1"/>
    <s v="PLAQUETTES"/>
    <x v="0"/>
    <n v="71.2"/>
  </r>
  <r>
    <d v="2025-09-24T10:52:27"/>
    <x v="2"/>
    <s v="Plaquettes d'ébauches rhombiques"/>
    <s v="u462308"/>
    <s v="MAITRE SEBASTIEN"/>
    <n v="10"/>
    <x v="3"/>
    <x v="0"/>
    <s v="PLAQUETTES"/>
    <x v="0"/>
    <n v="70"/>
  </r>
  <r>
    <d v="2025-09-24T11:14:49"/>
    <x v="2"/>
    <s v="Plaquettes d'ébauches rhombiques"/>
    <s v="sd13196"/>
    <s v="FRADIN MAXIME"/>
    <n v="10"/>
    <x v="2"/>
    <x v="1"/>
    <s v="PLAQUETTES"/>
    <x v="1"/>
    <n v="70"/>
  </r>
  <r>
    <d v="2025-09-24T13:16:44"/>
    <x v="6"/>
    <s v="Plaquettes de finition positives"/>
    <s v="170325"/>
    <s v="VERDELET BASTIEN"/>
    <n v="10"/>
    <x v="1"/>
    <x v="2"/>
    <s v="PLAQUETTES"/>
    <x v="0"/>
    <n v="87"/>
  </r>
  <r>
    <d v="2025-09-24T13:16:56"/>
    <x v="6"/>
    <s v="Plaquettes de finition positives"/>
    <s v="170325"/>
    <s v="VERDELET BASTIEN"/>
    <n v="10"/>
    <x v="1"/>
    <x v="2"/>
    <s v="PLAQUETTES"/>
    <x v="0"/>
    <n v="87"/>
  </r>
  <r>
    <d v="2025-09-24T13:41:06"/>
    <x v="4"/>
    <s v="Plaquettes de finition"/>
    <s v="u134838"/>
    <s v="DANAH STEPHANIE"/>
    <n v="5"/>
    <x v="2"/>
    <x v="2"/>
    <s v="PLAQUETTES"/>
    <x v="1"/>
    <n v="47.8"/>
  </r>
  <r>
    <d v="2025-09-24T13:41:23"/>
    <x v="9"/>
    <s v="Plaquettes rhombiques"/>
    <s v="u134838"/>
    <s v="DANAH STEPHANIE"/>
    <n v="5"/>
    <x v="2"/>
    <x v="2"/>
    <s v="PLAQUETTES"/>
    <x v="1"/>
    <n v="44.85"/>
  </r>
  <r>
    <d v="2025-09-24T13:41:40"/>
    <x v="8"/>
    <s v="Plaquettes rhombiques"/>
    <s v="u134838"/>
    <s v="DANAH STEPHANIE"/>
    <n v="5"/>
    <x v="2"/>
    <x v="2"/>
    <s v="PLAQUETTES"/>
    <x v="1"/>
    <n v="18.399999999999999"/>
  </r>
  <r>
    <d v="2025-09-24T13:41:58"/>
    <x v="10"/>
    <s v="Plaquettes de finition"/>
    <s v="u134838"/>
    <s v="DANAH STEPHANIE"/>
    <n v="10"/>
    <x v="3"/>
    <x v="2"/>
    <s v="PLAQUETTES"/>
    <x v="0"/>
    <n v="109.7"/>
  </r>
  <r>
    <d v="2025-09-24T13:42:14"/>
    <x v="7"/>
    <s v="Plaquettes de finition triangulaires"/>
    <s v="u134838"/>
    <s v="DANAH STEPHANIE"/>
    <n v="10"/>
    <x v="3"/>
    <x v="2"/>
    <s v="PLAQUETTES"/>
    <x v="0"/>
    <n v="138.80000000000001"/>
  </r>
  <r>
    <d v="2025-09-24T13:42:31"/>
    <x v="6"/>
    <s v="Plaquettes de finition positives"/>
    <s v="u134838"/>
    <s v="DANAH STEPHANIE"/>
    <n v="10"/>
    <x v="3"/>
    <x v="2"/>
    <s v="PLAQUETTES"/>
    <x v="0"/>
    <n v="87"/>
  </r>
  <r>
    <d v="2025-09-24T13:42:52"/>
    <x v="1"/>
    <s v="Plaquettes d'ébauches carrées"/>
    <s v="u134838"/>
    <s v="DANAH STEPHANIE"/>
    <n v="10"/>
    <x v="3"/>
    <x v="0"/>
    <s v="PLAQUETTES"/>
    <x v="0"/>
    <n v="71.2"/>
  </r>
  <r>
    <d v="2025-09-24T13:43:19"/>
    <x v="5"/>
    <s v="Plaquettes rondes"/>
    <s v="u134838"/>
    <s v="DANAH STEPHANIE"/>
    <n v="10"/>
    <x v="3"/>
    <x v="0"/>
    <s v="PLAQUETTES"/>
    <x v="0"/>
    <n v="108.5"/>
  </r>
  <r>
    <d v="2025-09-24T13:43:42"/>
    <x v="3"/>
    <s v="Plaquettes rondes"/>
    <s v="u134838"/>
    <s v="DANAH STEPHANIE"/>
    <n v="10"/>
    <x v="2"/>
    <x v="0"/>
    <s v="PLAQUETTES"/>
    <x v="1"/>
    <n v="136.69999999999999"/>
  </r>
  <r>
    <d v="2025-06-19T11:29:32"/>
    <x v="2"/>
    <s v="Plaquettes d'ébauches rhombiques"/>
    <s v="u134838"/>
    <s v="DANAH STEPHANIE"/>
    <n v="10"/>
    <x v="0"/>
    <x v="2"/>
    <s v="PLAQUETTES"/>
    <x v="1"/>
    <n v="70"/>
  </r>
  <r>
    <d v="2025-09-24T22:13:29"/>
    <x v="2"/>
    <s v="Plaquettes d'ébauches rhombiques"/>
    <s v="230525"/>
    <s v="SOULAS YANIS"/>
    <n v="10"/>
    <x v="1"/>
    <x v="1"/>
    <s v="PLAQUETTES"/>
    <x v="0"/>
    <n v="70"/>
  </r>
  <r>
    <d v="2025-09-24T22:13:40"/>
    <x v="1"/>
    <s v="Plaquettes d'ébauches carrées"/>
    <s v="230525"/>
    <s v="SOULAS YANIS"/>
    <n v="10"/>
    <x v="1"/>
    <x v="1"/>
    <s v="PLAQUETTES"/>
    <x v="0"/>
    <n v="71.2"/>
  </r>
  <r>
    <d v="2025-09-25T05:50:07"/>
    <x v="4"/>
    <s v="Plaquettes de finition"/>
    <s v="sd13196"/>
    <s v="FRADIN MAXIME"/>
    <n v="5"/>
    <x v="2"/>
    <x v="2"/>
    <s v="PLAQUETTES"/>
    <x v="1"/>
    <n v="47.8"/>
  </r>
  <r>
    <d v="2025-09-25T05:50:33"/>
    <x v="2"/>
    <s v="Plaquettes d'ébauches rhombiques"/>
    <s v="sd13196"/>
    <s v="FRADIN MAXIME"/>
    <n v="10"/>
    <x v="2"/>
    <x v="0"/>
    <s v="PLAQUETTES"/>
    <x v="1"/>
    <n v="70"/>
  </r>
  <r>
    <d v="2025-09-25T08:38:27"/>
    <x v="6"/>
    <s v="Plaquettes de finition positives"/>
    <s v="sd13196"/>
    <s v="FRADIN MAXIME"/>
    <n v="10"/>
    <x v="3"/>
    <x v="2"/>
    <s v="PLAQUETTES"/>
    <x v="0"/>
    <n v="87"/>
  </r>
  <r>
    <d v="2025-09-25T09:21:32"/>
    <x v="6"/>
    <s v="Plaquettes de finition positives"/>
    <s v="SD13196"/>
    <s v="FRADIN MAXIME"/>
    <n v="10"/>
    <x v="1"/>
    <x v="2"/>
    <s v="PLAQUETTES"/>
    <x v="0"/>
    <n v="87"/>
  </r>
  <r>
    <d v="2025-09-25T12:05:16"/>
    <x v="4"/>
    <s v="Plaquettes de finition"/>
    <s v="u462308"/>
    <s v="MAITRE SEBASTIEN"/>
    <n v="5"/>
    <x v="3"/>
    <x v="2"/>
    <s v="PLAQUETTES"/>
    <x v="5"/>
    <n v="47.8"/>
  </r>
  <r>
    <d v="2025-09-25T12:05:34"/>
    <x v="11"/>
    <s v="Plaquettes de finition triangulaires"/>
    <s v="u462308"/>
    <s v="MAITRE SEBASTIEN"/>
    <n v="10"/>
    <x v="3"/>
    <x v="2"/>
    <s v="PLAQUETTES"/>
    <x v="2"/>
    <n v="118.7"/>
  </r>
  <r>
    <d v="2025-09-25T13:42:36"/>
    <x v="5"/>
    <s v="Plaquettes rondes"/>
    <s v="170325"/>
    <s v="VERDELET BASTIEN"/>
    <n v="10"/>
    <x v="1"/>
    <x v="0"/>
    <s v="PLAQUETTES"/>
    <x v="0"/>
    <n v="108.5"/>
  </r>
  <r>
    <d v="2025-06-19T21:19:27"/>
    <x v="2"/>
    <s v="Plaquettes d'ébauches rhombiques"/>
    <s v="230525"/>
    <s v="SOULAS YANIS"/>
    <n v="10"/>
    <x v="0"/>
    <x v="1"/>
    <s v="PLAQUETTES"/>
    <x v="0"/>
    <n v="70"/>
  </r>
  <r>
    <d v="2025-09-25T13:43:15"/>
    <x v="6"/>
    <s v="Plaquettes de finition positives"/>
    <s v="170325"/>
    <s v="VERDELET BASTIEN"/>
    <n v="10"/>
    <x v="1"/>
    <x v="2"/>
    <s v="PLAQUETTES"/>
    <x v="0"/>
    <n v="87"/>
  </r>
  <r>
    <d v="2025-09-25T14:11:07"/>
    <x v="4"/>
    <s v="Plaquettes de finition"/>
    <s v="u134838"/>
    <s v="DANAH STEPHANIE"/>
    <n v="5"/>
    <x v="3"/>
    <x v="2"/>
    <s v="PLAQUETTES"/>
    <x v="2"/>
    <n v="47.8"/>
  </r>
  <r>
    <d v="2025-09-25T14:11:25"/>
    <x v="4"/>
    <s v="Plaquettes de finition"/>
    <s v="u134838"/>
    <s v="DANAH STEPHANIE"/>
    <n v="5"/>
    <x v="2"/>
    <x v="2"/>
    <s v="PLAQUETTES"/>
    <x v="1"/>
    <n v="47.8"/>
  </r>
  <r>
    <d v="2025-09-25T14:11:53"/>
    <x v="2"/>
    <s v="Plaquettes d'ébauches rhombiques"/>
    <s v="u134838"/>
    <s v="DANAH STEPHANIE"/>
    <n v="10"/>
    <x v="3"/>
    <x v="2"/>
    <s v="PLAQUETTES"/>
    <x v="2"/>
    <n v="70"/>
  </r>
  <r>
    <d v="2025-09-25T14:12:20"/>
    <x v="12"/>
    <s v="Plaquettes de gorge"/>
    <s v="u134838"/>
    <s v="DANAH STEPHANIE"/>
    <n v="10"/>
    <x v="3"/>
    <x v="0"/>
    <s v="PLAQUETTES"/>
    <x v="2"/>
    <n v="157"/>
  </r>
  <r>
    <d v="2025-09-25T15:29:07"/>
    <x v="8"/>
    <s v="Plaquettes rhombiques"/>
    <s v="12824586"/>
    <s v="DA SILVA FERNANDO"/>
    <n v="20"/>
    <x v="3"/>
    <x v="2"/>
    <s v="PLAQUETTES"/>
    <x v="2"/>
    <n v="73.599999999999994"/>
  </r>
  <r>
    <d v="2025-09-25T23:22:02"/>
    <x v="2"/>
    <s v="Plaquettes d'ébauches rhombiques"/>
    <s v="230525"/>
    <s v="SOULAS YANIS"/>
    <n v="10"/>
    <x v="1"/>
    <x v="1"/>
    <s v="PLAQUETTES"/>
    <x v="0"/>
    <n v="70"/>
  </r>
  <r>
    <d v="2025-09-25T23:22:14"/>
    <x v="2"/>
    <s v="Plaquettes d'ébauches rhombiques"/>
    <s v="230525"/>
    <s v="SOULAS YANIS"/>
    <n v="10"/>
    <x v="1"/>
    <x v="0"/>
    <s v="PLAQUETTES"/>
    <x v="0"/>
    <n v="70"/>
  </r>
  <r>
    <d v="2025-09-25T23:22:25"/>
    <x v="6"/>
    <s v="Plaquettes de finition positives"/>
    <s v="230525"/>
    <s v="SOULAS YANIS"/>
    <n v="10"/>
    <x v="1"/>
    <x v="2"/>
    <s v="PLAQUETTES"/>
    <x v="0"/>
    <n v="87"/>
  </r>
  <r>
    <d v="2025-06-19T21:20:00"/>
    <x v="2"/>
    <s v="Plaquettes d'ébauches rhombiques"/>
    <s v="230525"/>
    <s v="SOULAS YANIS"/>
    <n v="10"/>
    <x v="0"/>
    <x v="1"/>
    <s v="PLAQUETTES"/>
    <x v="1"/>
    <n v="70"/>
  </r>
  <r>
    <d v="2025-09-26T06:36:59"/>
    <x v="6"/>
    <s v="Plaquettes de finition positives"/>
    <s v="U518765"/>
    <s v="ROY ADELINE"/>
    <n v="10"/>
    <x v="1"/>
    <x v="2"/>
    <s v="PLAQUETTES"/>
    <x v="0"/>
    <n v="87"/>
  </r>
  <r>
    <d v="2025-09-26T06:37:27"/>
    <x v="2"/>
    <s v="Plaquettes d'ébauches rhombiques"/>
    <s v="U518765"/>
    <s v="ROY ADELINE"/>
    <n v="10"/>
    <x v="1"/>
    <x v="1"/>
    <s v="PLAQUETTES"/>
    <x v="0"/>
    <n v="70"/>
  </r>
  <r>
    <d v="2025-09-26T06:45:35"/>
    <x v="4"/>
    <s v="Plaquettes de finition"/>
    <s v="U198152"/>
    <s v="AJMIK MUSTAPHA"/>
    <n v="5"/>
    <x v="2"/>
    <x v="2"/>
    <s v="PLAQUETTES"/>
    <x v="1"/>
    <n v="47.8"/>
  </r>
  <r>
    <d v="2025-09-26T06:45:58"/>
    <x v="4"/>
    <s v="Plaquettes de finition"/>
    <s v="U198152"/>
    <s v="AJMIK MUSTAPHA"/>
    <n v="5"/>
    <x v="3"/>
    <x v="2"/>
    <s v="PLAQUETTES"/>
    <x v="2"/>
    <n v="47.8"/>
  </r>
  <r>
    <d v="2025-09-26T07:34:50"/>
    <x v="1"/>
    <s v="Plaquettes d'ébauches carrées"/>
    <s v="U198152"/>
    <s v="AJMIK MUSTAPHA"/>
    <n v="10"/>
    <x v="2"/>
    <x v="0"/>
    <s v="PLAQUETTES"/>
    <x v="1"/>
    <n v="71.2"/>
  </r>
  <r>
    <d v="2025-09-26T07:35:21"/>
    <x v="2"/>
    <s v="Plaquettes d'ébauches rhombiques"/>
    <s v="U198152"/>
    <s v="AJMIK MUSTAPHA"/>
    <n v="10"/>
    <x v="2"/>
    <x v="0"/>
    <s v="PLAQUETTES"/>
    <x v="5"/>
    <n v="70"/>
  </r>
  <r>
    <d v="2025-09-26T13:39:07"/>
    <x v="8"/>
    <s v="Plaquettes rhombiques"/>
    <s v="u134838"/>
    <s v="DANAH STEPHANIE"/>
    <n v="5"/>
    <x v="2"/>
    <x v="2"/>
    <s v="PLAQUETTES"/>
    <x v="1"/>
    <n v="18.399999999999999"/>
  </r>
  <r>
    <d v="2025-09-26T16:41:30"/>
    <x v="5"/>
    <s v="Plaquettes rondes"/>
    <s v="u134838"/>
    <s v="DANAH STEPHANIE"/>
    <n v="10"/>
    <x v="3"/>
    <x v="0"/>
    <s v="PLAQUETTES"/>
    <x v="2"/>
    <n v="108.5"/>
  </r>
  <r>
    <d v="2025-09-26T16:41:47"/>
    <x v="2"/>
    <s v="Plaquettes d'ébauches rhombiques"/>
    <s v="u134838"/>
    <s v="DANAH STEPHANIE"/>
    <n v="10"/>
    <x v="3"/>
    <x v="0"/>
    <s v="PLAQUETTES"/>
    <x v="2"/>
    <n v="70"/>
  </r>
  <r>
    <d v="2025-09-26T16:42:07"/>
    <x v="1"/>
    <s v="Plaquettes d'ébauches carrées"/>
    <s v="u134838"/>
    <s v="DANAH STEPHANIE"/>
    <n v="10"/>
    <x v="2"/>
    <x v="0"/>
    <s v="PLAQUETTES"/>
    <x v="1"/>
    <n v="71.2"/>
  </r>
  <r>
    <d v="2025-09-26T16:42:24"/>
    <x v="3"/>
    <s v="Plaquettes rondes"/>
    <s v="u134838"/>
    <s v="DANAH STEPHANIE"/>
    <n v="10"/>
    <x v="2"/>
    <x v="0"/>
    <s v="PLAQUETTES"/>
    <x v="1"/>
    <n v="136.69999999999999"/>
  </r>
  <r>
    <d v="2025-09-26T16:42:40"/>
    <x v="9"/>
    <s v="Plaquettes rhombiques"/>
    <s v="u134838"/>
    <s v="DANAH STEPHANIE"/>
    <n v="5"/>
    <x v="2"/>
    <x v="2"/>
    <s v="PLAQUETTES"/>
    <x v="1"/>
    <n v="44.85"/>
  </r>
  <r>
    <d v="2025-09-26T23:34:45"/>
    <x v="6"/>
    <s v="Plaquettes de finition positives"/>
    <s v="230525"/>
    <s v="SOULAS YANIS"/>
    <n v="10"/>
    <x v="1"/>
    <x v="2"/>
    <s v="PLAQUETTES"/>
    <x v="0"/>
    <n v="87"/>
  </r>
  <r>
    <d v="2025-06-23T10:30:19"/>
    <x v="2"/>
    <s v="Plaquettes d'ébauches rhombiques"/>
    <s v="SD13196"/>
    <s v="FRADIN MAXIME"/>
    <n v="10"/>
    <x v="0"/>
    <x v="1"/>
    <s v="PLAQUETTES"/>
    <x v="1"/>
    <n v="70"/>
  </r>
  <r>
    <d v="2025-09-26T23:35:22"/>
    <x v="5"/>
    <s v="Plaquettes rondes"/>
    <s v="230525"/>
    <s v="SOULAS YANIS"/>
    <n v="10"/>
    <x v="1"/>
    <x v="0"/>
    <s v="PLAQUETTES"/>
    <x v="0"/>
    <n v="108.5"/>
  </r>
  <r>
    <d v="2025-09-26T23:35:47"/>
    <x v="1"/>
    <s v="Plaquettes d'ébauches carrées"/>
    <s v="230525"/>
    <s v="SOULAS YANIS"/>
    <n v="10"/>
    <x v="1"/>
    <x v="1"/>
    <s v="PLAQUETTES"/>
    <x v="0"/>
    <n v="71.2"/>
  </r>
  <r>
    <d v="2025-09-27T05:45:03"/>
    <x v="6"/>
    <s v="Plaquettes de finition positives"/>
    <s v="U054304"/>
    <s v="BOUACHIK HICHAM"/>
    <n v="10"/>
    <x v="1"/>
    <x v="2"/>
    <s v="PLAQUETTES"/>
    <x v="0"/>
    <n v="87"/>
  </r>
  <r>
    <d v="2025-06-23T10:30:57"/>
    <x v="2"/>
    <s v="Plaquettes d'ébauches rhombiques"/>
    <s v="SD13196"/>
    <s v="FRADIN MAXIME"/>
    <n v="10"/>
    <x v="0"/>
    <x v="2"/>
    <s v="PLAQUETTES"/>
    <x v="1"/>
    <n v="70"/>
  </r>
  <r>
    <d v="2025-09-27T05:45:41"/>
    <x v="2"/>
    <s v="Plaquettes d'ébauches rhombiques"/>
    <s v="U054304"/>
    <s v="BOUACHIK HICHAM"/>
    <n v="10"/>
    <x v="1"/>
    <x v="0"/>
    <s v="PLAQUETTES"/>
    <x v="0"/>
    <n v="70"/>
  </r>
  <r>
    <d v="2025-09-27T07:00:48"/>
    <x v="4"/>
    <s v="Plaquettes de finition"/>
    <s v="U198152"/>
    <s v="AJMIK MUSTAPHA"/>
    <n v="5"/>
    <x v="2"/>
    <x v="2"/>
    <s v="PLAQUETTES"/>
    <x v="1"/>
    <n v="47.8"/>
  </r>
  <r>
    <d v="2025-09-27T07:01:08"/>
    <x v="8"/>
    <s v="Plaquettes rhombiques"/>
    <s v="U198152"/>
    <s v="AJMIK MUSTAPHA"/>
    <n v="5"/>
    <x v="2"/>
    <x v="2"/>
    <s v="PLAQUETTES"/>
    <x v="1"/>
    <n v="18.399999999999999"/>
  </r>
  <r>
    <d v="2025-09-27T07:01:29"/>
    <x v="11"/>
    <s v="Plaquettes de finition triangulaires"/>
    <s v="U198152"/>
    <s v="AJMIK MUSTAPHA"/>
    <n v="10"/>
    <x v="2"/>
    <x v="2"/>
    <s v="PLAQUETTES"/>
    <x v="1"/>
    <n v="118.7"/>
  </r>
  <r>
    <d v="2025-09-27T07:01:50"/>
    <x v="2"/>
    <s v="Plaquettes d'ébauches rhombiques"/>
    <s v="U198152"/>
    <s v="AJMIK MUSTAPHA"/>
    <n v="10"/>
    <x v="2"/>
    <x v="0"/>
    <s v="PLAQUETTES"/>
    <x v="1"/>
    <n v="70"/>
  </r>
  <r>
    <d v="2025-09-27T07:02:16"/>
    <x v="3"/>
    <s v="Plaquettes rondes"/>
    <s v="U198152"/>
    <s v="AJMIK MUSTAPHA"/>
    <n v="10"/>
    <x v="2"/>
    <x v="0"/>
    <s v="PLAQUETTES"/>
    <x v="1"/>
    <n v="136.69999999999999"/>
  </r>
  <r>
    <d v="2025-09-27T07:02:34"/>
    <x v="3"/>
    <s v="Plaquettes rondes"/>
    <s v="U198152"/>
    <s v="AJMIK MUSTAPHA"/>
    <n v="10"/>
    <x v="2"/>
    <x v="0"/>
    <s v="PLAQUETTES"/>
    <x v="1"/>
    <n v="136.69999999999999"/>
  </r>
  <r>
    <d v="2025-09-27T07:03:03"/>
    <x v="4"/>
    <s v="Plaquettes de finition"/>
    <s v="U198152"/>
    <s v="AJMIK MUSTAPHA"/>
    <n v="5"/>
    <x v="3"/>
    <x v="2"/>
    <s v="PLAQUETTES"/>
    <x v="2"/>
    <n v="47.8"/>
  </r>
  <r>
    <d v="2025-09-27T07:03:25"/>
    <x v="12"/>
    <s v="Plaquettes de gorge"/>
    <s v="U198152"/>
    <s v="AJMIK MUSTAPHA"/>
    <n v="10"/>
    <x v="3"/>
    <x v="0"/>
    <s v="PLAQUETTES"/>
    <x v="2"/>
    <n v="157"/>
  </r>
  <r>
    <d v="2025-09-27T07:03:55"/>
    <x v="1"/>
    <s v="Plaquettes d'ébauches carrées"/>
    <s v="U198152"/>
    <s v="AJMIK MUSTAPHA"/>
    <n v="10"/>
    <x v="3"/>
    <x v="0"/>
    <s v="PLAQUETTES"/>
    <x v="2"/>
    <n v="71.2"/>
  </r>
  <r>
    <d v="2025-09-27T07:04:14"/>
    <x v="5"/>
    <s v="Plaquettes rondes"/>
    <s v="U198152"/>
    <s v="AJMIK MUSTAPHA"/>
    <n v="10"/>
    <x v="3"/>
    <x v="0"/>
    <s v="PLAQUETTES"/>
    <x v="2"/>
    <n v="108.5"/>
  </r>
  <r>
    <d v="2025-09-27T13:01:01"/>
    <x v="4"/>
    <s v="Plaquettes de finition"/>
    <s v="U198152"/>
    <s v="AJMIK MUSTAPHA"/>
    <n v="5"/>
    <x v="2"/>
    <x v="2"/>
    <s v="PLAQUETTES"/>
    <x v="1"/>
    <n v="47.8"/>
  </r>
  <r>
    <d v="2025-06-23T15:50:19"/>
    <x v="2"/>
    <s v="Plaquettes d'ébauches rhombiques"/>
    <s v="080924"/>
    <s v="DABLEMONT AURELIEN"/>
    <n v="10"/>
    <x v="0"/>
    <x v="2"/>
    <s v="PLAQUETTES"/>
    <x v="1"/>
    <n v="70"/>
  </r>
  <r>
    <d v="2025-06-24T13:22:22"/>
    <x v="2"/>
    <s v="Plaquettes d'ébauches rhombiques"/>
    <s v="230525"/>
    <s v="SOULAS YANIS"/>
    <n v="10"/>
    <x v="0"/>
    <x v="1"/>
    <s v="PLAQUETTES"/>
    <x v="0"/>
    <n v="70"/>
  </r>
  <r>
    <d v="2025-09-27T20:28:23"/>
    <x v="1"/>
    <s v="Plaquettes d'ébauches carrées"/>
    <s v="U518765"/>
    <s v="ROY ADELINE"/>
    <n v="10"/>
    <x v="1"/>
    <x v="1"/>
    <s v="PLAQUETTES"/>
    <x v="0"/>
    <n v="71.2"/>
  </r>
  <r>
    <d v="2025-06-24T17:32:48"/>
    <x v="2"/>
    <s v="Plaquettes d'ébauches rhombiques"/>
    <s v="230525"/>
    <s v="SOULAS YANIS"/>
    <n v="10"/>
    <x v="0"/>
    <x v="1"/>
    <s v="PLAQUETTES"/>
    <x v="1"/>
    <n v="70"/>
  </r>
  <r>
    <d v="2025-06-25T13:28:47"/>
    <x v="2"/>
    <s v="Plaquettes d'ébauches rhombiques"/>
    <s v="230525"/>
    <s v="SOULAS YANIS"/>
    <n v="10"/>
    <x v="0"/>
    <x v="1"/>
    <s v="PLAQUETTES"/>
    <x v="0"/>
    <n v="70"/>
  </r>
  <r>
    <d v="2025-09-28T00:41:33"/>
    <x v="2"/>
    <s v="Plaquettes d'ébauches rhombiques"/>
    <s v="U534565"/>
    <s v="HOAREAU MARIUS"/>
    <n v="10"/>
    <x v="3"/>
    <x v="0"/>
    <s v="PLAQUETTES"/>
    <x v="0"/>
    <n v="70"/>
  </r>
  <r>
    <d v="2025-09-28T02:59:52"/>
    <x v="4"/>
    <s v="Plaquettes de finition"/>
    <s v="U534565"/>
    <s v="HOAREAU MARIUS"/>
    <n v="5"/>
    <x v="2"/>
    <x v="2"/>
    <s v="PLAQUETTES"/>
    <x v="1"/>
    <n v="47.8"/>
  </r>
  <r>
    <d v="2025-09-28T03:00:21"/>
    <x v="5"/>
    <s v="Plaquettes rondes"/>
    <s v="U534565"/>
    <s v="HOAREAU MARIUS"/>
    <n v="10"/>
    <x v="3"/>
    <x v="0"/>
    <s v="PLAQUETTES"/>
    <x v="0"/>
    <n v="108.5"/>
  </r>
  <r>
    <d v="2025-09-28T03:00:47"/>
    <x v="2"/>
    <s v="Plaquettes d'ébauches rhombiques"/>
    <s v="U534565"/>
    <s v="HOAREAU MARIUS"/>
    <n v="10"/>
    <x v="3"/>
    <x v="0"/>
    <s v="PLAQUETTES"/>
    <x v="2"/>
    <n v="70"/>
  </r>
  <r>
    <d v="2025-09-28T03:01:05"/>
    <x v="2"/>
    <s v="Plaquettes d'ébauches rhombiques"/>
    <s v="U534565"/>
    <s v="HOAREAU MARIUS"/>
    <n v="10"/>
    <x v="3"/>
    <x v="0"/>
    <s v="PLAQUETTES"/>
    <x v="2"/>
    <n v="70"/>
  </r>
  <r>
    <d v="2025-09-28T03:01:27"/>
    <x v="1"/>
    <s v="Plaquettes d'ébauches carrées"/>
    <s v="U534565"/>
    <s v="HOAREAU MARIUS"/>
    <n v="10"/>
    <x v="2"/>
    <x v="0"/>
    <s v="PLAQUETTES"/>
    <x v="1"/>
    <n v="71.2"/>
  </r>
  <r>
    <d v="2025-09-28T03:01:54"/>
    <x v="4"/>
    <s v="Plaquettes de finition"/>
    <s v="U534565"/>
    <s v="HOAREAU MARIUS"/>
    <n v="5"/>
    <x v="3"/>
    <x v="2"/>
    <s v="PLAQUETTES"/>
    <x v="2"/>
    <n v="47.8"/>
  </r>
  <r>
    <d v="2025-06-25T13:29:01"/>
    <x v="2"/>
    <s v="Plaquettes d'ébauches rhombiques"/>
    <s v="230525"/>
    <s v="SOULAS YANIS"/>
    <n v="10"/>
    <x v="0"/>
    <x v="1"/>
    <s v="PLAQUETTES"/>
    <x v="0"/>
    <n v="70"/>
  </r>
  <r>
    <d v="2025-09-28T05:06:32"/>
    <x v="10"/>
    <s v="Plaquettes de finition"/>
    <s v="U054304"/>
    <s v="BOUACHIK HICHAM"/>
    <n v="10"/>
    <x v="1"/>
    <x v="2"/>
    <s v="PLAQUETTES"/>
    <x v="0"/>
    <n v="109.7"/>
  </r>
  <r>
    <d v="2025-09-28T05:06:56"/>
    <x v="7"/>
    <s v="Plaquettes de finition triangulaires"/>
    <s v="U054304"/>
    <s v="BOUACHIK HICHAM"/>
    <n v="10"/>
    <x v="1"/>
    <x v="2"/>
    <s v="PLAQUETTES"/>
    <x v="0"/>
    <n v="138.80000000000001"/>
  </r>
  <r>
    <d v="2025-06-26T10:41:12"/>
    <x v="2"/>
    <s v="Plaquettes d'ébauches rhombiques"/>
    <s v="SF51433"/>
    <s v="BONTEMS COLINE"/>
    <n v="10"/>
    <x v="0"/>
    <x v="1"/>
    <s v="PLAQUETTES"/>
    <x v="3"/>
    <n v="70"/>
  </r>
  <r>
    <d v="2025-06-26T10:41:23"/>
    <x v="2"/>
    <s v="Plaquettes d'ébauches rhombiques"/>
    <s v="SF51433"/>
    <s v="BONTEMS COLINE"/>
    <n v="-10"/>
    <x v="0"/>
    <x v="1"/>
    <s v="PLAQUETTES"/>
    <x v="3"/>
    <n v="-70"/>
  </r>
  <r>
    <d v="2025-06-26T23:37:06"/>
    <x v="2"/>
    <s v="Plaquettes d'ébauches rhombiques"/>
    <s v="u134838"/>
    <s v="DANAH STEPHANIE"/>
    <n v="10"/>
    <x v="0"/>
    <x v="0"/>
    <s v="PLAQUETTES"/>
    <x v="0"/>
    <n v="70"/>
  </r>
  <r>
    <d v="2025-09-28T17:42:27"/>
    <x v="1"/>
    <s v="Plaquettes d'ébauches carrées"/>
    <s v="j534699"/>
    <s v="CHARTON FABIAN"/>
    <n v="10"/>
    <x v="1"/>
    <x v="0"/>
    <s v="PLAQUETTES"/>
    <x v="0"/>
    <n v="71.2"/>
  </r>
  <r>
    <d v="2025-09-28T17:42:52"/>
    <x v="2"/>
    <s v="Plaquettes d'ébauches rhombiques"/>
    <s v="j534699"/>
    <s v="CHARTON FABIAN"/>
    <n v="10"/>
    <x v="1"/>
    <x v="0"/>
    <s v="PLAQUETTES"/>
    <x v="0"/>
    <n v="70"/>
  </r>
  <r>
    <d v="2025-06-27T12:22:51"/>
    <x v="2"/>
    <s v="Plaquettes d'ébauches rhombiques"/>
    <s v="U518765"/>
    <s v="ROY ADELINE"/>
    <n v="10"/>
    <x v="0"/>
    <x v="0"/>
    <s v="PLAQUETTES"/>
    <x v="0"/>
    <n v="70"/>
  </r>
  <r>
    <d v="2025-06-27T16:56:16"/>
    <x v="2"/>
    <s v="Plaquettes d'ébauches rhombiques"/>
    <s v="230525"/>
    <s v="SOULAS YANIS"/>
    <n v="10"/>
    <x v="0"/>
    <x v="0"/>
    <s v="PLAQUETTES"/>
    <x v="0"/>
    <n v="70"/>
  </r>
  <r>
    <d v="2025-09-28T17:44:21"/>
    <x v="6"/>
    <s v="Plaquettes de finition positives"/>
    <s v="j534699"/>
    <s v="CHARTON FABIAN"/>
    <n v="10"/>
    <x v="1"/>
    <x v="2"/>
    <s v="PLAQUETTES"/>
    <x v="0"/>
    <n v="87"/>
  </r>
  <r>
    <d v="2025-06-28T06:57:35"/>
    <x v="2"/>
    <s v="Plaquettes d'ébauches rhombiques"/>
    <s v="U518765"/>
    <s v="ROY ADELINE"/>
    <n v="10"/>
    <x v="0"/>
    <x v="0"/>
    <s v="PLAQUETTES"/>
    <x v="0"/>
    <n v="70"/>
  </r>
  <r>
    <d v="2025-09-29T06:35:42"/>
    <x v="10"/>
    <s v="Plaquettes de finition"/>
    <s v="u134838"/>
    <s v="DANAH STEPHANIE"/>
    <n v="10"/>
    <x v="1"/>
    <x v="2"/>
    <s v="PLAQUETTES"/>
    <x v="0"/>
    <n v="109.7"/>
  </r>
  <r>
    <d v="2025-06-28T06:58:41"/>
    <x v="2"/>
    <s v="Plaquettes d'ébauches rhombiques"/>
    <s v="U518765"/>
    <s v="ROY ADELINE"/>
    <n v="10"/>
    <x v="0"/>
    <x v="0"/>
    <s v="PLAQUETTES"/>
    <x v="3"/>
    <n v="70"/>
  </r>
  <r>
    <d v="2025-06-29T16:05:19"/>
    <x v="2"/>
    <s v="Plaquettes d'ébauches rhombiques"/>
    <s v="U518765"/>
    <s v="ROY ADELINE"/>
    <n v="10"/>
    <x v="0"/>
    <x v="1"/>
    <s v="PLAQUETTES"/>
    <x v="0"/>
    <n v="70"/>
  </r>
  <r>
    <d v="2025-09-29T15:37:44"/>
    <x v="4"/>
    <s v="Plaquettes de finition"/>
    <s v="sd13196"/>
    <s v="FRADIN MAXIME"/>
    <n v="5"/>
    <x v="2"/>
    <x v="2"/>
    <s v="PLAQUETTES"/>
    <x v="1"/>
    <n v="47.8"/>
  </r>
  <r>
    <d v="2025-09-29T15:38:02"/>
    <x v="8"/>
    <s v="Plaquettes rhombiques"/>
    <s v="sd13196"/>
    <s v="FRADIN MAXIME"/>
    <n v="5"/>
    <x v="2"/>
    <x v="2"/>
    <s v="PLAQUETTES"/>
    <x v="1"/>
    <n v="18.399999999999999"/>
  </r>
  <r>
    <d v="2025-09-29T19:47:34"/>
    <x v="4"/>
    <s v="Plaquettes de finition"/>
    <s v="sd13196"/>
    <s v="FRADIN MAXIME"/>
    <n v="5"/>
    <x v="3"/>
    <x v="2"/>
    <s v="PLAQUETTES"/>
    <x v="5"/>
    <n v="47.8"/>
  </r>
  <r>
    <d v="2025-09-29T21:38:11"/>
    <x v="2"/>
    <s v="Plaquettes d'ébauches rhombiques"/>
    <s v="VERGE G"/>
    <s v="VERGE GREGORY"/>
    <n v="10"/>
    <x v="2"/>
    <x v="1"/>
    <s v="PLAQUETTES"/>
    <x v="1"/>
    <n v="70"/>
  </r>
  <r>
    <d v="2025-09-29T21:38:24"/>
    <x v="2"/>
    <s v="Plaquettes d'ébauches rhombiques"/>
    <s v="VERGE G"/>
    <s v="VERGE GREGORY"/>
    <n v="10"/>
    <x v="2"/>
    <x v="1"/>
    <s v="PLAQUETTES"/>
    <x v="1"/>
    <n v="70"/>
  </r>
  <r>
    <d v="2025-09-29T21:38:37"/>
    <x v="2"/>
    <s v="Plaquettes d'ébauches rhombiques"/>
    <s v="VERGE G"/>
    <s v="VERGE GREGORY"/>
    <n v="10"/>
    <x v="2"/>
    <x v="1"/>
    <s v="PLAQUETTES"/>
    <x v="1"/>
    <n v="70"/>
  </r>
  <r>
    <d v="2025-09-29T21:38:55"/>
    <x v="1"/>
    <s v="Plaquettes d'ébauches carrées"/>
    <s v="VERGE G"/>
    <s v="VERGE GREGORY"/>
    <n v="10"/>
    <x v="2"/>
    <x v="1"/>
    <s v="PLAQUETTES"/>
    <x v="1"/>
    <n v="71.2"/>
  </r>
  <r>
    <d v="2025-09-29T21:39:10"/>
    <x v="4"/>
    <s v="Plaquettes de finition"/>
    <s v="VERGE G"/>
    <s v="VERGE GREGORY"/>
    <n v="5"/>
    <x v="2"/>
    <x v="2"/>
    <s v="PLAQUETTES"/>
    <x v="1"/>
    <n v="47.8"/>
  </r>
  <r>
    <d v="2025-09-29T21:39:27"/>
    <x v="8"/>
    <s v="Plaquettes rhombiques"/>
    <s v="VERGE G"/>
    <s v="VERGE GREGORY"/>
    <n v="5"/>
    <x v="2"/>
    <x v="2"/>
    <s v="PLAQUETTES"/>
    <x v="1"/>
    <n v="18.399999999999999"/>
  </r>
  <r>
    <d v="2025-06-30T05:52:00"/>
    <x v="2"/>
    <s v="Plaquettes d'ébauches rhombiques"/>
    <s v="230525"/>
    <s v="SOULAS YANIS"/>
    <n v="10"/>
    <x v="0"/>
    <x v="0"/>
    <s v="PLAQUETTES"/>
    <x v="0"/>
    <n v="70"/>
  </r>
  <r>
    <d v="2025-06-30T15:50:37"/>
    <x v="2"/>
    <s v="Plaquettes d'ébauches rhombiques"/>
    <s v="u134838"/>
    <s v="DANAH STEPHANIE"/>
    <n v="10"/>
    <x v="0"/>
    <x v="1"/>
    <s v="PLAQUETTES"/>
    <x v="0"/>
    <n v="70"/>
  </r>
  <r>
    <d v="2025-09-29T22:40:36"/>
    <x v="2"/>
    <s v="Plaquettes d'ébauches rhombiques"/>
    <s v="230525"/>
    <s v="SOULAS YANIS"/>
    <n v="10"/>
    <x v="1"/>
    <x v="1"/>
    <s v="PLAQUETTES"/>
    <x v="0"/>
    <n v="70"/>
  </r>
  <r>
    <d v="2025-09-29T22:40:48"/>
    <x v="2"/>
    <s v="Plaquettes d'ébauches rhombiques"/>
    <s v="230525"/>
    <s v="SOULAS YANIS"/>
    <n v="10"/>
    <x v="1"/>
    <x v="1"/>
    <s v="PLAQUETTES"/>
    <x v="0"/>
    <n v="70"/>
  </r>
  <r>
    <d v="2025-09-30T13:23:51"/>
    <x v="9"/>
    <s v="Plaquettes rhombiques"/>
    <s v="sd13196"/>
    <s v="FRADIN MAXIME"/>
    <n v="5"/>
    <x v="2"/>
    <x v="2"/>
    <s v="PLAQUETTES"/>
    <x v="1"/>
    <n v="44.85"/>
  </r>
  <r>
    <d v="2025-09-30T16:58:15"/>
    <x v="2"/>
    <s v="Plaquettes d'ébauches rhombiques"/>
    <s v="sd13196"/>
    <s v="FRADIN MAXIME"/>
    <n v="10"/>
    <x v="1"/>
    <x v="1"/>
    <s v="PLAQUETTES"/>
    <x v="0"/>
    <n v="70"/>
  </r>
  <r>
    <d v="2025-09-30T18:10:40"/>
    <x v="6"/>
    <s v="Plaquettes de finition positives"/>
    <s v="sd13196"/>
    <s v="FRADIN MAXIME"/>
    <n v="10"/>
    <x v="1"/>
    <x v="2"/>
    <s v="PLAQUETTES"/>
    <x v="0"/>
    <n v="87"/>
  </r>
  <r>
    <d v="2025-07-01T13:34:21"/>
    <x v="2"/>
    <s v="Plaquettes d'ébauches rhombiques"/>
    <s v="u134838"/>
    <s v="DANAH STEPHANIE"/>
    <n v="10"/>
    <x v="0"/>
    <x v="1"/>
    <s v="PLAQUETTES"/>
    <x v="0"/>
    <n v="70"/>
  </r>
  <r>
    <d v="2025-09-30T21:46:30"/>
    <x v="6"/>
    <s v="Plaquettes de finition positives"/>
    <s v="j519914"/>
    <s v="MARLY DAVID"/>
    <n v="10"/>
    <x v="1"/>
    <x v="2"/>
    <s v="PLAQUETTES"/>
    <x v="0"/>
    <n v="87"/>
  </r>
  <r>
    <d v="2025-07-02T07:54:15"/>
    <x v="2"/>
    <s v="Plaquettes d'ébauches rhombiques"/>
    <s v="230525"/>
    <s v="SOULAS YANIS"/>
    <n v="10"/>
    <x v="0"/>
    <x v="1"/>
    <s v="PLAQUETTES"/>
    <x v="0"/>
    <n v="70"/>
  </r>
  <r>
    <d v="2025-09-30T21:47:16"/>
    <x v="1"/>
    <s v="Plaquettes d'ébauches carrées"/>
    <s v="j519914"/>
    <s v="MARLY DAVID"/>
    <n v="10"/>
    <x v="1"/>
    <x v="0"/>
    <s v="PLAQUETTES"/>
    <x v="0"/>
    <n v="71.2"/>
  </r>
  <r>
    <d v="2025-07-02T21:18:52"/>
    <x v="2"/>
    <s v="Plaquettes d'ébauches rhombiques"/>
    <s v="SD13196"/>
    <s v="FRADIN MAXIME"/>
    <n v="10"/>
    <x v="0"/>
    <x v="0"/>
    <s v="PLAQUETTES"/>
    <x v="0"/>
    <n v="70"/>
  </r>
  <r>
    <d v="2025-10-01T04:25:58"/>
    <x v="5"/>
    <s v="Plaquettes rondes"/>
    <s v="j519914"/>
    <s v="MARLY DAVID"/>
    <n v="10"/>
    <x v="1"/>
    <x v="0"/>
    <s v="PLAQUETTES"/>
    <x v="0"/>
    <n v="108.5"/>
  </r>
  <r>
    <d v="2025-10-01T06:15:59"/>
    <x v="4"/>
    <s v="Plaquettes de finition"/>
    <s v="170325"/>
    <s v="VERDELET BASTIEN"/>
    <n v="5"/>
    <x v="2"/>
    <x v="2"/>
    <s v="PLAQUETTES"/>
    <x v="1"/>
    <n v="47.8"/>
  </r>
  <r>
    <d v="2025-10-01T06:16:25"/>
    <x v="2"/>
    <s v="Plaquettes d'ébauches rhombiques"/>
    <s v="170325"/>
    <s v="VERDELET BASTIEN"/>
    <n v="10"/>
    <x v="2"/>
    <x v="2"/>
    <s v="PLAQUETTES"/>
    <x v="1"/>
    <n v="70"/>
  </r>
  <r>
    <d v="2025-10-01T06:16:55"/>
    <x v="4"/>
    <s v="Plaquettes de finition"/>
    <s v="170325"/>
    <s v="VERDELET BASTIEN"/>
    <n v="5"/>
    <x v="3"/>
    <x v="2"/>
    <s v="PLAQUETTES"/>
    <x v="2"/>
    <n v="47.8"/>
  </r>
  <r>
    <d v="2025-10-01T06:17:43"/>
    <x v="5"/>
    <s v="Plaquettes rondes"/>
    <s v="170325"/>
    <s v="VERDELET BASTIEN"/>
    <n v="10"/>
    <x v="2"/>
    <x v="0"/>
    <s v="PLAQUETTES"/>
    <x v="1"/>
    <n v="108.5"/>
  </r>
  <r>
    <d v="2025-10-01T06:18:04"/>
    <x v="10"/>
    <s v="Plaquettes de finition"/>
    <s v="170325"/>
    <s v="VERDELET BASTIEN"/>
    <n v="10"/>
    <x v="3"/>
    <x v="2"/>
    <s v="PLAQUETTES"/>
    <x v="2"/>
    <n v="109.7"/>
  </r>
  <r>
    <d v="2025-10-01T08:20:49"/>
    <x v="6"/>
    <s v="Plaquettes de finition positives"/>
    <s v="u134838"/>
    <s v="DANAH STEPHANIE"/>
    <n v="10"/>
    <x v="1"/>
    <x v="2"/>
    <s v="PLAQUETTES"/>
    <x v="0"/>
    <n v="87"/>
  </r>
  <r>
    <d v="2025-07-03T05:28:46"/>
    <x v="2"/>
    <s v="Plaquettes d'ébauches rhombiques"/>
    <s v="230525"/>
    <s v="SOULAS YANIS"/>
    <n v="10"/>
    <x v="0"/>
    <x v="1"/>
    <s v="PLAQUETTES"/>
    <x v="0"/>
    <n v="70"/>
  </r>
  <r>
    <d v="2025-07-05T05:11:36"/>
    <x v="2"/>
    <s v="Plaquettes d'ébauches rhombiques"/>
    <s v="U054304"/>
    <s v="BOUACHIK HICHAM"/>
    <n v="10"/>
    <x v="0"/>
    <x v="0"/>
    <s v="PLAQUETTES"/>
    <x v="0"/>
    <n v="70"/>
  </r>
  <r>
    <d v="2025-07-06T02:06:33"/>
    <x v="2"/>
    <s v="Plaquettes d'ébauches rhombiques"/>
    <s v="J534699"/>
    <s v="CHARTON FABIAN"/>
    <n v="10"/>
    <x v="0"/>
    <x v="0"/>
    <s v="PLAQUETTES"/>
    <x v="0"/>
    <n v="70"/>
  </r>
  <r>
    <d v="2025-10-01T21:08:30"/>
    <x v="6"/>
    <s v="Plaquettes de finition positives"/>
    <s v="j519914"/>
    <s v="MARLY DAVID"/>
    <n v="10"/>
    <x v="1"/>
    <x v="2"/>
    <s v="PLAQUETTES"/>
    <x v="0"/>
    <n v="87"/>
  </r>
  <r>
    <d v="2025-07-06T15:18:25"/>
    <x v="2"/>
    <s v="Plaquettes d'ébauches rhombiques"/>
    <s v="U080365"/>
    <s v="ALAVOINE SAMUEL"/>
    <n v="10"/>
    <x v="0"/>
    <x v="1"/>
    <s v="PLAQUETTES"/>
    <x v="0"/>
    <n v="70"/>
  </r>
  <r>
    <d v="2025-10-01T21:13:07"/>
    <x v="2"/>
    <s v="Plaquettes d'ébauches rhombiques"/>
    <s v="VERGE G"/>
    <s v="VERGE GREGORY"/>
    <n v="10"/>
    <x v="2"/>
    <x v="1"/>
    <s v="PLAQUETTES"/>
    <x v="1"/>
    <n v="70"/>
  </r>
  <r>
    <d v="2025-10-01T21:13:28"/>
    <x v="2"/>
    <s v="Plaquettes d'ébauches rhombiques"/>
    <s v="VERGE G"/>
    <s v="VERGE GREGORY"/>
    <n v="10"/>
    <x v="2"/>
    <x v="1"/>
    <s v="PLAQUETTES"/>
    <x v="1"/>
    <n v="70"/>
  </r>
  <r>
    <d v="2025-10-01T21:13:41"/>
    <x v="1"/>
    <s v="Plaquettes d'ébauches carrées"/>
    <s v="VERGE G"/>
    <s v="VERGE GREGORY"/>
    <n v="10"/>
    <x v="2"/>
    <x v="1"/>
    <s v="PLAQUETTES"/>
    <x v="1"/>
    <n v="71.2"/>
  </r>
  <r>
    <d v="2025-07-08T04:29:49"/>
    <x v="2"/>
    <s v="Plaquettes d'ébauches rhombiques"/>
    <s v="230525"/>
    <s v="SOULAS YANIS"/>
    <n v="10"/>
    <x v="0"/>
    <x v="1"/>
    <s v="PLAQUETTES"/>
    <x v="0"/>
    <n v="70"/>
  </r>
  <r>
    <d v="2025-10-02T05:32:04"/>
    <x v="2"/>
    <s v="Plaquettes d'ébauches rhombiques"/>
    <s v="170325"/>
    <s v="VERDELET BASTIEN"/>
    <n v="10"/>
    <x v="2"/>
    <x v="0"/>
    <s v="PLAQUETTES"/>
    <x v="1"/>
    <n v="70"/>
  </r>
  <r>
    <d v="2025-10-02T05:32:17"/>
    <x v="3"/>
    <s v="Plaquettes rondes"/>
    <s v="170325"/>
    <s v="VERDELET BASTIEN"/>
    <n v="10"/>
    <x v="2"/>
    <x v="0"/>
    <s v="PLAQUETTES"/>
    <x v="1"/>
    <n v="136.69999999999999"/>
  </r>
  <r>
    <d v="2025-10-02T05:32:32"/>
    <x v="4"/>
    <s v="Plaquettes de finition"/>
    <s v="170325"/>
    <s v="VERDELET BASTIEN"/>
    <n v="5"/>
    <x v="2"/>
    <x v="2"/>
    <s v="PLAQUETTES"/>
    <x v="1"/>
    <n v="47.8"/>
  </r>
  <r>
    <d v="2025-07-08T21:39:12"/>
    <x v="2"/>
    <s v="Plaquettes d'ébauches rhombiques"/>
    <s v="230525"/>
    <s v="SOULAS YANIS"/>
    <n v="10"/>
    <x v="0"/>
    <x v="1"/>
    <s v="PLAQUETTES"/>
    <x v="0"/>
    <n v="70"/>
  </r>
  <r>
    <d v="2025-07-09T22:40:25"/>
    <x v="2"/>
    <s v="Plaquettes d'ébauches rhombiques"/>
    <s v="230525"/>
    <s v="SOULAS YANIS"/>
    <n v="10"/>
    <x v="0"/>
    <x v="0"/>
    <s v="PLAQUETTES"/>
    <x v="0"/>
    <n v="70"/>
  </r>
  <r>
    <d v="2025-10-02T07:41:54"/>
    <x v="6"/>
    <s v="Plaquettes de finition positives"/>
    <s v="u134838"/>
    <s v="DANAH STEPHANIE"/>
    <n v="10"/>
    <x v="1"/>
    <x v="2"/>
    <s v="PLAQUETTES"/>
    <x v="0"/>
    <n v="87"/>
  </r>
  <r>
    <d v="2025-07-10T13:47:16"/>
    <x v="2"/>
    <s v="Plaquettes d'ébauches rhombiques"/>
    <s v="SD13196"/>
    <s v="FRADIN MAXIME"/>
    <n v="10"/>
    <x v="0"/>
    <x v="1"/>
    <s v="PLAQUETTES"/>
    <x v="0"/>
    <n v="70"/>
  </r>
  <r>
    <d v="2025-07-10T23:17:19"/>
    <x v="2"/>
    <s v="Plaquettes d'ébauches rhombiques"/>
    <s v="230525"/>
    <s v="SOULAS YANIS"/>
    <n v="10"/>
    <x v="0"/>
    <x v="1"/>
    <s v="PLAQUETTES"/>
    <x v="0"/>
    <n v="70"/>
  </r>
  <r>
    <d v="2025-10-02T15:15:06"/>
    <x v="11"/>
    <s v="Plaquettes de finition triangulaires"/>
    <s v="sd13196"/>
    <s v="FRADIN MAXIME"/>
    <n v="10"/>
    <x v="2"/>
    <x v="2"/>
    <s v="PLAQUETTES"/>
    <x v="1"/>
    <n v="118.7"/>
  </r>
  <r>
    <d v="2025-10-02T18:44:55"/>
    <x v="2"/>
    <s v="Plaquettes d'ébauches rhombiques"/>
    <s v="u462308"/>
    <s v="MAITRE SEBASTIEN"/>
    <n v="10"/>
    <x v="1"/>
    <x v="1"/>
    <s v="PLAQUETTES"/>
    <x v="0"/>
    <n v="70"/>
  </r>
  <r>
    <d v="2025-10-02T18:45:12"/>
    <x v="6"/>
    <s v="Plaquettes de finition positives"/>
    <s v="u462308"/>
    <s v="MAITRE SEBASTIEN"/>
    <n v="10"/>
    <x v="1"/>
    <x v="2"/>
    <s v="PLAQUETTES"/>
    <x v="0"/>
    <n v="87"/>
  </r>
  <r>
    <d v="2025-07-11T03:32:28"/>
    <x v="2"/>
    <s v="Plaquettes d'ébauches rhombiques"/>
    <s v="230525"/>
    <s v="SOULAS YANIS"/>
    <n v="10"/>
    <x v="0"/>
    <x v="1"/>
    <s v="PLAQUETTES"/>
    <x v="0"/>
    <n v="70"/>
  </r>
  <r>
    <d v="2025-10-03T06:39:21"/>
    <x v="4"/>
    <s v="Plaquettes de finition"/>
    <s v="U518765"/>
    <s v="ROY ADELINE"/>
    <n v="5"/>
    <x v="3"/>
    <x v="2"/>
    <s v="PLAQUETTES"/>
    <x v="2"/>
    <n v="47.8"/>
  </r>
  <r>
    <d v="2025-10-03T06:39:40"/>
    <x v="11"/>
    <s v="Plaquettes de finition triangulaires"/>
    <s v="U518765"/>
    <s v="ROY ADELINE"/>
    <n v="10"/>
    <x v="3"/>
    <x v="2"/>
    <s v="PLAQUETTES"/>
    <x v="2"/>
    <n v="118.7"/>
  </r>
  <r>
    <d v="2025-10-03T06:40:20"/>
    <x v="2"/>
    <s v="Plaquettes d'ébauches rhombiques"/>
    <s v="U518765"/>
    <s v="ROY ADELINE"/>
    <n v="10"/>
    <x v="3"/>
    <x v="2"/>
    <s v="PLAQUETTES"/>
    <x v="2"/>
    <n v="70"/>
  </r>
  <r>
    <d v="2025-10-03T06:40:37"/>
    <x v="1"/>
    <s v="Plaquettes d'ébauches carrées"/>
    <s v="U518765"/>
    <s v="ROY ADELINE"/>
    <n v="10"/>
    <x v="3"/>
    <x v="0"/>
    <s v="PLAQUETTES"/>
    <x v="2"/>
    <n v="71.2"/>
  </r>
  <r>
    <d v="2025-10-03T06:41:00"/>
    <x v="12"/>
    <s v="Plaquettes de gorge"/>
    <s v="U518765"/>
    <s v="ROY ADELINE"/>
    <n v="10"/>
    <x v="3"/>
    <x v="0"/>
    <s v="PLAQUETTES"/>
    <x v="2"/>
    <n v="157"/>
  </r>
  <r>
    <d v="2025-10-03T06:41:32"/>
    <x v="2"/>
    <s v="Plaquettes d'ébauches rhombiques"/>
    <s v="U518765"/>
    <s v="ROY ADELINE"/>
    <n v="10"/>
    <x v="3"/>
    <x v="2"/>
    <s v="PLAQUETTES"/>
    <x v="2"/>
    <n v="70"/>
  </r>
  <r>
    <d v="2025-10-03T07:18:54"/>
    <x v="6"/>
    <s v="Plaquettes de finition positives"/>
    <s v="U534565"/>
    <s v="HOAREAU MARIUS"/>
    <n v="10"/>
    <x v="1"/>
    <x v="2"/>
    <s v="PLAQUETTES"/>
    <x v="0"/>
    <n v="87"/>
  </r>
  <r>
    <d v="2025-10-03T12:38:35"/>
    <x v="2"/>
    <s v="Plaquettes d'ébauches rhombiques"/>
    <s v="U534565"/>
    <s v="HOAREAU MARIUS"/>
    <n v="10"/>
    <x v="1"/>
    <x v="0"/>
    <s v="PLAQUETTES"/>
    <x v="0"/>
    <n v="70"/>
  </r>
  <r>
    <d v="2025-10-03T12:38:55"/>
    <x v="5"/>
    <s v="Plaquettes rondes"/>
    <s v="U534565"/>
    <s v="HOAREAU MARIUS"/>
    <n v="10"/>
    <x v="1"/>
    <x v="0"/>
    <s v="PLAQUETTES"/>
    <x v="0"/>
    <n v="108.5"/>
  </r>
  <r>
    <d v="2025-07-11T14:00:15"/>
    <x v="2"/>
    <s v="Plaquettes d'ébauches rhombiques"/>
    <s v="SD13196"/>
    <s v="FRADIN MAXIME"/>
    <n v="10"/>
    <x v="0"/>
    <x v="1"/>
    <s v="PLAQUETTES"/>
    <x v="0"/>
    <n v="70"/>
  </r>
  <r>
    <d v="2025-07-11T23:02:08"/>
    <x v="2"/>
    <s v="Plaquettes d'ébauches rhombiques"/>
    <s v="230525"/>
    <s v="SOULAS YANIS"/>
    <n v="10"/>
    <x v="0"/>
    <x v="1"/>
    <s v="PLAQUETTES"/>
    <x v="0"/>
    <n v="70"/>
  </r>
  <r>
    <d v="2025-10-03T21:29:12"/>
    <x v="6"/>
    <s v="Plaquettes de finition positives"/>
    <s v="j519914"/>
    <s v="MARLY DAVID"/>
    <n v="10"/>
    <x v="1"/>
    <x v="2"/>
    <s v="PLAQUETTES"/>
    <x v="0"/>
    <n v="87"/>
  </r>
  <r>
    <d v="2025-07-13T00:23:34"/>
    <x v="2"/>
    <s v="Plaquettes d'ébauches rhombiques"/>
    <s v="U054304"/>
    <s v="BOUACHIK HICHAM"/>
    <n v="10"/>
    <x v="0"/>
    <x v="0"/>
    <s v="PLAQUETTES"/>
    <x v="0"/>
    <n v="70"/>
  </r>
  <r>
    <d v="2025-10-03T21:30:19"/>
    <x v="1"/>
    <s v="Plaquettes d'ébauches carrées"/>
    <s v="j519914"/>
    <s v="MARLY DAVID"/>
    <n v="10"/>
    <x v="1"/>
    <x v="1"/>
    <s v="PLAQUETTES"/>
    <x v="0"/>
    <n v="71.2"/>
  </r>
  <r>
    <d v="2025-10-03T21:41:06"/>
    <x v="2"/>
    <s v="Plaquettes d'ébauches rhombiques"/>
    <s v="VERGE G"/>
    <s v="VERGE GREGORY"/>
    <n v="10"/>
    <x v="2"/>
    <x v="1"/>
    <s v="PLAQUETTES"/>
    <x v="5"/>
    <n v="70"/>
  </r>
  <r>
    <d v="2025-10-03T21:41:20"/>
    <x v="2"/>
    <s v="Plaquettes d'ébauches rhombiques"/>
    <s v="VERGE G"/>
    <s v="VERGE GREGORY"/>
    <n v="10"/>
    <x v="2"/>
    <x v="1"/>
    <s v="PLAQUETTES"/>
    <x v="1"/>
    <n v="70"/>
  </r>
  <r>
    <d v="2025-10-03T21:41:33"/>
    <x v="1"/>
    <s v="Plaquettes d'ébauches carrées"/>
    <s v="VERGE G"/>
    <s v="VERGE GREGORY"/>
    <n v="10"/>
    <x v="2"/>
    <x v="1"/>
    <s v="PLAQUETTES"/>
    <x v="1"/>
    <n v="71.2"/>
  </r>
  <r>
    <d v="2025-10-03T21:41:45"/>
    <x v="4"/>
    <s v="Plaquettes de finition"/>
    <s v="VERGE G"/>
    <s v="VERGE GREGORY"/>
    <n v="5"/>
    <x v="2"/>
    <x v="2"/>
    <s v="PLAQUETTES"/>
    <x v="1"/>
    <n v="47.8"/>
  </r>
  <r>
    <d v="2025-10-03T21:41:56"/>
    <x v="4"/>
    <s v="Plaquettes de finition"/>
    <s v="VERGE G"/>
    <s v="VERGE GREGORY"/>
    <n v="5"/>
    <x v="2"/>
    <x v="2"/>
    <s v="PLAQUETTES"/>
    <x v="1"/>
    <n v="47.8"/>
  </r>
  <r>
    <d v="2025-10-04T00:35:53"/>
    <x v="10"/>
    <s v="Plaquettes de finition"/>
    <s v="j519914"/>
    <s v="MARLY DAVID"/>
    <n v="10"/>
    <x v="1"/>
    <x v="2"/>
    <s v="PLAQUETTES"/>
    <x v="0"/>
    <n v="109.7"/>
  </r>
  <r>
    <d v="2025-07-14T02:13:20"/>
    <x v="2"/>
    <s v="Plaquettes d'ébauches rhombiques"/>
    <s v="U054304"/>
    <s v="BOUACHIK HICHAM"/>
    <n v="10"/>
    <x v="0"/>
    <x v="0"/>
    <s v="PLAQUETTES"/>
    <x v="0"/>
    <n v="70"/>
  </r>
  <r>
    <d v="2025-10-04T05:37:46"/>
    <x v="2"/>
    <s v="Plaquettes d'ébauches rhombiques"/>
    <s v="U534565"/>
    <s v="HOAREAU MARIUS"/>
    <n v="10"/>
    <x v="1"/>
    <x v="1"/>
    <s v="PLAQUETTES"/>
    <x v="0"/>
    <n v="70"/>
  </r>
  <r>
    <d v="2025-10-04T05:38:07"/>
    <x v="5"/>
    <s v="Plaquettes rondes"/>
    <s v="U534565"/>
    <s v="HOAREAU MARIUS"/>
    <n v="10"/>
    <x v="1"/>
    <x v="0"/>
    <s v="PLAQUETTES"/>
    <x v="0"/>
    <n v="108.5"/>
  </r>
  <r>
    <d v="2025-07-14T05:31:32"/>
    <x v="2"/>
    <s v="Plaquettes d'ébauches rhombiques"/>
    <s v="SD13196"/>
    <s v="FRADIN MAXIME"/>
    <n v="10"/>
    <x v="0"/>
    <x v="0"/>
    <s v="PLAQUETTES"/>
    <x v="0"/>
    <n v="70"/>
  </r>
  <r>
    <d v="2025-10-04T05:38:47"/>
    <x v="6"/>
    <s v="Plaquettes de finition positives"/>
    <s v="U534565"/>
    <s v="HOAREAU MARIUS"/>
    <n v="10"/>
    <x v="1"/>
    <x v="2"/>
    <s v="PLAQUETTES"/>
    <x v="0"/>
    <n v="87"/>
  </r>
  <r>
    <d v="2025-10-04T09:28:32"/>
    <x v="4"/>
    <s v="Plaquettes de finition"/>
    <s v="U518765"/>
    <s v="ROY ADELINE"/>
    <n v="5"/>
    <x v="2"/>
    <x v="2"/>
    <s v="PLAQUETTES"/>
    <x v="1"/>
    <n v="47.8"/>
  </r>
  <r>
    <d v="2025-10-04T09:28:47"/>
    <x v="4"/>
    <s v="Plaquettes de finition"/>
    <s v="U518765"/>
    <s v="ROY ADELINE"/>
    <n v="5"/>
    <x v="3"/>
    <x v="2"/>
    <s v="PLAQUETTES"/>
    <x v="2"/>
    <n v="47.8"/>
  </r>
  <r>
    <d v="2025-10-04T09:29:10"/>
    <x v="11"/>
    <s v="Plaquettes de finition triangulaires"/>
    <s v="U518765"/>
    <s v="ROY ADELINE"/>
    <n v="10"/>
    <x v="3"/>
    <x v="2"/>
    <s v="PLAQUETTES"/>
    <x v="2"/>
    <n v="118.7"/>
  </r>
  <r>
    <d v="2025-10-04T09:29:41"/>
    <x v="10"/>
    <s v="Plaquettes de finition"/>
    <s v="U518765"/>
    <s v="ROY ADELINE"/>
    <n v="10"/>
    <x v="3"/>
    <x v="2"/>
    <s v="PLAQUETTES"/>
    <x v="2"/>
    <n v="109.7"/>
  </r>
  <r>
    <d v="2025-10-04T09:29:58"/>
    <x v="2"/>
    <s v="Plaquettes d'ébauches rhombiques"/>
    <s v="U518765"/>
    <s v="ROY ADELINE"/>
    <n v="10"/>
    <x v="2"/>
    <x v="0"/>
    <s v="PLAQUETTES"/>
    <x v="1"/>
    <n v="70"/>
  </r>
  <r>
    <d v="2025-10-04T09:30:16"/>
    <x v="3"/>
    <s v="Plaquettes rondes"/>
    <s v="U518765"/>
    <s v="ROY ADELINE"/>
    <n v="10"/>
    <x v="2"/>
    <x v="0"/>
    <s v="PLAQUETTES"/>
    <x v="1"/>
    <n v="136.69999999999999"/>
  </r>
  <r>
    <d v="2025-10-04T09:30:38"/>
    <x v="12"/>
    <s v="Plaquettes de gorge"/>
    <s v="U518765"/>
    <s v="ROY ADELINE"/>
    <n v="10"/>
    <x v="3"/>
    <x v="0"/>
    <s v="PLAQUETTES"/>
    <x v="2"/>
    <n v="157"/>
  </r>
  <r>
    <d v="2025-10-04T09:30:55"/>
    <x v="1"/>
    <s v="Plaquettes d'ébauches carrées"/>
    <s v="U518765"/>
    <s v="ROY ADELINE"/>
    <n v="10"/>
    <x v="3"/>
    <x v="1"/>
    <s v="PLAQUETTES"/>
    <x v="2"/>
    <n v="71.2"/>
  </r>
  <r>
    <d v="2025-10-04T16:17:19"/>
    <x v="2"/>
    <s v="Plaquettes d'ébauches rhombiques"/>
    <s v="U534565"/>
    <s v="HOAREAU MARIUS"/>
    <n v="10"/>
    <x v="1"/>
    <x v="1"/>
    <s v="PLAQUETTES"/>
    <x v="0"/>
    <n v="70"/>
  </r>
  <r>
    <d v="2025-07-14T05:32:19"/>
    <x v="2"/>
    <s v="Plaquettes d'ébauches rhombiques"/>
    <s v="SD13196"/>
    <s v="FRADIN MAXIME"/>
    <n v="10"/>
    <x v="0"/>
    <x v="0"/>
    <s v="PLAQUETTES"/>
    <x v="0"/>
    <n v="70"/>
  </r>
  <r>
    <d v="2025-10-05T05:33:14"/>
    <x v="5"/>
    <s v="Plaquettes rondes"/>
    <s v="U534565"/>
    <s v="HOAREAU MARIUS"/>
    <n v="10"/>
    <x v="1"/>
    <x v="0"/>
    <s v="PLAQUETTES"/>
    <x v="0"/>
    <n v="108.5"/>
  </r>
  <r>
    <d v="2025-07-14T13:09:47"/>
    <x v="2"/>
    <s v="Plaquettes d'ébauches rhombiques"/>
    <s v="230525"/>
    <s v="SOULAS YANIS"/>
    <n v="10"/>
    <x v="0"/>
    <x v="0"/>
    <s v="PLAQUETTES"/>
    <x v="0"/>
    <n v="70"/>
  </r>
  <r>
    <d v="2025-10-05T05:33:53"/>
    <x v="7"/>
    <s v="Plaquettes de finition triangulaires"/>
    <s v="U534565"/>
    <s v="HOAREAU MARIUS"/>
    <n v="10"/>
    <x v="1"/>
    <x v="2"/>
    <s v="PLAQUETTES"/>
    <x v="0"/>
    <n v="138.80000000000001"/>
  </r>
  <r>
    <d v="2025-10-05T05:34:15"/>
    <x v="6"/>
    <s v="Plaquettes de finition positives"/>
    <s v="U534565"/>
    <s v="HOAREAU MARIUS"/>
    <n v="10"/>
    <x v="1"/>
    <x v="2"/>
    <s v="PLAQUETTES"/>
    <x v="0"/>
    <n v="87"/>
  </r>
  <r>
    <d v="2025-07-14T13:10:01"/>
    <x v="2"/>
    <s v="Plaquettes d'ébauches rhombiques"/>
    <s v="230525"/>
    <s v="SOULAS YANIS"/>
    <n v="10"/>
    <x v="0"/>
    <x v="1"/>
    <s v="PLAQUETTES"/>
    <x v="0"/>
    <n v="70"/>
  </r>
  <r>
    <d v="2025-07-15T14:08:55"/>
    <x v="2"/>
    <s v="Plaquettes d'ébauches rhombiques"/>
    <s v="230525"/>
    <s v="SOULAS YANIS"/>
    <n v="10"/>
    <x v="0"/>
    <x v="1"/>
    <s v="PLAQUETTES"/>
    <x v="0"/>
    <n v="70"/>
  </r>
  <r>
    <d v="2025-10-05T16:25:11"/>
    <x v="4"/>
    <s v="Plaquettes de finition"/>
    <s v="U518765"/>
    <s v="ROY ADELINE"/>
    <n v="5"/>
    <x v="2"/>
    <x v="2"/>
    <s v="PLAQUETTES"/>
    <x v="1"/>
    <n v="47.8"/>
  </r>
  <r>
    <d v="2025-10-05T16:25:28"/>
    <x v="4"/>
    <s v="Plaquettes de finition"/>
    <s v="U518765"/>
    <s v="ROY ADELINE"/>
    <n v="5"/>
    <x v="3"/>
    <x v="2"/>
    <s v="PLAQUETTES"/>
    <x v="2"/>
    <n v="47.8"/>
  </r>
  <r>
    <d v="2025-07-15T19:44:34"/>
    <x v="2"/>
    <s v="Plaquettes d'ébauches rhombiques"/>
    <s v="230525"/>
    <s v="SOULAS YANIS"/>
    <n v="10"/>
    <x v="0"/>
    <x v="1"/>
    <s v="PLAQUETTES"/>
    <x v="0"/>
    <n v="70"/>
  </r>
  <r>
    <d v="2025-07-16T13:21:29"/>
    <x v="2"/>
    <s v="Plaquettes d'ébauches rhombiques"/>
    <s v="230525"/>
    <s v="SOULAS YANIS"/>
    <n v="10"/>
    <x v="0"/>
    <x v="1"/>
    <s v="PLAQUETTES"/>
    <x v="0"/>
    <n v="70"/>
  </r>
  <r>
    <d v="2025-07-16T18:15:48"/>
    <x v="2"/>
    <s v="Plaquettes d'ébauches rhombiques"/>
    <s v="230525"/>
    <s v="SOULAS YANIS"/>
    <n v="10"/>
    <x v="0"/>
    <x v="0"/>
    <s v="PLAQUETTES"/>
    <x v="0"/>
    <n v="70"/>
  </r>
  <r>
    <d v="2025-10-05T22:35:26"/>
    <x v="2"/>
    <s v="Plaquettes d'ébauches rhombiques"/>
    <s v="u080365"/>
    <s v="ALAVOINE SAMUEL"/>
    <n v="10"/>
    <x v="3"/>
    <x v="1"/>
    <s v="PLAQUETTES"/>
    <x v="2"/>
    <n v="70"/>
  </r>
  <r>
    <d v="2025-10-05T22:35:49"/>
    <x v="2"/>
    <s v="Plaquettes d'ébauches rhombiques"/>
    <s v="u080365"/>
    <s v="ALAVOINE SAMUEL"/>
    <n v="10"/>
    <x v="3"/>
    <x v="2"/>
    <s v="PLAQUETTES"/>
    <x v="2"/>
    <n v="70"/>
  </r>
  <r>
    <d v="2025-10-06T01:24:25"/>
    <x v="2"/>
    <s v="Plaquettes d'ébauches rhombiques"/>
    <s v="U054304"/>
    <s v="BOUACHIK HICHAM"/>
    <n v="10"/>
    <x v="1"/>
    <x v="0"/>
    <s v="PLAQUETTES"/>
    <x v="0"/>
    <n v="70"/>
  </r>
  <r>
    <d v="2025-10-06T05:10:11"/>
    <x v="5"/>
    <s v="Plaquettes rondes"/>
    <s v="sd13196"/>
    <s v="FRADIN MAXIME"/>
    <n v="10"/>
    <x v="2"/>
    <x v="0"/>
    <s v="PLAQUETTES"/>
    <x v="1"/>
    <n v="108.5"/>
  </r>
  <r>
    <d v="2025-10-06T05:10:35"/>
    <x v="9"/>
    <s v="Plaquettes rhombiques"/>
    <s v="sd13196"/>
    <s v="FRADIN MAXIME"/>
    <n v="5"/>
    <x v="2"/>
    <x v="2"/>
    <s v="PLAQUETTES"/>
    <x v="1"/>
    <n v="44.85"/>
  </r>
  <r>
    <d v="2025-10-06T08:52:20"/>
    <x v="1"/>
    <s v="Plaquettes d'ébauches carrées"/>
    <s v="12824586"/>
    <s v="DA SILVA FERNANDO"/>
    <n v="10"/>
    <x v="2"/>
    <x v="1"/>
    <s v="PLAQUETTES"/>
    <x v="4"/>
    <n v="71.2"/>
  </r>
  <r>
    <d v="2025-10-06T12:02:44"/>
    <x v="6"/>
    <s v="Plaquettes de finition positives"/>
    <s v="sd13196"/>
    <s v="FRADIN MAXIME"/>
    <n v="10"/>
    <x v="3"/>
    <x v="2"/>
    <s v="PLAQUETTES"/>
    <x v="0"/>
    <n v="87"/>
  </r>
  <r>
    <d v="2025-10-06T18:31:43"/>
    <x v="6"/>
    <s v="Plaquettes de finition positives"/>
    <s v="u134838"/>
    <s v="DANAH STEPHANIE"/>
    <n v="10"/>
    <x v="3"/>
    <x v="2"/>
    <s v="PLAQUETTES"/>
    <x v="0"/>
    <n v="87"/>
  </r>
  <r>
    <d v="2025-10-06T18:31:59"/>
    <x v="4"/>
    <s v="Plaquettes de finition"/>
    <s v="u134838"/>
    <s v="DANAH STEPHANIE"/>
    <n v="5"/>
    <x v="2"/>
    <x v="2"/>
    <s v="PLAQUETTES"/>
    <x v="1"/>
    <n v="47.8"/>
  </r>
  <r>
    <d v="2025-10-06T18:32:19"/>
    <x v="2"/>
    <s v="Plaquettes d'ébauches rhombiques"/>
    <s v="u134838"/>
    <s v="DANAH STEPHANIE"/>
    <n v="10"/>
    <x v="2"/>
    <x v="0"/>
    <s v="PLAQUETTES"/>
    <x v="1"/>
    <n v="70"/>
  </r>
  <r>
    <d v="2025-10-06T21:04:52"/>
    <x v="2"/>
    <s v="Plaquettes d'ébauches rhombiques"/>
    <s v="VERGE G"/>
    <s v="VERGE GREGORY"/>
    <n v="10"/>
    <x v="2"/>
    <x v="1"/>
    <s v="PLAQUETTES"/>
    <x v="1"/>
    <n v="70"/>
  </r>
  <r>
    <d v="2025-10-06T21:05:03"/>
    <x v="2"/>
    <s v="Plaquettes d'ébauches rhombiques"/>
    <s v="VERGE G"/>
    <s v="VERGE GREGORY"/>
    <n v="10"/>
    <x v="2"/>
    <x v="1"/>
    <s v="PLAQUETTES"/>
    <x v="1"/>
    <n v="70"/>
  </r>
  <r>
    <d v="2025-10-06T21:05:18"/>
    <x v="1"/>
    <s v="Plaquettes d'ébauches carrées"/>
    <s v="VERGE G"/>
    <s v="VERGE GREGORY"/>
    <n v="10"/>
    <x v="2"/>
    <x v="1"/>
    <s v="PLAQUETTES"/>
    <x v="1"/>
    <n v="71.2"/>
  </r>
  <r>
    <d v="2025-10-06T21:05:41"/>
    <x v="6"/>
    <s v="Plaquettes de finition positives"/>
    <s v="VERGE G"/>
    <s v="VERGE GREGORY"/>
    <n v="10"/>
    <x v="3"/>
    <x v="2"/>
    <s v="PLAQUETTES"/>
    <x v="0"/>
    <n v="87"/>
  </r>
  <r>
    <d v="2025-10-06T21:05:57"/>
    <x v="4"/>
    <s v="Plaquettes de finition"/>
    <s v="VERGE G"/>
    <s v="VERGE GREGORY"/>
    <n v="5"/>
    <x v="2"/>
    <x v="2"/>
    <s v="PLAQUETTES"/>
    <x v="1"/>
    <n v="47.8"/>
  </r>
  <r>
    <d v="2025-07-17T16:07:16"/>
    <x v="2"/>
    <s v="Plaquettes d'ébauches rhombiques"/>
    <s v="230525"/>
    <s v="SOULAS YANIS"/>
    <n v="10"/>
    <x v="0"/>
    <x v="1"/>
    <s v="PLAQUETTES"/>
    <x v="0"/>
    <n v="70"/>
  </r>
  <r>
    <d v="2025-07-18T07:18:47"/>
    <x v="2"/>
    <s v="Plaquettes d'ébauches rhombiques"/>
    <s v="U054304"/>
    <s v="BOUACHIK HICHAM"/>
    <n v="10"/>
    <x v="0"/>
    <x v="0"/>
    <s v="PLAQUETTES"/>
    <x v="0"/>
    <n v="70"/>
  </r>
  <r>
    <d v="2025-10-06T21:16:08"/>
    <x v="10"/>
    <s v="Plaquettes de finition"/>
    <s v="230525"/>
    <s v="SOULAS YANIS"/>
    <n v="10"/>
    <x v="1"/>
    <x v="2"/>
    <s v="PLAQUETTES"/>
    <x v="0"/>
    <n v="109.7"/>
  </r>
  <r>
    <d v="2025-10-06T21:16:22"/>
    <x v="6"/>
    <s v="Plaquettes de finition positives"/>
    <s v="230525"/>
    <s v="SOULAS YANIS"/>
    <n v="10"/>
    <x v="1"/>
    <x v="2"/>
    <s v="PLAQUETTES"/>
    <x v="0"/>
    <n v="87"/>
  </r>
  <r>
    <d v="2025-10-06T21:16:34"/>
    <x v="6"/>
    <s v="Plaquettes de finition positives"/>
    <s v="230525"/>
    <s v="SOULAS YANIS"/>
    <n v="10"/>
    <x v="1"/>
    <x v="2"/>
    <s v="PLAQUETTES"/>
    <x v="0"/>
    <n v="87"/>
  </r>
  <r>
    <d v="2025-10-07T17:25:58"/>
    <x v="4"/>
    <s v="Plaquettes de finition"/>
    <s v="u134838"/>
    <s v="DANAH STEPHANIE"/>
    <n v="5"/>
    <x v="2"/>
    <x v="2"/>
    <s v="PLAQUETTES"/>
    <x v="1"/>
    <n v="47.8"/>
  </r>
  <r>
    <d v="2025-10-07T17:26:17"/>
    <x v="6"/>
    <s v="Plaquettes de finition positives"/>
    <s v="u134838"/>
    <s v="DANAH STEPHANIE"/>
    <n v="10"/>
    <x v="3"/>
    <x v="2"/>
    <s v="PLAQUETTES"/>
    <x v="0"/>
    <n v="87"/>
  </r>
  <r>
    <d v="2025-10-07T17:26:34"/>
    <x v="3"/>
    <s v="Plaquettes rondes"/>
    <s v="u134838"/>
    <s v="DANAH STEPHANIE"/>
    <n v="10"/>
    <x v="2"/>
    <x v="0"/>
    <s v="PLAQUETTES"/>
    <x v="1"/>
    <n v="136.69999999999999"/>
  </r>
  <r>
    <d v="2025-07-18T13:19:23"/>
    <x v="2"/>
    <s v="Plaquettes d'ébauches rhombiques"/>
    <s v="230525"/>
    <s v="SOULAS YANIS"/>
    <n v="10"/>
    <x v="0"/>
    <x v="1"/>
    <s v="PLAQUETTES"/>
    <x v="0"/>
    <n v="70"/>
  </r>
  <r>
    <d v="2025-10-08T06:32:19"/>
    <x v="6"/>
    <s v="Plaquettes de finition positives"/>
    <s v="sd13196"/>
    <s v="FRADIN MAXIME"/>
    <n v="10"/>
    <x v="3"/>
    <x v="2"/>
    <s v="PLAQUETTES"/>
    <x v="0"/>
    <n v="87"/>
  </r>
  <r>
    <d v="2025-10-08T06:32:47"/>
    <x v="1"/>
    <s v="Plaquettes d'ébauches carrées"/>
    <s v="sd13196"/>
    <s v="FRADIN MAXIME"/>
    <n v="10"/>
    <x v="2"/>
    <x v="0"/>
    <s v="PLAQUETTES"/>
    <x v="1"/>
    <n v="71.2"/>
  </r>
  <r>
    <d v="2025-10-08T06:33:24"/>
    <x v="4"/>
    <s v="Plaquettes de finition"/>
    <s v="sd13196"/>
    <s v="FRADIN MAXIME"/>
    <n v="5"/>
    <x v="2"/>
    <x v="2"/>
    <s v="PLAQUETTES"/>
    <x v="1"/>
    <n v="47.8"/>
  </r>
  <r>
    <d v="2025-07-19T11:14:30"/>
    <x v="2"/>
    <s v="Plaquettes d'ébauches rhombiques"/>
    <s v="U054304"/>
    <s v="BOUACHIK HICHAM"/>
    <n v="10"/>
    <x v="0"/>
    <x v="0"/>
    <s v="PLAQUETTES"/>
    <x v="0"/>
    <n v="70"/>
  </r>
  <r>
    <d v="2025-10-08T12:05:04"/>
    <x v="2"/>
    <s v="Plaquettes d'ébauches rhombiques"/>
    <s v="sd13196"/>
    <s v="FRADIN MAXIME"/>
    <n v="10"/>
    <x v="1"/>
    <x v="1"/>
    <s v="PLAQUETTES"/>
    <x v="0"/>
    <n v="70"/>
  </r>
  <r>
    <d v="2025-10-08T13:55:17"/>
    <x v="6"/>
    <s v="Plaquettes de finition positives"/>
    <s v="170325"/>
    <s v="VERDELET BASTIEN"/>
    <n v="10"/>
    <x v="1"/>
    <x v="2"/>
    <s v="PLAQUETTES"/>
    <x v="0"/>
    <n v="87"/>
  </r>
  <r>
    <d v="2025-10-08T13:55:32"/>
    <x v="5"/>
    <s v="Plaquettes rondes"/>
    <s v="170325"/>
    <s v="VERDELET BASTIEN"/>
    <n v="10"/>
    <x v="1"/>
    <x v="0"/>
    <s v="PLAQUETTES"/>
    <x v="0"/>
    <n v="108.5"/>
  </r>
  <r>
    <d v="2025-07-19T20:38:46"/>
    <x v="2"/>
    <s v="Plaquettes d'ébauches rhombiques"/>
    <s v="U534565"/>
    <s v="HOAREAU MARIUS"/>
    <n v="10"/>
    <x v="0"/>
    <x v="0"/>
    <s v="PLAQUETTES"/>
    <x v="3"/>
    <n v="70"/>
  </r>
  <r>
    <d v="2025-07-20T07:57:15"/>
    <x v="2"/>
    <s v="Plaquettes d'ébauches rhombiques"/>
    <s v="U054304"/>
    <s v="BOUACHIK HICHAM"/>
    <n v="10"/>
    <x v="0"/>
    <x v="0"/>
    <s v="PLAQUETTES"/>
    <x v="0"/>
    <n v="70"/>
  </r>
  <r>
    <d v="2025-10-08T21:40:36"/>
    <x v="2"/>
    <s v="Plaquettes d'ébauches rhombiques"/>
    <s v="VERGE G"/>
    <s v="VERGE GREGORY"/>
    <n v="10"/>
    <x v="2"/>
    <x v="1"/>
    <s v="PLAQUETTES"/>
    <x v="1"/>
    <n v="70"/>
  </r>
  <r>
    <d v="2025-10-08T21:40:51"/>
    <x v="2"/>
    <s v="Plaquettes d'ébauches rhombiques"/>
    <s v="VERGE G"/>
    <s v="VERGE GREGORY"/>
    <n v="10"/>
    <x v="2"/>
    <x v="1"/>
    <s v="PLAQUETTES"/>
    <x v="1"/>
    <n v="70"/>
  </r>
  <r>
    <d v="2025-10-08T21:41:05"/>
    <x v="1"/>
    <s v="Plaquettes d'ébauches carrées"/>
    <s v="VERGE G"/>
    <s v="VERGE GREGORY"/>
    <n v="10"/>
    <x v="2"/>
    <x v="1"/>
    <s v="PLAQUETTES"/>
    <x v="1"/>
    <n v="71.2"/>
  </r>
  <r>
    <d v="2025-10-08T21:41:26"/>
    <x v="5"/>
    <s v="Plaquettes rondes"/>
    <s v="VERGE G"/>
    <s v="VERGE GREGORY"/>
    <n v="10"/>
    <x v="2"/>
    <x v="0"/>
    <s v="PLAQUETTES"/>
    <x v="1"/>
    <n v="108.5"/>
  </r>
  <r>
    <d v="2025-10-08T21:41:40"/>
    <x v="4"/>
    <s v="Plaquettes de finition"/>
    <s v="VERGE G"/>
    <s v="VERGE GREGORY"/>
    <n v="5"/>
    <x v="2"/>
    <x v="2"/>
    <s v="PLAQUETTES"/>
    <x v="1"/>
    <n v="47.8"/>
  </r>
  <r>
    <d v="2025-10-08T21:41:53"/>
    <x v="6"/>
    <s v="Plaquettes de finition positives"/>
    <s v="VERGE G"/>
    <s v="VERGE GREGORY"/>
    <n v="10"/>
    <x v="3"/>
    <x v="2"/>
    <s v="PLAQUETTES"/>
    <x v="0"/>
    <n v="87"/>
  </r>
  <r>
    <d v="2025-07-21T08:25:03"/>
    <x v="2"/>
    <s v="Plaquettes d'ébauches rhombiques"/>
    <s v="230525"/>
    <s v="SOULAS YANIS"/>
    <n v="10"/>
    <x v="0"/>
    <x v="1"/>
    <s v="PLAQUETTES"/>
    <x v="0"/>
    <n v="70"/>
  </r>
  <r>
    <d v="2025-10-08T21:56:13"/>
    <x v="2"/>
    <s v="Plaquettes d'ébauches rhombiques"/>
    <s v="230525"/>
    <s v="SOULAS YANIS"/>
    <n v="10"/>
    <x v="1"/>
    <x v="1"/>
    <s v="PLAQUETTES"/>
    <x v="0"/>
    <n v="70"/>
  </r>
  <r>
    <d v="2025-10-09T05:51:49"/>
    <x v="6"/>
    <s v="Plaquettes de finition positives"/>
    <s v="sd13196"/>
    <s v="FRADIN MAXIME"/>
    <n v="10"/>
    <x v="3"/>
    <x v="2"/>
    <s v="PLAQUETTES"/>
    <x v="0"/>
    <n v="87"/>
  </r>
  <r>
    <d v="2025-10-09T05:52:27"/>
    <x v="4"/>
    <s v="Plaquettes de finition"/>
    <s v="sd13196"/>
    <s v="FRADIN MAXIME"/>
    <n v="5"/>
    <x v="2"/>
    <x v="2"/>
    <s v="PLAQUETTES"/>
    <x v="1"/>
    <n v="47.8"/>
  </r>
  <r>
    <d v="2025-10-09T05:52:45"/>
    <x v="9"/>
    <s v="Plaquettes rhombiques"/>
    <s v="sd13196"/>
    <s v="FRADIN MAXIME"/>
    <n v="5"/>
    <x v="2"/>
    <x v="2"/>
    <s v="PLAQUETTES"/>
    <x v="1"/>
    <n v="44.85"/>
  </r>
  <r>
    <d v="2025-10-09T05:53:03"/>
    <x v="9"/>
    <s v="Plaquettes rhombiques"/>
    <s v="sd13196"/>
    <s v="FRADIN MAXIME"/>
    <n v="5"/>
    <x v="2"/>
    <x v="2"/>
    <s v="PLAQUETTES"/>
    <x v="1"/>
    <n v="44.85"/>
  </r>
  <r>
    <d v="2025-07-22T06:35:19"/>
    <x v="2"/>
    <s v="Plaquettes d'ébauches rhombiques"/>
    <s v="230525"/>
    <s v="SOULAS YANIS"/>
    <n v="10"/>
    <x v="0"/>
    <x v="1"/>
    <s v="PLAQUETTES"/>
    <x v="0"/>
    <n v="70"/>
  </r>
  <r>
    <d v="2025-10-09T06:04:00"/>
    <x v="2"/>
    <s v="Plaquettes d'ébauches rhombiques"/>
    <s v="SD13196"/>
    <s v="FRADIN MAXIME"/>
    <n v="10"/>
    <x v="1"/>
    <x v="1"/>
    <s v="PLAQUETTES"/>
    <x v="0"/>
    <n v="70"/>
  </r>
  <r>
    <d v="2025-10-09T06:04:13"/>
    <x v="1"/>
    <s v="Plaquettes d'ébauches carrées"/>
    <s v="SD13196"/>
    <s v="FRADIN MAXIME"/>
    <n v="10"/>
    <x v="1"/>
    <x v="1"/>
    <s v="PLAQUETTES"/>
    <x v="0"/>
    <n v="71.2"/>
  </r>
  <r>
    <d v="2025-07-22T13:13:37"/>
    <x v="2"/>
    <s v="Plaquettes d'ébauches rhombiques"/>
    <s v="u134838"/>
    <s v="DANAH STEPHANIE"/>
    <n v="10"/>
    <x v="0"/>
    <x v="0"/>
    <s v="PLAQUETTES"/>
    <x v="0"/>
    <n v="70"/>
  </r>
  <r>
    <d v="2025-10-09T07:00:18"/>
    <x v="6"/>
    <s v="Plaquettes de finition positives"/>
    <s v="SD13196"/>
    <s v="FRADIN MAXIME"/>
    <n v="10"/>
    <x v="1"/>
    <x v="2"/>
    <s v="PLAQUETTES"/>
    <x v="0"/>
    <n v="87"/>
  </r>
  <r>
    <d v="2025-10-09T09:15:06"/>
    <x v="12"/>
    <s v="Plaquettes de gorge"/>
    <s v="12824586"/>
    <s v="DA SILVA FERNANDO"/>
    <n v="10"/>
    <x v="1"/>
    <x v="0"/>
    <s v="PLAQUETTES"/>
    <x v="4"/>
    <n v="157"/>
  </r>
  <r>
    <d v="2025-10-09T09:16:11"/>
    <x v="9"/>
    <s v="Plaquettes rhombiques"/>
    <s v="12824586"/>
    <s v="DA SILVA FERNANDO"/>
    <n v="5"/>
    <x v="1"/>
    <x v="0"/>
    <s v="PLAQUETTES"/>
    <x v="4"/>
    <n v="44.85"/>
  </r>
  <r>
    <d v="2025-10-09T19:22:49"/>
    <x v="6"/>
    <s v="Plaquettes de finition positives"/>
    <s v="u134838"/>
    <s v="DANAH STEPHANIE"/>
    <n v="10"/>
    <x v="3"/>
    <x v="2"/>
    <s v="PLAQUETTES"/>
    <x v="0"/>
    <n v="87"/>
  </r>
  <r>
    <d v="2025-10-09T19:23:07"/>
    <x v="4"/>
    <s v="Plaquettes de finition"/>
    <s v="u134838"/>
    <s v="DANAH STEPHANIE"/>
    <n v="5"/>
    <x v="2"/>
    <x v="2"/>
    <s v="PLAQUETTES"/>
    <x v="1"/>
    <n v="47.8"/>
  </r>
  <r>
    <d v="2025-10-09T19:23:28"/>
    <x v="3"/>
    <s v="Plaquettes rondes"/>
    <s v="u134838"/>
    <s v="DANAH STEPHANIE"/>
    <n v="10"/>
    <x v="2"/>
    <x v="0"/>
    <s v="PLAQUETTES"/>
    <x v="1"/>
    <n v="136.69999999999999"/>
  </r>
  <r>
    <d v="2025-10-09T19:23:48"/>
    <x v="2"/>
    <s v="Plaquettes d'ébauches rhombiques"/>
    <s v="u134838"/>
    <s v="DANAH STEPHANIE"/>
    <n v="10"/>
    <x v="2"/>
    <x v="0"/>
    <s v="PLAQUETTES"/>
    <x v="1"/>
    <n v="70"/>
  </r>
  <r>
    <d v="2025-10-09T23:17:10"/>
    <x v="6"/>
    <s v="Plaquettes de finition positives"/>
    <s v="j519914"/>
    <s v="MARLY DAVID"/>
    <n v="10"/>
    <x v="1"/>
    <x v="2"/>
    <s v="PLAQUETTES"/>
    <x v="0"/>
    <n v="87"/>
  </r>
  <r>
    <d v="2025-07-22T21:24:24"/>
    <x v="2"/>
    <s v="Plaquettes d'ébauches rhombiques"/>
    <s v="j519914"/>
    <s v="MARLY DAVID"/>
    <n v="10"/>
    <x v="0"/>
    <x v="1"/>
    <s v="PLAQUETTES"/>
    <x v="0"/>
    <n v="70"/>
  </r>
  <r>
    <d v="2025-10-10T07:44:59"/>
    <x v="4"/>
    <s v="Plaquettes de finition"/>
    <s v="U198152"/>
    <s v="AJMIK MUSTAPHA"/>
    <n v="5"/>
    <x v="2"/>
    <x v="2"/>
    <s v="PLAQUETTES"/>
    <x v="1"/>
    <n v="47.8"/>
  </r>
  <r>
    <d v="2025-10-10T07:45:24"/>
    <x v="6"/>
    <s v="Plaquettes de finition positives"/>
    <s v="U198152"/>
    <s v="AJMIK MUSTAPHA"/>
    <n v="10"/>
    <x v="3"/>
    <x v="2"/>
    <s v="PLAQUETTES"/>
    <x v="0"/>
    <n v="87"/>
  </r>
  <r>
    <d v="2025-10-10T07:45:43"/>
    <x v="2"/>
    <s v="Plaquettes d'ébauches rhombiques"/>
    <s v="U198152"/>
    <s v="AJMIK MUSTAPHA"/>
    <n v="10"/>
    <x v="3"/>
    <x v="0"/>
    <s v="PLAQUETTES"/>
    <x v="0"/>
    <n v="70"/>
  </r>
  <r>
    <d v="2025-07-23T05:38:28"/>
    <x v="2"/>
    <s v="Plaquettes d'ébauches rhombiques"/>
    <s v="230525"/>
    <s v="SOULAS YANIS"/>
    <n v="10"/>
    <x v="0"/>
    <x v="1"/>
    <s v="PLAQUETTES"/>
    <x v="0"/>
    <n v="70"/>
  </r>
  <r>
    <d v="2025-07-23T05:38:44"/>
    <x v="2"/>
    <s v="Plaquettes d'ébauches rhombiques"/>
    <s v="230525"/>
    <s v="SOULAS YANIS"/>
    <n v="10"/>
    <x v="0"/>
    <x v="1"/>
    <s v="PLAQUETTES"/>
    <x v="0"/>
    <n v="70"/>
  </r>
  <r>
    <d v="2025-10-10T10:45:14"/>
    <x v="6"/>
    <s v="Plaquettes de finition positives"/>
    <s v="U518765"/>
    <s v="ROY ADELINE"/>
    <n v="10"/>
    <x v="1"/>
    <x v="2"/>
    <s v="PLAQUETTES"/>
    <x v="0"/>
    <n v="87"/>
  </r>
  <r>
    <d v="2025-10-10T15:14:55"/>
    <x v="6"/>
    <s v="Plaquettes de finition positives"/>
    <s v="u134838"/>
    <s v="DANAH STEPHANIE"/>
    <n v="10"/>
    <x v="3"/>
    <x v="2"/>
    <s v="PLAQUETTES"/>
    <x v="0"/>
    <n v="87"/>
  </r>
  <r>
    <d v="2025-10-10T15:15:10"/>
    <x v="4"/>
    <s v="Plaquettes de finition"/>
    <s v="u134838"/>
    <s v="DANAH STEPHANIE"/>
    <n v="5"/>
    <x v="2"/>
    <x v="2"/>
    <s v="PLAQUETTES"/>
    <x v="1"/>
    <n v="47.8"/>
  </r>
  <r>
    <d v="2025-10-10T15:15:36"/>
    <x v="2"/>
    <s v="Plaquettes d'ébauches rhombiques"/>
    <s v="u134838"/>
    <s v="DANAH STEPHANIE"/>
    <n v="10"/>
    <x v="3"/>
    <x v="0"/>
    <s v="PLAQUETTES"/>
    <x v="0"/>
    <n v="70"/>
  </r>
  <r>
    <d v="2025-10-10T15:16:00"/>
    <x v="5"/>
    <s v="Plaquettes rondes"/>
    <s v="u134838"/>
    <s v="DANAH STEPHANIE"/>
    <n v="10"/>
    <x v="3"/>
    <x v="0"/>
    <s v="PLAQUETTES"/>
    <x v="0"/>
    <n v="108.5"/>
  </r>
  <r>
    <d v="2025-10-10T15:16:48"/>
    <x v="3"/>
    <s v="Plaquettes rondes"/>
    <s v="u134838"/>
    <s v="DANAH STEPHANIE"/>
    <n v="10"/>
    <x v="2"/>
    <x v="0"/>
    <s v="PLAQUETTES"/>
    <x v="1"/>
    <n v="136.69999999999999"/>
  </r>
  <r>
    <d v="2025-10-10T15:18:15"/>
    <x v="3"/>
    <s v="Plaquettes rondes"/>
    <s v="u134838"/>
    <s v="DANAH STEPHANIE"/>
    <n v="10"/>
    <x v="2"/>
    <x v="0"/>
    <s v="PLAQUETTES"/>
    <x v="1"/>
    <n v="136.69999999999999"/>
  </r>
  <r>
    <d v="2025-10-10T16:43:58"/>
    <x v="7"/>
    <s v="Plaquettes de finition triangulaires"/>
    <s v="u134838"/>
    <s v="DANAH STEPHANIE"/>
    <n v="10"/>
    <x v="3"/>
    <x v="2"/>
    <s v="PLAQUETTES"/>
    <x v="0"/>
    <n v="138.80000000000001"/>
  </r>
  <r>
    <d v="2025-07-23T21:23:26"/>
    <x v="2"/>
    <s v="Plaquettes d'ébauches rhombiques"/>
    <s v="j519914"/>
    <s v="MARLY DAVID"/>
    <n v="10"/>
    <x v="0"/>
    <x v="0"/>
    <s v="PLAQUETTES"/>
    <x v="0"/>
    <n v="70"/>
  </r>
  <r>
    <d v="2025-07-24T11:54:33"/>
    <x v="2"/>
    <s v="Plaquettes d'ébauches rhombiques"/>
    <s v="230525"/>
    <s v="SOULAS YANIS"/>
    <n v="10"/>
    <x v="0"/>
    <x v="1"/>
    <s v="PLAQUETTES"/>
    <x v="0"/>
    <n v="70"/>
  </r>
  <r>
    <d v="2025-07-24T17:41:35"/>
    <x v="2"/>
    <s v="Plaquettes d'ébauches rhombiques"/>
    <s v="u134838"/>
    <s v="DANAH STEPHANIE"/>
    <n v="10"/>
    <x v="0"/>
    <x v="2"/>
    <s v="PLAQUETTES"/>
    <x v="1"/>
    <n v="70"/>
  </r>
  <r>
    <d v="2025-10-10T21:48:46"/>
    <x v="6"/>
    <s v="Plaquettes de finition positives"/>
    <s v="230525"/>
    <s v="SOULAS YANIS"/>
    <n v="10"/>
    <x v="1"/>
    <x v="2"/>
    <s v="PLAQUETTES"/>
    <x v="0"/>
    <n v="87"/>
  </r>
  <r>
    <d v="2025-10-11T03:21:57"/>
    <x v="2"/>
    <s v="Plaquettes d'ébauches rhombiques"/>
    <s v="VERGE G"/>
    <s v="VERGE GREGORY"/>
    <n v="10"/>
    <x v="2"/>
    <x v="1"/>
    <s v="PLAQUETTES"/>
    <x v="1"/>
    <n v="70"/>
  </r>
  <r>
    <d v="2025-10-11T03:22:10"/>
    <x v="2"/>
    <s v="Plaquettes d'ébauches rhombiques"/>
    <s v="VERGE G"/>
    <s v="VERGE GREGORY"/>
    <n v="10"/>
    <x v="2"/>
    <x v="1"/>
    <s v="PLAQUETTES"/>
    <x v="1"/>
    <n v="70"/>
  </r>
  <r>
    <d v="2025-10-11T05:23:09"/>
    <x v="4"/>
    <s v="Plaquettes de finition"/>
    <s v="U198152"/>
    <s v="AJMIK MUSTAPHA"/>
    <n v="5"/>
    <x v="2"/>
    <x v="2"/>
    <s v="PLAQUETTES"/>
    <x v="1"/>
    <n v="47.8"/>
  </r>
  <r>
    <d v="2025-10-11T05:23:52"/>
    <x v="6"/>
    <s v="Plaquettes de finition positives"/>
    <s v="U198152"/>
    <s v="AJMIK MUSTAPHA"/>
    <n v="10"/>
    <x v="3"/>
    <x v="2"/>
    <s v="PLAQUETTES"/>
    <x v="0"/>
    <n v="87"/>
  </r>
  <r>
    <d v="2025-10-11T05:24:17"/>
    <x v="2"/>
    <s v="Plaquettes d'ébauches rhombiques"/>
    <s v="U198152"/>
    <s v="AJMIK MUSTAPHA"/>
    <n v="10"/>
    <x v="3"/>
    <x v="0"/>
    <s v="PLAQUETTES"/>
    <x v="0"/>
    <n v="70"/>
  </r>
  <r>
    <d v="2025-10-11T05:24:48"/>
    <x v="1"/>
    <s v="Plaquettes d'ébauches carrées"/>
    <s v="U198152"/>
    <s v="AJMIK MUSTAPHA"/>
    <n v="10"/>
    <x v="3"/>
    <x v="0"/>
    <s v="PLAQUETTES"/>
    <x v="0"/>
    <n v="71.2"/>
  </r>
  <r>
    <d v="2025-10-11T05:25:23"/>
    <x v="5"/>
    <s v="Plaquettes rondes"/>
    <s v="U198152"/>
    <s v="AJMIK MUSTAPHA"/>
    <n v="10"/>
    <x v="3"/>
    <x v="0"/>
    <s v="PLAQUETTES"/>
    <x v="0"/>
    <n v="108.5"/>
  </r>
  <r>
    <d v="2025-10-11T07:42:21"/>
    <x v="6"/>
    <s v="Plaquettes de finition positives"/>
    <s v="U080365"/>
    <s v="ALAVOINE SAMUEL"/>
    <n v="10"/>
    <x v="1"/>
    <x v="2"/>
    <s v="PLAQUETTES"/>
    <x v="0"/>
    <n v="87"/>
  </r>
  <r>
    <d v="2025-10-11T07:42:42"/>
    <x v="2"/>
    <s v="Plaquettes d'ébauches rhombiques"/>
    <s v="U080365"/>
    <s v="ALAVOINE SAMUEL"/>
    <n v="10"/>
    <x v="1"/>
    <x v="1"/>
    <s v="PLAQUETTES"/>
    <x v="0"/>
    <n v="70"/>
  </r>
  <r>
    <d v="2025-10-11T07:43:01"/>
    <x v="6"/>
    <s v="Plaquettes de finition positives"/>
    <s v="U080365"/>
    <s v="ALAVOINE SAMUEL"/>
    <n v="10"/>
    <x v="1"/>
    <x v="2"/>
    <s v="PLAQUETTES"/>
    <x v="0"/>
    <n v="87"/>
  </r>
  <r>
    <d v="2025-07-25T12:43:55"/>
    <x v="2"/>
    <s v="Plaquettes d'ébauches rhombiques"/>
    <s v="U518765"/>
    <s v="ROY ADELINE"/>
    <n v="10"/>
    <x v="0"/>
    <x v="0"/>
    <s v="PLAQUETTES"/>
    <x v="0"/>
    <n v="70"/>
  </r>
  <r>
    <d v="2025-08-18T13:30:56"/>
    <x v="2"/>
    <s v="Plaquettes d'ébauches rhombiques"/>
    <s v="230525"/>
    <s v="SOULAS YANIS"/>
    <n v="10"/>
    <x v="0"/>
    <x v="1"/>
    <s v="PLAQUETTES"/>
    <x v="1"/>
    <n v="70"/>
  </r>
  <r>
    <d v="2025-08-21T21:28:49"/>
    <x v="2"/>
    <s v="Plaquettes d'ébauches rhombiques"/>
    <s v="j519914"/>
    <s v="MARLY DAVID"/>
    <n v="10"/>
    <x v="0"/>
    <x v="0"/>
    <s v="PLAQUETTES"/>
    <x v="0"/>
    <n v="70"/>
  </r>
  <r>
    <d v="2025-10-11T19:41:11"/>
    <x v="2"/>
    <s v="Plaquettes d'ébauches rhombiques"/>
    <s v="U518765"/>
    <s v="ROY ADELINE"/>
    <n v="10"/>
    <x v="1"/>
    <x v="0"/>
    <s v="PLAQUETTES"/>
    <x v="0"/>
    <n v="70"/>
  </r>
  <r>
    <d v="2025-10-11T19:41:29"/>
    <x v="6"/>
    <s v="Plaquettes de finition positives"/>
    <s v="U518765"/>
    <s v="ROY ADELINE"/>
    <n v="10"/>
    <x v="1"/>
    <x v="2"/>
    <s v="PLAQUETTES"/>
    <x v="0"/>
    <n v="87"/>
  </r>
  <r>
    <d v="2025-10-11T21:41:26"/>
    <x v="4"/>
    <s v="Plaquettes de finition"/>
    <s v="U534565"/>
    <s v="HOAREAU MARIUS"/>
    <n v="5"/>
    <x v="2"/>
    <x v="2"/>
    <s v="PLAQUETTES"/>
    <x v="1"/>
    <n v="47.8"/>
  </r>
  <r>
    <d v="2025-10-11T21:41:45"/>
    <x v="6"/>
    <s v="Plaquettes de finition positives"/>
    <s v="U534565"/>
    <s v="HOAREAU MARIUS"/>
    <n v="10"/>
    <x v="3"/>
    <x v="2"/>
    <s v="PLAQUETTES"/>
    <x v="0"/>
    <n v="87"/>
  </r>
  <r>
    <d v="2025-10-12T03:49:20"/>
    <x v="2"/>
    <s v="Plaquettes d'ébauches rhombiques"/>
    <s v="U534565"/>
    <s v="HOAREAU MARIUS"/>
    <n v="10"/>
    <x v="3"/>
    <x v="0"/>
    <s v="PLAQUETTES"/>
    <x v="0"/>
    <n v="70"/>
  </r>
  <r>
    <d v="2025-10-12T03:49:40"/>
    <x v="1"/>
    <s v="Plaquettes d'ébauches carrées"/>
    <s v="U534565"/>
    <s v="HOAREAU MARIUS"/>
    <n v="10"/>
    <x v="3"/>
    <x v="0"/>
    <s v="PLAQUETTES"/>
    <x v="0"/>
    <n v="71.2"/>
  </r>
  <r>
    <d v="2025-10-12T03:50:34"/>
    <x v="11"/>
    <s v="Plaquettes de finition triangulaires"/>
    <s v="U534565"/>
    <s v="HOAREAU MARIUS"/>
    <n v="10"/>
    <x v="2"/>
    <x v="2"/>
    <s v="PLAQUETTES"/>
    <x v="1"/>
    <n v="118.7"/>
  </r>
  <r>
    <d v="2025-10-12T03:51:11"/>
    <x v="1"/>
    <s v="Plaquettes d'ébauches carrées"/>
    <s v="U534565"/>
    <s v="HOAREAU MARIUS"/>
    <n v="10"/>
    <x v="2"/>
    <x v="0"/>
    <s v="PLAQUETTES"/>
    <x v="1"/>
    <n v="71.2"/>
  </r>
  <r>
    <d v="2025-10-12T03:54:57"/>
    <x v="3"/>
    <s v="Plaquettes rondes"/>
    <s v="U534565"/>
    <s v="HOAREAU MARIUS"/>
    <n v="10"/>
    <x v="2"/>
    <x v="0"/>
    <s v="PLAQUETTES"/>
    <x v="1"/>
    <n v="136.69999999999999"/>
  </r>
  <r>
    <d v="2025-08-21T21:29:17"/>
    <x v="2"/>
    <s v="Plaquettes d'ébauches rhombiques"/>
    <s v="j519914"/>
    <s v="MARLY DAVID"/>
    <n v="10"/>
    <x v="0"/>
    <x v="1"/>
    <s v="PLAQUETTES"/>
    <x v="0"/>
    <n v="70"/>
  </r>
  <r>
    <d v="2025-08-22T15:06:28"/>
    <x v="2"/>
    <s v="Plaquettes d'ébauches rhombiques"/>
    <s v="230525"/>
    <s v="SOULAS YANIS"/>
    <n v="10"/>
    <x v="0"/>
    <x v="1"/>
    <s v="PLAQUETTES"/>
    <x v="0"/>
    <n v="70"/>
  </r>
  <r>
    <d v="2025-10-12T05:27:37"/>
    <x v="1"/>
    <s v="Plaquettes d'ébauches carrées"/>
    <s v="J534699"/>
    <s v="CHARTON FABIAN"/>
    <n v="10"/>
    <x v="1"/>
    <x v="0"/>
    <s v="PLAQUETTES"/>
    <x v="0"/>
    <n v="71.2"/>
  </r>
  <r>
    <d v="2025-08-23T21:26:22"/>
    <x v="2"/>
    <s v="Plaquettes d'ébauches rhombiques"/>
    <s v="U054304"/>
    <s v="BOUACHIK HICHAM"/>
    <n v="10"/>
    <x v="0"/>
    <x v="0"/>
    <s v="PLAQUETTES"/>
    <x v="0"/>
    <n v="70"/>
  </r>
  <r>
    <d v="2025-10-12T05:28:39"/>
    <x v="1"/>
    <s v="Plaquettes d'ébauches carrées"/>
    <s v="J534699"/>
    <s v="CHARTON FABIAN"/>
    <n v="10"/>
    <x v="1"/>
    <x v="1"/>
    <s v="PLAQUETTES"/>
    <x v="0"/>
    <n v="71.2"/>
  </r>
  <r>
    <d v="2025-10-12T05:29:01"/>
    <x v="6"/>
    <s v="Plaquettes de finition positives"/>
    <s v="J534699"/>
    <s v="CHARTON FABIAN"/>
    <n v="10"/>
    <x v="1"/>
    <x v="2"/>
    <s v="PLAQUETTES"/>
    <x v="0"/>
    <n v="87"/>
  </r>
  <r>
    <d v="2025-10-12T05:29:28"/>
    <x v="6"/>
    <s v="Plaquettes de finition positives"/>
    <s v="J534699"/>
    <s v="CHARTON FABIAN"/>
    <n v="10"/>
    <x v="1"/>
    <x v="2"/>
    <s v="PLAQUETTES"/>
    <x v="0"/>
    <n v="87"/>
  </r>
  <r>
    <d v="2025-10-12T05:29:47"/>
    <x v="7"/>
    <s v="Plaquettes de finition triangulaires"/>
    <s v="J534699"/>
    <s v="CHARTON FABIAN"/>
    <n v="10"/>
    <x v="1"/>
    <x v="2"/>
    <s v="PLAQUETTES"/>
    <x v="0"/>
    <n v="138.80000000000001"/>
  </r>
  <r>
    <d v="2025-08-25T21:17:20"/>
    <x v="2"/>
    <s v="Plaquettes d'ébauches rhombiques"/>
    <s v="230525"/>
    <s v="SOULAS YANIS"/>
    <n v="10"/>
    <x v="0"/>
    <x v="1"/>
    <s v="PLAQUETTES"/>
    <x v="0"/>
    <n v="70"/>
  </r>
  <r>
    <d v="2025-10-12T14:23:05"/>
    <x v="4"/>
    <s v="Plaquettes de finition"/>
    <s v="U198152"/>
    <s v="AJMIK MUSTAPHA"/>
    <n v="5"/>
    <x v="2"/>
    <x v="2"/>
    <s v="PLAQUETTES"/>
    <x v="1"/>
    <n v="47.8"/>
  </r>
  <r>
    <d v="2025-10-12T14:23:17"/>
    <x v="6"/>
    <s v="Plaquettes de finition positives"/>
    <s v="U198152"/>
    <s v="AJMIK MUSTAPHA"/>
    <n v="10"/>
    <x v="3"/>
    <x v="2"/>
    <s v="PLAQUETTES"/>
    <x v="0"/>
    <n v="87"/>
  </r>
  <r>
    <d v="2025-10-12T17:08:36"/>
    <x v="10"/>
    <s v="Plaquettes de finition"/>
    <s v="U534565"/>
    <s v="HOAREAU MARIUS"/>
    <n v="10"/>
    <x v="3"/>
    <x v="2"/>
    <s v="PLAQUETTES"/>
    <x v="0"/>
    <n v="109.7"/>
  </r>
  <r>
    <d v="2025-10-12T17:09:00"/>
    <x v="6"/>
    <s v="Plaquettes de finition positives"/>
    <s v="U534565"/>
    <s v="HOAREAU MARIUS"/>
    <n v="10"/>
    <x v="3"/>
    <x v="2"/>
    <s v="PLAQUETTES"/>
    <x v="0"/>
    <n v="87"/>
  </r>
  <r>
    <d v="2025-10-13T10:59:19"/>
    <x v="9"/>
    <s v="Plaquettes rhombiques"/>
    <s v="12824586"/>
    <s v="DA SILVA FERNANDO"/>
    <n v="5"/>
    <x v="1"/>
    <x v="0"/>
    <s v="PLAQUETTES"/>
    <x v="4"/>
    <n v="44.85"/>
  </r>
  <r>
    <d v="2025-10-13T17:46:43"/>
    <x v="4"/>
    <s v="Plaquettes de finition"/>
    <s v="sd13196"/>
    <s v="FRADIN MAXIME"/>
    <n v="5"/>
    <x v="2"/>
    <x v="2"/>
    <s v="PLAQUETTES"/>
    <x v="1"/>
    <n v="47.8"/>
  </r>
  <r>
    <d v="2025-10-13T17:47:03"/>
    <x v="9"/>
    <s v="Plaquettes rhombiques"/>
    <s v="sd13196"/>
    <s v="FRADIN MAXIME"/>
    <n v="5"/>
    <x v="2"/>
    <x v="2"/>
    <s v="PLAQUETTES"/>
    <x v="1"/>
    <n v="44.85"/>
  </r>
  <r>
    <d v="2025-08-26T06:21:57"/>
    <x v="2"/>
    <s v="Plaquettes d'ébauches rhombiques"/>
    <s v="u462308"/>
    <s v="MAITRE SEBASTIEN"/>
    <n v="10"/>
    <x v="0"/>
    <x v="1"/>
    <s v="PLAQUETTES"/>
    <x v="0"/>
    <n v="70"/>
  </r>
  <r>
    <d v="2025-10-13T21:34:55"/>
    <x v="6"/>
    <s v="Plaquettes de finition positives"/>
    <s v="j519914"/>
    <s v="MARLY DAVID"/>
    <n v="10"/>
    <x v="1"/>
    <x v="2"/>
    <s v="PLAQUETTES"/>
    <x v="0"/>
    <n v="87"/>
  </r>
  <r>
    <d v="2025-10-13T21:35:23"/>
    <x v="2"/>
    <s v="Plaquettes d'ébauches rhombiques"/>
    <s v="j519914"/>
    <s v="MARLY DAVID"/>
    <n v="10"/>
    <x v="1"/>
    <x v="0"/>
    <s v="PLAQUETTES"/>
    <x v="0"/>
    <n v="70"/>
  </r>
  <r>
    <d v="2025-08-26T14:50:05"/>
    <x v="2"/>
    <s v="Plaquettes d'ébauches rhombiques"/>
    <s v="170325"/>
    <s v="VERDELET BASTIEN"/>
    <n v="10"/>
    <x v="0"/>
    <x v="0"/>
    <s v="PLAQUETTES"/>
    <x v="0"/>
    <n v="70"/>
  </r>
  <r>
    <d v="2025-10-13T21:36:33"/>
    <x v="1"/>
    <s v="Plaquettes d'ébauches carrées"/>
    <s v="j519914"/>
    <s v="MARLY DAVID"/>
    <n v="10"/>
    <x v="1"/>
    <x v="1"/>
    <s v="PLAQUETTES"/>
    <x v="0"/>
    <n v="71.2"/>
  </r>
  <r>
    <d v="2025-10-14T08:59:22"/>
    <x v="2"/>
    <s v="Plaquettes d'ébauches rhombiques"/>
    <s v="12824586"/>
    <s v="DA SILVA FERNANDO"/>
    <n v="10"/>
    <x v="3"/>
    <x v="1"/>
    <s v="PLAQUETTES"/>
    <x v="4"/>
    <n v="70"/>
  </r>
  <r>
    <d v="2025-10-14T13:19:41"/>
    <x v="4"/>
    <s v="Plaquettes de finition"/>
    <s v="sd13196"/>
    <s v="FRADIN MAXIME"/>
    <n v="5"/>
    <x v="2"/>
    <x v="2"/>
    <s v="PLAQUETTES"/>
    <x v="1"/>
    <n v="47.8"/>
  </r>
  <r>
    <d v="2025-10-14T13:20:02"/>
    <x v="9"/>
    <s v="Plaquettes rhombiques"/>
    <s v="sd13196"/>
    <s v="FRADIN MAXIME"/>
    <n v="5"/>
    <x v="2"/>
    <x v="2"/>
    <s v="PLAQUETTES"/>
    <x v="1"/>
    <n v="44.85"/>
  </r>
  <r>
    <d v="2025-10-14T13:20:25"/>
    <x v="2"/>
    <s v="Plaquettes d'ébauches rhombiques"/>
    <s v="sd13196"/>
    <s v="FRADIN MAXIME"/>
    <n v="10"/>
    <x v="2"/>
    <x v="2"/>
    <s v="PLAQUETTES"/>
    <x v="1"/>
    <n v="70"/>
  </r>
  <r>
    <d v="2025-10-14T13:21:00"/>
    <x v="6"/>
    <s v="Plaquettes de finition positives"/>
    <s v="sd13196"/>
    <s v="FRADIN MAXIME"/>
    <n v="10"/>
    <x v="3"/>
    <x v="2"/>
    <s v="PLAQUETTES"/>
    <x v="0"/>
    <n v="87"/>
  </r>
  <r>
    <d v="2025-10-14T16:58:11"/>
    <x v="2"/>
    <s v="Plaquettes d'ébauches rhombiques"/>
    <s v="sd13196"/>
    <s v="FRADIN MAXIME"/>
    <n v="10"/>
    <x v="2"/>
    <x v="0"/>
    <s v="PLAQUETTES"/>
    <x v="1"/>
    <n v="70"/>
  </r>
  <r>
    <d v="2025-08-26T23:46:16"/>
    <x v="2"/>
    <s v="Plaquettes d'ébauches rhombiques"/>
    <s v="230525"/>
    <s v="SOULAS YANIS"/>
    <n v="10"/>
    <x v="0"/>
    <x v="1"/>
    <s v="PLAQUETTES"/>
    <x v="0"/>
    <n v="70"/>
  </r>
  <r>
    <d v="2025-10-14T19:28:56"/>
    <x v="6"/>
    <s v="Plaquettes de finition positives"/>
    <s v="sd13196"/>
    <s v="FRADIN MAXIME"/>
    <n v="10"/>
    <x v="1"/>
    <x v="2"/>
    <s v="PLAQUETTES"/>
    <x v="0"/>
    <n v="87"/>
  </r>
  <r>
    <d v="2025-08-27T06:24:38"/>
    <x v="2"/>
    <s v="Plaquettes d'ébauches rhombiques"/>
    <s v="u462308"/>
    <s v="MAITRE SEBASTIEN"/>
    <n v="10"/>
    <x v="0"/>
    <x v="1"/>
    <s v="PLAQUETTES"/>
    <x v="0"/>
    <n v="70"/>
  </r>
  <r>
    <d v="2025-10-14T21:22:17"/>
    <x v="5"/>
    <s v="Plaquettes rondes"/>
    <s v="j519914"/>
    <s v="MARLY DAVID"/>
    <n v="10"/>
    <x v="1"/>
    <x v="0"/>
    <s v="PLAQUETTES"/>
    <x v="0"/>
    <n v="108.5"/>
  </r>
  <r>
    <d v="2025-08-28T05:55:49"/>
    <x v="2"/>
    <s v="Plaquettes d'ébauches rhombiques"/>
    <s v="u462308"/>
    <s v="MAITRE SEBASTIEN"/>
    <n v="10"/>
    <x v="0"/>
    <x v="1"/>
    <s v="PLAQUETTES"/>
    <x v="0"/>
    <n v="70"/>
  </r>
  <r>
    <d v="2025-10-14T21:26:17"/>
    <x v="2"/>
    <s v="Plaquettes d'ébauches rhombiques"/>
    <s v="VERGE G"/>
    <s v="VERGE GREGORY"/>
    <n v="10"/>
    <x v="2"/>
    <x v="1"/>
    <s v="PLAQUETTES"/>
    <x v="1"/>
    <n v="70"/>
  </r>
  <r>
    <d v="2025-10-14T21:26:30"/>
    <x v="2"/>
    <s v="Plaquettes d'ébauches rhombiques"/>
    <s v="VERGE G"/>
    <s v="VERGE GREGORY"/>
    <n v="10"/>
    <x v="2"/>
    <x v="1"/>
    <s v="PLAQUETTES"/>
    <x v="1"/>
    <n v="70"/>
  </r>
  <r>
    <d v="2025-10-14T21:26:43"/>
    <x v="1"/>
    <s v="Plaquettes d'ébauches carrées"/>
    <s v="VERGE G"/>
    <s v="VERGE GREGORY"/>
    <n v="10"/>
    <x v="2"/>
    <x v="1"/>
    <s v="PLAQUETTES"/>
    <x v="1"/>
    <n v="71.2"/>
  </r>
  <r>
    <d v="2025-10-14T21:26:56"/>
    <x v="1"/>
    <s v="Plaquettes d'ébauches carrées"/>
    <s v="VERGE G"/>
    <s v="VERGE GREGORY"/>
    <n v="10"/>
    <x v="2"/>
    <x v="1"/>
    <s v="PLAQUETTES"/>
    <x v="1"/>
    <n v="71.2"/>
  </r>
  <r>
    <d v="2025-10-14T21:27:08"/>
    <x v="4"/>
    <s v="Plaquettes de finition"/>
    <s v="VERGE G"/>
    <s v="VERGE GREGORY"/>
    <n v="5"/>
    <x v="2"/>
    <x v="2"/>
    <s v="PLAQUETTES"/>
    <x v="5"/>
    <n v="47.8"/>
  </r>
  <r>
    <d v="2025-10-14T21:27:22"/>
    <x v="2"/>
    <s v="Plaquettes d'ébauches rhombiques"/>
    <s v="VERGE G"/>
    <s v="VERGE GREGORY"/>
    <n v="10"/>
    <x v="2"/>
    <x v="2"/>
    <s v="PLAQUETTES"/>
    <x v="1"/>
    <n v="70"/>
  </r>
  <r>
    <d v="2025-10-14T21:27:35"/>
    <x v="6"/>
    <s v="Plaquettes de finition positives"/>
    <s v="VERGE G"/>
    <s v="VERGE GREGORY"/>
    <n v="10"/>
    <x v="3"/>
    <x v="2"/>
    <s v="PLAQUETTES"/>
    <x v="0"/>
    <n v="87"/>
  </r>
  <r>
    <d v="2025-10-15T02:34:08"/>
    <x v="6"/>
    <s v="Plaquettes de finition positives"/>
    <s v="j519914"/>
    <s v="MARLY DAVID"/>
    <n v="10"/>
    <x v="1"/>
    <x v="2"/>
    <s v="PLAQUETTES"/>
    <x v="0"/>
    <n v="87"/>
  </r>
  <r>
    <d v="2025-08-28T23:52:29"/>
    <x v="2"/>
    <s v="Plaquettes d'ébauches rhombiques"/>
    <s v="230525"/>
    <s v="SOULAS YANIS"/>
    <n v="10"/>
    <x v="0"/>
    <x v="1"/>
    <s v="PLAQUETTES"/>
    <x v="0"/>
    <n v="70"/>
  </r>
  <r>
    <d v="2025-08-28T23:52:44"/>
    <x v="2"/>
    <s v="Plaquettes d'ébauches rhombiques"/>
    <s v="230525"/>
    <s v="SOULAS YANIS"/>
    <n v="10"/>
    <x v="0"/>
    <x v="1"/>
    <s v="PLAQUETTES"/>
    <x v="0"/>
    <n v="70"/>
  </r>
  <r>
    <d v="2025-08-31T17:31:44"/>
    <x v="2"/>
    <s v="Plaquettes d'ébauches rhombiques"/>
    <s v="U534565"/>
    <s v="HOAREAU MARIUS"/>
    <n v="10"/>
    <x v="0"/>
    <x v="0"/>
    <s v="PLAQUETTES"/>
    <x v="3"/>
    <n v="70"/>
  </r>
  <r>
    <d v="2025-09-01T22:08:46"/>
    <x v="2"/>
    <s v="Plaquettes d'ébauches rhombiques"/>
    <s v="230525"/>
    <s v="SOULAS YANIS"/>
    <n v="10"/>
    <x v="0"/>
    <x v="1"/>
    <s v="PLAQUETTES"/>
    <x v="0"/>
    <n v="70"/>
  </r>
  <r>
    <d v="2025-09-03T00:10:46"/>
    <x v="2"/>
    <s v="Plaquettes d'ébauches rhombiques"/>
    <s v="230525"/>
    <s v="SOULAS YANIS"/>
    <n v="10"/>
    <x v="0"/>
    <x v="1"/>
    <s v="PLAQUETTES"/>
    <x v="0"/>
    <n v="70"/>
  </r>
  <r>
    <d v="2025-09-04T01:37:40"/>
    <x v="2"/>
    <s v="Plaquettes d'ébauches rhombiques"/>
    <s v="230525"/>
    <s v="SOULAS YANIS"/>
    <n v="10"/>
    <x v="0"/>
    <x v="1"/>
    <s v="PLAQUETTES"/>
    <x v="0"/>
    <n v="70"/>
  </r>
  <r>
    <d v="2025-10-15T16:20:07"/>
    <x v="6"/>
    <s v="Plaquettes de finition positives"/>
    <s v="sd13196"/>
    <s v="FRADIN MAXIME"/>
    <n v="10"/>
    <x v="1"/>
    <x v="2"/>
    <s v="PLAQUETTES"/>
    <x v="0"/>
    <n v="87"/>
  </r>
  <r>
    <d v="2025-10-15T16:20:26"/>
    <x v="10"/>
    <s v="Plaquettes de finition"/>
    <s v="sd13196"/>
    <s v="FRADIN MAXIME"/>
    <n v="10"/>
    <x v="1"/>
    <x v="2"/>
    <s v="PLAQUETTES"/>
    <x v="0"/>
    <n v="109.7"/>
  </r>
  <r>
    <d v="2025-10-15T16:41:54"/>
    <x v="6"/>
    <s v="Plaquettes de finition positives"/>
    <s v="sd13196"/>
    <s v="FRADIN MAXIME"/>
    <n v="10"/>
    <x v="3"/>
    <x v="2"/>
    <s v="PLAQUETTES"/>
    <x v="0"/>
    <n v="87"/>
  </r>
  <r>
    <d v="2025-10-15T16:42:12"/>
    <x v="7"/>
    <s v="Plaquettes de finition triangulaires"/>
    <s v="sd13196"/>
    <s v="FRADIN MAXIME"/>
    <n v="10"/>
    <x v="3"/>
    <x v="2"/>
    <s v="PLAQUETTES"/>
    <x v="0"/>
    <n v="138.80000000000001"/>
  </r>
  <r>
    <d v="2025-09-06T01:13:21"/>
    <x v="2"/>
    <s v="Plaquettes d'ébauches rhombiques"/>
    <s v="230525"/>
    <s v="SOULAS YANIS"/>
    <n v="10"/>
    <x v="0"/>
    <x v="1"/>
    <s v="PLAQUETTES"/>
    <x v="0"/>
    <n v="70"/>
  </r>
  <r>
    <d v="2025-10-15T22:16:49"/>
    <x v="6"/>
    <s v="Plaquettes de finition positives"/>
    <s v="j519914"/>
    <s v="MARLY DAVID"/>
    <n v="10"/>
    <x v="1"/>
    <x v="2"/>
    <s v="PLAQUETTES"/>
    <x v="0"/>
    <n v="87"/>
  </r>
  <r>
    <d v="2025-09-06T16:46:32"/>
    <x v="2"/>
    <s v="Plaquettes d'ébauches rhombiques"/>
    <s v="U054304"/>
    <s v="BOUACHIK HICHAM"/>
    <n v="10"/>
    <x v="0"/>
    <x v="0"/>
    <s v="PLAQUETTES"/>
    <x v="0"/>
    <n v="70"/>
  </r>
  <r>
    <d v="2025-09-07T16:52:23"/>
    <x v="2"/>
    <s v="Plaquettes d'ébauches rhombiques"/>
    <s v="U054304"/>
    <s v="BOUACHIK HICHAM"/>
    <n v="10"/>
    <x v="0"/>
    <x v="0"/>
    <s v="PLAQUETTES"/>
    <x v="0"/>
    <n v="70"/>
  </r>
  <r>
    <d v="2025-10-15T22:18:05"/>
    <x v="2"/>
    <s v="Plaquettes d'ébauches rhombiques"/>
    <s v="j519914"/>
    <s v="MARLY DAVID"/>
    <n v="10"/>
    <x v="1"/>
    <x v="0"/>
    <s v="PLAQUETTES"/>
    <x v="0"/>
    <n v="70"/>
  </r>
  <r>
    <d v="2025-10-15T22:18:35"/>
    <x v="5"/>
    <s v="Plaquettes rondes"/>
    <s v="j519914"/>
    <s v="MARLY DAVID"/>
    <n v="10"/>
    <x v="1"/>
    <x v="0"/>
    <s v="PLAQUETTES"/>
    <x v="0"/>
    <n v="108.5"/>
  </r>
  <r>
    <d v="2025-10-15T22:19:06"/>
    <x v="1"/>
    <s v="Plaquettes d'ébauches carrées"/>
    <s v="j519914"/>
    <s v="MARLY DAVID"/>
    <n v="10"/>
    <x v="1"/>
    <x v="0"/>
    <s v="PLAQUETTES"/>
    <x v="0"/>
    <n v="71.2"/>
  </r>
  <r>
    <d v="2025-10-15T22:19:35"/>
    <x v="2"/>
    <s v="Plaquettes d'ébauches rhombiques"/>
    <s v="j519914"/>
    <s v="MARLY DAVID"/>
    <n v="10"/>
    <x v="1"/>
    <x v="0"/>
    <s v="PLAQUETTES"/>
    <x v="0"/>
    <n v="70"/>
  </r>
  <r>
    <d v="2025-10-15T22:19:56"/>
    <x v="6"/>
    <s v="Plaquettes de finition positives"/>
    <s v="j519914"/>
    <s v="MARLY DAVID"/>
    <n v="10"/>
    <x v="1"/>
    <x v="2"/>
    <s v="PLAQUETTES"/>
    <x v="0"/>
    <n v="87"/>
  </r>
  <r>
    <d v="2025-10-15T22:34:54"/>
    <x v="3"/>
    <s v="Plaquettes rondes"/>
    <s v="VERGE G"/>
    <s v="VERGE GREGORY"/>
    <n v="10"/>
    <x v="2"/>
    <x v="0"/>
    <s v="PLAQUETTES"/>
    <x v="1"/>
    <n v="136.69999999999999"/>
  </r>
  <r>
    <d v="2025-10-15T22:35:06"/>
    <x v="2"/>
    <s v="Plaquettes d'ébauches rhombiques"/>
    <s v="VERGE G"/>
    <s v="VERGE GREGORY"/>
    <n v="10"/>
    <x v="2"/>
    <x v="1"/>
    <s v="PLAQUETTES"/>
    <x v="1"/>
    <n v="70"/>
  </r>
  <r>
    <d v="2025-10-15T22:35:18"/>
    <x v="1"/>
    <s v="Plaquettes d'ébauches carrées"/>
    <s v="VERGE G"/>
    <s v="VERGE GREGORY"/>
    <n v="10"/>
    <x v="2"/>
    <x v="1"/>
    <s v="PLAQUETTES"/>
    <x v="1"/>
    <n v="71.2"/>
  </r>
  <r>
    <d v="2025-10-15T22:35:37"/>
    <x v="4"/>
    <s v="Plaquettes de finition"/>
    <s v="VERGE G"/>
    <s v="VERGE GREGORY"/>
    <n v="5"/>
    <x v="2"/>
    <x v="2"/>
    <s v="PLAQUETTES"/>
    <x v="1"/>
    <n v="47.8"/>
  </r>
  <r>
    <d v="2025-10-15T22:35:51"/>
    <x v="6"/>
    <s v="Plaquettes de finition positives"/>
    <s v="VERGE G"/>
    <s v="VERGE GREGORY"/>
    <n v="10"/>
    <x v="3"/>
    <x v="2"/>
    <s v="PLAQUETTES"/>
    <x v="0"/>
    <n v="87"/>
  </r>
  <r>
    <d v="2025-09-09T21:54:45"/>
    <x v="2"/>
    <s v="Plaquettes d'ébauches rhombiques"/>
    <s v="230525"/>
    <s v="SOULAS YANIS"/>
    <n v="10"/>
    <x v="0"/>
    <x v="0"/>
    <s v="PLAQUETTES"/>
    <x v="0"/>
    <n v="70"/>
  </r>
  <r>
    <d v="2025-10-16T06:10:01"/>
    <x v="6"/>
    <s v="Plaquettes de finition positives"/>
    <s v="u134838"/>
    <s v="DANAH STEPHANIE"/>
    <n v="10"/>
    <x v="1"/>
    <x v="2"/>
    <s v="PLAQUETTES"/>
    <x v="0"/>
    <n v="87"/>
  </r>
  <r>
    <d v="2025-09-09T21:54:59"/>
    <x v="2"/>
    <s v="Plaquettes d'ébauches rhombiques"/>
    <s v="230525"/>
    <s v="SOULAS YANIS"/>
    <n v="10"/>
    <x v="0"/>
    <x v="1"/>
    <s v="PLAQUETTES"/>
    <x v="0"/>
    <n v="70"/>
  </r>
  <r>
    <d v="2025-10-16T06:11:05"/>
    <x v="6"/>
    <s v="Plaquettes de finition positives"/>
    <s v="u134838"/>
    <s v="DANAH STEPHANIE"/>
    <n v="10"/>
    <x v="3"/>
    <x v="2"/>
    <s v="PLAQUETTES"/>
    <x v="0"/>
    <n v="87"/>
  </r>
  <r>
    <d v="2025-09-10T06:06:50"/>
    <x v="2"/>
    <s v="Plaquettes d'ébauches rhombiques"/>
    <s v="u462308"/>
    <s v="MAITRE SEBASTIEN"/>
    <n v="10"/>
    <x v="0"/>
    <x v="1"/>
    <s v="PLAQUETTES"/>
    <x v="0"/>
    <n v="70"/>
  </r>
  <r>
    <d v="2025-10-16T06:11:42"/>
    <x v="2"/>
    <s v="Plaquettes d'ébauches rhombiques"/>
    <s v="u134838"/>
    <s v="DANAH STEPHANIE"/>
    <n v="10"/>
    <x v="1"/>
    <x v="1"/>
    <s v="PLAQUETTES"/>
    <x v="0"/>
    <n v="70"/>
  </r>
  <r>
    <d v="2025-09-11T10:37:58"/>
    <x v="2"/>
    <s v="Plaquettes d'ébauches rhombiques"/>
    <s v="12824586"/>
    <s v="DA SILVA FERNANDO"/>
    <n v="10"/>
    <x v="0"/>
    <x v="1"/>
    <s v="PLAQUETTES"/>
    <x v="4"/>
    <n v="70"/>
  </r>
  <r>
    <d v="2025-09-11T14:10:06"/>
    <x v="2"/>
    <s v="Plaquettes d'ébauches rhombiques"/>
    <s v="170325"/>
    <s v="VERDELET BASTIEN"/>
    <n v="10"/>
    <x v="0"/>
    <x v="0"/>
    <s v="PLAQUETTES"/>
    <x v="0"/>
    <n v="70"/>
  </r>
  <r>
    <d v="2025-09-12T05:16:17"/>
    <x v="2"/>
    <s v="Plaquettes d'ébauches rhombiques"/>
    <s v="U518765"/>
    <s v="ROY ADELINE"/>
    <n v="10"/>
    <x v="0"/>
    <x v="0"/>
    <s v="PLAQUETTES"/>
    <x v="0"/>
    <n v="70"/>
  </r>
  <r>
    <d v="2025-09-13T01:17:50"/>
    <x v="2"/>
    <s v="Plaquettes d'ébauches rhombiques"/>
    <s v="sd13196"/>
    <s v="FRADIN MAXIME"/>
    <n v="10"/>
    <x v="0"/>
    <x v="1"/>
    <s v="PLAQUETTES"/>
    <x v="0"/>
    <n v="70"/>
  </r>
  <r>
    <d v="2025-10-16T13:24:15"/>
    <x v="10"/>
    <s v="Plaquettes de finition"/>
    <s v="sd13196"/>
    <s v="FRADIN MAXIME"/>
    <n v="10"/>
    <x v="3"/>
    <x v="2"/>
    <s v="PLAQUETTES"/>
    <x v="3"/>
    <n v="109.7"/>
  </r>
  <r>
    <d v="2025-10-16T17:12:48"/>
    <x v="5"/>
    <s v="Plaquettes rondes"/>
    <s v="sd13196"/>
    <s v="FRADIN MAXIME"/>
    <n v="10"/>
    <x v="3"/>
    <x v="0"/>
    <s v="PLAQUETTES"/>
    <x v="0"/>
    <n v="108.5"/>
  </r>
  <r>
    <d v="2025-10-16T21:04:20"/>
    <x v="6"/>
    <s v="Plaquettes de finition positives"/>
    <s v="j519914"/>
    <s v="MARLY DAVID"/>
    <n v="10"/>
    <x v="1"/>
    <x v="2"/>
    <s v="PLAQUETTES"/>
    <x v="0"/>
    <n v="87"/>
  </r>
  <r>
    <d v="2025-09-13T17:49:02"/>
    <x v="2"/>
    <s v="Plaquettes d'ébauches rhombiques"/>
    <s v="U534565"/>
    <s v="HOAREAU MARIUS"/>
    <n v="10"/>
    <x v="0"/>
    <x v="0"/>
    <s v="PLAQUETTES"/>
    <x v="0"/>
    <n v="70"/>
  </r>
  <r>
    <d v="2025-10-16T21:05:30"/>
    <x v="2"/>
    <s v="Plaquettes d'ébauches rhombiques"/>
    <s v="VERGE G"/>
    <s v="VERGE GREGORY"/>
    <n v="10"/>
    <x v="3"/>
    <x v="1"/>
    <s v="PLAQUETTES"/>
    <x v="0"/>
    <n v="70"/>
  </r>
  <r>
    <d v="2025-10-16T21:05:44"/>
    <x v="1"/>
    <s v="Plaquettes d'ébauches carrées"/>
    <s v="VERGE G"/>
    <s v="VERGE GREGORY"/>
    <n v="10"/>
    <x v="3"/>
    <x v="1"/>
    <s v="PLAQUETTES"/>
    <x v="3"/>
    <n v="71.2"/>
  </r>
  <r>
    <d v="2025-10-16T21:06:07"/>
    <x v="6"/>
    <s v="Plaquettes de finition positives"/>
    <s v="VERGE G"/>
    <s v="VERGE GREGORY"/>
    <n v="10"/>
    <x v="3"/>
    <x v="2"/>
    <s v="PLAQUETTES"/>
    <x v="0"/>
    <n v="87"/>
  </r>
  <r>
    <d v="2025-09-14T05:37:58"/>
    <x v="2"/>
    <s v="Plaquettes d'ébauches rhombiques"/>
    <s v="J534699"/>
    <s v="CHARTON FABIAN"/>
    <n v="10"/>
    <x v="0"/>
    <x v="0"/>
    <s v="PLAQUETTES"/>
    <x v="0"/>
    <n v="70"/>
  </r>
  <r>
    <d v="2025-10-16T21:39:10"/>
    <x v="6"/>
    <s v="Plaquettes de finition positives"/>
    <s v="j519914"/>
    <s v="MARLY DAVID"/>
    <n v="10"/>
    <x v="1"/>
    <x v="2"/>
    <s v="PLAQUETTES"/>
    <x v="0"/>
    <n v="87"/>
  </r>
  <r>
    <d v="2025-10-16T21:39:35"/>
    <x v="1"/>
    <s v="Plaquettes d'ébauches carrées"/>
    <s v="j519914"/>
    <s v="MARLY DAVID"/>
    <n v="10"/>
    <x v="1"/>
    <x v="0"/>
    <s v="PLAQUETTES"/>
    <x v="0"/>
    <n v="71.2"/>
  </r>
  <r>
    <d v="2025-10-16T23:32:56"/>
    <x v="6"/>
    <s v="Plaquettes de finition positives"/>
    <s v="j519914"/>
    <s v="MARLY DAVID"/>
    <n v="10"/>
    <x v="1"/>
    <x v="2"/>
    <s v="PLAQUETTES"/>
    <x v="0"/>
    <n v="87"/>
  </r>
  <r>
    <d v="2025-09-15T21:13:00"/>
    <x v="2"/>
    <s v="Plaquettes d'ébauches rhombiques"/>
    <s v="VERGE G"/>
    <s v="VERGE GREGORY"/>
    <n v="10"/>
    <x v="0"/>
    <x v="1"/>
    <s v="PLAQUETTES"/>
    <x v="3"/>
    <n v="70"/>
  </r>
  <r>
    <d v="2025-10-17T06:05:20"/>
    <x v="6"/>
    <s v="Plaquettes de finition positives"/>
    <s v="U534565"/>
    <s v="HOAREAU MARIUS"/>
    <n v="10"/>
    <x v="1"/>
    <x v="2"/>
    <s v="PLAQUETTES"/>
    <x v="0"/>
    <n v="87"/>
  </r>
  <r>
    <d v="2025-10-17T07:21:24"/>
    <x v="6"/>
    <s v="Plaquettes de finition positives"/>
    <s v="U198152"/>
    <s v="AJMIK MUSTAPHA"/>
    <n v="10"/>
    <x v="3"/>
    <x v="2"/>
    <s v="PLAQUETTES"/>
    <x v="0"/>
    <n v="87"/>
  </r>
  <r>
    <d v="2025-10-17T07:21:41"/>
    <x v="6"/>
    <s v="Plaquettes de finition positives"/>
    <s v="U198152"/>
    <s v="AJMIK MUSTAPHA"/>
    <n v="10"/>
    <x v="3"/>
    <x v="2"/>
    <s v="PLAQUETTES"/>
    <x v="0"/>
    <n v="87"/>
  </r>
  <r>
    <d v="2025-10-17T07:21:57"/>
    <x v="2"/>
    <s v="Plaquettes d'ébauches rhombiques"/>
    <s v="U198152"/>
    <s v="AJMIK MUSTAPHA"/>
    <n v="10"/>
    <x v="3"/>
    <x v="0"/>
    <s v="PLAQUETTES"/>
    <x v="0"/>
    <n v="70"/>
  </r>
  <r>
    <d v="2025-10-17T19:33:26"/>
    <x v="6"/>
    <s v="Plaquettes de finition positives"/>
    <s v="sd13196"/>
    <s v="FRADIN MAXIME"/>
    <n v="10"/>
    <x v="1"/>
    <x v="2"/>
    <s v="PLAQUETTES"/>
    <x v="0"/>
    <n v="87"/>
  </r>
  <r>
    <d v="2025-09-19T09:25:59"/>
    <x v="2"/>
    <s v="Plaquettes d'ébauches rhombiques"/>
    <s v="12824586"/>
    <s v="DA SILVA FERNANDO"/>
    <n v="10"/>
    <x v="0"/>
    <x v="1"/>
    <s v="PLAQUETTES"/>
    <x v="3"/>
    <n v="70"/>
  </r>
  <r>
    <d v="2025-10-17T21:43:48"/>
    <x v="2"/>
    <s v="Plaquettes d'ébauches rhombiques"/>
    <s v="j519914"/>
    <s v="MARLY DAVID"/>
    <n v="10"/>
    <x v="3"/>
    <x v="1"/>
    <s v="PLAQUETTES"/>
    <x v="0"/>
    <n v="70"/>
  </r>
  <r>
    <d v="2025-10-17T21:44:15"/>
    <x v="2"/>
    <s v="Plaquettes d'ébauches rhombiques"/>
    <s v="j519914"/>
    <s v="MARLY DAVID"/>
    <n v="10"/>
    <x v="3"/>
    <x v="0"/>
    <s v="PLAQUETTES"/>
    <x v="0"/>
    <n v="70"/>
  </r>
  <r>
    <d v="2025-09-20T07:55:00"/>
    <x v="2"/>
    <s v="Plaquettes d'ébauches rhombiques"/>
    <s v="U518765"/>
    <s v="ROY ADELINE"/>
    <n v="10"/>
    <x v="0"/>
    <x v="0"/>
    <s v="PLAQUETTES"/>
    <x v="0"/>
    <n v="70"/>
  </r>
  <r>
    <d v="2025-09-20T16:45:43"/>
    <x v="2"/>
    <s v="Plaquettes d'ébauches rhombiques"/>
    <s v="U054304"/>
    <s v="BOUACHIK HICHAM"/>
    <n v="10"/>
    <x v="0"/>
    <x v="0"/>
    <s v="PLAQUETTES"/>
    <x v="0"/>
    <n v="70"/>
  </r>
  <r>
    <d v="2025-09-21T08:44:29"/>
    <x v="2"/>
    <s v="Plaquettes d'ébauches rhombiques"/>
    <s v="U518765"/>
    <s v="ROY ADELINE"/>
    <n v="10"/>
    <x v="0"/>
    <x v="0"/>
    <s v="PLAQUETTES"/>
    <x v="0"/>
    <n v="70"/>
  </r>
  <r>
    <d v="2025-09-21T16:53:41"/>
    <x v="2"/>
    <s v="Plaquettes d'ébauches rhombiques"/>
    <s v="U054304"/>
    <s v="BOUACHIK HICHAM"/>
    <n v="10"/>
    <x v="0"/>
    <x v="0"/>
    <s v="PLAQUETTES"/>
    <x v="0"/>
    <n v="70"/>
  </r>
  <r>
    <d v="2025-09-22T17:10:14"/>
    <x v="2"/>
    <s v="Plaquettes d'ébauches rhombiques"/>
    <s v="170325"/>
    <s v="VERDELET BASTIEN"/>
    <n v="10"/>
    <x v="0"/>
    <x v="0"/>
    <s v="PLAQUETTES"/>
    <x v="0"/>
    <n v="70"/>
  </r>
  <r>
    <d v="2025-09-24T09:47:01"/>
    <x v="2"/>
    <s v="Plaquettes d'ébauches rhombiques"/>
    <s v="SD13196"/>
    <s v="FRADIN MAXIME"/>
    <n v="10"/>
    <x v="0"/>
    <x v="1"/>
    <s v="PLAQUETTES"/>
    <x v="0"/>
    <n v="70"/>
  </r>
  <r>
    <d v="2025-10-18T13:33:16"/>
    <x v="4"/>
    <s v="Plaquettes de finition"/>
    <s v="U198152"/>
    <s v="AJMIK MUSTAPHA"/>
    <n v="5"/>
    <x v="2"/>
    <x v="2"/>
    <s v="PLAQUETTES"/>
    <x v="1"/>
    <n v="47.8"/>
  </r>
  <r>
    <d v="2025-10-18T13:33:27"/>
    <x v="9"/>
    <s v="Plaquettes rhombiques"/>
    <s v="U198152"/>
    <s v="AJMIK MUSTAPHA"/>
    <n v="5"/>
    <x v="2"/>
    <x v="2"/>
    <s v="PLAQUETTES"/>
    <x v="1"/>
    <n v="44.85"/>
  </r>
  <r>
    <d v="2025-10-18T13:33:43"/>
    <x v="6"/>
    <s v="Plaquettes de finition positives"/>
    <s v="U198152"/>
    <s v="AJMIK MUSTAPHA"/>
    <n v="10"/>
    <x v="3"/>
    <x v="2"/>
    <s v="PLAQUETTES"/>
    <x v="0"/>
    <n v="87"/>
  </r>
  <r>
    <d v="2025-09-24T22:13:12"/>
    <x v="2"/>
    <s v="Plaquettes d'ébauches rhombiques"/>
    <s v="230525"/>
    <s v="SOULAS YANIS"/>
    <n v="10"/>
    <x v="0"/>
    <x v="1"/>
    <s v="PLAQUETTES"/>
    <x v="0"/>
    <n v="70"/>
  </r>
  <r>
    <d v="2025-10-18T20:32:09"/>
    <x v="6"/>
    <s v="Plaquettes de finition positives"/>
    <s v="U054304"/>
    <s v="BOUACHIK HICHAM"/>
    <n v="10"/>
    <x v="1"/>
    <x v="2"/>
    <s v="PLAQUETTES"/>
    <x v="0"/>
    <n v="87"/>
  </r>
  <r>
    <d v="2025-10-18T23:08:59"/>
    <x v="6"/>
    <s v="Plaquettes de finition positives"/>
    <s v="U534565"/>
    <s v="HOAREAU MARIUS"/>
    <n v="10"/>
    <x v="3"/>
    <x v="2"/>
    <s v="PLAQUETTES"/>
    <x v="0"/>
    <n v="87"/>
  </r>
  <r>
    <d v="2025-10-18T23:09:30"/>
    <x v="5"/>
    <s v="Plaquettes rondes"/>
    <s v="U534565"/>
    <s v="HOAREAU MARIUS"/>
    <n v="10"/>
    <x v="2"/>
    <x v="0"/>
    <s v="PLAQUETTES"/>
    <x v="1"/>
    <n v="108.5"/>
  </r>
  <r>
    <d v="2025-10-18T23:09:51"/>
    <x v="2"/>
    <s v="Plaquettes d'ébauches rhombiques"/>
    <s v="U534565"/>
    <s v="HOAREAU MARIUS"/>
    <n v="10"/>
    <x v="3"/>
    <x v="0"/>
    <s v="PLAQUETTES"/>
    <x v="0"/>
    <n v="70"/>
  </r>
  <r>
    <d v="2025-10-18T23:31:51"/>
    <x v="7"/>
    <s v="Plaquettes de finition triangulaires"/>
    <s v="U534565"/>
    <s v="HOAREAU MARIUS"/>
    <n v="10"/>
    <x v="3"/>
    <x v="2"/>
    <s v="PLAQUETTES"/>
    <x v="0"/>
    <n v="138.80000000000001"/>
  </r>
  <r>
    <d v="2025-10-19T12:16:08"/>
    <x v="1"/>
    <s v="Plaquettes d'ébauches carrées"/>
    <s v="u134838"/>
    <s v="DANAH STEPHANIE"/>
    <n v="10"/>
    <x v="1"/>
    <x v="0"/>
    <s v="PLAQUETTES"/>
    <x v="0"/>
    <n v="71.2"/>
  </r>
  <r>
    <d v="2025-10-19T12:16:26"/>
    <x v="6"/>
    <s v="Plaquettes de finition positives"/>
    <s v="u134838"/>
    <s v="DANAH STEPHANIE"/>
    <n v="10"/>
    <x v="1"/>
    <x v="2"/>
    <s v="PLAQUETTES"/>
    <x v="0"/>
    <n v="87"/>
  </r>
  <r>
    <d v="2025-10-19T13:34:17"/>
    <x v="6"/>
    <s v="Plaquettes de finition positives"/>
    <s v="U518765"/>
    <s v="ROY ADELINE"/>
    <n v="10"/>
    <x v="3"/>
    <x v="2"/>
    <s v="PLAQUETTES"/>
    <x v="0"/>
    <n v="87"/>
  </r>
  <r>
    <d v="2025-10-19T13:34:47"/>
    <x v="2"/>
    <s v="Plaquettes d'ébauches rhombiques"/>
    <s v="U518765"/>
    <s v="ROY ADELINE"/>
    <n v="10"/>
    <x v="3"/>
    <x v="0"/>
    <s v="PLAQUETTES"/>
    <x v="0"/>
    <n v="70"/>
  </r>
  <r>
    <d v="2025-09-26T23:35:04"/>
    <x v="2"/>
    <s v="Plaquettes d'ébauches rhombiques"/>
    <s v="230525"/>
    <s v="SOULAS YANIS"/>
    <n v="10"/>
    <x v="0"/>
    <x v="1"/>
    <s v="PLAQUETTES"/>
    <x v="0"/>
    <n v="70"/>
  </r>
  <r>
    <d v="2025-09-27T20:27:47"/>
    <x v="2"/>
    <s v="Plaquettes d'ébauches rhombiques"/>
    <s v="U518765"/>
    <s v="ROY ADELINE"/>
    <n v="10"/>
    <x v="0"/>
    <x v="1"/>
    <s v="PLAQUETTES"/>
    <x v="0"/>
    <n v="70"/>
  </r>
  <r>
    <d v="2025-09-27T20:28:04"/>
    <x v="2"/>
    <s v="Plaquettes d'ébauches rhombiques"/>
    <s v="U518765"/>
    <s v="ROY ADELINE"/>
    <n v="10"/>
    <x v="0"/>
    <x v="0"/>
    <s v="PLAQUETTES"/>
    <x v="0"/>
    <n v="70"/>
  </r>
  <r>
    <d v="2025-10-19T20:19:55"/>
    <x v="6"/>
    <s v="Plaquettes de finition positives"/>
    <s v="U534565"/>
    <s v="HOAREAU MARIUS"/>
    <n v="10"/>
    <x v="3"/>
    <x v="2"/>
    <s v="PLAQUETTES"/>
    <x v="0"/>
    <n v="87"/>
  </r>
  <r>
    <d v="2025-10-19T20:20:09"/>
    <x v="10"/>
    <s v="Plaquettes de finition"/>
    <s v="U534565"/>
    <s v="HOAREAU MARIUS"/>
    <n v="10"/>
    <x v="3"/>
    <x v="2"/>
    <s v="PLAQUETTES"/>
    <x v="0"/>
    <n v="109.7"/>
  </r>
  <r>
    <d v="2025-10-19T20:20:37"/>
    <x v="4"/>
    <s v="Plaquettes de finition"/>
    <s v="U534565"/>
    <s v="HOAREAU MARIUS"/>
    <n v="5"/>
    <x v="2"/>
    <x v="2"/>
    <s v="PLAQUETTES"/>
    <x v="1"/>
    <n v="47.8"/>
  </r>
  <r>
    <d v="2025-10-19T20:20:55"/>
    <x v="4"/>
    <s v="Plaquettes de finition"/>
    <s v="U534565"/>
    <s v="HOAREAU MARIUS"/>
    <n v="5"/>
    <x v="2"/>
    <x v="2"/>
    <s v="PLAQUETTES"/>
    <x v="5"/>
    <n v="47.8"/>
  </r>
  <r>
    <d v="2025-10-19T20:21:13"/>
    <x v="11"/>
    <s v="Plaquettes de finition triangulaires"/>
    <s v="U534565"/>
    <s v="HOAREAU MARIUS"/>
    <n v="10"/>
    <x v="2"/>
    <x v="2"/>
    <s v="PLAQUETTES"/>
    <x v="1"/>
    <n v="118.7"/>
  </r>
  <r>
    <d v="2025-09-28T17:41:30"/>
    <x v="2"/>
    <s v="Plaquettes d'ébauches rhombiques"/>
    <s v="j534699"/>
    <s v="CHARTON FABIAN"/>
    <n v="10"/>
    <x v="0"/>
    <x v="1"/>
    <s v="PLAQUETTES"/>
    <x v="0"/>
    <n v="70"/>
  </r>
  <r>
    <d v="2025-10-20T07:50:46"/>
    <x v="6"/>
    <s v="Plaquettes de finition positives"/>
    <s v="sd13196"/>
    <s v="FRADIN MAXIME"/>
    <n v="10"/>
    <x v="1"/>
    <x v="2"/>
    <s v="PLAQUETTES"/>
    <x v="0"/>
    <n v="87"/>
  </r>
  <r>
    <d v="2025-10-20T07:51:02"/>
    <x v="6"/>
    <s v="Plaquettes de finition positives"/>
    <s v="sd13196"/>
    <s v="FRADIN MAXIME"/>
    <n v="10"/>
    <x v="1"/>
    <x v="2"/>
    <s v="PLAQUETTES"/>
    <x v="0"/>
    <n v="87"/>
  </r>
  <r>
    <d v="2025-10-20T17:38:32"/>
    <x v="2"/>
    <s v="Plaquettes d'ébauches rhombiques"/>
    <s v="170325"/>
    <s v="VERDELET BASTIEN"/>
    <n v="10"/>
    <x v="2"/>
    <x v="0"/>
    <s v="PLAQUETTES"/>
    <x v="1"/>
    <n v="70"/>
  </r>
  <r>
    <d v="2025-10-20T17:38:50"/>
    <x v="6"/>
    <s v="Plaquettes de finition positives"/>
    <s v="170325"/>
    <s v="VERDELET BASTIEN"/>
    <n v="10"/>
    <x v="3"/>
    <x v="2"/>
    <s v="PLAQUETTES"/>
    <x v="0"/>
    <n v="87"/>
  </r>
  <r>
    <d v="2025-10-20T23:34:31"/>
    <x v="6"/>
    <s v="Plaquettes de finition positives"/>
    <s v="230525"/>
    <s v="SOULAS YANIS"/>
    <n v="10"/>
    <x v="1"/>
    <x v="2"/>
    <s v="PLAQUETTES"/>
    <x v="0"/>
    <n v="87"/>
  </r>
  <r>
    <d v="2025-10-20T23:34:44"/>
    <x v="2"/>
    <s v="Plaquettes d'ébauches rhombiques"/>
    <s v="230525"/>
    <s v="SOULAS YANIS"/>
    <n v="10"/>
    <x v="1"/>
    <x v="1"/>
    <s v="PLAQUETTES"/>
    <x v="0"/>
    <n v="70"/>
  </r>
  <r>
    <d v="2025-10-20T23:34:56"/>
    <x v="1"/>
    <s v="Plaquettes d'ébauches carrées"/>
    <s v="230525"/>
    <s v="SOULAS YANIS"/>
    <n v="10"/>
    <x v="1"/>
    <x v="1"/>
    <s v="PLAQUETTES"/>
    <x v="0"/>
    <n v="71.2"/>
  </r>
  <r>
    <d v="2025-10-21T11:53:27"/>
    <x v="6"/>
    <s v="Plaquettes de finition positives"/>
    <s v="sd13196"/>
    <s v="FRADIN MAXIME"/>
    <n v="10"/>
    <x v="1"/>
    <x v="2"/>
    <s v="PLAQUETTES"/>
    <x v="0"/>
    <n v="87"/>
  </r>
  <r>
    <d v="2025-10-21T11:53:42"/>
    <x v="2"/>
    <s v="Plaquettes d'ébauches rhombiques"/>
    <s v="sd13196"/>
    <s v="FRADIN MAXIME"/>
    <n v="10"/>
    <x v="1"/>
    <x v="1"/>
    <s v="PLAQUETTES"/>
    <x v="0"/>
    <n v="70"/>
  </r>
  <r>
    <d v="2025-10-21T13:43:03"/>
    <x v="10"/>
    <s v="Plaquettes de finition"/>
    <s v="170325"/>
    <s v="VERDELET BASTIEN"/>
    <n v="10"/>
    <x v="3"/>
    <x v="2"/>
    <s v="PLAQUETTES"/>
    <x v="5"/>
    <n v="109.7"/>
  </r>
  <r>
    <d v="2025-10-21T13:43:28"/>
    <x v="4"/>
    <s v="Plaquettes de finition"/>
    <s v="170325"/>
    <s v="VERDELET BASTIEN"/>
    <n v="5"/>
    <x v="3"/>
    <x v="2"/>
    <s v="PLAQUETTES"/>
    <x v="2"/>
    <n v="47.8"/>
  </r>
  <r>
    <d v="2025-10-21T13:43:42"/>
    <x v="11"/>
    <s v="Plaquettes de finition triangulaires"/>
    <s v="170325"/>
    <s v="VERDELET BASTIEN"/>
    <n v="10"/>
    <x v="3"/>
    <x v="2"/>
    <s v="PLAQUETTES"/>
    <x v="2"/>
    <n v="118.7"/>
  </r>
  <r>
    <d v="2025-10-21T13:44:00"/>
    <x v="2"/>
    <s v="Plaquettes d'ébauches rhombiques"/>
    <s v="170325"/>
    <s v="VERDELET BASTIEN"/>
    <n v="10"/>
    <x v="3"/>
    <x v="2"/>
    <s v="PLAQUETTES"/>
    <x v="2"/>
    <n v="70"/>
  </r>
  <r>
    <d v="2025-10-21T13:44:17"/>
    <x v="5"/>
    <s v="Plaquettes rondes"/>
    <s v="170325"/>
    <s v="VERDELET BASTIEN"/>
    <n v="10"/>
    <x v="2"/>
    <x v="0"/>
    <s v="PLAQUETTES"/>
    <x v="1"/>
    <n v="108.5"/>
  </r>
  <r>
    <d v="2025-10-21T13:44:37"/>
    <x v="2"/>
    <s v="Plaquettes d'ébauches rhombiques"/>
    <s v="170325"/>
    <s v="VERDELET BASTIEN"/>
    <n v="10"/>
    <x v="2"/>
    <x v="0"/>
    <s v="PLAQUETTES"/>
    <x v="1"/>
    <n v="70"/>
  </r>
  <r>
    <d v="2025-10-21T13:45:11"/>
    <x v="9"/>
    <s v="Plaquettes rhombiques"/>
    <s v="170325"/>
    <s v="VERDELET BASTIEN"/>
    <n v="5"/>
    <x v="2"/>
    <x v="2"/>
    <s v="PLAQUETTES"/>
    <x v="1"/>
    <n v="44.85"/>
  </r>
  <r>
    <d v="2025-10-21T13:45:28"/>
    <x v="4"/>
    <s v="Plaquettes de finition"/>
    <s v="170325"/>
    <s v="VERDELET BASTIEN"/>
    <n v="5"/>
    <x v="2"/>
    <x v="2"/>
    <s v="PLAQUETTES"/>
    <x v="1"/>
    <n v="47.8"/>
  </r>
  <r>
    <d v="2025-09-30T21:46:56"/>
    <x v="2"/>
    <s v="Plaquettes d'ébauches rhombiques"/>
    <s v="j519914"/>
    <s v="MARLY DAVID"/>
    <n v="10"/>
    <x v="0"/>
    <x v="0"/>
    <s v="PLAQUETTES"/>
    <x v="0"/>
    <n v="70"/>
  </r>
  <r>
    <d v="2025-09-30T21:47:39"/>
    <x v="2"/>
    <s v="Plaquettes d'ébauches rhombiques"/>
    <s v="j519914"/>
    <s v="MARLY DAVID"/>
    <n v="10"/>
    <x v="0"/>
    <x v="0"/>
    <s v="PLAQUETTES"/>
    <x v="0"/>
    <n v="70"/>
  </r>
  <r>
    <d v="2025-10-01T08:21:33"/>
    <x v="2"/>
    <s v="Plaquettes d'ébauches rhombiques"/>
    <s v="u134838"/>
    <s v="DANAH STEPHANIE"/>
    <n v="10"/>
    <x v="0"/>
    <x v="0"/>
    <s v="PLAQUETTES"/>
    <x v="0"/>
    <n v="70"/>
  </r>
  <r>
    <d v="2025-10-21T13:55:02"/>
    <x v="10"/>
    <s v="Plaquettes de finition"/>
    <s v="u134838"/>
    <s v="DANAH STEPHANIE"/>
    <n v="10"/>
    <x v="1"/>
    <x v="2"/>
    <s v="PLAQUETTES"/>
    <x v="0"/>
    <n v="109.7"/>
  </r>
  <r>
    <d v="2025-10-21T13:55:25"/>
    <x v="7"/>
    <s v="Plaquettes de finition triangulaires"/>
    <s v="u134838"/>
    <s v="DANAH STEPHANIE"/>
    <n v="10"/>
    <x v="1"/>
    <x v="2"/>
    <s v="PLAQUETTES"/>
    <x v="0"/>
    <n v="138.80000000000001"/>
  </r>
  <r>
    <d v="2025-10-21T13:56:04"/>
    <x v="6"/>
    <s v="Plaquettes de finition positives"/>
    <s v="u134838"/>
    <s v="DANAH STEPHANIE"/>
    <n v="10"/>
    <x v="1"/>
    <x v="2"/>
    <s v="PLAQUETTES"/>
    <x v="0"/>
    <n v="87"/>
  </r>
  <r>
    <d v="2025-10-02T07:42:11"/>
    <x v="2"/>
    <s v="Plaquettes d'ébauches rhombiques"/>
    <s v="u134838"/>
    <s v="DANAH STEPHANIE"/>
    <n v="10"/>
    <x v="0"/>
    <x v="0"/>
    <s v="PLAQUETTES"/>
    <x v="0"/>
    <n v="70"/>
  </r>
  <r>
    <d v="2025-10-21T13:56:39"/>
    <x v="2"/>
    <s v="Plaquettes d'ébauches rhombiques"/>
    <s v="u134838"/>
    <s v="DANAH STEPHANIE"/>
    <n v="10"/>
    <x v="1"/>
    <x v="0"/>
    <s v="PLAQUETTES"/>
    <x v="0"/>
    <n v="70"/>
  </r>
  <r>
    <d v="2025-10-03T21:29:54"/>
    <x v="2"/>
    <s v="Plaquettes d'ébauches rhombiques"/>
    <s v="j519914"/>
    <s v="MARLY DAVID"/>
    <n v="10"/>
    <x v="0"/>
    <x v="1"/>
    <s v="PLAQUETTES"/>
    <x v="0"/>
    <n v="70"/>
  </r>
  <r>
    <d v="2025-10-22T00:02:27"/>
    <x v="2"/>
    <s v="Plaquettes d'ébauches rhombiques"/>
    <s v="j519914"/>
    <s v="MARLY DAVID"/>
    <n v="10"/>
    <x v="1"/>
    <x v="0"/>
    <s v="PLAQUETTES"/>
    <x v="0"/>
    <n v="70"/>
  </r>
  <r>
    <d v="2025-10-22T00:02:56"/>
    <x v="1"/>
    <s v="Plaquettes d'ébauches carrées"/>
    <s v="j519914"/>
    <s v="MARLY DAVID"/>
    <n v="10"/>
    <x v="1"/>
    <x v="0"/>
    <s v="PLAQUETTES"/>
    <x v="0"/>
    <n v="71.2"/>
  </r>
  <r>
    <d v="2025-10-22T05:33:14"/>
    <x v="4"/>
    <s v="Plaquettes de finition"/>
    <s v="sd13196"/>
    <s v="FRADIN MAXIME"/>
    <n v="5"/>
    <x v="2"/>
    <x v="2"/>
    <s v="PLAQUETTES"/>
    <x v="1"/>
    <n v="47.8"/>
  </r>
  <r>
    <d v="2025-10-22T05:33:38"/>
    <x v="4"/>
    <s v="Plaquettes de finition"/>
    <s v="sd13196"/>
    <s v="FRADIN MAXIME"/>
    <n v="5"/>
    <x v="3"/>
    <x v="2"/>
    <s v="PLAQUETTES"/>
    <x v="2"/>
    <n v="47.8"/>
  </r>
  <r>
    <d v="2025-10-22T05:34:45"/>
    <x v="2"/>
    <s v="Plaquettes d'ébauches rhombiques"/>
    <s v="SD13196"/>
    <s v="FRADIN MAXIME"/>
    <n v="10"/>
    <x v="1"/>
    <x v="0"/>
    <s v="PLAQUETTES"/>
    <x v="0"/>
    <n v="70"/>
  </r>
  <r>
    <d v="2025-10-05T05:32:47"/>
    <x v="2"/>
    <s v="Plaquettes d'ébauches rhombiques"/>
    <s v="U534565"/>
    <s v="HOAREAU MARIUS"/>
    <n v="10"/>
    <x v="0"/>
    <x v="1"/>
    <s v="PLAQUETTES"/>
    <x v="0"/>
    <n v="70"/>
  </r>
  <r>
    <d v="2025-10-22T05:35:18"/>
    <x v="6"/>
    <s v="Plaquettes de finition positives"/>
    <s v="SD13196"/>
    <s v="FRADIN MAXIME"/>
    <n v="10"/>
    <x v="1"/>
    <x v="2"/>
    <s v="PLAQUETTES"/>
    <x v="0"/>
    <n v="87"/>
  </r>
  <r>
    <d v="2025-10-22T05:35:33"/>
    <x v="6"/>
    <s v="Plaquettes de finition positives"/>
    <s v="SD13196"/>
    <s v="FRADIN MAXIME"/>
    <n v="10"/>
    <x v="1"/>
    <x v="2"/>
    <s v="PLAQUETTES"/>
    <x v="0"/>
    <n v="87"/>
  </r>
  <r>
    <d v="2025-10-22T05:53:12"/>
    <x v="2"/>
    <s v="Plaquettes d'ébauches rhombiques"/>
    <s v="sd13196"/>
    <s v="FRADIN MAXIME"/>
    <n v="10"/>
    <x v="2"/>
    <x v="1"/>
    <s v="PLAQUETTES"/>
    <x v="1"/>
    <n v="70"/>
  </r>
  <r>
    <d v="2025-10-22T13:52:13"/>
    <x v="6"/>
    <s v="Plaquettes de finition positives"/>
    <s v="u134838"/>
    <s v="DANAH STEPHANIE"/>
    <n v="10"/>
    <x v="1"/>
    <x v="2"/>
    <s v="PLAQUETTES"/>
    <x v="0"/>
    <n v="87"/>
  </r>
  <r>
    <d v="2025-10-05T17:23:40"/>
    <x v="2"/>
    <s v="Plaquettes d'ébauches rhombiques"/>
    <s v="U054304"/>
    <s v="BOUACHIK HICHAM"/>
    <n v="10"/>
    <x v="0"/>
    <x v="0"/>
    <s v="PLAQUETTES"/>
    <x v="0"/>
    <n v="70"/>
  </r>
  <r>
    <d v="2025-10-06T21:15:34"/>
    <x v="2"/>
    <s v="Plaquettes d'ébauches rhombiques"/>
    <s v="230525"/>
    <s v="SOULAS YANIS"/>
    <n v="10"/>
    <x v="0"/>
    <x v="1"/>
    <s v="PLAQUETTES"/>
    <x v="0"/>
    <n v="70"/>
  </r>
  <r>
    <d v="2025-10-22T13:53:13"/>
    <x v="1"/>
    <s v="Plaquettes d'ébauches carrées"/>
    <s v="u134838"/>
    <s v="DANAH STEPHANIE"/>
    <n v="10"/>
    <x v="1"/>
    <x v="0"/>
    <s v="PLAQUETTES"/>
    <x v="0"/>
    <n v="71.2"/>
  </r>
  <r>
    <d v="2025-10-22T21:06:03"/>
    <x v="2"/>
    <s v="Plaquettes d'ébauches rhombiques"/>
    <s v="VERGE G"/>
    <s v="VERGE GREGORY"/>
    <n v="10"/>
    <x v="3"/>
    <x v="1"/>
    <s v="PLAQUETTES"/>
    <x v="2"/>
    <n v="70"/>
  </r>
  <r>
    <d v="2025-10-22T21:06:22"/>
    <x v="1"/>
    <s v="Plaquettes d'ébauches carrées"/>
    <s v="VERGE G"/>
    <s v="VERGE GREGORY"/>
    <n v="10"/>
    <x v="3"/>
    <x v="0"/>
    <s v="PLAQUETTES"/>
    <x v="2"/>
    <n v="71.2"/>
  </r>
  <r>
    <d v="2025-10-22T21:06:35"/>
    <x v="2"/>
    <s v="Plaquettes d'ébauches rhombiques"/>
    <s v="VERGE G"/>
    <s v="VERGE GREGORY"/>
    <n v="10"/>
    <x v="2"/>
    <x v="1"/>
    <s v="PLAQUETTES"/>
    <x v="1"/>
    <n v="70"/>
  </r>
  <r>
    <d v="2025-10-23T01:44:56"/>
    <x v="3"/>
    <s v="Plaquettes rondes"/>
    <s v="VERGE G"/>
    <s v="VERGE GREGORY"/>
    <n v="10"/>
    <x v="2"/>
    <x v="0"/>
    <s v="PLAQUETTES"/>
    <x v="1"/>
    <n v="136.69999999999999"/>
  </r>
  <r>
    <d v="2025-10-23T05:18:06"/>
    <x v="4"/>
    <s v="Plaquettes de finition"/>
    <s v="sd13196"/>
    <s v="FRADIN MAXIME"/>
    <n v="5"/>
    <x v="2"/>
    <x v="2"/>
    <s v="PLAQUETTES"/>
    <x v="1"/>
    <n v="47.8"/>
  </r>
  <r>
    <d v="2025-10-23T05:18:28"/>
    <x v="4"/>
    <s v="Plaquettes de finition"/>
    <s v="sd13196"/>
    <s v="FRADIN MAXIME"/>
    <n v="5"/>
    <x v="3"/>
    <x v="2"/>
    <s v="PLAQUETTES"/>
    <x v="2"/>
    <n v="47.8"/>
  </r>
  <r>
    <d v="2025-10-23T05:21:48"/>
    <x v="6"/>
    <s v="Plaquettes de finition positives"/>
    <s v="sd13196"/>
    <s v="FRADIN MAXIME"/>
    <n v="10"/>
    <x v="1"/>
    <x v="2"/>
    <s v="PLAQUETTES"/>
    <x v="0"/>
    <n v="87"/>
  </r>
  <r>
    <d v="2025-10-23T05:22:03"/>
    <x v="6"/>
    <s v="Plaquettes de finition positives"/>
    <s v="sd13196"/>
    <s v="FRADIN MAXIME"/>
    <n v="10"/>
    <x v="1"/>
    <x v="2"/>
    <s v="PLAQUETTES"/>
    <x v="0"/>
    <n v="87"/>
  </r>
  <r>
    <d v="2025-10-23T09:32:41"/>
    <x v="2"/>
    <s v="Plaquettes d'ébauches rhombiques"/>
    <s v="sd13196"/>
    <s v="FRADIN MAXIME"/>
    <n v="10"/>
    <x v="2"/>
    <x v="0"/>
    <s v="PLAQUETTES"/>
    <x v="1"/>
    <n v="70"/>
  </r>
  <r>
    <d v="2025-10-23T09:33:09"/>
    <x v="2"/>
    <s v="Plaquettes d'ébauches rhombiques"/>
    <s v="sd13196"/>
    <s v="FRADIN MAXIME"/>
    <n v="10"/>
    <x v="2"/>
    <x v="2"/>
    <s v="PLAQUETTES"/>
    <x v="1"/>
    <n v="70"/>
  </r>
  <r>
    <d v="2025-10-23T11:35:35"/>
    <x v="6"/>
    <s v="Plaquettes de finition positives"/>
    <s v="sd13196"/>
    <s v="FRADIN MAXIME"/>
    <n v="10"/>
    <x v="3"/>
    <x v="2"/>
    <s v="PLAQUETTES"/>
    <x v="3"/>
    <n v="87"/>
  </r>
  <r>
    <d v="2025-10-23T12:16:46"/>
    <x v="2"/>
    <s v="Plaquettes d'ébauches rhombiques"/>
    <s v="SD13196"/>
    <s v="FRADIN MAXIME"/>
    <n v="10"/>
    <x v="1"/>
    <x v="0"/>
    <s v="PLAQUETTES"/>
    <x v="0"/>
    <n v="70"/>
  </r>
  <r>
    <d v="2025-10-23T12:17:04"/>
    <x v="6"/>
    <s v="Plaquettes de finition positives"/>
    <s v="sd13196"/>
    <s v="FRADIN MAXIME"/>
    <n v="10"/>
    <x v="1"/>
    <x v="2"/>
    <s v="PLAQUETTES"/>
    <x v="0"/>
    <n v="87"/>
  </r>
  <r>
    <d v="2025-10-23T15:23:20"/>
    <x v="6"/>
    <s v="Plaquettes de finition positives"/>
    <s v="u134838"/>
    <s v="DANAH STEPHANIE"/>
    <n v="10"/>
    <x v="1"/>
    <x v="2"/>
    <s v="PLAQUETTES"/>
    <x v="0"/>
    <n v="87"/>
  </r>
  <r>
    <d v="2025-10-08T13:56:02"/>
    <x v="2"/>
    <s v="Plaquettes d'ébauches rhombiques"/>
    <s v="170325"/>
    <s v="VERDELET BASTIEN"/>
    <n v="10"/>
    <x v="0"/>
    <x v="2"/>
    <s v="PLAQUETTES"/>
    <x v="1"/>
    <n v="70"/>
  </r>
  <r>
    <d v="2025-10-09T06:03:47"/>
    <x v="2"/>
    <s v="Plaquettes d'ébauches rhombiques"/>
    <s v="SD13196"/>
    <s v="FRADIN MAXIME"/>
    <n v="10"/>
    <x v="0"/>
    <x v="1"/>
    <s v="PLAQUETTES"/>
    <x v="1"/>
    <n v="70"/>
  </r>
  <r>
    <d v="2025-10-10T21:47:46"/>
    <x v="2"/>
    <s v="Plaquettes d'ébauches rhombiques"/>
    <s v="230525"/>
    <s v="SOULAS YANIS"/>
    <n v="10"/>
    <x v="0"/>
    <x v="1"/>
    <s v="PLAQUETTES"/>
    <x v="1"/>
    <n v="70"/>
  </r>
  <r>
    <d v="2025-10-12T05:28:04"/>
    <x v="2"/>
    <s v="Plaquettes d'ébauches rhombiques"/>
    <s v="J534699"/>
    <s v="CHARTON FABIAN"/>
    <n v="10"/>
    <x v="0"/>
    <x v="0"/>
    <s v="PLAQUETTES"/>
    <x v="1"/>
    <n v="70"/>
  </r>
  <r>
    <d v="2025-10-13T21:36:03"/>
    <x v="2"/>
    <s v="Plaquettes d'ébauches rhombiques"/>
    <s v="j519914"/>
    <s v="MARLY DAVID"/>
    <n v="10"/>
    <x v="0"/>
    <x v="0"/>
    <s v="PLAQUETTES"/>
    <x v="1"/>
    <n v="70"/>
  </r>
  <r>
    <d v="2025-10-14T19:28:29"/>
    <x v="2"/>
    <s v="Plaquettes d'ébauches rhombiques"/>
    <s v="sd13196"/>
    <s v="FRADIN MAXIME"/>
    <n v="10"/>
    <x v="0"/>
    <x v="1"/>
    <s v="PLAQUETTES"/>
    <x v="0"/>
    <n v="70"/>
  </r>
  <r>
    <d v="2025-10-15T13:38:48"/>
    <x v="2"/>
    <s v="Plaquettes d'ébauches rhombiques"/>
    <s v="12824586"/>
    <s v="DA SILVA FERNANDO"/>
    <n v="10"/>
    <x v="0"/>
    <x v="1"/>
    <s v="PLAQUETTES"/>
    <x v="4"/>
    <n v="70"/>
  </r>
  <r>
    <d v="2025-10-23T22:25:57"/>
    <x v="6"/>
    <s v="Plaquettes de finition positives"/>
    <s v="VERGE G"/>
    <s v="VERGE GREGORY"/>
    <n v="10"/>
    <x v="3"/>
    <x v="2"/>
    <s v="PLAQUETTES"/>
    <x v="0"/>
    <n v="87"/>
  </r>
  <r>
    <d v="2025-10-15T16:19:34"/>
    <x v="2"/>
    <s v="Plaquettes d'ébauches rhombiques"/>
    <s v="sd13196"/>
    <s v="FRADIN MAXIME"/>
    <n v="10"/>
    <x v="0"/>
    <x v="1"/>
    <s v="PLAQUETTES"/>
    <x v="3"/>
    <n v="70"/>
  </r>
  <r>
    <d v="2025-10-16T12:21:02"/>
    <x v="2"/>
    <s v="Plaquettes d'ébauches rhombiques"/>
    <s v="u134838"/>
    <s v="DANAH STEPHANIE"/>
    <n v="10"/>
    <x v="0"/>
    <x v="2"/>
    <s v="PLAQUETTES"/>
    <x v="1"/>
    <n v="70"/>
  </r>
  <r>
    <d v="2025-10-24T07:20:56"/>
    <x v="6"/>
    <s v="Plaquettes de finition positives"/>
    <s v="j534699"/>
    <s v="CHARTON FABIAN"/>
    <n v="10"/>
    <x v="3"/>
    <x v="2"/>
    <s v="PLAQUETTES"/>
    <x v="0"/>
    <n v="87"/>
  </r>
  <r>
    <d v="2025-10-24T07:21:28"/>
    <x v="6"/>
    <s v="Plaquettes de finition positives"/>
    <s v="j534699"/>
    <s v="CHARTON FABIAN"/>
    <n v="10"/>
    <x v="3"/>
    <x v="2"/>
    <s v="PLAQUETTES"/>
    <x v="0"/>
    <n v="87"/>
  </r>
  <r>
    <d v="2025-10-24T07:22:05"/>
    <x v="10"/>
    <s v="Plaquettes de finition"/>
    <s v="j534699"/>
    <s v="CHARTON FABIAN"/>
    <n v="10"/>
    <x v="3"/>
    <x v="2"/>
    <s v="PLAQUETTES"/>
    <x v="0"/>
    <n v="109.7"/>
  </r>
  <r>
    <d v="2025-10-24T07:22:34"/>
    <x v="2"/>
    <s v="Plaquettes d'ébauches rhombiques"/>
    <s v="j534699"/>
    <s v="CHARTON FABIAN"/>
    <n v="10"/>
    <x v="2"/>
    <x v="2"/>
    <s v="PLAQUETTES"/>
    <x v="1"/>
    <n v="70"/>
  </r>
  <r>
    <d v="2025-10-24T07:23:04"/>
    <x v="9"/>
    <s v="Plaquettes rhombiques"/>
    <s v="j534699"/>
    <s v="CHARTON FABIAN"/>
    <n v="5"/>
    <x v="2"/>
    <x v="2"/>
    <s v="PLAQUETTES"/>
    <x v="1"/>
    <n v="44.85"/>
  </r>
  <r>
    <d v="2025-10-24T07:23:28"/>
    <x v="4"/>
    <s v="Plaquettes de finition"/>
    <s v="j534699"/>
    <s v="CHARTON FABIAN"/>
    <n v="5"/>
    <x v="2"/>
    <x v="2"/>
    <s v="PLAQUETTES"/>
    <x v="1"/>
    <n v="47.8"/>
  </r>
  <r>
    <d v="2025-10-24T07:24:07"/>
    <x v="3"/>
    <s v="Plaquettes rondes"/>
    <s v="j534699"/>
    <s v="CHARTON FABIAN"/>
    <n v="10"/>
    <x v="2"/>
    <x v="0"/>
    <s v="PLAQUETTES"/>
    <x v="1"/>
    <n v="136.69999999999999"/>
  </r>
  <r>
    <d v="2025-10-24T07:24:38"/>
    <x v="5"/>
    <s v="Plaquettes rondes"/>
    <s v="j534699"/>
    <s v="CHARTON FABIAN"/>
    <n v="10"/>
    <x v="2"/>
    <x v="0"/>
    <s v="PLAQUETTES"/>
    <x v="1"/>
    <n v="108.5"/>
  </r>
  <r>
    <d v="2025-10-24T07:25:07"/>
    <x v="2"/>
    <s v="Plaquettes d'ébauches rhombiques"/>
    <s v="j534699"/>
    <s v="CHARTON FABIAN"/>
    <n v="10"/>
    <x v="2"/>
    <x v="0"/>
    <s v="PLAQUETTES"/>
    <x v="1"/>
    <n v="70"/>
  </r>
  <r>
    <d v="2025-10-24T07:25:33"/>
    <x v="1"/>
    <s v="Plaquettes d'ébauches carrées"/>
    <s v="j534699"/>
    <s v="CHARTON FABIAN"/>
    <n v="10"/>
    <x v="2"/>
    <x v="0"/>
    <s v="PLAQUETTES"/>
    <x v="1"/>
    <n v="71.2"/>
  </r>
  <r>
    <d v="2025-10-24T07:26:02"/>
    <x v="2"/>
    <s v="Plaquettes d'ébauches rhombiques"/>
    <s v="j534699"/>
    <s v="CHARTON FABIAN"/>
    <n v="10"/>
    <x v="3"/>
    <x v="1"/>
    <s v="PLAQUETTES"/>
    <x v="0"/>
    <n v="70"/>
  </r>
  <r>
    <d v="2025-10-17T19:33:44"/>
    <x v="2"/>
    <s v="Plaquettes d'ébauches rhombiques"/>
    <s v="sd13196"/>
    <s v="FRADIN MAXIME"/>
    <n v="10"/>
    <x v="0"/>
    <x v="1"/>
    <s v="PLAQUETTES"/>
    <x v="1"/>
    <n v="70"/>
  </r>
  <r>
    <d v="2025-10-18T05:14:04"/>
    <x v="2"/>
    <s v="Plaquettes d'ébauches rhombiques"/>
    <s v="U518765"/>
    <s v="ROY ADELINE"/>
    <n v="10"/>
    <x v="0"/>
    <x v="0"/>
    <s v="PLAQUETTES"/>
    <x v="1"/>
    <n v="70"/>
  </r>
  <r>
    <d v="2025-10-24T19:35:07"/>
    <x v="1"/>
    <s v="Plaquettes d'ébauches carrées"/>
    <s v="u134838"/>
    <s v="DANAH STEPHANIE"/>
    <n v="10"/>
    <x v="1"/>
    <x v="0"/>
    <s v="PLAQUETTES"/>
    <x v="0"/>
    <n v="71.2"/>
  </r>
  <r>
    <d v="2025-10-24T19:35:26"/>
    <x v="6"/>
    <s v="Plaquettes de finition positives"/>
    <s v="u134838"/>
    <s v="DANAH STEPHANIE"/>
    <n v="10"/>
    <x v="1"/>
    <x v="2"/>
    <s v="PLAQUETTES"/>
    <x v="0"/>
    <n v="87"/>
  </r>
  <r>
    <d v="2025-10-18T20:31:53"/>
    <x v="2"/>
    <s v="Plaquettes d'ébauches rhombiques"/>
    <s v="U054304"/>
    <s v="BOUACHIK HICHAM"/>
    <n v="10"/>
    <x v="0"/>
    <x v="0"/>
    <s v="PLAQUETTES"/>
    <x v="1"/>
    <n v="70"/>
  </r>
  <r>
    <d v="2025-10-25T02:57:17"/>
    <x v="6"/>
    <s v="Plaquettes de finition positives"/>
    <s v="VERGE G"/>
    <s v="VERGE GREGORY"/>
    <n v="10"/>
    <x v="3"/>
    <x v="2"/>
    <s v="PLAQUETTES"/>
    <x v="0"/>
    <n v="87"/>
  </r>
  <r>
    <d v="2025-10-25T02:57:59"/>
    <x v="6"/>
    <s v="Plaquettes de finition positives"/>
    <s v="VERGE G"/>
    <s v="VERGE GREGORY"/>
    <n v="10"/>
    <x v="3"/>
    <x v="2"/>
    <s v="PLAQUETTES"/>
    <x v="0"/>
    <n v="87"/>
  </r>
  <r>
    <d v="2025-10-25T05:36:37"/>
    <x v="4"/>
    <s v="Plaquettes de finition"/>
    <s v="U198152"/>
    <s v="AJMIK MUSTAPHA"/>
    <n v="5"/>
    <x v="2"/>
    <x v="2"/>
    <s v="PLAQUETTES"/>
    <x v="1"/>
    <n v="47.8"/>
  </r>
  <r>
    <d v="2025-10-25T05:36:56"/>
    <x v="6"/>
    <s v="Plaquettes de finition positives"/>
    <s v="U198152"/>
    <s v="AJMIK MUSTAPHA"/>
    <n v="10"/>
    <x v="3"/>
    <x v="2"/>
    <s v="PLAQUETTES"/>
    <x v="0"/>
    <n v="87"/>
  </r>
  <r>
    <d v="2025-10-25T05:37:10"/>
    <x v="6"/>
    <s v="Plaquettes de finition positives"/>
    <s v="U198152"/>
    <s v="AJMIK MUSTAPHA"/>
    <n v="10"/>
    <x v="3"/>
    <x v="2"/>
    <s v="PLAQUETTES"/>
    <x v="0"/>
    <n v="87"/>
  </r>
  <r>
    <d v="2025-10-25T05:37:31"/>
    <x v="2"/>
    <s v="Plaquettes d'ébauches rhombiques"/>
    <s v="U198152"/>
    <s v="AJMIK MUSTAPHA"/>
    <n v="10"/>
    <x v="1"/>
    <x v="0"/>
    <s v="PLAQUETTES"/>
    <x v="0"/>
    <n v="70"/>
  </r>
  <r>
    <d v="2025-10-25T05:37:47"/>
    <x v="2"/>
    <s v="Plaquettes d'ébauches rhombiques"/>
    <s v="U198152"/>
    <s v="AJMIK MUSTAPHA"/>
    <n v="10"/>
    <x v="3"/>
    <x v="0"/>
    <s v="PLAQUETTES"/>
    <x v="0"/>
    <n v="70"/>
  </r>
  <r>
    <d v="2025-10-25T05:38:03"/>
    <x v="4"/>
    <s v="Plaquettes de finition"/>
    <s v="U198152"/>
    <s v="AJMIK MUSTAPHA"/>
    <n v="5"/>
    <x v="2"/>
    <x v="2"/>
    <s v="PLAQUETTES"/>
    <x v="1"/>
    <n v="47.8"/>
  </r>
  <r>
    <d v="2025-10-25T06:44:39"/>
    <x v="2"/>
    <s v="Plaquettes d'ébauches rhombiques"/>
    <s v="U054304"/>
    <s v="BOUACHIK HICHAM"/>
    <n v="10"/>
    <x v="1"/>
    <x v="0"/>
    <s v="PLAQUETTES"/>
    <x v="0"/>
    <n v="70"/>
  </r>
  <r>
    <d v="2025-10-25T13:08:16"/>
    <x v="6"/>
    <s v="Plaquettes de finition positives"/>
    <s v="U054304"/>
    <s v="BOUACHIK HICHAM"/>
    <n v="10"/>
    <x v="1"/>
    <x v="2"/>
    <s v="PLAQUETTES"/>
    <x v="0"/>
    <n v="87"/>
  </r>
  <r>
    <d v="2025-10-25T19:08:22"/>
    <x v="4"/>
    <s v="Plaquettes de finition"/>
    <s v="U534565"/>
    <s v="HOAREAU MARIUS"/>
    <n v="5"/>
    <x v="2"/>
    <x v="2"/>
    <s v="PLAQUETTES"/>
    <x v="1"/>
    <n v="47.8"/>
  </r>
  <r>
    <d v="2025-10-25T19:08:41"/>
    <x v="6"/>
    <s v="Plaquettes de finition positives"/>
    <s v="U534565"/>
    <s v="HOAREAU MARIUS"/>
    <n v="10"/>
    <x v="3"/>
    <x v="2"/>
    <s v="PLAQUETTES"/>
    <x v="0"/>
    <n v="87"/>
  </r>
  <r>
    <d v="2025-10-25T19:09:12"/>
    <x v="2"/>
    <s v="Plaquettes d'ébauches rhombiques"/>
    <s v="U534565"/>
    <s v="HOAREAU MARIUS"/>
    <n v="10"/>
    <x v="1"/>
    <x v="0"/>
    <s v="PLAQUETTES"/>
    <x v="0"/>
    <n v="70"/>
  </r>
  <r>
    <d v="2025-10-25T19:09:45"/>
    <x v="2"/>
    <s v="Plaquettes d'ébauches rhombiques"/>
    <s v="U534565"/>
    <s v="HOAREAU MARIUS"/>
    <n v="10"/>
    <x v="2"/>
    <x v="0"/>
    <s v="PLAQUETTES"/>
    <x v="1"/>
    <n v="70"/>
  </r>
  <r>
    <d v="2025-10-19T18:25:27"/>
    <x v="2"/>
    <s v="Plaquettes d'ébauches rhombiques"/>
    <s v="U054304"/>
    <s v="BOUACHIK HICHAM"/>
    <n v="10"/>
    <x v="0"/>
    <x v="0"/>
    <s v="PLAQUETTES"/>
    <x v="0"/>
    <n v="70"/>
  </r>
  <r>
    <d v="2025-10-25T19:10:32"/>
    <x v="6"/>
    <s v="Plaquettes de finition positives"/>
    <s v="U534565"/>
    <s v="HOAREAU MARIUS"/>
    <n v="10"/>
    <x v="1"/>
    <x v="2"/>
    <s v="PLAQUETTES"/>
    <x v="0"/>
    <n v="87"/>
  </r>
  <r>
    <d v="2025-10-20T05:15:33"/>
    <x v="2"/>
    <s v="Plaquettes d'ébauches rhombiques"/>
    <s v="sd13196"/>
    <s v="FRADIN MAXIME"/>
    <n v="10"/>
    <x v="0"/>
    <x v="1"/>
    <s v="PLAQUETTES"/>
    <x v="0"/>
    <n v="70"/>
  </r>
  <r>
    <d v="2025-10-22T13:52:56"/>
    <x v="2"/>
    <s v="Plaquettes d'ébauches rhombiques"/>
    <s v="u134838"/>
    <s v="DANAH STEPHANIE"/>
    <n v="10"/>
    <x v="0"/>
    <x v="0"/>
    <s v="PLAQUETTES"/>
    <x v="0"/>
    <n v="70"/>
  </r>
  <r>
    <d v="2025-10-23T15:24:04"/>
    <x v="2"/>
    <s v="Plaquettes d'ébauches rhombiques"/>
    <s v="u134838"/>
    <s v="DANAH STEPHANIE"/>
    <n v="10"/>
    <x v="0"/>
    <x v="0"/>
    <s v="PLAQUETTES"/>
    <x v="1"/>
    <n v="70"/>
  </r>
  <r>
    <d v="2025-10-23T15:25:48"/>
    <x v="2"/>
    <s v="Plaquettes d'ébauches rhombiques"/>
    <s v="u134838"/>
    <s v="DANAH STEPHANIE"/>
    <n v="10"/>
    <x v="0"/>
    <x v="2"/>
    <s v="PLAQUETTES"/>
    <x v="1"/>
    <n v="70"/>
  </r>
  <r>
    <d v="2025-10-26T04:41:41"/>
    <x v="6"/>
    <s v="Plaquettes de finition positives"/>
    <s v="j534699"/>
    <s v="CHARTON FABIAN"/>
    <n v="10"/>
    <x v="1"/>
    <x v="2"/>
    <s v="PLAQUETTES"/>
    <x v="0"/>
    <n v="87"/>
  </r>
  <r>
    <d v="2025-10-26T04:42:09"/>
    <x v="6"/>
    <s v="Plaquettes de finition positives"/>
    <s v="j534699"/>
    <s v="CHARTON FABIAN"/>
    <n v="10"/>
    <x v="1"/>
    <x v="2"/>
    <s v="PLAQUETTES"/>
    <x v="0"/>
    <n v="87"/>
  </r>
  <r>
    <d v="2025-10-26T04:42:46"/>
    <x v="1"/>
    <s v="Plaquettes d'ébauches carrées"/>
    <s v="j534699"/>
    <s v="CHARTON FABIAN"/>
    <n v="10"/>
    <x v="1"/>
    <x v="1"/>
    <s v="PLAQUETTES"/>
    <x v="0"/>
    <n v="71.2"/>
  </r>
  <r>
    <d v="2025-10-26T05:16:41"/>
    <x v="6"/>
    <s v="Plaquettes de finition positives"/>
    <s v="U198152"/>
    <s v="AJMIK MUSTAPHA"/>
    <n v="10"/>
    <x v="3"/>
    <x v="2"/>
    <s v="PLAQUETTES"/>
    <x v="0"/>
    <n v="87"/>
  </r>
  <r>
    <d v="2025-10-26T05:17:08"/>
    <x v="7"/>
    <s v="Plaquettes de finition triangulaires"/>
    <s v="U198152"/>
    <s v="AJMIK MUSTAPHA"/>
    <n v="10"/>
    <x v="3"/>
    <x v="2"/>
    <s v="PLAQUETTES"/>
    <x v="0"/>
    <n v="138.80000000000001"/>
  </r>
  <r>
    <d v="2025-10-26T05:17:24"/>
    <x v="10"/>
    <s v="Plaquettes de finition"/>
    <s v="U198152"/>
    <s v="AJMIK MUSTAPHA"/>
    <n v="10"/>
    <x v="3"/>
    <x v="2"/>
    <s v="PLAQUETTES"/>
    <x v="0"/>
    <n v="109.7"/>
  </r>
  <r>
    <d v="2025-10-26T05:17:42"/>
    <x v="4"/>
    <s v="Plaquettes de finition"/>
    <s v="U198152"/>
    <s v="AJMIK MUSTAPHA"/>
    <n v="5"/>
    <x v="2"/>
    <x v="2"/>
    <s v="PLAQUETTES"/>
    <x v="1"/>
    <n v="47.8"/>
  </r>
  <r>
    <d v="2025-10-26T05:17:58"/>
    <x v="2"/>
    <s v="Plaquettes d'ébauches rhombiques"/>
    <s v="U198152"/>
    <s v="AJMIK MUSTAPHA"/>
    <n v="10"/>
    <x v="2"/>
    <x v="0"/>
    <s v="PLAQUETTES"/>
    <x v="1"/>
    <n v="70"/>
  </r>
  <r>
    <d v="2025-10-26T13:08:58"/>
    <x v="9"/>
    <s v="Plaquettes rhombiques"/>
    <s v="U198152"/>
    <s v="AJMIK MUSTAPHA"/>
    <n v="5"/>
    <x v="2"/>
    <x v="2"/>
    <s v="PLAQUETTES"/>
    <x v="1"/>
    <n v="44.85"/>
  </r>
  <r>
    <d v="2025-10-26T13:09:20"/>
    <x v="6"/>
    <s v="Plaquettes de finition positives"/>
    <s v="U198152"/>
    <s v="AJMIK MUSTAPHA"/>
    <n v="10"/>
    <x v="3"/>
    <x v="2"/>
    <s v="PLAQUETTES"/>
    <x v="0"/>
    <n v="87"/>
  </r>
  <r>
    <d v="2025-10-26T13:09:39"/>
    <x v="5"/>
    <s v="Plaquettes rondes"/>
    <s v="U198152"/>
    <s v="AJMIK MUSTAPHA"/>
    <n v="10"/>
    <x v="3"/>
    <x v="0"/>
    <s v="PLAQUETTES"/>
    <x v="0"/>
    <n v="108.5"/>
  </r>
  <r>
    <d v="2025-10-27T00:24:09"/>
    <x v="2"/>
    <s v="Plaquettes d'ébauches rhombiques"/>
    <s v="U534565"/>
    <s v="HOAREAU MARIUS"/>
    <n v="10"/>
    <x v="1"/>
    <x v="0"/>
    <s v="PLAQUETTES"/>
    <x v="0"/>
    <n v="70"/>
  </r>
  <r>
    <d v="2025-10-27T09:48:06"/>
    <x v="1"/>
    <s v="Plaquettes d'ébauches carrées"/>
    <s v="12824586"/>
    <s v="DA SILVA FERNANDO"/>
    <n v="10"/>
    <x v="1"/>
    <x v="1"/>
    <s v="PLAQUETTES"/>
    <x v="4"/>
    <n v="71.2"/>
  </r>
  <r>
    <d v="2025-10-27T13:03:20"/>
    <x v="6"/>
    <s v="Plaquettes de finition positives"/>
    <s v="sd13196"/>
    <s v="FRADIN MAXIME"/>
    <n v="10"/>
    <x v="3"/>
    <x v="2"/>
    <s v="PLAQUETTES"/>
    <x v="0"/>
    <n v="87"/>
  </r>
  <r>
    <d v="2025-10-27T17:34:44"/>
    <x v="6"/>
    <s v="Plaquettes de finition positives"/>
    <s v="sd13196"/>
    <s v="FRADIN MAXIME"/>
    <n v="10"/>
    <x v="1"/>
    <x v="2"/>
    <s v="PLAQUETTES"/>
    <x v="0"/>
    <n v="87"/>
  </r>
  <r>
    <d v="2025-10-27T17:35:04"/>
    <x v="2"/>
    <s v="Plaquettes d'ébauches rhombiques"/>
    <s v="sd13196"/>
    <s v="FRADIN MAXIME"/>
    <n v="10"/>
    <x v="1"/>
    <x v="1"/>
    <s v="PLAQUETTES"/>
    <x v="0"/>
    <n v="70"/>
  </r>
  <r>
    <d v="2025-10-27T19:41:22"/>
    <x v="6"/>
    <s v="Plaquettes de finition positives"/>
    <s v="sd13196"/>
    <s v="FRADIN MAXIME"/>
    <n v="10"/>
    <x v="3"/>
    <x v="2"/>
    <s v="PLAQUETTES"/>
    <x v="0"/>
    <n v="87"/>
  </r>
  <r>
    <d v="2025-10-27T21:20:14"/>
    <x v="0"/>
    <s v="Plaquette piste OP20 R1,2 T323"/>
    <s v="j519914"/>
    <s v="MARLY DAVID"/>
    <n v="5"/>
    <x v="1"/>
    <x v="0"/>
    <s v="PLAQUETTES"/>
    <x v="0"/>
    <n v="35"/>
  </r>
  <r>
    <d v="2025-10-27T21:20:38"/>
    <x v="6"/>
    <s v="Plaquettes de finition positives"/>
    <s v="j519914"/>
    <s v="MARLY DAVID"/>
    <n v="10"/>
    <x v="1"/>
    <x v="2"/>
    <s v="PLAQUETTES"/>
    <x v="0"/>
    <n v="87"/>
  </r>
  <r>
    <d v="2025-10-24T19:34:48"/>
    <x v="2"/>
    <s v="Plaquettes d'ébauches rhombiques"/>
    <s v="u134838"/>
    <s v="DANAH STEPHANIE"/>
    <n v="10"/>
    <x v="0"/>
    <x v="0"/>
    <s v="PLAQUETTES"/>
    <x v="1"/>
    <n v="70"/>
  </r>
  <r>
    <d v="2025-10-27T21:21:42"/>
    <x v="2"/>
    <s v="Plaquettes d'ébauches rhombiques"/>
    <s v="j519914"/>
    <s v="MARLY DAVID"/>
    <n v="10"/>
    <x v="1"/>
    <x v="1"/>
    <s v="PLAQUETTES"/>
    <x v="0"/>
    <n v="70"/>
  </r>
  <r>
    <d v="2025-10-27T22:39:10"/>
    <x v="1"/>
    <s v="Plaquettes d'ébauches carrées"/>
    <s v="j519914"/>
    <s v="MARLY DAVID"/>
    <n v="10"/>
    <x v="1"/>
    <x v="0"/>
    <s v="PLAQUETTES"/>
    <x v="0"/>
    <n v="71.2"/>
  </r>
  <r>
    <d v="2025-10-25T19:10:11"/>
    <x v="2"/>
    <s v="Plaquettes d'ébauches rhombiques"/>
    <s v="U534565"/>
    <s v="HOAREAU MARIUS"/>
    <n v="10"/>
    <x v="0"/>
    <x v="1"/>
    <s v="PLAQUETTES"/>
    <x v="0"/>
    <n v="70"/>
  </r>
  <r>
    <d v="2025-10-28T05:17:19"/>
    <x v="7"/>
    <s v="Plaquettes de finition triangulaires"/>
    <s v="u134838"/>
    <s v="DANAH STEPHANIE"/>
    <n v="10"/>
    <x v="1"/>
    <x v="2"/>
    <s v="PLAQUETTES"/>
    <x v="0"/>
    <n v="138.80000000000001"/>
  </r>
  <r>
    <d v="2025-10-28T05:17:42"/>
    <x v="2"/>
    <s v="Plaquettes d'ébauches rhombiques"/>
    <s v="u134838"/>
    <s v="DANAH STEPHANIE"/>
    <n v="10"/>
    <x v="0"/>
    <x v="2"/>
    <s v="PLAQUETTES"/>
    <x v="1"/>
    <n v="70"/>
  </r>
  <r>
    <d v="2025-10-30T00:02:04"/>
    <x v="2"/>
    <s v="Plaquettes d'ébauches rhombiques"/>
    <s v="j519914"/>
    <s v="MARLY DAVID"/>
    <n v="10"/>
    <x v="0"/>
    <x v="0"/>
    <s v="PLAQUETTES"/>
    <x v="0"/>
    <n v="70"/>
  </r>
  <r>
    <d v="2025-10-31T13:26:36"/>
    <x v="2"/>
    <s v="Plaquettes d'ébauches rhombiques"/>
    <s v="u134838"/>
    <s v="DANAH STEPHANIE"/>
    <n v="10"/>
    <x v="0"/>
    <x v="2"/>
    <s v="PLAQUETTES"/>
    <x v="1"/>
    <n v="70"/>
  </r>
  <r>
    <d v="2025-10-28T14:38:18"/>
    <x v="4"/>
    <s v="Plaquettes de finition"/>
    <s v="sd13196"/>
    <s v="FRADIN MAXIME"/>
    <n v="5"/>
    <x v="3"/>
    <x v="2"/>
    <s v="PLAQUETTES"/>
    <x v="2"/>
    <n v="47.8"/>
  </r>
  <r>
    <d v="2025-10-28T14:38:44"/>
    <x v="10"/>
    <s v="Plaquettes de finition"/>
    <s v="sd13196"/>
    <s v="FRADIN MAXIME"/>
    <n v="10"/>
    <x v="3"/>
    <x v="2"/>
    <s v="PLAQUETTES"/>
    <x v="2"/>
    <n v="109.7"/>
  </r>
  <r>
    <d v="2025-10-28T14:39:19"/>
    <x v="2"/>
    <s v="Plaquettes d'ébauches rhombiques"/>
    <s v="sd13196"/>
    <s v="FRADIN MAXIME"/>
    <n v="10"/>
    <x v="3"/>
    <x v="2"/>
    <s v="PLAQUETTES"/>
    <x v="2"/>
    <n v="70"/>
  </r>
  <r>
    <d v="2025-10-28T14:39:54"/>
    <x v="4"/>
    <s v="Plaquettes de finition"/>
    <s v="sd13196"/>
    <s v="FRADIN MAXIME"/>
    <n v="5"/>
    <x v="2"/>
    <x v="2"/>
    <s v="PLAQUETTES"/>
    <x v="1"/>
    <n v="47.8"/>
  </r>
  <r>
    <d v="2025-10-28T14:40:35"/>
    <x v="9"/>
    <s v="Plaquettes rhombiques"/>
    <s v="sd13196"/>
    <s v="FRADIN MAXIME"/>
    <n v="5"/>
    <x v="2"/>
    <x v="2"/>
    <s v="PLAQUETTES"/>
    <x v="1"/>
    <n v="44.85"/>
  </r>
  <r>
    <d v="2025-10-28T16:34:30"/>
    <x v="6"/>
    <s v="Plaquettes de finition positives"/>
    <s v="SD13196"/>
    <s v="FRADIN MAXIME"/>
    <n v="10"/>
    <x v="1"/>
    <x v="2"/>
    <s v="PLAQUETTES"/>
    <x v="0"/>
    <n v="87"/>
  </r>
  <r>
    <d v="2025-10-28T16:34:47"/>
    <x v="10"/>
    <s v="Plaquettes de finition"/>
    <s v="SD13196"/>
    <s v="FRADIN MAXIME"/>
    <n v="10"/>
    <x v="1"/>
    <x v="2"/>
    <s v="PLAQUETTES"/>
    <x v="0"/>
    <n v="109.7"/>
  </r>
  <r>
    <d v="2025-10-28T16:35:03"/>
    <x v="7"/>
    <s v="Plaquettes de finition triangulaires"/>
    <s v="SD13196"/>
    <s v="FRADIN MAXIME"/>
    <n v="10"/>
    <x v="1"/>
    <x v="2"/>
    <s v="PLAQUETTES"/>
    <x v="0"/>
    <n v="138.80000000000001"/>
  </r>
  <r>
    <d v="2025-10-28T16:35:15"/>
    <x v="6"/>
    <s v="Plaquettes de finition positives"/>
    <s v="SD13196"/>
    <s v="FRADIN MAXIME"/>
    <n v="10"/>
    <x v="1"/>
    <x v="2"/>
    <s v="PLAQUETTES"/>
    <x v="0"/>
    <n v="87"/>
  </r>
  <r>
    <d v="2025-10-28T21:02:10"/>
    <x v="2"/>
    <s v="Plaquettes d'ébauches rhombiques"/>
    <s v="VERGE G"/>
    <s v="VERGE GREGORY"/>
    <n v="10"/>
    <x v="2"/>
    <x v="1"/>
    <s v="PLAQUETTES"/>
    <x v="1"/>
    <n v="70"/>
  </r>
  <r>
    <d v="2025-10-28T21:02:24"/>
    <x v="2"/>
    <s v="Plaquettes d'ébauches rhombiques"/>
    <s v="VERGE G"/>
    <s v="VERGE GREGORY"/>
    <n v="10"/>
    <x v="2"/>
    <x v="1"/>
    <s v="PLAQUETTES"/>
    <x v="1"/>
    <n v="70"/>
  </r>
  <r>
    <d v="2025-10-28T21:02:42"/>
    <x v="1"/>
    <s v="Plaquettes d'ébauches carrées"/>
    <s v="VERGE G"/>
    <s v="VERGE GREGORY"/>
    <n v="10"/>
    <x v="2"/>
    <x v="1"/>
    <s v="PLAQUETTES"/>
    <x v="1"/>
    <n v="71.2"/>
  </r>
  <r>
    <d v="2025-10-28T21:02:52"/>
    <x v="4"/>
    <s v="Plaquettes de finition"/>
    <s v="VERGE G"/>
    <s v="VERGE GREGORY"/>
    <n v="5"/>
    <x v="2"/>
    <x v="2"/>
    <s v="PLAQUETTES"/>
    <x v="1"/>
    <n v="47.8"/>
  </r>
  <r>
    <d v="2025-10-28T21:03:04"/>
    <x v="4"/>
    <s v="Plaquettes de finition"/>
    <s v="VERGE G"/>
    <s v="VERGE GREGORY"/>
    <n v="5"/>
    <x v="2"/>
    <x v="2"/>
    <s v="PLAQUETTES"/>
    <x v="1"/>
    <n v="47.8"/>
  </r>
  <r>
    <d v="2025-10-28T21:31:25"/>
    <x v="0"/>
    <s v="Plaquette piste OP20 R1,2 T323"/>
    <s v="j519914"/>
    <s v="MARLY DAVID"/>
    <n v="5"/>
    <x v="1"/>
    <x v="0"/>
    <s v="PLAQUETTES"/>
    <x v="0"/>
    <n v="35"/>
  </r>
  <r>
    <d v="2025-10-31T13:48:16"/>
    <x v="2"/>
    <s v="Plaquettes d'ébauches rhombiques"/>
    <s v="12824586"/>
    <s v="DA SILVA FERNANDO"/>
    <n v="10"/>
    <x v="0"/>
    <x v="1"/>
    <s v="PLAQUETTES"/>
    <x v="4"/>
    <n v="70"/>
  </r>
  <r>
    <d v="2025-10-28T21:32:15"/>
    <x v="6"/>
    <s v="Plaquettes de finition positives"/>
    <s v="j519914"/>
    <s v="MARLY DAVID"/>
    <n v="10"/>
    <x v="1"/>
    <x v="2"/>
    <s v="PLAQUETTES"/>
    <x v="0"/>
    <n v="87"/>
  </r>
  <r>
    <d v="2025-10-28T21:32:40"/>
    <x v="2"/>
    <s v="Plaquettes d'ébauches rhombiques"/>
    <s v="j519914"/>
    <s v="MARLY DAVID"/>
    <n v="10"/>
    <x v="1"/>
    <x v="0"/>
    <s v="PLAQUETTES"/>
    <x v="0"/>
    <n v="70"/>
  </r>
  <r>
    <d v="2025-11-02T05:24:52"/>
    <x v="2"/>
    <s v="Plaquettes d'ébauches rhombiques"/>
    <s v="U534565"/>
    <s v="HOAREAU MARIUS"/>
    <n v="10"/>
    <x v="0"/>
    <x v="1"/>
    <s v="PLAQUETTES"/>
    <x v="0"/>
    <n v="70"/>
  </r>
  <r>
    <d v="2025-10-29T06:20:51"/>
    <x v="3"/>
    <s v="Plaquettes rondes"/>
    <s v="170325"/>
    <s v="VERDELET BASTIEN"/>
    <n v="10"/>
    <x v="2"/>
    <x v="0"/>
    <s v="PLAQUETTES"/>
    <x v="1"/>
    <n v="136.69999999999999"/>
  </r>
  <r>
    <d v="2025-10-29T06:21:18"/>
    <x v="4"/>
    <s v="Plaquettes de finition"/>
    <s v="170325"/>
    <s v="VERDELET BASTIEN"/>
    <n v="5"/>
    <x v="2"/>
    <x v="2"/>
    <s v="PLAQUETTES"/>
    <x v="1"/>
    <n v="47.8"/>
  </r>
  <r>
    <d v="2025-11-03T05:08:16"/>
    <x v="2"/>
    <s v="Plaquettes d'ébauches rhombiques"/>
    <s v="sd13196"/>
    <s v="FRADIN MAXIME"/>
    <n v="10"/>
    <x v="0"/>
    <x v="1"/>
    <s v="PLAQUETTES"/>
    <x v="0"/>
    <n v="70"/>
  </r>
  <r>
    <d v="2025-10-29T16:45:34"/>
    <x v="6"/>
    <s v="Plaquettes de finition positives"/>
    <s v="sd13196"/>
    <s v="FRADIN MAXIME"/>
    <n v="10"/>
    <x v="1"/>
    <x v="2"/>
    <s v="PLAQUETTES"/>
    <x v="0"/>
    <n v="87"/>
  </r>
  <r>
    <d v="2025-10-29T16:45:50"/>
    <x v="6"/>
    <s v="Plaquettes de finition positives"/>
    <s v="sd13196"/>
    <s v="FRADIN MAXIME"/>
    <n v="10"/>
    <x v="1"/>
    <x v="2"/>
    <s v="PLAQUETTES"/>
    <x v="0"/>
    <n v="87"/>
  </r>
  <r>
    <d v="2025-10-29T18:45:37"/>
    <x v="2"/>
    <s v="Plaquettes d'ébauches rhombiques"/>
    <s v="u462308"/>
    <s v="MAITRE SEBASTIEN"/>
    <n v="10"/>
    <x v="3"/>
    <x v="0"/>
    <s v="PLAQUETTES"/>
    <x v="2"/>
    <n v="70"/>
  </r>
  <r>
    <d v="2025-10-29T21:14:40"/>
    <x v="2"/>
    <s v="Plaquettes d'ébauches rhombiques"/>
    <s v="VERGE G"/>
    <s v="VERGE GREGORY"/>
    <n v="10"/>
    <x v="2"/>
    <x v="1"/>
    <s v="PLAQUETTES"/>
    <x v="1"/>
    <n v="70"/>
  </r>
  <r>
    <d v="2025-10-29T21:14:52"/>
    <x v="2"/>
    <s v="Plaquettes d'ébauches rhombiques"/>
    <s v="VERGE G"/>
    <s v="VERGE GREGORY"/>
    <n v="10"/>
    <x v="2"/>
    <x v="1"/>
    <s v="PLAQUETTES"/>
    <x v="1"/>
    <n v="70"/>
  </r>
  <r>
    <d v="2025-10-29T21:15:05"/>
    <x v="1"/>
    <s v="Plaquettes d'ébauches carrées"/>
    <s v="VERGE G"/>
    <s v="VERGE GREGORY"/>
    <n v="10"/>
    <x v="2"/>
    <x v="1"/>
    <s v="PLAQUETTES"/>
    <x v="1"/>
    <n v="71.2"/>
  </r>
  <r>
    <d v="2025-11-03T14:33:12"/>
    <x v="2"/>
    <s v="Plaquettes d'ébauches rhombiques"/>
    <s v="u134838"/>
    <s v="DANAH STEPHANIE"/>
    <n v="10"/>
    <x v="0"/>
    <x v="2"/>
    <s v="PLAQUETTES"/>
    <x v="1"/>
    <n v="70"/>
  </r>
  <r>
    <d v="2025-10-30T00:02:25"/>
    <x v="1"/>
    <s v="Plaquettes d'ébauches carrées"/>
    <s v="j519914"/>
    <s v="MARLY DAVID"/>
    <n v="10"/>
    <x v="1"/>
    <x v="0"/>
    <s v="PLAQUETTES"/>
    <x v="0"/>
    <n v="71.2"/>
  </r>
  <r>
    <d v="2025-11-03T14:33:53"/>
    <x v="2"/>
    <s v="Plaquettes d'ébauches rhombiques"/>
    <s v="u134838"/>
    <s v="DANAH STEPHANIE"/>
    <n v="10"/>
    <x v="0"/>
    <x v="0"/>
    <s v="PLAQUETTES"/>
    <x v="1"/>
    <n v="70"/>
  </r>
  <r>
    <d v="2025-10-30T00:03:10"/>
    <x v="6"/>
    <s v="Plaquettes de finition positives"/>
    <s v="j519914"/>
    <s v="MARLY DAVID"/>
    <n v="10"/>
    <x v="1"/>
    <x v="2"/>
    <s v="PLAQUETTES"/>
    <x v="0"/>
    <n v="87"/>
  </r>
  <r>
    <d v="2025-10-30T12:47:41"/>
    <x v="4"/>
    <s v="Plaquettes de finition"/>
    <s v="170325"/>
    <s v="VERDELET BASTIEN"/>
    <n v="5"/>
    <x v="2"/>
    <x v="2"/>
    <s v="PLAQUETTES"/>
    <x v="1"/>
    <n v="47.8"/>
  </r>
  <r>
    <d v="2025-10-30T12:47:53"/>
    <x v="11"/>
    <s v="Plaquettes de finition triangulaires"/>
    <s v="170325"/>
    <s v="VERDELET BASTIEN"/>
    <n v="10"/>
    <x v="2"/>
    <x v="2"/>
    <s v="PLAQUETTES"/>
    <x v="1"/>
    <n v="118.7"/>
  </r>
  <r>
    <d v="2025-10-30T12:48:11"/>
    <x v="9"/>
    <s v="Plaquettes rhombiques"/>
    <s v="170325"/>
    <s v="VERDELET BASTIEN"/>
    <n v="5"/>
    <x v="2"/>
    <x v="2"/>
    <s v="PLAQUETTES"/>
    <x v="1"/>
    <n v="44.85"/>
  </r>
  <r>
    <d v="2025-10-30T12:48:25"/>
    <x v="2"/>
    <s v="Plaquettes d'ébauches rhombiques"/>
    <s v="170325"/>
    <s v="VERDELET BASTIEN"/>
    <n v="10"/>
    <x v="2"/>
    <x v="2"/>
    <s v="PLAQUETTES"/>
    <x v="1"/>
    <n v="70"/>
  </r>
  <r>
    <d v="2025-10-30T12:48:37"/>
    <x v="5"/>
    <s v="Plaquettes rondes"/>
    <s v="170325"/>
    <s v="VERDELET BASTIEN"/>
    <n v="10"/>
    <x v="2"/>
    <x v="0"/>
    <s v="PLAQUETTES"/>
    <x v="1"/>
    <n v="108.5"/>
  </r>
  <r>
    <d v="2025-10-30T15:36:45"/>
    <x v="0"/>
    <s v="Plaquette piste OP20 R1,2 T323"/>
    <s v="SD13196"/>
    <s v="FRADIN MAXIME"/>
    <n v="5"/>
    <x v="1"/>
    <x v="0"/>
    <s v="PLAQUETTES"/>
    <x v="0"/>
    <n v="35"/>
  </r>
  <r>
    <d v="2025-10-30T16:48:36"/>
    <x v="1"/>
    <s v="Plaquettes d'ébauches carrées"/>
    <s v="sd13196"/>
    <s v="FRADIN MAXIME"/>
    <n v="10"/>
    <x v="2"/>
    <x v="0"/>
    <s v="PLAQUETTES"/>
    <x v="1"/>
    <n v="71.2"/>
  </r>
  <r>
    <d v="2025-10-30T16:59:54"/>
    <x v="7"/>
    <s v="Plaquettes de finition triangulaires"/>
    <s v="sd13196"/>
    <s v="FRADIN MAXIME"/>
    <n v="10"/>
    <x v="3"/>
    <x v="2"/>
    <s v="PLAQUETTES"/>
    <x v="0"/>
    <n v="138.80000000000001"/>
  </r>
  <r>
    <d v="2025-10-30T17:00:13"/>
    <x v="6"/>
    <s v="Plaquettes de finition positives"/>
    <s v="sd13196"/>
    <s v="FRADIN MAXIME"/>
    <n v="10"/>
    <x v="3"/>
    <x v="2"/>
    <s v="PLAQUETTES"/>
    <x v="0"/>
    <n v="87"/>
  </r>
  <r>
    <d v="2025-10-30T19:55:16"/>
    <x v="6"/>
    <s v="Plaquettes de finition positives"/>
    <s v="sd13196"/>
    <s v="FRADIN MAXIME"/>
    <n v="10"/>
    <x v="1"/>
    <x v="2"/>
    <s v="PLAQUETTES"/>
    <x v="0"/>
    <n v="87"/>
  </r>
  <r>
    <d v="2025-10-30T19:55:30"/>
    <x v="6"/>
    <s v="Plaquettes de finition positives"/>
    <s v="sd13196"/>
    <s v="FRADIN MAXIME"/>
    <n v="10"/>
    <x v="1"/>
    <x v="2"/>
    <s v="PLAQUETTES"/>
    <x v="0"/>
    <n v="87"/>
  </r>
  <r>
    <d v="2025-10-30T20:43:52"/>
    <x v="2"/>
    <s v="Plaquettes d'ébauches rhombiques"/>
    <s v="VERGE G"/>
    <s v="VERGE GREGORY"/>
    <n v="10"/>
    <x v="2"/>
    <x v="1"/>
    <s v="PLAQUETTES"/>
    <x v="1"/>
    <n v="70"/>
  </r>
  <r>
    <d v="2025-10-30T20:44:05"/>
    <x v="2"/>
    <s v="Plaquettes d'ébauches rhombiques"/>
    <s v="VERGE G"/>
    <s v="VERGE GREGORY"/>
    <n v="10"/>
    <x v="2"/>
    <x v="1"/>
    <s v="PLAQUETTES"/>
    <x v="1"/>
    <n v="70"/>
  </r>
  <r>
    <d v="2025-10-30T20:44:23"/>
    <x v="1"/>
    <s v="Plaquettes d'ébauches carrées"/>
    <s v="VERGE G"/>
    <s v="VERGE GREGORY"/>
    <n v="10"/>
    <x v="2"/>
    <x v="1"/>
    <s v="PLAQUETTES"/>
    <x v="1"/>
    <n v="71.2"/>
  </r>
  <r>
    <d v="2025-11-04T14:29:50"/>
    <x v="2"/>
    <s v="Plaquettes d'ébauches rhombiques"/>
    <s v="u134838"/>
    <s v="DANAH STEPHANIE"/>
    <n v="10"/>
    <x v="0"/>
    <x v="0"/>
    <s v="PLAQUETTES"/>
    <x v="1"/>
    <n v="70"/>
  </r>
  <r>
    <d v="2025-10-30T22:31:53"/>
    <x v="6"/>
    <s v="Plaquettes de finition positives"/>
    <s v="j519914"/>
    <s v="MARLY DAVID"/>
    <n v="10"/>
    <x v="1"/>
    <x v="2"/>
    <s v="PLAQUETTES"/>
    <x v="0"/>
    <n v="87"/>
  </r>
  <r>
    <d v="2025-10-30T22:32:18"/>
    <x v="2"/>
    <s v="Plaquettes d'ébauches rhombiques"/>
    <s v="j519914"/>
    <s v="MARLY DAVID"/>
    <n v="10"/>
    <x v="1"/>
    <x v="0"/>
    <s v="PLAQUETTES"/>
    <x v="0"/>
    <n v="70"/>
  </r>
  <r>
    <d v="2025-11-06T14:07:04"/>
    <x v="2"/>
    <s v="Plaquettes d'ébauches rhombiques"/>
    <s v="u134838"/>
    <s v="DANAH STEPHANIE"/>
    <n v="10"/>
    <x v="0"/>
    <x v="0"/>
    <s v="PLAQUETTES"/>
    <x v="0"/>
    <n v="70"/>
  </r>
  <r>
    <d v="2025-10-31T01:05:31"/>
    <x v="6"/>
    <s v="Plaquettes de finition positives"/>
    <s v="VERGE G"/>
    <s v="VERGE GREGORY"/>
    <n v="10"/>
    <x v="3"/>
    <x v="2"/>
    <s v="PLAQUETTES"/>
    <x v="0"/>
    <n v="87"/>
  </r>
  <r>
    <d v="2025-10-31T01:06:11"/>
    <x v="6"/>
    <s v="Plaquettes de finition positives"/>
    <s v="VERGE G"/>
    <s v="VERGE GREGORY"/>
    <n v="10"/>
    <x v="3"/>
    <x v="2"/>
    <s v="PLAQUETTES"/>
    <x v="0"/>
    <n v="87"/>
  </r>
  <r>
    <d v="2025-10-31T04:43:11"/>
    <x v="2"/>
    <s v="Plaquettes d'ébauches rhombiques"/>
    <s v="j519914"/>
    <s v="MARLY DAVID"/>
    <n v="10"/>
    <x v="1"/>
    <x v="0"/>
    <s v="PLAQUETTES"/>
    <x v="0"/>
    <n v="70"/>
  </r>
  <r>
    <d v="2025-10-31T04:43:37"/>
    <x v="5"/>
    <s v="Plaquettes rondes"/>
    <s v="j519914"/>
    <s v="MARLY DAVID"/>
    <n v="10"/>
    <x v="1"/>
    <x v="0"/>
    <s v="PLAQUETTES"/>
    <x v="0"/>
    <n v="108.5"/>
  </r>
  <r>
    <d v="2025-10-31T06:29:06"/>
    <x v="6"/>
    <s v="Plaquettes de finition positives"/>
    <s v="U518765"/>
    <s v="ROY ADELINE"/>
    <n v="10"/>
    <x v="3"/>
    <x v="2"/>
    <s v="PLAQUETTES"/>
    <x v="0"/>
    <n v="87"/>
  </r>
  <r>
    <d v="2025-10-31T06:29:20"/>
    <x v="4"/>
    <s v="Plaquettes de finition"/>
    <s v="U518765"/>
    <s v="ROY ADELINE"/>
    <n v="5"/>
    <x v="2"/>
    <x v="2"/>
    <s v="PLAQUETTES"/>
    <x v="1"/>
    <n v="47.8"/>
  </r>
  <r>
    <d v="2025-10-31T06:29:39"/>
    <x v="2"/>
    <s v="Plaquettes d'ébauches rhombiques"/>
    <s v="U518765"/>
    <s v="ROY ADELINE"/>
    <n v="10"/>
    <x v="3"/>
    <x v="1"/>
    <s v="PLAQUETTES"/>
    <x v="0"/>
    <n v="70"/>
  </r>
  <r>
    <d v="2025-10-31T09:24:42"/>
    <x v="0"/>
    <s v="Plaquette piste OP20 R1,2 T323"/>
    <s v="U518765"/>
    <s v="ROY ADELINE"/>
    <n v="5"/>
    <x v="3"/>
    <x v="0"/>
    <s v="PLAQUETTES"/>
    <x v="0"/>
    <n v="35"/>
  </r>
  <r>
    <d v="2025-10-31T09:25:23"/>
    <x v="0"/>
    <s v="Plaquette piste OP20 R1,2 T323"/>
    <s v="U534565"/>
    <s v="HOAREAU MARIUS"/>
    <n v="5"/>
    <x v="1"/>
    <x v="0"/>
    <s v="PLAQUETTES"/>
    <x v="0"/>
    <n v="35"/>
  </r>
  <r>
    <d v="2025-10-31T13:24:49"/>
    <x v="10"/>
    <s v="Plaquettes de finition"/>
    <s v="u134838"/>
    <s v="DANAH STEPHANIE"/>
    <n v="10"/>
    <x v="1"/>
    <x v="2"/>
    <s v="PLAQUETTES"/>
    <x v="0"/>
    <n v="109.7"/>
  </r>
  <r>
    <d v="2025-10-31T13:25:14"/>
    <x v="2"/>
    <s v="Plaquettes d'ébauches rhombiques"/>
    <s v="u134838"/>
    <s v="DANAH STEPHANIE"/>
    <n v="10"/>
    <x v="1"/>
    <x v="0"/>
    <s v="PLAQUETTES"/>
    <x v="0"/>
    <n v="70"/>
  </r>
  <r>
    <d v="2025-11-07T13:34:35"/>
    <x v="2"/>
    <s v="Plaquettes d'ébauches rhombiques"/>
    <s v="12824586"/>
    <s v="DA SILVA FERNANDO"/>
    <n v="10"/>
    <x v="0"/>
    <x v="1"/>
    <s v="PLAQUETTES"/>
    <x v="4"/>
    <n v="70"/>
  </r>
  <r>
    <d v="2025-11-09T17:25:36"/>
    <x v="2"/>
    <s v="Plaquettes d'ébauches rhombiques"/>
    <s v="U518765"/>
    <s v="ROY ADELINE"/>
    <n v="10"/>
    <x v="0"/>
    <x v="0"/>
    <s v="PLAQUETTES"/>
    <x v="0"/>
    <n v="70"/>
  </r>
  <r>
    <d v="2025-11-10T14:15:43"/>
    <x v="2"/>
    <s v="Plaquettes d'ébauches rhombiques"/>
    <s v="sd13196"/>
    <s v="FRADIN MAXIME"/>
    <n v="10"/>
    <x v="0"/>
    <x v="1"/>
    <s v="PLAQUETTES"/>
    <x v="3"/>
    <n v="70"/>
  </r>
  <r>
    <d v="2025-11-12T11:19:51"/>
    <x v="2"/>
    <s v="Plaquettes d'ébauches rhombiques"/>
    <s v="020824"/>
    <s v="DA SILVA RENAUD"/>
    <n v="10"/>
    <x v="0"/>
    <x v="1"/>
    <s v="PLAQUETTES"/>
    <x v="0"/>
    <n v="70"/>
  </r>
  <r>
    <d v="2025-11-15T05:16:59"/>
    <x v="2"/>
    <s v="Plaquettes d'ébauches rhombiques"/>
    <s v="U534565"/>
    <s v="HOAREAU MARIUS"/>
    <n v="10"/>
    <x v="0"/>
    <x v="1"/>
    <s v="PLAQUETTES"/>
    <x v="0"/>
    <n v="70"/>
  </r>
  <r>
    <d v="2025-10-31T13:55:39"/>
    <x v="0"/>
    <s v="Plaquette piste OP20 R1,2 T323"/>
    <s v="12824586"/>
    <s v="DA SILVA FERNANDO"/>
    <n v="5"/>
    <x v="1"/>
    <x v="0"/>
    <s v="PLAQUETTES"/>
    <x v="4"/>
    <n v="35"/>
  </r>
  <r>
    <d v="2025-10-31T17:48:03"/>
    <x v="6"/>
    <s v="Plaquettes de finition positives"/>
    <s v="u462308"/>
    <s v="MAITRE SEBASTIEN"/>
    <n v="10"/>
    <x v="3"/>
    <x v="2"/>
    <s v="PLAQUETTES"/>
    <x v="0"/>
    <n v="87"/>
  </r>
  <r>
    <d v="2025-10-31T17:48:22"/>
    <x v="2"/>
    <s v="Plaquettes d'ébauches rhombiques"/>
    <s v="u462308"/>
    <s v="MAITRE SEBASTIEN"/>
    <n v="10"/>
    <x v="3"/>
    <x v="1"/>
    <s v="PLAQUETTES"/>
    <x v="0"/>
    <n v="70"/>
  </r>
  <r>
    <d v="2025-10-31T21:18:10"/>
    <x v="4"/>
    <s v="Plaquettes de finition"/>
    <s v="VERGE G"/>
    <s v="VERGE GREGORY"/>
    <n v="5"/>
    <x v="2"/>
    <x v="2"/>
    <s v="PLAQUETTES"/>
    <x v="1"/>
    <n v="47.8"/>
  </r>
  <r>
    <d v="2025-10-31T21:18:23"/>
    <x v="1"/>
    <s v="Plaquettes d'ébauches carrées"/>
    <s v="VERGE G"/>
    <s v="VERGE GREGORY"/>
    <n v="10"/>
    <x v="2"/>
    <x v="1"/>
    <s v="PLAQUETTES"/>
    <x v="1"/>
    <n v="71.2"/>
  </r>
  <r>
    <d v="2025-11-17T20:24:39"/>
    <x v="2"/>
    <s v="Plaquettes d'ébauches rhombiques"/>
    <s v="u134838"/>
    <s v="DANAH STEPHANIE"/>
    <n v="10"/>
    <x v="0"/>
    <x v="0"/>
    <s v="PLAQUETTES"/>
    <x v="0"/>
    <n v="70"/>
  </r>
  <r>
    <d v="2025-10-31T23:03:28"/>
    <x v="2"/>
    <s v="Plaquettes d'ébauches rhombiques"/>
    <s v="j519914"/>
    <s v="MARLY DAVID"/>
    <n v="10"/>
    <x v="1"/>
    <x v="0"/>
    <s v="PLAQUETTES"/>
    <x v="0"/>
    <n v="70"/>
  </r>
  <r>
    <d v="2025-10-31T23:03:51"/>
    <x v="6"/>
    <s v="Plaquettes de finition positives"/>
    <s v="j519914"/>
    <s v="MARLY DAVID"/>
    <n v="10"/>
    <x v="1"/>
    <x v="2"/>
    <s v="PLAQUETTES"/>
    <x v="0"/>
    <n v="87"/>
  </r>
  <r>
    <d v="2025-10-31T23:04:22"/>
    <x v="1"/>
    <s v="Plaquettes d'ébauches carrées"/>
    <s v="j519914"/>
    <s v="MARLY DAVID"/>
    <n v="10"/>
    <x v="1"/>
    <x v="0"/>
    <s v="PLAQUETTES"/>
    <x v="0"/>
    <n v="71.2"/>
  </r>
  <r>
    <d v="2025-11-01T05:20:25"/>
    <x v="6"/>
    <s v="Plaquettes de finition positives"/>
    <s v="U518765"/>
    <s v="ROY ADELINE"/>
    <n v="10"/>
    <x v="3"/>
    <x v="2"/>
    <s v="PLAQUETTES"/>
    <x v="0"/>
    <n v="87"/>
  </r>
  <r>
    <d v="2025-11-01T05:20:46"/>
    <x v="6"/>
    <s v="Plaquettes de finition positives"/>
    <s v="U518765"/>
    <s v="ROY ADELINE"/>
    <n v="10"/>
    <x v="3"/>
    <x v="2"/>
    <s v="PLAQUETTES"/>
    <x v="0"/>
    <n v="87"/>
  </r>
  <r>
    <d v="2025-11-01T05:21:10"/>
    <x v="4"/>
    <s v="Plaquettes de finition"/>
    <s v="U518765"/>
    <s v="ROY ADELINE"/>
    <n v="5"/>
    <x v="2"/>
    <x v="2"/>
    <s v="PLAQUETTES"/>
    <x v="1"/>
    <n v="47.8"/>
  </r>
  <r>
    <d v="2025-11-01T05:21:32"/>
    <x v="2"/>
    <s v="Plaquettes d'ébauches rhombiques"/>
    <s v="U518765"/>
    <s v="ROY ADELINE"/>
    <n v="10"/>
    <x v="2"/>
    <x v="0"/>
    <s v="PLAQUETTES"/>
    <x v="1"/>
    <n v="70"/>
  </r>
  <r>
    <d v="2025-11-01T05:21:49"/>
    <x v="1"/>
    <s v="Plaquettes d'ébauches carrées"/>
    <s v="U518765"/>
    <s v="ROY ADELINE"/>
    <n v="10"/>
    <x v="3"/>
    <x v="1"/>
    <s v="PLAQUETTES"/>
    <x v="0"/>
    <n v="71.2"/>
  </r>
  <r>
    <d v="2025-11-01T08:06:43"/>
    <x v="6"/>
    <s v="Plaquettes de finition positives"/>
    <s v="U534565"/>
    <s v="HOAREAU MARIUS"/>
    <n v="10"/>
    <x v="1"/>
    <x v="2"/>
    <s v="PLAQUETTES"/>
    <x v="0"/>
    <n v="87"/>
  </r>
  <r>
    <d v="2025-11-01T09:24:45"/>
    <x v="0"/>
    <s v="Plaquette piste OP20 R1,2 T323"/>
    <s v="U518765"/>
    <s v="ROY ADELINE"/>
    <n v="5"/>
    <x v="3"/>
    <x v="0"/>
    <s v="PLAQUETTES"/>
    <x v="0"/>
    <n v="35"/>
  </r>
  <r>
    <d v="2025-11-01T09:25:02"/>
    <x v="5"/>
    <s v="Plaquettes rondes"/>
    <s v="U518765"/>
    <s v="ROY ADELINE"/>
    <n v="10"/>
    <x v="3"/>
    <x v="0"/>
    <s v="PLAQUETTES"/>
    <x v="0"/>
    <n v="108.5"/>
  </r>
  <r>
    <d v="2025-11-18T09:08:24"/>
    <x v="2"/>
    <s v="Plaquettes d'ébauches rhombiques"/>
    <s v="12824586"/>
    <s v="DA SILVA FERNANDO"/>
    <n v="10"/>
    <x v="0"/>
    <x v="1"/>
    <s v="PLAQUETTES"/>
    <x v="4"/>
    <n v="70"/>
  </r>
  <r>
    <d v="2025-11-01T17:45:35"/>
    <x v="2"/>
    <s v="Plaquettes d'ébauches rhombiques"/>
    <s v="U054304"/>
    <s v="BOUACHIK HICHAM"/>
    <n v="10"/>
    <x v="1"/>
    <x v="0"/>
    <s v="PLAQUETTES"/>
    <x v="0"/>
    <n v="70"/>
  </r>
  <r>
    <d v="2025-11-01T21:46:26"/>
    <x v="4"/>
    <s v="Plaquettes de finition"/>
    <s v="U198152"/>
    <s v="AJMIK MUSTAPHA"/>
    <n v="5"/>
    <x v="2"/>
    <x v="2"/>
    <s v="PLAQUETTES"/>
    <x v="1"/>
    <n v="47.8"/>
  </r>
  <r>
    <d v="2025-11-01T21:46:42"/>
    <x v="9"/>
    <s v="Plaquettes rhombiques"/>
    <s v="U198152"/>
    <s v="AJMIK MUSTAPHA"/>
    <n v="5"/>
    <x v="2"/>
    <x v="2"/>
    <s v="PLAQUETTES"/>
    <x v="1"/>
    <n v="44.85"/>
  </r>
  <r>
    <d v="2025-11-01T21:46:55"/>
    <x v="6"/>
    <s v="Plaquettes de finition positives"/>
    <s v="U198152"/>
    <s v="AJMIK MUSTAPHA"/>
    <n v="10"/>
    <x v="3"/>
    <x v="2"/>
    <s v="PLAQUETTES"/>
    <x v="0"/>
    <n v="87"/>
  </r>
  <r>
    <d v="2025-11-01T21:47:16"/>
    <x v="10"/>
    <s v="Plaquettes de finition"/>
    <s v="U198152"/>
    <s v="AJMIK MUSTAPHA"/>
    <n v="10"/>
    <x v="3"/>
    <x v="2"/>
    <s v="PLAQUETTES"/>
    <x v="0"/>
    <n v="109.7"/>
  </r>
  <r>
    <d v="2025-11-01T21:47:32"/>
    <x v="3"/>
    <s v="Plaquettes rondes"/>
    <s v="U198152"/>
    <s v="AJMIK MUSTAPHA"/>
    <n v="10"/>
    <x v="2"/>
    <x v="0"/>
    <s v="PLAQUETTES"/>
    <x v="1"/>
    <n v="136.69999999999999"/>
  </r>
  <r>
    <d v="2025-11-02T05:23:27"/>
    <x v="0"/>
    <s v="Plaquette piste OP20 R1,2 T323"/>
    <s v="U534565"/>
    <s v="HOAREAU MARIUS"/>
    <n v="5"/>
    <x v="1"/>
    <x v="0"/>
    <s v="PLAQUETTES"/>
    <x v="0"/>
    <n v="35"/>
  </r>
  <r>
    <d v="2025-11-19T08:55:00"/>
    <x v="2"/>
    <s v="Plaquettes d'ébauches rhombiques"/>
    <s v="12824586"/>
    <s v="DA SILVA FERNANDO"/>
    <n v="10"/>
    <x v="0"/>
    <x v="1"/>
    <s v="PLAQUETTES"/>
    <x v="4"/>
    <n v="70"/>
  </r>
  <r>
    <d v="2025-11-02T05:24:24"/>
    <x v="6"/>
    <s v="Plaquettes de finition positives"/>
    <s v="U534565"/>
    <s v="HOAREAU MARIUS"/>
    <n v="10"/>
    <x v="3"/>
    <x v="2"/>
    <s v="PLAQUETTES"/>
    <x v="0"/>
    <n v="87"/>
  </r>
  <r>
    <d v="2025-11-19T08:55:21"/>
    <x v="2"/>
    <s v="Plaquettes d'ébauches rhombiques"/>
    <s v="12824586"/>
    <s v="DA SILVA FERNANDO"/>
    <n v="10"/>
    <x v="0"/>
    <x v="2"/>
    <s v="PLAQUETTES"/>
    <x v="4"/>
    <n v="70"/>
  </r>
  <r>
    <d v="2025-11-02T05:25:10"/>
    <x v="2"/>
    <s v="Plaquettes d'ébauches rhombiques"/>
    <s v="U534565"/>
    <s v="HOAREAU MARIUS"/>
    <n v="10"/>
    <x v="1"/>
    <x v="1"/>
    <s v="PLAQUETTES"/>
    <x v="0"/>
    <n v="70"/>
  </r>
  <r>
    <d v="2025-11-20T07:01:11"/>
    <x v="2"/>
    <s v="Plaquettes d'ébauches rhombiques"/>
    <s v="sd13196"/>
    <s v="FRADIN MAXIME"/>
    <n v="10"/>
    <x v="0"/>
    <x v="1"/>
    <s v="PLAQUETTES"/>
    <x v="0"/>
    <n v="70"/>
  </r>
  <r>
    <d v="2025-11-02T05:26:02"/>
    <x v="1"/>
    <s v="Plaquettes d'ébauches carrées"/>
    <s v="U534565"/>
    <s v="HOAREAU MARIUS"/>
    <n v="10"/>
    <x v="1"/>
    <x v="0"/>
    <s v="PLAQUETTES"/>
    <x v="0"/>
    <n v="71.2"/>
  </r>
  <r>
    <d v="2025-11-20T15:31:37"/>
    <x v="2"/>
    <s v="Plaquettes d'ébauches rhombiques"/>
    <s v="u134838"/>
    <s v="DANAH STEPHANIE"/>
    <n v="10"/>
    <x v="0"/>
    <x v="0"/>
    <s v="PLAQUETTES"/>
    <x v="0"/>
    <n v="70"/>
  </r>
  <r>
    <d v="2025-11-02T15:16:32"/>
    <x v="6"/>
    <s v="Plaquettes de finition positives"/>
    <s v="U518765"/>
    <s v="ROY ADELINE"/>
    <n v="10"/>
    <x v="3"/>
    <x v="2"/>
    <s v="PLAQUETTES"/>
    <x v="0"/>
    <n v="87"/>
  </r>
  <r>
    <d v="2025-11-02T15:17:14"/>
    <x v="2"/>
    <s v="Plaquettes d'ébauches rhombiques"/>
    <s v="U518765"/>
    <s v="ROY ADELINE"/>
    <n v="10"/>
    <x v="3"/>
    <x v="0"/>
    <s v="PLAQUETTES"/>
    <x v="0"/>
    <n v="70"/>
  </r>
  <r>
    <d v="2025-11-02T15:17:31"/>
    <x v="5"/>
    <s v="Plaquettes rondes"/>
    <s v="U518765"/>
    <s v="ROY ADELINE"/>
    <n v="10"/>
    <x v="3"/>
    <x v="0"/>
    <s v="PLAQUETTES"/>
    <x v="0"/>
    <n v="108.5"/>
  </r>
  <r>
    <d v="2025-11-02T15:17:50"/>
    <x v="1"/>
    <s v="Plaquettes d'ébauches carrées"/>
    <s v="U518765"/>
    <s v="ROY ADELINE"/>
    <n v="10"/>
    <x v="2"/>
    <x v="1"/>
    <s v="PLAQUETTES"/>
    <x v="1"/>
    <n v="71.2"/>
  </r>
  <r>
    <d v="2025-11-02T15:18:06"/>
    <x v="4"/>
    <s v="Plaquettes de finition"/>
    <s v="U518765"/>
    <s v="ROY ADELINE"/>
    <n v="5"/>
    <x v="2"/>
    <x v="2"/>
    <s v="PLAQUETTES"/>
    <x v="1"/>
    <n v="47.8"/>
  </r>
  <r>
    <d v="2025-11-02T15:18:30"/>
    <x v="9"/>
    <s v="Plaquettes rhombiques"/>
    <s v="U518765"/>
    <s v="ROY ADELINE"/>
    <n v="5"/>
    <x v="2"/>
    <x v="2"/>
    <s v="PLAQUETTES"/>
    <x v="1"/>
    <n v="44.85"/>
  </r>
  <r>
    <d v="2025-11-02T18:51:07"/>
    <x v="4"/>
    <s v="Plaquettes de finition"/>
    <s v="U198152"/>
    <s v="AJMIK MUSTAPHA"/>
    <n v="5"/>
    <x v="2"/>
    <x v="2"/>
    <s v="PLAQUETTES"/>
    <x v="1"/>
    <n v="47.8"/>
  </r>
  <r>
    <d v="2025-11-02T18:51:27"/>
    <x v="6"/>
    <s v="Plaquettes de finition positives"/>
    <s v="U198152"/>
    <s v="AJMIK MUSTAPHA"/>
    <n v="10"/>
    <x v="3"/>
    <x v="2"/>
    <s v="PLAQUETTES"/>
    <x v="0"/>
    <n v="87"/>
  </r>
  <r>
    <d v="2025-11-21T03:58:49"/>
    <x v="2"/>
    <s v="Plaquettes d'ébauches rhombiques"/>
    <s v="j519914"/>
    <s v="MARLY DAVID"/>
    <n v="10"/>
    <x v="0"/>
    <x v="2"/>
    <s v="PLAQUETTES"/>
    <x v="1"/>
    <n v="70"/>
  </r>
  <r>
    <d v="2025-11-24T03:03:27"/>
    <x v="2"/>
    <s v="Plaquettes d'ébauches rhombiques"/>
    <s v="U534565"/>
    <s v="HOAREAU MARIUS"/>
    <n v="10"/>
    <x v="0"/>
    <x v="2"/>
    <s v="PLAQUETTES"/>
    <x v="1"/>
    <n v="70"/>
  </r>
  <r>
    <d v="2025-11-24T03:04:16"/>
    <x v="2"/>
    <s v="Plaquettes d'ébauches rhombiques"/>
    <s v="U534565"/>
    <s v="HOAREAU MARIUS"/>
    <n v="10"/>
    <x v="0"/>
    <x v="0"/>
    <s v="PLAQUETTES"/>
    <x v="1"/>
    <n v="70"/>
  </r>
  <r>
    <d v="2025-11-03T00:44:22"/>
    <x v="2"/>
    <s v="Plaquettes d'ébauches rhombiques"/>
    <s v="U198152"/>
    <s v="AJMIK MUSTAPHA"/>
    <n v="10"/>
    <x v="3"/>
    <x v="0"/>
    <s v="PLAQUETTES"/>
    <x v="0"/>
    <n v="70"/>
  </r>
  <r>
    <d v="2025-11-03T05:07:56"/>
    <x v="6"/>
    <s v="Plaquettes de finition positives"/>
    <s v="sd13196"/>
    <s v="FRADIN MAXIME"/>
    <n v="10"/>
    <x v="1"/>
    <x v="2"/>
    <s v="PLAQUETTES"/>
    <x v="0"/>
    <n v="87"/>
  </r>
  <r>
    <d v="2025-11-26T23:54:51"/>
    <x v="2"/>
    <s v="Plaquettes d'ébauches rhombiques"/>
    <s v="j519914"/>
    <s v="MARLY DAVID"/>
    <n v="10"/>
    <x v="0"/>
    <x v="0"/>
    <s v="PLAQUETTES"/>
    <x v="0"/>
    <n v="70"/>
  </r>
  <r>
    <d v="2025-11-03T05:08:33"/>
    <x v="1"/>
    <s v="Plaquettes d'ébauches carrées"/>
    <s v="sd13196"/>
    <s v="FRADIN MAXIME"/>
    <n v="10"/>
    <x v="1"/>
    <x v="0"/>
    <s v="PLAQUETTES"/>
    <x v="0"/>
    <n v="71.2"/>
  </r>
  <r>
    <d v="2025-11-27T02:52:15"/>
    <x v="2"/>
    <s v="Plaquettes d'ébauches rhombiques"/>
    <s v="j519914"/>
    <s v="MARLY DAVID"/>
    <n v="10"/>
    <x v="0"/>
    <x v="2"/>
    <s v="PLAQUETTES"/>
    <x v="1"/>
    <n v="70"/>
  </r>
  <r>
    <d v="2025-11-03T13:23:05"/>
    <x v="4"/>
    <s v="Plaquettes de finition"/>
    <s v="12824586"/>
    <s v="DA SILVA FERNANDO"/>
    <n v="5"/>
    <x v="2"/>
    <x v="2"/>
    <s v="PLAQUETTES"/>
    <x v="4"/>
    <n v="47.8"/>
  </r>
  <r>
    <d v="2025-11-27T21:21:22"/>
    <x v="2"/>
    <s v="Plaquettes d'ébauches rhombiques"/>
    <s v="j519914"/>
    <s v="MARLY DAVID"/>
    <n v="10"/>
    <x v="0"/>
    <x v="2"/>
    <s v="PLAQUETTES"/>
    <x v="1"/>
    <n v="70"/>
  </r>
  <r>
    <d v="2025-11-28T12:30:07"/>
    <x v="2"/>
    <s v="Plaquettes d'ébauches rhombiques"/>
    <s v="U518765"/>
    <s v="ROY ADELINE"/>
    <n v="10"/>
    <x v="0"/>
    <x v="1"/>
    <s v="PLAQUETTES"/>
    <x v="1"/>
    <n v="70"/>
  </r>
  <r>
    <d v="2025-11-03T14:33:31"/>
    <x v="6"/>
    <s v="Plaquettes de finition positives"/>
    <s v="u134838"/>
    <s v="DANAH STEPHANIE"/>
    <n v="10"/>
    <x v="1"/>
    <x v="2"/>
    <s v="PLAQUETTES"/>
    <x v="0"/>
    <n v="87"/>
  </r>
  <r>
    <d v="2025-11-29T05:17:41"/>
    <x v="2"/>
    <s v="Plaquettes d'ébauches rhombiques"/>
    <s v="j534699"/>
    <s v="CHARTON FABIAN"/>
    <n v="10"/>
    <x v="0"/>
    <x v="1"/>
    <s v="PLAQUETTES"/>
    <x v="1"/>
    <n v="70"/>
  </r>
  <r>
    <d v="2025-11-03T14:34:13"/>
    <x v="5"/>
    <s v="Plaquettes rondes"/>
    <s v="u134838"/>
    <s v="DANAH STEPHANIE"/>
    <n v="10"/>
    <x v="1"/>
    <x v="0"/>
    <s v="PLAQUETTES"/>
    <x v="0"/>
    <n v="108.5"/>
  </r>
  <r>
    <d v="2025-11-03T18:06:33"/>
    <x v="6"/>
    <s v="Plaquettes de finition positives"/>
    <s v="170325"/>
    <s v="VERDELET BASTIEN"/>
    <n v="10"/>
    <x v="3"/>
    <x v="2"/>
    <s v="PLAQUETTES"/>
    <x v="0"/>
    <n v="87"/>
  </r>
  <r>
    <d v="2025-11-03T18:06:59"/>
    <x v="0"/>
    <s v="Plaquette piste OP20 R1,2 T323"/>
    <s v="170325"/>
    <s v="VERDELET BASTIEN"/>
    <n v="5"/>
    <x v="3"/>
    <x v="0"/>
    <s v="PLAQUETTES"/>
    <x v="0"/>
    <n v="35"/>
  </r>
  <r>
    <d v="2025-11-03T18:07:18"/>
    <x v="2"/>
    <s v="Plaquettes d'ébauches rhombiques"/>
    <s v="170325"/>
    <s v="VERDELET BASTIEN"/>
    <n v="10"/>
    <x v="3"/>
    <x v="1"/>
    <s v="PLAQUETTES"/>
    <x v="0"/>
    <n v="70"/>
  </r>
  <r>
    <d v="2025-11-04T07:34:42"/>
    <x v="4"/>
    <s v="Plaquettes de finition"/>
    <s v="sd13196"/>
    <s v="FRADIN MAXIME"/>
    <n v="5"/>
    <x v="2"/>
    <x v="2"/>
    <s v="PLAQUETTES"/>
    <x v="1"/>
    <n v="47.8"/>
  </r>
  <r>
    <d v="2025-11-04T11:44:59"/>
    <x v="7"/>
    <s v="Plaquettes de finition triangulaires"/>
    <s v="sd13196"/>
    <s v="FRADIN MAXIME"/>
    <n v="10"/>
    <x v="3"/>
    <x v="2"/>
    <s v="PLAQUETTES"/>
    <x v="3"/>
    <n v="138.80000000000001"/>
  </r>
  <r>
    <d v="2025-11-04T11:45:22"/>
    <x v="6"/>
    <s v="Plaquettes de finition positives"/>
    <s v="sd13196"/>
    <s v="FRADIN MAXIME"/>
    <n v="10"/>
    <x v="3"/>
    <x v="2"/>
    <s v="PLAQUETTES"/>
    <x v="3"/>
    <n v="87"/>
  </r>
  <r>
    <d v="2025-12-01T18:25:47"/>
    <x v="2"/>
    <s v="Plaquettes d'ébauches rhombiques"/>
    <s v="04522ACAA77080"/>
    <s v="VILLALOBOS ANTHONY"/>
    <n v="10"/>
    <x v="0"/>
    <x v="0"/>
    <s v="PLAQUETTES"/>
    <x v="0"/>
    <n v="70"/>
  </r>
  <r>
    <d v="2025-12-02T13:39:20"/>
    <x v="2"/>
    <s v="Plaquettes d'ébauches rhombiques"/>
    <s v="04522ACAA77080"/>
    <s v="VILLALOBOS ANTHONY"/>
    <n v="10"/>
    <x v="0"/>
    <x v="2"/>
    <s v="PLAQUETTES"/>
    <x v="1"/>
    <n v="70"/>
  </r>
  <r>
    <d v="2025-11-04T14:30:20"/>
    <x v="1"/>
    <s v="Plaquettes d'ébauches carrées"/>
    <s v="u134838"/>
    <s v="DANAH STEPHANIE"/>
    <n v="10"/>
    <x v="1"/>
    <x v="0"/>
    <s v="PLAQUETTES"/>
    <x v="0"/>
    <n v="71.2"/>
  </r>
  <r>
    <d v="2025-12-03T06:34:20"/>
    <x v="2"/>
    <s v="Plaquettes d'ébauches rhombiques"/>
    <s v="sd13196"/>
    <s v="FRADIN MAXIME"/>
    <n v="10"/>
    <x v="0"/>
    <x v="0"/>
    <s v="PLAQUETTES"/>
    <x v="0"/>
    <n v="70"/>
  </r>
  <r>
    <d v="2025-11-04T14:31:04"/>
    <x v="10"/>
    <s v="Plaquettes de finition"/>
    <s v="u134838"/>
    <s v="DANAH STEPHANIE"/>
    <n v="10"/>
    <x v="1"/>
    <x v="2"/>
    <s v="PLAQUETTES"/>
    <x v="0"/>
    <n v="109.7"/>
  </r>
  <r>
    <d v="2025-11-04T19:13:26"/>
    <x v="2"/>
    <s v="Plaquettes d'ébauches rhombiques"/>
    <s v="170325"/>
    <s v="VERDELET BASTIEN"/>
    <n v="10"/>
    <x v="2"/>
    <x v="0"/>
    <s v="PLAQUETTES"/>
    <x v="1"/>
    <n v="70"/>
  </r>
  <r>
    <d v="2025-11-04T21:13:38"/>
    <x v="2"/>
    <s v="Plaquettes d'ébauches rhombiques"/>
    <s v="VERGE G"/>
    <s v="VERGE GREGORY"/>
    <n v="10"/>
    <x v="2"/>
    <x v="1"/>
    <s v="PLAQUETTES"/>
    <x v="1"/>
    <n v="70"/>
  </r>
  <r>
    <d v="2025-11-04T21:13:52"/>
    <x v="2"/>
    <s v="Plaquettes d'ébauches rhombiques"/>
    <s v="VERGE G"/>
    <s v="VERGE GREGORY"/>
    <n v="10"/>
    <x v="2"/>
    <x v="1"/>
    <s v="PLAQUETTES"/>
    <x v="1"/>
    <n v="70"/>
  </r>
  <r>
    <d v="2025-11-04T21:14:05"/>
    <x v="2"/>
    <s v="Plaquettes d'ébauches rhombiques"/>
    <s v="VERGE G"/>
    <s v="VERGE GREGORY"/>
    <n v="10"/>
    <x v="2"/>
    <x v="1"/>
    <s v="PLAQUETTES"/>
    <x v="1"/>
    <n v="70"/>
  </r>
  <r>
    <d v="2025-11-04T21:14:27"/>
    <x v="1"/>
    <s v="Plaquettes d'ébauches carrées"/>
    <s v="VERGE G"/>
    <s v="VERGE GREGORY"/>
    <n v="10"/>
    <x v="2"/>
    <x v="1"/>
    <s v="PLAQUETTES"/>
    <x v="1"/>
    <n v="71.2"/>
  </r>
  <r>
    <d v="2025-12-03T14:49:38"/>
    <x v="2"/>
    <s v="Plaquettes d'ébauches rhombiques"/>
    <s v="04522ACAA77080"/>
    <s v="VILLALOBOS ANTHONY"/>
    <n v="10"/>
    <x v="0"/>
    <x v="0"/>
    <s v="PLAQUETTES"/>
    <x v="0"/>
    <n v="70"/>
  </r>
  <r>
    <d v="2025-11-04T23:48:12"/>
    <x v="6"/>
    <s v="Plaquettes de finition positives"/>
    <s v="j519914"/>
    <s v="MARLY DAVID"/>
    <n v="10"/>
    <x v="1"/>
    <x v="2"/>
    <s v="PLAQUETTES"/>
    <x v="0"/>
    <n v="87"/>
  </r>
  <r>
    <d v="2025-11-04T23:48:46"/>
    <x v="2"/>
    <s v="Plaquettes d'ébauches rhombiques"/>
    <s v="j519914"/>
    <s v="MARLY DAVID"/>
    <n v="10"/>
    <x v="1"/>
    <x v="1"/>
    <s v="PLAQUETTES"/>
    <x v="0"/>
    <n v="70"/>
  </r>
  <r>
    <d v="2025-12-05T02:09:00"/>
    <x v="2"/>
    <s v="Plaquettes d'ébauches rhombiques"/>
    <s v="230525"/>
    <s v="SOULAS YANIS"/>
    <n v="10"/>
    <x v="0"/>
    <x v="1"/>
    <s v="PLAQUETTES"/>
    <x v="0"/>
    <n v="70"/>
  </r>
  <r>
    <d v="2025-11-04T23:49:46"/>
    <x v="0"/>
    <s v="Plaquette piste OP20 R1,2 T323"/>
    <s v="j519914"/>
    <s v="MARLY DAVID"/>
    <n v="5"/>
    <x v="1"/>
    <x v="0"/>
    <s v="PLAQUETTES"/>
    <x v="0"/>
    <n v="35"/>
  </r>
  <r>
    <d v="2025-11-05T05:11:45"/>
    <x v="6"/>
    <s v="Plaquettes de finition positives"/>
    <s v="sd13196"/>
    <s v="FRADIN MAXIME"/>
    <n v="10"/>
    <x v="1"/>
    <x v="2"/>
    <s v="PLAQUETTES"/>
    <x v="0"/>
    <n v="87"/>
  </r>
  <r>
    <d v="2025-11-05T05:12:34"/>
    <x v="0"/>
    <s v="Plaquette piste OP20 R1,2 T323"/>
    <s v="sd13196"/>
    <s v="FRADIN MAXIME"/>
    <n v="5"/>
    <x v="1"/>
    <x v="0"/>
    <s v="PLAQUETTES"/>
    <x v="0"/>
    <n v="35"/>
  </r>
  <r>
    <d v="2025-11-05T06:07:27"/>
    <x v="4"/>
    <s v="Plaquettes de finition"/>
    <s v="sd13196"/>
    <s v="FRADIN MAXIME"/>
    <n v="5"/>
    <x v="2"/>
    <x v="2"/>
    <s v="PLAQUETTES"/>
    <x v="1"/>
    <n v="47.8"/>
  </r>
  <r>
    <d v="2025-11-05T06:07:49"/>
    <x v="6"/>
    <s v="Plaquettes de finition positives"/>
    <s v="sd13196"/>
    <s v="FRADIN MAXIME"/>
    <n v="10"/>
    <x v="3"/>
    <x v="2"/>
    <s v="PLAQUETTES"/>
    <x v="3"/>
    <n v="87"/>
  </r>
  <r>
    <d v="2025-11-05T08:36:50"/>
    <x v="9"/>
    <s v="Plaquettes rhombiques"/>
    <s v="12824586"/>
    <s v="DA SILVA FERNANDO"/>
    <n v="5"/>
    <x v="1"/>
    <x v="0"/>
    <s v="PLAQUETTES"/>
    <x v="4"/>
    <n v="44.85"/>
  </r>
  <r>
    <d v="2025-11-05T08:58:01"/>
    <x v="3"/>
    <s v="Plaquettes rondes"/>
    <s v="sd13196"/>
    <s v="FRADIN MAXIME"/>
    <n v="10"/>
    <x v="2"/>
    <x v="0"/>
    <s v="PLAQUETTES"/>
    <x v="1"/>
    <n v="136.69999999999999"/>
  </r>
  <r>
    <d v="2025-11-05T08:58:22"/>
    <x v="5"/>
    <s v="Plaquettes rondes"/>
    <s v="sd13196"/>
    <s v="FRADIN MAXIME"/>
    <n v="10"/>
    <x v="2"/>
    <x v="0"/>
    <s v="PLAQUETTES"/>
    <x v="1"/>
    <n v="108.5"/>
  </r>
  <r>
    <d v="2025-12-06T06:31:30"/>
    <x v="2"/>
    <s v="Plaquettes d'ébauches rhombiques"/>
    <s v="U054304"/>
    <s v="BOUACHIK HICHAM"/>
    <n v="10"/>
    <x v="0"/>
    <x v="1"/>
    <s v="PLAQUETTES"/>
    <x v="0"/>
    <n v="70"/>
  </r>
  <r>
    <d v="2025-12-08T06:43:39"/>
    <x v="2"/>
    <s v="Plaquettes d'ébauches rhombiques"/>
    <s v="04522ACAA77080"/>
    <s v="VILLALOBOS ANTHONY"/>
    <n v="10"/>
    <x v="0"/>
    <x v="0"/>
    <s v="PLAQUETTES"/>
    <x v="0"/>
    <n v="70"/>
  </r>
  <r>
    <d v="2025-12-09T21:19:18"/>
    <x v="2"/>
    <s v="Plaquettes d'ébauches rhombiques"/>
    <s v="j529800"/>
    <s v="MONTCHARMONT BAPTISTE"/>
    <n v="10"/>
    <x v="0"/>
    <x v="1"/>
    <s v="PLAQUETTES"/>
    <x v="0"/>
    <n v="70"/>
  </r>
  <r>
    <d v="2025-12-09T21:19:35"/>
    <x v="2"/>
    <s v="Plaquettes d'ébauches rhombiques"/>
    <s v="j529800"/>
    <s v="MONTCHARMONT BAPTISTE"/>
    <n v="10"/>
    <x v="0"/>
    <x v="1"/>
    <s v="PLAQUETTES"/>
    <x v="0"/>
    <n v="70"/>
  </r>
  <r>
    <d v="2025-11-05T16:12:29"/>
    <x v="6"/>
    <s v="Plaquettes de finition positives"/>
    <s v="u134838"/>
    <s v="DANAH STEPHANIE"/>
    <n v="10"/>
    <x v="1"/>
    <x v="2"/>
    <s v="PLAQUETTES"/>
    <x v="0"/>
    <n v="87"/>
  </r>
  <r>
    <d v="2025-11-05T16:12:49"/>
    <x v="5"/>
    <s v="Plaquettes rondes"/>
    <s v="u134838"/>
    <s v="DANAH STEPHANIE"/>
    <n v="10"/>
    <x v="1"/>
    <x v="0"/>
    <s v="PLAQUETTES"/>
    <x v="0"/>
    <n v="108.5"/>
  </r>
  <r>
    <d v="2025-11-05T16:13:09"/>
    <x v="2"/>
    <s v="Plaquettes d'ébauches rhombiques"/>
    <s v="u134838"/>
    <s v="DANAH STEPHANIE"/>
    <n v="10"/>
    <x v="1"/>
    <x v="0"/>
    <s v="PLAQUETTES"/>
    <x v="0"/>
    <n v="70"/>
  </r>
  <r>
    <d v="2025-12-10T05:31:06"/>
    <x v="2"/>
    <s v="Plaquettes d'ébauches rhombiques"/>
    <s v="04522ACAA77080"/>
    <s v="VILLALOBOS ANTHONY"/>
    <n v="10"/>
    <x v="0"/>
    <x v="0"/>
    <s v="PLAQUETTES"/>
    <x v="0"/>
    <n v="70"/>
  </r>
  <r>
    <d v="2025-11-05T21:04:07"/>
    <x v="2"/>
    <s v="Plaquettes d'ébauches rhombiques"/>
    <s v="VERGE G"/>
    <s v="VERGE GREGORY"/>
    <n v="10"/>
    <x v="2"/>
    <x v="1"/>
    <s v="PLAQUETTES"/>
    <x v="1"/>
    <n v="70"/>
  </r>
  <r>
    <d v="2025-11-05T21:04:20"/>
    <x v="2"/>
    <s v="Plaquettes d'ébauches rhombiques"/>
    <s v="VERGE G"/>
    <s v="VERGE GREGORY"/>
    <n v="10"/>
    <x v="2"/>
    <x v="1"/>
    <s v="PLAQUETTES"/>
    <x v="1"/>
    <n v="70"/>
  </r>
  <r>
    <d v="2025-11-05T21:04:39"/>
    <x v="1"/>
    <s v="Plaquettes d'ébauches carrées"/>
    <s v="VERGE G"/>
    <s v="VERGE GREGORY"/>
    <n v="10"/>
    <x v="2"/>
    <x v="1"/>
    <s v="PLAQUETTES"/>
    <x v="1"/>
    <n v="71.2"/>
  </r>
  <r>
    <d v="2025-11-06T05:41:52"/>
    <x v="6"/>
    <s v="Plaquettes de finition positives"/>
    <s v="SD13196"/>
    <s v="FRADIN MAXIME"/>
    <n v="10"/>
    <x v="1"/>
    <x v="2"/>
    <s v="PLAQUETTES"/>
    <x v="0"/>
    <n v="87"/>
  </r>
  <r>
    <d v="2025-11-06T05:42:06"/>
    <x v="2"/>
    <s v="Plaquettes d'ébauches rhombiques"/>
    <s v="sd13196"/>
    <s v="FRADIN MAXIME"/>
    <n v="10"/>
    <x v="1"/>
    <x v="1"/>
    <s v="PLAQUETTES"/>
    <x v="0"/>
    <n v="70"/>
  </r>
  <r>
    <d v="2025-12-11T15:14:43"/>
    <x v="2"/>
    <s v="Plaquettes d'ébauches rhombiques"/>
    <s v="12824586"/>
    <s v="DA SILVA FERNANDO"/>
    <n v="10"/>
    <x v="0"/>
    <x v="1"/>
    <s v="PLAQUETTES"/>
    <x v="4"/>
    <n v="70"/>
  </r>
  <r>
    <d v="2025-11-06T05:42:40"/>
    <x v="6"/>
    <s v="Plaquettes de finition positives"/>
    <s v="sd13196"/>
    <s v="FRADIN MAXIME"/>
    <n v="10"/>
    <x v="1"/>
    <x v="2"/>
    <s v="PLAQUETTES"/>
    <x v="0"/>
    <n v="87"/>
  </r>
  <r>
    <d v="2025-11-06T05:50:02"/>
    <x v="6"/>
    <s v="Plaquettes de finition positives"/>
    <s v="sd13196"/>
    <s v="FRADIN MAXIME"/>
    <n v="10"/>
    <x v="3"/>
    <x v="2"/>
    <s v="PLAQUETTES"/>
    <x v="0"/>
    <n v="87"/>
  </r>
  <r>
    <d v="2025-11-06T08:38:35"/>
    <x v="4"/>
    <s v="Plaquettes de finition"/>
    <s v="sd13196"/>
    <s v="FRADIN MAXIME"/>
    <n v="5"/>
    <x v="2"/>
    <x v="2"/>
    <s v="PLAQUETTES"/>
    <x v="1"/>
    <n v="47.8"/>
  </r>
  <r>
    <d v="2025-11-06T08:38:56"/>
    <x v="2"/>
    <s v="Plaquettes d'ébauches rhombiques"/>
    <s v="sd13196"/>
    <s v="FRADIN MAXIME"/>
    <n v="10"/>
    <x v="2"/>
    <x v="2"/>
    <s v="PLAQUETTES"/>
    <x v="1"/>
    <n v="70"/>
  </r>
  <r>
    <d v="2025-11-06T14:06:23"/>
    <x v="6"/>
    <s v="Plaquettes de finition positives"/>
    <s v="u134838"/>
    <s v="DANAH STEPHANIE"/>
    <n v="10"/>
    <x v="1"/>
    <x v="2"/>
    <s v="PLAQUETTES"/>
    <x v="0"/>
    <n v="87"/>
  </r>
  <r>
    <d v="2025-12-11T23:42:33"/>
    <x v="2"/>
    <s v="Plaquettes d'ébauches rhombiques"/>
    <s v="j519914"/>
    <s v="MARLY DAVID"/>
    <n v="10"/>
    <x v="0"/>
    <x v="1"/>
    <s v="PLAQUETTES"/>
    <x v="0"/>
    <n v="70"/>
  </r>
  <r>
    <d v="2025-12-12T13:19:32"/>
    <x v="2"/>
    <s v="Plaquettes d'ébauches rhombiques"/>
    <s v="VERGE G"/>
    <s v="VERGE GREGORY"/>
    <n v="10"/>
    <x v="0"/>
    <x v="1"/>
    <s v="PLAQUETTES"/>
    <x v="1"/>
    <n v="70"/>
  </r>
  <r>
    <d v="2025-11-06T14:07:22"/>
    <x v="1"/>
    <s v="Plaquettes d'ébauches carrées"/>
    <s v="u134838"/>
    <s v="DANAH STEPHANIE"/>
    <n v="10"/>
    <x v="1"/>
    <x v="0"/>
    <s v="PLAQUETTES"/>
    <x v="0"/>
    <n v="71.2"/>
  </r>
  <r>
    <d v="2025-11-06T16:30:43"/>
    <x v="2"/>
    <s v="Plaquettes d'ébauches rhombiques"/>
    <s v="170325"/>
    <s v="VERDELET BASTIEN"/>
    <n v="10"/>
    <x v="2"/>
    <x v="0"/>
    <s v="PLAQUETTES"/>
    <x v="1"/>
    <n v="70"/>
  </r>
  <r>
    <d v="2025-11-06T16:31:00"/>
    <x v="12"/>
    <s v="Plaquettes de gorge"/>
    <s v="170325"/>
    <s v="VERDELET BASTIEN"/>
    <n v="10"/>
    <x v="3"/>
    <x v="0"/>
    <s v="PLAQUETTES"/>
    <x v="2"/>
    <n v="157"/>
  </r>
  <r>
    <d v="2025-11-06T21:31:04"/>
    <x v="4"/>
    <s v="Plaquettes de finition"/>
    <s v="VERGE G"/>
    <s v="VERGE GREGORY"/>
    <n v="5"/>
    <x v="3"/>
    <x v="2"/>
    <s v="PLAQUETTES"/>
    <x v="2"/>
    <n v="47.8"/>
  </r>
  <r>
    <d v="2025-11-06T21:31:18"/>
    <x v="4"/>
    <s v="Plaquettes de finition"/>
    <s v="VERGE G"/>
    <s v="VERGE GREGORY"/>
    <n v="5"/>
    <x v="3"/>
    <x v="2"/>
    <s v="PLAQUETTES"/>
    <x v="2"/>
    <n v="47.8"/>
  </r>
  <r>
    <d v="2025-11-06T21:31:34"/>
    <x v="2"/>
    <s v="Plaquettes d'ébauches rhombiques"/>
    <s v="VERGE G"/>
    <s v="VERGE GREGORY"/>
    <n v="10"/>
    <x v="3"/>
    <x v="1"/>
    <s v="PLAQUETTES"/>
    <x v="3"/>
    <n v="70"/>
  </r>
  <r>
    <d v="2025-11-06T21:31:48"/>
    <x v="1"/>
    <s v="Plaquettes d'ébauches carrées"/>
    <s v="VERGE G"/>
    <s v="VERGE GREGORY"/>
    <n v="10"/>
    <x v="3"/>
    <x v="1"/>
    <s v="PLAQUETTES"/>
    <x v="3"/>
    <n v="71.2"/>
  </r>
  <r>
    <d v="2025-11-06T21:32:03"/>
    <x v="11"/>
    <s v="Plaquettes de finition triangulaires"/>
    <s v="VERGE G"/>
    <s v="VERGE GREGORY"/>
    <n v="10"/>
    <x v="2"/>
    <x v="2"/>
    <s v="PLAQUETTES"/>
    <x v="1"/>
    <n v="118.7"/>
  </r>
  <r>
    <d v="2025-11-07T06:36:30"/>
    <x v="4"/>
    <s v="Plaquettes de finition"/>
    <s v="U198152"/>
    <s v="AJMIK MUSTAPHA"/>
    <n v="5"/>
    <x v="2"/>
    <x v="2"/>
    <s v="PLAQUETTES"/>
    <x v="1"/>
    <n v="47.8"/>
  </r>
  <r>
    <d v="2025-11-07T06:36:51"/>
    <x v="4"/>
    <s v="Plaquettes de finition"/>
    <s v="U198152"/>
    <s v="AJMIK MUSTAPHA"/>
    <n v="5"/>
    <x v="3"/>
    <x v="2"/>
    <s v="PLAQUETTES"/>
    <x v="2"/>
    <n v="47.8"/>
  </r>
  <r>
    <d v="2025-11-07T06:37:15"/>
    <x v="2"/>
    <s v="Plaquettes d'ébauches rhombiques"/>
    <s v="U198152"/>
    <s v="AJMIK MUSTAPHA"/>
    <n v="10"/>
    <x v="3"/>
    <x v="0"/>
    <s v="PLAQUETTES"/>
    <x v="2"/>
    <n v="70"/>
  </r>
  <r>
    <d v="2025-11-07T06:37:35"/>
    <x v="1"/>
    <s v="Plaquettes d'ébauches carrées"/>
    <s v="U198152"/>
    <s v="AJMIK MUSTAPHA"/>
    <n v="10"/>
    <x v="2"/>
    <x v="0"/>
    <s v="PLAQUETTES"/>
    <x v="1"/>
    <n v="71.2"/>
  </r>
  <r>
    <d v="2025-11-07T06:37:53"/>
    <x v="9"/>
    <s v="Plaquettes rhombiques"/>
    <s v="U198152"/>
    <s v="AJMIK MUSTAPHA"/>
    <n v="5"/>
    <x v="2"/>
    <x v="2"/>
    <s v="PLAQUETTES"/>
    <x v="1"/>
    <n v="44.85"/>
  </r>
  <r>
    <d v="2025-12-14T06:53:55"/>
    <x v="2"/>
    <s v="Plaquettes d'ébauches rhombiques"/>
    <s v="U518765"/>
    <s v="ROY ADELINE"/>
    <n v="10"/>
    <x v="0"/>
    <x v="0"/>
    <s v="PLAQUETTES"/>
    <x v="1"/>
    <n v="70"/>
  </r>
  <r>
    <d v="2025-12-14T06:54:16"/>
    <x v="2"/>
    <s v="Plaquettes d'ébauches rhombiques"/>
    <s v="U518765"/>
    <s v="ROY ADELINE"/>
    <n v="10"/>
    <x v="0"/>
    <x v="0"/>
    <s v="PLAQUETTES"/>
    <x v="1"/>
    <n v="70"/>
  </r>
  <r>
    <d v="2025-12-15T13:59:18"/>
    <x v="2"/>
    <s v="Plaquettes d'ébauches rhombiques"/>
    <s v="u134838"/>
    <s v="DANAH STEPHANIE"/>
    <n v="10"/>
    <x v="0"/>
    <x v="2"/>
    <s v="PLAQUETTES"/>
    <x v="1"/>
    <n v="70"/>
  </r>
  <r>
    <d v="2025-11-07T13:49:25"/>
    <x v="6"/>
    <s v="Plaquettes de finition positives"/>
    <s v="u134838"/>
    <s v="DANAH STEPHANIE"/>
    <n v="10"/>
    <x v="1"/>
    <x v="2"/>
    <s v="PLAQUETTES"/>
    <x v="0"/>
    <n v="87"/>
  </r>
  <r>
    <d v="2025-12-17T13:43:19"/>
    <x v="2"/>
    <s v="Plaquettes d'ébauches rhombiques"/>
    <s v="u134838"/>
    <s v="DANAH STEPHANIE"/>
    <n v="10"/>
    <x v="0"/>
    <x v="0"/>
    <s v="PLAQUETTES"/>
    <x v="1"/>
    <n v="70"/>
  </r>
  <r>
    <d v="2025-11-07T13:50:08"/>
    <x v="2"/>
    <s v="Plaquettes d'ébauches rhombiques"/>
    <s v="u134838"/>
    <s v="DANAH STEPHANIE"/>
    <n v="10"/>
    <x v="1"/>
    <x v="0"/>
    <s v="PLAQUETTES"/>
    <x v="0"/>
    <n v="70"/>
  </r>
  <r>
    <d v="2025-11-08T06:11:28"/>
    <x v="3"/>
    <s v="Plaquettes rondes"/>
    <s v="U198152"/>
    <s v="AJMIK MUSTAPHA"/>
    <n v="10"/>
    <x v="2"/>
    <x v="0"/>
    <s v="PLAQUETTES"/>
    <x v="1"/>
    <n v="136.69999999999999"/>
  </r>
  <r>
    <d v="2025-11-08T06:11:44"/>
    <x v="5"/>
    <s v="Plaquettes rondes"/>
    <s v="U198152"/>
    <s v="AJMIK MUSTAPHA"/>
    <n v="10"/>
    <x v="2"/>
    <x v="0"/>
    <s v="PLAQUETTES"/>
    <x v="1"/>
    <n v="108.5"/>
  </r>
  <r>
    <d v="2025-11-08T06:12:06"/>
    <x v="2"/>
    <s v="Plaquettes d'ébauches rhombiques"/>
    <s v="U198152"/>
    <s v="AJMIK MUSTAPHA"/>
    <n v="10"/>
    <x v="2"/>
    <x v="0"/>
    <s v="PLAQUETTES"/>
    <x v="1"/>
    <n v="70"/>
  </r>
  <r>
    <d v="2025-11-08T06:12:26"/>
    <x v="1"/>
    <s v="Plaquettes d'ébauches carrées"/>
    <s v="U198152"/>
    <s v="AJMIK MUSTAPHA"/>
    <n v="10"/>
    <x v="2"/>
    <x v="0"/>
    <s v="PLAQUETTES"/>
    <x v="1"/>
    <n v="71.2"/>
  </r>
  <r>
    <d v="2025-11-08T06:12:40"/>
    <x v="4"/>
    <s v="Plaquettes de finition"/>
    <s v="U198152"/>
    <s v="AJMIK MUSTAPHA"/>
    <n v="5"/>
    <x v="2"/>
    <x v="2"/>
    <s v="PLAQUETTES"/>
    <x v="1"/>
    <n v="47.8"/>
  </r>
  <r>
    <d v="2025-12-18T13:55:25"/>
    <x v="2"/>
    <s v="Plaquettes d'ébauches rhombiques"/>
    <s v="04522ACAA77080"/>
    <s v="VILLALOBOS ANTHONY"/>
    <n v="10"/>
    <x v="0"/>
    <x v="0"/>
    <s v="PLAQUETTES"/>
    <x v="1"/>
    <n v="70"/>
  </r>
  <r>
    <d v="2025-11-08T21:18:49"/>
    <x v="4"/>
    <s v="Plaquettes de finition"/>
    <s v="U534565"/>
    <s v="HOAREAU MARIUS"/>
    <n v="5"/>
    <x v="3"/>
    <x v="2"/>
    <s v="PLAQUETTES"/>
    <x v="2"/>
    <n v="47.8"/>
  </r>
  <r>
    <d v="2025-11-08T21:19:10"/>
    <x v="2"/>
    <s v="Plaquettes d'ébauches rhombiques"/>
    <s v="U534565"/>
    <s v="HOAREAU MARIUS"/>
    <n v="10"/>
    <x v="3"/>
    <x v="0"/>
    <s v="PLAQUETTES"/>
    <x v="2"/>
    <n v="70"/>
  </r>
  <r>
    <d v="2025-11-08T21:19:33"/>
    <x v="4"/>
    <s v="Plaquettes de finition"/>
    <s v="U534565"/>
    <s v="HOAREAU MARIUS"/>
    <n v="5"/>
    <x v="2"/>
    <x v="2"/>
    <s v="PLAQUETTES"/>
    <x v="1"/>
    <n v="47.8"/>
  </r>
  <r>
    <d v="2025-11-08T21:19:46"/>
    <x v="2"/>
    <s v="Plaquettes d'ébauches rhombiques"/>
    <s v="U534565"/>
    <s v="HOAREAU MARIUS"/>
    <n v="10"/>
    <x v="2"/>
    <x v="2"/>
    <s v="PLAQUETTES"/>
    <x v="1"/>
    <n v="70"/>
  </r>
  <r>
    <d v="2025-11-08T21:20:06"/>
    <x v="2"/>
    <s v="Plaquettes d'ébauches rhombiques"/>
    <s v="U534565"/>
    <s v="HOAREAU MARIUS"/>
    <n v="10"/>
    <x v="2"/>
    <x v="0"/>
    <s v="PLAQUETTES"/>
    <x v="1"/>
    <n v="70"/>
  </r>
  <r>
    <d v="2025-11-09T05:53:45"/>
    <x v="2"/>
    <s v="Plaquettes d'ébauches rhombiques"/>
    <s v="U054304"/>
    <s v="BOUACHIK HICHAM"/>
    <n v="10"/>
    <x v="1"/>
    <x v="0"/>
    <s v="PLAQUETTES"/>
    <x v="0"/>
    <n v="70"/>
  </r>
  <r>
    <d v="2025-12-18T13:55:45"/>
    <x v="2"/>
    <s v="Plaquettes d'ébauches rhombiques"/>
    <s v="04522ACAA77080"/>
    <s v="VILLALOBOS ANTHONY"/>
    <n v="10"/>
    <x v="0"/>
    <x v="0"/>
    <s v="PLAQUETTES"/>
    <x v="1"/>
    <n v="70"/>
  </r>
  <r>
    <d v="2025-11-09T10:45:47"/>
    <x v="10"/>
    <s v="Plaquettes de finition"/>
    <s v="U198152"/>
    <s v="AJMIK MUSTAPHA"/>
    <n v="10"/>
    <x v="3"/>
    <x v="2"/>
    <s v="PLAQUETTES"/>
    <x v="0"/>
    <n v="109.7"/>
  </r>
  <r>
    <d v="2025-11-09T10:46:03"/>
    <x v="7"/>
    <s v="Plaquettes de finition triangulaires"/>
    <s v="U198152"/>
    <s v="AJMIK MUSTAPHA"/>
    <n v="10"/>
    <x v="3"/>
    <x v="2"/>
    <s v="PLAQUETTES"/>
    <x v="0"/>
    <n v="138.80000000000001"/>
  </r>
  <r>
    <d v="2025-11-09T10:46:19"/>
    <x v="6"/>
    <s v="Plaquettes de finition positives"/>
    <s v="U198152"/>
    <s v="AJMIK MUSTAPHA"/>
    <n v="10"/>
    <x v="3"/>
    <x v="2"/>
    <s v="PLAQUETTES"/>
    <x v="0"/>
    <n v="87"/>
  </r>
  <r>
    <d v="2025-11-09T10:46:33"/>
    <x v="6"/>
    <s v="Plaquettes de finition positives"/>
    <s v="U198152"/>
    <s v="AJMIK MUSTAPHA"/>
    <n v="10"/>
    <x v="3"/>
    <x v="2"/>
    <s v="PLAQUETTES"/>
    <x v="0"/>
    <n v="87"/>
  </r>
  <r>
    <d v="2025-12-19T16:06:19"/>
    <x v="2"/>
    <s v="Plaquettes d'ébauches rhombiques"/>
    <s v="04522ACAA77080"/>
    <s v="VILLALOBOS ANTHONY"/>
    <n v="10"/>
    <x v="0"/>
    <x v="0"/>
    <s v="PLAQUETTES"/>
    <x v="0"/>
    <n v="70"/>
  </r>
  <r>
    <d v="2025-12-19T22:21:43"/>
    <x v="2"/>
    <s v="Plaquettes d'ébauches rhombiques"/>
    <s v="j519914"/>
    <s v="MARLY DAVID"/>
    <n v="10"/>
    <x v="0"/>
    <x v="0"/>
    <s v="PLAQUETTES"/>
    <x v="0"/>
    <n v="70"/>
  </r>
  <r>
    <d v="2025-12-21T17:52:17"/>
    <x v="2"/>
    <s v="Plaquettes d'ébauches rhombiques"/>
    <s v="U534565"/>
    <s v="HOAREAU MARIUS"/>
    <n v="10"/>
    <x v="0"/>
    <x v="0"/>
    <s v="PLAQUETTES"/>
    <x v="0"/>
    <n v="70"/>
  </r>
  <r>
    <d v="2025-11-09T17:26:28"/>
    <x v="2"/>
    <s v="Plaquettes d'ébauches rhombiques"/>
    <s v="U518765"/>
    <s v="ROY ADELINE"/>
    <n v="10"/>
    <x v="1"/>
    <x v="0"/>
    <s v="PLAQUETTES"/>
    <x v="0"/>
    <n v="70"/>
  </r>
  <r>
    <d v="2025-11-09T17:26:47"/>
    <x v="6"/>
    <s v="Plaquettes de finition positives"/>
    <s v="U518765"/>
    <s v="ROY ADELINE"/>
    <n v="10"/>
    <x v="1"/>
    <x v="2"/>
    <s v="PLAQUETTES"/>
    <x v="0"/>
    <n v="87"/>
  </r>
  <r>
    <d v="2025-01-15T15:09:48"/>
    <x v="8"/>
    <s v="Plaquettes rhombiques"/>
    <s v="1234SECOURS"/>
    <s v="SECOURS"/>
    <n v="5"/>
    <x v="0"/>
    <x v="2"/>
    <s v="PLAQUETTES"/>
    <x v="1"/>
    <n v="18.399999999999999"/>
  </r>
  <r>
    <d v="2025-11-09T17:37:07"/>
    <x v="5"/>
    <s v="Plaquettes rondes"/>
    <s v="U534565"/>
    <s v="HOAREAU MARIUS"/>
    <n v="10"/>
    <x v="3"/>
    <x v="0"/>
    <s v="PLAQUETTES"/>
    <x v="0"/>
    <n v="108.5"/>
  </r>
  <r>
    <d v="2025-11-09T17:37:24"/>
    <x v="3"/>
    <s v="Plaquettes rondes"/>
    <s v="U534565"/>
    <s v="HOAREAU MARIUS"/>
    <n v="10"/>
    <x v="2"/>
    <x v="0"/>
    <s v="PLAQUETTES"/>
    <x v="1"/>
    <n v="136.69999999999999"/>
  </r>
  <r>
    <d v="2025-11-09T17:37:40"/>
    <x v="9"/>
    <s v="Plaquettes rhombiques"/>
    <s v="U534565"/>
    <s v="HOAREAU MARIUS"/>
    <n v="5"/>
    <x v="2"/>
    <x v="2"/>
    <s v="PLAQUETTES"/>
    <x v="1"/>
    <n v="44.85"/>
  </r>
  <r>
    <d v="2025-01-15T15:10:15"/>
    <x v="8"/>
    <s v="Plaquettes rhombiques"/>
    <s v="1234SECOURS"/>
    <s v="SECOURS"/>
    <n v="-5"/>
    <x v="0"/>
    <x v="2"/>
    <s v="PLAQUETTES"/>
    <x v="1"/>
    <n v="-18.399999999999999"/>
  </r>
  <r>
    <d v="2025-11-10T01:59:51"/>
    <x v="6"/>
    <s v="Plaquettes de finition positives"/>
    <s v="U518765"/>
    <s v="ROY ADELINE"/>
    <n v="10"/>
    <x v="1"/>
    <x v="2"/>
    <s v="PLAQUETTES"/>
    <x v="0"/>
    <n v="87"/>
  </r>
  <r>
    <d v="2025-11-10T02:00:07"/>
    <x v="10"/>
    <s v="Plaquettes de finition"/>
    <s v="U518765"/>
    <s v="ROY ADELINE"/>
    <n v="10"/>
    <x v="1"/>
    <x v="2"/>
    <s v="PLAQUETTES"/>
    <x v="0"/>
    <n v="109.7"/>
  </r>
  <r>
    <d v="2025-11-10T14:15:28"/>
    <x v="6"/>
    <s v="Plaquettes de finition positives"/>
    <s v="sd13196"/>
    <s v="FRADIN MAXIME"/>
    <n v="10"/>
    <x v="1"/>
    <x v="2"/>
    <s v="PLAQUETTES"/>
    <x v="0"/>
    <n v="87"/>
  </r>
  <r>
    <d v="2025-01-17T15:56:14"/>
    <x v="9"/>
    <s v="Plaquettes rhombiques"/>
    <s v="020824"/>
    <s v="DA SILVA RENAUD"/>
    <n v="5"/>
    <x v="0"/>
    <x v="2"/>
    <s v="PLAQUETTES"/>
    <x v="4"/>
    <n v="44.85"/>
  </r>
  <r>
    <d v="2025-11-10T14:15:58"/>
    <x v="1"/>
    <s v="Plaquettes d'ébauches carrées"/>
    <s v="sd13196"/>
    <s v="FRADIN MAXIME"/>
    <n v="10"/>
    <x v="1"/>
    <x v="1"/>
    <s v="PLAQUETTES"/>
    <x v="0"/>
    <n v="71.2"/>
  </r>
  <r>
    <d v="2025-11-10T14:16:16"/>
    <x v="6"/>
    <s v="Plaquettes de finition positives"/>
    <s v="sd13196"/>
    <s v="FRADIN MAXIME"/>
    <n v="10"/>
    <x v="1"/>
    <x v="2"/>
    <s v="PLAQUETTES"/>
    <x v="0"/>
    <n v="87"/>
  </r>
  <r>
    <d v="2025-11-10T14:46:26"/>
    <x v="0"/>
    <s v="Plaquette piste OP20 R1,2 T323"/>
    <s v="sd13196"/>
    <s v="FRADIN MAXIME"/>
    <n v="5"/>
    <x v="3"/>
    <x v="0"/>
    <s v="PLAQUETTES"/>
    <x v="0"/>
    <n v="35"/>
  </r>
  <r>
    <d v="2025-11-10T14:46:44"/>
    <x v="2"/>
    <s v="Plaquettes d'ébauches rhombiques"/>
    <s v="sd13196"/>
    <s v="FRADIN MAXIME"/>
    <n v="10"/>
    <x v="3"/>
    <x v="0"/>
    <s v="PLAQUETTES"/>
    <x v="0"/>
    <n v="70"/>
  </r>
  <r>
    <d v="2025-11-10T14:47:02"/>
    <x v="1"/>
    <s v="Plaquettes d'ébauches carrées"/>
    <s v="sd13196"/>
    <s v="FRADIN MAXIME"/>
    <n v="10"/>
    <x v="3"/>
    <x v="0"/>
    <s v="PLAQUETTES"/>
    <x v="0"/>
    <n v="71.2"/>
  </r>
  <r>
    <d v="2025-11-11T04:21:58"/>
    <x v="2"/>
    <s v="Plaquettes d'ébauches rhombiques"/>
    <s v="j529800"/>
    <s v="MONTCHARMONT BAPTISTE"/>
    <n v="10"/>
    <x v="3"/>
    <x v="1"/>
    <s v="PLAQUETTES"/>
    <x v="0"/>
    <n v="70"/>
  </r>
  <r>
    <d v="2025-11-11T04:22:19"/>
    <x v="2"/>
    <s v="Plaquettes d'ébauches rhombiques"/>
    <s v="j529800"/>
    <s v="MONTCHARMONT BAPTISTE"/>
    <n v="10"/>
    <x v="3"/>
    <x v="1"/>
    <s v="PLAQUETTES"/>
    <x v="0"/>
    <n v="70"/>
  </r>
  <r>
    <d v="2025-11-11T06:59:12"/>
    <x v="4"/>
    <s v="Plaquettes de finition"/>
    <s v="SE38185"/>
    <s v="VENIAT PIERRE NICOLAS"/>
    <n v="5"/>
    <x v="2"/>
    <x v="2"/>
    <s v="PLAQUETTES"/>
    <x v="1"/>
    <n v="47.8"/>
  </r>
  <r>
    <d v="2025-11-11T21:59:12"/>
    <x v="6"/>
    <s v="Plaquettes de finition positives"/>
    <s v="j519914"/>
    <s v="MARLY DAVID"/>
    <n v="10"/>
    <x v="1"/>
    <x v="2"/>
    <s v="PLAQUETTES"/>
    <x v="0"/>
    <n v="87"/>
  </r>
  <r>
    <d v="2025-11-11T21:59:45"/>
    <x v="2"/>
    <s v="Plaquettes d'ébauches rhombiques"/>
    <s v="j519914"/>
    <s v="MARLY DAVID"/>
    <n v="10"/>
    <x v="3"/>
    <x v="0"/>
    <s v="PLAQUETTES"/>
    <x v="0"/>
    <n v="70"/>
  </r>
  <r>
    <d v="2025-11-11T22:00:19"/>
    <x v="1"/>
    <s v="Plaquettes d'ébauches carrées"/>
    <s v="j519914"/>
    <s v="MARLY DAVID"/>
    <n v="10"/>
    <x v="2"/>
    <x v="0"/>
    <s v="PLAQUETTES"/>
    <x v="1"/>
    <n v="71.2"/>
  </r>
  <r>
    <d v="2025-11-11T22:00:45"/>
    <x v="4"/>
    <s v="Plaquettes de finition"/>
    <s v="j519914"/>
    <s v="MARLY DAVID"/>
    <n v="5"/>
    <x v="2"/>
    <x v="2"/>
    <s v="PLAQUETTES"/>
    <x v="1"/>
    <n v="47.8"/>
  </r>
  <r>
    <d v="2025-11-12T10:53:53"/>
    <x v="6"/>
    <s v="Plaquettes de finition positives"/>
    <s v="020824"/>
    <s v="DA SILVA RENAUD"/>
    <n v="10"/>
    <x v="1"/>
    <x v="2"/>
    <s v="PLAQUETTES"/>
    <x v="0"/>
    <n v="87"/>
  </r>
  <r>
    <d v="2025-01-20T05:28:16"/>
    <x v="9"/>
    <s v="Plaquettes rhombiques"/>
    <s v="U134838"/>
    <s v="DANAH STEPHANIE"/>
    <n v="5"/>
    <x v="0"/>
    <x v="2"/>
    <s v="PLAQUETTES"/>
    <x v="1"/>
    <n v="44.85"/>
  </r>
  <r>
    <d v="2025-11-12T13:10:08"/>
    <x v="4"/>
    <s v="Plaquettes de finition"/>
    <s v="sd13196"/>
    <s v="FRADIN MAXIME"/>
    <n v="5"/>
    <x v="1"/>
    <x v="2"/>
    <s v="PLAQUETTES"/>
    <x v="2"/>
    <n v="47.8"/>
  </r>
  <r>
    <d v="2025-01-23T12:31:41"/>
    <x v="9"/>
    <s v="Plaquettes rhombiques"/>
    <s v="U134838"/>
    <s v="DANAH STEPHANIE"/>
    <n v="5"/>
    <x v="0"/>
    <x v="2"/>
    <s v="PLAQUETTES"/>
    <x v="1"/>
    <n v="44.85"/>
  </r>
  <r>
    <d v="2025-01-24T13:48:13"/>
    <x v="9"/>
    <s v="Plaquettes rhombiques"/>
    <s v="SIEGEL F"/>
    <s v="SIEGEL FRANCK"/>
    <n v="5"/>
    <x v="0"/>
    <x v="2"/>
    <s v="PLAQUETTES"/>
    <x v="1"/>
    <n v="44.85"/>
  </r>
  <r>
    <d v="2025-11-12T13:11:01"/>
    <x v="6"/>
    <s v="Plaquettes de finition positives"/>
    <s v="sd13196"/>
    <s v="FRADIN MAXIME"/>
    <n v="10"/>
    <x v="1"/>
    <x v="2"/>
    <s v="PLAQUETTES"/>
    <x v="0"/>
    <n v="87"/>
  </r>
  <r>
    <d v="2025-11-12T17:03:50"/>
    <x v="0"/>
    <s v="Plaquette piste OP20 R1,2 T323"/>
    <s v="sd13196"/>
    <s v="FRADIN MAXIME"/>
    <n v="5"/>
    <x v="3"/>
    <x v="0"/>
    <s v="PLAQUETTES"/>
    <x v="0"/>
    <n v="35"/>
  </r>
  <r>
    <d v="2025-11-12T17:04:10"/>
    <x v="5"/>
    <s v="Plaquettes rondes"/>
    <s v="sd13196"/>
    <s v="FRADIN MAXIME"/>
    <n v="10"/>
    <x v="3"/>
    <x v="0"/>
    <s v="PLAQUETTES"/>
    <x v="0"/>
    <n v="108.5"/>
  </r>
  <r>
    <d v="2025-11-12T20:41:31"/>
    <x v="6"/>
    <s v="Plaquettes de finition positives"/>
    <s v="j519914"/>
    <s v="MARLY DAVID"/>
    <n v="10"/>
    <x v="1"/>
    <x v="2"/>
    <s v="PLAQUETTES"/>
    <x v="0"/>
    <n v="87"/>
  </r>
  <r>
    <d v="2025-11-12T21:54:18"/>
    <x v="4"/>
    <s v="Plaquettes de finition"/>
    <s v="VERGE G"/>
    <s v="VERGE GREGORY"/>
    <n v="5"/>
    <x v="2"/>
    <x v="2"/>
    <s v="PLAQUETTES"/>
    <x v="1"/>
    <n v="47.8"/>
  </r>
  <r>
    <d v="2025-11-12T21:54:36"/>
    <x v="4"/>
    <s v="Plaquettes de finition"/>
    <s v="VERGE G"/>
    <s v="VERGE GREGORY"/>
    <n v="5"/>
    <x v="2"/>
    <x v="2"/>
    <s v="PLAQUETTES"/>
    <x v="1"/>
    <n v="47.8"/>
  </r>
  <r>
    <d v="2025-11-12T22:38:54"/>
    <x v="1"/>
    <s v="Plaquettes d'ébauches carrées"/>
    <s v="j519914"/>
    <s v="MARLY DAVID"/>
    <n v="10"/>
    <x v="1"/>
    <x v="0"/>
    <s v="PLAQUETTES"/>
    <x v="0"/>
    <n v="71.2"/>
  </r>
  <r>
    <d v="2025-11-12T22:39:22"/>
    <x v="2"/>
    <s v="Plaquettes d'ébauches rhombiques"/>
    <s v="j519914"/>
    <s v="MARLY DAVID"/>
    <n v="10"/>
    <x v="1"/>
    <x v="0"/>
    <s v="PLAQUETTES"/>
    <x v="0"/>
    <n v="70"/>
  </r>
  <r>
    <d v="2025-11-13T00:58:16"/>
    <x v="0"/>
    <s v="Plaquette piste OP20 R1,2 T323"/>
    <s v="j519914"/>
    <s v="MARLY DAVID"/>
    <n v="5"/>
    <x v="1"/>
    <x v="0"/>
    <s v="PLAQUETTES"/>
    <x v="0"/>
    <n v="35"/>
  </r>
  <r>
    <d v="2025-11-13T00:58:46"/>
    <x v="7"/>
    <s v="Plaquettes de finition triangulaires"/>
    <s v="j519914"/>
    <s v="MARLY DAVID"/>
    <n v="10"/>
    <x v="1"/>
    <x v="2"/>
    <s v="PLAQUETTES"/>
    <x v="0"/>
    <n v="138.80000000000001"/>
  </r>
  <r>
    <d v="2025-11-13T01:51:07"/>
    <x v="10"/>
    <s v="Plaquettes de finition"/>
    <s v="j519914"/>
    <s v="MARLY DAVID"/>
    <n v="10"/>
    <x v="1"/>
    <x v="2"/>
    <s v="PLAQUETTES"/>
    <x v="0"/>
    <n v="109.7"/>
  </r>
  <r>
    <d v="2025-11-13T03:51:19"/>
    <x v="4"/>
    <s v="Plaquettes de finition"/>
    <s v="j529800"/>
    <s v="MONTCHARMONT BAPTISTE"/>
    <n v="5"/>
    <x v="2"/>
    <x v="2"/>
    <s v="PLAQUETTES"/>
    <x v="1"/>
    <n v="47.8"/>
  </r>
  <r>
    <d v="2025-11-13T03:51:40"/>
    <x v="4"/>
    <s v="Plaquettes de finition"/>
    <s v="j529800"/>
    <s v="MONTCHARMONT BAPTISTE"/>
    <n v="5"/>
    <x v="2"/>
    <x v="2"/>
    <s v="PLAQUETTES"/>
    <x v="1"/>
    <n v="47.8"/>
  </r>
  <r>
    <d v="2025-01-29T05:07:55"/>
    <x v="9"/>
    <s v="Plaquettes rhombiques"/>
    <s v="SIEGEL F"/>
    <s v="SIEGEL FRANCK"/>
    <n v="5"/>
    <x v="0"/>
    <x v="2"/>
    <s v="PLAQUETTES"/>
    <x v="1"/>
    <n v="44.85"/>
  </r>
  <r>
    <d v="2025-01-31T21:39:58"/>
    <x v="9"/>
    <s v="Plaquettes rhombiques"/>
    <s v="U134838"/>
    <s v="DANAH STEPHANIE"/>
    <n v="5"/>
    <x v="0"/>
    <x v="2"/>
    <s v="PLAQUETTES"/>
    <x v="1"/>
    <n v="44.85"/>
  </r>
  <r>
    <d v="2025-11-13T06:22:52"/>
    <x v="4"/>
    <s v="Plaquettes de finition"/>
    <s v="u134838"/>
    <s v="DANAH STEPHANIE"/>
    <n v="5"/>
    <x v="2"/>
    <x v="2"/>
    <s v="PLAQUETTES"/>
    <x v="1"/>
    <n v="47.8"/>
  </r>
  <r>
    <d v="2025-11-13T06:23:10"/>
    <x v="9"/>
    <s v="Plaquettes rhombiques"/>
    <s v="u134838"/>
    <s v="DANAH STEPHANIE"/>
    <n v="5"/>
    <x v="2"/>
    <x v="2"/>
    <s v="PLAQUETTES"/>
    <x v="1"/>
    <n v="44.85"/>
  </r>
  <r>
    <d v="2025-11-13T06:23:28"/>
    <x v="6"/>
    <s v="Plaquettes de finition positives"/>
    <s v="u134838"/>
    <s v="DANAH STEPHANIE"/>
    <n v="10"/>
    <x v="3"/>
    <x v="2"/>
    <s v="PLAQUETTES"/>
    <x v="0"/>
    <n v="87"/>
  </r>
  <r>
    <d v="2025-11-13T06:23:58"/>
    <x v="1"/>
    <s v="Plaquettes d'ébauches carrées"/>
    <s v="u134838"/>
    <s v="DANAH STEPHANIE"/>
    <n v="10"/>
    <x v="3"/>
    <x v="0"/>
    <s v="PLAQUETTES"/>
    <x v="0"/>
    <n v="71.2"/>
  </r>
  <r>
    <d v="2025-02-03T06:22:16"/>
    <x v="9"/>
    <s v="Plaquettes rhombiques"/>
    <s v="080924"/>
    <s v="DABLEMONT AURELIEN"/>
    <n v="5"/>
    <x v="0"/>
    <x v="2"/>
    <s v="PLAQUETTES"/>
    <x v="1"/>
    <n v="44.85"/>
  </r>
  <r>
    <d v="2025-11-13T21:16:09"/>
    <x v="2"/>
    <s v="Plaquettes d'ébauches rhombiques"/>
    <s v="VERGE G"/>
    <s v="VERGE GREGORY"/>
    <n v="10"/>
    <x v="3"/>
    <x v="1"/>
    <s v="PLAQUETTES"/>
    <x v="0"/>
    <n v="70"/>
  </r>
  <r>
    <d v="2025-11-13T21:16:22"/>
    <x v="2"/>
    <s v="Plaquettes d'ébauches rhombiques"/>
    <s v="VERGE G"/>
    <s v="VERGE GREGORY"/>
    <n v="10"/>
    <x v="2"/>
    <x v="1"/>
    <s v="PLAQUETTES"/>
    <x v="1"/>
    <n v="70"/>
  </r>
  <r>
    <d v="2025-11-13T21:16:35"/>
    <x v="1"/>
    <s v="Plaquettes d'ébauches carrées"/>
    <s v="VERGE G"/>
    <s v="VERGE GREGORY"/>
    <n v="10"/>
    <x v="2"/>
    <x v="1"/>
    <s v="PLAQUETTES"/>
    <x v="1"/>
    <n v="71.2"/>
  </r>
  <r>
    <d v="2025-11-13T21:16:48"/>
    <x v="4"/>
    <s v="Plaquettes de finition"/>
    <s v="VERGE G"/>
    <s v="VERGE GREGORY"/>
    <n v="5"/>
    <x v="2"/>
    <x v="2"/>
    <s v="PLAQUETTES"/>
    <x v="1"/>
    <n v="47.8"/>
  </r>
  <r>
    <d v="2025-11-13T21:38:03"/>
    <x v="6"/>
    <s v="Plaquettes de finition positives"/>
    <s v="j519914"/>
    <s v="MARLY DAVID"/>
    <n v="10"/>
    <x v="1"/>
    <x v="2"/>
    <s v="PLAQUETTES"/>
    <x v="0"/>
    <n v="87"/>
  </r>
  <r>
    <d v="2025-11-14T01:03:23"/>
    <x v="6"/>
    <s v="Plaquettes de finition positives"/>
    <s v="j519914"/>
    <s v="MARLY DAVID"/>
    <n v="10"/>
    <x v="1"/>
    <x v="2"/>
    <s v="PLAQUETTES"/>
    <x v="0"/>
    <n v="87"/>
  </r>
  <r>
    <d v="2025-11-14T01:03:59"/>
    <x v="2"/>
    <s v="Plaquettes d'ébauches rhombiques"/>
    <s v="j519914"/>
    <s v="MARLY DAVID"/>
    <n v="10"/>
    <x v="1"/>
    <x v="0"/>
    <s v="PLAQUETTES"/>
    <x v="0"/>
    <n v="70"/>
  </r>
  <r>
    <d v="2025-02-05T08:57:41"/>
    <x v="9"/>
    <s v="Plaquettes rhombiques"/>
    <s v="080924"/>
    <s v="DABLEMONT AURELIEN"/>
    <n v="5"/>
    <x v="0"/>
    <x v="2"/>
    <s v="PLAQUETTES"/>
    <x v="1"/>
    <n v="44.85"/>
  </r>
  <r>
    <d v="2025-11-14T06:06:20"/>
    <x v="6"/>
    <s v="Plaquettes de finition positives"/>
    <s v="U534565"/>
    <s v="HOAREAU MARIUS"/>
    <n v="10"/>
    <x v="1"/>
    <x v="2"/>
    <s v="PLAQUETTES"/>
    <x v="0"/>
    <n v="87"/>
  </r>
  <r>
    <d v="2025-11-14T06:06:42"/>
    <x v="2"/>
    <s v="Plaquettes d'ébauches rhombiques"/>
    <s v="U534565"/>
    <s v="HOAREAU MARIUS"/>
    <n v="10"/>
    <x v="1"/>
    <x v="0"/>
    <s v="PLAQUETTES"/>
    <x v="0"/>
    <n v="70"/>
  </r>
  <r>
    <d v="2025-11-14T16:22:22"/>
    <x v="0"/>
    <s v="Plaquette piste OP20 R1,2 T323"/>
    <s v="u462308"/>
    <s v="MAITRE SEBASTIEN"/>
    <n v="5"/>
    <x v="3"/>
    <x v="0"/>
    <s v="PLAQUETTES"/>
    <x v="0"/>
    <n v="35"/>
  </r>
  <r>
    <d v="2025-11-14T16:22:43"/>
    <x v="2"/>
    <s v="Plaquettes d'ébauches rhombiques"/>
    <s v="u462308"/>
    <s v="MAITRE SEBASTIEN"/>
    <n v="10"/>
    <x v="3"/>
    <x v="0"/>
    <s v="PLAQUETTES"/>
    <x v="0"/>
    <n v="70"/>
  </r>
  <r>
    <d v="2025-11-14T21:18:31"/>
    <x v="4"/>
    <s v="Plaquettes de finition"/>
    <s v="j529800"/>
    <s v="MONTCHARMONT BAPTISTE"/>
    <n v="5"/>
    <x v="2"/>
    <x v="2"/>
    <s v="PLAQUETTES"/>
    <x v="1"/>
    <n v="47.8"/>
  </r>
  <r>
    <d v="2025-11-14T21:19:28"/>
    <x v="3"/>
    <s v="Plaquettes rondes"/>
    <s v="j529800"/>
    <s v="MONTCHARMONT BAPTISTE"/>
    <n v="10"/>
    <x v="2"/>
    <x v="0"/>
    <s v="PLAQUETTES"/>
    <x v="1"/>
    <n v="136.69999999999999"/>
  </r>
  <r>
    <d v="2025-11-14T21:19:51"/>
    <x v="5"/>
    <s v="Plaquettes rondes"/>
    <s v="j529800"/>
    <s v="MONTCHARMONT BAPTISTE"/>
    <n v="10"/>
    <x v="2"/>
    <x v="0"/>
    <s v="PLAQUETTES"/>
    <x v="1"/>
    <n v="108.5"/>
  </r>
  <r>
    <d v="2025-11-15T05:14:28"/>
    <x v="2"/>
    <s v="Plaquettes d'ébauches rhombiques"/>
    <s v="U518765"/>
    <s v="ROY ADELINE"/>
    <n v="10"/>
    <x v="3"/>
    <x v="1"/>
    <s v="PLAQUETTES"/>
    <x v="0"/>
    <n v="70"/>
  </r>
  <r>
    <d v="2025-11-15T05:14:48"/>
    <x v="5"/>
    <s v="Plaquettes rondes"/>
    <s v="U518765"/>
    <s v="ROY ADELINE"/>
    <n v="10"/>
    <x v="3"/>
    <x v="0"/>
    <s v="PLAQUETTES"/>
    <x v="0"/>
    <n v="108.5"/>
  </r>
  <r>
    <d v="2025-11-15T05:15:04"/>
    <x v="6"/>
    <s v="Plaquettes de finition positives"/>
    <s v="U518765"/>
    <s v="ROY ADELINE"/>
    <n v="10"/>
    <x v="3"/>
    <x v="2"/>
    <s v="PLAQUETTES"/>
    <x v="0"/>
    <n v="87"/>
  </r>
  <r>
    <d v="2025-11-15T05:15:25"/>
    <x v="0"/>
    <s v="Plaquette piste OP20 R1,2 T323"/>
    <s v="U518765"/>
    <s v="ROY ADELINE"/>
    <n v="5"/>
    <x v="3"/>
    <x v="0"/>
    <s v="PLAQUETTES"/>
    <x v="0"/>
    <n v="35"/>
  </r>
  <r>
    <d v="2025-11-15T05:15:41"/>
    <x v="6"/>
    <s v="Plaquettes de finition positives"/>
    <s v="U518765"/>
    <s v="ROY ADELINE"/>
    <n v="10"/>
    <x v="3"/>
    <x v="2"/>
    <s v="PLAQUETTES"/>
    <x v="0"/>
    <n v="87"/>
  </r>
  <r>
    <d v="2025-11-15T05:15:59"/>
    <x v="9"/>
    <s v="Plaquettes rhombiques"/>
    <s v="U518765"/>
    <s v="ROY ADELINE"/>
    <n v="5"/>
    <x v="2"/>
    <x v="2"/>
    <s v="PLAQUETTES"/>
    <x v="1"/>
    <n v="44.85"/>
  </r>
  <r>
    <d v="2025-11-15T05:16:16"/>
    <x v="4"/>
    <s v="Plaquettes de finition"/>
    <s v="U518765"/>
    <s v="ROY ADELINE"/>
    <n v="5"/>
    <x v="2"/>
    <x v="2"/>
    <s v="PLAQUETTES"/>
    <x v="1"/>
    <n v="47.8"/>
  </r>
  <r>
    <d v="2025-11-15T05:16:31"/>
    <x v="4"/>
    <s v="Plaquettes de finition"/>
    <s v="U518765"/>
    <s v="ROY ADELINE"/>
    <n v="5"/>
    <x v="2"/>
    <x v="2"/>
    <s v="PLAQUETTES"/>
    <x v="1"/>
    <n v="47.8"/>
  </r>
  <r>
    <d v="2025-02-07T22:21:59"/>
    <x v="9"/>
    <s v="Plaquettes rhombiques"/>
    <s v="SD13196"/>
    <s v="FRADIN MAXIME"/>
    <n v="5"/>
    <x v="0"/>
    <x v="2"/>
    <s v="PLAQUETTES"/>
    <x v="1"/>
    <n v="44.85"/>
  </r>
  <r>
    <d v="2025-11-15T05:17:15"/>
    <x v="0"/>
    <s v="Plaquette piste OP20 R1,2 T323"/>
    <s v="U534565"/>
    <s v="HOAREAU MARIUS"/>
    <n v="5"/>
    <x v="1"/>
    <x v="0"/>
    <s v="PLAQUETTES"/>
    <x v="0"/>
    <n v="35"/>
  </r>
  <r>
    <d v="2025-11-15T05:17:32"/>
    <x v="0"/>
    <s v="Plaquette piste OP20 R1,2 T323"/>
    <s v="U534565"/>
    <s v="HOAREAU MARIUS"/>
    <n v="5"/>
    <x v="1"/>
    <x v="0"/>
    <s v="PLAQUETTES"/>
    <x v="0"/>
    <n v="35"/>
  </r>
  <r>
    <d v="2025-02-08T15:02:00"/>
    <x v="9"/>
    <s v="Plaquettes rhombiques"/>
    <s v="P910513"/>
    <s v="IMBERT MICKAEL"/>
    <n v="20"/>
    <x v="0"/>
    <x v="2"/>
    <s v="PLAQUETTES"/>
    <x v="1"/>
    <n v="179.4"/>
  </r>
  <r>
    <d v="2025-11-15T05:19:02"/>
    <x v="6"/>
    <s v="Plaquettes de finition positives"/>
    <s v="U534565"/>
    <s v="HOAREAU MARIUS"/>
    <n v="10"/>
    <x v="1"/>
    <x v="2"/>
    <s v="PLAQUETTES"/>
    <x v="0"/>
    <n v="87"/>
  </r>
  <r>
    <d v="2025-02-08T15:03:15"/>
    <x v="8"/>
    <s v="Plaquettes rhombiques"/>
    <s v="P910513"/>
    <s v="IMBERT MICKAEL"/>
    <n v="20"/>
    <x v="0"/>
    <x v="2"/>
    <s v="PLAQUETTES"/>
    <x v="1"/>
    <n v="73.599999999999994"/>
  </r>
  <r>
    <d v="2025-02-13T13:10:47"/>
    <x v="9"/>
    <s v="Plaquettes rhombiques"/>
    <s v="SIEGEL F"/>
    <s v="SIEGEL FRANCK"/>
    <n v="5"/>
    <x v="0"/>
    <x v="2"/>
    <s v="PLAQUETTES"/>
    <x v="1"/>
    <n v="44.85"/>
  </r>
  <r>
    <d v="2025-11-15T19:48:58"/>
    <x v="11"/>
    <s v="Plaquettes de finition triangulaires"/>
    <s v="U198152"/>
    <s v="AJMIK MUSTAPHA"/>
    <n v="10"/>
    <x v="2"/>
    <x v="2"/>
    <s v="PLAQUETTES"/>
    <x v="1"/>
    <n v="118.7"/>
  </r>
  <r>
    <d v="2025-11-15T19:49:16"/>
    <x v="2"/>
    <s v="Plaquettes d'ébauches rhombiques"/>
    <s v="U198152"/>
    <s v="AJMIK MUSTAPHA"/>
    <n v="10"/>
    <x v="2"/>
    <x v="2"/>
    <s v="PLAQUETTES"/>
    <x v="1"/>
    <n v="70"/>
  </r>
  <r>
    <d v="2025-11-15T19:49:37"/>
    <x v="6"/>
    <s v="Plaquettes de finition positives"/>
    <s v="U198152"/>
    <s v="AJMIK MUSTAPHA"/>
    <n v="10"/>
    <x v="3"/>
    <x v="2"/>
    <s v="PLAQUETTES"/>
    <x v="0"/>
    <n v="87"/>
  </r>
  <r>
    <d v="2025-11-15T19:50:01"/>
    <x v="2"/>
    <s v="Plaquettes d'ébauches rhombiques"/>
    <s v="U198152"/>
    <s v="AJMIK MUSTAPHA"/>
    <n v="10"/>
    <x v="2"/>
    <x v="0"/>
    <s v="PLAQUETTES"/>
    <x v="1"/>
    <n v="70"/>
  </r>
  <r>
    <d v="2025-11-15T19:50:15"/>
    <x v="1"/>
    <s v="Plaquettes d'ébauches carrées"/>
    <s v="U198152"/>
    <s v="AJMIK MUSTAPHA"/>
    <n v="10"/>
    <x v="3"/>
    <x v="1"/>
    <s v="PLAQUETTES"/>
    <x v="0"/>
    <n v="71.2"/>
  </r>
  <r>
    <d v="2025-02-14T21:30:13"/>
    <x v="9"/>
    <s v="Plaquettes rhombiques"/>
    <s v="080924"/>
    <s v="DABLEMONT AURELIEN"/>
    <n v="5"/>
    <x v="0"/>
    <x v="2"/>
    <s v="PLAQUETTES"/>
    <x v="1"/>
    <n v="44.85"/>
  </r>
  <r>
    <d v="2025-02-17T21:18:09"/>
    <x v="9"/>
    <s v="Plaquettes rhombiques"/>
    <s v="U134838"/>
    <s v="DANAH STEPHANIE"/>
    <n v="5"/>
    <x v="0"/>
    <x v="2"/>
    <s v="PLAQUETTES"/>
    <x v="1"/>
    <n v="44.85"/>
  </r>
  <r>
    <d v="2025-11-15T23:43:52"/>
    <x v="1"/>
    <s v="Plaquettes d'ébauches carrées"/>
    <s v="U054304"/>
    <s v="BOUACHIK HICHAM"/>
    <n v="10"/>
    <x v="1"/>
    <x v="0"/>
    <s v="PLAQUETTES"/>
    <x v="0"/>
    <n v="71.2"/>
  </r>
  <r>
    <d v="2025-11-15T23:44:18"/>
    <x v="2"/>
    <s v="Plaquettes d'ébauches rhombiques"/>
    <s v="U054304"/>
    <s v="BOUACHIK HICHAM"/>
    <n v="10"/>
    <x v="1"/>
    <x v="0"/>
    <s v="PLAQUETTES"/>
    <x v="0"/>
    <n v="70"/>
  </r>
  <r>
    <d v="2025-11-16T03:02:57"/>
    <x v="9"/>
    <s v="Plaquettes rhombiques"/>
    <s v="U080365"/>
    <s v="ALAVOINE SAMUEL"/>
    <n v="5"/>
    <x v="2"/>
    <x v="2"/>
    <s v="PLAQUETTES"/>
    <x v="1"/>
    <n v="44.85"/>
  </r>
  <r>
    <d v="2025-11-16T15:31:26"/>
    <x v="2"/>
    <s v="Plaquettes d'ébauches rhombiques"/>
    <s v="U518765"/>
    <s v="ROY ADELINE"/>
    <n v="10"/>
    <x v="3"/>
    <x v="0"/>
    <s v="PLAQUETTES"/>
    <x v="0"/>
    <n v="70"/>
  </r>
  <r>
    <d v="2025-11-16T15:31:51"/>
    <x v="6"/>
    <s v="Plaquettes de finition positives"/>
    <s v="U518765"/>
    <s v="ROY ADELINE"/>
    <n v="10"/>
    <x v="3"/>
    <x v="2"/>
    <s v="PLAQUETTES"/>
    <x v="0"/>
    <n v="87"/>
  </r>
  <r>
    <d v="2025-11-16T15:32:19"/>
    <x v="4"/>
    <s v="Plaquettes de finition"/>
    <s v="U518765"/>
    <s v="ROY ADELINE"/>
    <n v="5"/>
    <x v="2"/>
    <x v="2"/>
    <s v="PLAQUETTES"/>
    <x v="1"/>
    <n v="47.8"/>
  </r>
  <r>
    <d v="2025-11-16T17:20:13"/>
    <x v="9"/>
    <s v="Plaquettes rhombiques"/>
    <s v="U080365"/>
    <s v="ALAVOINE SAMUEL"/>
    <n v="5"/>
    <x v="2"/>
    <x v="2"/>
    <s v="PLAQUETTES"/>
    <x v="1"/>
    <n v="44.85"/>
  </r>
  <r>
    <d v="2025-11-17T03:00:39"/>
    <x v="6"/>
    <s v="Plaquettes de finition positives"/>
    <s v="U198152"/>
    <s v="AJMIK MUSTAPHA"/>
    <n v="10"/>
    <x v="3"/>
    <x v="2"/>
    <s v="PLAQUETTES"/>
    <x v="0"/>
    <n v="87"/>
  </r>
  <r>
    <d v="2025-11-17T05:11:39"/>
    <x v="10"/>
    <s v="Plaquettes de finition"/>
    <s v="sd13196"/>
    <s v="FRADIN MAXIME"/>
    <n v="10"/>
    <x v="3"/>
    <x v="2"/>
    <s v="PLAQUETTES"/>
    <x v="0"/>
    <n v="109.7"/>
  </r>
  <r>
    <d v="2025-11-17T07:43:58"/>
    <x v="1"/>
    <s v="Plaquettes d'ébauches carrées"/>
    <s v="sd13196"/>
    <s v="FRADIN MAXIME"/>
    <n v="10"/>
    <x v="1"/>
    <x v="1"/>
    <s v="PLAQUETTES"/>
    <x v="0"/>
    <n v="71.2"/>
  </r>
  <r>
    <d v="2025-11-17T07:45:44"/>
    <x v="6"/>
    <s v="Plaquettes de finition positives"/>
    <s v="sd13196"/>
    <s v="FRADIN MAXIME"/>
    <n v="10"/>
    <x v="1"/>
    <x v="2"/>
    <s v="PLAQUETTES"/>
    <x v="0"/>
    <n v="87"/>
  </r>
  <r>
    <d v="2025-11-17T07:46:02"/>
    <x v="6"/>
    <s v="Plaquettes de finition positives"/>
    <s v="sd13196"/>
    <s v="FRADIN MAXIME"/>
    <n v="10"/>
    <x v="1"/>
    <x v="2"/>
    <s v="PLAQUETTES"/>
    <x v="0"/>
    <n v="87"/>
  </r>
  <r>
    <d v="2025-11-17T09:57:32"/>
    <x v="4"/>
    <s v="Plaquettes de finition"/>
    <s v="12824586"/>
    <s v="DA SILVA FERNANDO"/>
    <n v="5"/>
    <x v="3"/>
    <x v="2"/>
    <s v="PLAQUETTES"/>
    <x v="4"/>
    <n v="47.8"/>
  </r>
  <r>
    <d v="2025-11-17T13:51:14"/>
    <x v="2"/>
    <s v="Plaquettes d'ébauches rhombiques"/>
    <s v="170325"/>
    <s v="VERDELET BASTIEN"/>
    <n v="10"/>
    <x v="2"/>
    <x v="0"/>
    <s v="PLAQUETTES"/>
    <x v="1"/>
    <n v="70"/>
  </r>
  <r>
    <d v="2025-11-17T13:51:32"/>
    <x v="1"/>
    <s v="Plaquettes d'ébauches carrées"/>
    <s v="170325"/>
    <s v="VERDELET BASTIEN"/>
    <n v="10"/>
    <x v="2"/>
    <x v="0"/>
    <s v="PLAQUETTES"/>
    <x v="1"/>
    <n v="71.2"/>
  </r>
  <r>
    <d v="2025-11-17T13:51:55"/>
    <x v="12"/>
    <s v="Plaquettes de gorge"/>
    <s v="170325"/>
    <s v="VERDELET BASTIEN"/>
    <n v="10"/>
    <x v="3"/>
    <x v="0"/>
    <s v="PLAQUETTES"/>
    <x v="2"/>
    <n v="157"/>
  </r>
  <r>
    <d v="2025-11-17T13:52:15"/>
    <x v="10"/>
    <s v="Plaquettes de finition"/>
    <s v="170325"/>
    <s v="VERDELET BASTIEN"/>
    <n v="10"/>
    <x v="3"/>
    <x v="2"/>
    <s v="PLAQUETTES"/>
    <x v="2"/>
    <n v="109.7"/>
  </r>
  <r>
    <d v="2025-11-17T13:52:29"/>
    <x v="4"/>
    <s v="Plaquettes de finition"/>
    <s v="170325"/>
    <s v="VERDELET BASTIEN"/>
    <n v="5"/>
    <x v="3"/>
    <x v="2"/>
    <s v="PLAQUETTES"/>
    <x v="2"/>
    <n v="47.8"/>
  </r>
  <r>
    <d v="2025-11-17T13:52:46"/>
    <x v="11"/>
    <s v="Plaquettes de finition triangulaires"/>
    <s v="170325"/>
    <s v="VERDELET BASTIEN"/>
    <n v="10"/>
    <x v="3"/>
    <x v="2"/>
    <s v="PLAQUETTES"/>
    <x v="2"/>
    <n v="118.7"/>
  </r>
  <r>
    <d v="2025-11-17T13:53:04"/>
    <x v="2"/>
    <s v="Plaquettes d'ébauches rhombiques"/>
    <s v="170325"/>
    <s v="VERDELET BASTIEN"/>
    <n v="10"/>
    <x v="3"/>
    <x v="2"/>
    <s v="PLAQUETTES"/>
    <x v="2"/>
    <n v="70"/>
  </r>
  <r>
    <d v="2025-02-19T06:07:21"/>
    <x v="9"/>
    <s v="Plaquettes rhombiques"/>
    <s v="SIEGEL F"/>
    <s v="SIEGEL FRANCK"/>
    <n v="5"/>
    <x v="0"/>
    <x v="2"/>
    <s v="PLAQUETTES"/>
    <x v="1"/>
    <n v="44.85"/>
  </r>
  <r>
    <d v="2025-11-17T20:24:59"/>
    <x v="6"/>
    <s v="Plaquettes de finition positives"/>
    <s v="u134838"/>
    <s v="DANAH STEPHANIE"/>
    <n v="10"/>
    <x v="1"/>
    <x v="2"/>
    <s v="PLAQUETTES"/>
    <x v="0"/>
    <n v="87"/>
  </r>
  <r>
    <d v="2025-02-24T18:26:28"/>
    <x v="9"/>
    <s v="Plaquettes rhombiques"/>
    <s v="U134838"/>
    <s v="DANAH STEPHANIE"/>
    <n v="5"/>
    <x v="0"/>
    <x v="2"/>
    <s v="PLAQUETTES"/>
    <x v="1"/>
    <n v="44.85"/>
  </r>
  <r>
    <d v="2025-11-17T23:15:00"/>
    <x v="2"/>
    <s v="Plaquettes d'ébauches rhombiques"/>
    <s v="VERGE G"/>
    <s v="VERGE GREGORY"/>
    <n v="10"/>
    <x v="2"/>
    <x v="1"/>
    <s v="PLAQUETTES"/>
    <x v="1"/>
    <n v="70"/>
  </r>
  <r>
    <d v="2025-11-17T23:15:13"/>
    <x v="2"/>
    <s v="Plaquettes d'ébauches rhombiques"/>
    <s v="VERGE G"/>
    <s v="VERGE GREGORY"/>
    <n v="10"/>
    <x v="2"/>
    <x v="1"/>
    <s v="PLAQUETTES"/>
    <x v="1"/>
    <n v="70"/>
  </r>
  <r>
    <d v="2025-11-17T23:15:25"/>
    <x v="1"/>
    <s v="Plaquettes d'ébauches carrées"/>
    <s v="VERGE G"/>
    <s v="VERGE GREGORY"/>
    <n v="10"/>
    <x v="2"/>
    <x v="1"/>
    <s v="PLAQUETTES"/>
    <x v="1"/>
    <n v="71.2"/>
  </r>
  <r>
    <d v="2025-11-18T05:32:59"/>
    <x v="6"/>
    <s v="Plaquettes de finition positives"/>
    <s v="sd13196"/>
    <s v="FRADIN MAXIME"/>
    <n v="10"/>
    <x v="1"/>
    <x v="2"/>
    <s v="PLAQUETTES"/>
    <x v="0"/>
    <n v="87"/>
  </r>
  <r>
    <d v="2025-11-18T05:33:17"/>
    <x v="6"/>
    <s v="Plaquettes de finition positives"/>
    <s v="sd13196"/>
    <s v="FRADIN MAXIME"/>
    <n v="10"/>
    <x v="1"/>
    <x v="2"/>
    <s v="PLAQUETTES"/>
    <x v="0"/>
    <n v="87"/>
  </r>
  <r>
    <d v="2025-02-25T13:46:57"/>
    <x v="9"/>
    <s v="Plaquettes rhombiques"/>
    <s v="u134838"/>
    <s v="DANAH STEPHANIE"/>
    <n v="5"/>
    <x v="0"/>
    <x v="2"/>
    <s v="PLAQUETTES"/>
    <x v="1"/>
    <n v="44.85"/>
  </r>
  <r>
    <d v="2025-11-18T05:33:56"/>
    <x v="2"/>
    <s v="Plaquettes d'ébauches rhombiques"/>
    <s v="sd13196"/>
    <s v="FRADIN MAXIME"/>
    <n v="10"/>
    <x v="1"/>
    <x v="0"/>
    <s v="PLAQUETTES"/>
    <x v="0"/>
    <n v="70"/>
  </r>
  <r>
    <d v="2025-02-27T22:55:28"/>
    <x v="9"/>
    <s v="Plaquettes rhombiques"/>
    <s v="J519914"/>
    <s v="MARLY DAVID"/>
    <n v="5"/>
    <x v="0"/>
    <x v="2"/>
    <s v="PLAQUETTES"/>
    <x v="1"/>
    <n v="44.85"/>
  </r>
  <r>
    <d v="2025-11-18T12:08:02"/>
    <x v="4"/>
    <s v="Plaquettes de finition"/>
    <s v="sd13196"/>
    <s v="FRADIN MAXIME"/>
    <n v="5"/>
    <x v="2"/>
    <x v="2"/>
    <s v="PLAQUETTES"/>
    <x v="1"/>
    <n v="47.8"/>
  </r>
  <r>
    <d v="2025-11-18T12:08:31"/>
    <x v="4"/>
    <s v="Plaquettes de finition"/>
    <s v="sd13196"/>
    <s v="FRADIN MAXIME"/>
    <n v="5"/>
    <x v="3"/>
    <x v="2"/>
    <s v="PLAQUETTES"/>
    <x v="2"/>
    <n v="47.8"/>
  </r>
  <r>
    <d v="2025-11-18T12:08:53"/>
    <x v="3"/>
    <s v="Plaquettes rondes"/>
    <s v="sd13196"/>
    <s v="FRADIN MAXIME"/>
    <n v="10"/>
    <x v="2"/>
    <x v="0"/>
    <s v="PLAQUETTES"/>
    <x v="1"/>
    <n v="136.69999999999999"/>
  </r>
  <r>
    <d v="2025-02-28T13:48:05"/>
    <x v="9"/>
    <s v="Plaquettes rhombiques"/>
    <s v="170325"/>
    <s v="VERDELET BASTIEN"/>
    <n v="5"/>
    <x v="0"/>
    <x v="2"/>
    <s v="PLAQUETTES"/>
    <x v="1"/>
    <n v="44.85"/>
  </r>
  <r>
    <d v="2025-11-18T23:23:00"/>
    <x v="2"/>
    <s v="Plaquettes d'ébauches rhombiques"/>
    <s v="j519914"/>
    <s v="MARLY DAVID"/>
    <n v="10"/>
    <x v="1"/>
    <x v="0"/>
    <s v="PLAQUETTES"/>
    <x v="0"/>
    <n v="70"/>
  </r>
  <r>
    <d v="2025-11-18T23:23:30"/>
    <x v="1"/>
    <s v="Plaquettes d'ébauches carrées"/>
    <s v="j519914"/>
    <s v="MARLY DAVID"/>
    <n v="10"/>
    <x v="1"/>
    <x v="0"/>
    <s v="PLAQUETTES"/>
    <x v="0"/>
    <n v="71.2"/>
  </r>
  <r>
    <d v="2025-03-04T05:50:43"/>
    <x v="9"/>
    <s v="Plaquettes rhombiques"/>
    <s v="u134838"/>
    <s v="DANAH STEPHANIE"/>
    <n v="5"/>
    <x v="0"/>
    <x v="2"/>
    <s v="PLAQUETTES"/>
    <x v="1"/>
    <n v="44.85"/>
  </r>
  <r>
    <d v="2025-11-19T00:06:07"/>
    <x v="2"/>
    <s v="Plaquettes d'ébauches rhombiques"/>
    <s v="VERGE G"/>
    <s v="VERGE GREGORY"/>
    <n v="10"/>
    <x v="2"/>
    <x v="0"/>
    <s v="PLAQUETTES"/>
    <x v="1"/>
    <n v="70"/>
  </r>
  <r>
    <d v="2025-11-19T00:06:23"/>
    <x v="2"/>
    <s v="Plaquettes d'ébauches rhombiques"/>
    <s v="VERGE G"/>
    <s v="VERGE GREGORY"/>
    <n v="10"/>
    <x v="3"/>
    <x v="1"/>
    <s v="PLAQUETTES"/>
    <x v="5"/>
    <n v="70"/>
  </r>
  <r>
    <d v="2025-11-19T00:06:41"/>
    <x v="1"/>
    <s v="Plaquettes d'ébauches carrées"/>
    <s v="VERGE G"/>
    <s v="VERGE GREGORY"/>
    <n v="10"/>
    <x v="2"/>
    <x v="1"/>
    <s v="PLAQUETTES"/>
    <x v="5"/>
    <n v="71.2"/>
  </r>
  <r>
    <d v="2025-11-19T00:07:03"/>
    <x v="4"/>
    <s v="Plaquettes de finition"/>
    <s v="VERGE G"/>
    <s v="VERGE GREGORY"/>
    <n v="5"/>
    <x v="2"/>
    <x v="2"/>
    <s v="PLAQUETTES"/>
    <x v="1"/>
    <n v="47.8"/>
  </r>
  <r>
    <d v="2025-11-19T05:50:27"/>
    <x v="5"/>
    <s v="Plaquettes rondes"/>
    <s v="u462308"/>
    <s v="MAITRE SEBASTIEN"/>
    <n v="10"/>
    <x v="2"/>
    <x v="0"/>
    <s v="PLAQUETTES"/>
    <x v="1"/>
    <n v="108.5"/>
  </r>
  <r>
    <d v="2025-11-19T05:50:42"/>
    <x v="3"/>
    <s v="Plaquettes rondes"/>
    <s v="u462308"/>
    <s v="MAITRE SEBASTIEN"/>
    <n v="10"/>
    <x v="2"/>
    <x v="0"/>
    <s v="PLAQUETTES"/>
    <x v="1"/>
    <n v="136.69999999999999"/>
  </r>
  <r>
    <d v="2025-11-19T05:50:59"/>
    <x v="4"/>
    <s v="Plaquettes de finition"/>
    <s v="u462308"/>
    <s v="MAITRE SEBASTIEN"/>
    <n v="5"/>
    <x v="2"/>
    <x v="2"/>
    <s v="PLAQUETTES"/>
    <x v="1"/>
    <n v="47.8"/>
  </r>
  <r>
    <d v="2025-11-19T05:51:15"/>
    <x v="2"/>
    <s v="Plaquettes d'ébauches rhombiques"/>
    <s v="u462308"/>
    <s v="MAITRE SEBASTIEN"/>
    <n v="10"/>
    <x v="2"/>
    <x v="0"/>
    <s v="PLAQUETTES"/>
    <x v="1"/>
    <n v="70"/>
  </r>
  <r>
    <d v="2025-11-19T07:12:38"/>
    <x v="2"/>
    <s v="Plaquettes d'ébauches rhombiques"/>
    <s v="sd13196"/>
    <s v="FRADIN MAXIME"/>
    <n v="10"/>
    <x v="1"/>
    <x v="0"/>
    <s v="PLAQUETTES"/>
    <x v="0"/>
    <n v="70"/>
  </r>
  <r>
    <d v="2025-11-19T07:12:52"/>
    <x v="1"/>
    <s v="Plaquettes d'ébauches carrées"/>
    <s v="sd13196"/>
    <s v="FRADIN MAXIME"/>
    <n v="10"/>
    <x v="1"/>
    <x v="0"/>
    <s v="PLAQUETTES"/>
    <x v="0"/>
    <n v="71.2"/>
  </r>
  <r>
    <d v="2025-11-19T07:13:07"/>
    <x v="6"/>
    <s v="Plaquettes de finition positives"/>
    <s v="sd13196"/>
    <s v="FRADIN MAXIME"/>
    <n v="10"/>
    <x v="1"/>
    <x v="2"/>
    <s v="PLAQUETTES"/>
    <x v="0"/>
    <n v="87"/>
  </r>
  <r>
    <d v="2025-11-19T07:13:27"/>
    <x v="6"/>
    <s v="Plaquettes de finition positives"/>
    <s v="sd13196"/>
    <s v="FRADIN MAXIME"/>
    <n v="10"/>
    <x v="1"/>
    <x v="2"/>
    <s v="PLAQUETTES"/>
    <x v="0"/>
    <n v="87"/>
  </r>
  <r>
    <d v="2025-03-08T18:19:50"/>
    <x v="9"/>
    <s v="Plaquettes rhombiques"/>
    <s v="U054304"/>
    <s v="BOUACHIK HICHAM"/>
    <n v="5"/>
    <x v="0"/>
    <x v="2"/>
    <s v="PLAQUETTES"/>
    <x v="1"/>
    <n v="44.85"/>
  </r>
  <r>
    <d v="2025-03-09T07:02:27"/>
    <x v="9"/>
    <s v="Plaquettes rhombiques"/>
    <s v="U534565"/>
    <s v="HOAREAU MARIUS"/>
    <n v="5"/>
    <x v="0"/>
    <x v="2"/>
    <s v="PLAQUETTES"/>
    <x v="1"/>
    <n v="44.85"/>
  </r>
  <r>
    <d v="2025-11-19T09:35:04"/>
    <x v="1"/>
    <s v="Plaquettes d'ébauches carrées"/>
    <s v="u462308"/>
    <s v="MAITRE SEBASTIEN"/>
    <n v="10"/>
    <x v="3"/>
    <x v="1"/>
    <s v="PLAQUETTES"/>
    <x v="0"/>
    <n v="71.2"/>
  </r>
  <r>
    <d v="2025-03-11T07:38:57"/>
    <x v="9"/>
    <s v="Plaquettes rhombiques"/>
    <s v="SD13196"/>
    <s v="FRADIN MAXIME"/>
    <n v="5"/>
    <x v="0"/>
    <x v="2"/>
    <s v="PLAQUETTES"/>
    <x v="1"/>
    <n v="44.85"/>
  </r>
  <r>
    <d v="2025-03-13T13:50:53"/>
    <x v="8"/>
    <s v="Plaquettes rhombiques"/>
    <s v="J534699"/>
    <s v="CHARTON FABIAN"/>
    <n v="5"/>
    <x v="0"/>
    <x v="2"/>
    <s v="PLAQUETTES"/>
    <x v="1"/>
    <n v="18.399999999999999"/>
  </r>
  <r>
    <d v="2025-11-19T13:52:52"/>
    <x v="6"/>
    <s v="Plaquettes de finition positives"/>
    <s v="u134838"/>
    <s v="DANAH STEPHANIE"/>
    <n v="10"/>
    <x v="1"/>
    <x v="2"/>
    <s v="PLAQUETTES"/>
    <x v="0"/>
    <n v="87"/>
  </r>
  <r>
    <d v="2025-03-13T15:04:29"/>
    <x v="9"/>
    <s v="Plaquettes rhombiques"/>
    <s v="J534699"/>
    <s v="CHARTON FABIAN"/>
    <n v="5"/>
    <x v="0"/>
    <x v="2"/>
    <s v="PLAQUETTES"/>
    <x v="1"/>
    <n v="44.85"/>
  </r>
  <r>
    <d v="2025-11-19T13:53:33"/>
    <x v="2"/>
    <s v="Plaquettes d'ébauches rhombiques"/>
    <s v="u134838"/>
    <s v="DANAH STEPHANIE"/>
    <n v="10"/>
    <x v="1"/>
    <x v="0"/>
    <s v="PLAQUETTES"/>
    <x v="0"/>
    <n v="70"/>
  </r>
  <r>
    <d v="2025-03-17T13:41:01"/>
    <x v="9"/>
    <s v="Plaquettes rhombiques"/>
    <s v="170325"/>
    <s v="VERDELET BASTIEN"/>
    <n v="5"/>
    <x v="0"/>
    <x v="2"/>
    <s v="PLAQUETTES"/>
    <x v="1"/>
    <n v="44.85"/>
  </r>
  <r>
    <d v="2025-03-18T06:47:30"/>
    <x v="9"/>
    <s v="Plaquettes rhombiques"/>
    <s v="080924"/>
    <s v="DABLEMONT AURELIEN"/>
    <n v="5"/>
    <x v="0"/>
    <x v="2"/>
    <s v="PLAQUETTES"/>
    <x v="1"/>
    <n v="44.85"/>
  </r>
  <r>
    <d v="2025-11-19T21:18:00"/>
    <x v="4"/>
    <s v="Plaquettes de finition"/>
    <s v="j529800"/>
    <s v="MONTCHARMONT BAPTISTE"/>
    <n v="5"/>
    <x v="3"/>
    <x v="2"/>
    <s v="PLAQUETTES"/>
    <x v="5"/>
    <n v="47.8"/>
  </r>
  <r>
    <d v="2025-11-19T21:18:25"/>
    <x v="2"/>
    <s v="Plaquettes d'ébauches rhombiques"/>
    <s v="j529800"/>
    <s v="MONTCHARMONT BAPTISTE"/>
    <n v="10"/>
    <x v="3"/>
    <x v="2"/>
    <s v="PLAQUETTES"/>
    <x v="5"/>
    <n v="70"/>
  </r>
  <r>
    <d v="2025-11-20T00:01:37"/>
    <x v="2"/>
    <s v="Plaquettes d'ébauches rhombiques"/>
    <s v="j529800"/>
    <s v="MONTCHARMONT BAPTISTE"/>
    <n v="10"/>
    <x v="3"/>
    <x v="1"/>
    <s v="PLAQUETTES"/>
    <x v="5"/>
    <n v="70"/>
  </r>
  <r>
    <d v="2025-11-20T00:02:12"/>
    <x v="2"/>
    <s v="Plaquettes d'ébauches rhombiques"/>
    <s v="j529800"/>
    <s v="MONTCHARMONT BAPTISTE"/>
    <n v="10"/>
    <x v="3"/>
    <x v="1"/>
    <s v="PLAQUETTES"/>
    <x v="5"/>
    <n v="70"/>
  </r>
  <r>
    <d v="2025-11-20T00:02:49"/>
    <x v="9"/>
    <s v="Plaquettes rhombiques"/>
    <s v="j529800"/>
    <s v="MONTCHARMONT BAPTISTE"/>
    <n v="5"/>
    <x v="3"/>
    <x v="0"/>
    <s v="PLAQUETTES"/>
    <x v="5"/>
    <n v="44.85"/>
  </r>
  <r>
    <d v="2025-11-20T01:07:32"/>
    <x v="2"/>
    <s v="Plaquettes d'ébauches rhombiques"/>
    <s v="j519914"/>
    <s v="MARLY DAVID"/>
    <n v="10"/>
    <x v="1"/>
    <x v="0"/>
    <s v="PLAQUETTES"/>
    <x v="0"/>
    <n v="70"/>
  </r>
  <r>
    <d v="2025-11-20T05:25:05"/>
    <x v="1"/>
    <s v="Plaquettes d'ébauches carrées"/>
    <s v="u462308"/>
    <s v="MAITRE SEBASTIEN"/>
    <n v="10"/>
    <x v="3"/>
    <x v="0"/>
    <s v="PLAQUETTES"/>
    <x v="5"/>
    <n v="71.2"/>
  </r>
  <r>
    <d v="2025-11-20T05:25:22"/>
    <x v="12"/>
    <s v="Plaquettes de gorge"/>
    <s v="u462308"/>
    <s v="MAITRE SEBASTIEN"/>
    <n v="10"/>
    <x v="3"/>
    <x v="0"/>
    <s v="PLAQUETTES"/>
    <x v="2"/>
    <n v="157"/>
  </r>
  <r>
    <d v="2025-11-20T05:25:48"/>
    <x v="4"/>
    <s v="Plaquettes de finition"/>
    <s v="u462308"/>
    <s v="MAITRE SEBASTIEN"/>
    <n v="5"/>
    <x v="3"/>
    <x v="2"/>
    <s v="PLAQUETTES"/>
    <x v="2"/>
    <n v="47.8"/>
  </r>
  <r>
    <d v="2025-11-20T05:26:05"/>
    <x v="4"/>
    <s v="Plaquettes de finition"/>
    <s v="u462308"/>
    <s v="MAITRE SEBASTIEN"/>
    <n v="5"/>
    <x v="2"/>
    <x v="2"/>
    <s v="PLAQUETTES"/>
    <x v="1"/>
    <n v="47.8"/>
  </r>
  <r>
    <d v="2025-04-16T02:22:39"/>
    <x v="9"/>
    <s v="Plaquettes rhombiques"/>
    <s v="080924"/>
    <s v="DABLEMONT AURELIEN"/>
    <n v="5"/>
    <x v="0"/>
    <x v="2"/>
    <s v="PLAQUETTES"/>
    <x v="1"/>
    <n v="44.85"/>
  </r>
  <r>
    <d v="2025-04-16T22:08:39"/>
    <x v="9"/>
    <s v="Plaquettes rhombiques"/>
    <s v="080924"/>
    <s v="DABLEMONT AURELIEN"/>
    <n v="5"/>
    <x v="0"/>
    <x v="2"/>
    <s v="PLAQUETTES"/>
    <x v="1"/>
    <n v="44.85"/>
  </r>
  <r>
    <d v="2025-11-20T07:01:42"/>
    <x v="6"/>
    <s v="Plaquettes de finition positives"/>
    <s v="sd13196"/>
    <s v="FRADIN MAXIME"/>
    <n v="10"/>
    <x v="1"/>
    <x v="2"/>
    <s v="PLAQUETTES"/>
    <x v="0"/>
    <n v="87"/>
  </r>
  <r>
    <d v="2025-11-20T07:01:57"/>
    <x v="6"/>
    <s v="Plaquettes de finition positives"/>
    <s v="sd13196"/>
    <s v="FRADIN MAXIME"/>
    <n v="10"/>
    <x v="1"/>
    <x v="2"/>
    <s v="PLAQUETTES"/>
    <x v="0"/>
    <n v="87"/>
  </r>
  <r>
    <d v="2025-04-16T22:08:55"/>
    <x v="9"/>
    <s v="Plaquettes rhombiques"/>
    <s v="080924"/>
    <s v="DABLEMONT AURELIEN"/>
    <n v="5"/>
    <x v="0"/>
    <x v="2"/>
    <s v="PLAQUETTES"/>
    <x v="1"/>
    <n v="44.85"/>
  </r>
  <r>
    <d v="2025-11-20T15:31:18"/>
    <x v="6"/>
    <s v="Plaquettes de finition positives"/>
    <s v="u134838"/>
    <s v="DANAH STEPHANIE"/>
    <n v="10"/>
    <x v="1"/>
    <x v="2"/>
    <s v="PLAQUETTES"/>
    <x v="0"/>
    <n v="87"/>
  </r>
  <r>
    <d v="2025-04-21T21:21:28"/>
    <x v="9"/>
    <s v="Plaquettes rhombiques"/>
    <s v="170325"/>
    <s v="VERDELET BASTIEN"/>
    <n v="5"/>
    <x v="0"/>
    <x v="2"/>
    <s v="PLAQUETTES"/>
    <x v="1"/>
    <n v="44.85"/>
  </r>
  <r>
    <d v="2025-11-20T16:06:41"/>
    <x v="5"/>
    <s v="Plaquettes rondes"/>
    <s v="170325"/>
    <s v="VERDELET BASTIEN"/>
    <n v="10"/>
    <x v="2"/>
    <x v="0"/>
    <s v="PLAQUETTES"/>
    <x v="1"/>
    <n v="108.5"/>
  </r>
  <r>
    <d v="2025-11-20T16:07:03"/>
    <x v="2"/>
    <s v="Plaquettes d'ébauches rhombiques"/>
    <s v="170325"/>
    <s v="VERDELET BASTIEN"/>
    <n v="10"/>
    <x v="2"/>
    <x v="0"/>
    <s v="PLAQUETTES"/>
    <x v="1"/>
    <n v="70"/>
  </r>
  <r>
    <d v="2025-11-20T21:37:06"/>
    <x v="4"/>
    <s v="Plaquettes de finition"/>
    <s v="j529800"/>
    <s v="MONTCHARMONT BAPTISTE"/>
    <n v="5"/>
    <x v="3"/>
    <x v="2"/>
    <s v="PLAQUETTES"/>
    <x v="5"/>
    <n v="47.8"/>
  </r>
  <r>
    <d v="2025-11-20T21:37:28"/>
    <x v="4"/>
    <s v="Plaquettes de finition"/>
    <s v="j529800"/>
    <s v="MONTCHARMONT BAPTISTE"/>
    <n v="5"/>
    <x v="3"/>
    <x v="2"/>
    <s v="PLAQUETTES"/>
    <x v="5"/>
    <n v="47.8"/>
  </r>
  <r>
    <d v="2025-11-20T21:37:53"/>
    <x v="2"/>
    <s v="Plaquettes d'ébauches rhombiques"/>
    <s v="j529800"/>
    <s v="MONTCHARMONT BAPTISTE"/>
    <n v="10"/>
    <x v="2"/>
    <x v="2"/>
    <s v="PLAQUETTES"/>
    <x v="1"/>
    <n v="70"/>
  </r>
  <r>
    <d v="2025-11-20T21:38:25"/>
    <x v="4"/>
    <s v="Plaquettes de finition"/>
    <s v="j529800"/>
    <s v="MONTCHARMONT BAPTISTE"/>
    <n v="5"/>
    <x v="2"/>
    <x v="2"/>
    <s v="PLAQUETTES"/>
    <x v="1"/>
    <n v="47.8"/>
  </r>
  <r>
    <d v="2025-04-23T14:34:27"/>
    <x v="9"/>
    <s v="Plaquettes rhombiques"/>
    <s v="080924"/>
    <s v="DABLEMONT AURELIEN"/>
    <n v="5"/>
    <x v="0"/>
    <x v="2"/>
    <s v="PLAQUETTES"/>
    <x v="1"/>
    <n v="44.85"/>
  </r>
  <r>
    <d v="2025-04-27T18:56:42"/>
    <x v="9"/>
    <s v="Plaquettes rhombiques"/>
    <s v="J519914"/>
    <s v="MARLY DAVID"/>
    <n v="5"/>
    <x v="0"/>
    <x v="2"/>
    <s v="PLAQUETTES"/>
    <x v="1"/>
    <n v="44.85"/>
  </r>
  <r>
    <d v="2025-04-29T21:03:14"/>
    <x v="9"/>
    <s v="Plaquettes rhombiques"/>
    <s v="J519914"/>
    <s v="MARLY DAVID"/>
    <n v="5"/>
    <x v="0"/>
    <x v="2"/>
    <s v="PLAQUETTES"/>
    <x v="1"/>
    <n v="44.85"/>
  </r>
  <r>
    <d v="2025-11-21T09:07:08"/>
    <x v="4"/>
    <s v="Plaquettes de finition"/>
    <s v="J534699"/>
    <s v="CHARTON FABIAN"/>
    <n v="5"/>
    <x v="2"/>
    <x v="2"/>
    <s v="PLAQUETTES"/>
    <x v="1"/>
    <n v="47.8"/>
  </r>
  <r>
    <d v="2025-11-21T09:07:46"/>
    <x v="7"/>
    <s v="Plaquettes de finition triangulaires"/>
    <s v="J534699"/>
    <s v="CHARTON FABIAN"/>
    <n v="10"/>
    <x v="3"/>
    <x v="2"/>
    <s v="PLAQUETTES"/>
    <x v="0"/>
    <n v="138.80000000000001"/>
  </r>
  <r>
    <d v="2025-11-21T09:08:17"/>
    <x v="6"/>
    <s v="Plaquettes de finition positives"/>
    <s v="J534699"/>
    <s v="CHARTON FABIAN"/>
    <n v="10"/>
    <x v="3"/>
    <x v="2"/>
    <s v="PLAQUETTES"/>
    <x v="0"/>
    <n v="87"/>
  </r>
  <r>
    <d v="2025-11-21T13:50:06"/>
    <x v="2"/>
    <s v="Plaquettes d'ébauches rhombiques"/>
    <s v="170325"/>
    <s v="VERDELET BASTIEN"/>
    <n v="10"/>
    <x v="2"/>
    <x v="0"/>
    <s v="PLAQUETTES"/>
    <x v="1"/>
    <n v="70"/>
  </r>
  <r>
    <d v="2025-11-21T17:18:24"/>
    <x v="6"/>
    <s v="Plaquettes de finition positives"/>
    <s v="04522ACAA77080"/>
    <s v="VILLALOBOS ANTHONY"/>
    <n v="10"/>
    <x v="1"/>
    <x v="2"/>
    <s v="PLAQUETTES"/>
    <x v="0"/>
    <n v="87"/>
  </r>
  <r>
    <d v="2025-11-21T22:00:09"/>
    <x v="2"/>
    <s v="Plaquettes d'ébauches rhombiques"/>
    <s v="j519914"/>
    <s v="MARLY DAVID"/>
    <n v="10"/>
    <x v="1"/>
    <x v="0"/>
    <s v="PLAQUETTES"/>
    <x v="0"/>
    <n v="70"/>
  </r>
  <r>
    <d v="2025-11-21T22:00:36"/>
    <x v="6"/>
    <s v="Plaquettes de finition positives"/>
    <s v="j519914"/>
    <s v="MARLY DAVID"/>
    <n v="10"/>
    <x v="1"/>
    <x v="2"/>
    <s v="PLAQUETTES"/>
    <x v="0"/>
    <n v="87"/>
  </r>
  <r>
    <d v="2025-04-30T06:08:39"/>
    <x v="9"/>
    <s v="Plaquettes rhombiques"/>
    <s v="080924"/>
    <s v="DABLEMONT AURELIEN"/>
    <n v="5"/>
    <x v="0"/>
    <x v="2"/>
    <s v="PLAQUETTES"/>
    <x v="1"/>
    <n v="44.85"/>
  </r>
  <r>
    <d v="2025-05-03T17:13:49"/>
    <x v="9"/>
    <s v="Plaquettes rhombiques"/>
    <s v="U054304"/>
    <s v="BOUACHIK HICHAM"/>
    <n v="5"/>
    <x v="0"/>
    <x v="2"/>
    <s v="PLAQUETTES"/>
    <x v="1"/>
    <n v="44.85"/>
  </r>
  <r>
    <d v="2025-11-21T23:25:41"/>
    <x v="5"/>
    <s v="Plaquettes rondes"/>
    <s v="j519914"/>
    <s v="MARLY DAVID"/>
    <n v="10"/>
    <x v="1"/>
    <x v="0"/>
    <s v="PLAQUETTES"/>
    <x v="0"/>
    <n v="108.5"/>
  </r>
  <r>
    <d v="2025-11-22T04:30:08"/>
    <x v="2"/>
    <s v="Plaquettes d'ébauches rhombiques"/>
    <s v="j519914"/>
    <s v="MARLY DAVID"/>
    <n v="10"/>
    <x v="1"/>
    <x v="0"/>
    <s v="PLAQUETTES"/>
    <x v="0"/>
    <n v="70"/>
  </r>
  <r>
    <d v="2025-05-07T00:52:26"/>
    <x v="9"/>
    <s v="Plaquettes rhombiques"/>
    <s v="080924"/>
    <s v="DABLEMONT AURELIEN"/>
    <n v="5"/>
    <x v="0"/>
    <x v="2"/>
    <s v="PLAQUETTES"/>
    <x v="1"/>
    <n v="44.85"/>
  </r>
  <r>
    <d v="2025-11-22T05:13:40"/>
    <x v="6"/>
    <s v="Plaquettes de finition positives"/>
    <s v="j534699"/>
    <s v="CHARTON FABIAN"/>
    <n v="10"/>
    <x v="1"/>
    <x v="2"/>
    <s v="PLAQUETTES"/>
    <x v="0"/>
    <n v="87"/>
  </r>
  <r>
    <d v="2025-11-22T05:14:14"/>
    <x v="6"/>
    <s v="Plaquettes de finition positives"/>
    <s v="j534699"/>
    <s v="CHARTON FABIAN"/>
    <n v="10"/>
    <x v="1"/>
    <x v="2"/>
    <s v="PLAQUETTES"/>
    <x v="0"/>
    <n v="87"/>
  </r>
  <r>
    <d v="2025-11-22T09:49:54"/>
    <x v="4"/>
    <s v="Plaquettes de finition"/>
    <s v="j534699"/>
    <s v="CHARTON FABIAN"/>
    <n v="5"/>
    <x v="2"/>
    <x v="2"/>
    <s v="PLAQUETTES"/>
    <x v="1"/>
    <n v="47.8"/>
  </r>
  <r>
    <d v="2025-11-22T09:50:36"/>
    <x v="9"/>
    <s v="Plaquettes rhombiques"/>
    <s v="j534699"/>
    <s v="CHARTON FABIAN"/>
    <n v="5"/>
    <x v="2"/>
    <x v="2"/>
    <s v="PLAQUETTES"/>
    <x v="1"/>
    <n v="44.85"/>
  </r>
  <r>
    <d v="2025-11-22T13:19:44"/>
    <x v="2"/>
    <s v="Plaquettes d'ébauches rhombiques"/>
    <s v="U080365"/>
    <s v="ALAVOINE SAMUEL"/>
    <n v="10"/>
    <x v="2"/>
    <x v="1"/>
    <s v="PLAQUETTES"/>
    <x v="1"/>
    <n v="70"/>
  </r>
  <r>
    <d v="2025-11-22T13:20:00"/>
    <x v="1"/>
    <s v="Plaquettes d'ébauches carrées"/>
    <s v="U080365"/>
    <s v="ALAVOINE SAMUEL"/>
    <n v="10"/>
    <x v="2"/>
    <x v="1"/>
    <s v="PLAQUETTES"/>
    <x v="1"/>
    <n v="71.2"/>
  </r>
  <r>
    <d v="2025-11-22T13:20:19"/>
    <x v="5"/>
    <s v="Plaquettes rondes"/>
    <s v="U080365"/>
    <s v="ALAVOINE SAMUEL"/>
    <n v="10"/>
    <x v="2"/>
    <x v="0"/>
    <s v="PLAQUETTES"/>
    <x v="1"/>
    <n v="108.5"/>
  </r>
  <r>
    <d v="2025-11-22T13:20:32"/>
    <x v="3"/>
    <s v="Plaquettes rondes"/>
    <s v="U080365"/>
    <s v="ALAVOINE SAMUEL"/>
    <n v="10"/>
    <x v="2"/>
    <x v="0"/>
    <s v="PLAQUETTES"/>
    <x v="1"/>
    <n v="136.69999999999999"/>
  </r>
  <r>
    <d v="2025-11-22T13:20:49"/>
    <x v="4"/>
    <s v="Plaquettes de finition"/>
    <s v="U080365"/>
    <s v="ALAVOINE SAMUEL"/>
    <n v="5"/>
    <x v="2"/>
    <x v="2"/>
    <s v="PLAQUETTES"/>
    <x v="1"/>
    <n v="47.8"/>
  </r>
  <r>
    <d v="2025-11-22T13:21:09"/>
    <x v="11"/>
    <s v="Plaquettes de finition triangulaires"/>
    <s v="U080365"/>
    <s v="ALAVOINE SAMUEL"/>
    <n v="10"/>
    <x v="2"/>
    <x v="2"/>
    <s v="PLAQUETTES"/>
    <x v="1"/>
    <n v="118.7"/>
  </r>
  <r>
    <d v="2025-11-22T13:21:28"/>
    <x v="9"/>
    <s v="Plaquettes rhombiques"/>
    <s v="U080365"/>
    <s v="ALAVOINE SAMUEL"/>
    <n v="5"/>
    <x v="2"/>
    <x v="2"/>
    <s v="PLAQUETTES"/>
    <x v="1"/>
    <n v="44.85"/>
  </r>
  <r>
    <d v="2025-11-22T13:21:42"/>
    <x v="2"/>
    <s v="Plaquettes d'ébauches rhombiques"/>
    <s v="U080365"/>
    <s v="ALAVOINE SAMUEL"/>
    <n v="10"/>
    <x v="2"/>
    <x v="2"/>
    <s v="PLAQUETTES"/>
    <x v="1"/>
    <n v="70"/>
  </r>
  <r>
    <d v="2025-05-09T07:00:57"/>
    <x v="9"/>
    <s v="Plaquettes rhombiques"/>
    <s v="J534699"/>
    <s v="CHARTON FABIAN"/>
    <n v="5"/>
    <x v="0"/>
    <x v="2"/>
    <s v="PLAQUETTES"/>
    <x v="1"/>
    <n v="44.85"/>
  </r>
  <r>
    <d v="2025-05-14T13:13:51"/>
    <x v="9"/>
    <s v="Plaquettes rhombiques"/>
    <s v="080924"/>
    <s v="DABLEMONT AURELIEN"/>
    <n v="5"/>
    <x v="0"/>
    <x v="2"/>
    <s v="PLAQUETTES"/>
    <x v="1"/>
    <n v="44.85"/>
  </r>
  <r>
    <d v="2025-11-23T03:37:53"/>
    <x v="2"/>
    <s v="Plaquettes d'ébauches rhombiques"/>
    <s v="U534565"/>
    <s v="HOAREAU MARIUS"/>
    <n v="10"/>
    <x v="1"/>
    <x v="0"/>
    <s v="PLAQUETTES"/>
    <x v="0"/>
    <n v="70"/>
  </r>
  <r>
    <d v="2025-05-17T05:06:11"/>
    <x v="9"/>
    <s v="Plaquettes rhombiques"/>
    <s v="J534699"/>
    <s v="CHARTON FABIAN"/>
    <n v="5"/>
    <x v="0"/>
    <x v="2"/>
    <s v="PLAQUETTES"/>
    <x v="1"/>
    <n v="44.85"/>
  </r>
  <r>
    <d v="2025-11-23T07:33:28"/>
    <x v="10"/>
    <s v="Plaquettes de finition"/>
    <s v="u134838"/>
    <s v="DANAH STEPHANIE"/>
    <n v="10"/>
    <x v="1"/>
    <x v="2"/>
    <s v="PLAQUETTES"/>
    <x v="0"/>
    <n v="109.7"/>
  </r>
  <r>
    <d v="2025-11-23T07:33:42"/>
    <x v="7"/>
    <s v="Plaquettes de finition triangulaires"/>
    <s v="u134838"/>
    <s v="DANAH STEPHANIE"/>
    <n v="10"/>
    <x v="1"/>
    <x v="2"/>
    <s v="PLAQUETTES"/>
    <x v="0"/>
    <n v="138.80000000000001"/>
  </r>
  <r>
    <d v="2025-11-23T07:33:58"/>
    <x v="6"/>
    <s v="Plaquettes de finition positives"/>
    <s v="u134838"/>
    <s v="DANAH STEPHANIE"/>
    <n v="10"/>
    <x v="1"/>
    <x v="2"/>
    <s v="PLAQUETTES"/>
    <x v="0"/>
    <n v="87"/>
  </r>
  <r>
    <d v="2025-05-18T16:07:26"/>
    <x v="9"/>
    <s v="Plaquettes rhombiques"/>
    <s v="P717908"/>
    <s v="GONCALVES GEORGES"/>
    <n v="5"/>
    <x v="0"/>
    <x v="2"/>
    <s v="PLAQUETTES"/>
    <x v="1"/>
    <n v="44.85"/>
  </r>
  <r>
    <d v="2025-11-23T07:34:35"/>
    <x v="5"/>
    <s v="Plaquettes rondes"/>
    <s v="u134838"/>
    <s v="DANAH STEPHANIE"/>
    <n v="10"/>
    <x v="1"/>
    <x v="0"/>
    <s v="PLAQUETTES"/>
    <x v="0"/>
    <n v="108.5"/>
  </r>
  <r>
    <d v="2025-11-23T07:34:53"/>
    <x v="1"/>
    <s v="Plaquettes d'ébauches carrées"/>
    <s v="u134838"/>
    <s v="DANAH STEPHANIE"/>
    <n v="10"/>
    <x v="1"/>
    <x v="0"/>
    <s v="PLAQUETTES"/>
    <x v="0"/>
    <n v="71.2"/>
  </r>
  <r>
    <d v="2025-11-24T03:02:52"/>
    <x v="1"/>
    <s v="Plaquettes d'ébauches carrées"/>
    <s v="U534565"/>
    <s v="HOAREAU MARIUS"/>
    <n v="10"/>
    <x v="1"/>
    <x v="0"/>
    <s v="PLAQUETTES"/>
    <x v="0"/>
    <n v="71.2"/>
  </r>
  <r>
    <d v="2025-06-19T11:29:09"/>
    <x v="9"/>
    <s v="Plaquettes rhombiques"/>
    <s v="u134838"/>
    <s v="DANAH STEPHANIE"/>
    <n v="5"/>
    <x v="0"/>
    <x v="2"/>
    <s v="PLAQUETTES"/>
    <x v="1"/>
    <n v="44.85"/>
  </r>
  <r>
    <d v="2025-11-24T03:03:50"/>
    <x v="6"/>
    <s v="Plaquettes de finition positives"/>
    <s v="U534565"/>
    <s v="HOAREAU MARIUS"/>
    <n v="10"/>
    <x v="1"/>
    <x v="2"/>
    <s v="PLAQUETTES"/>
    <x v="0"/>
    <n v="87"/>
  </r>
  <r>
    <d v="2025-06-23T15:50:00"/>
    <x v="9"/>
    <s v="Plaquettes rhombiques"/>
    <s v="080924"/>
    <s v="DABLEMONT AURELIEN"/>
    <n v="5"/>
    <x v="0"/>
    <x v="2"/>
    <s v="PLAQUETTES"/>
    <x v="1"/>
    <n v="44.85"/>
  </r>
  <r>
    <d v="2025-06-24T01:58:48"/>
    <x v="9"/>
    <s v="Plaquettes rhombiques"/>
    <s v="170325"/>
    <s v="VERDELET BASTIEN"/>
    <n v="5"/>
    <x v="0"/>
    <x v="2"/>
    <s v="PLAQUETTES"/>
    <x v="1"/>
    <n v="44.85"/>
  </r>
  <r>
    <d v="2025-11-24T09:27:52"/>
    <x v="4"/>
    <s v="Plaquettes de finition"/>
    <s v="12824586"/>
    <s v="DA SILVA FERNANDO"/>
    <n v="5"/>
    <x v="3"/>
    <x v="2"/>
    <s v="PLAQUETTES"/>
    <x v="4"/>
    <n v="47.8"/>
  </r>
  <r>
    <d v="2025-11-24T10:06:46"/>
    <x v="2"/>
    <s v="Plaquettes d'ébauches rhombiques"/>
    <s v="12824586"/>
    <s v="DA SILVA FERNANDO"/>
    <n v="10"/>
    <x v="2"/>
    <x v="2"/>
    <s v="PLAQUETTES"/>
    <x v="4"/>
    <n v="70"/>
  </r>
  <r>
    <d v="2025-07-24T17:41:12"/>
    <x v="9"/>
    <s v="Plaquettes rhombiques"/>
    <s v="u134838"/>
    <s v="DANAH STEPHANIE"/>
    <n v="5"/>
    <x v="0"/>
    <x v="2"/>
    <s v="PLAQUETTES"/>
    <x v="1"/>
    <n v="44.85"/>
  </r>
  <r>
    <d v="2025-11-24T11:44:24"/>
    <x v="6"/>
    <s v="Plaquettes de finition positives"/>
    <s v="04522ACAA77080"/>
    <s v="VILLALOBOS ANTHONY"/>
    <n v="10"/>
    <x v="1"/>
    <x v="2"/>
    <s v="PLAQUETTES"/>
    <x v="0"/>
    <n v="87"/>
  </r>
  <r>
    <d v="2025-07-27T15:48:44"/>
    <x v="9"/>
    <s v="Plaquettes rhombiques"/>
    <s v="U518765"/>
    <s v="ROY ADELINE"/>
    <n v="5"/>
    <x v="0"/>
    <x v="2"/>
    <s v="PLAQUETTES"/>
    <x v="1"/>
    <n v="44.85"/>
  </r>
  <r>
    <d v="2025-11-24T19:06:21"/>
    <x v="7"/>
    <s v="Plaquettes de finition triangulaires"/>
    <s v="u462308"/>
    <s v="MAITRE SEBASTIEN"/>
    <n v="10"/>
    <x v="3"/>
    <x v="2"/>
    <s v="PLAQUETTES"/>
    <x v="0"/>
    <n v="138.80000000000001"/>
  </r>
  <r>
    <d v="2025-11-24T19:06:37"/>
    <x v="6"/>
    <s v="Plaquettes de finition positives"/>
    <s v="u462308"/>
    <s v="MAITRE SEBASTIEN"/>
    <n v="10"/>
    <x v="3"/>
    <x v="2"/>
    <s v="PLAQUETTES"/>
    <x v="0"/>
    <n v="87"/>
  </r>
  <r>
    <d v="2025-11-24T21:13:06"/>
    <x v="6"/>
    <s v="Plaquettes de finition positives"/>
    <s v="j529800"/>
    <s v="MONTCHARMONT BAPTISTE"/>
    <n v="10"/>
    <x v="3"/>
    <x v="2"/>
    <s v="PLAQUETTES"/>
    <x v="0"/>
    <n v="87"/>
  </r>
  <r>
    <d v="2025-11-24T21:13:42"/>
    <x v="2"/>
    <s v="Plaquettes d'ébauches rhombiques"/>
    <s v="j529800"/>
    <s v="MONTCHARMONT BAPTISTE"/>
    <n v="10"/>
    <x v="3"/>
    <x v="0"/>
    <s v="PLAQUETTES"/>
    <x v="0"/>
    <n v="70"/>
  </r>
  <r>
    <d v="2025-11-24T21:14:00"/>
    <x v="2"/>
    <s v="Plaquettes d'ébauches rhombiques"/>
    <s v="j529800"/>
    <s v="MONTCHARMONT BAPTISTE"/>
    <n v="10"/>
    <x v="3"/>
    <x v="1"/>
    <s v="PLAQUETTES"/>
    <x v="0"/>
    <n v="70"/>
  </r>
  <r>
    <d v="2025-11-24T21:14:33"/>
    <x v="4"/>
    <s v="Plaquettes de finition"/>
    <s v="j529800"/>
    <s v="MONTCHARMONT BAPTISTE"/>
    <n v="5"/>
    <x v="2"/>
    <x v="2"/>
    <s v="PLAQUETTES"/>
    <x v="1"/>
    <n v="47.8"/>
  </r>
  <r>
    <d v="2025-10-10T10:44:28"/>
    <x v="9"/>
    <s v="Plaquettes rhombiques"/>
    <s v="U518765"/>
    <s v="ROY ADELINE"/>
    <n v="5"/>
    <x v="0"/>
    <x v="2"/>
    <s v="PLAQUETTES"/>
    <x v="1"/>
    <n v="44.85"/>
  </r>
  <r>
    <d v="2025-10-11T19:40:51"/>
    <x v="9"/>
    <s v="Plaquettes rhombiques"/>
    <s v="U518765"/>
    <s v="ROY ADELINE"/>
    <n v="5"/>
    <x v="0"/>
    <x v="2"/>
    <s v="PLAQUETTES"/>
    <x v="1"/>
    <n v="44.85"/>
  </r>
  <r>
    <d v="2025-11-25T13:41:19"/>
    <x v="6"/>
    <s v="Plaquettes de finition positives"/>
    <s v="u462308"/>
    <s v="MAITRE SEBASTIEN"/>
    <n v="10"/>
    <x v="3"/>
    <x v="2"/>
    <s v="PLAQUETTES"/>
    <x v="0"/>
    <n v="87"/>
  </r>
  <r>
    <d v="2025-11-25T13:41:37"/>
    <x v="4"/>
    <s v="Plaquettes de finition"/>
    <s v="u462308"/>
    <s v="MAITRE SEBASTIEN"/>
    <n v="5"/>
    <x v="2"/>
    <x v="2"/>
    <s v="PLAQUETTES"/>
    <x v="1"/>
    <n v="47.8"/>
  </r>
  <r>
    <d v="2025-11-25T13:41:55"/>
    <x v="2"/>
    <s v="Plaquettes d'ébauches rhombiques"/>
    <s v="u462308"/>
    <s v="MAITRE SEBASTIEN"/>
    <n v="10"/>
    <x v="3"/>
    <x v="0"/>
    <s v="PLAQUETTES"/>
    <x v="0"/>
    <n v="70"/>
  </r>
  <r>
    <d v="2025-11-25T13:42:13"/>
    <x v="1"/>
    <s v="Plaquettes d'ébauches carrées"/>
    <s v="u462308"/>
    <s v="MAITRE SEBASTIEN"/>
    <n v="10"/>
    <x v="3"/>
    <x v="0"/>
    <s v="PLAQUETTES"/>
    <x v="0"/>
    <n v="71.2"/>
  </r>
  <r>
    <d v="2025-11-25T18:31:48"/>
    <x v="6"/>
    <s v="Plaquettes de finition positives"/>
    <s v="sd13196"/>
    <s v="FRADIN MAXIME"/>
    <n v="10"/>
    <x v="1"/>
    <x v="2"/>
    <s v="PLAQUETTES"/>
    <x v="0"/>
    <n v="87"/>
  </r>
  <r>
    <d v="2025-10-14T21:22:43"/>
    <x v="9"/>
    <s v="Plaquettes rhombiques"/>
    <s v="j519914"/>
    <s v="MARLY DAVID"/>
    <n v="5"/>
    <x v="0"/>
    <x v="2"/>
    <s v="PLAQUETTES"/>
    <x v="1"/>
    <n v="44.85"/>
  </r>
  <r>
    <d v="2025-11-25T18:32:25"/>
    <x v="2"/>
    <s v="Plaquettes d'ébauches rhombiques"/>
    <s v="sd13196"/>
    <s v="FRADIN MAXIME"/>
    <n v="10"/>
    <x v="1"/>
    <x v="1"/>
    <s v="PLAQUETTES"/>
    <x v="0"/>
    <n v="70"/>
  </r>
  <r>
    <d v="2025-10-16T12:20:43"/>
    <x v="9"/>
    <s v="Plaquettes rhombiques"/>
    <s v="u134838"/>
    <s v="DANAH STEPHANIE"/>
    <n v="5"/>
    <x v="0"/>
    <x v="2"/>
    <s v="PLAQUETTES"/>
    <x v="1"/>
    <n v="44.85"/>
  </r>
  <r>
    <d v="2025-11-25T23:43:36"/>
    <x v="6"/>
    <s v="Plaquettes de finition positives"/>
    <s v="j519914"/>
    <s v="MARLY DAVID"/>
    <n v="10"/>
    <x v="1"/>
    <x v="2"/>
    <s v="PLAQUETTES"/>
    <x v="0"/>
    <n v="87"/>
  </r>
  <r>
    <d v="2025-11-25T23:44:03"/>
    <x v="2"/>
    <s v="Plaquettes d'ébauches rhombiques"/>
    <s v="j519914"/>
    <s v="MARLY DAVID"/>
    <n v="10"/>
    <x v="1"/>
    <x v="0"/>
    <s v="PLAQUETTES"/>
    <x v="0"/>
    <n v="70"/>
  </r>
  <r>
    <d v="2025-10-23T15:25:31"/>
    <x v="9"/>
    <s v="Plaquettes rhombiques"/>
    <s v="u134838"/>
    <s v="DANAH STEPHANIE"/>
    <n v="5"/>
    <x v="0"/>
    <x v="2"/>
    <s v="PLAQUETTES"/>
    <x v="1"/>
    <n v="44.85"/>
  </r>
  <r>
    <d v="2025-11-26T09:11:40"/>
    <x v="4"/>
    <s v="Plaquettes de finition"/>
    <s v="170325"/>
    <s v="VERDELET BASTIEN"/>
    <n v="5"/>
    <x v="2"/>
    <x v="2"/>
    <s v="PLAQUETTES"/>
    <x v="1"/>
    <n v="47.8"/>
  </r>
  <r>
    <d v="2025-11-26T09:11:56"/>
    <x v="6"/>
    <s v="Plaquettes de finition positives"/>
    <s v="170325"/>
    <s v="VERDELET BASTIEN"/>
    <n v="10"/>
    <x v="3"/>
    <x v="2"/>
    <s v="PLAQUETTES"/>
    <x v="0"/>
    <n v="87"/>
  </r>
  <r>
    <d v="2025-11-26T09:12:29"/>
    <x v="2"/>
    <s v="Plaquettes d'ébauches rhombiques"/>
    <s v="170325"/>
    <s v="VERDELET BASTIEN"/>
    <n v="10"/>
    <x v="3"/>
    <x v="0"/>
    <s v="PLAQUETTES"/>
    <x v="0"/>
    <n v="70"/>
  </r>
  <r>
    <d v="2025-11-26T13:04:29"/>
    <x v="2"/>
    <s v="Plaquettes d'ébauches rhombiques"/>
    <s v="U080365"/>
    <s v="ALAVOINE SAMUEL"/>
    <n v="10"/>
    <x v="3"/>
    <x v="1"/>
    <s v="PLAQUETTES"/>
    <x v="0"/>
    <n v="70"/>
  </r>
  <r>
    <d v="2025-11-26T13:04:48"/>
    <x v="1"/>
    <s v="Plaquettes d'ébauches carrées"/>
    <s v="U080365"/>
    <s v="ALAVOINE SAMUEL"/>
    <n v="10"/>
    <x v="3"/>
    <x v="1"/>
    <s v="PLAQUETTES"/>
    <x v="0"/>
    <n v="71.2"/>
  </r>
  <r>
    <d v="2025-11-26T13:05:05"/>
    <x v="10"/>
    <s v="Plaquettes de finition"/>
    <s v="U080365"/>
    <s v="ALAVOINE SAMUEL"/>
    <n v="10"/>
    <x v="3"/>
    <x v="2"/>
    <s v="PLAQUETTES"/>
    <x v="0"/>
    <n v="109.7"/>
  </r>
  <r>
    <d v="2025-11-26T13:05:20"/>
    <x v="7"/>
    <s v="Plaquettes de finition triangulaires"/>
    <s v="U080365"/>
    <s v="ALAVOINE SAMUEL"/>
    <n v="10"/>
    <x v="3"/>
    <x v="2"/>
    <s v="PLAQUETTES"/>
    <x v="0"/>
    <n v="138.80000000000001"/>
  </r>
  <r>
    <d v="2025-11-26T13:05:48"/>
    <x v="6"/>
    <s v="Plaquettes de finition positives"/>
    <s v="U080365"/>
    <s v="ALAVOINE SAMUEL"/>
    <n v="10"/>
    <x v="3"/>
    <x v="2"/>
    <s v="PLAQUETTES"/>
    <x v="0"/>
    <n v="87"/>
  </r>
  <r>
    <d v="2025-11-26T13:06:16"/>
    <x v="5"/>
    <s v="Plaquettes rondes"/>
    <s v="U080365"/>
    <s v="ALAVOINE SAMUEL"/>
    <n v="10"/>
    <x v="3"/>
    <x v="0"/>
    <s v="PLAQUETTES"/>
    <x v="0"/>
    <n v="108.5"/>
  </r>
  <r>
    <d v="2025-11-26T13:32:10"/>
    <x v="6"/>
    <s v="Plaquettes de finition positives"/>
    <s v="u462308"/>
    <s v="MAITRE SEBASTIEN"/>
    <n v="10"/>
    <x v="3"/>
    <x v="2"/>
    <s v="PLAQUETTES"/>
    <x v="0"/>
    <n v="87"/>
  </r>
  <r>
    <d v="2025-11-26T13:32:28"/>
    <x v="6"/>
    <s v="Plaquettes de finition positives"/>
    <s v="u462308"/>
    <s v="MAITRE SEBASTIEN"/>
    <n v="10"/>
    <x v="1"/>
    <x v="2"/>
    <s v="PLAQUETTES"/>
    <x v="0"/>
    <n v="87"/>
  </r>
  <r>
    <d v="2025-10-25T19:11:09"/>
    <x v="9"/>
    <s v="Plaquettes rhombiques"/>
    <s v="U534565"/>
    <s v="HOAREAU MARIUS"/>
    <n v="5"/>
    <x v="0"/>
    <x v="2"/>
    <s v="PLAQUETTES"/>
    <x v="1"/>
    <n v="44.85"/>
  </r>
  <r>
    <d v="2025-11-26T13:33:02"/>
    <x v="2"/>
    <s v="Plaquettes d'ébauches rhombiques"/>
    <s v="u462308"/>
    <s v="MAITRE SEBASTIEN"/>
    <n v="10"/>
    <x v="1"/>
    <x v="0"/>
    <s v="PLAQUETTES"/>
    <x v="0"/>
    <n v="70"/>
  </r>
  <r>
    <d v="2025-11-26T23:54:05"/>
    <x v="6"/>
    <s v="Plaquettes de finition positives"/>
    <s v="j519914"/>
    <s v="MARLY DAVID"/>
    <n v="10"/>
    <x v="1"/>
    <x v="2"/>
    <s v="PLAQUETTES"/>
    <x v="0"/>
    <n v="87"/>
  </r>
  <r>
    <d v="2025-11-26T23:54:25"/>
    <x v="6"/>
    <s v="Plaquettes de finition positives"/>
    <s v="j519914"/>
    <s v="MARLY DAVID"/>
    <n v="10"/>
    <x v="1"/>
    <x v="2"/>
    <s v="PLAQUETTES"/>
    <x v="0"/>
    <n v="87"/>
  </r>
  <r>
    <d v="2025-10-28T05:16:54"/>
    <x v="9"/>
    <s v="Plaquettes rhombiques"/>
    <s v="u134838"/>
    <s v="DANAH STEPHANIE"/>
    <n v="5"/>
    <x v="0"/>
    <x v="2"/>
    <s v="PLAQUETTES"/>
    <x v="1"/>
    <n v="44.85"/>
  </r>
  <r>
    <d v="2025-10-31T13:26:17"/>
    <x v="9"/>
    <s v="Plaquettes rhombiques"/>
    <s v="u134838"/>
    <s v="DANAH STEPHANIE"/>
    <n v="5"/>
    <x v="0"/>
    <x v="2"/>
    <s v="PLAQUETTES"/>
    <x v="1"/>
    <n v="44.85"/>
  </r>
  <r>
    <d v="2025-11-02T20:23:11"/>
    <x v="9"/>
    <s v="Plaquettes rhombiques"/>
    <s v="U054304"/>
    <s v="BOUACHIK HICHAM"/>
    <n v="5"/>
    <x v="0"/>
    <x v="2"/>
    <s v="PLAQUETTES"/>
    <x v="1"/>
    <n v="44.85"/>
  </r>
  <r>
    <d v="2025-11-13T15:03:00"/>
    <x v="9"/>
    <s v="Plaquettes rhombiques"/>
    <s v="sd13196"/>
    <s v="FRADIN MAXIME"/>
    <n v="5"/>
    <x v="0"/>
    <x v="0"/>
    <s v="PLAQUETTES"/>
    <x v="1"/>
    <n v="44.85"/>
  </r>
  <r>
    <d v="2025-11-15T05:19:20"/>
    <x v="9"/>
    <s v="Plaquettes rhombiques"/>
    <s v="U534565"/>
    <s v="HOAREAU MARIUS"/>
    <n v="5"/>
    <x v="0"/>
    <x v="2"/>
    <s v="PLAQUETTES"/>
    <x v="1"/>
    <n v="44.85"/>
  </r>
  <r>
    <d v="2025-11-27T06:10:43"/>
    <x v="6"/>
    <s v="Plaquettes de finition positives"/>
    <s v="u134838"/>
    <s v="DANAH STEPHANIE"/>
    <n v="10"/>
    <x v="3"/>
    <x v="2"/>
    <s v="PLAQUETTES"/>
    <x v="0"/>
    <n v="87"/>
  </r>
  <r>
    <d v="2025-11-27T06:11:02"/>
    <x v="4"/>
    <s v="Plaquettes de finition"/>
    <s v="u134838"/>
    <s v="DANAH STEPHANIE"/>
    <n v="5"/>
    <x v="2"/>
    <x v="2"/>
    <s v="PLAQUETTES"/>
    <x v="1"/>
    <n v="47.8"/>
  </r>
  <r>
    <d v="2025-11-27T06:11:18"/>
    <x v="4"/>
    <s v="Plaquettes de finition"/>
    <s v="u134838"/>
    <s v="DANAH STEPHANIE"/>
    <n v="5"/>
    <x v="2"/>
    <x v="2"/>
    <s v="PLAQUETTES"/>
    <x v="1"/>
    <n v="47.8"/>
  </r>
  <r>
    <d v="2025-11-27T06:11:37"/>
    <x v="2"/>
    <s v="Plaquettes d'ébauches rhombiques"/>
    <s v="u134838"/>
    <s v="DANAH STEPHANIE"/>
    <n v="10"/>
    <x v="2"/>
    <x v="2"/>
    <s v="PLAQUETTES"/>
    <x v="1"/>
    <n v="70"/>
  </r>
  <r>
    <d v="2025-11-21T03:57:27"/>
    <x v="9"/>
    <s v="Plaquettes rhombiques"/>
    <s v="j519914"/>
    <s v="MARLY DAVID"/>
    <n v="5"/>
    <x v="0"/>
    <x v="2"/>
    <s v="PLAQUETTES"/>
    <x v="1"/>
    <n v="44.85"/>
  </r>
  <r>
    <d v="2025-11-27T12:30:01"/>
    <x v="6"/>
    <s v="Plaquettes de finition positives"/>
    <s v="04522ACAA77080"/>
    <s v="VILLALOBOS ANTHONY"/>
    <n v="10"/>
    <x v="1"/>
    <x v="2"/>
    <s v="PLAQUETTES"/>
    <x v="0"/>
    <n v="87"/>
  </r>
  <r>
    <d v="2025-11-23T03:37:23"/>
    <x v="9"/>
    <s v="Plaquettes rhombiques"/>
    <s v="U534565"/>
    <s v="HOAREAU MARIUS"/>
    <n v="5"/>
    <x v="0"/>
    <x v="2"/>
    <s v="PLAQUETTES"/>
    <x v="1"/>
    <n v="44.85"/>
  </r>
  <r>
    <d v="2025-11-27T19:19:38"/>
    <x v="6"/>
    <s v="Plaquettes de finition positives"/>
    <s v="u462308"/>
    <s v="MAITRE SEBASTIEN"/>
    <n v="10"/>
    <x v="3"/>
    <x v="2"/>
    <s v="PLAQUETTES"/>
    <x v="0"/>
    <n v="87"/>
  </r>
  <r>
    <d v="2025-11-27T02:51:50"/>
    <x v="9"/>
    <s v="Plaquettes rhombiques"/>
    <s v="j519914"/>
    <s v="MARLY DAVID"/>
    <n v="5"/>
    <x v="0"/>
    <x v="2"/>
    <s v="PLAQUETTES"/>
    <x v="1"/>
    <n v="44.85"/>
  </r>
  <r>
    <d v="2025-11-27T21:20:42"/>
    <x v="9"/>
    <s v="Plaquettes rhombiques"/>
    <s v="j519914"/>
    <s v="MARLY DAVID"/>
    <n v="5"/>
    <x v="0"/>
    <x v="2"/>
    <s v="PLAQUETTES"/>
    <x v="1"/>
    <n v="44.85"/>
  </r>
  <r>
    <d v="2025-12-01T18:26:14"/>
    <x v="9"/>
    <s v="Plaquettes rhombiques"/>
    <s v="04522ACAA77080"/>
    <s v="VILLALOBOS ANTHONY"/>
    <n v="5"/>
    <x v="0"/>
    <x v="2"/>
    <s v="PLAQUETTES"/>
    <x v="1"/>
    <n v="44.85"/>
  </r>
  <r>
    <d v="2025-12-12T17:06:41"/>
    <x v="9"/>
    <s v="Plaquettes rhombiques"/>
    <s v="sd13196"/>
    <s v="FRADIN MAXIME"/>
    <n v="5"/>
    <x v="0"/>
    <x v="2"/>
    <s v="PLAQUETTES"/>
    <x v="1"/>
    <n v="44.85"/>
  </r>
  <r>
    <d v="2025-11-28T00:23:59"/>
    <x v="4"/>
    <s v="Plaquettes de finition"/>
    <s v="j529800"/>
    <s v="MONTCHARMONT BAPTISTE"/>
    <n v="5"/>
    <x v="2"/>
    <x v="2"/>
    <s v="PLAQUETTES"/>
    <x v="1"/>
    <n v="47.8"/>
  </r>
  <r>
    <d v="2025-11-28T01:14:39"/>
    <x v="4"/>
    <s v="Plaquettes de finition"/>
    <s v="j529800"/>
    <s v="MONTCHARMONT BAPTISTE"/>
    <n v="5"/>
    <x v="2"/>
    <x v="2"/>
    <s v="PLAQUETTES"/>
    <x v="1"/>
    <n v="47.8"/>
  </r>
  <r>
    <d v="2025-11-28T10:12:18"/>
    <x v="2"/>
    <s v="Plaquettes d'ébauches rhombiques"/>
    <s v="U534565"/>
    <s v="HOAREAU MARIUS"/>
    <n v="10"/>
    <x v="2"/>
    <x v="0"/>
    <s v="PLAQUETTES"/>
    <x v="1"/>
    <n v="70"/>
  </r>
  <r>
    <d v="2025-12-18T13:54:14"/>
    <x v="9"/>
    <s v="Plaquettes rhombiques"/>
    <s v="04522ACAA77080"/>
    <s v="VILLALOBOS ANTHONY"/>
    <n v="5"/>
    <x v="0"/>
    <x v="2"/>
    <s v="PLAQUETTES"/>
    <x v="1"/>
    <n v="44.85"/>
  </r>
  <r>
    <d v="2025-01-24T13:48:31"/>
    <x v="5"/>
    <s v="Plaquettes rondes"/>
    <s v="SIEGEL F"/>
    <s v="SIEGEL FRANCK"/>
    <n v="10"/>
    <x v="0"/>
    <x v="0"/>
    <s v="PLAQUETTES"/>
    <x v="1"/>
    <n v="108.5"/>
  </r>
  <r>
    <d v="2025-02-03T21:25:40"/>
    <x v="5"/>
    <s v="Plaquettes rondes"/>
    <s v="SIEGEL F"/>
    <s v="SIEGEL FRANCK"/>
    <n v="10"/>
    <x v="0"/>
    <x v="0"/>
    <s v="PLAQUETTES"/>
    <x v="1"/>
    <n v="108.5"/>
  </r>
  <r>
    <d v="2025-02-05T20:51:23"/>
    <x v="5"/>
    <s v="Plaquettes rondes"/>
    <s v="100125"/>
    <s v="MEUNIER Louis"/>
    <n v="10"/>
    <x v="0"/>
    <x v="0"/>
    <s v="PLAQUETTES"/>
    <x v="1"/>
    <n v="108.5"/>
  </r>
  <r>
    <d v="2025-02-08T14:58:42"/>
    <x v="5"/>
    <s v="Plaquettes rondes"/>
    <s v="P910513"/>
    <s v="IMBERT MICKAEL"/>
    <n v="10"/>
    <x v="0"/>
    <x v="0"/>
    <s v="PLAQUETTES"/>
    <x v="1"/>
    <n v="108.5"/>
  </r>
  <r>
    <d v="2025-02-11T18:33:07"/>
    <x v="5"/>
    <s v="Plaquettes rondes"/>
    <s v="SIEGEL F"/>
    <s v="SIEGEL FRANCK"/>
    <n v="10"/>
    <x v="0"/>
    <x v="0"/>
    <s v="PLAQUETTES"/>
    <x v="1"/>
    <n v="108.5"/>
  </r>
  <r>
    <d v="2025-02-13T13:10:10"/>
    <x v="5"/>
    <s v="Plaquettes rondes"/>
    <s v="SIEGEL F"/>
    <s v="SIEGEL FRANCK"/>
    <n v="10"/>
    <x v="0"/>
    <x v="0"/>
    <s v="PLAQUETTES"/>
    <x v="1"/>
    <n v="108.5"/>
  </r>
  <r>
    <d v="2025-11-29T05:18:39"/>
    <x v="4"/>
    <s v="Plaquettes de finition"/>
    <s v="U518765"/>
    <s v="ROY ADELINE"/>
    <n v="5"/>
    <x v="2"/>
    <x v="2"/>
    <s v="PLAQUETTES"/>
    <x v="1"/>
    <n v="47.8"/>
  </r>
  <r>
    <d v="2025-11-29T05:19:07"/>
    <x v="4"/>
    <s v="Plaquettes de finition"/>
    <s v="U518765"/>
    <s v="ROY ADELINE"/>
    <n v="5"/>
    <x v="2"/>
    <x v="2"/>
    <s v="PLAQUETTES"/>
    <x v="1"/>
    <n v="47.8"/>
  </r>
  <r>
    <d v="2025-11-29T05:19:35"/>
    <x v="2"/>
    <s v="Plaquettes d'ébauches rhombiques"/>
    <s v="U518765"/>
    <s v="ROY ADELINE"/>
    <n v="10"/>
    <x v="2"/>
    <x v="1"/>
    <s v="PLAQUETTES"/>
    <x v="1"/>
    <n v="70"/>
  </r>
  <r>
    <d v="2025-11-29T05:19:55"/>
    <x v="1"/>
    <s v="Plaquettes d'ébauches carrées"/>
    <s v="U518765"/>
    <s v="ROY ADELINE"/>
    <n v="10"/>
    <x v="2"/>
    <x v="1"/>
    <s v="PLAQUETTES"/>
    <x v="1"/>
    <n v="71.2"/>
  </r>
  <r>
    <d v="2025-11-29T05:20:14"/>
    <x v="3"/>
    <s v="Plaquettes rondes"/>
    <s v="U518765"/>
    <s v="ROY ADELINE"/>
    <n v="10"/>
    <x v="2"/>
    <x v="0"/>
    <s v="PLAQUETTES"/>
    <x v="1"/>
    <n v="136.69999999999999"/>
  </r>
  <r>
    <d v="2025-11-29T05:20:39"/>
    <x v="5"/>
    <s v="Plaquettes rondes"/>
    <s v="U518765"/>
    <s v="ROY ADELINE"/>
    <n v="10"/>
    <x v="2"/>
    <x v="0"/>
    <s v="PLAQUETTES"/>
    <x v="1"/>
    <n v="108.5"/>
  </r>
  <r>
    <d v="2025-11-29T05:20:56"/>
    <x v="6"/>
    <s v="Plaquettes de finition positives"/>
    <s v="U518765"/>
    <s v="ROY ADELINE"/>
    <n v="10"/>
    <x v="3"/>
    <x v="2"/>
    <s v="PLAQUETTES"/>
    <x v="0"/>
    <n v="87"/>
  </r>
  <r>
    <d v="2025-11-29T13:08:50"/>
    <x v="6"/>
    <s v="Plaquettes de finition positives"/>
    <s v="j534699"/>
    <s v="CHARTON FABIAN"/>
    <n v="10"/>
    <x v="1"/>
    <x v="2"/>
    <s v="PLAQUETTES"/>
    <x v="0"/>
    <n v="87"/>
  </r>
  <r>
    <d v="2025-11-29T13:09:22"/>
    <x v="6"/>
    <s v="Plaquettes de finition positives"/>
    <s v="j534699"/>
    <s v="CHARTON FABIAN"/>
    <n v="10"/>
    <x v="1"/>
    <x v="2"/>
    <s v="PLAQUETTES"/>
    <x v="0"/>
    <n v="87"/>
  </r>
  <r>
    <d v="2025-11-29T13:09:46"/>
    <x v="6"/>
    <s v="Plaquettes de finition positives"/>
    <s v="j534699"/>
    <s v="CHARTON FABIAN"/>
    <n v="10"/>
    <x v="1"/>
    <x v="2"/>
    <s v="PLAQUETTES"/>
    <x v="0"/>
    <n v="87"/>
  </r>
  <r>
    <d v="2025-11-30T02:04:25"/>
    <x v="4"/>
    <s v="Plaquettes de finition"/>
    <s v="U198152"/>
    <s v="AJMIK MUSTAPHA"/>
    <n v="5"/>
    <x v="2"/>
    <x v="2"/>
    <s v="PLAQUETTES"/>
    <x v="1"/>
    <n v="47.8"/>
  </r>
  <r>
    <d v="2025-11-30T02:04:50"/>
    <x v="2"/>
    <s v="Plaquettes d'ébauches rhombiques"/>
    <s v="U198152"/>
    <s v="AJMIK MUSTAPHA"/>
    <n v="10"/>
    <x v="2"/>
    <x v="2"/>
    <s v="PLAQUETTES"/>
    <x v="1"/>
    <n v="70"/>
  </r>
  <r>
    <d v="2025-11-30T02:05:15"/>
    <x v="11"/>
    <s v="Plaquettes de finition triangulaires"/>
    <s v="U198152"/>
    <s v="AJMIK MUSTAPHA"/>
    <n v="10"/>
    <x v="2"/>
    <x v="2"/>
    <s v="PLAQUETTES"/>
    <x v="1"/>
    <n v="118.7"/>
  </r>
  <r>
    <d v="2025-11-30T02:05:34"/>
    <x v="6"/>
    <s v="Plaquettes de finition positives"/>
    <s v="U198152"/>
    <s v="AJMIK MUSTAPHA"/>
    <n v="10"/>
    <x v="3"/>
    <x v="2"/>
    <s v="PLAQUETTES"/>
    <x v="0"/>
    <n v="87"/>
  </r>
  <r>
    <d v="2025-11-30T02:05:56"/>
    <x v="2"/>
    <s v="Plaquettes d'ébauches rhombiques"/>
    <s v="U198152"/>
    <s v="AJMIK MUSTAPHA"/>
    <n v="10"/>
    <x v="2"/>
    <x v="0"/>
    <s v="PLAQUETTES"/>
    <x v="1"/>
    <n v="70"/>
  </r>
  <r>
    <d v="2025-11-30T02:06:14"/>
    <x v="1"/>
    <s v="Plaquettes d'ébauches carrées"/>
    <s v="U198152"/>
    <s v="AJMIK MUSTAPHA"/>
    <n v="10"/>
    <x v="3"/>
    <x v="0"/>
    <s v="PLAQUETTES"/>
    <x v="0"/>
    <n v="71.2"/>
  </r>
  <r>
    <d v="2025-11-30T15:54:24"/>
    <x v="6"/>
    <s v="Plaquettes de finition positives"/>
    <s v="U534565"/>
    <s v="HOAREAU MARIUS"/>
    <n v="10"/>
    <x v="3"/>
    <x v="2"/>
    <s v="PLAQUETTES"/>
    <x v="0"/>
    <n v="87"/>
  </r>
  <r>
    <d v="2025-11-30T15:54:43"/>
    <x v="5"/>
    <s v="Plaquettes rondes"/>
    <s v="U534565"/>
    <s v="HOAREAU MARIUS"/>
    <n v="10"/>
    <x v="2"/>
    <x v="0"/>
    <s v="PLAQUETTES"/>
    <x v="1"/>
    <n v="108.5"/>
  </r>
  <r>
    <d v="2025-11-30T15:55:17"/>
    <x v="9"/>
    <s v="Plaquettes rhombiques"/>
    <s v="U534565"/>
    <s v="HOAREAU MARIUS"/>
    <n v="5"/>
    <x v="2"/>
    <x v="2"/>
    <s v="PLAQUETTES"/>
    <x v="1"/>
    <n v="44.85"/>
  </r>
  <r>
    <d v="2025-11-30T15:55:47"/>
    <x v="2"/>
    <s v="Plaquettes d'ébauches rhombiques"/>
    <s v="U534565"/>
    <s v="HOAREAU MARIUS"/>
    <n v="10"/>
    <x v="2"/>
    <x v="2"/>
    <s v="PLAQUETTES"/>
    <x v="1"/>
    <n v="70"/>
  </r>
  <r>
    <d v="2025-12-01T05:09:38"/>
    <x v="2"/>
    <s v="Plaquettes d'ébauches rhombiques"/>
    <s v="sd13196"/>
    <s v="FRADIN MAXIME"/>
    <n v="10"/>
    <x v="1"/>
    <x v="0"/>
    <s v="PLAQUETTES"/>
    <x v="0"/>
    <n v="70"/>
  </r>
  <r>
    <d v="2025-12-01T05:09:54"/>
    <x v="1"/>
    <s v="Plaquettes d'ébauches carrées"/>
    <s v="sd13196"/>
    <s v="FRADIN MAXIME"/>
    <n v="10"/>
    <x v="1"/>
    <x v="1"/>
    <s v="PLAQUETTES"/>
    <x v="0"/>
    <n v="71.2"/>
  </r>
  <r>
    <d v="2025-02-16T08:09:21"/>
    <x v="5"/>
    <s v="Plaquettes rondes"/>
    <s v="U518765"/>
    <s v="ROY ADELINE"/>
    <n v="10"/>
    <x v="0"/>
    <x v="0"/>
    <s v="PLAQUETTES"/>
    <x v="1"/>
    <n v="108.5"/>
  </r>
  <r>
    <d v="2025-02-17T05:04:23"/>
    <x v="5"/>
    <s v="Plaquettes rondes"/>
    <s v="SIEGEL F"/>
    <s v="SIEGEL FRANCK"/>
    <n v="10"/>
    <x v="0"/>
    <x v="0"/>
    <s v="PLAQUETTES"/>
    <x v="1"/>
    <n v="108.5"/>
  </r>
  <r>
    <d v="2025-12-01T09:52:17"/>
    <x v="2"/>
    <s v="Plaquettes d'ébauches rhombiques"/>
    <s v="VERGE G"/>
    <s v="VERGE GREGORY"/>
    <n v="10"/>
    <x v="3"/>
    <x v="1"/>
    <s v="PLAQUETTES"/>
    <x v="0"/>
    <n v="70"/>
  </r>
  <r>
    <d v="2025-12-01T09:52:30"/>
    <x v="1"/>
    <s v="Plaquettes d'ébauches carrées"/>
    <s v="VERGE G"/>
    <s v="VERGE GREGORY"/>
    <n v="10"/>
    <x v="3"/>
    <x v="1"/>
    <s v="PLAQUETTES"/>
    <x v="3"/>
    <n v="71.2"/>
  </r>
  <r>
    <d v="2025-02-18T21:22:08"/>
    <x v="5"/>
    <s v="Plaquettes rondes"/>
    <s v="U134838"/>
    <s v="DANAH STEPHANIE"/>
    <n v="10"/>
    <x v="0"/>
    <x v="0"/>
    <s v="PLAQUETTES"/>
    <x v="1"/>
    <n v="108.5"/>
  </r>
  <r>
    <d v="2025-12-01T15:27:46"/>
    <x v="10"/>
    <s v="Plaquettes de finition"/>
    <s v="u134838"/>
    <s v="DANAH STEPHANIE"/>
    <n v="10"/>
    <x v="3"/>
    <x v="2"/>
    <s v="PLAQUETTES"/>
    <x v="0"/>
    <n v="109.7"/>
  </r>
  <r>
    <d v="2025-12-01T15:28:04"/>
    <x v="6"/>
    <s v="Plaquettes de finition positives"/>
    <s v="u134838"/>
    <s v="DANAH STEPHANIE"/>
    <n v="10"/>
    <x v="3"/>
    <x v="2"/>
    <s v="PLAQUETTES"/>
    <x v="0"/>
    <n v="87"/>
  </r>
  <r>
    <d v="2025-12-01T15:28:20"/>
    <x v="4"/>
    <s v="Plaquettes de finition"/>
    <s v="u134838"/>
    <s v="DANAH STEPHANIE"/>
    <n v="5"/>
    <x v="2"/>
    <x v="2"/>
    <s v="PLAQUETTES"/>
    <x v="1"/>
    <n v="47.8"/>
  </r>
  <r>
    <d v="2025-12-01T15:28:40"/>
    <x v="5"/>
    <s v="Plaquettes rondes"/>
    <s v="u134838"/>
    <s v="DANAH STEPHANIE"/>
    <n v="10"/>
    <x v="2"/>
    <x v="0"/>
    <s v="PLAQUETTES"/>
    <x v="1"/>
    <n v="108.5"/>
  </r>
  <r>
    <d v="2025-12-01T15:28:56"/>
    <x v="3"/>
    <s v="Plaquettes rondes"/>
    <s v="u134838"/>
    <s v="DANAH STEPHANIE"/>
    <n v="10"/>
    <x v="2"/>
    <x v="0"/>
    <s v="PLAQUETTES"/>
    <x v="1"/>
    <n v="136.69999999999999"/>
  </r>
  <r>
    <d v="2025-12-01T15:29:21"/>
    <x v="2"/>
    <s v="Plaquettes d'ébauches rhombiques"/>
    <s v="u134838"/>
    <s v="DANAH STEPHANIE"/>
    <n v="10"/>
    <x v="2"/>
    <x v="0"/>
    <s v="PLAQUETTES"/>
    <x v="1"/>
    <n v="70"/>
  </r>
  <r>
    <d v="2025-02-19T06:06:55"/>
    <x v="5"/>
    <s v="Plaquettes rondes"/>
    <s v="SIEGEL F"/>
    <s v="SIEGEL FRANCK"/>
    <n v="10"/>
    <x v="0"/>
    <x v="0"/>
    <s v="PLAQUETTES"/>
    <x v="1"/>
    <n v="108.5"/>
  </r>
  <r>
    <d v="2025-02-22T07:42:06"/>
    <x v="5"/>
    <s v="Plaquettes rondes"/>
    <s v="U518765"/>
    <s v="ROY ADELINE"/>
    <n v="10"/>
    <x v="0"/>
    <x v="0"/>
    <s v="PLAQUETTES"/>
    <x v="0"/>
    <n v="108.5"/>
  </r>
  <r>
    <d v="2025-12-02T05:00:12"/>
    <x v="2"/>
    <s v="Plaquettes d'ébauches rhombiques"/>
    <s v="VERGE G"/>
    <s v="VERGE GREGORY"/>
    <n v="10"/>
    <x v="2"/>
    <x v="1"/>
    <s v="PLAQUETTES"/>
    <x v="1"/>
    <n v="70"/>
  </r>
  <r>
    <d v="2025-12-02T05:00:25"/>
    <x v="2"/>
    <s v="Plaquettes d'ébauches rhombiques"/>
    <s v="VERGE G"/>
    <s v="VERGE GREGORY"/>
    <n v="10"/>
    <x v="2"/>
    <x v="1"/>
    <s v="PLAQUETTES"/>
    <x v="5"/>
    <n v="70"/>
  </r>
  <r>
    <d v="2025-12-02T05:00:40"/>
    <x v="1"/>
    <s v="Plaquettes d'ébauches carrées"/>
    <s v="VERGE G"/>
    <s v="VERGE GREGORY"/>
    <n v="10"/>
    <x v="2"/>
    <x v="1"/>
    <s v="PLAQUETTES"/>
    <x v="1"/>
    <n v="71.2"/>
  </r>
  <r>
    <d v="2025-12-02T13:28:35"/>
    <x v="4"/>
    <s v="Plaquettes de finition"/>
    <s v="u134838"/>
    <s v="DANAH STEPHANIE"/>
    <n v="5"/>
    <x v="2"/>
    <x v="2"/>
    <s v="PLAQUETTES"/>
    <x v="1"/>
    <n v="47.8"/>
  </r>
  <r>
    <d v="2025-12-02T13:28:50"/>
    <x v="4"/>
    <s v="Plaquettes de finition"/>
    <s v="u134838"/>
    <s v="DANAH STEPHANIE"/>
    <n v="5"/>
    <x v="2"/>
    <x v="2"/>
    <s v="PLAQUETTES"/>
    <x v="1"/>
    <n v="47.8"/>
  </r>
  <r>
    <d v="2025-12-02T13:29:09"/>
    <x v="9"/>
    <s v="Plaquettes rhombiques"/>
    <s v="u134838"/>
    <s v="DANAH STEPHANIE"/>
    <n v="5"/>
    <x v="2"/>
    <x v="2"/>
    <s v="PLAQUETTES"/>
    <x v="1"/>
    <n v="44.85"/>
  </r>
  <r>
    <d v="2025-12-02T13:29:28"/>
    <x v="6"/>
    <s v="Plaquettes de finition positives"/>
    <s v="u134838"/>
    <s v="DANAH STEPHANIE"/>
    <n v="10"/>
    <x v="3"/>
    <x v="2"/>
    <s v="PLAQUETTES"/>
    <x v="0"/>
    <n v="87"/>
  </r>
  <r>
    <d v="2025-12-02T13:29:43"/>
    <x v="6"/>
    <s v="Plaquettes de finition positives"/>
    <s v="u134838"/>
    <s v="DANAH STEPHANIE"/>
    <n v="10"/>
    <x v="3"/>
    <x v="2"/>
    <s v="PLAQUETTES"/>
    <x v="0"/>
    <n v="87"/>
  </r>
  <r>
    <d v="2025-02-24T05:16:50"/>
    <x v="5"/>
    <s v="Plaquettes rondes"/>
    <s v="080924"/>
    <s v="DABLEMONT AURELIEN"/>
    <n v="10"/>
    <x v="0"/>
    <x v="0"/>
    <s v="PLAQUETTES"/>
    <x v="0"/>
    <n v="108.5"/>
  </r>
  <r>
    <d v="2025-02-25T13:45:01"/>
    <x v="5"/>
    <s v="Plaquettes rondes"/>
    <s v="u134838"/>
    <s v="DANAH STEPHANIE"/>
    <n v="10"/>
    <x v="0"/>
    <x v="0"/>
    <s v="PLAQUETTES"/>
    <x v="1"/>
    <n v="108.5"/>
  </r>
  <r>
    <d v="2025-12-02T13:40:01"/>
    <x v="6"/>
    <s v="Plaquettes de finition positives"/>
    <s v="04522ACAA77080"/>
    <s v="VILLALOBOS ANTHONY"/>
    <n v="10"/>
    <x v="1"/>
    <x v="2"/>
    <s v="PLAQUETTES"/>
    <x v="0"/>
    <n v="87"/>
  </r>
  <r>
    <d v="2025-12-02T13:40:19"/>
    <x v="5"/>
    <s v="Plaquettes rondes"/>
    <s v="04522ACAA77080"/>
    <s v="VILLALOBOS ANTHONY"/>
    <n v="10"/>
    <x v="1"/>
    <x v="0"/>
    <s v="PLAQUETTES"/>
    <x v="0"/>
    <n v="108.5"/>
  </r>
  <r>
    <d v="2025-12-02T13:40:39"/>
    <x v="2"/>
    <s v="Plaquettes d'ébauches rhombiques"/>
    <s v="04522ACAA77080"/>
    <s v="VILLALOBOS ANTHONY"/>
    <n v="10"/>
    <x v="1"/>
    <x v="0"/>
    <s v="PLAQUETTES"/>
    <x v="0"/>
    <n v="70"/>
  </r>
  <r>
    <d v="2025-12-02T21:55:05"/>
    <x v="2"/>
    <s v="Plaquettes d'ébauches rhombiques"/>
    <s v="j519914"/>
    <s v="MARLY DAVID"/>
    <n v="10"/>
    <x v="1"/>
    <x v="0"/>
    <s v="PLAQUETTES"/>
    <x v="0"/>
    <n v="70"/>
  </r>
  <r>
    <d v="2025-02-27T06:08:51"/>
    <x v="5"/>
    <s v="Plaquettes rondes"/>
    <s v="080924"/>
    <s v="DABLEMONT AURELIEN"/>
    <n v="10"/>
    <x v="0"/>
    <x v="0"/>
    <s v="PLAQUETTES"/>
    <x v="1"/>
    <n v="108.5"/>
  </r>
  <r>
    <d v="2025-12-02T21:55:51"/>
    <x v="6"/>
    <s v="Plaquettes de finition positives"/>
    <s v="j519914"/>
    <s v="MARLY DAVID"/>
    <n v="10"/>
    <x v="1"/>
    <x v="2"/>
    <s v="PLAQUETTES"/>
    <x v="0"/>
    <n v="87"/>
  </r>
  <r>
    <d v="2025-12-02T21:56:14"/>
    <x v="2"/>
    <s v="Plaquettes d'ébauches rhombiques"/>
    <s v="j519914"/>
    <s v="MARLY DAVID"/>
    <n v="10"/>
    <x v="1"/>
    <x v="0"/>
    <s v="PLAQUETTES"/>
    <x v="0"/>
    <n v="70"/>
  </r>
  <r>
    <d v="2025-12-03T01:01:36"/>
    <x v="6"/>
    <s v="Plaquettes de finition positives"/>
    <s v="j529800"/>
    <s v="MONTCHARMONT BAPTISTE"/>
    <n v="10"/>
    <x v="3"/>
    <x v="2"/>
    <s v="PLAQUETTES"/>
    <x v="0"/>
    <n v="87"/>
  </r>
  <r>
    <d v="2025-03-01T00:45:12"/>
    <x v="5"/>
    <s v="Plaquettes rondes"/>
    <s v="SIEGEL F"/>
    <s v="SIEGEL FRANCK"/>
    <n v="10"/>
    <x v="0"/>
    <x v="0"/>
    <s v="PLAQUETTES"/>
    <x v="1"/>
    <n v="108.5"/>
  </r>
  <r>
    <d v="2025-12-03T04:38:04"/>
    <x v="2"/>
    <s v="Plaquettes d'ébauches rhombiques"/>
    <s v="j529800"/>
    <s v="MONTCHARMONT BAPTISTE"/>
    <n v="10"/>
    <x v="2"/>
    <x v="1"/>
    <s v="PLAQUETTES"/>
    <x v="1"/>
    <n v="70"/>
  </r>
  <r>
    <d v="2025-12-03T04:38:17"/>
    <x v="2"/>
    <s v="Plaquettes d'ébauches rhombiques"/>
    <s v="VERGE G"/>
    <s v="VERGE GREGORY"/>
    <n v="10"/>
    <x v="2"/>
    <x v="1"/>
    <s v="PLAQUETTES"/>
    <x v="1"/>
    <n v="70"/>
  </r>
  <r>
    <d v="2025-12-03T04:38:30"/>
    <x v="1"/>
    <s v="Plaquettes d'ébauches carrées"/>
    <s v="VERGE G"/>
    <s v="VERGE GREGORY"/>
    <n v="10"/>
    <x v="2"/>
    <x v="1"/>
    <s v="PLAQUETTES"/>
    <x v="1"/>
    <n v="71.2"/>
  </r>
  <r>
    <d v="2025-03-02T17:40:53"/>
    <x v="5"/>
    <s v="Plaquettes rondes"/>
    <s v="U534565"/>
    <s v="HOAREAU MARIUS"/>
    <n v="10"/>
    <x v="0"/>
    <x v="0"/>
    <s v="PLAQUETTES"/>
    <x v="1"/>
    <n v="108.5"/>
  </r>
  <r>
    <d v="2025-03-03T05:54:56"/>
    <x v="5"/>
    <s v="Plaquettes rondes"/>
    <s v="u134838"/>
    <s v="DANAH STEPHANIE"/>
    <n v="10"/>
    <x v="0"/>
    <x v="0"/>
    <s v="PLAQUETTES"/>
    <x v="1"/>
    <n v="108.5"/>
  </r>
  <r>
    <d v="2025-12-03T06:34:59"/>
    <x v="6"/>
    <s v="Plaquettes de finition positives"/>
    <s v="sd13196"/>
    <s v="FRADIN MAXIME"/>
    <n v="10"/>
    <x v="1"/>
    <x v="2"/>
    <s v="PLAQUETTES"/>
    <x v="0"/>
    <n v="87"/>
  </r>
  <r>
    <d v="2025-12-03T08:05:05"/>
    <x v="6"/>
    <s v="Plaquettes de finition positives"/>
    <s v="VERGE G"/>
    <s v="VERGE GREGORY"/>
    <n v="10"/>
    <x v="3"/>
    <x v="2"/>
    <s v="PLAQUETTES"/>
    <x v="3"/>
    <n v="87"/>
  </r>
  <r>
    <d v="2025-12-03T14:49:02"/>
    <x v="6"/>
    <s v="Plaquettes de finition positives"/>
    <s v="04522ACAA77080"/>
    <s v="VILLALOBOS ANTHONY"/>
    <n v="10"/>
    <x v="1"/>
    <x v="2"/>
    <s v="PLAQUETTES"/>
    <x v="0"/>
    <n v="87"/>
  </r>
  <r>
    <d v="2025-03-05T02:26:07"/>
    <x v="5"/>
    <s v="Plaquettes rondes"/>
    <s v="080924"/>
    <s v="DABLEMONT AURELIEN"/>
    <n v="10"/>
    <x v="0"/>
    <x v="0"/>
    <s v="PLAQUETTES"/>
    <x v="1"/>
    <n v="108.5"/>
  </r>
  <r>
    <d v="2025-03-06T05:38:56"/>
    <x v="5"/>
    <s v="Plaquettes rondes"/>
    <s v="u134838"/>
    <s v="DANAH STEPHANIE"/>
    <n v="10"/>
    <x v="0"/>
    <x v="0"/>
    <s v="PLAQUETTES"/>
    <x v="1"/>
    <n v="108.5"/>
  </r>
  <r>
    <d v="2025-12-03T14:50:13"/>
    <x v="5"/>
    <s v="Plaquettes rondes"/>
    <s v="04522ACAA77080"/>
    <s v="VILLALOBOS ANTHONY"/>
    <n v="10"/>
    <x v="1"/>
    <x v="0"/>
    <s v="PLAQUETTES"/>
    <x v="0"/>
    <n v="108.5"/>
  </r>
  <r>
    <d v="2025-12-03T16:33:22"/>
    <x v="4"/>
    <s v="Plaquettes de finition"/>
    <s v="u134838"/>
    <s v="DANAH STEPHANIE"/>
    <n v="5"/>
    <x v="2"/>
    <x v="2"/>
    <s v="PLAQUETTES"/>
    <x v="1"/>
    <n v="47.8"/>
  </r>
  <r>
    <d v="2025-12-03T16:33:39"/>
    <x v="4"/>
    <s v="Plaquettes de finition"/>
    <s v="u134838"/>
    <s v="DANAH STEPHANIE"/>
    <n v="5"/>
    <x v="2"/>
    <x v="2"/>
    <s v="PLAQUETTES"/>
    <x v="1"/>
    <n v="47.8"/>
  </r>
  <r>
    <d v="2025-12-03T16:33:56"/>
    <x v="6"/>
    <s v="Plaquettes de finition positives"/>
    <s v="u134838"/>
    <s v="DANAH STEPHANIE"/>
    <n v="10"/>
    <x v="3"/>
    <x v="2"/>
    <s v="PLAQUETTES"/>
    <x v="0"/>
    <n v="87"/>
  </r>
  <r>
    <d v="2025-12-03T16:34:13"/>
    <x v="2"/>
    <s v="Plaquettes d'ébauches rhombiques"/>
    <s v="u134838"/>
    <s v="DANAH STEPHANIE"/>
    <n v="10"/>
    <x v="3"/>
    <x v="0"/>
    <s v="PLAQUETTES"/>
    <x v="0"/>
    <n v="70"/>
  </r>
  <r>
    <d v="2025-12-04T04:37:42"/>
    <x v="2"/>
    <s v="Plaquettes d'ébauches rhombiques"/>
    <s v="VERGE G"/>
    <s v="VERGE GREGORY"/>
    <n v="10"/>
    <x v="2"/>
    <x v="1"/>
    <s v="PLAQUETTES"/>
    <x v="1"/>
    <n v="70"/>
  </r>
  <r>
    <d v="2025-12-04T04:37:55"/>
    <x v="2"/>
    <s v="Plaquettes d'ébauches rhombiques"/>
    <s v="VERGE G"/>
    <s v="VERGE GREGORY"/>
    <n v="10"/>
    <x v="2"/>
    <x v="1"/>
    <s v="PLAQUETTES"/>
    <x v="1"/>
    <n v="70"/>
  </r>
  <r>
    <d v="2025-12-04T04:38:10"/>
    <x v="1"/>
    <s v="Plaquettes d'ébauches carrées"/>
    <s v="VERGE G"/>
    <s v="VERGE GREGORY"/>
    <n v="10"/>
    <x v="2"/>
    <x v="1"/>
    <s v="PLAQUETTES"/>
    <x v="1"/>
    <n v="71.2"/>
  </r>
  <r>
    <d v="2025-12-04T06:09:04"/>
    <x v="6"/>
    <s v="Plaquettes de finition positives"/>
    <s v="j529800"/>
    <s v="MONTCHARMONT BAPTISTE"/>
    <n v="10"/>
    <x v="3"/>
    <x v="2"/>
    <s v="PLAQUETTES"/>
    <x v="3"/>
    <n v="87"/>
  </r>
  <r>
    <d v="2025-03-09T07:00:58"/>
    <x v="5"/>
    <s v="Plaquettes rondes"/>
    <s v="U518765"/>
    <s v="ROY ADELINE"/>
    <n v="10"/>
    <x v="0"/>
    <x v="0"/>
    <s v="PLAQUETTES"/>
    <x v="1"/>
    <n v="108.5"/>
  </r>
  <r>
    <d v="2025-12-04T10:13:50"/>
    <x v="7"/>
    <s v="Plaquettes de finition triangulaires"/>
    <s v="u462308"/>
    <s v="MAITRE SEBASTIEN"/>
    <n v="10"/>
    <x v="3"/>
    <x v="2"/>
    <s v="PLAQUETTES"/>
    <x v="0"/>
    <n v="138.80000000000001"/>
  </r>
  <r>
    <d v="2025-12-04T10:14:07"/>
    <x v="6"/>
    <s v="Plaquettes de finition positives"/>
    <s v="u462308"/>
    <s v="MAITRE SEBASTIEN"/>
    <n v="10"/>
    <x v="3"/>
    <x v="2"/>
    <s v="PLAQUETTES"/>
    <x v="0"/>
    <n v="87"/>
  </r>
  <r>
    <d v="2025-03-11T20:16:11"/>
    <x v="5"/>
    <s v="Plaquettes rondes"/>
    <s v="080924"/>
    <s v="DABLEMONT AURELIEN"/>
    <n v="10"/>
    <x v="0"/>
    <x v="0"/>
    <s v="PLAQUETTES"/>
    <x v="1"/>
    <n v="108.5"/>
  </r>
  <r>
    <d v="2025-12-04T10:14:51"/>
    <x v="1"/>
    <s v="Plaquettes d'ébauches carrées"/>
    <s v="u462308"/>
    <s v="MAITRE SEBASTIEN"/>
    <n v="10"/>
    <x v="1"/>
    <x v="1"/>
    <s v="PLAQUETTES"/>
    <x v="0"/>
    <n v="71.2"/>
  </r>
  <r>
    <d v="2025-12-04T22:27:51"/>
    <x v="2"/>
    <s v="Plaquettes d'ébauches rhombiques"/>
    <s v="j529800"/>
    <s v="MONTCHARMONT BAPTISTE"/>
    <n v="10"/>
    <x v="2"/>
    <x v="0"/>
    <s v="PLAQUETTES"/>
    <x v="1"/>
    <n v="70"/>
  </r>
  <r>
    <d v="2025-12-04T22:54:06"/>
    <x v="4"/>
    <s v="Plaquettes de finition"/>
    <s v="j529800"/>
    <s v="MONTCHARMONT BAPTISTE"/>
    <n v="5"/>
    <x v="2"/>
    <x v="2"/>
    <s v="PLAQUETTES"/>
    <x v="1"/>
    <n v="47.8"/>
  </r>
  <r>
    <d v="2025-12-04T22:54:24"/>
    <x v="2"/>
    <s v="Plaquettes d'ébauches rhombiques"/>
    <s v="j529800"/>
    <s v="MONTCHARMONT BAPTISTE"/>
    <n v="10"/>
    <x v="2"/>
    <x v="2"/>
    <s v="PLAQUETTES"/>
    <x v="1"/>
    <n v="70"/>
  </r>
  <r>
    <d v="2025-12-04T22:54:43"/>
    <x v="4"/>
    <s v="Plaquettes de finition"/>
    <s v="j529800"/>
    <s v="MONTCHARMONT BAPTISTE"/>
    <n v="5"/>
    <x v="2"/>
    <x v="2"/>
    <s v="PLAQUETTES"/>
    <x v="1"/>
    <n v="47.8"/>
  </r>
  <r>
    <d v="2025-12-04T22:55:06"/>
    <x v="10"/>
    <s v="Plaquettes de finition"/>
    <s v="j529800"/>
    <s v="MONTCHARMONT BAPTISTE"/>
    <n v="10"/>
    <x v="3"/>
    <x v="2"/>
    <s v="PLAQUETTES"/>
    <x v="5"/>
    <n v="109.7"/>
  </r>
  <r>
    <d v="2025-12-04T22:55:28"/>
    <x v="11"/>
    <s v="Plaquettes de finition triangulaires"/>
    <s v="j529800"/>
    <s v="MONTCHARMONT BAPTISTE"/>
    <n v="10"/>
    <x v="3"/>
    <x v="2"/>
    <s v="PLAQUETTES"/>
    <x v="5"/>
    <n v="118.7"/>
  </r>
  <r>
    <d v="2025-03-12T06:33:53"/>
    <x v="5"/>
    <s v="Plaquettes rondes"/>
    <s v="SD13196"/>
    <s v="FRADIN MAXIME"/>
    <n v="10"/>
    <x v="0"/>
    <x v="0"/>
    <s v="PLAQUETTES"/>
    <x v="1"/>
    <n v="108.5"/>
  </r>
  <r>
    <d v="2025-12-05T02:09:13"/>
    <x v="6"/>
    <s v="Plaquettes de finition positives"/>
    <s v="230525"/>
    <s v="SOULAS YANIS"/>
    <n v="10"/>
    <x v="1"/>
    <x v="2"/>
    <s v="PLAQUETTES"/>
    <x v="0"/>
    <n v="87"/>
  </r>
  <r>
    <d v="2025-12-05T06:08:42"/>
    <x v="2"/>
    <s v="Plaquettes d'ébauches rhombiques"/>
    <s v="U198152"/>
    <s v="AJMIK MUSTAPHA"/>
    <n v="10"/>
    <x v="2"/>
    <x v="2"/>
    <s v="PLAQUETTES"/>
    <x v="1"/>
    <n v="70"/>
  </r>
  <r>
    <d v="2025-12-05T06:08:58"/>
    <x v="4"/>
    <s v="Plaquettes de finition"/>
    <s v="U198152"/>
    <s v="AJMIK MUSTAPHA"/>
    <n v="5"/>
    <x v="2"/>
    <x v="2"/>
    <s v="PLAQUETTES"/>
    <x v="1"/>
    <n v="47.8"/>
  </r>
  <r>
    <d v="2025-12-05T06:09:19"/>
    <x v="2"/>
    <s v="Plaquettes d'ébauches rhombiques"/>
    <s v="U198152"/>
    <s v="AJMIK MUSTAPHA"/>
    <n v="10"/>
    <x v="2"/>
    <x v="0"/>
    <s v="PLAQUETTES"/>
    <x v="1"/>
    <n v="70"/>
  </r>
  <r>
    <d v="2025-12-05T06:09:36"/>
    <x v="9"/>
    <s v="Plaquettes rhombiques"/>
    <s v="U198152"/>
    <s v="AJMIK MUSTAPHA"/>
    <n v="5"/>
    <x v="2"/>
    <x v="2"/>
    <s v="PLAQUETTES"/>
    <x v="1"/>
    <n v="44.85"/>
  </r>
  <r>
    <d v="2025-03-17T05:16:16"/>
    <x v="5"/>
    <s v="Plaquettes rondes"/>
    <s v="080924"/>
    <s v="DABLEMONT AURELIEN"/>
    <n v="10"/>
    <x v="0"/>
    <x v="0"/>
    <s v="PLAQUETTES"/>
    <x v="1"/>
    <n v="108.5"/>
  </r>
  <r>
    <d v="2025-12-05T11:43:21"/>
    <x v="12"/>
    <s v="Plaquettes de gorge"/>
    <s v="U198152"/>
    <s v="AJMIK MUSTAPHA"/>
    <n v="10"/>
    <x v="3"/>
    <x v="0"/>
    <s v="PLAQUETTES"/>
    <x v="2"/>
    <n v="157"/>
  </r>
  <r>
    <d v="2025-12-05T13:45:05"/>
    <x v="10"/>
    <s v="Plaquettes de finition"/>
    <s v="u134838"/>
    <s v="DANAH STEPHANIE"/>
    <n v="10"/>
    <x v="1"/>
    <x v="2"/>
    <s v="PLAQUETTES"/>
    <x v="0"/>
    <n v="109.7"/>
  </r>
  <r>
    <d v="2025-12-05T13:45:23"/>
    <x v="7"/>
    <s v="Plaquettes de finition triangulaires"/>
    <s v="u134838"/>
    <s v="DANAH STEPHANIE"/>
    <n v="10"/>
    <x v="1"/>
    <x v="2"/>
    <s v="PLAQUETTES"/>
    <x v="0"/>
    <n v="138.80000000000001"/>
  </r>
  <r>
    <d v="2025-12-05T13:45:41"/>
    <x v="6"/>
    <s v="Plaquettes de finition positives"/>
    <s v="u134838"/>
    <s v="DANAH STEPHANIE"/>
    <n v="10"/>
    <x v="1"/>
    <x v="2"/>
    <s v="PLAQUETTES"/>
    <x v="0"/>
    <n v="87"/>
  </r>
  <r>
    <d v="2025-03-19T06:41:18"/>
    <x v="5"/>
    <s v="Plaquettes rondes"/>
    <s v="080924"/>
    <s v="DABLEMONT AURELIEN"/>
    <n v="10"/>
    <x v="0"/>
    <x v="0"/>
    <s v="PLAQUETTES"/>
    <x v="0"/>
    <n v="108.5"/>
  </r>
  <r>
    <d v="2025-12-05T21:16:50"/>
    <x v="2"/>
    <s v="Plaquettes d'ébauches rhombiques"/>
    <s v="j529800"/>
    <s v="MONTCHARMONT BAPTISTE"/>
    <n v="10"/>
    <x v="2"/>
    <x v="1"/>
    <s v="PLAQUETTES"/>
    <x v="1"/>
    <n v="70"/>
  </r>
  <r>
    <d v="2025-12-05T21:17:06"/>
    <x v="3"/>
    <s v="Plaquettes rondes"/>
    <s v="j529800"/>
    <s v="MONTCHARMONT BAPTISTE"/>
    <n v="10"/>
    <x v="2"/>
    <x v="0"/>
    <s v="PLAQUETTES"/>
    <x v="1"/>
    <n v="136.69999999999999"/>
  </r>
  <r>
    <d v="2025-12-05T21:17:27"/>
    <x v="9"/>
    <s v="Plaquettes rhombiques"/>
    <s v="j529800"/>
    <s v="MONTCHARMONT BAPTISTE"/>
    <n v="5"/>
    <x v="3"/>
    <x v="0"/>
    <s v="PLAQUETTES"/>
    <x v="5"/>
    <n v="44.85"/>
  </r>
  <r>
    <d v="2025-12-05T21:17:43"/>
    <x v="2"/>
    <s v="Plaquettes d'ébauches rhombiques"/>
    <s v="j529800"/>
    <s v="MONTCHARMONT BAPTISTE"/>
    <n v="10"/>
    <x v="3"/>
    <x v="1"/>
    <s v="PLAQUETTES"/>
    <x v="5"/>
    <n v="70"/>
  </r>
  <r>
    <d v="2025-03-22T16:48:09"/>
    <x v="5"/>
    <s v="Plaquettes rondes"/>
    <s v="U054304"/>
    <s v="BOUACHIK HICHAM"/>
    <n v="10"/>
    <x v="0"/>
    <x v="0"/>
    <s v="PLAQUETTES"/>
    <x v="0"/>
    <n v="108.5"/>
  </r>
  <r>
    <d v="2025-12-06T04:10:39"/>
    <x v="4"/>
    <s v="Plaquettes de finition"/>
    <s v="j529800"/>
    <s v="MONTCHARMONT BAPTISTE"/>
    <n v="5"/>
    <x v="2"/>
    <x v="2"/>
    <s v="PLAQUETTES"/>
    <x v="1"/>
    <n v="47.8"/>
  </r>
  <r>
    <d v="2025-12-06T04:11:02"/>
    <x v="4"/>
    <s v="Plaquettes de finition"/>
    <s v="j529800"/>
    <s v="MONTCHARMONT BAPTISTE"/>
    <n v="5"/>
    <x v="3"/>
    <x v="2"/>
    <s v="PLAQUETTES"/>
    <x v="5"/>
    <n v="47.8"/>
  </r>
  <r>
    <d v="2025-12-06T04:11:21"/>
    <x v="4"/>
    <s v="Plaquettes de finition"/>
    <s v="j529800"/>
    <s v="MONTCHARMONT BAPTISTE"/>
    <n v="5"/>
    <x v="2"/>
    <x v="2"/>
    <s v="PLAQUETTES"/>
    <x v="1"/>
    <n v="47.8"/>
  </r>
  <r>
    <d v="2025-12-06T04:11:39"/>
    <x v="2"/>
    <s v="Plaquettes d'ébauches rhombiques"/>
    <s v="j529800"/>
    <s v="MONTCHARMONT BAPTISTE"/>
    <n v="10"/>
    <x v="3"/>
    <x v="2"/>
    <s v="PLAQUETTES"/>
    <x v="5"/>
    <n v="70"/>
  </r>
  <r>
    <d v="2025-12-06T05:18:03"/>
    <x v="9"/>
    <s v="Plaquettes rhombiques"/>
    <s v="U080365"/>
    <s v="ALAVOINE SAMUEL"/>
    <n v="5"/>
    <x v="2"/>
    <x v="2"/>
    <s v="PLAQUETTES"/>
    <x v="1"/>
    <n v="44.85"/>
  </r>
  <r>
    <d v="2025-12-06T06:29:30"/>
    <x v="4"/>
    <s v="Plaquettes de finition"/>
    <s v="U198152"/>
    <s v="AJMIK MUSTAPHA"/>
    <n v="5"/>
    <x v="2"/>
    <x v="2"/>
    <s v="PLAQUETTES"/>
    <x v="1"/>
    <n v="47.8"/>
  </r>
  <r>
    <d v="2025-12-06T06:29:52"/>
    <x v="2"/>
    <s v="Plaquettes d'ébauches rhombiques"/>
    <s v="U198152"/>
    <s v="AJMIK MUSTAPHA"/>
    <n v="10"/>
    <x v="3"/>
    <x v="0"/>
    <s v="PLAQUETTES"/>
    <x v="2"/>
    <n v="70"/>
  </r>
  <r>
    <d v="2025-12-06T06:30:11"/>
    <x v="1"/>
    <s v="Plaquettes d'ébauches carrées"/>
    <s v="U198152"/>
    <s v="AJMIK MUSTAPHA"/>
    <n v="10"/>
    <x v="3"/>
    <x v="0"/>
    <s v="PLAQUETTES"/>
    <x v="2"/>
    <n v="71.2"/>
  </r>
  <r>
    <d v="2025-12-06T06:30:47"/>
    <x v="2"/>
    <s v="Plaquettes d'ébauches rhombiques"/>
    <s v="U198152"/>
    <s v="AJMIK MUSTAPHA"/>
    <n v="10"/>
    <x v="2"/>
    <x v="2"/>
    <s v="PLAQUETTES"/>
    <x v="1"/>
    <n v="70"/>
  </r>
  <r>
    <d v="2025-03-24T05:14:48"/>
    <x v="5"/>
    <s v="Plaquettes rondes"/>
    <s v="170325"/>
    <s v="VERDELET BASTIEN"/>
    <n v="10"/>
    <x v="0"/>
    <x v="0"/>
    <s v="PLAQUETTES"/>
    <x v="0"/>
    <n v="108.5"/>
  </r>
  <r>
    <d v="2025-03-26T08:18:50"/>
    <x v="5"/>
    <s v="Plaquettes rondes"/>
    <s v="u134838"/>
    <s v="DANAH STEPHANIE"/>
    <n v="10"/>
    <x v="0"/>
    <x v="0"/>
    <s v="PLAQUETTES"/>
    <x v="0"/>
    <n v="108.5"/>
  </r>
  <r>
    <d v="2025-12-07T00:05:24"/>
    <x v="11"/>
    <s v="Plaquettes de finition triangulaires"/>
    <s v="U534565"/>
    <s v="HOAREAU MARIUS"/>
    <n v="10"/>
    <x v="2"/>
    <x v="2"/>
    <s v="PLAQUETTES"/>
    <x v="1"/>
    <n v="118.7"/>
  </r>
  <r>
    <d v="2025-12-07T00:06:14"/>
    <x v="5"/>
    <s v="Plaquettes rondes"/>
    <s v="U534565"/>
    <s v="HOAREAU MARIUS"/>
    <n v="10"/>
    <x v="3"/>
    <x v="0"/>
    <s v="PLAQUETTES"/>
    <x v="0"/>
    <n v="108.5"/>
  </r>
  <r>
    <d v="2025-12-07T17:26:24"/>
    <x v="5"/>
    <s v="Plaquettes rondes"/>
    <s v="U534565"/>
    <s v="HOAREAU MARIUS"/>
    <n v="10"/>
    <x v="3"/>
    <x v="0"/>
    <s v="PLAQUETTES"/>
    <x v="2"/>
    <n v="108.5"/>
  </r>
  <r>
    <d v="2025-12-07T17:26:40"/>
    <x v="4"/>
    <s v="Plaquettes de finition"/>
    <s v="U534565"/>
    <s v="HOAREAU MARIUS"/>
    <n v="5"/>
    <x v="3"/>
    <x v="2"/>
    <s v="PLAQUETTES"/>
    <x v="2"/>
    <n v="47.8"/>
  </r>
  <r>
    <d v="2025-12-07T17:27:13"/>
    <x v="1"/>
    <s v="Plaquettes d'ébauches carrées"/>
    <s v="U534565"/>
    <s v="HOAREAU MARIUS"/>
    <n v="10"/>
    <x v="3"/>
    <x v="0"/>
    <s v="PLAQUETTES"/>
    <x v="2"/>
    <n v="71.2"/>
  </r>
  <r>
    <d v="2025-12-07T17:27:34"/>
    <x v="4"/>
    <s v="Plaquettes de finition"/>
    <s v="U534565"/>
    <s v="HOAREAU MARIUS"/>
    <n v="5"/>
    <x v="2"/>
    <x v="2"/>
    <s v="PLAQUETTES"/>
    <x v="1"/>
    <n v="47.8"/>
  </r>
  <r>
    <d v="2025-12-07T17:28:54"/>
    <x v="3"/>
    <s v="Plaquettes rondes"/>
    <s v="U534565"/>
    <s v="HOAREAU MARIUS"/>
    <n v="10"/>
    <x v="2"/>
    <x v="0"/>
    <s v="PLAQUETTES"/>
    <x v="1"/>
    <n v="136.69999999999999"/>
  </r>
  <r>
    <d v="2025-03-27T12:23:41"/>
    <x v="5"/>
    <s v="Plaquettes rondes"/>
    <s v="u134838"/>
    <s v="DANAH STEPHANIE"/>
    <n v="10"/>
    <x v="0"/>
    <x v="0"/>
    <s v="PLAQUETTES"/>
    <x v="0"/>
    <n v="108.5"/>
  </r>
  <r>
    <d v="2025-03-27T21:17:21"/>
    <x v="5"/>
    <s v="Plaquettes rondes"/>
    <s v="080924"/>
    <s v="DABLEMONT AURELIEN"/>
    <n v="10"/>
    <x v="0"/>
    <x v="0"/>
    <s v="PLAQUETTES"/>
    <x v="0"/>
    <n v="108.5"/>
  </r>
  <r>
    <d v="2025-04-06T09:43:11"/>
    <x v="5"/>
    <s v="Plaquettes rondes"/>
    <s v="U080365"/>
    <s v="ALAVOINE SAMUEL"/>
    <n v="10"/>
    <x v="0"/>
    <x v="0"/>
    <s v="PLAQUETTES"/>
    <x v="0"/>
    <n v="108.5"/>
  </r>
  <r>
    <d v="2025-04-07T05:16:35"/>
    <x v="5"/>
    <s v="Plaquettes rondes"/>
    <s v="080924"/>
    <s v="DABLEMONT AURELIEN"/>
    <n v="10"/>
    <x v="0"/>
    <x v="0"/>
    <s v="PLAQUETTES"/>
    <x v="0"/>
    <n v="108.5"/>
  </r>
  <r>
    <d v="2025-12-08T12:46:33"/>
    <x v="10"/>
    <s v="Plaquettes de finition"/>
    <s v="170325"/>
    <s v="VERDELET BASTIEN"/>
    <n v="10"/>
    <x v="3"/>
    <x v="2"/>
    <s v="PLAQUETTES"/>
    <x v="0"/>
    <n v="109.7"/>
  </r>
  <r>
    <d v="2025-12-08T12:46:47"/>
    <x v="7"/>
    <s v="Plaquettes de finition triangulaires"/>
    <s v="170325"/>
    <s v="VERDELET BASTIEN"/>
    <n v="10"/>
    <x v="3"/>
    <x v="2"/>
    <s v="PLAQUETTES"/>
    <x v="0"/>
    <n v="138.80000000000001"/>
  </r>
  <r>
    <d v="2025-12-08T12:46:59"/>
    <x v="6"/>
    <s v="Plaquettes de finition positives"/>
    <s v="170325"/>
    <s v="VERDELET BASTIEN"/>
    <n v="10"/>
    <x v="3"/>
    <x v="2"/>
    <s v="PLAQUETTES"/>
    <x v="0"/>
    <n v="87"/>
  </r>
  <r>
    <d v="2025-12-08T21:35:49"/>
    <x v="6"/>
    <s v="Plaquettes de finition positives"/>
    <s v="230525"/>
    <s v="SOULAS YANIS"/>
    <n v="10"/>
    <x v="3"/>
    <x v="2"/>
    <s v="PLAQUETTES"/>
    <x v="0"/>
    <n v="87"/>
  </r>
  <r>
    <d v="2025-12-08T21:36:04"/>
    <x v="2"/>
    <s v="Plaquettes d'ébauches rhombiques"/>
    <s v="230525"/>
    <s v="SOULAS YANIS"/>
    <n v="10"/>
    <x v="2"/>
    <x v="1"/>
    <s v="PLAQUETTES"/>
    <x v="1"/>
    <n v="70"/>
  </r>
  <r>
    <d v="2025-12-08T21:36:20"/>
    <x v="1"/>
    <s v="Plaquettes d'ébauches carrées"/>
    <s v="230525"/>
    <s v="SOULAS YANIS"/>
    <n v="10"/>
    <x v="2"/>
    <x v="1"/>
    <s v="PLAQUETTES"/>
    <x v="1"/>
    <n v="71.2"/>
  </r>
  <r>
    <d v="2025-12-08T21:36:46"/>
    <x v="4"/>
    <s v="Plaquettes de finition"/>
    <s v="230525"/>
    <s v="SOULAS YANIS"/>
    <n v="5"/>
    <x v="2"/>
    <x v="2"/>
    <s v="PLAQUETTES"/>
    <x v="1"/>
    <n v="47.8"/>
  </r>
  <r>
    <d v="2025-04-08T05:09:09"/>
    <x v="5"/>
    <s v="Plaquettes rondes"/>
    <s v="080924"/>
    <s v="DABLEMONT AURELIEN"/>
    <n v="10"/>
    <x v="0"/>
    <x v="0"/>
    <s v="PLAQUETTES"/>
    <x v="0"/>
    <n v="108.5"/>
  </r>
  <r>
    <d v="2025-12-08T23:36:08"/>
    <x v="6"/>
    <s v="Plaquettes de finition positives"/>
    <s v="j519914"/>
    <s v="MARLY DAVID"/>
    <n v="10"/>
    <x v="1"/>
    <x v="2"/>
    <s v="PLAQUETTES"/>
    <x v="0"/>
    <n v="87"/>
  </r>
  <r>
    <d v="2025-12-08T23:36:33"/>
    <x v="2"/>
    <s v="Plaquettes d'ébauches rhombiques"/>
    <s v="j519914"/>
    <s v="MARLY DAVID"/>
    <n v="10"/>
    <x v="1"/>
    <x v="1"/>
    <s v="PLAQUETTES"/>
    <x v="0"/>
    <n v="70"/>
  </r>
  <r>
    <d v="2025-12-08T23:37:01"/>
    <x v="1"/>
    <s v="Plaquettes d'ébauches carrées"/>
    <s v="j519914"/>
    <s v="MARLY DAVID"/>
    <n v="10"/>
    <x v="1"/>
    <x v="0"/>
    <s v="PLAQUETTES"/>
    <x v="0"/>
    <n v="71.2"/>
  </r>
  <r>
    <d v="2025-04-10T07:02:51"/>
    <x v="5"/>
    <s v="Plaquettes rondes"/>
    <s v="080924"/>
    <s v="DABLEMONT AURELIEN"/>
    <n v="10"/>
    <x v="0"/>
    <x v="0"/>
    <s v="PLAQUETTES"/>
    <x v="0"/>
    <n v="108.5"/>
  </r>
  <r>
    <d v="2025-04-10T22:51:20"/>
    <x v="5"/>
    <s v="Plaquettes rondes"/>
    <s v="J519914"/>
    <s v="MARLY DAVID"/>
    <n v="10"/>
    <x v="0"/>
    <x v="0"/>
    <s v="PLAQUETTES"/>
    <x v="0"/>
    <n v="108.5"/>
  </r>
  <r>
    <d v="2025-12-09T11:17:03"/>
    <x v="2"/>
    <s v="Plaquettes d'ébauches rhombiques"/>
    <s v="04522ACAA77080"/>
    <s v="VILLALOBOS ANTHONY"/>
    <n v="10"/>
    <x v="1"/>
    <x v="0"/>
    <s v="PLAQUETTES"/>
    <x v="0"/>
    <n v="70"/>
  </r>
  <r>
    <d v="2025-12-09T11:17:20"/>
    <x v="1"/>
    <s v="Plaquettes d'ébauches carrées"/>
    <s v="04522ACAA77080"/>
    <s v="VILLALOBOS ANTHONY"/>
    <n v="10"/>
    <x v="1"/>
    <x v="0"/>
    <s v="PLAQUETTES"/>
    <x v="0"/>
    <n v="71.2"/>
  </r>
  <r>
    <d v="2025-12-09T13:08:39"/>
    <x v="4"/>
    <s v="Plaquettes de finition"/>
    <s v="VERGE G"/>
    <s v="VERGE GREGORY"/>
    <n v="5"/>
    <x v="2"/>
    <x v="2"/>
    <s v="PLAQUETTES"/>
    <x v="1"/>
    <n v="47.8"/>
  </r>
  <r>
    <d v="2025-12-09T13:08:50"/>
    <x v="2"/>
    <s v="Plaquettes d'ébauches rhombiques"/>
    <s v="VERGE G"/>
    <s v="VERGE GREGORY"/>
    <n v="10"/>
    <x v="2"/>
    <x v="1"/>
    <s v="PLAQUETTES"/>
    <x v="1"/>
    <n v="70"/>
  </r>
  <r>
    <d v="2025-12-09T13:09:08"/>
    <x v="2"/>
    <s v="Plaquettes d'ébauches rhombiques"/>
    <s v="VERGE G"/>
    <s v="VERGE GREGORY"/>
    <n v="10"/>
    <x v="2"/>
    <x v="1"/>
    <s v="PLAQUETTES"/>
    <x v="1"/>
    <n v="70"/>
  </r>
  <r>
    <d v="2025-12-09T13:09:25"/>
    <x v="1"/>
    <s v="Plaquettes d'ébauches carrées"/>
    <s v="VERGE G"/>
    <s v="VERGE GREGORY"/>
    <n v="10"/>
    <x v="2"/>
    <x v="1"/>
    <s v="PLAQUETTES"/>
    <x v="1"/>
    <n v="71.2"/>
  </r>
  <r>
    <d v="2025-12-09T13:09:44"/>
    <x v="6"/>
    <s v="Plaquettes de finition positives"/>
    <s v="VERGE G"/>
    <s v="VERGE GREGORY"/>
    <n v="10"/>
    <x v="3"/>
    <x v="2"/>
    <s v="PLAQUETTES"/>
    <x v="0"/>
    <n v="87"/>
  </r>
  <r>
    <d v="2025-04-11T08:49:31"/>
    <x v="5"/>
    <s v="Plaquettes rondes"/>
    <s v="U080365"/>
    <s v="ALAVOINE SAMUEL"/>
    <n v="10"/>
    <x v="0"/>
    <x v="0"/>
    <s v="PLAQUETTES"/>
    <x v="0"/>
    <n v="108.5"/>
  </r>
  <r>
    <d v="2025-04-16T06:35:03"/>
    <x v="5"/>
    <s v="Plaquettes rondes"/>
    <s v="170325"/>
    <s v="VERDELET BASTIEN"/>
    <n v="10"/>
    <x v="0"/>
    <x v="0"/>
    <s v="PLAQUETTES"/>
    <x v="1"/>
    <n v="108.5"/>
  </r>
  <r>
    <d v="2025-12-09T21:19:58"/>
    <x v="6"/>
    <s v="Plaquettes de finition positives"/>
    <s v="j529800"/>
    <s v="MONTCHARMONT BAPTISTE"/>
    <n v="10"/>
    <x v="3"/>
    <x v="2"/>
    <s v="PLAQUETTES"/>
    <x v="0"/>
    <n v="87"/>
  </r>
  <r>
    <d v="2025-04-24T05:44:24"/>
    <x v="5"/>
    <s v="Plaquettes rondes"/>
    <s v="J519914"/>
    <s v="MARLY DAVID"/>
    <n v="10"/>
    <x v="0"/>
    <x v="0"/>
    <s v="PLAQUETTES"/>
    <x v="1"/>
    <n v="108.5"/>
  </r>
  <r>
    <d v="2025-04-25T22:05:39"/>
    <x v="5"/>
    <s v="Plaquettes rondes"/>
    <s v="170325"/>
    <s v="VERDELET BASTIEN"/>
    <n v="10"/>
    <x v="0"/>
    <x v="0"/>
    <s v="PLAQUETTES"/>
    <x v="1"/>
    <n v="108.5"/>
  </r>
  <r>
    <d v="2025-12-10T05:30:04"/>
    <x v="6"/>
    <s v="Plaquettes de finition positives"/>
    <s v="04522ACAA77080"/>
    <s v="VILLALOBOS ANTHONY"/>
    <n v="10"/>
    <x v="1"/>
    <x v="2"/>
    <s v="PLAQUETTES"/>
    <x v="0"/>
    <n v="87"/>
  </r>
  <r>
    <d v="2025-05-02T13:19:16"/>
    <x v="5"/>
    <s v="Plaquettes rondes"/>
    <s v="170325"/>
    <s v="VERDELET BASTIEN"/>
    <n v="10"/>
    <x v="0"/>
    <x v="0"/>
    <s v="PLAQUETTES"/>
    <x v="1"/>
    <n v="108.5"/>
  </r>
  <r>
    <d v="2025-12-10T05:30:37"/>
    <x v="5"/>
    <s v="Plaquettes rondes"/>
    <s v="04522ACAA77080"/>
    <s v="VILLALOBOS ANTHONY"/>
    <n v="10"/>
    <x v="1"/>
    <x v="0"/>
    <s v="PLAQUETTES"/>
    <x v="0"/>
    <n v="108.5"/>
  </r>
  <r>
    <d v="2025-05-04T06:30:10"/>
    <x v="5"/>
    <s v="Plaquettes rondes"/>
    <s v="U518765"/>
    <s v="ROY ADELINE"/>
    <n v="10"/>
    <x v="0"/>
    <x v="0"/>
    <s v="PLAQUETTES"/>
    <x v="1"/>
    <n v="108.5"/>
  </r>
  <r>
    <d v="2025-05-09T07:01:47"/>
    <x v="5"/>
    <s v="Plaquettes rondes"/>
    <s v="J534699"/>
    <s v="CHARTON FABIAN"/>
    <n v="10"/>
    <x v="0"/>
    <x v="0"/>
    <s v="PLAQUETTES"/>
    <x v="1"/>
    <n v="108.5"/>
  </r>
  <r>
    <d v="2025-12-10T08:06:35"/>
    <x v="4"/>
    <s v="Plaquettes de finition"/>
    <s v="170325"/>
    <s v="VERDELET BASTIEN"/>
    <n v="5"/>
    <x v="2"/>
    <x v="2"/>
    <s v="PLAQUETTES"/>
    <x v="1"/>
    <n v="47.8"/>
  </r>
  <r>
    <d v="2025-12-10T08:07:00"/>
    <x v="2"/>
    <s v="Plaquettes d'ébauches rhombiques"/>
    <s v="170325"/>
    <s v="VERDELET BASTIEN"/>
    <n v="10"/>
    <x v="2"/>
    <x v="0"/>
    <s v="PLAQUETTES"/>
    <x v="1"/>
    <n v="70"/>
  </r>
  <r>
    <d v="2025-12-10T13:05:01"/>
    <x v="2"/>
    <s v="Plaquettes d'ébauches rhombiques"/>
    <s v="VERGE G"/>
    <s v="VERGE GREGORY"/>
    <n v="10"/>
    <x v="2"/>
    <x v="1"/>
    <s v="PLAQUETTES"/>
    <x v="1"/>
    <n v="70"/>
  </r>
  <r>
    <d v="2025-12-10T13:05:18"/>
    <x v="1"/>
    <s v="Plaquettes d'ébauches carrées"/>
    <s v="VERGE G"/>
    <s v="VERGE GREGORY"/>
    <n v="10"/>
    <x v="2"/>
    <x v="1"/>
    <s v="PLAQUETTES"/>
    <x v="1"/>
    <n v="71.2"/>
  </r>
  <r>
    <d v="2025-12-10T13:05:46"/>
    <x v="6"/>
    <s v="Plaquettes de finition positives"/>
    <s v="VERGE G"/>
    <s v="VERGE GREGORY"/>
    <n v="10"/>
    <x v="3"/>
    <x v="2"/>
    <s v="PLAQUETTES"/>
    <x v="0"/>
    <n v="87"/>
  </r>
  <r>
    <d v="2025-12-10T13:10:59"/>
    <x v="6"/>
    <s v="Plaquettes de finition positives"/>
    <s v="sd13196"/>
    <s v="FRADIN MAXIME"/>
    <n v="10"/>
    <x v="1"/>
    <x v="2"/>
    <s v="PLAQUETTES"/>
    <x v="0"/>
    <n v="87"/>
  </r>
  <r>
    <d v="2025-12-10T13:11:19"/>
    <x v="6"/>
    <s v="Plaquettes de finition positives"/>
    <s v="sd13196"/>
    <s v="FRADIN MAXIME"/>
    <n v="10"/>
    <x v="1"/>
    <x v="2"/>
    <s v="PLAQUETTES"/>
    <x v="0"/>
    <n v="87"/>
  </r>
  <r>
    <d v="2025-12-11T00:55:23"/>
    <x v="2"/>
    <s v="Plaquettes d'ébauches rhombiques"/>
    <s v="j519914"/>
    <s v="MARLY DAVID"/>
    <n v="10"/>
    <x v="2"/>
    <x v="1"/>
    <s v="PLAQUETTES"/>
    <x v="1"/>
    <n v="70"/>
  </r>
  <r>
    <d v="2025-12-11T00:55:54"/>
    <x v="5"/>
    <s v="Plaquettes rondes"/>
    <s v="j519914"/>
    <s v="MARLY DAVID"/>
    <n v="10"/>
    <x v="2"/>
    <x v="0"/>
    <s v="PLAQUETTES"/>
    <x v="1"/>
    <n v="108.5"/>
  </r>
  <r>
    <d v="2025-12-11T00:56:23"/>
    <x v="3"/>
    <s v="Plaquettes rondes"/>
    <s v="j519914"/>
    <s v="MARLY DAVID"/>
    <n v="10"/>
    <x v="2"/>
    <x v="0"/>
    <s v="PLAQUETTES"/>
    <x v="1"/>
    <n v="136.69999999999999"/>
  </r>
  <r>
    <d v="2025-12-11T00:56:50"/>
    <x v="6"/>
    <s v="Plaquettes de finition positives"/>
    <s v="j519914"/>
    <s v="MARLY DAVID"/>
    <n v="10"/>
    <x v="3"/>
    <x v="2"/>
    <s v="PLAQUETTES"/>
    <x v="0"/>
    <n v="87"/>
  </r>
  <r>
    <d v="2025-12-11T00:57:18"/>
    <x v="4"/>
    <s v="Plaquettes de finition"/>
    <s v="j519914"/>
    <s v="MARLY DAVID"/>
    <n v="5"/>
    <x v="2"/>
    <x v="2"/>
    <s v="PLAQUETTES"/>
    <x v="1"/>
    <n v="47.8"/>
  </r>
  <r>
    <d v="2025-05-15T13:57:18"/>
    <x v="5"/>
    <s v="Plaquettes rondes"/>
    <s v="080924"/>
    <s v="DABLEMONT AURELIEN"/>
    <n v="10"/>
    <x v="0"/>
    <x v="0"/>
    <s v="PLAQUETTES"/>
    <x v="1"/>
    <n v="108.5"/>
  </r>
  <r>
    <d v="2025-12-11T05:26:11"/>
    <x v="6"/>
    <s v="Plaquettes de finition positives"/>
    <s v="u134838"/>
    <s v="DANAH STEPHANIE"/>
    <n v="10"/>
    <x v="1"/>
    <x v="2"/>
    <s v="PLAQUETTES"/>
    <x v="0"/>
    <n v="87"/>
  </r>
  <r>
    <d v="2025-12-11T05:26:32"/>
    <x v="2"/>
    <s v="Plaquettes d'ébauches rhombiques"/>
    <s v="u134838"/>
    <s v="DANAH STEPHANIE"/>
    <n v="10"/>
    <x v="1"/>
    <x v="0"/>
    <s v="PLAQUETTES"/>
    <x v="0"/>
    <n v="70"/>
  </r>
  <r>
    <d v="2025-05-17T05:04:42"/>
    <x v="5"/>
    <s v="Plaquettes rondes"/>
    <s v="J534699"/>
    <s v="CHARTON FABIAN"/>
    <n v="10"/>
    <x v="0"/>
    <x v="0"/>
    <s v="PLAQUETTES"/>
    <x v="1"/>
    <n v="108.5"/>
  </r>
  <r>
    <d v="2025-12-11T16:35:14"/>
    <x v="2"/>
    <s v="Plaquettes d'ébauches rhombiques"/>
    <s v="j529800"/>
    <s v="MONTCHARMONT BAPTISTE"/>
    <n v="10"/>
    <x v="2"/>
    <x v="1"/>
    <s v="PLAQUETTES"/>
    <x v="1"/>
    <n v="70"/>
  </r>
  <r>
    <d v="2025-12-11T16:35:35"/>
    <x v="2"/>
    <s v="Plaquettes d'ébauches rhombiques"/>
    <s v="j529800"/>
    <s v="MONTCHARMONT BAPTISTE"/>
    <n v="10"/>
    <x v="2"/>
    <x v="1"/>
    <s v="PLAQUETTES"/>
    <x v="1"/>
    <n v="70"/>
  </r>
  <r>
    <d v="2025-12-11T16:36:06"/>
    <x v="4"/>
    <s v="Plaquettes de finition"/>
    <s v="j529800"/>
    <s v="MONTCHARMONT BAPTISTE"/>
    <n v="5"/>
    <x v="2"/>
    <x v="2"/>
    <s v="PLAQUETTES"/>
    <x v="1"/>
    <n v="47.8"/>
  </r>
  <r>
    <d v="2025-12-11T16:36:42"/>
    <x v="2"/>
    <s v="Plaquettes d'ébauches rhombiques"/>
    <s v="j529800"/>
    <s v="MONTCHARMONT BAPTISTE"/>
    <n v="10"/>
    <x v="2"/>
    <x v="1"/>
    <s v="PLAQUETTES"/>
    <x v="1"/>
    <n v="70"/>
  </r>
  <r>
    <d v="2025-12-11T16:37:03"/>
    <x v="6"/>
    <s v="Plaquettes de finition positives"/>
    <s v="sd13196"/>
    <s v="FRADIN MAXIME"/>
    <n v="10"/>
    <x v="1"/>
    <x v="2"/>
    <s v="PLAQUETTES"/>
    <x v="0"/>
    <n v="87"/>
  </r>
  <r>
    <d v="2025-12-11T16:37:23"/>
    <x v="6"/>
    <s v="Plaquettes de finition positives"/>
    <s v="sd13196"/>
    <s v="FRADIN MAXIME"/>
    <n v="10"/>
    <x v="1"/>
    <x v="2"/>
    <s v="PLAQUETTES"/>
    <x v="0"/>
    <n v="87"/>
  </r>
  <r>
    <d v="2025-12-11T16:37:45"/>
    <x v="2"/>
    <s v="Plaquettes d'ébauches rhombiques"/>
    <s v="sd13196"/>
    <s v="FRADIN MAXIME"/>
    <n v="10"/>
    <x v="1"/>
    <x v="1"/>
    <s v="PLAQUETTES"/>
    <x v="0"/>
    <n v="70"/>
  </r>
  <r>
    <d v="2025-12-11T16:38:08"/>
    <x v="1"/>
    <s v="Plaquettes d'ébauches carrées"/>
    <s v="sd13196"/>
    <s v="FRADIN MAXIME"/>
    <n v="10"/>
    <x v="1"/>
    <x v="0"/>
    <s v="PLAQUETTES"/>
    <x v="0"/>
    <n v="71.2"/>
  </r>
  <r>
    <d v="2025-12-11T21:40:55"/>
    <x v="6"/>
    <s v="Plaquettes de finition positives"/>
    <s v="j529800"/>
    <s v="MONTCHARMONT BAPTISTE"/>
    <n v="10"/>
    <x v="3"/>
    <x v="2"/>
    <s v="PLAQUETTES"/>
    <x v="0"/>
    <n v="87"/>
  </r>
  <r>
    <d v="2025-12-11T21:41:18"/>
    <x v="2"/>
    <s v="Plaquettes d'ébauches rhombiques"/>
    <s v="j529800"/>
    <s v="MONTCHARMONT BAPTISTE"/>
    <n v="10"/>
    <x v="2"/>
    <x v="0"/>
    <s v="PLAQUETTES"/>
    <x v="1"/>
    <n v="70"/>
  </r>
  <r>
    <d v="2025-05-19T06:11:45"/>
    <x v="5"/>
    <s v="Plaquettes rondes"/>
    <s v="080924"/>
    <s v="DABLEMONT AURELIEN"/>
    <n v="10"/>
    <x v="0"/>
    <x v="0"/>
    <s v="PLAQUETTES"/>
    <x v="1"/>
    <n v="108.5"/>
  </r>
  <r>
    <d v="2025-12-11T23:43:25"/>
    <x v="10"/>
    <s v="Plaquettes de finition"/>
    <s v="j519914"/>
    <s v="MARLY DAVID"/>
    <n v="10"/>
    <x v="1"/>
    <x v="2"/>
    <s v="PLAQUETTES"/>
    <x v="0"/>
    <n v="109.7"/>
  </r>
  <r>
    <d v="2025-12-11T23:43:52"/>
    <x v="7"/>
    <s v="Plaquettes de finition triangulaires"/>
    <s v="j519914"/>
    <s v="MARLY DAVID"/>
    <n v="10"/>
    <x v="1"/>
    <x v="2"/>
    <s v="PLAQUETTES"/>
    <x v="0"/>
    <n v="138.80000000000001"/>
  </r>
  <r>
    <d v="2025-05-21T13:20:58"/>
    <x v="5"/>
    <s v="Plaquettes rondes"/>
    <s v="170325"/>
    <s v="VERDELET BASTIEN"/>
    <n v="10"/>
    <x v="0"/>
    <x v="0"/>
    <s v="PLAQUETTES"/>
    <x v="0"/>
    <n v="108.5"/>
  </r>
  <r>
    <d v="2025-12-11T23:44:42"/>
    <x v="6"/>
    <s v="Plaquettes de finition positives"/>
    <s v="j519914"/>
    <s v="MARLY DAVID"/>
    <n v="10"/>
    <x v="1"/>
    <x v="2"/>
    <s v="PLAQUETTES"/>
    <x v="0"/>
    <n v="87"/>
  </r>
  <r>
    <d v="2025-12-12T13:19:18"/>
    <x v="2"/>
    <s v="Plaquettes d'ébauches rhombiques"/>
    <s v="VERGE G"/>
    <s v="VERGE GREGORY"/>
    <n v="10"/>
    <x v="2"/>
    <x v="0"/>
    <s v="PLAQUETTES"/>
    <x v="1"/>
    <n v="70"/>
  </r>
  <r>
    <d v="2025-05-25T13:33:44"/>
    <x v="5"/>
    <s v="Plaquettes rondes"/>
    <s v="U054304"/>
    <s v="BOUACHIK HICHAM"/>
    <n v="10"/>
    <x v="0"/>
    <x v="0"/>
    <s v="PLAQUETTES"/>
    <x v="0"/>
    <n v="108.5"/>
  </r>
  <r>
    <d v="2025-12-12T13:19:49"/>
    <x v="1"/>
    <s v="Plaquettes d'ébauches carrées"/>
    <s v="VERGE G"/>
    <s v="VERGE GREGORY"/>
    <n v="10"/>
    <x v="2"/>
    <x v="1"/>
    <s v="PLAQUETTES"/>
    <x v="1"/>
    <n v="71.2"/>
  </r>
  <r>
    <d v="2025-12-12T13:20:04"/>
    <x v="6"/>
    <s v="Plaquettes de finition positives"/>
    <s v="VERGE G"/>
    <s v="VERGE GREGORY"/>
    <n v="10"/>
    <x v="3"/>
    <x v="2"/>
    <s v="PLAQUETTES"/>
    <x v="3"/>
    <n v="87"/>
  </r>
  <r>
    <d v="2025-12-12T13:20:16"/>
    <x v="4"/>
    <s v="Plaquettes de finition"/>
    <s v="VERGE G"/>
    <s v="VERGE GREGORY"/>
    <n v="5"/>
    <x v="2"/>
    <x v="2"/>
    <s v="PLAQUETTES"/>
    <x v="1"/>
    <n v="47.8"/>
  </r>
  <r>
    <d v="2025-06-03T09:47:25"/>
    <x v="5"/>
    <s v="Plaquettes rondes"/>
    <s v="12824586"/>
    <s v="DA SILVA FERNANDO"/>
    <n v="10"/>
    <x v="0"/>
    <x v="0"/>
    <s v="PLAQUETTES"/>
    <x v="4"/>
    <n v="108.5"/>
  </r>
  <r>
    <d v="2025-06-05T13:20:17"/>
    <x v="5"/>
    <s v="Plaquettes rondes"/>
    <s v="230525"/>
    <s v="SOULAS YANIS"/>
    <n v="10"/>
    <x v="0"/>
    <x v="0"/>
    <s v="PLAQUETTES"/>
    <x v="0"/>
    <n v="108.5"/>
  </r>
  <r>
    <d v="2025-06-07T22:02:14"/>
    <x v="5"/>
    <s v="Plaquettes rondes"/>
    <s v="u534565"/>
    <s v="HOAREAU MARIUS"/>
    <n v="10"/>
    <x v="0"/>
    <x v="0"/>
    <s v="PLAQUETTES"/>
    <x v="0"/>
    <n v="108.5"/>
  </r>
  <r>
    <d v="2025-12-12T17:07:21"/>
    <x v="4"/>
    <s v="Plaquettes de finition"/>
    <s v="sd13196"/>
    <s v="FRADIN MAXIME"/>
    <n v="5"/>
    <x v="2"/>
    <x v="2"/>
    <s v="PLAQUETTES"/>
    <x v="1"/>
    <n v="47.8"/>
  </r>
  <r>
    <d v="2025-06-10T08:06:25"/>
    <x v="5"/>
    <s v="Plaquettes rondes"/>
    <s v="230525"/>
    <s v="SOULAS YANIS"/>
    <n v="10"/>
    <x v="0"/>
    <x v="0"/>
    <s v="PLAQUETTES"/>
    <x v="0"/>
    <n v="108.5"/>
  </r>
  <r>
    <d v="2025-12-12T21:46:38"/>
    <x v="9"/>
    <s v="Plaquettes rhombiques"/>
    <s v="j529800"/>
    <s v="MONTCHARMONT BAPTISTE"/>
    <n v="5"/>
    <x v="2"/>
    <x v="2"/>
    <s v="PLAQUETTES"/>
    <x v="1"/>
    <n v="44.85"/>
  </r>
  <r>
    <d v="2025-12-12T21:46:55"/>
    <x v="4"/>
    <s v="Plaquettes de finition"/>
    <s v="j529800"/>
    <s v="MONTCHARMONT BAPTISTE"/>
    <n v="5"/>
    <x v="2"/>
    <x v="2"/>
    <s v="PLAQUETTES"/>
    <x v="1"/>
    <n v="47.8"/>
  </r>
  <r>
    <d v="2025-12-12T21:47:13"/>
    <x v="11"/>
    <s v="Plaquettes de finition triangulaires"/>
    <s v="j529800"/>
    <s v="MONTCHARMONT BAPTISTE"/>
    <n v="10"/>
    <x v="2"/>
    <x v="2"/>
    <s v="PLAQUETTES"/>
    <x v="1"/>
    <n v="118.7"/>
  </r>
  <r>
    <d v="2025-12-12T21:47:32"/>
    <x v="2"/>
    <s v="Plaquettes d'ébauches rhombiques"/>
    <s v="j529800"/>
    <s v="MONTCHARMONT BAPTISTE"/>
    <n v="10"/>
    <x v="2"/>
    <x v="2"/>
    <s v="PLAQUETTES"/>
    <x v="1"/>
    <n v="70"/>
  </r>
  <r>
    <d v="2025-12-13T01:02:35"/>
    <x v="2"/>
    <s v="Plaquettes d'ébauches rhombiques"/>
    <s v="j519914"/>
    <s v="MARLY DAVID"/>
    <n v="10"/>
    <x v="1"/>
    <x v="0"/>
    <s v="PLAQUETTES"/>
    <x v="0"/>
    <n v="70"/>
  </r>
  <r>
    <d v="2025-12-13T01:03:14"/>
    <x v="1"/>
    <s v="Plaquettes d'ébauches carrées"/>
    <s v="j519914"/>
    <s v="MARLY DAVID"/>
    <n v="10"/>
    <x v="1"/>
    <x v="0"/>
    <s v="PLAQUETTES"/>
    <x v="0"/>
    <n v="71.2"/>
  </r>
  <r>
    <d v="2025-12-13T01:04:38"/>
    <x v="6"/>
    <s v="Plaquettes de finition positives"/>
    <s v="j519914"/>
    <s v="MARLY DAVID"/>
    <n v="10"/>
    <x v="1"/>
    <x v="2"/>
    <s v="PLAQUETTES"/>
    <x v="0"/>
    <n v="87"/>
  </r>
  <r>
    <d v="2025-12-13T05:25:53"/>
    <x v="2"/>
    <s v="Plaquettes d'ébauches rhombiques"/>
    <s v="U534565"/>
    <s v="HOAREAU MARIUS"/>
    <n v="10"/>
    <x v="3"/>
    <x v="0"/>
    <s v="PLAQUETTES"/>
    <x v="0"/>
    <n v="70"/>
  </r>
  <r>
    <d v="2025-12-13T05:26:13"/>
    <x v="5"/>
    <s v="Plaquettes rondes"/>
    <s v="U534565"/>
    <s v="HOAREAU MARIUS"/>
    <n v="10"/>
    <x v="2"/>
    <x v="0"/>
    <s v="PLAQUETTES"/>
    <x v="1"/>
    <n v="108.5"/>
  </r>
  <r>
    <d v="2025-12-13T05:26:36"/>
    <x v="6"/>
    <s v="Plaquettes de finition positives"/>
    <s v="U534565"/>
    <s v="HOAREAU MARIUS"/>
    <n v="10"/>
    <x v="3"/>
    <x v="2"/>
    <s v="PLAQUETTES"/>
    <x v="0"/>
    <n v="87"/>
  </r>
  <r>
    <d v="2025-12-13T11:19:58"/>
    <x v="10"/>
    <s v="Plaquettes de finition"/>
    <s v="U534565"/>
    <s v="HOAREAU MARIUS"/>
    <n v="10"/>
    <x v="3"/>
    <x v="2"/>
    <s v="PLAQUETTES"/>
    <x v="0"/>
    <n v="109.7"/>
  </r>
  <r>
    <d v="2025-12-13T11:20:24"/>
    <x v="10"/>
    <s v="Plaquettes de finition"/>
    <s v="U534565"/>
    <s v="HOAREAU MARIUS"/>
    <n v="10"/>
    <x v="3"/>
    <x v="2"/>
    <s v="PLAQUETTES"/>
    <x v="0"/>
    <n v="109.7"/>
  </r>
  <r>
    <d v="2025-12-13T14:59:10"/>
    <x v="6"/>
    <s v="Plaquettes de finition positives"/>
    <s v="U534565"/>
    <s v="HOAREAU MARIUS"/>
    <n v="10"/>
    <x v="3"/>
    <x v="2"/>
    <s v="PLAQUETTES"/>
    <x v="0"/>
    <n v="87"/>
  </r>
  <r>
    <d v="2025-12-13T14:59:29"/>
    <x v="4"/>
    <s v="Plaquettes de finition"/>
    <s v="U534565"/>
    <s v="HOAREAU MARIUS"/>
    <n v="5"/>
    <x v="2"/>
    <x v="2"/>
    <s v="PLAQUETTES"/>
    <x v="1"/>
    <n v="47.8"/>
  </r>
  <r>
    <d v="2025-12-13T14:59:44"/>
    <x v="6"/>
    <s v="Plaquettes de finition positives"/>
    <s v="U534565"/>
    <s v="HOAREAU MARIUS"/>
    <n v="10"/>
    <x v="1"/>
    <x v="2"/>
    <s v="PLAQUETTES"/>
    <x v="0"/>
    <n v="87"/>
  </r>
  <r>
    <d v="2025-12-14T02:36:56"/>
    <x v="4"/>
    <s v="Plaquettes de finition"/>
    <s v="U198152"/>
    <s v="AJMIK MUSTAPHA"/>
    <n v="5"/>
    <x v="2"/>
    <x v="2"/>
    <s v="PLAQUETTES"/>
    <x v="1"/>
    <n v="47.8"/>
  </r>
  <r>
    <d v="2025-12-14T02:37:12"/>
    <x v="6"/>
    <s v="Plaquettes de finition positives"/>
    <s v="U198152"/>
    <s v="AJMIK MUSTAPHA"/>
    <n v="10"/>
    <x v="3"/>
    <x v="2"/>
    <s v="PLAQUETTES"/>
    <x v="0"/>
    <n v="87"/>
  </r>
  <r>
    <d v="2025-12-14T02:37:30"/>
    <x v="1"/>
    <s v="Plaquettes d'ébauches carrées"/>
    <s v="U198152"/>
    <s v="AJMIK MUSTAPHA"/>
    <n v="10"/>
    <x v="3"/>
    <x v="0"/>
    <s v="PLAQUETTES"/>
    <x v="0"/>
    <n v="71.2"/>
  </r>
  <r>
    <d v="2025-12-14T02:37:44"/>
    <x v="2"/>
    <s v="Plaquettes d'ébauches rhombiques"/>
    <s v="U198152"/>
    <s v="AJMIK MUSTAPHA"/>
    <n v="10"/>
    <x v="3"/>
    <x v="0"/>
    <s v="PLAQUETTES"/>
    <x v="0"/>
    <n v="70"/>
  </r>
  <r>
    <d v="2025-12-14T02:37:59"/>
    <x v="3"/>
    <s v="Plaquettes rondes"/>
    <s v="U198152"/>
    <s v="AJMIK MUSTAPHA"/>
    <n v="10"/>
    <x v="2"/>
    <x v="0"/>
    <s v="PLAQUETTES"/>
    <x v="1"/>
    <n v="136.69999999999999"/>
  </r>
  <r>
    <d v="2025-06-14T04:14:17"/>
    <x v="5"/>
    <s v="Plaquettes rondes"/>
    <s v="SD13196"/>
    <s v="FRADIN MAXIME"/>
    <n v="10"/>
    <x v="0"/>
    <x v="0"/>
    <s v="PLAQUETTES"/>
    <x v="0"/>
    <n v="108.5"/>
  </r>
  <r>
    <d v="2025-06-18T06:25:53"/>
    <x v="5"/>
    <s v="Plaquettes rondes"/>
    <s v="u134838"/>
    <s v="DANAH STEPHANIE"/>
    <n v="10"/>
    <x v="0"/>
    <x v="0"/>
    <s v="PLAQUETTES"/>
    <x v="0"/>
    <n v="108.5"/>
  </r>
  <r>
    <d v="2025-12-14T06:54:44"/>
    <x v="5"/>
    <s v="Plaquettes rondes"/>
    <s v="U518765"/>
    <s v="ROY ADELINE"/>
    <n v="10"/>
    <x v="1"/>
    <x v="0"/>
    <s v="PLAQUETTES"/>
    <x v="0"/>
    <n v="108.5"/>
  </r>
  <r>
    <d v="2025-12-14T06:55:03"/>
    <x v="6"/>
    <s v="Plaquettes de finition positives"/>
    <s v="U518765"/>
    <s v="ROY ADELINE"/>
    <n v="10"/>
    <x v="1"/>
    <x v="2"/>
    <s v="PLAQUETTES"/>
    <x v="0"/>
    <n v="87"/>
  </r>
  <r>
    <d v="2025-06-22T03:33:57"/>
    <x v="5"/>
    <s v="Plaquettes rondes"/>
    <s v="U534565"/>
    <s v="HOAREAU MARIUS"/>
    <n v="10"/>
    <x v="0"/>
    <x v="0"/>
    <s v="PLAQUETTES"/>
    <x v="1"/>
    <n v="108.5"/>
  </r>
  <r>
    <d v="2025-12-14T06:58:09"/>
    <x v="6"/>
    <s v="Plaquettes de finition positives"/>
    <s v="U534565"/>
    <s v="HOAREAU MARIUS"/>
    <n v="10"/>
    <x v="3"/>
    <x v="2"/>
    <s v="PLAQUETTES"/>
    <x v="0"/>
    <n v="87"/>
  </r>
  <r>
    <d v="2025-12-14T20:50:01"/>
    <x v="4"/>
    <s v="Plaquettes de finition"/>
    <s v="j534699"/>
    <s v="CHARTON FABIAN"/>
    <n v="5"/>
    <x v="2"/>
    <x v="2"/>
    <s v="PLAQUETTES"/>
    <x v="1"/>
    <n v="47.8"/>
  </r>
  <r>
    <d v="2025-12-15T01:23:38"/>
    <x v="6"/>
    <s v="Plaquettes de finition positives"/>
    <s v="U198152"/>
    <s v="AJMIK MUSTAPHA"/>
    <n v="10"/>
    <x v="3"/>
    <x v="2"/>
    <s v="PLAQUETTES"/>
    <x v="0"/>
    <n v="87"/>
  </r>
  <r>
    <d v="2025-12-15T01:23:59"/>
    <x v="1"/>
    <s v="Plaquettes d'ébauches carrées"/>
    <s v="U198152"/>
    <s v="AJMIK MUSTAPHA"/>
    <n v="10"/>
    <x v="3"/>
    <x v="0"/>
    <s v="PLAQUETTES"/>
    <x v="0"/>
    <n v="71.2"/>
  </r>
  <r>
    <d v="2025-12-15T01:24:18"/>
    <x v="2"/>
    <s v="Plaquettes d'ébauches rhombiques"/>
    <s v="U198152"/>
    <s v="AJMIK MUSTAPHA"/>
    <n v="10"/>
    <x v="2"/>
    <x v="0"/>
    <s v="PLAQUETTES"/>
    <x v="1"/>
    <n v="70"/>
  </r>
  <r>
    <d v="2025-12-15T01:24:34"/>
    <x v="5"/>
    <s v="Plaquettes rondes"/>
    <s v="U198152"/>
    <s v="AJMIK MUSTAPHA"/>
    <n v="10"/>
    <x v="3"/>
    <x v="0"/>
    <s v="PLAQUETTES"/>
    <x v="0"/>
    <n v="108.5"/>
  </r>
  <r>
    <d v="2025-12-15T09:36:16"/>
    <x v="4"/>
    <s v="Plaquettes de finition"/>
    <s v="j529800"/>
    <s v="MONTCHARMONT BAPTISTE"/>
    <n v="5"/>
    <x v="2"/>
    <x v="2"/>
    <s v="PLAQUETTES"/>
    <x v="1"/>
    <n v="47.8"/>
  </r>
  <r>
    <d v="2025-12-15T09:36:35"/>
    <x v="6"/>
    <s v="Plaquettes de finition positives"/>
    <s v="j529800"/>
    <s v="MONTCHARMONT BAPTISTE"/>
    <n v="10"/>
    <x v="3"/>
    <x v="2"/>
    <s v="PLAQUETTES"/>
    <x v="0"/>
    <n v="87"/>
  </r>
  <r>
    <d v="2025-12-15T09:37:14"/>
    <x v="2"/>
    <s v="Plaquettes d'ébauches rhombiques"/>
    <s v="j529800"/>
    <s v="MONTCHARMONT BAPTISTE"/>
    <n v="10"/>
    <x v="3"/>
    <x v="0"/>
    <s v="PLAQUETTES"/>
    <x v="0"/>
    <n v="70"/>
  </r>
  <r>
    <d v="2025-12-15T09:37:46"/>
    <x v="1"/>
    <s v="Plaquettes d'ébauches carrées"/>
    <s v="j529800"/>
    <s v="MONTCHARMONT BAPTISTE"/>
    <n v="10"/>
    <x v="3"/>
    <x v="1"/>
    <s v="PLAQUETTES"/>
    <x v="0"/>
    <n v="71.2"/>
  </r>
  <r>
    <d v="2025-12-15T13:20:52"/>
    <x v="2"/>
    <s v="Plaquettes d'ébauches rhombiques"/>
    <s v="04522ACAA77080"/>
    <s v="VILLALOBOS ANTHONY"/>
    <n v="10"/>
    <x v="1"/>
    <x v="0"/>
    <s v="PLAQUETTES"/>
    <x v="0"/>
    <n v="70"/>
  </r>
  <r>
    <d v="2025-06-24T01:59:04"/>
    <x v="5"/>
    <s v="Plaquettes rondes"/>
    <s v="170325"/>
    <s v="VERDELET BASTIEN"/>
    <n v="10"/>
    <x v="0"/>
    <x v="0"/>
    <s v="PLAQUETTES"/>
    <x v="1"/>
    <n v="108.5"/>
  </r>
  <r>
    <d v="2025-06-30T15:51:39"/>
    <x v="5"/>
    <s v="Plaquettes rondes"/>
    <s v="u134838"/>
    <s v="DANAH STEPHANIE"/>
    <n v="10"/>
    <x v="0"/>
    <x v="0"/>
    <s v="PLAQUETTES"/>
    <x v="0"/>
    <n v="108.5"/>
  </r>
  <r>
    <d v="2025-12-15T13:59:39"/>
    <x v="6"/>
    <s v="Plaquettes de finition positives"/>
    <s v="u134838"/>
    <s v="DANAH STEPHANIE"/>
    <n v="10"/>
    <x v="1"/>
    <x v="2"/>
    <s v="PLAQUETTES"/>
    <x v="0"/>
    <n v="87"/>
  </r>
  <r>
    <d v="2025-12-15T14:00:00"/>
    <x v="6"/>
    <s v="Plaquettes de finition positives"/>
    <s v="u134838"/>
    <s v="DANAH STEPHANIE"/>
    <n v="10"/>
    <x v="1"/>
    <x v="2"/>
    <s v="PLAQUETTES"/>
    <x v="0"/>
    <n v="87"/>
  </r>
  <r>
    <d v="2025-12-15T14:00:17"/>
    <x v="1"/>
    <s v="Plaquettes d'ébauches carrées"/>
    <s v="u134838"/>
    <s v="DANAH STEPHANIE"/>
    <n v="10"/>
    <x v="1"/>
    <x v="0"/>
    <s v="PLAQUETTES"/>
    <x v="0"/>
    <n v="71.2"/>
  </r>
  <r>
    <d v="2025-12-15T21:31:51"/>
    <x v="5"/>
    <s v="Plaquettes rondes"/>
    <s v="j529800"/>
    <s v="MONTCHARMONT BAPTISTE"/>
    <n v="10"/>
    <x v="2"/>
    <x v="0"/>
    <s v="PLAQUETTES"/>
    <x v="1"/>
    <n v="108.5"/>
  </r>
  <r>
    <d v="2025-12-15T21:32:08"/>
    <x v="2"/>
    <s v="Plaquettes d'ébauches rhombiques"/>
    <s v="j529800"/>
    <s v="MONTCHARMONT BAPTISTE"/>
    <n v="10"/>
    <x v="2"/>
    <x v="0"/>
    <s v="PLAQUETTES"/>
    <x v="1"/>
    <n v="70"/>
  </r>
  <r>
    <d v="2025-07-06T02:06:52"/>
    <x v="5"/>
    <s v="Plaquettes rondes"/>
    <s v="J534699"/>
    <s v="CHARTON FABIAN"/>
    <n v="10"/>
    <x v="0"/>
    <x v="0"/>
    <s v="PLAQUETTES"/>
    <x v="0"/>
    <n v="108.5"/>
  </r>
  <r>
    <d v="2025-07-08T11:16:01"/>
    <x v="5"/>
    <s v="Plaquettes rondes"/>
    <s v="u134838"/>
    <s v="DANAH STEPHANIE"/>
    <n v="10"/>
    <x v="0"/>
    <x v="0"/>
    <s v="PLAQUETTES"/>
    <x v="0"/>
    <n v="108.5"/>
  </r>
  <r>
    <d v="2025-07-11T14:00:29"/>
    <x v="5"/>
    <s v="Plaquettes rondes"/>
    <s v="SD13196"/>
    <s v="FRADIN MAXIME"/>
    <n v="10"/>
    <x v="0"/>
    <x v="0"/>
    <s v="PLAQUETTES"/>
    <x v="0"/>
    <n v="108.5"/>
  </r>
  <r>
    <d v="2025-07-15T19:44:07"/>
    <x v="5"/>
    <s v="Plaquettes rondes"/>
    <s v="230525"/>
    <s v="SOULAS YANIS"/>
    <n v="10"/>
    <x v="0"/>
    <x v="0"/>
    <s v="PLAQUETTES"/>
    <x v="0"/>
    <n v="108.5"/>
  </r>
  <r>
    <d v="2025-12-15T21:52:09"/>
    <x v="2"/>
    <s v="Plaquettes d'ébauches rhombiques"/>
    <s v="j519914"/>
    <s v="MARLY DAVID"/>
    <n v="10"/>
    <x v="1"/>
    <x v="0"/>
    <s v="PLAQUETTES"/>
    <x v="0"/>
    <n v="70"/>
  </r>
  <r>
    <d v="2025-12-16T01:31:16"/>
    <x v="2"/>
    <s v="Plaquettes d'ébauches rhombiques"/>
    <s v="j529800"/>
    <s v="MONTCHARMONT BAPTISTE"/>
    <n v="10"/>
    <x v="2"/>
    <x v="0"/>
    <s v="PLAQUETTES"/>
    <x v="1"/>
    <n v="70"/>
  </r>
  <r>
    <d v="2025-12-16T04:43:35"/>
    <x v="6"/>
    <s v="Plaquettes de finition positives"/>
    <s v="j529800"/>
    <s v="MONTCHARMONT BAPTISTE"/>
    <n v="10"/>
    <x v="3"/>
    <x v="2"/>
    <s v="PLAQUETTES"/>
    <x v="0"/>
    <n v="87"/>
  </r>
  <r>
    <d v="2025-12-16T04:43:53"/>
    <x v="1"/>
    <s v="Plaquettes d'ébauches carrées"/>
    <s v="j529800"/>
    <s v="MONTCHARMONT BAPTISTE"/>
    <n v="10"/>
    <x v="2"/>
    <x v="1"/>
    <s v="PLAQUETTES"/>
    <x v="1"/>
    <n v="71.2"/>
  </r>
  <r>
    <d v="2025-12-16T04:44:10"/>
    <x v="2"/>
    <s v="Plaquettes d'ébauches rhombiques"/>
    <s v="j529800"/>
    <s v="MONTCHARMONT BAPTISTE"/>
    <n v="10"/>
    <x v="2"/>
    <x v="2"/>
    <s v="PLAQUETTES"/>
    <x v="1"/>
    <n v="70"/>
  </r>
  <r>
    <d v="2025-07-16T21:21:28"/>
    <x v="5"/>
    <s v="Plaquettes rondes"/>
    <s v="u134838"/>
    <s v="DANAH STEPHANIE"/>
    <n v="10"/>
    <x v="0"/>
    <x v="0"/>
    <s v="PLAQUETTES"/>
    <x v="0"/>
    <n v="108.5"/>
  </r>
  <r>
    <d v="2025-07-21T14:36:59"/>
    <x v="5"/>
    <s v="Plaquettes rondes"/>
    <s v="u134838"/>
    <s v="DANAH STEPHANIE"/>
    <n v="10"/>
    <x v="0"/>
    <x v="0"/>
    <s v="PLAQUETTES"/>
    <x v="0"/>
    <n v="108.5"/>
  </r>
  <r>
    <d v="2025-07-22T13:13:13"/>
    <x v="5"/>
    <s v="Plaquettes rondes"/>
    <s v="u134838"/>
    <s v="DANAH STEPHANIE"/>
    <n v="10"/>
    <x v="0"/>
    <x v="0"/>
    <s v="PLAQUETTES"/>
    <x v="0"/>
    <n v="108.5"/>
  </r>
  <r>
    <d v="2025-12-16T13:07:33"/>
    <x v="6"/>
    <s v="Plaquettes de finition positives"/>
    <s v="u134838"/>
    <s v="DANAH STEPHANIE"/>
    <n v="10"/>
    <x v="1"/>
    <x v="2"/>
    <s v="PLAQUETTES"/>
    <x v="0"/>
    <n v="87"/>
  </r>
  <r>
    <d v="2025-12-16T13:07:58"/>
    <x v="2"/>
    <s v="Plaquettes d'ébauches rhombiques"/>
    <s v="u134838"/>
    <s v="DANAH STEPHANIE"/>
    <n v="10"/>
    <x v="1"/>
    <x v="0"/>
    <s v="PLAQUETTES"/>
    <x v="0"/>
    <n v="70"/>
  </r>
  <r>
    <d v="2025-12-16T13:08:17"/>
    <x v="1"/>
    <s v="Plaquettes d'ébauches carrées"/>
    <s v="u134838"/>
    <s v="DANAH STEPHANIE"/>
    <n v="10"/>
    <x v="1"/>
    <x v="0"/>
    <s v="PLAQUETTES"/>
    <x v="0"/>
    <n v="71.2"/>
  </r>
  <r>
    <d v="2025-12-16T21:08:52"/>
    <x v="2"/>
    <s v="Plaquettes d'ébauches rhombiques"/>
    <s v="j529800"/>
    <s v="MONTCHARMONT BAPTISTE"/>
    <n v="10"/>
    <x v="3"/>
    <x v="1"/>
    <s v="PLAQUETTES"/>
    <x v="0"/>
    <n v="70"/>
  </r>
  <r>
    <d v="2025-08-25T02:39:34"/>
    <x v="5"/>
    <s v="Plaquettes rondes"/>
    <s v="U054304"/>
    <s v="BOUACHIK HICHAM"/>
    <n v="10"/>
    <x v="0"/>
    <x v="0"/>
    <s v="PLAQUETTES"/>
    <x v="0"/>
    <n v="108.5"/>
  </r>
  <r>
    <d v="2025-12-16T21:09:44"/>
    <x v="2"/>
    <s v="Plaquettes d'ébauches rhombiques"/>
    <s v="j529800"/>
    <s v="MONTCHARMONT BAPTISTE"/>
    <n v="10"/>
    <x v="1"/>
    <x v="0"/>
    <s v="PLAQUETTES"/>
    <x v="0"/>
    <n v="70"/>
  </r>
  <r>
    <d v="2025-08-26T14:49:49"/>
    <x v="5"/>
    <s v="Plaquettes rondes"/>
    <s v="170325"/>
    <s v="VERDELET BASTIEN"/>
    <n v="10"/>
    <x v="0"/>
    <x v="0"/>
    <s v="PLAQUETTES"/>
    <x v="0"/>
    <n v="108.5"/>
  </r>
  <r>
    <d v="2025-12-16T21:29:00"/>
    <x v="2"/>
    <s v="Plaquettes d'ébauches rhombiques"/>
    <s v="230525"/>
    <s v="SOULAS YANIS"/>
    <n v="10"/>
    <x v="2"/>
    <x v="1"/>
    <s v="PLAQUETTES"/>
    <x v="1"/>
    <n v="70"/>
  </r>
  <r>
    <d v="2025-12-16T21:29:14"/>
    <x v="4"/>
    <s v="Plaquettes de finition"/>
    <s v="230525"/>
    <s v="SOULAS YANIS"/>
    <n v="5"/>
    <x v="2"/>
    <x v="2"/>
    <s v="PLAQUETTES"/>
    <x v="1"/>
    <n v="47.8"/>
  </r>
  <r>
    <d v="2025-12-16T21:29:31"/>
    <x v="2"/>
    <s v="Plaquettes d'ébauches rhombiques"/>
    <s v="230525"/>
    <s v="SOULAS YANIS"/>
    <n v="10"/>
    <x v="2"/>
    <x v="2"/>
    <s v="PLAQUETTES"/>
    <x v="1"/>
    <n v="70"/>
  </r>
  <r>
    <d v="2025-12-16T21:29:52"/>
    <x v="9"/>
    <s v="Plaquettes rhombiques"/>
    <s v="230525"/>
    <s v="SOULAS YANIS"/>
    <n v="5"/>
    <x v="2"/>
    <x v="2"/>
    <s v="PLAQUETTES"/>
    <x v="1"/>
    <n v="44.85"/>
  </r>
  <r>
    <d v="2025-12-17T00:05:07"/>
    <x v="3"/>
    <s v="Plaquettes rondes"/>
    <s v="230525"/>
    <s v="SOULAS YANIS"/>
    <n v="10"/>
    <x v="2"/>
    <x v="0"/>
    <s v="PLAQUETTES"/>
    <x v="1"/>
    <n v="136.69999999999999"/>
  </r>
  <r>
    <d v="2025-12-17T00:05:25"/>
    <x v="7"/>
    <s v="Plaquettes de finition triangulaires"/>
    <s v="230525"/>
    <s v="SOULAS YANIS"/>
    <n v="10"/>
    <x v="3"/>
    <x v="2"/>
    <s v="PLAQUETTES"/>
    <x v="0"/>
    <n v="138.80000000000001"/>
  </r>
  <r>
    <d v="2025-12-17T00:05:53"/>
    <x v="6"/>
    <s v="Plaquettes de finition positives"/>
    <s v="230525"/>
    <s v="SOULAS YANIS"/>
    <n v="10"/>
    <x v="3"/>
    <x v="2"/>
    <s v="PLAQUETTES"/>
    <x v="0"/>
    <n v="87"/>
  </r>
  <r>
    <d v="2025-09-01T11:01:35"/>
    <x v="5"/>
    <s v="Plaquettes rondes"/>
    <s v="12824586"/>
    <s v="DA SILVA FERNANDO"/>
    <n v="10"/>
    <x v="0"/>
    <x v="0"/>
    <s v="PLAQUETTES"/>
    <x v="4"/>
    <n v="108.5"/>
  </r>
  <r>
    <d v="2025-09-06T16:46:49"/>
    <x v="5"/>
    <s v="Plaquettes rondes"/>
    <s v="U054304"/>
    <s v="BOUACHIK HICHAM"/>
    <n v="10"/>
    <x v="0"/>
    <x v="0"/>
    <s v="PLAQUETTES"/>
    <x v="0"/>
    <n v="108.5"/>
  </r>
  <r>
    <d v="2025-09-11T06:02:58"/>
    <x v="5"/>
    <s v="Plaquettes rondes"/>
    <s v="u462308"/>
    <s v="MAITRE SEBASTIEN"/>
    <n v="10"/>
    <x v="0"/>
    <x v="0"/>
    <s v="PLAQUETTES"/>
    <x v="0"/>
    <n v="108.5"/>
  </r>
  <r>
    <d v="2025-09-12T05:16:56"/>
    <x v="5"/>
    <s v="Plaquettes rondes"/>
    <s v="U518765"/>
    <s v="ROY ADELINE"/>
    <n v="10"/>
    <x v="0"/>
    <x v="0"/>
    <s v="PLAQUETTES"/>
    <x v="0"/>
    <n v="108.5"/>
  </r>
  <r>
    <d v="2025-12-17T16:20:37"/>
    <x v="4"/>
    <s v="Plaquettes de finition"/>
    <s v="170325"/>
    <s v="VERDELET BASTIEN"/>
    <n v="5"/>
    <x v="2"/>
    <x v="2"/>
    <s v="PLAQUETTES"/>
    <x v="1"/>
    <n v="47.8"/>
  </r>
  <r>
    <d v="2025-12-17T16:20:52"/>
    <x v="6"/>
    <s v="Plaquettes de finition positives"/>
    <s v="170325"/>
    <s v="VERDELET BASTIEN"/>
    <n v="10"/>
    <x v="3"/>
    <x v="2"/>
    <s v="PLAQUETTES"/>
    <x v="0"/>
    <n v="87"/>
  </r>
  <r>
    <d v="2025-12-17T16:21:09"/>
    <x v="2"/>
    <s v="Plaquettes d'ébauches rhombiques"/>
    <s v="170325"/>
    <s v="VERDELET BASTIEN"/>
    <n v="10"/>
    <x v="2"/>
    <x v="0"/>
    <s v="PLAQUETTES"/>
    <x v="1"/>
    <n v="70"/>
  </r>
  <r>
    <d v="2025-12-18T00:17:24"/>
    <x v="2"/>
    <s v="Plaquettes d'ébauches rhombiques"/>
    <s v="j519914"/>
    <s v="MARLY DAVID"/>
    <n v="10"/>
    <x v="2"/>
    <x v="0"/>
    <s v="PLAQUETTES"/>
    <x v="1"/>
    <n v="70"/>
  </r>
  <r>
    <d v="2025-12-18T00:17:47"/>
    <x v="11"/>
    <s v="Plaquettes de finition triangulaires"/>
    <s v="j519914"/>
    <s v="MARLY DAVID"/>
    <n v="10"/>
    <x v="2"/>
    <x v="2"/>
    <s v="PLAQUETTES"/>
    <x v="1"/>
    <n v="118.7"/>
  </r>
  <r>
    <d v="2025-12-18T00:18:59"/>
    <x v="4"/>
    <s v="Plaquettes de finition"/>
    <s v="j519914"/>
    <s v="MARLY DAVID"/>
    <n v="5"/>
    <x v="2"/>
    <x v="2"/>
    <s v="PLAQUETTES"/>
    <x v="1"/>
    <n v="47.8"/>
  </r>
  <r>
    <d v="2025-12-18T00:20:12"/>
    <x v="6"/>
    <s v="Plaquettes de finition positives"/>
    <s v="j519914"/>
    <s v="MARLY DAVID"/>
    <n v="10"/>
    <x v="3"/>
    <x v="2"/>
    <s v="PLAQUETTES"/>
    <x v="0"/>
    <n v="87"/>
  </r>
  <r>
    <d v="2025-12-18T06:42:50"/>
    <x v="6"/>
    <s v="Plaquettes de finition positives"/>
    <s v="j529800"/>
    <s v="MONTCHARMONT BAPTISTE"/>
    <n v="10"/>
    <x v="3"/>
    <x v="2"/>
    <s v="PLAQUETTES"/>
    <x v="3"/>
    <n v="87"/>
  </r>
  <r>
    <d v="2025-12-18T06:43:08"/>
    <x v="4"/>
    <s v="Plaquettes de finition"/>
    <s v="j529800"/>
    <s v="MONTCHARMONT BAPTISTE"/>
    <n v="5"/>
    <x v="2"/>
    <x v="2"/>
    <s v="PLAQUETTES"/>
    <x v="1"/>
    <n v="47.8"/>
  </r>
  <r>
    <d v="2025-09-14T17:25:37"/>
    <x v="5"/>
    <s v="Plaquettes rondes"/>
    <s v="U518765"/>
    <s v="ROY ADELINE"/>
    <n v="10"/>
    <x v="0"/>
    <x v="0"/>
    <s v="PLAQUETTES"/>
    <x v="1"/>
    <n v="108.5"/>
  </r>
  <r>
    <d v="2025-09-28T17:41:57"/>
    <x v="5"/>
    <s v="Plaquettes rondes"/>
    <s v="j534699"/>
    <s v="CHARTON FABIAN"/>
    <n v="10"/>
    <x v="0"/>
    <x v="0"/>
    <s v="PLAQUETTES"/>
    <x v="0"/>
    <n v="108.5"/>
  </r>
  <r>
    <d v="2025-10-10T21:48:19"/>
    <x v="5"/>
    <s v="Plaquettes rondes"/>
    <s v="230525"/>
    <s v="SOULAS YANIS"/>
    <n v="10"/>
    <x v="0"/>
    <x v="0"/>
    <s v="PLAQUETTES"/>
    <x v="1"/>
    <n v="108.5"/>
  </r>
  <r>
    <d v="2025-10-12T05:26:48"/>
    <x v="5"/>
    <s v="Plaquettes rondes"/>
    <s v="J534699"/>
    <s v="CHARTON FABIAN"/>
    <n v="10"/>
    <x v="0"/>
    <x v="0"/>
    <s v="PLAQUETTES"/>
    <x v="1"/>
    <n v="108.5"/>
  </r>
  <r>
    <d v="2025-10-16T06:11:25"/>
    <x v="5"/>
    <s v="Plaquettes rondes"/>
    <s v="u134838"/>
    <s v="DANAH STEPHANIE"/>
    <n v="10"/>
    <x v="0"/>
    <x v="0"/>
    <s v="PLAQUETTES"/>
    <x v="0"/>
    <n v="108.5"/>
  </r>
  <r>
    <d v="2025-12-18T15:05:19"/>
    <x v="9"/>
    <s v="Plaquettes rhombiques"/>
    <s v="170325"/>
    <s v="VERDELET BASTIEN"/>
    <n v="5"/>
    <x v="2"/>
    <x v="2"/>
    <s v="PLAQUETTES"/>
    <x v="1"/>
    <n v="44.85"/>
  </r>
  <r>
    <d v="2025-12-18T15:05:34"/>
    <x v="6"/>
    <s v="Plaquettes de finition positives"/>
    <s v="170325"/>
    <s v="VERDELET BASTIEN"/>
    <n v="10"/>
    <x v="3"/>
    <x v="2"/>
    <s v="PLAQUETTES"/>
    <x v="0"/>
    <n v="87"/>
  </r>
  <r>
    <d v="2025-12-18T15:05:49"/>
    <x v="4"/>
    <s v="Plaquettes de finition"/>
    <s v="170325"/>
    <s v="VERDELET BASTIEN"/>
    <n v="5"/>
    <x v="2"/>
    <x v="2"/>
    <s v="PLAQUETTES"/>
    <x v="1"/>
    <n v="47.8"/>
  </r>
  <r>
    <d v="2025-12-18T15:06:02"/>
    <x v="2"/>
    <s v="Plaquettes d'ébauches rhombiques"/>
    <s v="170325"/>
    <s v="VERDELET BASTIEN"/>
    <n v="10"/>
    <x v="2"/>
    <x v="0"/>
    <s v="PLAQUETTES"/>
    <x v="1"/>
    <n v="70"/>
  </r>
  <r>
    <d v="2025-12-18T21:53:55"/>
    <x v="2"/>
    <s v="Plaquettes d'ébauches rhombiques"/>
    <s v="047558C25C7780"/>
    <s v="PARRET ALEXANDRE"/>
    <n v="10"/>
    <x v="3"/>
    <x v="0"/>
    <s v="PLAQUETTES"/>
    <x v="0"/>
    <n v="70"/>
  </r>
  <r>
    <d v="2025-12-18T21:54:23"/>
    <x v="6"/>
    <s v="Plaquettes de finition positives"/>
    <s v="j529800"/>
    <s v="MONTCHARMONT BAPTISTE"/>
    <n v="10"/>
    <x v="3"/>
    <x v="2"/>
    <s v="PLAQUETTES"/>
    <x v="0"/>
    <n v="87"/>
  </r>
  <r>
    <d v="2025-12-18T21:54:41"/>
    <x v="2"/>
    <s v="Plaquettes d'ébauches rhombiques"/>
    <s v="047558C25C7780"/>
    <s v="PARRET ALEXANDRE"/>
    <n v="10"/>
    <x v="3"/>
    <x v="1"/>
    <s v="PLAQUETTES"/>
    <x v="0"/>
    <n v="70"/>
  </r>
  <r>
    <d v="2025-12-18T21:55:04"/>
    <x v="5"/>
    <s v="Plaquettes rondes"/>
    <s v="047558C25C7780"/>
    <s v="PARRET ALEXANDRE"/>
    <n v="10"/>
    <x v="3"/>
    <x v="0"/>
    <s v="PLAQUETTES"/>
    <x v="0"/>
    <n v="108.5"/>
  </r>
  <r>
    <d v="2025-12-18T21:55:21"/>
    <x v="10"/>
    <s v="Plaquettes de finition"/>
    <s v="j529800"/>
    <s v="MONTCHARMONT BAPTISTE"/>
    <n v="10"/>
    <x v="3"/>
    <x v="2"/>
    <s v="PLAQUETTES"/>
    <x v="0"/>
    <n v="109.7"/>
  </r>
  <r>
    <d v="2025-12-18T23:19:24"/>
    <x v="3"/>
    <s v="Plaquettes rondes"/>
    <s v="047558C25C7780"/>
    <s v="PARRET ALEXANDRE"/>
    <n v="10"/>
    <x v="2"/>
    <x v="0"/>
    <s v="PLAQUETTES"/>
    <x v="1"/>
    <n v="136.69999999999999"/>
  </r>
  <r>
    <d v="2025-12-18T23:19:43"/>
    <x v="11"/>
    <s v="Plaquettes de finition triangulaires"/>
    <s v="047558C25C7780"/>
    <s v="PARRET ALEXANDRE"/>
    <n v="10"/>
    <x v="2"/>
    <x v="2"/>
    <s v="PLAQUETTES"/>
    <x v="1"/>
    <n v="118.7"/>
  </r>
  <r>
    <d v="2025-12-18T23:20:02"/>
    <x v="2"/>
    <s v="Plaquettes d'ébauches rhombiques"/>
    <s v="j529800"/>
    <s v="MONTCHARMONT BAPTISTE"/>
    <n v="10"/>
    <x v="2"/>
    <x v="2"/>
    <s v="PLAQUETTES"/>
    <x v="1"/>
    <n v="70"/>
  </r>
  <r>
    <d v="2025-12-19T06:27:57"/>
    <x v="6"/>
    <s v="Plaquettes de finition positives"/>
    <s v="u134838"/>
    <s v="DANAH STEPHANIE"/>
    <n v="10"/>
    <x v="3"/>
    <x v="2"/>
    <s v="PLAQUETTES"/>
    <x v="0"/>
    <n v="87"/>
  </r>
  <r>
    <d v="2025-12-19T06:28:33"/>
    <x v="4"/>
    <s v="Plaquettes de finition"/>
    <s v="u134838"/>
    <s v="DANAH STEPHANIE"/>
    <n v="5"/>
    <x v="2"/>
    <x v="2"/>
    <s v="PLAQUETTES"/>
    <x v="1"/>
    <n v="47.8"/>
  </r>
  <r>
    <d v="2025-12-19T06:29:05"/>
    <x v="4"/>
    <s v="Plaquettes de finition"/>
    <s v="u134838"/>
    <s v="DANAH STEPHANIE"/>
    <n v="5"/>
    <x v="2"/>
    <x v="2"/>
    <s v="PLAQUETTES"/>
    <x v="1"/>
    <n v="47.8"/>
  </r>
  <r>
    <d v="2025-12-19T06:29:34"/>
    <x v="2"/>
    <s v="Plaquettes d'ébauches rhombiques"/>
    <s v="u134838"/>
    <s v="DANAH STEPHANIE"/>
    <n v="10"/>
    <x v="3"/>
    <x v="0"/>
    <s v="PLAQUETTES"/>
    <x v="0"/>
    <n v="70"/>
  </r>
  <r>
    <d v="2025-12-19T06:29:53"/>
    <x v="1"/>
    <s v="Plaquettes d'ébauches carrées"/>
    <s v="u134838"/>
    <s v="DANAH STEPHANIE"/>
    <n v="10"/>
    <x v="2"/>
    <x v="0"/>
    <s v="PLAQUETTES"/>
    <x v="1"/>
    <n v="71.2"/>
  </r>
  <r>
    <d v="2025-12-19T11:41:20"/>
    <x v="6"/>
    <s v="Plaquettes de finition positives"/>
    <s v="U054304"/>
    <s v="BOUACHIK HICHAM"/>
    <n v="10"/>
    <x v="1"/>
    <x v="2"/>
    <s v="PLAQUETTES"/>
    <x v="0"/>
    <n v="87"/>
  </r>
  <r>
    <d v="2025-10-18T05:15:01"/>
    <x v="5"/>
    <s v="Plaquettes rondes"/>
    <s v="U518765"/>
    <s v="ROY ADELINE"/>
    <n v="10"/>
    <x v="0"/>
    <x v="0"/>
    <s v="PLAQUETTES"/>
    <x v="1"/>
    <n v="108.5"/>
  </r>
  <r>
    <d v="2025-10-21T13:56:21"/>
    <x v="5"/>
    <s v="Plaquettes rondes"/>
    <s v="u134838"/>
    <s v="DANAH STEPHANIE"/>
    <n v="10"/>
    <x v="0"/>
    <x v="0"/>
    <s v="PLAQUETTES"/>
    <x v="0"/>
    <n v="108.5"/>
  </r>
  <r>
    <d v="2025-12-19T16:05:55"/>
    <x v="1"/>
    <s v="Plaquettes d'ébauches carrées"/>
    <s v="04522ACAA77080"/>
    <s v="VILLALOBOS ANTHONY"/>
    <n v="10"/>
    <x v="1"/>
    <x v="0"/>
    <s v="PLAQUETTES"/>
    <x v="0"/>
    <n v="71.2"/>
  </r>
  <r>
    <d v="2025-10-24T19:34:28"/>
    <x v="5"/>
    <s v="Plaquettes rondes"/>
    <s v="u134838"/>
    <s v="DANAH STEPHANIE"/>
    <n v="10"/>
    <x v="0"/>
    <x v="0"/>
    <s v="PLAQUETTES"/>
    <x v="0"/>
    <n v="108.5"/>
  </r>
  <r>
    <d v="2025-10-28T05:18:36"/>
    <x v="5"/>
    <s v="Plaquettes rondes"/>
    <s v="u134838"/>
    <s v="DANAH STEPHANIE"/>
    <n v="10"/>
    <x v="0"/>
    <x v="0"/>
    <s v="PLAQUETTES"/>
    <x v="1"/>
    <n v="108.5"/>
  </r>
  <r>
    <d v="2025-12-19T22:20:48"/>
    <x v="6"/>
    <s v="Plaquettes de finition positives"/>
    <s v="j519914"/>
    <s v="MARLY DAVID"/>
    <n v="10"/>
    <x v="1"/>
    <x v="2"/>
    <s v="PLAQUETTES"/>
    <x v="0"/>
    <n v="87"/>
  </r>
  <r>
    <d v="2025-12-19T22:21:14"/>
    <x v="1"/>
    <s v="Plaquettes d'ébauches carrées"/>
    <s v="j519914"/>
    <s v="MARLY DAVID"/>
    <n v="10"/>
    <x v="1"/>
    <x v="1"/>
    <s v="PLAQUETTES"/>
    <x v="0"/>
    <n v="71.2"/>
  </r>
  <r>
    <d v="2025-11-02T05:25:38"/>
    <x v="5"/>
    <s v="Plaquettes rondes"/>
    <s v="U534565"/>
    <s v="HOAREAU MARIUS"/>
    <n v="10"/>
    <x v="0"/>
    <x v="0"/>
    <s v="PLAQUETTES"/>
    <x v="1"/>
    <n v="108.5"/>
  </r>
  <r>
    <d v="2025-12-19T22:22:06"/>
    <x v="5"/>
    <s v="Plaquettes rondes"/>
    <s v="j519914"/>
    <s v="MARLY DAVID"/>
    <n v="10"/>
    <x v="1"/>
    <x v="0"/>
    <s v="PLAQUETTES"/>
    <x v="0"/>
    <n v="108.5"/>
  </r>
  <r>
    <d v="2025-12-20T01:25:35"/>
    <x v="6"/>
    <s v="Plaquettes de finition positives"/>
    <s v="230525"/>
    <s v="SOULAS YANIS"/>
    <n v="10"/>
    <x v="3"/>
    <x v="2"/>
    <s v="PLAQUETTES"/>
    <x v="0"/>
    <n v="87"/>
  </r>
  <r>
    <d v="2025-12-20T05:17:39"/>
    <x v="6"/>
    <s v="Plaquettes de finition positives"/>
    <s v="j534699"/>
    <s v="CHARTON FABIAN"/>
    <n v="10"/>
    <x v="3"/>
    <x v="2"/>
    <s v="PLAQUETTES"/>
    <x v="0"/>
    <n v="87"/>
  </r>
  <r>
    <d v="2025-12-20T05:18:02"/>
    <x v="6"/>
    <s v="Plaquettes de finition positives"/>
    <s v="j534699"/>
    <s v="CHARTON FABIAN"/>
    <n v="10"/>
    <x v="3"/>
    <x v="2"/>
    <s v="PLAQUETTES"/>
    <x v="0"/>
    <n v="87"/>
  </r>
  <r>
    <d v="2025-12-20T05:18:38"/>
    <x v="4"/>
    <s v="Plaquettes de finition"/>
    <s v="j534699"/>
    <s v="CHARTON FABIAN"/>
    <n v="5"/>
    <x v="2"/>
    <x v="2"/>
    <s v="PLAQUETTES"/>
    <x v="1"/>
    <n v="47.8"/>
  </r>
  <r>
    <d v="2025-12-20T05:19:01"/>
    <x v="4"/>
    <s v="Plaquettes de finition"/>
    <s v="j534699"/>
    <s v="CHARTON FABIAN"/>
    <n v="5"/>
    <x v="2"/>
    <x v="2"/>
    <s v="PLAQUETTES"/>
    <x v="1"/>
    <n v="47.8"/>
  </r>
  <r>
    <d v="2025-12-20T05:19:29"/>
    <x v="9"/>
    <s v="Plaquettes rhombiques"/>
    <s v="j534699"/>
    <s v="CHARTON FABIAN"/>
    <n v="5"/>
    <x v="2"/>
    <x v="2"/>
    <s v="PLAQUETTES"/>
    <x v="1"/>
    <n v="44.85"/>
  </r>
  <r>
    <d v="2025-12-20T05:20:27"/>
    <x v="1"/>
    <s v="Plaquettes d'ébauches carrées"/>
    <s v="j534699"/>
    <s v="CHARTON FABIAN"/>
    <n v="10"/>
    <x v="3"/>
    <x v="1"/>
    <s v="PLAQUETTES"/>
    <x v="0"/>
    <n v="71.2"/>
  </r>
  <r>
    <d v="2025-12-20T05:20:55"/>
    <x v="2"/>
    <s v="Plaquettes d'ébauches rhombiques"/>
    <s v="j534699"/>
    <s v="CHARTON FABIAN"/>
    <n v="10"/>
    <x v="3"/>
    <x v="1"/>
    <s v="PLAQUETTES"/>
    <x v="0"/>
    <n v="70"/>
  </r>
  <r>
    <d v="2025-12-20T05:21:33"/>
    <x v="0"/>
    <s v="Plaquette piste OP20 R1,2 T323"/>
    <s v="j534699"/>
    <s v="CHARTON FABIAN"/>
    <n v="5"/>
    <x v="3"/>
    <x v="0"/>
    <s v="PLAQUETTES"/>
    <x v="0"/>
    <n v="35"/>
  </r>
  <r>
    <d v="2025-12-20T05:21:56"/>
    <x v="5"/>
    <s v="Plaquettes rondes"/>
    <s v="j534699"/>
    <s v="CHARTON FABIAN"/>
    <n v="10"/>
    <x v="3"/>
    <x v="0"/>
    <s v="PLAQUETTES"/>
    <x v="0"/>
    <n v="108.5"/>
  </r>
  <r>
    <d v="2025-12-20T05:22:46"/>
    <x v="2"/>
    <s v="Plaquettes d'ébauches rhombiques"/>
    <s v="j534699"/>
    <s v="CHARTON FABIAN"/>
    <n v="10"/>
    <x v="3"/>
    <x v="0"/>
    <s v="PLAQUETTES"/>
    <x v="0"/>
    <n v="70"/>
  </r>
  <r>
    <d v="2025-12-20T05:23:11"/>
    <x v="3"/>
    <s v="Plaquettes rondes"/>
    <s v="j534699"/>
    <s v="CHARTON FABIAN"/>
    <n v="10"/>
    <x v="2"/>
    <x v="0"/>
    <s v="PLAQUETTES"/>
    <x v="1"/>
    <n v="136.69999999999999"/>
  </r>
  <r>
    <d v="2025-12-20T05:23:40"/>
    <x v="1"/>
    <s v="Plaquettes d'ébauches carrées"/>
    <s v="j534699"/>
    <s v="CHARTON FABIAN"/>
    <n v="10"/>
    <x v="2"/>
    <x v="0"/>
    <s v="PLAQUETTES"/>
    <x v="1"/>
    <n v="71.2"/>
  </r>
  <r>
    <d v="2025-12-21T04:12:29"/>
    <x v="6"/>
    <s v="Plaquettes de finition positives"/>
    <s v="U518765"/>
    <s v="ROY ADELINE"/>
    <n v="10"/>
    <x v="3"/>
    <x v="2"/>
    <s v="PLAQUETTES"/>
    <x v="0"/>
    <n v="87"/>
  </r>
  <r>
    <d v="2025-12-21T04:12:50"/>
    <x v="4"/>
    <s v="Plaquettes de finition"/>
    <s v="U518765"/>
    <s v="ROY ADELINE"/>
    <n v="5"/>
    <x v="2"/>
    <x v="2"/>
    <s v="PLAQUETTES"/>
    <x v="1"/>
    <n v="47.8"/>
  </r>
  <r>
    <d v="2025-12-21T16:13:54"/>
    <x v="2"/>
    <s v="Plaquettes d'ébauches rhombiques"/>
    <s v="170325"/>
    <s v="VERDELET BASTIEN"/>
    <n v="10"/>
    <x v="2"/>
    <x v="0"/>
    <s v="PLAQUETTES"/>
    <x v="1"/>
    <n v="70"/>
  </r>
  <r>
    <d v="2025-12-21T16:14:05"/>
    <x v="2"/>
    <s v="Plaquettes d'ébauches rhombiques"/>
    <s v="170325"/>
    <s v="VERDELET BASTIEN"/>
    <n v="10"/>
    <x v="2"/>
    <x v="0"/>
    <s v="PLAQUETTES"/>
    <x v="1"/>
    <n v="70"/>
  </r>
  <r>
    <d v="2025-12-21T16:14:24"/>
    <x v="11"/>
    <s v="Plaquettes de finition triangulaires"/>
    <s v="170325"/>
    <s v="VERDELET BASTIEN"/>
    <n v="10"/>
    <x v="2"/>
    <x v="2"/>
    <s v="PLAQUETTES"/>
    <x v="1"/>
    <n v="118.7"/>
  </r>
  <r>
    <d v="2025-12-21T16:14:38"/>
    <x v="2"/>
    <s v="Plaquettes d'ébauches rhombiques"/>
    <s v="170325"/>
    <s v="VERDELET BASTIEN"/>
    <n v="10"/>
    <x v="2"/>
    <x v="2"/>
    <s v="PLAQUETTES"/>
    <x v="1"/>
    <n v="70"/>
  </r>
  <r>
    <d v="2025-11-09T17:26:10"/>
    <x v="5"/>
    <s v="Plaquettes rondes"/>
    <s v="U518765"/>
    <s v="ROY ADELINE"/>
    <n v="10"/>
    <x v="0"/>
    <x v="0"/>
    <s v="PLAQUETTES"/>
    <x v="0"/>
    <n v="108.5"/>
  </r>
  <r>
    <d v="2025-11-15T05:18:12"/>
    <x v="5"/>
    <s v="Plaquettes rondes"/>
    <s v="U534565"/>
    <s v="HOAREAU MARIUS"/>
    <n v="10"/>
    <x v="0"/>
    <x v="0"/>
    <s v="PLAQUETTES"/>
    <x v="0"/>
    <n v="108.5"/>
  </r>
  <r>
    <d v="2025-11-19T13:53:16"/>
    <x v="5"/>
    <s v="Plaquettes rondes"/>
    <s v="u134838"/>
    <s v="DANAH STEPHANIE"/>
    <n v="10"/>
    <x v="0"/>
    <x v="0"/>
    <s v="PLAQUETTES"/>
    <x v="0"/>
    <n v="108.5"/>
  </r>
  <r>
    <d v="2025-11-27T12:30:28"/>
    <x v="5"/>
    <s v="Plaquettes rondes"/>
    <s v="04522ACAA77080"/>
    <s v="VILLALOBOS ANTHONY"/>
    <n v="10"/>
    <x v="0"/>
    <x v="0"/>
    <s v="PLAQUETTES"/>
    <x v="0"/>
    <n v="108.5"/>
  </r>
  <r>
    <d v="2025-12-21T18:50:20"/>
    <x v="6"/>
    <s v="Plaquettes de finition positives"/>
    <s v="j534699"/>
    <s v="CHARTON FABIAN"/>
    <n v="10"/>
    <x v="3"/>
    <x v="2"/>
    <s v="PLAQUETTES"/>
    <x v="0"/>
    <n v="87"/>
  </r>
  <r>
    <d v="2025-12-21T18:50:59"/>
    <x v="4"/>
    <s v="Plaquettes de finition"/>
    <s v="j534699"/>
    <s v="CHARTON FABIAN"/>
    <n v="5"/>
    <x v="2"/>
    <x v="2"/>
    <s v="PLAQUETTES"/>
    <x v="1"/>
    <n v="47.8"/>
  </r>
  <r>
    <d v="2025-11-29T05:16:29"/>
    <x v="5"/>
    <s v="Plaquettes rondes"/>
    <s v="j534699"/>
    <s v="CHARTON FABIAN"/>
    <n v="10"/>
    <x v="0"/>
    <x v="0"/>
    <s v="PLAQUETTES"/>
    <x v="1"/>
    <n v="108.5"/>
  </r>
  <r>
    <d v="2025-12-22T05:22:50"/>
    <x v="2"/>
    <s v="Plaquettes d'ébauches rhombiques"/>
    <s v="04522ACAA77080"/>
    <s v="VILLALOBOS ANTHONY"/>
    <n v="10"/>
    <x v="1"/>
    <x v="0"/>
    <s v="PLAQUETTES"/>
    <x v="0"/>
    <n v="70"/>
  </r>
  <r>
    <d v="2025-12-22T05:23:14"/>
    <x v="1"/>
    <s v="Plaquettes d'ébauches carrées"/>
    <s v="04522ACAA77080"/>
    <s v="VILLALOBOS ANTHONY"/>
    <n v="10"/>
    <x v="1"/>
    <x v="0"/>
    <s v="PLAQUETTES"/>
    <x v="0"/>
    <n v="71.2"/>
  </r>
  <r>
    <d v="2025-12-22T12:02:06"/>
    <x v="2"/>
    <s v="Plaquettes d'ébauches rhombiques"/>
    <s v="170325"/>
    <s v="VERDELET BASTIEN"/>
    <n v="10"/>
    <x v="2"/>
    <x v="0"/>
    <s v="PLAQUETTES"/>
    <x v="1"/>
    <n v="70"/>
  </r>
  <r>
    <d v="2025-12-22T12:02:19"/>
    <x v="5"/>
    <s v="Plaquettes rondes"/>
    <s v="170325"/>
    <s v="VERDELET BASTIEN"/>
    <n v="10"/>
    <x v="2"/>
    <x v="0"/>
    <s v="PLAQUETTES"/>
    <x v="1"/>
    <n v="108.5"/>
  </r>
  <r>
    <d v="2025-12-17T13:42:59"/>
    <x v="5"/>
    <s v="Plaquettes rondes"/>
    <s v="u134838"/>
    <s v="DANAH STEPHANIE"/>
    <n v="10"/>
    <x v="0"/>
    <x v="0"/>
    <s v="PLAQUETTES"/>
    <x v="1"/>
    <n v="108.5"/>
  </r>
  <r>
    <d v="2025-12-23T05:51:03"/>
    <x v="4"/>
    <s v="Plaquettes de finition"/>
    <s v="170325"/>
    <s v="VERDELET BASTIEN"/>
    <n v="5"/>
    <x v="2"/>
    <x v="2"/>
    <s v="PLAQUETTES"/>
    <x v="1"/>
    <n v="47.8"/>
  </r>
  <r>
    <d v="2025-12-23T05:51:19"/>
    <x v="9"/>
    <s v="Plaquettes rhombiques"/>
    <s v="170325"/>
    <s v="VERDELET BASTIEN"/>
    <n v="5"/>
    <x v="2"/>
    <x v="2"/>
    <s v="PLAQUETTES"/>
    <x v="1"/>
    <n v="44.85"/>
  </r>
  <r>
    <d v="2025-12-23T05:51:41"/>
    <x v="2"/>
    <s v="Plaquettes d'ébauches rhombiques"/>
    <s v="170325"/>
    <s v="VERDELET BASTIEN"/>
    <n v="10"/>
    <x v="2"/>
    <x v="0"/>
    <s v="PLAQUETTES"/>
    <x v="1"/>
    <n v="70"/>
  </r>
  <r>
    <d v="2025-12-23T05:51:54"/>
    <x v="10"/>
    <s v="Plaquettes de finition"/>
    <s v="170325"/>
    <s v="VERDELET BASTIEN"/>
    <n v="10"/>
    <x v="3"/>
    <x v="2"/>
    <s v="PLAQUETTES"/>
    <x v="0"/>
    <n v="109.7"/>
  </r>
  <r>
    <d v="2025-12-23T05:52:11"/>
    <x v="6"/>
    <s v="Plaquettes de finition positives"/>
    <s v="170325"/>
    <s v="VERDELET BASTIEN"/>
    <n v="10"/>
    <x v="3"/>
    <x v="2"/>
    <s v="PLAQUETTES"/>
    <x v="0"/>
    <n v="87"/>
  </r>
  <r>
    <m/>
    <x v="13"/>
    <m/>
    <m/>
    <m/>
    <m/>
    <x v="4"/>
    <x v="3"/>
    <m/>
    <x v="6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5">
  <r>
    <d v="2025-01-09T13:29:41"/>
    <x v="0"/>
    <s v="Plaquettes de finition"/>
    <s v="SE08251"/>
    <s v="FAYET AYMERIC"/>
    <n v="20"/>
    <x v="0"/>
    <x v="0"/>
    <s v="PLAQUETTES"/>
    <s v="290x12"/>
    <n v="219.4"/>
  </r>
  <r>
    <d v="2025-01-13T22:07:55"/>
    <x v="1"/>
    <s v="Plaquettes de finition"/>
    <s v="130124"/>
    <s v="MOHAMED ILDIRAY"/>
    <n v="5"/>
    <x v="1"/>
    <x v="0"/>
    <s v="PLAQUETTES"/>
    <s v="304x28 RPE"/>
    <n v="47.8"/>
  </r>
  <r>
    <d v="2025-01-14T21:09:09"/>
    <x v="1"/>
    <s v="Plaquettes de finition"/>
    <s v="130124"/>
    <s v="MOHAMED ILDIRAY"/>
    <n v="5"/>
    <x v="1"/>
    <x v="0"/>
    <s v="PLAQUETTES"/>
    <s v="304x28 RPE"/>
    <n v="47.8"/>
  </r>
  <r>
    <d v="2025-01-14T21:16:27"/>
    <x v="1"/>
    <s v="Plaquettes de finition"/>
    <s v="U037238"/>
    <s v="PRIEUR OLIVIER"/>
    <n v="10"/>
    <x v="2"/>
    <x v="1"/>
    <s v="PLAQUETTES"/>
    <s v="302x26 RPI"/>
    <n v="95.6"/>
  </r>
  <r>
    <d v="2025-01-14T22:17:23"/>
    <x v="1"/>
    <s v="Plaquettes de finition"/>
    <s v="101224"/>
    <s v="CHAZEAU KYLIAN"/>
    <n v="10"/>
    <x v="3"/>
    <x v="0"/>
    <s v="PLAQUETTES"/>
    <s v="330x28 RPE KO"/>
    <n v="95.6"/>
  </r>
  <r>
    <d v="2025-01-15T15:02:14"/>
    <x v="2"/>
    <s v="Plaquettes de finition"/>
    <s v="1234SECOURS"/>
    <s v="SECOURS"/>
    <n v="5"/>
    <x v="3"/>
    <x v="2"/>
    <s v="PLAQUETTES"/>
    <s v="330x28 RPE KO"/>
    <n v="44.85"/>
  </r>
  <r>
    <d v="2025-01-15T15:02:30"/>
    <x v="2"/>
    <s v="Plaquettes de finition"/>
    <s v="1234SECOURS"/>
    <s v="SECOURS"/>
    <n v="-5"/>
    <x v="3"/>
    <x v="2"/>
    <s v="PLAQUETTES"/>
    <s v="330x28 RPE KO"/>
    <n v="-44.85"/>
  </r>
  <r>
    <d v="2025-01-16T21:04:08"/>
    <x v="1"/>
    <s v="Plaquettes de finition"/>
    <s v="130124"/>
    <s v="MOHAMED ILDIRAY"/>
    <n v="5"/>
    <x v="1"/>
    <x v="0"/>
    <s v="PLAQUETTES"/>
    <s v="304x28 RPE"/>
    <n v="47.8"/>
  </r>
  <r>
    <d v="2025-01-17T15:44:05"/>
    <x v="1"/>
    <s v="Plaquettes de finition"/>
    <s v="1234SECOURS"/>
    <s v="SECOURS"/>
    <n v="5"/>
    <x v="1"/>
    <x v="0"/>
    <s v="PLAQUETTES"/>
    <s v="304x28 RPE"/>
    <n v="47.8"/>
  </r>
  <r>
    <d v="2025-01-21T05:33:11"/>
    <x v="1"/>
    <s v="Plaquettes de finition"/>
    <s v="SD75051"/>
    <s v="COMBALUZIER LUCAS"/>
    <n v="10"/>
    <x v="1"/>
    <x v="0"/>
    <s v="PLAQUETTES"/>
    <s v="304x28 RPE"/>
    <n v="95.6"/>
  </r>
  <r>
    <d v="2025-01-21T16:19:57"/>
    <x v="1"/>
    <s v="Plaquettes de finition"/>
    <s v="U037238"/>
    <s v="PRIEUR OLIVIER"/>
    <n v="5"/>
    <x v="2"/>
    <x v="1"/>
    <s v="PLAQUETTES"/>
    <s v="302x26 RPI"/>
    <n v="47.8"/>
  </r>
  <r>
    <d v="2025-01-21T21:52:50"/>
    <x v="0"/>
    <s v="Plaquettes de finition"/>
    <s v="SE08251"/>
    <s v="FAYET AYMERIC"/>
    <n v="10"/>
    <x v="0"/>
    <x v="0"/>
    <s v="PLAQUETTES"/>
    <s v="290x12"/>
    <n v="109.7"/>
  </r>
  <r>
    <d v="2025-01-22T08:58:03"/>
    <x v="1"/>
    <s v="Plaquettes de finition"/>
    <s v="u636817"/>
    <s v="MOCQUEREAU LYDIE"/>
    <n v="10"/>
    <x v="2"/>
    <x v="1"/>
    <s v="PLAQUETTES"/>
    <s v="302x26 RPI"/>
    <n v="95.6"/>
  </r>
  <r>
    <d v="2025-01-22T19:02:58"/>
    <x v="1"/>
    <s v="Plaquettes de finition"/>
    <s v="U037238"/>
    <s v="PRIEUR OLIVIER"/>
    <n v="5"/>
    <x v="2"/>
    <x v="1"/>
    <s v="PLAQUETTES"/>
    <s v="302x26 RPI"/>
    <n v="47.8"/>
  </r>
  <r>
    <d v="2025-01-23T13:12:47"/>
    <x v="1"/>
    <s v="Plaquettes de finition"/>
    <s v="130124"/>
    <s v="MOHAMED ILDIRAY"/>
    <n v="5"/>
    <x v="1"/>
    <x v="0"/>
    <s v="PLAQUETTES"/>
    <s v="304x28 RPE"/>
    <n v="47.8"/>
  </r>
  <r>
    <d v="2025-01-27T05:12:59"/>
    <x v="1"/>
    <s v="Plaquettes de finition"/>
    <s v="U037238"/>
    <s v="PRIEUR OLIVIER"/>
    <n v="5"/>
    <x v="2"/>
    <x v="1"/>
    <s v="PLAQUETTES"/>
    <s v="302x26 RPI"/>
    <n v="47.8"/>
  </r>
  <r>
    <d v="2025-01-27T05:18:53"/>
    <x v="1"/>
    <s v="Plaquettes de finition"/>
    <s v="130124"/>
    <s v="MOHAMED ILDIRAY"/>
    <n v="5"/>
    <x v="1"/>
    <x v="0"/>
    <s v="PLAQUETTES"/>
    <s v="356x26 RPI"/>
    <n v="47.8"/>
  </r>
  <r>
    <d v="2025-01-29T03:34:41"/>
    <x v="1"/>
    <s v="Plaquettes de finition"/>
    <s v="u636817"/>
    <s v="MOCQUEREAU LYDIE"/>
    <n v="10"/>
    <x v="2"/>
    <x v="1"/>
    <s v="PLAQUETTES"/>
    <s v="302x26 RPI"/>
    <n v="95.6"/>
  </r>
  <r>
    <d v="2025-01-29T06:38:23"/>
    <x v="1"/>
    <s v="Plaquettes de finition"/>
    <s v="130124"/>
    <s v="MOHAMED ILDIRAY"/>
    <n v="5"/>
    <x v="1"/>
    <x v="0"/>
    <s v="PLAQUETTES"/>
    <s v="356x26 RPI"/>
    <n v="47.8"/>
  </r>
  <r>
    <d v="2025-01-29T09:12:07"/>
    <x v="1"/>
    <s v="Plaquettes de finition"/>
    <s v="U037238"/>
    <s v="PRIEUR OLIVIER"/>
    <n v="5"/>
    <x v="2"/>
    <x v="1"/>
    <s v="PLAQUETTES"/>
    <s v="302x26 RPI"/>
    <n v="47.8"/>
  </r>
  <r>
    <d v="2025-01-29T13:09:46"/>
    <x v="1"/>
    <s v="Plaquettes de finition"/>
    <s v="11737592"/>
    <s v="BLOCQUET DAVID"/>
    <n v="5"/>
    <x v="2"/>
    <x v="1"/>
    <s v="PLAQUETTES"/>
    <s v="302x26 RPI"/>
    <n v="47.8"/>
  </r>
  <r>
    <d v="2025-01-29T19:53:09"/>
    <x v="1"/>
    <s v="Plaquettes de finition"/>
    <s v="SE08251"/>
    <s v="FAYET AYMERIC"/>
    <n v="5"/>
    <x v="3"/>
    <x v="0"/>
    <s v="PLAQUETTES"/>
    <s v="330x28 RPE KO"/>
    <n v="47.8"/>
  </r>
  <r>
    <d v="2025-01-29T19:53:43"/>
    <x v="0"/>
    <s v="Plaquettes de finition"/>
    <s v="SE08251"/>
    <s v="FAYET AYMERIC"/>
    <n v="10"/>
    <x v="0"/>
    <x v="0"/>
    <s v="PLAQUETTES"/>
    <s v="290x12"/>
    <n v="109.7"/>
  </r>
  <r>
    <d v="2025-02-01T03:46:28"/>
    <x v="1"/>
    <s v="Plaquettes de finition"/>
    <s v="u636817"/>
    <s v="MOCQUEREAU LYDIE"/>
    <n v="20"/>
    <x v="2"/>
    <x v="1"/>
    <s v="PLAQUETTES"/>
    <s v="302x26 RPI"/>
    <n v="191.2"/>
  </r>
  <r>
    <d v="2025-02-03T05:16:06"/>
    <x v="1"/>
    <s v="Plaquettes de finition"/>
    <s v="3224"/>
    <s v="BIDOT MURIEL"/>
    <n v="10"/>
    <x v="1"/>
    <x v="0"/>
    <s v="PLAQUETTES"/>
    <s v="356x26 RPI"/>
    <n v="95.6"/>
  </r>
  <r>
    <d v="2025-02-03T21:25:43"/>
    <x v="1"/>
    <s v="Plaquettes de finition"/>
    <s v="U037238"/>
    <s v="PRIEUR OLIVIER"/>
    <n v="5"/>
    <x v="2"/>
    <x v="1"/>
    <s v="PLAQUETTES"/>
    <s v="302x26 RPI"/>
    <n v="47.8"/>
  </r>
  <r>
    <d v="2025-02-04T05:18:47"/>
    <x v="1"/>
    <s v="Plaquettes de finition"/>
    <s v="U532976"/>
    <s v="LEFORT XAVIER"/>
    <n v="10"/>
    <x v="2"/>
    <x v="1"/>
    <s v="PLAQUETTES"/>
    <s v="302x26 RPI"/>
    <n v="95.6"/>
  </r>
  <r>
    <d v="2025-02-05T21:18:56"/>
    <x v="1"/>
    <s v="Plaquettes de finition"/>
    <s v="U037238"/>
    <s v="PRIEUR OLIVIER"/>
    <n v="5"/>
    <x v="2"/>
    <x v="1"/>
    <s v="PLAQUETTES"/>
    <s v="302x26 RPI"/>
    <n v="47.8"/>
  </r>
  <r>
    <d v="2025-02-05T21:26:37"/>
    <x v="0"/>
    <s v="Plaquettes de finition"/>
    <s v="101224"/>
    <s v="CHAZEAU KYLIAN"/>
    <n v="10"/>
    <x v="3"/>
    <x v="0"/>
    <s v="PLAQUETTES"/>
    <s v="290x12"/>
    <n v="109.7"/>
  </r>
  <r>
    <d v="2025-02-06T17:06:39"/>
    <x v="1"/>
    <s v="Plaquettes de finition"/>
    <s v="SD75051"/>
    <s v="COMBALUZIER LUCAS"/>
    <n v="10"/>
    <x v="1"/>
    <x v="0"/>
    <s v="PLAQUETTES"/>
    <s v="356x26 RPI"/>
    <n v="95.6"/>
  </r>
  <r>
    <d v="2025-02-08T09:54:07"/>
    <x v="1"/>
    <s v="Plaquettes de finition"/>
    <s v="U080365"/>
    <s v="ALAVOINE SAMUEL"/>
    <n v="10"/>
    <x v="1"/>
    <x v="0"/>
    <s v="PLAQUETTES"/>
    <s v="356x26 RPI"/>
    <n v="95.6"/>
  </r>
  <r>
    <d v="2025-02-10T14:17:54"/>
    <x v="1"/>
    <s v="Plaquettes de finition"/>
    <s v="U037238"/>
    <s v="PRIEUR OLIVIER"/>
    <n v="5"/>
    <x v="2"/>
    <x v="1"/>
    <s v="PLAQUETTES"/>
    <s v="302x26 RPI"/>
    <n v="47.8"/>
  </r>
  <r>
    <d v="2025-02-10T22:56:01"/>
    <x v="0"/>
    <s v="Plaquettes de finition"/>
    <s v="SE08251"/>
    <s v="FAYET AYMERIC"/>
    <n v="10"/>
    <x v="0"/>
    <x v="0"/>
    <s v="PLAQUETTES"/>
    <s v="290x12"/>
    <n v="109.7"/>
  </r>
  <r>
    <d v="2025-02-11T05:20:06"/>
    <x v="1"/>
    <s v="Plaquettes de finition"/>
    <s v="SD75051"/>
    <s v="COMBALUZIER LUCAS"/>
    <n v="5"/>
    <x v="1"/>
    <x v="0"/>
    <s v="PLAQUETTES"/>
    <s v="356x26 RPI"/>
    <n v="47.8"/>
  </r>
  <r>
    <d v="2025-02-11T19:52:39"/>
    <x v="0"/>
    <s v="Plaquettes de finition"/>
    <s v="130124"/>
    <s v="MOHAMED ILDIRAY"/>
    <n v="10"/>
    <x v="1"/>
    <x v="0"/>
    <s v="PLAQUETTES"/>
    <s v="356x26 RPI"/>
    <n v="109.7"/>
  </r>
  <r>
    <d v="2025-02-12T05:36:36"/>
    <x v="1"/>
    <s v="Plaquettes de finition"/>
    <s v="SD75051"/>
    <s v="COMBALUZIER LUCAS"/>
    <n v="10"/>
    <x v="1"/>
    <x v="0"/>
    <s v="PLAQUETTES"/>
    <s v="356x26 RPI"/>
    <n v="95.6"/>
  </r>
  <r>
    <d v="2025-02-14T00:30:59"/>
    <x v="1"/>
    <s v="Plaquettes de finition"/>
    <s v="11737592"/>
    <s v="BLOCQUET DAVID"/>
    <n v="5"/>
    <x v="2"/>
    <x v="1"/>
    <s v="PLAQUETTES"/>
    <s v="302x26 RPI"/>
    <n v="47.8"/>
  </r>
  <r>
    <d v="2025-02-16T20:34:33"/>
    <x v="1"/>
    <s v="Plaquettes de finition"/>
    <s v="U109136"/>
    <s v="WIPLIE FREDERIC"/>
    <n v="5"/>
    <x v="1"/>
    <x v="0"/>
    <s v="PLAQUETTES"/>
    <s v="304x28 RPE"/>
    <n v="47.8"/>
  </r>
  <r>
    <d v="2025-02-16T23:46:17"/>
    <x v="1"/>
    <s v="Plaquettes de finition"/>
    <s v="U109136"/>
    <s v="WIPLIE FREDERIC"/>
    <n v="5"/>
    <x v="1"/>
    <x v="0"/>
    <s v="PLAQUETTES"/>
    <s v="304x28 RPE"/>
    <n v="47.8"/>
  </r>
  <r>
    <d v="2025-02-17T06:38:58"/>
    <x v="1"/>
    <s v="Plaquettes de finition"/>
    <s v="U037238"/>
    <s v="PRIEUR OLIVIER"/>
    <n v="5"/>
    <x v="2"/>
    <x v="1"/>
    <s v="PLAQUETTES"/>
    <s v="302x26 RPI"/>
    <n v="47.8"/>
  </r>
  <r>
    <d v="2025-02-17T21:13:10"/>
    <x v="1"/>
    <s v="Plaquettes de finition"/>
    <s v="SD75051"/>
    <s v="COMBALUZIER LUCAS"/>
    <n v="5"/>
    <x v="1"/>
    <x v="0"/>
    <s v="PLAQUETTES"/>
    <s v="304x28 RPE"/>
    <n v="47.8"/>
  </r>
  <r>
    <d v="2025-02-18T05:08:45"/>
    <x v="1"/>
    <s v="Plaquettes de finition"/>
    <s v="130124"/>
    <s v="MOHAMED ILDIRAY"/>
    <n v="5"/>
    <x v="1"/>
    <x v="0"/>
    <s v="PLAQUETTES"/>
    <s v="304x28 RPE"/>
    <n v="47.8"/>
  </r>
  <r>
    <d v="2025-02-18T05:15:18"/>
    <x v="0"/>
    <s v="Plaquettes de finition"/>
    <s v="101224"/>
    <s v="CHAZEAU KYLIAN"/>
    <n v="10"/>
    <x v="3"/>
    <x v="0"/>
    <s v="PLAQUETTES"/>
    <s v="290x12"/>
    <n v="109.7"/>
  </r>
  <r>
    <d v="2025-02-18T14:18:57"/>
    <x v="1"/>
    <s v="Plaquettes de finition"/>
    <s v="3224"/>
    <s v="BIDOT MURIEL"/>
    <n v="5"/>
    <x v="1"/>
    <x v="0"/>
    <s v="PLAQUETTES"/>
    <s v="304x28 RPE"/>
    <n v="47.8"/>
  </r>
  <r>
    <d v="2025-02-19T00:29:06"/>
    <x v="1"/>
    <s v="Plaquettes de finition"/>
    <s v="u636817"/>
    <s v="MOCQUEREAU LYDIE"/>
    <n v="5"/>
    <x v="2"/>
    <x v="1"/>
    <s v="PLAQUETTES"/>
    <s v="302x26 RPI"/>
    <n v="47.8"/>
  </r>
  <r>
    <d v="2025-02-19T21:32:47"/>
    <x v="1"/>
    <s v="Plaquettes de finition"/>
    <s v="SD75051"/>
    <s v="COMBALUZIER LUCAS"/>
    <n v="5"/>
    <x v="1"/>
    <x v="0"/>
    <s v="PLAQUETTES"/>
    <s v="304x28 RPE"/>
    <n v="47.8"/>
  </r>
  <r>
    <d v="2025-02-20T06:40:31"/>
    <x v="1"/>
    <s v="Plaquettes de finition"/>
    <s v="U037238"/>
    <s v="PRIEUR OLIVIER"/>
    <n v="5"/>
    <x v="2"/>
    <x v="1"/>
    <s v="PLAQUETTES"/>
    <s v="302x26 RPI"/>
    <n v="47.8"/>
  </r>
  <r>
    <d v="2025-02-20T18:24:39"/>
    <x v="1"/>
    <s v="Plaquettes de finition"/>
    <s v="J534699"/>
    <s v="FABIAN CHARTON"/>
    <n v="5"/>
    <x v="2"/>
    <x v="1"/>
    <s v="PLAQUETTES"/>
    <s v="302x26 RPI"/>
    <n v="47.8"/>
  </r>
  <r>
    <d v="2025-02-20T19:02:19"/>
    <x v="1"/>
    <s v="Plaquettes de finition"/>
    <s v="280225"/>
    <s v="FERNANDES DOS SANTOS REMY"/>
    <n v="5"/>
    <x v="1"/>
    <x v="0"/>
    <s v="PLAQUETTES"/>
    <s v="304x28 RPE"/>
    <n v="47.8"/>
  </r>
  <r>
    <d v="2025-02-20T21:48:01"/>
    <x v="1"/>
    <s v="Plaquettes de finition"/>
    <s v="SD75051"/>
    <s v="COMBALUZIER LUCAS"/>
    <n v="5"/>
    <x v="1"/>
    <x v="0"/>
    <s v="PLAQUETTES"/>
    <s v="304x28 RPE"/>
    <n v="47.8"/>
  </r>
  <r>
    <d v="2025-02-21T13:16:30"/>
    <x v="1"/>
    <s v="Plaquettes de finition"/>
    <s v="130124"/>
    <s v="MOHAMED ILDIRAY"/>
    <n v="5"/>
    <x v="1"/>
    <x v="0"/>
    <s v="PLAQUETTES"/>
    <s v="304x28 RPE"/>
    <n v="47.8"/>
  </r>
  <r>
    <d v="2025-02-22T06:41:44"/>
    <x v="1"/>
    <s v="Plaquettes de finition"/>
    <s v="U080365"/>
    <s v="ALAVOINE SAMUEL"/>
    <n v="5"/>
    <x v="1"/>
    <x v="0"/>
    <s v="PLAQUETTES"/>
    <s v="304x28 RPE"/>
    <n v="47.8"/>
  </r>
  <r>
    <d v="2025-02-24T06:17:04"/>
    <x v="1"/>
    <s v="Plaquettes de finition"/>
    <s v="280225"/>
    <s v="FERNANDES DOS SANTOS REMY"/>
    <n v="5"/>
    <x v="3"/>
    <x v="0"/>
    <s v="PLAQUETTES"/>
    <s v="330x28 RPE KO"/>
    <n v="47.8"/>
  </r>
  <r>
    <d v="2025-02-24T21:08:02"/>
    <x v="0"/>
    <s v="Plaquettes de finition"/>
    <s v="130124"/>
    <s v="MOHAMED ILDIRAY"/>
    <n v="10"/>
    <x v="1"/>
    <x v="0"/>
    <s v="PLAQUETTES"/>
    <s v="304x28 RPE"/>
    <n v="109.7"/>
  </r>
  <r>
    <d v="2025-02-25T00:40:51"/>
    <x v="1"/>
    <s v="Plaquettes de finition"/>
    <s v="U037238"/>
    <s v="PRIEUR OLIVIER"/>
    <n v="5"/>
    <x v="2"/>
    <x v="1"/>
    <s v="PLAQUETTES"/>
    <s v="302x26 RPI"/>
    <n v="47.8"/>
  </r>
  <r>
    <d v="2025-02-25T03:39:41"/>
    <x v="0"/>
    <s v="Plaquettes de finition"/>
    <s v="101224"/>
    <s v="CHAZEAU KYLIAN"/>
    <n v="10"/>
    <x v="3"/>
    <x v="0"/>
    <s v="PLAQUETTES"/>
    <s v="290x12"/>
    <n v="109.7"/>
  </r>
  <r>
    <d v="2025-02-25T05:36:13"/>
    <x v="1"/>
    <s v="Plaquettes de finition"/>
    <s v="280225"/>
    <s v="FERNANDES DOS SANTOS REMY"/>
    <n v="5"/>
    <x v="1"/>
    <x v="0"/>
    <s v="PLAQUETTES"/>
    <s v="304x28 RPE"/>
    <n v="47.8"/>
  </r>
  <r>
    <d v="2025-02-25T06:31:54"/>
    <x v="0"/>
    <s v="Plaquettes de finition"/>
    <s v="SE08251"/>
    <s v="FAYET AYMERIC"/>
    <n v="10"/>
    <x v="0"/>
    <x v="0"/>
    <s v="PLAQUETTES"/>
    <s v="330x14"/>
    <n v="109.7"/>
  </r>
  <r>
    <d v="2025-02-25T16:30:23"/>
    <x v="1"/>
    <s v="Plaquettes de finition"/>
    <s v="u636817"/>
    <s v="MOCQUEREAU LYDIE"/>
    <n v="5"/>
    <x v="2"/>
    <x v="1"/>
    <s v="PLAQUETTES"/>
    <s v="302x26 RPI"/>
    <n v="47.8"/>
  </r>
  <r>
    <d v="2025-02-25T16:30:53"/>
    <x v="1"/>
    <s v="Plaquettes de finition"/>
    <s v="u636817"/>
    <s v="MOCQUEREAU LYDIE"/>
    <n v="5"/>
    <x v="2"/>
    <x v="1"/>
    <s v="PLAQUETTES"/>
    <s v="302x26 RPI"/>
    <n v="47.8"/>
  </r>
  <r>
    <d v="2025-02-25T20:21:09"/>
    <x v="1"/>
    <s v="Plaquettes de finition"/>
    <s v="U109136"/>
    <s v="WIPLIE FREDERIC"/>
    <n v="5"/>
    <x v="1"/>
    <x v="0"/>
    <s v="PLAQUETTES"/>
    <s v="304x28 RPE"/>
    <n v="47.8"/>
  </r>
  <r>
    <d v="2025-02-26T05:53:25"/>
    <x v="1"/>
    <s v="Plaquettes de finition"/>
    <s v="280225"/>
    <s v="FERNANDES DOS SANTOS REMY"/>
    <n v="5"/>
    <x v="1"/>
    <x v="0"/>
    <s v="PLAQUETTES"/>
    <s v="304x28 RPE"/>
    <n v="47.8"/>
  </r>
  <r>
    <d v="2025-02-26T06:10:58"/>
    <x v="1"/>
    <s v="Plaquettes de finition"/>
    <s v="11737592"/>
    <s v="BLOCQUET DAVID"/>
    <n v="5"/>
    <x v="2"/>
    <x v="1"/>
    <s v="PLAQUETTES"/>
    <s v="302x26 RPI"/>
    <n v="47.8"/>
  </r>
  <r>
    <d v="2025-02-26T06:11:24"/>
    <x v="1"/>
    <s v="Plaquettes de finition"/>
    <s v="11737592"/>
    <s v="BLOCQUET DAVID"/>
    <n v="5"/>
    <x v="2"/>
    <x v="1"/>
    <s v="PLAQUETTES"/>
    <s v="302x26 RPI"/>
    <n v="47.8"/>
  </r>
  <r>
    <d v="2025-02-26T12:33:15"/>
    <x v="1"/>
    <s v="Plaquettes de finition"/>
    <s v="SE08251"/>
    <s v="FAYET AYMERIC"/>
    <n v="5"/>
    <x v="0"/>
    <x v="0"/>
    <s v="PLAQUETTES"/>
    <s v="356x26 RPI"/>
    <n v="47.8"/>
  </r>
  <r>
    <d v="2025-02-26T14:05:35"/>
    <x v="1"/>
    <s v="Plaquettes de finition"/>
    <s v="SD75051"/>
    <s v="COMBALUZIER LUCAS"/>
    <n v="5"/>
    <x v="1"/>
    <x v="0"/>
    <s v="PLAQUETTES"/>
    <s v="304x28 RPE"/>
    <n v="47.8"/>
  </r>
  <r>
    <d v="2025-02-26T21:56:34"/>
    <x v="1"/>
    <s v="Plaquettes de finition"/>
    <s v="U037238"/>
    <s v="PRIEUR OLIVIER"/>
    <n v="5"/>
    <x v="2"/>
    <x v="1"/>
    <s v="PLAQUETTES"/>
    <s v="302x26 RPI"/>
    <n v="47.8"/>
  </r>
  <r>
    <d v="2025-02-27T06:02:17"/>
    <x v="1"/>
    <s v="Plaquettes de finition"/>
    <s v="280225"/>
    <s v="FERNANDES DOS SANTOS REMY"/>
    <n v="5"/>
    <x v="1"/>
    <x v="0"/>
    <s v="PLAQUETTES"/>
    <s v="304x28 RPE"/>
    <n v="47.8"/>
  </r>
  <r>
    <d v="2025-02-27T19:23:54"/>
    <x v="1"/>
    <s v="Plaquettes de finition"/>
    <s v="u636817"/>
    <s v="MOCQUEREAU LYDIE"/>
    <n v="5"/>
    <x v="2"/>
    <x v="1"/>
    <s v="PLAQUETTES"/>
    <s v="302x26 RPI"/>
    <n v="47.8"/>
  </r>
  <r>
    <d v="2025-02-27T22:18:27"/>
    <x v="1"/>
    <s v="Plaquettes de finition"/>
    <s v="101224"/>
    <s v="CHAZEAU KYLIAN"/>
    <n v="5"/>
    <x v="0"/>
    <x v="0"/>
    <s v="PLAQUETTES"/>
    <s v="356x26 RPI"/>
    <n v="47.8"/>
  </r>
  <r>
    <d v="2025-02-28T13:54:09"/>
    <x v="1"/>
    <s v="Plaquettes de finition"/>
    <s v="SD75051"/>
    <s v="COMBALUZIER LUCAS"/>
    <n v="5"/>
    <x v="1"/>
    <x v="0"/>
    <s v="PLAQUETTES"/>
    <s v="304x28 RPE"/>
    <n v="47.8"/>
  </r>
  <r>
    <d v="2025-02-28T21:09:48"/>
    <x v="1"/>
    <s v="Plaquettes de finition"/>
    <s v="U037238"/>
    <s v="PRIEUR OLIVIER"/>
    <n v="5"/>
    <x v="2"/>
    <x v="1"/>
    <s v="PLAQUETTES"/>
    <s v="302x26 RPI"/>
    <n v="47.8"/>
  </r>
  <r>
    <d v="2025-02-28T22:32:44"/>
    <x v="1"/>
    <s v="Plaquettes de finition"/>
    <s v="101224"/>
    <s v="CHAZEAU KYLIAN"/>
    <n v="5"/>
    <x v="0"/>
    <x v="0"/>
    <s v="PLAQUETTES"/>
    <s v="356x26 RPI"/>
    <n v="47.8"/>
  </r>
  <r>
    <d v="2025-03-01T11:30:56"/>
    <x v="1"/>
    <s v="Plaquettes de finition"/>
    <s v="1234"/>
    <s v=" "/>
    <n v="5"/>
    <x v="1"/>
    <x v="0"/>
    <s v="PLAQUETTES"/>
    <s v="304x28 RPE"/>
    <n v="47.8"/>
  </r>
  <r>
    <d v="2025-03-02T17:36:35"/>
    <x v="1"/>
    <s v="Plaquettes de finition"/>
    <s v="U109136"/>
    <s v="WIPLIE FREDERIC"/>
    <n v="5"/>
    <x v="0"/>
    <x v="0"/>
    <s v="PLAQUETTES"/>
    <s v="356x26 RPI"/>
    <n v="47.8"/>
  </r>
  <r>
    <d v="2025-03-03T05:47:14"/>
    <x v="1"/>
    <s v="Plaquettes de finition"/>
    <s v="7236310"/>
    <s v="BRANDALY JEREMY"/>
    <n v="5"/>
    <x v="0"/>
    <x v="0"/>
    <s v="PLAQUETTES"/>
    <s v="356x26 RPI"/>
    <n v="47.8"/>
  </r>
  <r>
    <d v="2025-03-03T07:21:33"/>
    <x v="1"/>
    <s v="Plaquettes de finition"/>
    <s v="SD75051"/>
    <s v="COMBALUZIER LUCAS"/>
    <n v="5"/>
    <x v="1"/>
    <x v="0"/>
    <s v="PLAQUETTES"/>
    <s v="304x28 RPE"/>
    <n v="47.8"/>
  </r>
  <r>
    <d v="2025-03-03T13:08:21"/>
    <x v="1"/>
    <s v="Plaquettes de finition"/>
    <s v="101224"/>
    <s v="CHAZEAU KYLIAN"/>
    <n v="5"/>
    <x v="0"/>
    <x v="0"/>
    <s v="PLAQUETTES"/>
    <s v="356x26 RPI"/>
    <n v="47.8"/>
  </r>
  <r>
    <d v="2025-03-03T18:53:52"/>
    <x v="1"/>
    <s v="Plaquettes de finition"/>
    <s v="U037238"/>
    <s v="PRIEUR OLIVIER"/>
    <n v="5"/>
    <x v="2"/>
    <x v="1"/>
    <s v="PLAQUETTES"/>
    <s v="302x26 RPI"/>
    <n v="47.8"/>
  </r>
  <r>
    <d v="2025-03-03T22:00:18"/>
    <x v="0"/>
    <s v="Plaquettes de finition"/>
    <s v="280225"/>
    <s v="FERNANDES DOS SANTOS REMY"/>
    <n v="10"/>
    <x v="1"/>
    <x v="0"/>
    <s v="PLAQUETTES"/>
    <s v="304x28 RPE"/>
    <n v="109.7"/>
  </r>
  <r>
    <d v="2025-03-03T22:00:32"/>
    <x v="1"/>
    <s v="Plaquettes de finition"/>
    <s v="280225"/>
    <s v="FERNANDES DOS SANTOS REMY"/>
    <n v="5"/>
    <x v="1"/>
    <x v="0"/>
    <s v="PLAQUETTES"/>
    <s v="304x28 RPE"/>
    <n v="47.8"/>
  </r>
  <r>
    <d v="2025-03-04T09:38:49"/>
    <x v="1"/>
    <s v="Plaquettes de finition"/>
    <s v="u636817"/>
    <s v="MOCQUEREAU LYDIE"/>
    <n v="5"/>
    <x v="2"/>
    <x v="1"/>
    <s v="PLAQUETTES"/>
    <s v="302x26 RPI"/>
    <n v="47.8"/>
  </r>
  <r>
    <d v="2025-03-04T09:39:11"/>
    <x v="1"/>
    <s v="Plaquettes de finition"/>
    <s v="u636817"/>
    <s v="MOCQUEREAU LYDIE"/>
    <n v="5"/>
    <x v="2"/>
    <x v="1"/>
    <s v="PLAQUETTES"/>
    <s v="302x26 RPI"/>
    <n v="47.8"/>
  </r>
  <r>
    <d v="2025-03-05T00:35:14"/>
    <x v="1"/>
    <s v="Plaquettes de finition"/>
    <s v="SE08251"/>
    <s v="FAYET AYMERIC"/>
    <n v="5"/>
    <x v="0"/>
    <x v="0"/>
    <s v="PLAQUETTES"/>
    <s v="356x26 RPI"/>
    <n v="47.8"/>
  </r>
  <r>
    <d v="2025-03-05T01:06:35"/>
    <x v="1"/>
    <s v="Plaquettes de finition"/>
    <s v="280225"/>
    <s v="FERNANDES DOS SANTOS REMY"/>
    <n v="5"/>
    <x v="1"/>
    <x v="0"/>
    <s v="PLAQUETTES"/>
    <s v="304x28 RPE"/>
    <n v="47.8"/>
  </r>
  <r>
    <d v="2025-03-05T15:11:31"/>
    <x v="1"/>
    <s v="Plaquettes de finition"/>
    <s v="130124"/>
    <s v="MOHAMED ILDIRAY"/>
    <n v="5"/>
    <x v="1"/>
    <x v="0"/>
    <s v="PLAQUETTES"/>
    <s v="304x28 RPE"/>
    <n v="47.8"/>
  </r>
  <r>
    <d v="2025-03-06T05:39:06"/>
    <x v="1"/>
    <s v="Plaquettes de finition"/>
    <s v="7236310"/>
    <s v="BRANDALY JEREMY"/>
    <n v="5"/>
    <x v="0"/>
    <x v="0"/>
    <s v="PLAQUETTES"/>
    <s v="356x26 RPI"/>
    <n v="47.8"/>
  </r>
  <r>
    <d v="2025-03-06T14:01:34"/>
    <x v="1"/>
    <s v="Plaquettes de finition"/>
    <s v="U037238"/>
    <s v="PRIEUR OLIVIER"/>
    <n v="5"/>
    <x v="2"/>
    <x v="1"/>
    <s v="PLAQUETTES"/>
    <s v="302x26 RPI"/>
    <n v="47.8"/>
  </r>
  <r>
    <d v="2025-03-07T04:27:27"/>
    <x v="1"/>
    <s v="Plaquettes de finition"/>
    <s v="280225"/>
    <s v="FERNANDES DOS SANTOS REMY"/>
    <n v="5"/>
    <x v="1"/>
    <x v="0"/>
    <s v="PLAQUETTES"/>
    <s v="304x28 RPE"/>
    <n v="47.8"/>
  </r>
  <r>
    <d v="2025-03-07T21:21:50"/>
    <x v="1"/>
    <s v="Plaquettes de finition"/>
    <s v="280225"/>
    <s v="FERNANDES DOS SANTOS REMY"/>
    <n v="5"/>
    <x v="1"/>
    <x v="0"/>
    <s v="PLAQUETTES"/>
    <s v="304x28 RPE"/>
    <n v="47.8"/>
  </r>
  <r>
    <d v="2025-03-08T01:25:00"/>
    <x v="1"/>
    <s v="Plaquettes de finition"/>
    <s v="280225"/>
    <s v="FERNANDES DOS SANTOS REMY"/>
    <n v="5"/>
    <x v="1"/>
    <x v="0"/>
    <s v="PLAQUETTES"/>
    <s v="304x28 RPE"/>
    <n v="47.8"/>
  </r>
  <r>
    <d v="2025-03-10T02:57:53"/>
    <x v="1"/>
    <s v="Plaquettes de finition"/>
    <s v="U109136"/>
    <s v="WIPLIE FREDERIC"/>
    <n v="5"/>
    <x v="1"/>
    <x v="0"/>
    <s v="PLAQUETTES"/>
    <s v="304x28 RPE"/>
    <n v="47.8"/>
  </r>
  <r>
    <d v="2025-03-10T05:56:15"/>
    <x v="0"/>
    <s v="Plaquettes de finition"/>
    <s v="101224"/>
    <s v="CHAZEAU KYLIAN"/>
    <n v="10"/>
    <x v="0"/>
    <x v="0"/>
    <s v="PLAQUETTES"/>
    <s v="330x14"/>
    <n v="109.7"/>
  </r>
  <r>
    <d v="2025-03-10T13:12:16"/>
    <x v="1"/>
    <s v="Plaquettes de finition"/>
    <s v="12824586"/>
    <s v="DA SILVA FERNANDO"/>
    <n v="10"/>
    <x v="2"/>
    <x v="1"/>
    <s v="PLAQUETTES"/>
    <s v="TOUT DISQUES"/>
    <n v="95.6"/>
  </r>
  <r>
    <d v="2025-03-10T15:34:07"/>
    <x v="0"/>
    <s v="Plaquettes de finition"/>
    <s v="SE08251"/>
    <s v="FAYET AYMERIC"/>
    <n v="10"/>
    <x v="0"/>
    <x v="0"/>
    <s v="PLAQUETTES"/>
    <s v="290x12"/>
    <n v="109.7"/>
  </r>
  <r>
    <d v="2025-03-10T17:11:30"/>
    <x v="1"/>
    <s v="Plaquettes de finition"/>
    <s v="280225"/>
    <s v="FERNANDES DOS SANTOS REMY"/>
    <n v="5"/>
    <x v="1"/>
    <x v="0"/>
    <s v="PLAQUETTES"/>
    <s v="304x28 RPE"/>
    <n v="47.8"/>
  </r>
  <r>
    <d v="2025-03-10T17:39:44"/>
    <x v="0"/>
    <s v="Plaquettes de finition"/>
    <s v="280225"/>
    <s v="FERNANDES DOS SANTOS REMY"/>
    <n v="10"/>
    <x v="1"/>
    <x v="0"/>
    <s v="PLAQUETTES"/>
    <s v="304x28 RPE"/>
    <n v="109.7"/>
  </r>
  <r>
    <d v="2025-03-10T21:26:50"/>
    <x v="1"/>
    <s v="Plaquettes de finition"/>
    <s v="u636817"/>
    <s v="MOCQUEREAU LYDIE"/>
    <n v="5"/>
    <x v="2"/>
    <x v="1"/>
    <s v="PLAQUETTES"/>
    <s v="302x26 RPI"/>
    <n v="47.8"/>
  </r>
  <r>
    <d v="2025-03-10T21:27:28"/>
    <x v="1"/>
    <s v="Plaquettes de finition"/>
    <s v="u636817"/>
    <s v="MOCQUEREAU LYDIE"/>
    <n v="5"/>
    <x v="2"/>
    <x v="1"/>
    <s v="PLAQUETTES"/>
    <s v="302x26 RPI"/>
    <n v="47.8"/>
  </r>
  <r>
    <d v="2025-03-11T01:26:48"/>
    <x v="1"/>
    <s v="Plaquettes de finition"/>
    <s v="130325"/>
    <s v="PAPONNEAU JULIEN"/>
    <n v="5"/>
    <x v="1"/>
    <x v="0"/>
    <s v="PLAQUETTES"/>
    <s v="304x28 RPE"/>
    <n v="47.8"/>
  </r>
  <r>
    <d v="2025-03-11T05:10:59"/>
    <x v="1"/>
    <s v="Plaquettes de finition"/>
    <s v="U037238"/>
    <s v="PRIEUR OLIVIER"/>
    <n v="5"/>
    <x v="2"/>
    <x v="1"/>
    <s v="PLAQUETTES"/>
    <s v="302x26 RPI"/>
    <n v="47.8"/>
  </r>
  <r>
    <d v="2025-03-12T00:56:07"/>
    <x v="1"/>
    <s v="Plaquettes de finition"/>
    <s v="SD75051"/>
    <s v="COMBALUZIER LUCAS"/>
    <n v="5"/>
    <x v="1"/>
    <x v="0"/>
    <s v="PLAQUETTES"/>
    <s v="304x28 RPE"/>
    <n v="47.8"/>
  </r>
  <r>
    <d v="2025-03-12T05:55:46"/>
    <x v="1"/>
    <s v="Plaquettes de finition"/>
    <s v="U037238"/>
    <s v="PRIEUR OLIVIER"/>
    <n v="5"/>
    <x v="2"/>
    <x v="1"/>
    <s v="PLAQUETTES"/>
    <s v="302x26 RPI"/>
    <n v="47.8"/>
  </r>
  <r>
    <d v="2025-03-13T00:30:35"/>
    <x v="0"/>
    <s v="Plaquettes de finition"/>
    <s v="130325"/>
    <s v="PAPONNEAU JULIEN"/>
    <n v="10"/>
    <x v="1"/>
    <x v="0"/>
    <s v="PLAQUETTES"/>
    <s v="304x28 RPE"/>
    <n v="109.7"/>
  </r>
  <r>
    <d v="2025-03-13T00:31:08"/>
    <x v="1"/>
    <s v="Plaquettes de finition"/>
    <s v="130325"/>
    <s v="PAPONNEAU JULIEN"/>
    <n v="5"/>
    <x v="1"/>
    <x v="0"/>
    <s v="PLAQUETTES"/>
    <s v="304x28 RPE"/>
    <n v="47.8"/>
  </r>
  <r>
    <d v="2025-03-13T13:49:01"/>
    <x v="1"/>
    <s v="Plaquettes de finition"/>
    <s v="J534699"/>
    <s v="FABIAN CHARTON"/>
    <n v="5"/>
    <x v="2"/>
    <x v="1"/>
    <s v="PLAQUETTES"/>
    <s v="302x26 RPI"/>
    <n v="47.8"/>
  </r>
  <r>
    <d v="2025-03-13T15:54:19"/>
    <x v="1"/>
    <s v="Plaquettes de finition"/>
    <s v="280225"/>
    <s v="FERNANDES DOS SANTOS REMY"/>
    <n v="5"/>
    <x v="1"/>
    <x v="0"/>
    <s v="PLAQUETTES"/>
    <s v="304x28 RPE"/>
    <n v="47.8"/>
  </r>
  <r>
    <d v="2025-03-14T17:09:31"/>
    <x v="1"/>
    <s v="Plaquettes de finition"/>
    <s v="SE08251"/>
    <s v="FAYET AYMERIC"/>
    <n v="5"/>
    <x v="0"/>
    <x v="0"/>
    <s v="PLAQUETTES"/>
    <s v="356x26 RPI"/>
    <n v="47.8"/>
  </r>
  <r>
    <d v="2025-03-14T18:10:17"/>
    <x v="1"/>
    <s v="Plaquettes de finition"/>
    <s v="280225"/>
    <s v="FERNANDES DOS SANTOS REMY"/>
    <n v="5"/>
    <x v="1"/>
    <x v="0"/>
    <s v="PLAQUETTES"/>
    <s v="304x28 RPE"/>
    <n v="47.8"/>
  </r>
  <r>
    <d v="2025-03-14T21:11:20"/>
    <x v="1"/>
    <s v="Plaquettes de finition"/>
    <s v="u636817"/>
    <s v="MOCQUEREAU LYDIE"/>
    <n v="5"/>
    <x v="2"/>
    <x v="1"/>
    <s v="PLAQUETTES"/>
    <s v="302x26 RPI"/>
    <n v="47.8"/>
  </r>
  <r>
    <d v="2025-03-14T21:11:45"/>
    <x v="1"/>
    <s v="Plaquettes de finition"/>
    <s v="u636817"/>
    <s v="MOCQUEREAU LYDIE"/>
    <n v="5"/>
    <x v="2"/>
    <x v="1"/>
    <s v="PLAQUETTES"/>
    <s v="302x26 RPI"/>
    <n v="47.8"/>
  </r>
  <r>
    <d v="2025-03-15T05:04:46"/>
    <x v="1"/>
    <s v="Plaquettes de finition"/>
    <s v="J529792"/>
    <s v="LEBRE CHRISTOPHE"/>
    <n v="5"/>
    <x v="2"/>
    <x v="1"/>
    <s v="PLAQUETTES"/>
    <s v="302x26 RPI"/>
    <n v="47.8"/>
  </r>
  <r>
    <d v="2025-03-15T11:12:26"/>
    <x v="1"/>
    <s v="Plaquettes de finition"/>
    <s v="U109136"/>
    <s v="WIPLIE FREDERIC"/>
    <n v="5"/>
    <x v="0"/>
    <x v="0"/>
    <s v="PLAQUETTES"/>
    <s v="356x26 RPI"/>
    <n v="47.8"/>
  </r>
  <r>
    <d v="2025-03-16T18:03:40"/>
    <x v="1"/>
    <s v="Plaquettes de finition"/>
    <s v="1234"/>
    <s v=" "/>
    <n v="5"/>
    <x v="1"/>
    <x v="0"/>
    <s v="PLAQUETTES"/>
    <s v="304x28 RPE"/>
    <n v="47.8"/>
  </r>
  <r>
    <d v="2025-03-17T05:21:17"/>
    <x v="1"/>
    <s v="Plaquettes de finition"/>
    <s v="SE08251"/>
    <s v="FAYET AYMERIC"/>
    <n v="5"/>
    <x v="0"/>
    <x v="0"/>
    <s v="PLAQUETTES"/>
    <s v="356x26 RPI"/>
    <n v="47.8"/>
  </r>
  <r>
    <d v="2025-03-17T15:58:57"/>
    <x v="1"/>
    <s v="Plaquettes de finition"/>
    <s v="130325"/>
    <s v="PAPONNEAU JULIEN"/>
    <n v="5"/>
    <x v="1"/>
    <x v="0"/>
    <s v="PLAQUETTES"/>
    <s v="304x28 RPE"/>
    <n v="47.8"/>
  </r>
  <r>
    <d v="2025-03-17T21:18:43"/>
    <x v="1"/>
    <s v="Plaquettes de finition"/>
    <s v="U037238"/>
    <s v="PRIEUR OLIVIER"/>
    <n v="5"/>
    <x v="2"/>
    <x v="1"/>
    <s v="PLAQUETTES"/>
    <s v="302x26 RPI"/>
    <n v="47.8"/>
  </r>
  <r>
    <d v="2025-03-17T21:39:13"/>
    <x v="1"/>
    <s v="Plaquettes de finition"/>
    <s v="101224"/>
    <s v="CHAZEAU KYLIAN"/>
    <n v="5"/>
    <x v="0"/>
    <x v="0"/>
    <s v="PLAQUETTES"/>
    <s v="356x26 RPI"/>
    <n v="47.8"/>
  </r>
  <r>
    <d v="2025-03-18T05:19:36"/>
    <x v="1"/>
    <s v="Plaquettes de finition"/>
    <s v="280225"/>
    <s v="FERNANDES DOS SANTOS REMY"/>
    <n v="5"/>
    <x v="1"/>
    <x v="0"/>
    <s v="PLAQUETTES"/>
    <s v="304x28 RPE"/>
    <n v="47.8"/>
  </r>
  <r>
    <d v="2025-03-18T05:19:49"/>
    <x v="0"/>
    <s v="Plaquettes de finition"/>
    <s v="280225"/>
    <s v="FERNANDES DOS SANTOS REMY"/>
    <n v="10"/>
    <x v="1"/>
    <x v="0"/>
    <s v="PLAQUETTES"/>
    <s v="304x28 RPE"/>
    <n v="109.7"/>
  </r>
  <r>
    <d v="2025-03-18T12:41:44"/>
    <x v="1"/>
    <s v="Plaquettes de finition"/>
    <s v="140325"/>
    <s v="BOUCLIER JONATHAN"/>
    <n v="5"/>
    <x v="2"/>
    <x v="1"/>
    <s v="PLAQUETTES"/>
    <s v="302x26 RPI"/>
    <n v="47.8"/>
  </r>
  <r>
    <d v="2025-03-18T12:42:12"/>
    <x v="1"/>
    <s v="Plaquettes de finition"/>
    <s v="140325"/>
    <s v="BOUCLIER JONATHAN"/>
    <n v="5"/>
    <x v="2"/>
    <x v="1"/>
    <s v="PLAQUETTES"/>
    <s v="302x26 RPI"/>
    <n v="47.8"/>
  </r>
  <r>
    <d v="2025-03-18T13:50:53"/>
    <x v="1"/>
    <s v="Plaquettes de finition"/>
    <s v="130325"/>
    <s v="PAPONNEAU JULIEN"/>
    <n v="5"/>
    <x v="1"/>
    <x v="0"/>
    <s v="PLAQUETTES"/>
    <s v="304x28 RPE"/>
    <n v="47.8"/>
  </r>
  <r>
    <d v="2025-03-18T17:17:25"/>
    <x v="1"/>
    <s v="Plaquettes de finition"/>
    <s v="u636817"/>
    <s v="MOCQUEREAU LYDIE"/>
    <n v="5"/>
    <x v="2"/>
    <x v="1"/>
    <s v="PLAQUETTES"/>
    <s v="302x26 RPI"/>
    <n v="47.8"/>
  </r>
  <r>
    <d v="2025-03-18T17:17:47"/>
    <x v="1"/>
    <s v="Plaquettes de finition"/>
    <s v="u636817"/>
    <s v="MOCQUEREAU LYDIE"/>
    <n v="5"/>
    <x v="2"/>
    <x v="1"/>
    <s v="PLAQUETTES"/>
    <s v="302x26 RPI"/>
    <n v="47.8"/>
  </r>
  <r>
    <d v="2025-03-19T10:02:27"/>
    <x v="1"/>
    <s v="Plaquettes de finition"/>
    <s v="U109136"/>
    <s v="WIPLIE FREDERIC"/>
    <n v="5"/>
    <x v="0"/>
    <x v="0"/>
    <s v="PLAQUETTES"/>
    <s v="356x26 RPI"/>
    <n v="47.8"/>
  </r>
  <r>
    <d v="2025-03-19T13:43:09"/>
    <x v="1"/>
    <s v="Plaquettes de finition"/>
    <s v="130325"/>
    <s v="PAPONNEAU JULIEN"/>
    <n v="5"/>
    <x v="1"/>
    <x v="0"/>
    <s v="PLAQUETTES"/>
    <s v="304x28 RPE"/>
    <n v="47.8"/>
  </r>
  <r>
    <d v="2025-03-19T21:41:23"/>
    <x v="1"/>
    <s v="Plaquettes de finition"/>
    <s v="U037238"/>
    <s v="PRIEUR OLIVIER"/>
    <n v="5"/>
    <x v="2"/>
    <x v="1"/>
    <s v="PLAQUETTES"/>
    <s v="302x26 RPI"/>
    <n v="47.8"/>
  </r>
  <r>
    <d v="2025-03-19T21:49:25"/>
    <x v="1"/>
    <s v="Plaquettes de finition"/>
    <s v="101224"/>
    <s v="CHAZEAU KYLIAN"/>
    <n v="5"/>
    <x v="0"/>
    <x v="0"/>
    <s v="PLAQUETTES"/>
    <s v="356x26 RPI"/>
    <n v="47.8"/>
  </r>
  <r>
    <d v="2025-03-20T09:10:29"/>
    <x v="0"/>
    <s v="Plaquettes de finition"/>
    <s v="280225"/>
    <s v="FERNANDES DOS SANTOS REMY"/>
    <n v="10"/>
    <x v="1"/>
    <x v="0"/>
    <s v="PLAQUETTES"/>
    <s v="304x28 RPE"/>
    <n v="109.7"/>
  </r>
  <r>
    <d v="2025-03-20T13:22:10"/>
    <x v="1"/>
    <s v="Plaquettes de finition"/>
    <s v="SD75051"/>
    <s v="COMBALUZIER LUCAS"/>
    <n v="5"/>
    <x v="0"/>
    <x v="0"/>
    <s v="PLAQUETTES"/>
    <s v="356x26 RPI"/>
    <n v="47.8"/>
  </r>
  <r>
    <d v="2025-03-20T20:02:37"/>
    <x v="1"/>
    <s v="Plaquettes de finition"/>
    <s v="u636817"/>
    <s v="MOCQUEREAU LYDIE"/>
    <n v="5"/>
    <x v="2"/>
    <x v="1"/>
    <s v="PLAQUETTES"/>
    <s v="302x26 RPI"/>
    <n v="47.8"/>
  </r>
  <r>
    <d v="2025-03-21T13:12:46"/>
    <x v="1"/>
    <s v="Plaquettes de finition"/>
    <s v="130325"/>
    <s v="PAPONNEAU JULIEN"/>
    <n v="5"/>
    <x v="1"/>
    <x v="0"/>
    <s v="PLAQUETTES"/>
    <s v="304x28 RPE"/>
    <n v="47.8"/>
  </r>
  <r>
    <d v="2025-03-21T14:33:54"/>
    <x v="1"/>
    <s v="Plaquettes de finition"/>
    <s v="7236310"/>
    <s v="BRANDALY JEREMY"/>
    <n v="5"/>
    <x v="0"/>
    <x v="0"/>
    <s v="PLAQUETTES"/>
    <s v="356x26 RPI"/>
    <n v="47.8"/>
  </r>
  <r>
    <d v="2025-03-21T17:51:08"/>
    <x v="1"/>
    <s v="Plaquettes de finition"/>
    <s v="130325"/>
    <s v="PAPONNEAU JULIEN"/>
    <n v="5"/>
    <x v="1"/>
    <x v="0"/>
    <s v="PLAQUETTES"/>
    <s v="304x28 RPE"/>
    <n v="47.8"/>
  </r>
  <r>
    <d v="2025-03-24T05:23:46"/>
    <x v="1"/>
    <s v="Plaquettes de finition"/>
    <s v="130325"/>
    <s v="PAPONNEAU JULIEN"/>
    <n v="5"/>
    <x v="1"/>
    <x v="0"/>
    <s v="PLAQUETTES"/>
    <s v="304x28 RPE"/>
    <n v="47.8"/>
  </r>
  <r>
    <d v="2025-03-24T13:11:39"/>
    <x v="1"/>
    <s v="Plaquettes de finition"/>
    <s v="U037238"/>
    <s v="PRIEUR OLIVIER"/>
    <n v="5"/>
    <x v="2"/>
    <x v="1"/>
    <s v="PLAQUETTES"/>
    <s v="302x26 RPI"/>
    <n v="47.8"/>
  </r>
  <r>
    <d v="2025-03-24T13:25:47"/>
    <x v="0"/>
    <s v="Plaquettes de finition"/>
    <s v="101224"/>
    <s v="CHAZEAU KYLIAN"/>
    <n v="10"/>
    <x v="0"/>
    <x v="0"/>
    <s v="PLAQUETTES"/>
    <s v="330x14"/>
    <n v="109.7"/>
  </r>
  <r>
    <d v="2025-03-24T13:26:23"/>
    <x v="0"/>
    <s v="Plaquettes de finition"/>
    <s v="101224"/>
    <s v="CHAZEAU KYLIAN"/>
    <n v="10"/>
    <x v="3"/>
    <x v="0"/>
    <s v="PLAQUETTES"/>
    <s v="290x12"/>
    <n v="109.7"/>
  </r>
  <r>
    <d v="2025-03-25T06:42:30"/>
    <x v="1"/>
    <s v="Plaquettes de finition"/>
    <s v="130325"/>
    <s v="PAPONNEAU JULIEN"/>
    <n v="5"/>
    <x v="1"/>
    <x v="0"/>
    <s v="PLAQUETTES"/>
    <s v="304x28 RPE"/>
    <n v="47.8"/>
  </r>
  <r>
    <d v="2025-03-25T14:11:48"/>
    <x v="1"/>
    <s v="Plaquettes de finition"/>
    <s v="U037238"/>
    <s v="PRIEUR OLIVIER"/>
    <n v="5"/>
    <x v="2"/>
    <x v="1"/>
    <s v="PLAQUETTES"/>
    <s v="302x26 RPI"/>
    <n v="47.8"/>
  </r>
  <r>
    <d v="2025-03-25T15:30:23"/>
    <x v="1"/>
    <s v="Plaquettes de finition"/>
    <s v="130124"/>
    <s v="MOHAMED ILDIRAY"/>
    <n v="5"/>
    <x v="1"/>
    <x v="0"/>
    <s v="PLAQUETTES"/>
    <s v="304x28 RPE"/>
    <n v="47.8"/>
  </r>
  <r>
    <d v="2025-03-26T05:47:09"/>
    <x v="1"/>
    <s v="Plaquettes de finition"/>
    <s v="u636817"/>
    <s v="MOCQUEREAU LYDIE"/>
    <n v="5"/>
    <x v="2"/>
    <x v="1"/>
    <s v="PLAQUETTES"/>
    <s v="302x26 RPI"/>
    <n v="47.8"/>
  </r>
  <r>
    <d v="2025-03-26T05:47:34"/>
    <x v="1"/>
    <s v="Plaquettes de finition"/>
    <s v="u636817"/>
    <s v="MOCQUEREAU LYDIE"/>
    <n v="5"/>
    <x v="2"/>
    <x v="1"/>
    <s v="PLAQUETTES"/>
    <s v="302x26 RPI"/>
    <n v="47.8"/>
  </r>
  <r>
    <d v="2025-03-26T06:31:59"/>
    <x v="0"/>
    <s v="Plaquettes de finition"/>
    <s v="130325"/>
    <s v="PAPONNEAU JULIEN"/>
    <n v="10"/>
    <x v="1"/>
    <x v="0"/>
    <s v="PLAQUETTES"/>
    <s v="304x28 RPE"/>
    <n v="109.7"/>
  </r>
  <r>
    <d v="2025-03-26T06:32:17"/>
    <x v="1"/>
    <s v="Plaquettes de finition"/>
    <s v="130325"/>
    <s v="PAPONNEAU JULIEN"/>
    <n v="5"/>
    <x v="1"/>
    <x v="0"/>
    <s v="PLAQUETTES"/>
    <s v="304x28 RPE"/>
    <n v="47.8"/>
  </r>
  <r>
    <d v="2025-03-26T18:12:46"/>
    <x v="1"/>
    <s v="Plaquettes de finition"/>
    <s v="U037238"/>
    <s v="PRIEUR OLIVIER"/>
    <n v="5"/>
    <x v="2"/>
    <x v="1"/>
    <s v="PLAQUETTES"/>
    <s v="302x26 RPI"/>
    <n v="47.8"/>
  </r>
  <r>
    <d v="2025-03-27T06:18:55"/>
    <x v="1"/>
    <s v="Plaquettes de finition"/>
    <s v="130325"/>
    <s v="PAPONNEAU JULIEN"/>
    <n v="5"/>
    <x v="1"/>
    <x v="0"/>
    <s v="PLAQUETTES"/>
    <s v="304x28 RPE"/>
    <n v="47.8"/>
  </r>
  <r>
    <d v="2025-03-27T06:48:32"/>
    <x v="1"/>
    <s v="Plaquettes de finition"/>
    <s v="7236310"/>
    <s v="BRANDALY JEREMY"/>
    <n v="5"/>
    <x v="0"/>
    <x v="0"/>
    <s v="PLAQUETTES"/>
    <s v="356x26 RPI"/>
    <n v="47.8"/>
  </r>
  <r>
    <d v="2025-03-27T13:14:15"/>
    <x v="1"/>
    <s v="Plaquettes de finition"/>
    <s v="130124"/>
    <s v="MOHAMED ILDIRAY"/>
    <n v="5"/>
    <x v="1"/>
    <x v="0"/>
    <s v="PLAQUETTES"/>
    <s v="304x28 RPE"/>
    <n v="47.8"/>
  </r>
  <r>
    <d v="2025-03-28T04:41:23"/>
    <x v="1"/>
    <s v="Plaquettes de finition"/>
    <s v="280225"/>
    <s v="FERNANDES DOS SANTOS REMY"/>
    <n v="5"/>
    <x v="1"/>
    <x v="0"/>
    <s v="PLAQUETTES"/>
    <s v="304x28 RPE"/>
    <n v="47.8"/>
  </r>
  <r>
    <d v="2025-03-28T05:09:49"/>
    <x v="1"/>
    <s v="Plaquettes de finition"/>
    <s v="J529792"/>
    <s v="LEBRE CHRISTOPHE"/>
    <n v="5"/>
    <x v="2"/>
    <x v="1"/>
    <s v="PLAQUETTES"/>
    <s v="302x26 RPI"/>
    <n v="47.8"/>
  </r>
  <r>
    <d v="2025-03-28T14:30:23"/>
    <x v="1"/>
    <s v="Plaquettes de finition"/>
    <s v="101224"/>
    <s v="CHAZEAU KYLIAN"/>
    <n v="5"/>
    <x v="0"/>
    <x v="0"/>
    <s v="PLAQUETTES"/>
    <s v="356x26 RPI"/>
    <n v="47.8"/>
  </r>
  <r>
    <d v="2025-03-28T15:31:02"/>
    <x v="1"/>
    <s v="Plaquettes de finition"/>
    <s v="130124"/>
    <s v="MOHAMED ILDIRAY"/>
    <n v="5"/>
    <x v="1"/>
    <x v="0"/>
    <s v="PLAQUETTES"/>
    <s v="304x28 RPE"/>
    <n v="47.8"/>
  </r>
  <r>
    <d v="2025-03-28T22:07:22"/>
    <x v="1"/>
    <s v="Plaquettes de finition"/>
    <s v="11737592"/>
    <s v="BLOCQUET DAVID"/>
    <n v="5"/>
    <x v="2"/>
    <x v="1"/>
    <s v="PLAQUETTES"/>
    <s v="302x26 RPI"/>
    <n v="47.8"/>
  </r>
  <r>
    <d v="2025-03-28T22:42:50"/>
    <x v="1"/>
    <s v="Plaquettes de finition"/>
    <s v="280225"/>
    <s v="FERNANDES DOS SANTOS REMY"/>
    <n v="5"/>
    <x v="1"/>
    <x v="0"/>
    <s v="PLAQUETTES"/>
    <s v="304x28 RPE"/>
    <n v="47.8"/>
  </r>
  <r>
    <d v="2025-03-29T01:18:49"/>
    <x v="0"/>
    <s v="Plaquettes de finition"/>
    <s v="280225"/>
    <s v="FERNANDES DOS SANTOS REMY"/>
    <n v="10"/>
    <x v="1"/>
    <x v="0"/>
    <s v="PLAQUETTES"/>
    <s v="304x28 RPE"/>
    <n v="109.7"/>
  </r>
  <r>
    <d v="2025-03-29T01:19:19"/>
    <x v="1"/>
    <s v="Plaquettes de finition"/>
    <s v="280225"/>
    <s v="FERNANDES DOS SANTOS REMY"/>
    <n v="5"/>
    <x v="1"/>
    <x v="0"/>
    <s v="PLAQUETTES"/>
    <s v="304x28 RPE"/>
    <n v="47.8"/>
  </r>
  <r>
    <d v="2025-03-30T17:21:22"/>
    <x v="1"/>
    <s v="Plaquettes de finition"/>
    <s v="U109136"/>
    <s v="WIPLIE FREDERIC"/>
    <n v="5"/>
    <x v="0"/>
    <x v="0"/>
    <s v="PLAQUETTES"/>
    <s v="356x26 RPI"/>
    <n v="47.8"/>
  </r>
  <r>
    <d v="2025-03-31T05:04:47"/>
    <x v="1"/>
    <s v="Plaquettes de finition"/>
    <s v="101123"/>
    <s v="BRUNET ANDREA"/>
    <n v="5"/>
    <x v="2"/>
    <x v="1"/>
    <s v="PLAQUETTES"/>
    <s v="302x26 RPI"/>
    <n v="47.8"/>
  </r>
  <r>
    <d v="2025-03-31T05:10:13"/>
    <x v="1"/>
    <s v="Plaquettes de finition"/>
    <s v="130124"/>
    <s v="MOHAMED ILDIRAY"/>
    <n v="5"/>
    <x v="1"/>
    <x v="0"/>
    <s v="PLAQUETTES"/>
    <s v="304x28 RPE"/>
    <n v="47.8"/>
  </r>
  <r>
    <d v="2025-03-31T16:38:29"/>
    <x v="1"/>
    <s v="Plaquettes de finition"/>
    <s v="280225"/>
    <s v="FERNANDES DOS SANTOS REMY"/>
    <n v="5"/>
    <x v="1"/>
    <x v="0"/>
    <s v="PLAQUETTES"/>
    <s v="304x28 RPE"/>
    <n v="47.8"/>
  </r>
  <r>
    <d v="2025-04-01T05:33:10"/>
    <x v="1"/>
    <s v="Plaquettes de finition"/>
    <s v="130124"/>
    <s v="MOHAMED ILDIRAY"/>
    <n v="5"/>
    <x v="1"/>
    <x v="0"/>
    <s v="PLAQUETTES"/>
    <s v="304x28 RPE"/>
    <n v="47.8"/>
  </r>
  <r>
    <d v="2025-04-01T07:50:45"/>
    <x v="1"/>
    <s v="Plaquettes de finition"/>
    <s v="101123"/>
    <s v="BRUNET ANDREA"/>
    <n v="5"/>
    <x v="2"/>
    <x v="1"/>
    <s v="PLAQUETTES"/>
    <s v="302x26 RPI"/>
    <n v="47.8"/>
  </r>
  <r>
    <d v="2025-04-01T13:12:05"/>
    <x v="0"/>
    <s v="Plaquettes de finition"/>
    <s v="280225"/>
    <s v="FERNANDES DOS SANTOS REMY"/>
    <n v="10"/>
    <x v="1"/>
    <x v="0"/>
    <s v="PLAQUETTES"/>
    <s v="304x28 RPE"/>
    <n v="109.7"/>
  </r>
  <r>
    <d v="2025-04-02T06:40:34"/>
    <x v="1"/>
    <s v="Plaquettes de finition"/>
    <s v="130124"/>
    <s v="MOHAMED ILDIRAY"/>
    <n v="5"/>
    <x v="1"/>
    <x v="0"/>
    <s v="PLAQUETTES"/>
    <s v="304x28 RPE"/>
    <n v="47.8"/>
  </r>
  <r>
    <d v="2025-04-02T06:40:48"/>
    <x v="1"/>
    <s v="Plaquettes de finition"/>
    <s v="130124"/>
    <s v="MOHAMED ILDIRAY"/>
    <n v="5"/>
    <x v="1"/>
    <x v="0"/>
    <s v="PLAQUETTES"/>
    <s v="304x28 RPE"/>
    <n v="47.8"/>
  </r>
  <r>
    <d v="2025-04-02T19:04:50"/>
    <x v="1"/>
    <s v="Plaquettes de finition"/>
    <s v="11737592"/>
    <s v="BLOCQUET DAVID"/>
    <n v="5"/>
    <x v="2"/>
    <x v="1"/>
    <s v="PLAQUETTES"/>
    <s v="302x26 RPI"/>
    <n v="47.8"/>
  </r>
  <r>
    <d v="2025-04-02T19:45:38"/>
    <x v="1"/>
    <s v="Plaquettes de finition"/>
    <s v="280225"/>
    <s v="FERNANDES DOS SANTOS REMY"/>
    <n v="5"/>
    <x v="1"/>
    <x v="0"/>
    <s v="PLAQUETTES"/>
    <s v="304x28 RPE"/>
    <n v="47.8"/>
  </r>
  <r>
    <d v="2025-04-03T22:23:50"/>
    <x v="1"/>
    <s v="Plaquettes de finition"/>
    <s v="130325"/>
    <s v="PAPONNEAU JULIEN"/>
    <n v="5"/>
    <x v="1"/>
    <x v="0"/>
    <s v="PLAQUETTES"/>
    <s v="304x28 RPE"/>
    <n v="47.8"/>
  </r>
  <r>
    <d v="2025-04-04T01:52:12"/>
    <x v="1"/>
    <s v="Plaquettes de finition"/>
    <s v="u636817"/>
    <s v="MOCQUEREAU LYDIE"/>
    <n v="5"/>
    <x v="2"/>
    <x v="1"/>
    <s v="PLAQUETTES"/>
    <s v="302x26 RPI"/>
    <n v="47.8"/>
  </r>
  <r>
    <d v="2025-04-04T05:10:04"/>
    <x v="1"/>
    <s v="Plaquettes de finition"/>
    <s v="J529792"/>
    <s v="LEBRE CHRISTOPHE"/>
    <n v="5"/>
    <x v="2"/>
    <x v="1"/>
    <s v="PLAQUETTES"/>
    <s v="302x26 RPI"/>
    <n v="47.8"/>
  </r>
  <r>
    <d v="2025-04-04T13:58:10"/>
    <x v="0"/>
    <s v="Plaquettes de finition"/>
    <s v="280225"/>
    <s v="FERNANDES DOS SANTOS REMY"/>
    <n v="1"/>
    <x v="1"/>
    <x v="0"/>
    <s v="PLAQUETTES"/>
    <s v="304x28 RPE"/>
    <n v="10.97"/>
  </r>
  <r>
    <d v="2025-04-04T13:58:24"/>
    <x v="1"/>
    <s v="Plaquettes de finition"/>
    <s v="280225"/>
    <s v="FERNANDES DOS SANTOS REMY"/>
    <n v="5"/>
    <x v="1"/>
    <x v="0"/>
    <s v="PLAQUETTES"/>
    <s v="304x28 RPE"/>
    <n v="47.8"/>
  </r>
  <r>
    <d v="2025-04-06T18:52:05"/>
    <x v="1"/>
    <s v="Plaquettes de finition"/>
    <s v="J529792"/>
    <s v="LEBRE CHRISTOPHE"/>
    <n v="5"/>
    <x v="2"/>
    <x v="1"/>
    <s v="PLAQUETTES"/>
    <s v="302x26 RPI"/>
    <n v="47.8"/>
  </r>
  <r>
    <d v="2025-04-06T18:52:33"/>
    <x v="1"/>
    <s v="Plaquettes de finition"/>
    <s v="J529792"/>
    <s v="LEBRE CHRISTOPHE"/>
    <n v="5"/>
    <x v="2"/>
    <x v="1"/>
    <s v="PLAQUETTES"/>
    <s v="302x26 RPI"/>
    <n v="47.8"/>
  </r>
  <r>
    <d v="2025-04-07T05:22:05"/>
    <x v="0"/>
    <s v="Plaquettes de finition"/>
    <s v="SE08251"/>
    <s v="FAYET AYMERIC"/>
    <n v="1"/>
    <x v="0"/>
    <x v="0"/>
    <s v="PLAQUETTES"/>
    <s v="330x14"/>
    <n v="10.97"/>
  </r>
  <r>
    <d v="2025-04-07T05:23:11"/>
    <x v="0"/>
    <s v="Plaquettes de finition"/>
    <s v="SE08251"/>
    <s v="FAYET AYMERIC"/>
    <n v="1"/>
    <x v="0"/>
    <x v="0"/>
    <s v="PLAQUETTES"/>
    <s v="290x12"/>
    <n v="10.97"/>
  </r>
  <r>
    <d v="2025-04-07T21:19:56"/>
    <x v="1"/>
    <s v="Plaquettes de finition"/>
    <s v="130124"/>
    <s v="MOHAMED ILDIRAY"/>
    <n v="5"/>
    <x v="1"/>
    <x v="0"/>
    <s v="PLAQUETTES"/>
    <s v="304x28 RPE"/>
    <n v="47.8"/>
  </r>
  <r>
    <d v="2025-04-08T08:16:38"/>
    <x v="1"/>
    <s v="Plaquettes de finition"/>
    <s v="11737592"/>
    <s v="BLOCQUET DAVID"/>
    <n v="5"/>
    <x v="2"/>
    <x v="1"/>
    <s v="PLAQUETTES"/>
    <s v="302x26 RPI"/>
    <n v="47.8"/>
  </r>
  <r>
    <d v="2025-04-08T15:15:36"/>
    <x v="1"/>
    <s v="Plaquettes de finition"/>
    <s v="130325"/>
    <s v="PAPONNEAU JULIEN"/>
    <n v="5"/>
    <x v="1"/>
    <x v="0"/>
    <s v="PLAQUETTES"/>
    <s v="304x28 RPE"/>
    <n v="47.8"/>
  </r>
  <r>
    <d v="2025-04-08T17:49:26"/>
    <x v="1"/>
    <s v="Plaquettes de finition"/>
    <s v="u636817"/>
    <s v="MOCQUEREAU LYDIE"/>
    <n v="5"/>
    <x v="2"/>
    <x v="1"/>
    <s v="PLAQUETTES"/>
    <s v="302x26 RPI"/>
    <n v="47.8"/>
  </r>
  <r>
    <d v="2025-04-08T23:50:33"/>
    <x v="1"/>
    <s v="Plaquettes de finition"/>
    <s v="U037238"/>
    <s v="PRIEUR OLIVIER"/>
    <n v="5"/>
    <x v="2"/>
    <x v="1"/>
    <s v="PLAQUETTES"/>
    <s v="302x26 RPI"/>
    <n v="47.8"/>
  </r>
  <r>
    <d v="2025-04-09T14:04:37"/>
    <x v="1"/>
    <s v="Plaquettes de finition"/>
    <s v="130325"/>
    <s v="PAPONNEAU JULIEN"/>
    <n v="5"/>
    <x v="1"/>
    <x v="0"/>
    <s v="PLAQUETTES"/>
    <s v="304x28 RPE"/>
    <n v="47.8"/>
  </r>
  <r>
    <d v="2025-04-10T06:48:13"/>
    <x v="0"/>
    <s v="Plaquettes de finition"/>
    <s v="280225"/>
    <s v="FERNANDES DOS SANTOS REMY"/>
    <n v="10"/>
    <x v="1"/>
    <x v="0"/>
    <s v="PLAQUETTES"/>
    <s v="304x28 RPE"/>
    <n v="109.7"/>
  </r>
  <r>
    <d v="2025-04-10T08:57:03"/>
    <x v="1"/>
    <s v="Plaquettes de finition"/>
    <s v="280225"/>
    <s v="FERNANDES DOS SANTOS REMY"/>
    <n v="5"/>
    <x v="1"/>
    <x v="0"/>
    <s v="PLAQUETTES"/>
    <s v="304x28 RPE"/>
    <n v="47.8"/>
  </r>
  <r>
    <d v="2025-04-10T14:43:26"/>
    <x v="1"/>
    <s v="Plaquettes de finition"/>
    <s v="SD75051"/>
    <s v="COMBALUZIER LUCAS"/>
    <n v="5"/>
    <x v="0"/>
    <x v="0"/>
    <s v="PLAQUETTES"/>
    <s v="356x26 RPI"/>
    <n v="47.8"/>
  </r>
  <r>
    <d v="2025-04-11T05:08:47"/>
    <x v="1"/>
    <s v="Plaquettes de finition"/>
    <s v="J529792"/>
    <s v="LEBRE CHRISTOPHE"/>
    <n v="5"/>
    <x v="2"/>
    <x v="1"/>
    <s v="PLAQUETTES"/>
    <s v="302x26 RPI"/>
    <n v="47.8"/>
  </r>
  <r>
    <d v="2025-04-11T08:37:12"/>
    <x v="1"/>
    <s v="Plaquettes de finition"/>
    <s v="U109136"/>
    <s v="WIPLIE FREDERIC"/>
    <n v="5"/>
    <x v="0"/>
    <x v="0"/>
    <s v="PLAQUETTES"/>
    <s v="356x26 RPI"/>
    <n v="47.8"/>
  </r>
  <r>
    <d v="2025-04-11T14:29:30"/>
    <x v="1"/>
    <s v="Plaquettes de finition"/>
    <s v="u636817"/>
    <s v="MOCQUEREAU LYDIE"/>
    <n v="5"/>
    <x v="2"/>
    <x v="1"/>
    <s v="PLAQUETTES"/>
    <s v="302x26 RPI"/>
    <n v="47.8"/>
  </r>
  <r>
    <d v="2025-04-11T16:03:33"/>
    <x v="1"/>
    <s v="Plaquettes de finition"/>
    <s v="130325"/>
    <s v="PAPONNEAU JULIEN"/>
    <n v="5"/>
    <x v="1"/>
    <x v="0"/>
    <s v="PLAQUETTES"/>
    <s v="304x28 RPE"/>
    <n v="47.8"/>
  </r>
  <r>
    <d v="2025-04-12T08:57:19"/>
    <x v="1"/>
    <s v="Plaquettes de finition"/>
    <s v="150725"/>
    <s v="ADOUL WASSIM"/>
    <n v="5"/>
    <x v="1"/>
    <x v="0"/>
    <s v="PLAQUETTES"/>
    <s v="304x28 RPE"/>
    <n v="47.8"/>
  </r>
  <r>
    <d v="2025-04-14T01:48:00"/>
    <x v="1"/>
    <s v="Plaquettes de finition"/>
    <s v="U109136"/>
    <s v="WIPLIE FREDERIC"/>
    <n v="5"/>
    <x v="0"/>
    <x v="0"/>
    <s v="PLAQUETTES"/>
    <s v="356x26 RPI"/>
    <n v="47.8"/>
  </r>
  <r>
    <d v="2025-04-14T02:26:45"/>
    <x v="1"/>
    <s v="Plaquettes de finition"/>
    <s v="150725"/>
    <s v="ADOUL WASSIM"/>
    <n v="5"/>
    <x v="1"/>
    <x v="0"/>
    <s v="PLAQUETTES"/>
    <s v="304x28 RPE"/>
    <n v="47.8"/>
  </r>
  <r>
    <d v="2025-04-14T05:43:16"/>
    <x v="1"/>
    <s v="Plaquettes de finition"/>
    <s v="SD75051"/>
    <s v="COMBALUZIER LUCAS"/>
    <n v="5"/>
    <x v="0"/>
    <x v="0"/>
    <s v="PLAQUETTES"/>
    <s v="356x26 RPI"/>
    <n v="47.8"/>
  </r>
  <r>
    <d v="2025-04-14T12:22:21"/>
    <x v="1"/>
    <s v="Plaquettes de finition"/>
    <s v="130325"/>
    <s v="PAPONNEAU JULIEN"/>
    <n v="5"/>
    <x v="1"/>
    <x v="0"/>
    <s v="PLAQUETTES"/>
    <s v="304x28 RPE"/>
    <n v="47.8"/>
  </r>
  <r>
    <d v="2025-04-14T13:28:22"/>
    <x v="1"/>
    <s v="Plaquettes de finition"/>
    <s v="130124"/>
    <s v="MOHAMED ILDIRAY"/>
    <n v="5"/>
    <x v="1"/>
    <x v="0"/>
    <s v="PLAQUETTES"/>
    <s v="304x28 RPE"/>
    <n v="47.8"/>
  </r>
  <r>
    <d v="2025-04-14T13:35:19"/>
    <x v="1"/>
    <s v="Plaquettes de finition"/>
    <s v="U037238"/>
    <s v="PRIEUR OLIVIER"/>
    <n v="5"/>
    <x v="2"/>
    <x v="1"/>
    <s v="PLAQUETTES"/>
    <s v="302x26 RPI"/>
    <n v="47.8"/>
  </r>
  <r>
    <d v="2025-04-15T07:30:58"/>
    <x v="1"/>
    <s v="Plaquettes de finition"/>
    <s v="u636817"/>
    <s v="MOCQUEREAU LYDIE"/>
    <n v="5"/>
    <x v="2"/>
    <x v="1"/>
    <s v="PLAQUETTES"/>
    <s v="302x26 RPI"/>
    <n v="47.8"/>
  </r>
  <r>
    <d v="2025-04-15T07:31:22"/>
    <x v="1"/>
    <s v="Plaquettes de finition"/>
    <s v="u636817"/>
    <s v="MOCQUEREAU LYDIE"/>
    <n v="5"/>
    <x v="2"/>
    <x v="1"/>
    <s v="PLAQUETTES"/>
    <s v="302x26 RPI"/>
    <n v="47.8"/>
  </r>
  <r>
    <d v="2025-04-15T14:21:40"/>
    <x v="0"/>
    <s v="Plaquettes de finition"/>
    <s v="12824586"/>
    <s v="DA SILVA FERNANDO"/>
    <n v="40"/>
    <x v="1"/>
    <x v="0"/>
    <s v="PLAQUETTES"/>
    <s v="TOUT DISQUES"/>
    <n v="438.8"/>
  </r>
  <r>
    <d v="2025-04-16T02:34:32"/>
    <x v="0"/>
    <s v="Plaquettes de finition"/>
    <s v="280225"/>
    <s v="FERNANDES DOS SANTOS REMY"/>
    <n v="10"/>
    <x v="1"/>
    <x v="0"/>
    <s v="PLAQUETTES"/>
    <s v="356x26 RPI"/>
    <n v="109.7"/>
  </r>
  <r>
    <d v="2025-04-16T10:13:31"/>
    <x v="1"/>
    <s v="Plaquettes de finition"/>
    <s v="18498233"/>
    <s v="ALVES ARTHUR"/>
    <n v="5"/>
    <x v="0"/>
    <x v="0"/>
    <s v="PLAQUETTES"/>
    <s v="TOUT DISQUES"/>
    <n v="47.8"/>
  </r>
  <r>
    <d v="2025-04-16T14:18:53"/>
    <x v="1"/>
    <s v="Plaquettes de finition"/>
    <s v="U037238"/>
    <s v="PRIEUR OLIVIER"/>
    <n v="5"/>
    <x v="2"/>
    <x v="1"/>
    <s v="PLAQUETTES"/>
    <s v="302x26 RPI"/>
    <n v="47.8"/>
  </r>
  <r>
    <d v="2025-04-16T22:34:40"/>
    <x v="1"/>
    <s v="Plaquettes de finition"/>
    <s v="280225"/>
    <s v="FERNANDES DOS SANTOS REMY"/>
    <n v="5"/>
    <x v="1"/>
    <x v="0"/>
    <s v="PLAQUETTES"/>
    <s v="356x26 RPI"/>
    <n v="47.8"/>
  </r>
  <r>
    <d v="2025-04-17T13:15:06"/>
    <x v="1"/>
    <s v="Plaquettes de finition"/>
    <s v="U037238"/>
    <s v="PRIEUR OLIVIER"/>
    <n v="5"/>
    <x v="2"/>
    <x v="1"/>
    <s v="PLAQUETTES"/>
    <s v="302x26 RPI"/>
    <n v="47.8"/>
  </r>
  <r>
    <d v="2025-04-17T13:15:47"/>
    <x v="1"/>
    <s v="Plaquettes de finition"/>
    <s v="U037238"/>
    <s v="PRIEUR OLIVIER"/>
    <n v="5"/>
    <x v="2"/>
    <x v="1"/>
    <s v="PLAQUETTES"/>
    <s v="302x26 RPI"/>
    <n v="47.8"/>
  </r>
  <r>
    <d v="2025-04-17T21:30:26"/>
    <x v="1"/>
    <s v="Plaquettes de finition"/>
    <s v="280225"/>
    <s v="FERNANDES DOS SANTOS REMY"/>
    <n v="5"/>
    <x v="1"/>
    <x v="0"/>
    <s v="PLAQUETTES"/>
    <s v="356x26 RPI"/>
    <n v="47.8"/>
  </r>
  <r>
    <d v="2025-04-18T13:16:00"/>
    <x v="1"/>
    <s v="Plaquettes de finition"/>
    <s v="130124"/>
    <s v="MOHAMED ILDIRAY"/>
    <n v="5"/>
    <x v="1"/>
    <x v="0"/>
    <s v="PLAQUETTES"/>
    <s v="356x26 RPI"/>
    <n v="47.8"/>
  </r>
  <r>
    <d v="2025-04-19T02:28:14"/>
    <x v="0"/>
    <s v="Plaquettes de finition"/>
    <s v="280225"/>
    <s v="FERNANDES DOS SANTOS REMY"/>
    <n v="10"/>
    <x v="1"/>
    <x v="0"/>
    <s v="PLAQUETTES"/>
    <s v="356x26 RPI"/>
    <n v="109.7"/>
  </r>
  <r>
    <d v="2025-04-19T02:28:47"/>
    <x v="1"/>
    <s v="Plaquettes de finition"/>
    <s v="280225"/>
    <s v="FERNANDES DOS SANTOS REMY"/>
    <n v="5"/>
    <x v="1"/>
    <x v="0"/>
    <s v="PLAQUETTES"/>
    <s v="356x26 RPI"/>
    <n v="47.8"/>
  </r>
  <r>
    <d v="2025-04-20T23:56:17"/>
    <x v="1"/>
    <s v="Plaquettes de finition"/>
    <s v="U109136"/>
    <s v="WIPLIE FREDERIC"/>
    <n v="5"/>
    <x v="1"/>
    <x v="0"/>
    <s v="PLAQUETTES"/>
    <s v="304x28 RPE"/>
    <n v="47.8"/>
  </r>
  <r>
    <d v="2025-04-21T05:07:58"/>
    <x v="1"/>
    <s v="Plaquettes de finition"/>
    <s v="101123"/>
    <s v="BRUNET ANDREA"/>
    <n v="5"/>
    <x v="2"/>
    <x v="1"/>
    <s v="PLAQUETTES"/>
    <s v="302x26 RPI"/>
    <n v="47.8"/>
  </r>
  <r>
    <d v="2025-04-21T06:28:10"/>
    <x v="1"/>
    <s v="Plaquettes de finition"/>
    <s v="130124"/>
    <s v="MOHAMED ILDIRAY"/>
    <n v="5"/>
    <x v="1"/>
    <x v="0"/>
    <s v="PLAQUETTES"/>
    <s v="304x28 RPE"/>
    <n v="47.8"/>
  </r>
  <r>
    <d v="2025-04-21T13:52:14"/>
    <x v="1"/>
    <s v="Plaquettes de finition"/>
    <s v="280225"/>
    <s v="FERNANDES DOS SANTOS REMY"/>
    <n v="5"/>
    <x v="1"/>
    <x v="0"/>
    <s v="PLAQUETTES"/>
    <s v="304x28 RPE"/>
    <n v="47.8"/>
  </r>
  <r>
    <d v="2025-04-22T05:53:34"/>
    <x v="1"/>
    <s v="Plaquettes de finition"/>
    <s v="130124"/>
    <s v="MOHAMED ILDIRAY"/>
    <n v="5"/>
    <x v="1"/>
    <x v="0"/>
    <s v="PLAQUETTES"/>
    <s v="304x28 RPE"/>
    <n v="47.8"/>
  </r>
  <r>
    <d v="2025-04-22T23:35:31"/>
    <x v="1"/>
    <s v="Plaquettes de finition"/>
    <s v="130325"/>
    <s v="PAPONNEAU JULIEN"/>
    <n v="5"/>
    <x v="1"/>
    <x v="0"/>
    <s v="PLAQUETTES"/>
    <s v="304x28 RPE"/>
    <n v="47.8"/>
  </r>
  <r>
    <d v="2025-04-22T23:35:48"/>
    <x v="0"/>
    <s v="Plaquettes de finition"/>
    <s v="130325"/>
    <s v="PAPONNEAU JULIEN"/>
    <n v="10"/>
    <x v="1"/>
    <x v="0"/>
    <s v="PLAQUETTES"/>
    <s v="304x28 RPE"/>
    <n v="109.7"/>
  </r>
  <r>
    <d v="2025-04-23T06:08:58"/>
    <x v="0"/>
    <s v="Plaquettes de finition"/>
    <s v="101224"/>
    <s v="CHAZEAU KYLIAN"/>
    <n v="10"/>
    <x v="0"/>
    <x v="0"/>
    <s v="PLAQUETTES"/>
    <s v="330x14"/>
    <n v="109.7"/>
  </r>
  <r>
    <d v="2025-04-23T15:04:21"/>
    <x v="1"/>
    <s v="Plaquettes de finition"/>
    <s v="280225"/>
    <s v="FERNANDES DOS SANTOS REMY"/>
    <n v="5"/>
    <x v="1"/>
    <x v="0"/>
    <s v="PLAQUETTES"/>
    <s v="304x28 RPE"/>
    <n v="47.8"/>
  </r>
  <r>
    <d v="2025-04-24T04:42:51"/>
    <x v="1"/>
    <s v="Plaquettes de finition"/>
    <s v="130325"/>
    <s v="PAPONNEAU JULIEN"/>
    <n v="5"/>
    <x v="1"/>
    <x v="0"/>
    <s v="PLAQUETTES"/>
    <s v="304x28 RPE"/>
    <n v="47.8"/>
  </r>
  <r>
    <d v="2025-04-24T05:49:53"/>
    <x v="1"/>
    <s v="Plaquettes de finition"/>
    <s v="130124"/>
    <s v="MOHAMED ILDIRAY"/>
    <n v="5"/>
    <x v="1"/>
    <x v="0"/>
    <s v="PLAQUETTES"/>
    <s v="304x28 RPE"/>
    <n v="47.8"/>
  </r>
  <r>
    <d v="2025-04-24T18:25:32"/>
    <x v="1"/>
    <s v="Plaquettes de finition"/>
    <s v="250425"/>
    <s v="CHANDAR ABDER"/>
    <n v="5"/>
    <x v="2"/>
    <x v="1"/>
    <s v="PLAQUETTES"/>
    <s v="302x26 RPI"/>
    <n v="47.8"/>
  </r>
  <r>
    <d v="2025-04-24T20:25:53"/>
    <x v="1"/>
    <s v="Plaquettes de finition"/>
    <s v="280225"/>
    <s v="FERNANDES DOS SANTOS REMY"/>
    <n v="5"/>
    <x v="1"/>
    <x v="0"/>
    <s v="PLAQUETTES"/>
    <s v="304x28 RPE"/>
    <n v="47.8"/>
  </r>
  <r>
    <d v="2025-04-25T05:23:04"/>
    <x v="1"/>
    <s v="Plaquettes de finition"/>
    <s v="DELIAT C"/>
    <s v="DELIAT CHRISTOPHE"/>
    <n v="5"/>
    <x v="2"/>
    <x v="1"/>
    <s v="PLAQUETTES"/>
    <s v="302x26 RPI"/>
    <n v="47.8"/>
  </r>
  <r>
    <d v="2025-04-25T13:13:40"/>
    <x v="1"/>
    <s v="Plaquettes de finition"/>
    <s v="280225"/>
    <s v="FERNANDES DOS SANTOS REMY"/>
    <n v="5"/>
    <x v="1"/>
    <x v="0"/>
    <s v="PLAQUETTES"/>
    <s v="304x28 RPE"/>
    <n v="47.8"/>
  </r>
  <r>
    <d v="2025-04-25T13:14:16"/>
    <x v="0"/>
    <s v="Plaquettes de finition"/>
    <s v="280225"/>
    <s v="FERNANDES DOS SANTOS REMY"/>
    <n v="10"/>
    <x v="1"/>
    <x v="0"/>
    <s v="PLAQUETTES"/>
    <s v="304x28 RPE"/>
    <n v="109.7"/>
  </r>
  <r>
    <d v="2025-04-25T16:05:28"/>
    <x v="1"/>
    <s v="Plaquettes de finition"/>
    <s v="SE08251"/>
    <s v="FAYET AYMERIC"/>
    <n v="5"/>
    <x v="0"/>
    <x v="0"/>
    <s v="PLAQUETTES"/>
    <s v="356x26 RPI"/>
    <n v="47.8"/>
  </r>
  <r>
    <d v="2025-04-25T18:04:27"/>
    <x v="1"/>
    <s v="Plaquettes de finition"/>
    <s v="280225"/>
    <s v="FERNANDES DOS SANTOS REMY"/>
    <n v="5"/>
    <x v="1"/>
    <x v="0"/>
    <s v="PLAQUETTES"/>
    <s v="304x28 RPE"/>
    <n v="47.8"/>
  </r>
  <r>
    <d v="2025-04-26T08:39:23"/>
    <x v="1"/>
    <s v="Plaquettes de finition"/>
    <s v="U109136"/>
    <s v="WIPLIE FREDERIC"/>
    <n v="5"/>
    <x v="0"/>
    <x v="0"/>
    <s v="PLAQUETTES"/>
    <s v="356x26 RPI"/>
    <n v="47.8"/>
  </r>
  <r>
    <d v="2025-04-27T17:51:25"/>
    <x v="1"/>
    <s v="Plaquettes de finition"/>
    <s v="J534699"/>
    <s v="FABIAN CHARTON"/>
    <n v="5"/>
    <x v="2"/>
    <x v="1"/>
    <s v="PLAQUETTES"/>
    <s v="302x26 RPI"/>
    <n v="47.8"/>
  </r>
  <r>
    <d v="2025-04-27T17:53:19"/>
    <x v="1"/>
    <s v="Plaquettes de finition"/>
    <s v="U109136"/>
    <s v="WIPLIE FREDERIC"/>
    <n v="5"/>
    <x v="0"/>
    <x v="0"/>
    <s v="PLAQUETTES"/>
    <s v="356x26 RPI"/>
    <n v="47.8"/>
  </r>
  <r>
    <d v="2025-04-27T23:44:01"/>
    <x v="1"/>
    <s v="Plaquettes de finition"/>
    <s v="150725"/>
    <s v="ADOUL WASSIM"/>
    <n v="5"/>
    <x v="1"/>
    <x v="0"/>
    <s v="PLAQUETTES"/>
    <s v="304x28 RPE"/>
    <n v="47.8"/>
  </r>
  <r>
    <d v="2025-04-28T05:06:45"/>
    <x v="1"/>
    <s v="Plaquettes de finition"/>
    <s v="280225"/>
    <s v="FERNANDES DOS SANTOS REMY"/>
    <n v="5"/>
    <x v="1"/>
    <x v="0"/>
    <s v="PLAQUETTES"/>
    <s v="304x28 RPE"/>
    <n v="47.8"/>
  </r>
  <r>
    <d v="2025-04-28T14:23:55"/>
    <x v="1"/>
    <s v="Plaquettes de finition"/>
    <s v="u636817"/>
    <s v="MOCQUEREAU LYDIE"/>
    <n v="5"/>
    <x v="2"/>
    <x v="1"/>
    <s v="PLAQUETTES"/>
    <s v="302x26 RPI"/>
    <n v="47.8"/>
  </r>
  <r>
    <d v="2025-04-28T14:24:17"/>
    <x v="1"/>
    <s v="Plaquettes de finition"/>
    <s v="u636817"/>
    <s v="MOCQUEREAU LYDIE"/>
    <n v="5"/>
    <x v="2"/>
    <x v="1"/>
    <s v="PLAQUETTES"/>
    <s v="302x26 RPI"/>
    <n v="47.8"/>
  </r>
  <r>
    <d v="2025-04-29T05:16:00"/>
    <x v="1"/>
    <s v="Plaquettes de finition"/>
    <s v="171124"/>
    <s v="GONIN AGNES"/>
    <n v="5"/>
    <x v="2"/>
    <x v="1"/>
    <s v="PLAQUETTES"/>
    <s v="302x26 RPI"/>
    <n v="47.8"/>
  </r>
  <r>
    <d v="2025-04-29T18:58:57"/>
    <x v="1"/>
    <s v="Plaquettes de finition"/>
    <s v="130325"/>
    <s v="PAPONNEAU JULIEN"/>
    <n v="5"/>
    <x v="1"/>
    <x v="0"/>
    <s v="PLAQUETTES"/>
    <s v="304x28 RPE"/>
    <n v="47.8"/>
  </r>
  <r>
    <d v="2025-04-29T18:59:16"/>
    <x v="1"/>
    <s v="Plaquettes de finition"/>
    <s v="130325"/>
    <s v="PAPONNEAU JULIEN"/>
    <n v="5"/>
    <x v="1"/>
    <x v="0"/>
    <s v="PLAQUETTES"/>
    <s v="304x28 RPE"/>
    <n v="47.8"/>
  </r>
  <r>
    <d v="2025-04-29T22:35:48"/>
    <x v="1"/>
    <s v="Plaquettes de finition"/>
    <s v="130124"/>
    <s v="MOHAMED ILDIRAY"/>
    <n v="5"/>
    <x v="1"/>
    <x v="0"/>
    <s v="PLAQUETTES"/>
    <s v="304x28 RPE"/>
    <n v="47.8"/>
  </r>
  <r>
    <d v="2025-04-30T05:25:19"/>
    <x v="0"/>
    <s v="Plaquettes de finition"/>
    <s v="SE08251"/>
    <s v="FAYET AYMERIC"/>
    <n v="10"/>
    <x v="0"/>
    <x v="0"/>
    <s v="PLAQUETTES"/>
    <s v="290x12"/>
    <n v="109.7"/>
  </r>
  <r>
    <d v="2025-04-30T06:36:51"/>
    <x v="1"/>
    <s v="Plaquettes de finition"/>
    <s v="280225"/>
    <s v="FERNANDES DOS SANTOS REMY"/>
    <n v="5"/>
    <x v="1"/>
    <x v="0"/>
    <s v="PLAQUETTES"/>
    <s v="304x28 RPE"/>
    <n v="47.8"/>
  </r>
  <r>
    <d v="2025-04-30T21:27:20"/>
    <x v="1"/>
    <s v="Plaquettes de finition"/>
    <s v="130124"/>
    <s v="MOHAMED ILDIRAY"/>
    <n v="5"/>
    <x v="1"/>
    <x v="0"/>
    <s v="PLAQUETTES"/>
    <s v="304x28 RPE"/>
    <n v="47.8"/>
  </r>
  <r>
    <d v="2025-05-02T09:53:12"/>
    <x v="1"/>
    <s v="Plaquettes de finition"/>
    <s v="J534699"/>
    <s v="FABIAN CHARTON"/>
    <n v="5"/>
    <x v="2"/>
    <x v="1"/>
    <s v="PLAQUETTES"/>
    <s v="302x26 RPI"/>
    <n v="47.8"/>
  </r>
  <r>
    <d v="2025-05-02T21:33:21"/>
    <x v="1"/>
    <s v="Plaquettes de finition"/>
    <s v="130124"/>
    <s v="MOHAMED ILDIRAY"/>
    <n v="5"/>
    <x v="1"/>
    <x v="0"/>
    <s v="PLAQUETTES"/>
    <s v="304x28 RPE"/>
    <n v="47.8"/>
  </r>
  <r>
    <d v="2025-05-05T07:01:12"/>
    <x v="1"/>
    <s v="Plaquettes de finition"/>
    <s v="u636817"/>
    <s v="MOCQUEREAU LYDIE"/>
    <n v="5"/>
    <x v="2"/>
    <x v="1"/>
    <s v="PLAQUETTES"/>
    <s v="302x26 RPI"/>
    <n v="47.8"/>
  </r>
  <r>
    <d v="2025-05-05T07:01:32"/>
    <x v="1"/>
    <s v="Plaquettes de finition"/>
    <s v="u636817"/>
    <s v="MOCQUEREAU LYDIE"/>
    <n v="5"/>
    <x v="2"/>
    <x v="1"/>
    <s v="PLAQUETTES"/>
    <s v="302x26 RPI"/>
    <n v="47.8"/>
  </r>
  <r>
    <d v="2025-05-05T13:20:46"/>
    <x v="1"/>
    <s v="Plaquettes de finition"/>
    <s v="130124"/>
    <s v="MOHAMED ILDIRAY"/>
    <n v="5"/>
    <x v="1"/>
    <x v="0"/>
    <s v="PLAQUETTES"/>
    <s v="304x28 RPE"/>
    <n v="47.8"/>
  </r>
  <r>
    <d v="2025-05-05T22:14:09"/>
    <x v="0"/>
    <s v="Plaquettes de finition"/>
    <s v="SE08251"/>
    <s v="FAYET AYMERIC"/>
    <n v="10"/>
    <x v="0"/>
    <x v="0"/>
    <s v="PLAQUETTES"/>
    <s v="330x14"/>
    <n v="109.7"/>
  </r>
  <r>
    <d v="2025-05-06T19:20:21"/>
    <x v="1"/>
    <s v="Plaquettes de finition"/>
    <s v="130124"/>
    <s v="MOHAMED ILDIRAY"/>
    <n v="5"/>
    <x v="1"/>
    <x v="0"/>
    <s v="PLAQUETTES"/>
    <s v="356x26 RPI"/>
    <n v="47.8"/>
  </r>
  <r>
    <d v="2025-05-06T23:23:29"/>
    <x v="1"/>
    <s v="Plaquettes de finition"/>
    <s v="280225"/>
    <s v="FERNANDES DOS SANTOS REMY"/>
    <n v="5"/>
    <x v="1"/>
    <x v="0"/>
    <s v="PLAQUETTES"/>
    <s v="356x26 RPI"/>
    <n v="47.8"/>
  </r>
  <r>
    <d v="2025-05-07T01:00:15"/>
    <x v="1"/>
    <s v="Plaquettes de finition"/>
    <s v="250425"/>
    <s v="CHANDAR ABDER"/>
    <n v="5"/>
    <x v="2"/>
    <x v="1"/>
    <s v="PLAQUETTES"/>
    <s v="302x26 RPI"/>
    <n v="47.8"/>
  </r>
  <r>
    <d v="2025-05-07T09:54:56"/>
    <x v="1"/>
    <s v="Plaquettes de finition"/>
    <s v="130325"/>
    <s v="PAPONNEAU JULIEN"/>
    <n v="5"/>
    <x v="1"/>
    <x v="0"/>
    <s v="PLAQUETTES"/>
    <s v="356x26 RPI"/>
    <n v="47.8"/>
  </r>
  <r>
    <d v="2025-05-08T10:52:32"/>
    <x v="1"/>
    <s v="Plaquettes de finition"/>
    <s v="U080365"/>
    <s v="ALAVOINE SAMUEL"/>
    <n v="5"/>
    <x v="2"/>
    <x v="1"/>
    <s v="PLAQUETTES"/>
    <s v="302x26 RPI"/>
    <n v="47.8"/>
  </r>
  <r>
    <d v="2025-05-09T02:02:25"/>
    <x v="1"/>
    <s v="Plaquettes de finition"/>
    <s v="280225"/>
    <s v="FERNANDES DOS SANTOS REMY"/>
    <n v="5"/>
    <x v="1"/>
    <x v="0"/>
    <s v="PLAQUETTES"/>
    <s v="304x28 RPE"/>
    <n v="47.8"/>
  </r>
  <r>
    <d v="2025-05-09T16:54:57"/>
    <x v="1"/>
    <s v="Plaquettes de finition"/>
    <s v="130124"/>
    <s v="MOHAMED ILDIRAY"/>
    <n v="5"/>
    <x v="1"/>
    <x v="0"/>
    <s v="PLAQUETTES"/>
    <s v="304x28 RPE"/>
    <n v="47.8"/>
  </r>
  <r>
    <d v="2025-05-10T01:38:47"/>
    <x v="0"/>
    <s v="Plaquettes de finition"/>
    <s v="280225"/>
    <s v="FERNANDES DOS SANTOS REMY"/>
    <n v="10"/>
    <x v="1"/>
    <x v="0"/>
    <s v="PLAQUETTES"/>
    <s v="304x28 RPE"/>
    <n v="109.7"/>
  </r>
  <r>
    <d v="2025-05-10T01:54:55"/>
    <x v="1"/>
    <s v="Plaquettes de finition"/>
    <s v="SE08251"/>
    <s v="FAYET AYMERIC"/>
    <n v="5"/>
    <x v="0"/>
    <x v="0"/>
    <s v="PLAQUETTES"/>
    <s v="356x26 RPI"/>
    <n v="47.8"/>
  </r>
  <r>
    <d v="2025-05-10T02:35:19"/>
    <x v="1"/>
    <s v="Plaquettes de finition"/>
    <s v="280225"/>
    <s v="FERNANDES DOS SANTOS REMY"/>
    <n v="5"/>
    <x v="1"/>
    <x v="0"/>
    <s v="PLAQUETTES"/>
    <s v="304x28 RPE"/>
    <n v="47.8"/>
  </r>
  <r>
    <d v="2025-05-12T05:21:09"/>
    <x v="1"/>
    <s v="Plaquettes de finition"/>
    <s v="130124"/>
    <s v="MOHAMED ILDIRAY"/>
    <n v="5"/>
    <x v="1"/>
    <x v="0"/>
    <s v="PLAQUETTES"/>
    <s v="304x28 RPE"/>
    <n v="47.8"/>
  </r>
  <r>
    <d v="2025-05-13T06:49:24"/>
    <x v="1"/>
    <s v="Plaquettes de finition"/>
    <s v="130124"/>
    <s v="MOHAMED ILDIRAY"/>
    <n v="5"/>
    <x v="1"/>
    <x v="0"/>
    <s v="PLAQUETTES"/>
    <s v="304x28 RPE"/>
    <n v="47.8"/>
  </r>
  <r>
    <d v="2025-05-13T08:41:23"/>
    <x v="1"/>
    <s v="Plaquettes de finition"/>
    <s v="U037238"/>
    <s v="PRIEUR OLIVIER"/>
    <n v="5"/>
    <x v="2"/>
    <x v="1"/>
    <s v="PLAQUETTES"/>
    <s v="302x26 RPI"/>
    <n v="47.8"/>
  </r>
  <r>
    <d v="2025-05-13T13:04:55"/>
    <x v="1"/>
    <s v="Plaquettes de finition"/>
    <s v="171124"/>
    <s v="GONIN AGNES"/>
    <n v="5"/>
    <x v="2"/>
    <x v="1"/>
    <s v="PLAQUETTES"/>
    <s v="302x26 RPI"/>
    <n v="47.8"/>
  </r>
  <r>
    <d v="2025-05-13T13:27:23"/>
    <x v="1"/>
    <s v="Plaquettes de finition"/>
    <s v="280225"/>
    <s v="FERNANDES DOS SANTOS REMY"/>
    <n v="5"/>
    <x v="1"/>
    <x v="0"/>
    <s v="PLAQUETTES"/>
    <s v="304x28 RPE"/>
    <n v="47.8"/>
  </r>
  <r>
    <d v="2025-05-13T14:36:59"/>
    <x v="1"/>
    <s v="Plaquettes de finition"/>
    <s v="SE08251"/>
    <s v="FAYET AYMERIC"/>
    <n v="5"/>
    <x v="0"/>
    <x v="0"/>
    <s v="PLAQUETTES"/>
    <s v="356x26 RPI"/>
    <n v="47.8"/>
  </r>
  <r>
    <d v="2025-05-14T05:14:48"/>
    <x v="1"/>
    <s v="Plaquettes de finition"/>
    <s v="130124"/>
    <s v="MOHAMED ILDIRAY"/>
    <n v="5"/>
    <x v="1"/>
    <x v="0"/>
    <s v="PLAQUETTES"/>
    <s v="304x28 RPE"/>
    <n v="47.8"/>
  </r>
  <r>
    <d v="2025-05-14T13:19:12"/>
    <x v="1"/>
    <s v="Plaquettes de finition"/>
    <s v="SE08251"/>
    <s v="FAYET AYMERIC"/>
    <n v="5"/>
    <x v="0"/>
    <x v="0"/>
    <s v="PLAQUETTES"/>
    <s v="356x26 RPI"/>
    <n v="47.8"/>
  </r>
  <r>
    <d v="2025-05-15T10:03:25"/>
    <x v="1"/>
    <s v="Plaquettes de finition"/>
    <s v="U037238"/>
    <s v="PRIEUR OLIVIER"/>
    <n v="5"/>
    <x v="2"/>
    <x v="1"/>
    <s v="PLAQUETTES"/>
    <s v="302x26 RPI"/>
    <n v="47.8"/>
  </r>
  <r>
    <d v="2025-05-15T13:38:58"/>
    <x v="0"/>
    <s v="Plaquettes de finition"/>
    <s v="SE08251"/>
    <s v="FAYET AYMERIC"/>
    <n v="10"/>
    <x v="0"/>
    <x v="0"/>
    <s v="PLAQUETTES"/>
    <s v="290x12"/>
    <n v="109.7"/>
  </r>
  <r>
    <d v="2025-05-15T20:30:43"/>
    <x v="1"/>
    <s v="Plaquettes de finition"/>
    <s v="280225"/>
    <s v="FERNANDES DOS SANTOS REMY"/>
    <n v="5"/>
    <x v="1"/>
    <x v="0"/>
    <s v="PLAQUETTES"/>
    <s v="304x28 RPE"/>
    <n v="47.8"/>
  </r>
  <r>
    <d v="2025-05-15T21:26:11"/>
    <x v="1"/>
    <s v="Plaquettes de finition"/>
    <s v="SE08251"/>
    <s v="FAYET AYMERIC"/>
    <n v="5"/>
    <x v="0"/>
    <x v="0"/>
    <s v="PLAQUETTES"/>
    <s v="356x26 RPI"/>
    <n v="47.8"/>
  </r>
  <r>
    <d v="2025-05-16T06:47:33"/>
    <x v="1"/>
    <s v="Plaquettes de finition"/>
    <s v="150725"/>
    <s v="ADOUL WASSIM"/>
    <n v="5"/>
    <x v="0"/>
    <x v="0"/>
    <s v="PLAQUETTES"/>
    <s v="356x26 RPI"/>
    <n v="47.8"/>
  </r>
  <r>
    <d v="2025-05-16T13:59:50"/>
    <x v="1"/>
    <s v="Plaquettes de finition"/>
    <s v="280225"/>
    <s v="FERNANDES DOS SANTOS REMY"/>
    <n v="5"/>
    <x v="1"/>
    <x v="0"/>
    <s v="PLAQUETTES"/>
    <s v="304x28 RPE"/>
    <n v="47.8"/>
  </r>
  <r>
    <d v="2025-05-16T22:14:38"/>
    <x v="1"/>
    <s v="Plaquettes de finition"/>
    <s v="130325"/>
    <s v="PAPONNEAU JULIEN"/>
    <n v="5"/>
    <x v="1"/>
    <x v="0"/>
    <s v="PLAQUETTES"/>
    <s v="304x28 RPE"/>
    <n v="47.8"/>
  </r>
  <r>
    <d v="2025-05-17T05:28:45"/>
    <x v="1"/>
    <s v="Plaquettes de finition"/>
    <s v="150725"/>
    <s v="ADOUL WASSIM"/>
    <n v="5"/>
    <x v="0"/>
    <x v="0"/>
    <s v="PLAQUETTES"/>
    <s v="356x26 RPI"/>
    <n v="47.8"/>
  </r>
  <r>
    <d v="2025-05-17T10:16:44"/>
    <x v="1"/>
    <s v="Plaquettes de finition"/>
    <s v="U109136"/>
    <s v="WIPLIE FREDERIC"/>
    <n v="5"/>
    <x v="1"/>
    <x v="0"/>
    <s v="PLAQUETTES"/>
    <s v="304x28 RPE"/>
    <n v="47.8"/>
  </r>
  <r>
    <d v="2025-05-19T00:37:38"/>
    <x v="1"/>
    <s v="Plaquettes de finition"/>
    <s v="101224"/>
    <s v="CHAZEAU KYLIAN"/>
    <n v="5"/>
    <x v="1"/>
    <x v="0"/>
    <s v="PLAQUETTES"/>
    <s v="304x28 RPE"/>
    <n v="47.8"/>
  </r>
  <r>
    <d v="2025-05-19T05:45:16"/>
    <x v="0"/>
    <s v="Plaquettes de finition"/>
    <s v="SE08251"/>
    <s v="FAYET AYMERIC"/>
    <n v="10"/>
    <x v="0"/>
    <x v="0"/>
    <s v="PLAQUETTES"/>
    <s v="330x14"/>
    <n v="109.7"/>
  </r>
  <r>
    <d v="2025-05-19T12:15:02"/>
    <x v="0"/>
    <s v="Plaquettes de finition"/>
    <s v="280225"/>
    <s v="FERNANDES DOS SANTOS REMY"/>
    <n v="10"/>
    <x v="1"/>
    <x v="0"/>
    <s v="PLAQUETTES"/>
    <s v="356x26 RPI"/>
    <n v="109.7"/>
  </r>
  <r>
    <d v="2025-05-20T02:17:32"/>
    <x v="1"/>
    <s v="Plaquettes de finition"/>
    <s v="130124"/>
    <s v="MOHAMED ILDIRAY"/>
    <n v="5"/>
    <x v="1"/>
    <x v="0"/>
    <s v="PLAQUETTES"/>
    <s v="304x28 RPE"/>
    <n v="47.8"/>
  </r>
  <r>
    <d v="2025-05-20T08:24:01"/>
    <x v="1"/>
    <s v="Plaquettes de finition"/>
    <s v="171124"/>
    <s v="GONIN AGNES"/>
    <n v="5"/>
    <x v="2"/>
    <x v="1"/>
    <s v="PLAQUETTES"/>
    <s v="302x26 RPI"/>
    <n v="47.8"/>
  </r>
  <r>
    <d v="2025-05-20T08:24:36"/>
    <x v="1"/>
    <s v="Plaquettes de finition"/>
    <s v="171124"/>
    <s v="GONIN AGNES"/>
    <n v="5"/>
    <x v="2"/>
    <x v="1"/>
    <s v="PLAQUETTES"/>
    <s v="302x26 RPI"/>
    <n v="47.8"/>
  </r>
  <r>
    <d v="2025-05-20T15:08:41"/>
    <x v="1"/>
    <s v="Plaquettes de finition"/>
    <s v="u636817"/>
    <s v="MOCQUEREAU LYDIE"/>
    <n v="5"/>
    <x v="2"/>
    <x v="1"/>
    <s v="PLAQUETTES"/>
    <s v="302x26 RPI"/>
    <n v="47.8"/>
  </r>
  <r>
    <d v="2025-05-20T15:09:02"/>
    <x v="1"/>
    <s v="Plaquettes de finition"/>
    <s v="u636817"/>
    <s v="MOCQUEREAU LYDIE"/>
    <n v="5"/>
    <x v="2"/>
    <x v="1"/>
    <s v="PLAQUETTES"/>
    <s v="302x26 RPI"/>
    <n v="47.8"/>
  </r>
  <r>
    <d v="2025-05-20T21:08:26"/>
    <x v="1"/>
    <s v="Plaquettes de finition"/>
    <s v="101123"/>
    <s v="BRUNET ANDREA"/>
    <n v="5"/>
    <x v="2"/>
    <x v="1"/>
    <s v="PLAQUETTES"/>
    <s v="302x26 RPI"/>
    <n v="47.8"/>
  </r>
  <r>
    <d v="2025-05-21T00:07:49"/>
    <x v="1"/>
    <s v="Plaquettes de finition"/>
    <s v="130124"/>
    <s v="MOHAMED ILDIRAY"/>
    <n v="5"/>
    <x v="1"/>
    <x v="0"/>
    <s v="PLAQUETTES"/>
    <s v="356x26 RPI"/>
    <n v="47.8"/>
  </r>
  <r>
    <d v="2025-05-22T09:07:48"/>
    <x v="1"/>
    <s v="Plaquettes de finition"/>
    <s v="280225"/>
    <s v="FERNANDES DOS SANTOS REMY"/>
    <n v="5"/>
    <x v="1"/>
    <x v="0"/>
    <s v="PLAQUETTES"/>
    <s v="356x26 RPI"/>
    <n v="47.8"/>
  </r>
  <r>
    <d v="2025-05-22T17:53:46"/>
    <x v="2"/>
    <s v="Plaquettes de finition"/>
    <s v="SD75051"/>
    <s v="COMBALUZIER LUCAS"/>
    <n v="5"/>
    <x v="3"/>
    <x v="2"/>
    <s v="PLAQUETTES"/>
    <s v="330x28 RPE KO"/>
    <n v="44.85"/>
  </r>
  <r>
    <d v="2025-05-22T21:50:00"/>
    <x v="1"/>
    <s v="Plaquettes de finition"/>
    <s v="130124"/>
    <s v="MOHAMED ILDIRAY"/>
    <n v="5"/>
    <x v="1"/>
    <x v="0"/>
    <s v="PLAQUETTES"/>
    <s v="356x26 RPI"/>
    <n v="47.8"/>
  </r>
  <r>
    <d v="2025-05-23T13:13:02"/>
    <x v="1"/>
    <s v="Plaquettes de finition"/>
    <s v="SD75051"/>
    <s v="COMBALUZIER LUCAS"/>
    <n v="5"/>
    <x v="3"/>
    <x v="0"/>
    <s v="PLAQUETTES"/>
    <s v="330x28 RPE KO"/>
    <n v="47.8"/>
  </r>
  <r>
    <d v="2025-05-23T14:31:45"/>
    <x v="1"/>
    <s v="Plaquettes de finition"/>
    <s v="u636817"/>
    <s v="MOCQUEREAU LYDIE"/>
    <n v="5"/>
    <x v="2"/>
    <x v="1"/>
    <s v="PLAQUETTES"/>
    <s v="302x26 RPI"/>
    <n v="47.8"/>
  </r>
  <r>
    <d v="2025-05-23T14:32:07"/>
    <x v="1"/>
    <s v="Plaquettes de finition"/>
    <s v="u636817"/>
    <s v="MOCQUEREAU LYDIE"/>
    <n v="5"/>
    <x v="2"/>
    <x v="1"/>
    <s v="PLAQUETTES"/>
    <s v="302x26 RPI"/>
    <n v="47.8"/>
  </r>
  <r>
    <d v="2025-05-24T06:22:42"/>
    <x v="1"/>
    <s v="Plaquettes de finition"/>
    <s v="J529792"/>
    <s v="LEBRE CHRISTOPHE"/>
    <n v="5"/>
    <x v="2"/>
    <x v="1"/>
    <s v="PLAQUETTES"/>
    <s v="302x26 RPI"/>
    <n v="47.8"/>
  </r>
  <r>
    <d v="2025-05-25T17:50:12"/>
    <x v="1"/>
    <s v="Plaquettes de finition"/>
    <s v="150725"/>
    <s v="ADOUL WASSIM"/>
    <n v="5"/>
    <x v="1"/>
    <x v="0"/>
    <s v="PLAQUETTES"/>
    <s v="356x26 RPI"/>
    <n v="47.8"/>
  </r>
  <r>
    <d v="2025-05-26T20:07:33"/>
    <x v="1"/>
    <s v="Plaquettes de finition"/>
    <s v="130124"/>
    <s v="MOHAMED ILDIRAY"/>
    <n v="5"/>
    <x v="1"/>
    <x v="0"/>
    <s v="PLAQUETTES"/>
    <s v="304x28 RPE"/>
    <n v="47.8"/>
  </r>
  <r>
    <d v="2025-05-27T00:47:59"/>
    <x v="1"/>
    <s v="Plaquettes de finition"/>
    <s v="SE08251"/>
    <s v="FAYET AYMERIC"/>
    <n v="5"/>
    <x v="0"/>
    <x v="0"/>
    <s v="PLAQUETTES"/>
    <s v="356x26 RPI"/>
    <n v="47.8"/>
  </r>
  <r>
    <d v="2025-05-27T18:31:39"/>
    <x v="1"/>
    <s v="Plaquettes de finition"/>
    <s v="101123"/>
    <s v="BRUNET ANDREA"/>
    <n v="5"/>
    <x v="2"/>
    <x v="1"/>
    <s v="PLAQUETTES"/>
    <s v="302x26 RPI"/>
    <n v="47.8"/>
  </r>
  <r>
    <d v="2025-05-28T01:43:55"/>
    <x v="1"/>
    <s v="Plaquettes de finition"/>
    <s v="280225"/>
    <s v="FERNANDES DOS SANTOS REMY"/>
    <n v="5"/>
    <x v="1"/>
    <x v="0"/>
    <s v="PLAQUETTES"/>
    <s v="304x28 RPE"/>
    <n v="47.8"/>
  </r>
  <r>
    <d v="2025-05-28T01:44:14"/>
    <x v="0"/>
    <s v="Plaquettes de finition"/>
    <s v="280225"/>
    <s v="FERNANDES DOS SANTOS REMY"/>
    <n v="10"/>
    <x v="1"/>
    <x v="0"/>
    <s v="PLAQUETTES"/>
    <s v="304x28 RPE"/>
    <n v="109.7"/>
  </r>
  <r>
    <d v="2025-05-28T18:45:33"/>
    <x v="1"/>
    <s v="Plaquettes de finition"/>
    <s v="101224"/>
    <s v="CHAZEAU KYLIAN"/>
    <n v="5"/>
    <x v="0"/>
    <x v="0"/>
    <s v="PLAQUETTES"/>
    <s v="356x26 RPI"/>
    <n v="47.8"/>
  </r>
  <r>
    <d v="2025-05-28T21:19:44"/>
    <x v="1"/>
    <s v="Plaquettes de finition"/>
    <s v="280225"/>
    <s v="FERNANDES DOS SANTOS REMY"/>
    <n v="5"/>
    <x v="1"/>
    <x v="0"/>
    <s v="PLAQUETTES"/>
    <s v="304x28 RPE"/>
    <n v="47.8"/>
  </r>
  <r>
    <d v="2025-05-29T05:41:04"/>
    <x v="1"/>
    <s v="Plaquettes de finition"/>
    <s v="U515988"/>
    <s v="BLAHA"/>
    <n v="5"/>
    <x v="2"/>
    <x v="1"/>
    <s v="PLAQUETTES"/>
    <s v="302x26 RPI"/>
    <n v="47.8"/>
  </r>
  <r>
    <d v="2025-05-29T05:41:25"/>
    <x v="1"/>
    <s v="Plaquettes de finition"/>
    <s v="U515988"/>
    <s v="BLAHA"/>
    <n v="5"/>
    <x v="2"/>
    <x v="1"/>
    <s v="PLAQUETTES"/>
    <s v="302x26 RPI"/>
    <n v="47.8"/>
  </r>
  <r>
    <d v="2025-05-29T13:18:10"/>
    <x v="1"/>
    <s v="Plaquettes de finition"/>
    <s v="130124"/>
    <s v="MOHAMED ILDIRAY"/>
    <n v="5"/>
    <x v="1"/>
    <x v="0"/>
    <s v="PLAQUETTES"/>
    <s v="304x28 RPE"/>
    <n v="47.8"/>
  </r>
  <r>
    <d v="2025-05-29T15:42:40"/>
    <x v="1"/>
    <s v="Plaquettes de finition"/>
    <s v="U561365"/>
    <s v="BALLY BENOIT"/>
    <n v="5"/>
    <x v="2"/>
    <x v="1"/>
    <s v="PLAQUETTES"/>
    <s v="302x26 RPI"/>
    <n v="47.8"/>
  </r>
  <r>
    <d v="2025-05-29T15:43:18"/>
    <x v="1"/>
    <s v="Plaquettes de finition"/>
    <s v="SD13196"/>
    <s v="FRADIN MAXIME"/>
    <n v="5"/>
    <x v="0"/>
    <x v="0"/>
    <s v="PLAQUETTES"/>
    <s v="356x26 RPI"/>
    <n v="47.8"/>
  </r>
  <r>
    <d v="2025-05-30T01:31:48"/>
    <x v="1"/>
    <s v="Plaquettes de finition"/>
    <s v="280225"/>
    <s v="FERNANDES DOS SANTOS REMY"/>
    <n v="5"/>
    <x v="1"/>
    <x v="0"/>
    <s v="PLAQUETTES"/>
    <s v="304x28 RPE"/>
    <n v="47.8"/>
  </r>
  <r>
    <d v="2025-05-30T05:04:08"/>
    <x v="1"/>
    <s v="Plaquettes de finition"/>
    <s v="J529792"/>
    <s v="LEBRE CHRISTOPHE"/>
    <n v="5"/>
    <x v="2"/>
    <x v="1"/>
    <s v="PLAQUETTES"/>
    <s v="302x26 RPI"/>
    <n v="47.8"/>
  </r>
  <r>
    <d v="2025-05-30T05:04:29"/>
    <x v="1"/>
    <s v="Plaquettes de finition"/>
    <s v="J529792"/>
    <s v="LEBRE CHRISTOPHE"/>
    <n v="5"/>
    <x v="2"/>
    <x v="1"/>
    <s v="PLAQUETTES"/>
    <s v="302x26 RPI"/>
    <n v="47.8"/>
  </r>
  <r>
    <d v="2025-05-30T20:44:09"/>
    <x v="1"/>
    <s v="Plaquettes de finition"/>
    <s v="101123"/>
    <s v="BRUNET ANDREA"/>
    <n v="5"/>
    <x v="2"/>
    <x v="1"/>
    <s v="PLAQUETTES"/>
    <s v="302x26 RPI"/>
    <n v="47.8"/>
  </r>
  <r>
    <d v="2025-05-30T23:56:27"/>
    <x v="1"/>
    <s v="Plaquettes de finition"/>
    <s v="280225"/>
    <s v="FERNANDES DOS SANTOS REMY"/>
    <n v="5"/>
    <x v="1"/>
    <x v="0"/>
    <s v="PLAQUETTES"/>
    <s v="304x28 RPE"/>
    <n v="47.8"/>
  </r>
  <r>
    <d v="2025-06-01T20:53:44"/>
    <x v="1"/>
    <s v="Plaquettes de finition"/>
    <s v="U109136"/>
    <s v="WIPLIE FREDERIC"/>
    <n v="5"/>
    <x v="1"/>
    <x v="0"/>
    <s v="PLAQUETTES"/>
    <s v="304x28 RPE"/>
    <n v="47.8"/>
  </r>
  <r>
    <d v="2025-06-01T20:54:09"/>
    <x v="1"/>
    <s v="Plaquettes de finition"/>
    <s v="U109136"/>
    <s v="WIPLIE FREDERIC"/>
    <n v="5"/>
    <x v="1"/>
    <x v="0"/>
    <s v="PLAQUETTES"/>
    <s v="304x28 RPE"/>
    <n v="47.8"/>
  </r>
  <r>
    <d v="2025-06-02T05:12:55"/>
    <x v="1"/>
    <s v="Plaquettes de finition"/>
    <s v="101224"/>
    <s v="CHAZEAU KYLIAN"/>
    <n v="5"/>
    <x v="0"/>
    <x v="0"/>
    <s v="PLAQUETTES"/>
    <s v="356x26 RPI"/>
    <n v="47.8"/>
  </r>
  <r>
    <d v="2025-06-02T05:42:34"/>
    <x v="1"/>
    <s v="Plaquettes de finition"/>
    <s v="130124"/>
    <s v="MOHAMED ILDIRAY"/>
    <n v="5"/>
    <x v="1"/>
    <x v="0"/>
    <s v="PLAQUETTES"/>
    <s v="304x28 RPE"/>
    <n v="47.8"/>
  </r>
  <r>
    <d v="2025-06-02T14:10:57"/>
    <x v="0"/>
    <s v="Plaquettes de finition"/>
    <s v="SE08251"/>
    <s v="FAYET AYMERIC"/>
    <n v="10"/>
    <x v="0"/>
    <x v="0"/>
    <s v="PLAQUETTES"/>
    <s v="330x14"/>
    <n v="109.7"/>
  </r>
  <r>
    <d v="2025-06-02T15:18:01"/>
    <x v="1"/>
    <s v="Plaquettes de finition"/>
    <s v="280225"/>
    <s v="FERNANDES DOS SANTOS REMY"/>
    <n v="5"/>
    <x v="1"/>
    <x v="0"/>
    <s v="PLAQUETTES"/>
    <s v="304x28 RPE"/>
    <n v="47.8"/>
  </r>
  <r>
    <d v="2025-06-03T13:26:44"/>
    <x v="1"/>
    <s v="Plaquettes de finition"/>
    <s v="280225"/>
    <s v="FERNANDES DOS SANTOS REMY"/>
    <n v="5"/>
    <x v="1"/>
    <x v="0"/>
    <s v="PLAQUETTES"/>
    <s v="304x28 RPE"/>
    <n v="47.8"/>
  </r>
  <r>
    <d v="2025-06-03T15:56:02"/>
    <x v="0"/>
    <s v="Plaquettes de finition"/>
    <s v="280225"/>
    <s v="FERNANDES DOS SANTOS REMY"/>
    <n v="10"/>
    <x v="1"/>
    <x v="0"/>
    <s v="PLAQUETTES"/>
    <s v="304x28 RPE"/>
    <n v="109.7"/>
  </r>
  <r>
    <d v="2025-06-04T01:55:55"/>
    <x v="1"/>
    <s v="Plaquettes de finition"/>
    <s v="u636817"/>
    <s v="MOCQUEREAU LYDIE"/>
    <n v="5"/>
    <x v="2"/>
    <x v="1"/>
    <s v="PLAQUETTES"/>
    <s v="302x26 RPI"/>
    <n v="47.8"/>
  </r>
  <r>
    <d v="2025-06-04T01:56:16"/>
    <x v="1"/>
    <s v="Plaquettes de finition"/>
    <s v="u636817"/>
    <s v="MOCQUEREAU LYDIE"/>
    <n v="5"/>
    <x v="2"/>
    <x v="1"/>
    <s v="PLAQUETTES"/>
    <s v="302x26 RPI"/>
    <n v="47.8"/>
  </r>
  <r>
    <d v="2025-06-04T17:47:47"/>
    <x v="1"/>
    <s v="Plaquettes de finition"/>
    <s v="280225"/>
    <s v="FERNANDES DOS SANTOS REMY"/>
    <n v="5"/>
    <x v="1"/>
    <x v="0"/>
    <s v="PLAQUETTES"/>
    <s v="356x26 RPI"/>
    <n v="47.8"/>
  </r>
  <r>
    <d v="2025-06-05T13:55:56"/>
    <x v="1"/>
    <s v="Plaquettes de finition"/>
    <s v="280225"/>
    <s v="FERNANDES DOS SANTOS REMY"/>
    <n v="5"/>
    <x v="1"/>
    <x v="0"/>
    <s v="PLAQUETTES"/>
    <s v="356x26 RPI"/>
    <n v="47.8"/>
  </r>
  <r>
    <d v="2025-06-06T09:25:44"/>
    <x v="1"/>
    <s v="Plaquettes de finition"/>
    <s v="150725"/>
    <s v="ADOUL WASSIM"/>
    <n v="5"/>
    <x v="1"/>
    <x v="0"/>
    <s v="PLAQUETTES"/>
    <s v="356x26 RPI"/>
    <n v="47.8"/>
  </r>
  <r>
    <d v="2025-06-06T14:43:43"/>
    <x v="1"/>
    <s v="Plaquettes de finition"/>
    <s v="U561365"/>
    <s v="BALLY BENOIT"/>
    <n v="5"/>
    <x v="2"/>
    <x v="1"/>
    <s v="PLAQUETTES"/>
    <s v="302x26 RPI"/>
    <n v="47.8"/>
  </r>
  <r>
    <d v="2025-06-07T04:46:42"/>
    <x v="1"/>
    <s v="Plaquettes de finition"/>
    <s v="J529792"/>
    <s v="LEBRE CHRISTOPHE"/>
    <n v="5"/>
    <x v="2"/>
    <x v="1"/>
    <s v="PLAQUETTES"/>
    <s v="302x26 RPI"/>
    <n v="47.8"/>
  </r>
  <r>
    <d v="2025-06-07T04:47:08"/>
    <x v="1"/>
    <s v="Plaquettes de finition"/>
    <s v="J529792"/>
    <s v="LEBRE CHRISTOPHE"/>
    <n v="5"/>
    <x v="2"/>
    <x v="1"/>
    <s v="PLAQUETTES"/>
    <s v="302x26 RPI"/>
    <n v="47.8"/>
  </r>
  <r>
    <d v="2025-06-07T07:52:23"/>
    <x v="1"/>
    <s v="Plaquettes de finition"/>
    <s v="U109136"/>
    <s v="WIPLIE FREDERIC"/>
    <n v="5"/>
    <x v="3"/>
    <x v="0"/>
    <s v="PLAQUETTES"/>
    <s v="302x26 RPI"/>
    <n v="47.8"/>
  </r>
  <r>
    <d v="2025-06-07T17:01:06"/>
    <x v="1"/>
    <s v="Plaquettes de finition"/>
    <s v="J534699"/>
    <s v="FABIAN CHARTON"/>
    <n v="5"/>
    <x v="2"/>
    <x v="1"/>
    <s v="PLAQUETTES"/>
    <s v="302x26 RPI"/>
    <n v="47.8"/>
  </r>
  <r>
    <d v="2025-06-08T17:35:28"/>
    <x v="1"/>
    <s v="Plaquettes de finition"/>
    <s v="150725"/>
    <s v="ADOUL WASSIM"/>
    <n v="5"/>
    <x v="1"/>
    <x v="0"/>
    <s v="PLAQUETTES"/>
    <s v="356x26 RPI"/>
    <n v="47.8"/>
  </r>
  <r>
    <d v="2025-06-08T22:13:10"/>
    <x v="1"/>
    <s v="Plaquettes de finition"/>
    <s v="U109136"/>
    <s v="WIPLIE FREDERIC"/>
    <n v="5"/>
    <x v="3"/>
    <x v="0"/>
    <s v="PLAQUETTES"/>
    <s v="302x26 RPI"/>
    <n v="47.8"/>
  </r>
  <r>
    <d v="2025-06-09T05:44:12"/>
    <x v="1"/>
    <s v="Plaquettes de finition"/>
    <s v="U532976"/>
    <s v="LEFORT XAVIER"/>
    <n v="5"/>
    <x v="2"/>
    <x v="1"/>
    <s v="PLAQUETTES"/>
    <s v="302x26 RPI"/>
    <n v="47.8"/>
  </r>
  <r>
    <d v="2025-06-09T06:26:37"/>
    <x v="0"/>
    <s v="Plaquettes de finition"/>
    <s v="SE08251"/>
    <s v="FAYET AYMERIC"/>
    <n v="10"/>
    <x v="0"/>
    <x v="0"/>
    <s v="PLAQUETTES"/>
    <s v="330x14"/>
    <n v="109.7"/>
  </r>
  <r>
    <d v="2025-06-09T13:34:18"/>
    <x v="1"/>
    <s v="Plaquettes de finition"/>
    <s v="SD75051"/>
    <s v="COMBALUZIER LUCAS"/>
    <n v="5"/>
    <x v="3"/>
    <x v="0"/>
    <s v="PLAQUETTES"/>
    <s v="302x26 RPI"/>
    <n v="47.8"/>
  </r>
  <r>
    <d v="2025-06-10T21:19:10"/>
    <x v="1"/>
    <s v="Plaquettes de finition"/>
    <s v="101123"/>
    <s v="BRUNET ANDREA"/>
    <n v="5"/>
    <x v="2"/>
    <x v="1"/>
    <s v="PLAQUETTES"/>
    <s v="302x26 RPI"/>
    <n v="47.8"/>
  </r>
  <r>
    <d v="2025-06-10T23:30:43"/>
    <x v="1"/>
    <s v="Plaquettes de finition"/>
    <s v="130124"/>
    <s v="MOHAMED ILDIRAY"/>
    <n v="5"/>
    <x v="1"/>
    <x v="0"/>
    <s v="PLAQUETTES"/>
    <s v="304x28 RPE"/>
    <n v="47.8"/>
  </r>
  <r>
    <d v="2025-06-11T06:05:22"/>
    <x v="1"/>
    <s v="Plaquettes de finition"/>
    <s v="280225"/>
    <s v="FERNANDES DOS SANTOS REMY"/>
    <n v="5"/>
    <x v="1"/>
    <x v="0"/>
    <s v="PLAQUETTES"/>
    <s v="304x28 RPE"/>
    <n v="47.8"/>
  </r>
  <r>
    <d v="2025-06-11T06:40:00"/>
    <x v="1"/>
    <s v="Plaquettes de finition"/>
    <s v="U109136"/>
    <s v="WIPLIE FREDERIC"/>
    <n v="5"/>
    <x v="3"/>
    <x v="0"/>
    <s v="PLAQUETTES"/>
    <s v="302x26 RPI"/>
    <n v="47.8"/>
  </r>
  <r>
    <d v="2025-06-11T13:44:03"/>
    <x v="1"/>
    <s v="Plaquettes de finition"/>
    <s v="SD75051"/>
    <s v="COMBALUZIER LUCAS"/>
    <n v="5"/>
    <x v="0"/>
    <x v="0"/>
    <s v="PLAQUETTES"/>
    <s v="356x26 RPI"/>
    <n v="47.8"/>
  </r>
  <r>
    <d v="2025-06-11T13:44:39"/>
    <x v="1"/>
    <s v="Plaquettes de finition"/>
    <s v="SD75051"/>
    <s v="COMBALUZIER LUCAS"/>
    <n v="5"/>
    <x v="3"/>
    <x v="0"/>
    <s v="PLAQUETTES"/>
    <s v="330x28 RPE KO"/>
    <n v="47.8"/>
  </r>
  <r>
    <d v="2025-06-12T05:15:15"/>
    <x v="0"/>
    <s v="Plaquettes de finition"/>
    <s v="280225"/>
    <s v="FERNANDES DOS SANTOS REMY"/>
    <n v="10"/>
    <x v="1"/>
    <x v="0"/>
    <s v="PLAQUETTES"/>
    <s v="304x28 RPE"/>
    <n v="109.7"/>
  </r>
  <r>
    <d v="2025-06-12T07:04:13"/>
    <x v="1"/>
    <s v="Plaquettes de finition"/>
    <s v="SE08251"/>
    <s v="FAYET AYMERIC"/>
    <n v="5"/>
    <x v="3"/>
    <x v="0"/>
    <s v="PLAQUETTES"/>
    <s v="330x28 RPE KO"/>
    <n v="47.8"/>
  </r>
  <r>
    <d v="2025-06-12T13:13:40"/>
    <x v="2"/>
    <s v="Plaquettes de finition"/>
    <s v="SD75051"/>
    <s v="COMBALUZIER LUCAS"/>
    <n v="5"/>
    <x v="3"/>
    <x v="2"/>
    <s v="PLAQUETTES"/>
    <s v="330x28 RPE KO"/>
    <n v="44.85"/>
  </r>
  <r>
    <d v="2025-06-12T13:50:59"/>
    <x v="1"/>
    <s v="Plaquettes de finition"/>
    <s v="u636817"/>
    <s v="MOCQUEREAU LYDIE"/>
    <n v="5"/>
    <x v="2"/>
    <x v="1"/>
    <s v="PLAQUETTES"/>
    <s v="302x26 RPI"/>
    <n v="47.8"/>
  </r>
  <r>
    <d v="2025-06-12T21:25:46"/>
    <x v="1"/>
    <s v="Plaquettes de finition"/>
    <s v="130124"/>
    <s v="MOHAMED ILDIRAY"/>
    <n v="5"/>
    <x v="1"/>
    <x v="0"/>
    <s v="PLAQUETTES"/>
    <s v="304x28 RPE"/>
    <n v="47.8"/>
  </r>
  <r>
    <d v="2025-06-13T10:25:01"/>
    <x v="1"/>
    <s v="Plaquettes de finition"/>
    <s v="U109136"/>
    <s v="WIPLIE FREDERIC"/>
    <n v="5"/>
    <x v="1"/>
    <x v="0"/>
    <s v="PLAQUETTES"/>
    <s v="304x28 RPE"/>
    <n v="47.8"/>
  </r>
  <r>
    <d v="2025-06-13T14:34:56"/>
    <x v="1"/>
    <s v="Plaquettes de finition"/>
    <s v="SD75051"/>
    <s v="COMBALUZIER LUCAS"/>
    <n v="5"/>
    <x v="0"/>
    <x v="0"/>
    <s v="PLAQUETTES"/>
    <s v="356x26 RPI"/>
    <n v="47.8"/>
  </r>
  <r>
    <d v="2025-06-13T22:23:17"/>
    <x v="1"/>
    <s v="Plaquettes de finition"/>
    <s v="101123"/>
    <s v="BRUNET ANDREA"/>
    <n v="5"/>
    <x v="2"/>
    <x v="1"/>
    <s v="PLAQUETTES"/>
    <s v="302x26 RPI"/>
    <n v="47.8"/>
  </r>
  <r>
    <d v="2025-06-15T19:41:53"/>
    <x v="1"/>
    <s v="Plaquettes de finition"/>
    <s v="U109136"/>
    <s v="WIPLIE FREDERIC"/>
    <n v="5"/>
    <x v="1"/>
    <x v="0"/>
    <s v="PLAQUETTES"/>
    <s v="304x28 RPE"/>
    <n v="47.8"/>
  </r>
  <r>
    <d v="2025-06-16T06:03:57"/>
    <x v="1"/>
    <s v="Plaquettes de finition"/>
    <s v="SD75051"/>
    <s v="COMBALUZIER LUCAS"/>
    <n v="5"/>
    <x v="3"/>
    <x v="0"/>
    <s v="PLAQUETTES"/>
    <s v="302x26 RPI"/>
    <n v="47.8"/>
  </r>
  <r>
    <d v="2025-06-16T06:04:17"/>
    <x v="1"/>
    <s v="Plaquettes de finition"/>
    <s v="SD75051"/>
    <s v="COMBALUZIER LUCAS"/>
    <n v="5"/>
    <x v="0"/>
    <x v="0"/>
    <s v="PLAQUETTES"/>
    <s v="356x26 RPI"/>
    <n v="47.8"/>
  </r>
  <r>
    <d v="2025-06-16T13:22:57"/>
    <x v="1"/>
    <s v="Plaquettes de finition"/>
    <s v="130124"/>
    <s v="MOHAMED ILDIRAY"/>
    <n v="5"/>
    <x v="1"/>
    <x v="0"/>
    <s v="PLAQUETTES"/>
    <s v="304x28 RPE"/>
    <n v="47.8"/>
  </r>
  <r>
    <d v="2025-06-16T23:35:13"/>
    <x v="1"/>
    <s v="Plaquettes de finition"/>
    <s v="SE08251"/>
    <s v="FAYET AYMERIC"/>
    <n v="5"/>
    <x v="3"/>
    <x v="0"/>
    <s v="PLAQUETTES"/>
    <s v="302x26 RPI"/>
    <n v="47.8"/>
  </r>
  <r>
    <d v="2025-06-17T08:22:21"/>
    <x v="1"/>
    <s v="Plaquettes de finition"/>
    <s v="u636817"/>
    <s v="MOCQUEREAU LYDIE"/>
    <n v="5"/>
    <x v="2"/>
    <x v="1"/>
    <s v="PLAQUETTES"/>
    <s v="302x26 RPI"/>
    <n v="47.8"/>
  </r>
  <r>
    <d v="2025-06-17T08:23:28"/>
    <x v="1"/>
    <s v="Plaquettes de finition"/>
    <s v="u636817"/>
    <s v="MOCQUEREAU LYDIE"/>
    <n v="5"/>
    <x v="2"/>
    <x v="1"/>
    <s v="PLAQUETTES"/>
    <s v="302x26 RPI"/>
    <n v="47.8"/>
  </r>
  <r>
    <d v="2025-06-17T13:38:19"/>
    <x v="1"/>
    <s v="Plaquettes de finition"/>
    <s v="U037238"/>
    <s v="PRIEUR OLIVIER"/>
    <n v="5"/>
    <x v="2"/>
    <x v="1"/>
    <s v="PLAQUETTES"/>
    <s v="302x26 RPI"/>
    <n v="47.8"/>
  </r>
  <r>
    <d v="2025-06-17T20:20:59"/>
    <x v="1"/>
    <s v="Plaquettes de finition"/>
    <s v="130124"/>
    <s v="MOHAMED ILDIRAY"/>
    <n v="5"/>
    <x v="1"/>
    <x v="0"/>
    <s v="PLAQUETTES"/>
    <s v="304x28 RPE"/>
    <n v="47.8"/>
  </r>
  <r>
    <d v="2025-06-18T23:53:56"/>
    <x v="1"/>
    <s v="Plaquettes de finition"/>
    <s v="U505000"/>
    <s v="RECEVEUR BENOIT"/>
    <n v="5"/>
    <x v="2"/>
    <x v="1"/>
    <s v="PLAQUETTES"/>
    <s v="302x26 RPI"/>
    <n v="47.8"/>
  </r>
  <r>
    <d v="2025-06-19T06:18:44"/>
    <x v="1"/>
    <s v="Plaquettes de finition"/>
    <s v="SD75051"/>
    <s v="COMBALUZIER LUCAS"/>
    <n v="5"/>
    <x v="3"/>
    <x v="0"/>
    <s v="PLAQUETTES"/>
    <s v="302x26 RPI"/>
    <n v="47.8"/>
  </r>
  <r>
    <d v="2025-06-19T14:05:46"/>
    <x v="1"/>
    <s v="Plaquettes de finition"/>
    <s v="130124"/>
    <s v="MOHAMED ILDIRAY"/>
    <n v="5"/>
    <x v="1"/>
    <x v="0"/>
    <s v="PLAQUETTES"/>
    <s v="356x26 RPI"/>
    <n v="47.8"/>
  </r>
  <r>
    <d v="2025-06-20T05:09:22"/>
    <x v="1"/>
    <s v="Plaquettes de finition"/>
    <s v="J529792"/>
    <s v="LEBRE CHRISTOPHE"/>
    <n v="5"/>
    <x v="2"/>
    <x v="1"/>
    <s v="PLAQUETTES"/>
    <s v="302x26 RPI"/>
    <n v="47.8"/>
  </r>
  <r>
    <d v="2025-06-20T17:34:10"/>
    <x v="1"/>
    <s v="Plaquettes de finition"/>
    <s v="130124"/>
    <s v="MOHAMED ILDIRAY"/>
    <n v="5"/>
    <x v="1"/>
    <x v="0"/>
    <s v="PLAQUETTES"/>
    <s v="356x26 RPI"/>
    <n v="47.8"/>
  </r>
  <r>
    <d v="2025-06-21T01:59:51"/>
    <x v="1"/>
    <s v="Plaquettes de finition"/>
    <s v="171124"/>
    <s v="GONIN AGNES"/>
    <n v="5"/>
    <x v="2"/>
    <x v="1"/>
    <s v="PLAQUETTES"/>
    <s v="302x26 RPI"/>
    <n v="47.8"/>
  </r>
  <r>
    <d v="2025-06-21T02:00:06"/>
    <x v="1"/>
    <s v="Plaquettes de finition"/>
    <s v="171124"/>
    <s v="GONIN AGNES"/>
    <n v="5"/>
    <x v="2"/>
    <x v="1"/>
    <s v="PLAQUETTES"/>
    <s v="302x26 RPI"/>
    <n v="47.8"/>
  </r>
  <r>
    <d v="2025-06-23T05:43:31"/>
    <x v="1"/>
    <s v="Plaquettes de finition"/>
    <s v="U037238"/>
    <s v="PRIEUR OLIVIER"/>
    <n v="5"/>
    <x v="2"/>
    <x v="1"/>
    <s v="PLAQUETTES"/>
    <s v="302x26 RPI"/>
    <n v="47.8"/>
  </r>
  <r>
    <d v="2025-06-23T13:29:34"/>
    <x v="1"/>
    <s v="Plaquettes de finition"/>
    <s v="280225"/>
    <s v="FERNANDES DOS SANTOS REMY"/>
    <n v="5"/>
    <x v="1"/>
    <x v="0"/>
    <s v="PLAQUETTES"/>
    <s v="356x26 RPI"/>
    <n v="47.8"/>
  </r>
  <r>
    <d v="2025-06-24T13:22:52"/>
    <x v="1"/>
    <s v="Plaquettes de finition"/>
    <s v="280225"/>
    <s v="FERNANDES DOS SANTOS REMY"/>
    <n v="5"/>
    <x v="1"/>
    <x v="0"/>
    <s v="PLAQUETTES"/>
    <s v="356x26 RPI"/>
    <n v="47.8"/>
  </r>
  <r>
    <d v="2025-06-24T18:47:19"/>
    <x v="1"/>
    <s v="Plaquettes de finition"/>
    <s v="SE08251"/>
    <s v="FAYET AYMERIC"/>
    <n v="5"/>
    <x v="3"/>
    <x v="0"/>
    <s v="PLAQUETTES"/>
    <s v="304x28 RPE"/>
    <n v="47.8"/>
  </r>
  <r>
    <d v="2025-06-24T20:51:59"/>
    <x v="1"/>
    <s v="Plaquettes de finition"/>
    <s v="SE08251"/>
    <s v="FAYET AYMERIC"/>
    <n v="5"/>
    <x v="0"/>
    <x v="0"/>
    <s v="PLAQUETTES"/>
    <s v="356x26 RPI"/>
    <n v="47.8"/>
  </r>
  <r>
    <d v="2025-06-25T05:54:06"/>
    <x v="1"/>
    <s v="Plaquettes de finition"/>
    <s v="U037238"/>
    <s v="PRIEUR OLIVIER"/>
    <n v="5"/>
    <x v="2"/>
    <x v="1"/>
    <s v="PLAQUETTES"/>
    <s v="302x26 RPI"/>
    <n v="47.8"/>
  </r>
  <r>
    <d v="2025-06-25T15:20:24"/>
    <x v="1"/>
    <s v="Plaquettes de finition"/>
    <s v="280225"/>
    <s v="FERNANDES DOS SANTOS REMY"/>
    <n v="5"/>
    <x v="1"/>
    <x v="0"/>
    <s v="PLAQUETTES"/>
    <s v="356x26 RPI"/>
    <n v="47.8"/>
  </r>
  <r>
    <d v="2025-06-26T15:24:12"/>
    <x v="1"/>
    <s v="Plaquettes de finition"/>
    <s v="280225"/>
    <s v="FERNANDES DOS SANTOS REMY"/>
    <n v="5"/>
    <x v="1"/>
    <x v="0"/>
    <s v="PLAQUETTES"/>
    <s v="356x26 RPI"/>
    <n v="47.8"/>
  </r>
  <r>
    <d v="2025-06-26T17:34:22"/>
    <x v="1"/>
    <s v="Plaquettes de finition"/>
    <s v="280225"/>
    <s v="FERNANDES DOS SANTOS REMY"/>
    <n v="5"/>
    <x v="2"/>
    <x v="1"/>
    <s v="PLAQUETTES"/>
    <s v="302x26 RPI"/>
    <n v="47.8"/>
  </r>
  <r>
    <d v="2025-06-27T12:00:51"/>
    <x v="1"/>
    <s v="Plaquettes de finition"/>
    <s v="U109136"/>
    <s v="WIPLIE FREDERIC"/>
    <n v="5"/>
    <x v="1"/>
    <x v="0"/>
    <s v="PLAQUETTES"/>
    <s v="356x26 RPI"/>
    <n v="47.8"/>
  </r>
  <r>
    <d v="2025-06-27T21:18:53"/>
    <x v="1"/>
    <s v="Plaquettes de finition"/>
    <s v="SD75051"/>
    <s v="COMBALUZIER LUCAS"/>
    <n v="5"/>
    <x v="3"/>
    <x v="0"/>
    <s v="PLAQUETTES"/>
    <s v="304x28 RPE"/>
    <n v="47.8"/>
  </r>
  <r>
    <d v="2025-06-28T10:26:52"/>
    <x v="1"/>
    <s v="Plaquettes de finition"/>
    <s v="U109136"/>
    <s v="WIPLIE FREDERIC"/>
    <n v="5"/>
    <x v="1"/>
    <x v="0"/>
    <s v="PLAQUETTES"/>
    <s v="356x26 RPI"/>
    <n v="47.8"/>
  </r>
  <r>
    <d v="2025-06-29T17:53:04"/>
    <x v="1"/>
    <s v="Plaquettes de finition"/>
    <s v="U109136"/>
    <s v="WIPLIE FREDERIC"/>
    <n v="5"/>
    <x v="1"/>
    <x v="0"/>
    <s v="PLAQUETTES"/>
    <s v="356x26 RPI"/>
    <n v="47.8"/>
  </r>
  <r>
    <d v="2025-06-29T21:55:51"/>
    <x v="1"/>
    <s v="Plaquettes de finition"/>
    <s v="J529792"/>
    <s v="LEBRE CHRISTOPHE"/>
    <n v="5"/>
    <x v="2"/>
    <x v="1"/>
    <s v="PLAQUETTES"/>
    <s v="302x26 RPI"/>
    <n v="47.8"/>
  </r>
  <r>
    <d v="2025-06-30T06:39:57"/>
    <x v="0"/>
    <s v="Plaquettes de finition"/>
    <s v="SE08251"/>
    <s v="FAYET AYMERIC"/>
    <n v="10"/>
    <x v="0"/>
    <x v="0"/>
    <s v="PLAQUETTES"/>
    <s v="290x12"/>
    <n v="109.7"/>
  </r>
  <r>
    <d v="2025-06-30T06:43:17"/>
    <x v="0"/>
    <s v="Plaquettes de finition"/>
    <s v="SE08251"/>
    <s v="FAYET AYMERIC"/>
    <n v="10"/>
    <x v="0"/>
    <x v="0"/>
    <s v="PLAQUETTES"/>
    <s v="304x28 RPE"/>
    <n v="109.7"/>
  </r>
  <r>
    <d v="2025-06-30T14:27:29"/>
    <x v="1"/>
    <s v="Plaquettes de finition"/>
    <s v="SD75051"/>
    <s v="COMBALUZIER LUCAS"/>
    <n v="5"/>
    <x v="3"/>
    <x v="0"/>
    <s v="PLAQUETTES"/>
    <s v="304x28 RPE"/>
    <n v="47.8"/>
  </r>
  <r>
    <d v="2025-06-30T14:36:03"/>
    <x v="1"/>
    <s v="Plaquettes de finition"/>
    <s v="u636817"/>
    <s v="MOCQUEREAU LYDIE"/>
    <n v="5"/>
    <x v="2"/>
    <x v="1"/>
    <s v="PLAQUETTES"/>
    <s v="302x26 RPI"/>
    <n v="47.8"/>
  </r>
  <r>
    <d v="2025-06-30T14:36:36"/>
    <x v="1"/>
    <s v="Plaquettes de finition"/>
    <s v="u636817"/>
    <s v="MOCQUEREAU LYDIE"/>
    <n v="5"/>
    <x v="2"/>
    <x v="1"/>
    <s v="PLAQUETTES"/>
    <s v="302x26 RPI"/>
    <n v="47.8"/>
  </r>
  <r>
    <d v="2025-07-01T05:30:46"/>
    <x v="1"/>
    <s v="Plaquettes de finition"/>
    <s v="280225"/>
    <s v="FERNANDES DOS SANTOS REMY"/>
    <n v="5"/>
    <x v="1"/>
    <x v="0"/>
    <s v="PLAQUETTES"/>
    <s v="356x26 RPI"/>
    <n v="47.8"/>
  </r>
  <r>
    <d v="2025-07-02T08:46:57"/>
    <x v="1"/>
    <s v="Plaquettes de finition"/>
    <s v="270725"/>
    <s v="GUIBERT EMERIC"/>
    <n v="5"/>
    <x v="2"/>
    <x v="1"/>
    <s v="PLAQUETTES"/>
    <s v="302x26 RPI"/>
    <n v="47.8"/>
  </r>
  <r>
    <d v="2025-07-03T05:37:48"/>
    <x v="1"/>
    <s v="Plaquettes de finition"/>
    <s v="SE08251"/>
    <s v="FAYET AYMERIC"/>
    <n v="5"/>
    <x v="1"/>
    <x v="0"/>
    <s v="PLAQUETTES"/>
    <s v="356x26 RPI"/>
    <n v="47.8"/>
  </r>
  <r>
    <d v="2025-07-03T06:33:01"/>
    <x v="1"/>
    <s v="Plaquettes de finition"/>
    <s v="SE08251"/>
    <s v="FAYET AYMERIC"/>
    <n v="5"/>
    <x v="0"/>
    <x v="0"/>
    <s v="PLAQUETTES"/>
    <s v="304x28 RPE"/>
    <n v="47.8"/>
  </r>
  <r>
    <d v="2025-07-03T06:41:39"/>
    <x v="1"/>
    <s v="Plaquettes de finition"/>
    <s v="270725"/>
    <s v="GUIBERT EMERIC"/>
    <n v="5"/>
    <x v="2"/>
    <x v="1"/>
    <s v="PLAQUETTES"/>
    <s v="302x26 RPI"/>
    <n v="47.8"/>
  </r>
  <r>
    <d v="2025-07-03T21:29:10"/>
    <x v="1"/>
    <s v="Plaquettes de finition"/>
    <s v="U037238"/>
    <s v="PRIEUR OLIVIER"/>
    <n v="5"/>
    <x v="2"/>
    <x v="1"/>
    <s v="PLAQUETTES"/>
    <s v="302x26 RPI"/>
    <n v="47.8"/>
  </r>
  <r>
    <d v="2025-07-03T21:29:56"/>
    <x v="1"/>
    <s v="Plaquettes de finition"/>
    <s v="U037238"/>
    <s v="PRIEUR OLIVIER"/>
    <n v="5"/>
    <x v="2"/>
    <x v="1"/>
    <s v="PLAQUETTES"/>
    <s v="302x26 RPI"/>
    <n v="47.8"/>
  </r>
  <r>
    <d v="2025-07-05T05:02:48"/>
    <x v="1"/>
    <s v="Plaquettes de finition"/>
    <s v="J529792"/>
    <s v="LEBRE CHRISTOPHE"/>
    <n v="5"/>
    <x v="2"/>
    <x v="1"/>
    <s v="PLAQUETTES"/>
    <s v="302x26 RPI"/>
    <n v="47.8"/>
  </r>
  <r>
    <d v="2025-07-05T05:03:23"/>
    <x v="1"/>
    <s v="Plaquettes de finition"/>
    <s v="J529792"/>
    <s v="LEBRE CHRISTOPHE"/>
    <n v="5"/>
    <x v="2"/>
    <x v="1"/>
    <s v="PLAQUETTES"/>
    <s v="302x26 RPI"/>
    <n v="47.8"/>
  </r>
  <r>
    <d v="2025-07-05T09:31:41"/>
    <x v="1"/>
    <s v="Plaquettes de finition"/>
    <s v="150725"/>
    <s v="ADOUL WASSIM"/>
    <n v="5"/>
    <x v="1"/>
    <x v="0"/>
    <s v="PLAQUETTES"/>
    <s v="356x26 RPI"/>
    <n v="47.8"/>
  </r>
  <r>
    <d v="2025-07-07T19:55:12"/>
    <x v="1"/>
    <s v="Plaquettes de finition"/>
    <s v="130124"/>
    <s v="MOHAMED ILDIRAY"/>
    <n v="5"/>
    <x v="1"/>
    <x v="0"/>
    <s v="PLAQUETTES"/>
    <s v="356x26 RPI"/>
    <n v="47.8"/>
  </r>
  <r>
    <d v="2025-07-07T19:55:26"/>
    <x v="1"/>
    <s v="Plaquettes de finition"/>
    <s v="130124"/>
    <s v="MOHAMED ILDIRAY"/>
    <n v="5"/>
    <x v="1"/>
    <x v="0"/>
    <s v="PLAQUETTES"/>
    <s v="356x26 RPI"/>
    <n v="47.8"/>
  </r>
  <r>
    <d v="2025-07-08T09:36:57"/>
    <x v="1"/>
    <s v="Plaquettes de finition"/>
    <s v="270725"/>
    <s v="GUIBERT EMERIC"/>
    <n v="5"/>
    <x v="2"/>
    <x v="1"/>
    <s v="PLAQUETTES"/>
    <s v="302x26 RPI"/>
    <n v="47.8"/>
  </r>
  <r>
    <d v="2025-07-08T23:48:49"/>
    <x v="1"/>
    <s v="Plaquettes de finition"/>
    <s v="j529800"/>
    <s v="MONTCHARMONT BAPTISTE"/>
    <n v="5"/>
    <x v="1"/>
    <x v="0"/>
    <s v="PLAQUETTES"/>
    <s v="304x28 RPE"/>
    <n v="47.8"/>
  </r>
  <r>
    <d v="2025-07-08T23:49:29"/>
    <x v="1"/>
    <s v="Plaquettes de finition"/>
    <s v="se08251"/>
    <s v="FAYET AYMERIC"/>
    <n v="5"/>
    <x v="0"/>
    <x v="0"/>
    <s v="PLAQUETTES"/>
    <s v="356x26 RPI"/>
    <n v="47.8"/>
  </r>
  <r>
    <d v="2025-07-10T03:14:03"/>
    <x v="1"/>
    <s v="Plaquettes de finition"/>
    <s v="171124"/>
    <s v="GONIN AGNES"/>
    <n v="5"/>
    <x v="2"/>
    <x v="1"/>
    <s v="PLAQUETTES"/>
    <s v="302x26 RPI"/>
    <n v="47.8"/>
  </r>
  <r>
    <d v="2025-07-10T03:14:21"/>
    <x v="1"/>
    <s v="Plaquettes de finition"/>
    <s v="171124"/>
    <s v="GONIN AGNES"/>
    <n v="5"/>
    <x v="2"/>
    <x v="1"/>
    <s v="PLAQUETTES"/>
    <s v="302x26 RPI"/>
    <n v="47.8"/>
  </r>
  <r>
    <d v="2025-07-10T04:35:56"/>
    <x v="1"/>
    <s v="Plaquettes de finition"/>
    <s v="SE08251"/>
    <s v="FAYET AYMERIC"/>
    <n v="5"/>
    <x v="0"/>
    <x v="0"/>
    <s v="PLAQUETTES"/>
    <s v="356x26 RPI"/>
    <n v="47.8"/>
  </r>
  <r>
    <d v="2025-07-10T04:36:42"/>
    <x v="0"/>
    <s v="Plaquettes de finition"/>
    <s v="SE08251"/>
    <s v="FAYET AYMERIC"/>
    <n v="10"/>
    <x v="0"/>
    <x v="0"/>
    <s v="PLAQUETTES"/>
    <s v="356x26 RPI"/>
    <n v="109.7"/>
  </r>
  <r>
    <d v="2025-07-10T06:13:41"/>
    <x v="1"/>
    <s v="Plaquettes de finition"/>
    <s v="270725"/>
    <s v="GUIBERT EMERIC"/>
    <n v="5"/>
    <x v="2"/>
    <x v="1"/>
    <s v="PLAQUETTES"/>
    <s v="302x26 RPI"/>
    <n v="47.8"/>
  </r>
  <r>
    <d v="2025-07-11T07:43:10"/>
    <x v="1"/>
    <s v="Plaquettes de finition"/>
    <s v="150725"/>
    <s v="ADOUL WASSIM"/>
    <n v="5"/>
    <x v="0"/>
    <x v="0"/>
    <s v="PLAQUETTES"/>
    <s v="356x26 RPI"/>
    <n v="47.8"/>
  </r>
  <r>
    <d v="2025-07-11T12:00:31"/>
    <x v="1"/>
    <s v="Plaquettes de finition"/>
    <s v="J529792"/>
    <s v="LEBRE CHRISTOPHE"/>
    <n v="5"/>
    <x v="2"/>
    <x v="1"/>
    <s v="PLAQUETTES"/>
    <s v="302x26 RPI"/>
    <n v="47.8"/>
  </r>
  <r>
    <d v="2025-07-11T12:00:47"/>
    <x v="1"/>
    <s v="Plaquettes de finition"/>
    <s v="J529792"/>
    <s v="LEBRE CHRISTOPHE"/>
    <n v="5"/>
    <x v="2"/>
    <x v="1"/>
    <s v="PLAQUETTES"/>
    <s v="302x26 RPI"/>
    <n v="47.8"/>
  </r>
  <r>
    <d v="2025-07-11T13:11:30"/>
    <x v="0"/>
    <s v="Plaquettes de finition"/>
    <s v="130124"/>
    <s v="MOHAMED ILDIRAY"/>
    <n v="10"/>
    <x v="1"/>
    <x v="0"/>
    <s v="PLAQUETTES"/>
    <s v="304x28 RPE"/>
    <n v="109.7"/>
  </r>
  <r>
    <d v="2025-07-11T13:11:49"/>
    <x v="1"/>
    <s v="Plaquettes de finition"/>
    <s v="130124"/>
    <s v="MOHAMED ILDIRAY"/>
    <n v="5"/>
    <x v="1"/>
    <x v="0"/>
    <s v="PLAQUETTES"/>
    <s v="304x28 RPE"/>
    <n v="47.8"/>
  </r>
  <r>
    <d v="2025-07-12T00:13:23"/>
    <x v="1"/>
    <s v="Plaquettes de finition"/>
    <s v="j529800"/>
    <s v="MONTCHARMONT BAPTISTE"/>
    <n v="5"/>
    <x v="1"/>
    <x v="0"/>
    <s v="PLAQUETTES"/>
    <s v="304x28 RPE"/>
    <n v="47.8"/>
  </r>
  <r>
    <d v="2025-07-13T05:26:36"/>
    <x v="1"/>
    <s v="Plaquettes de finition"/>
    <s v="150725"/>
    <s v="ADOUL WASSIM"/>
    <n v="5"/>
    <x v="0"/>
    <x v="0"/>
    <s v="PLAQUETTES"/>
    <s v="356x26 RPI"/>
    <n v="47.8"/>
  </r>
  <r>
    <d v="2025-07-13T14:34:48"/>
    <x v="1"/>
    <s v="Plaquettes de finition"/>
    <s v="150725"/>
    <s v="ADOUL WASSIM"/>
    <n v="5"/>
    <x v="0"/>
    <x v="0"/>
    <s v="PLAQUETTES"/>
    <s v="356x26 RPI"/>
    <n v="47.8"/>
  </r>
  <r>
    <d v="2025-07-13T22:21:41"/>
    <x v="1"/>
    <s v="Plaquettes de finition"/>
    <s v="U109136"/>
    <s v="WIPLIE FREDERIC"/>
    <n v="5"/>
    <x v="1"/>
    <x v="0"/>
    <s v="PLAQUETTES"/>
    <s v="304x28 RPE"/>
    <n v="47.8"/>
  </r>
  <r>
    <d v="2025-07-14T05:15:06"/>
    <x v="1"/>
    <s v="Plaquettes de finition"/>
    <s v="U037238"/>
    <s v="PRIEUR OLIVIER"/>
    <n v="5"/>
    <x v="2"/>
    <x v="1"/>
    <s v="PLAQUETTES"/>
    <s v="302x26 RPI"/>
    <n v="47.8"/>
  </r>
  <r>
    <d v="2025-07-14T23:12:26"/>
    <x v="1"/>
    <s v="Plaquettes de finition"/>
    <s v="270725"/>
    <s v="GUIBERT EMERIC"/>
    <n v="5"/>
    <x v="2"/>
    <x v="1"/>
    <s v="PLAQUETTES"/>
    <s v="302x26 RPI"/>
    <n v="47.8"/>
  </r>
  <r>
    <d v="2025-07-15T05:04:29"/>
    <x v="1"/>
    <s v="Plaquettes de finition"/>
    <s v="130124"/>
    <s v="MOHAMED ILDIRAY"/>
    <n v="5"/>
    <x v="1"/>
    <x v="0"/>
    <s v="PLAQUETTES"/>
    <s v="304x28 RPE"/>
    <n v="47.8"/>
  </r>
  <r>
    <d v="2025-07-15T06:49:10"/>
    <x v="1"/>
    <s v="Plaquettes de finition"/>
    <s v="130124"/>
    <s v="MOHAMED ILDIRAY"/>
    <n v="5"/>
    <x v="0"/>
    <x v="0"/>
    <s v="PLAQUETTES"/>
    <s v="356x26 RPI"/>
    <n v="47.8"/>
  </r>
  <r>
    <d v="2025-07-16T04:36:27"/>
    <x v="1"/>
    <s v="Plaquettes de finition"/>
    <s v="130325"/>
    <s v="PAPONNEAU JULIEN"/>
    <n v="5"/>
    <x v="1"/>
    <x v="0"/>
    <s v="PLAQUETTES"/>
    <s v="304x28 RPE"/>
    <n v="47.8"/>
  </r>
  <r>
    <d v="2025-07-16T04:36:47"/>
    <x v="1"/>
    <s v="Plaquettes de finition"/>
    <s v="130325"/>
    <s v="PAPONNEAU JULIEN"/>
    <n v="5"/>
    <x v="1"/>
    <x v="0"/>
    <s v="PLAQUETTES"/>
    <s v="304x28 RPE"/>
    <n v="47.8"/>
  </r>
  <r>
    <d v="2025-07-16T05:39:32"/>
    <x v="1"/>
    <s v="Plaquettes de finition"/>
    <s v="U037238"/>
    <s v="PRIEUR OLIVIER"/>
    <n v="5"/>
    <x v="2"/>
    <x v="1"/>
    <s v="PLAQUETTES"/>
    <s v="302x26 RPI"/>
    <n v="47.8"/>
  </r>
  <r>
    <d v="2025-07-16T06:05:55"/>
    <x v="1"/>
    <s v="Plaquettes de finition"/>
    <s v="130124"/>
    <s v="MOHAMED ILDIRAY"/>
    <n v="5"/>
    <x v="1"/>
    <x v="0"/>
    <s v="PLAQUETTES"/>
    <s v="304x28 RPE"/>
    <n v="47.8"/>
  </r>
  <r>
    <d v="2025-07-16T09:03:06"/>
    <x v="1"/>
    <s v="Plaquettes de finition"/>
    <s v="U037238"/>
    <s v="PRIEUR OLIVIER"/>
    <n v="5"/>
    <x v="2"/>
    <x v="1"/>
    <s v="PLAQUETTES"/>
    <s v="302x26 RPI"/>
    <n v="47.8"/>
  </r>
  <r>
    <d v="2025-07-16T19:52:28"/>
    <x v="1"/>
    <s v="Plaquettes de finition"/>
    <s v="SE08251"/>
    <s v="FAYET AYMERIC"/>
    <n v="5"/>
    <x v="0"/>
    <x v="0"/>
    <s v="PLAQUETTES"/>
    <s v="356x26 RPI"/>
    <n v="47.8"/>
  </r>
  <r>
    <d v="2025-07-16T21:38:16"/>
    <x v="1"/>
    <s v="Plaquettes de finition"/>
    <s v="270725"/>
    <s v="GUIBERT EMERIC"/>
    <n v="5"/>
    <x v="2"/>
    <x v="1"/>
    <s v="PLAQUETTES"/>
    <s v="302x26 RPI"/>
    <n v="47.8"/>
  </r>
  <r>
    <d v="2025-07-17T05:07:32"/>
    <x v="1"/>
    <s v="Plaquettes de finition"/>
    <s v="130124"/>
    <s v="MOHAMED ILDIRAY"/>
    <n v="5"/>
    <x v="1"/>
    <x v="0"/>
    <s v="PLAQUETTES"/>
    <s v="304x28 RPE"/>
    <n v="47.8"/>
  </r>
  <r>
    <d v="2025-07-17T05:14:06"/>
    <x v="1"/>
    <s v="Plaquettes de finition"/>
    <s v="101123"/>
    <s v="BRUNET ANDREA"/>
    <n v="5"/>
    <x v="2"/>
    <x v="1"/>
    <s v="PLAQUETTES"/>
    <s v="302x26 RPI"/>
    <n v="47.8"/>
  </r>
  <r>
    <d v="2025-07-17T10:51:05"/>
    <x v="1"/>
    <s v="Plaquettes de finition"/>
    <s v="SD13196"/>
    <s v="FRADIN MAXIME"/>
    <n v="5"/>
    <x v="0"/>
    <x v="0"/>
    <s v="PLAQUETTES"/>
    <s v="356x26 RPI"/>
    <n v="47.8"/>
  </r>
  <r>
    <d v="2025-07-17T21:53:04"/>
    <x v="1"/>
    <s v="Plaquettes de finition"/>
    <s v="SD75051"/>
    <s v="COMBALUZIER LUCAS"/>
    <n v="5"/>
    <x v="0"/>
    <x v="0"/>
    <s v="PLAQUETTES"/>
    <s v="356x26 RPI"/>
    <n v="47.8"/>
  </r>
  <r>
    <d v="2025-07-18T05:20:49"/>
    <x v="1"/>
    <s v="Plaquettes de finition"/>
    <s v="J529792"/>
    <s v="LEBRE CHRISTOPHE"/>
    <n v="5"/>
    <x v="2"/>
    <x v="1"/>
    <s v="PLAQUETTES"/>
    <s v="302x26 RPI"/>
    <n v="47.8"/>
  </r>
  <r>
    <d v="2025-07-18T05:21:23"/>
    <x v="1"/>
    <s v="Plaquettes de finition"/>
    <s v="J529792"/>
    <s v="LEBRE CHRISTOPHE"/>
    <n v="5"/>
    <x v="2"/>
    <x v="1"/>
    <s v="PLAQUETTES"/>
    <s v="302x26 RPI"/>
    <n v="47.8"/>
  </r>
  <r>
    <d v="2025-07-18T13:46:49"/>
    <x v="1"/>
    <s v="Plaquettes de finition"/>
    <s v="j529800"/>
    <s v="MONTCHARMONT BAPTISTE"/>
    <n v="5"/>
    <x v="1"/>
    <x v="0"/>
    <s v="PLAQUETTES"/>
    <s v="304x28 RPE"/>
    <n v="47.8"/>
  </r>
  <r>
    <d v="2025-07-18T15:15:49"/>
    <x v="1"/>
    <s v="Plaquettes de finition"/>
    <s v="SE08251"/>
    <s v="FAYET AYMERIC"/>
    <n v="5"/>
    <x v="0"/>
    <x v="0"/>
    <s v="PLAQUETTES"/>
    <s v="356x26 RPI"/>
    <n v="47.8"/>
  </r>
  <r>
    <d v="2025-07-18T21:58:18"/>
    <x v="1"/>
    <s v="Plaquettes de finition"/>
    <s v="sc95213"/>
    <s v="RABET PAULINE"/>
    <n v="5"/>
    <x v="1"/>
    <x v="0"/>
    <s v="PLAQUETTES"/>
    <s v="302x26 RPI"/>
    <n v="47.8"/>
  </r>
  <r>
    <d v="2025-07-20T18:47:48"/>
    <x v="1"/>
    <s v="Plaquettes de finition"/>
    <s v="U109136"/>
    <s v="WIPLIE FREDERIC"/>
    <n v="5"/>
    <x v="0"/>
    <x v="0"/>
    <s v="PLAQUETTES"/>
    <s v="356x26 RPI"/>
    <n v="47.8"/>
  </r>
  <r>
    <d v="2025-07-20T19:31:17"/>
    <x v="1"/>
    <s v="Plaquettes de finition"/>
    <s v="u080365"/>
    <s v="ALAVOINE SAMUEL"/>
    <n v="5"/>
    <x v="1"/>
    <x v="0"/>
    <s v="PLAQUETTES"/>
    <s v="304x28 RPE"/>
    <n v="47.8"/>
  </r>
  <r>
    <d v="2025-07-20T19:31:50"/>
    <x v="1"/>
    <s v="Plaquettes de finition"/>
    <s v="u080365"/>
    <s v="ALAVOINE SAMUEL"/>
    <n v="5"/>
    <x v="1"/>
    <x v="0"/>
    <s v="PLAQUETTES"/>
    <s v="304x28 RPE"/>
    <n v="47.8"/>
  </r>
  <r>
    <d v="2025-07-21T07:57:36"/>
    <x v="0"/>
    <s v="Plaquettes de finition"/>
    <s v="SE08251"/>
    <s v="FAYET AYMERIC"/>
    <n v="10"/>
    <x v="0"/>
    <x v="0"/>
    <s v="PLAQUETTES"/>
    <s v="356x26 RPI"/>
    <n v="109.7"/>
  </r>
  <r>
    <d v="2025-07-21T17:51:01"/>
    <x v="1"/>
    <s v="Plaquettes de finition"/>
    <s v="SD75051"/>
    <s v="COMBALUZIER LUCAS"/>
    <n v="5"/>
    <x v="0"/>
    <x v="0"/>
    <s v="PLAQUETTES"/>
    <s v="356x26 RPI"/>
    <n v="47.8"/>
  </r>
  <r>
    <d v="2025-07-21T17:53:06"/>
    <x v="1"/>
    <s v="Plaquettes de finition"/>
    <s v="270725"/>
    <s v="GUIBERT EMERIC"/>
    <n v="5"/>
    <x v="2"/>
    <x v="1"/>
    <s v="PLAQUETTES"/>
    <s v="302x26 RPI"/>
    <n v="47.8"/>
  </r>
  <r>
    <d v="2025-07-21T21:54:48"/>
    <x v="1"/>
    <s v="Plaquettes de finition"/>
    <s v="101123"/>
    <s v="BRUNET ANDREA"/>
    <n v="5"/>
    <x v="1"/>
    <x v="0"/>
    <s v="PLAQUETTES"/>
    <s v="304x28 RPE"/>
    <n v="47.8"/>
  </r>
  <r>
    <d v="2025-07-22T18:47:07"/>
    <x v="1"/>
    <s v="Plaquettes de finition"/>
    <s v="SD75051"/>
    <s v="COMBALUZIER LUCAS"/>
    <n v="5"/>
    <x v="0"/>
    <x v="0"/>
    <s v="PLAQUETTES"/>
    <s v="356x26 RPI"/>
    <n v="47.8"/>
  </r>
  <r>
    <d v="2025-07-22T21:06:10"/>
    <x v="1"/>
    <s v="Plaquettes de finition"/>
    <s v="101123"/>
    <s v="BRUNET ANDREA"/>
    <n v="5"/>
    <x v="1"/>
    <x v="0"/>
    <s v="PLAQUETTES"/>
    <s v="304x28 RPE"/>
    <n v="47.8"/>
  </r>
  <r>
    <d v="2025-07-23T10:33:24"/>
    <x v="1"/>
    <s v="Plaquettes de finition"/>
    <s v="j529800"/>
    <s v="MONTCHARMONT BAPTISTE"/>
    <n v="5"/>
    <x v="0"/>
    <x v="0"/>
    <s v="PLAQUETTES"/>
    <s v="356x26 RPI"/>
    <n v="47.8"/>
  </r>
  <r>
    <d v="2025-07-23T18:53:54"/>
    <x v="1"/>
    <s v="Plaquettes de finition"/>
    <s v="270725"/>
    <s v="GUIBERT EMERIC"/>
    <n v="5"/>
    <x v="2"/>
    <x v="1"/>
    <s v="PLAQUETTES"/>
    <s v="302x26 RPI"/>
    <n v="47.8"/>
  </r>
  <r>
    <d v="2025-07-23T21:05:41"/>
    <x v="1"/>
    <s v="Plaquettes de finition"/>
    <s v="130124"/>
    <s v="MOHAMED ILDIRAY"/>
    <n v="5"/>
    <x v="1"/>
    <x v="0"/>
    <s v="PLAQUETTES"/>
    <s v="304x28 RPE"/>
    <n v="47.8"/>
  </r>
  <r>
    <d v="2025-07-23T22:38:20"/>
    <x v="1"/>
    <s v="Plaquettes de finition"/>
    <s v="130124"/>
    <s v="MOHAMED ILDIRAY"/>
    <n v="5"/>
    <x v="1"/>
    <x v="0"/>
    <s v="PLAQUETTES"/>
    <s v="304x28 RPE"/>
    <n v="47.8"/>
  </r>
  <r>
    <d v="2025-07-24T03:17:24"/>
    <x v="1"/>
    <s v="Plaquettes de finition"/>
    <s v="101224"/>
    <s v="CHAZEAU KYLIAN"/>
    <n v="5"/>
    <x v="0"/>
    <x v="0"/>
    <s v="PLAQUETTES"/>
    <s v="356x26 RPI"/>
    <n v="47.8"/>
  </r>
  <r>
    <d v="2025-07-24T05:44:28"/>
    <x v="1"/>
    <s v="Plaquettes de finition"/>
    <s v="j529800"/>
    <s v="MONTCHARMONT BAPTISTE"/>
    <n v="5"/>
    <x v="0"/>
    <x v="0"/>
    <s v="PLAQUETTES"/>
    <s v="356x26 RPI"/>
    <n v="47.8"/>
  </r>
  <r>
    <d v="2025-07-24T21:48:28"/>
    <x v="1"/>
    <s v="Plaquettes de finition"/>
    <s v="130124"/>
    <s v="MOHAMED ILDIRAY"/>
    <n v="5"/>
    <x v="1"/>
    <x v="0"/>
    <s v="PLAQUETTES"/>
    <s v="304x28 RPE"/>
    <n v="47.8"/>
  </r>
  <r>
    <d v="2025-07-25T09:08:50"/>
    <x v="1"/>
    <s v="Plaquettes de finition"/>
    <s v="U109136"/>
    <s v="WIPLIE FREDERIC"/>
    <n v="5"/>
    <x v="1"/>
    <x v="0"/>
    <s v="PLAQUETTES"/>
    <s v="304x28 RPE"/>
    <n v="47.8"/>
  </r>
  <r>
    <d v="2025-07-27T22:06:41"/>
    <x v="1"/>
    <s v="Plaquettes de finition"/>
    <s v="J529792"/>
    <s v="LEBRE CHRISTOPHE"/>
    <n v="5"/>
    <x v="2"/>
    <x v="1"/>
    <s v="PLAQUETTES"/>
    <s v="302x26 RPI"/>
    <n v="47.8"/>
  </r>
  <r>
    <d v="2025-07-28T13:52:56"/>
    <x v="1"/>
    <s v="Plaquettes de finition"/>
    <s v="140325"/>
    <s v="BOUCLIER JONATHAN"/>
    <n v="5"/>
    <x v="2"/>
    <x v="1"/>
    <s v="PLAQUETTES"/>
    <s v="302x26 RPI"/>
    <n v="47.8"/>
  </r>
  <r>
    <d v="2025-07-30T14:07:07"/>
    <x v="1"/>
    <s v="Plaquettes de finition"/>
    <s v="140325"/>
    <s v="BOUCLIER JONATHAN"/>
    <n v="5"/>
    <x v="2"/>
    <x v="1"/>
    <s v="PLAQUETTES"/>
    <s v="302x26 RPI"/>
    <n v="47.8"/>
  </r>
  <r>
    <d v="2025-08-14T09:41:27"/>
    <x v="1"/>
    <s v="Plaquettes de finition"/>
    <s v="u636817"/>
    <s v="MOCQUEREAU LYDIE"/>
    <n v="5"/>
    <x v="2"/>
    <x v="1"/>
    <s v="PLAQUETTES"/>
    <s v="302x26 RPI"/>
    <n v="47.8"/>
  </r>
  <r>
    <d v="2025-08-14T09:41:48"/>
    <x v="1"/>
    <s v="Plaquettes de finition"/>
    <s v="u636817"/>
    <s v="MOCQUEREAU LYDIE"/>
    <n v="5"/>
    <x v="2"/>
    <x v="1"/>
    <s v="PLAQUETTES"/>
    <s v="302x26 RPI"/>
    <n v="47.8"/>
  </r>
  <r>
    <d v="2025-08-18T05:20:23"/>
    <x v="1"/>
    <s v="Plaquettes de finition"/>
    <s v="SD75051"/>
    <s v="COMBALUZIER LUCAS"/>
    <n v="5"/>
    <x v="1"/>
    <x v="0"/>
    <s v="PLAQUETTES"/>
    <s v="304x28 RPE"/>
    <n v="47.8"/>
  </r>
  <r>
    <d v="2025-08-18T22:23:50"/>
    <x v="1"/>
    <s v="Plaquettes de finition"/>
    <s v="280225"/>
    <s v="FERNANDES DOS SANTOS REMY"/>
    <n v="5"/>
    <x v="1"/>
    <x v="0"/>
    <s v="PLAQUETTES"/>
    <s v="304x28 RPE"/>
    <n v="47.8"/>
  </r>
  <r>
    <d v="2025-08-18T22:24:10"/>
    <x v="0"/>
    <s v="Plaquettes de finition"/>
    <s v="280225"/>
    <s v="FERNANDES DOS SANTOS REMY"/>
    <n v="10"/>
    <x v="1"/>
    <x v="0"/>
    <s v="PLAQUETTES"/>
    <s v="304x28 RPE"/>
    <n v="109.7"/>
  </r>
  <r>
    <d v="2025-08-19T16:44:51"/>
    <x v="1"/>
    <s v="Plaquettes de finition"/>
    <s v="U561365"/>
    <s v="BALLY BENOIT"/>
    <n v="5"/>
    <x v="2"/>
    <x v="1"/>
    <s v="PLAQUETTES"/>
    <s v="302x26 RPI"/>
    <n v="47.8"/>
  </r>
  <r>
    <d v="2025-08-19T18:10:23"/>
    <x v="1"/>
    <s v="Plaquettes de finition"/>
    <s v="3224"/>
    <s v="BIDOT MURIEL"/>
    <n v="5"/>
    <x v="1"/>
    <x v="0"/>
    <s v="PLAQUETTES"/>
    <s v="304x28 RPE"/>
    <n v="47.8"/>
  </r>
  <r>
    <d v="2025-08-20T05:41:40"/>
    <x v="1"/>
    <s v="Plaquettes de finition"/>
    <s v="040725"/>
    <s v="BARGEOT LUCAS"/>
    <n v="5"/>
    <x v="0"/>
    <x v="0"/>
    <s v="PLAQUETTES"/>
    <s v="356x26 RPI"/>
    <n v="47.8"/>
  </r>
  <r>
    <d v="2025-08-20T09:15:05"/>
    <x v="1"/>
    <s v="Plaquettes de finition"/>
    <s v="SD75051"/>
    <s v="COMBALUZIER LUCAS"/>
    <n v="5"/>
    <x v="1"/>
    <x v="0"/>
    <s v="PLAQUETTES"/>
    <s v="304x28 RPE"/>
    <n v="47.8"/>
  </r>
  <r>
    <d v="2025-08-20T13:33:03"/>
    <x v="1"/>
    <s v="Plaquettes de finition"/>
    <s v="U561365"/>
    <s v="BALLY BENOIT"/>
    <n v="5"/>
    <x v="2"/>
    <x v="1"/>
    <s v="PLAQUETTES"/>
    <s v="302x26 RPI"/>
    <n v="47.8"/>
  </r>
  <r>
    <d v="2025-08-20T13:33:36"/>
    <x v="1"/>
    <s v="Plaquettes de finition"/>
    <s v="U561365"/>
    <s v="BALLY BENOIT"/>
    <n v="5"/>
    <x v="2"/>
    <x v="1"/>
    <s v="PLAQUETTES"/>
    <s v="302x26 RPI"/>
    <n v="47.8"/>
  </r>
  <r>
    <d v="2025-08-20T15:30:28"/>
    <x v="1"/>
    <s v="Plaquettes de finition"/>
    <s v="3224"/>
    <s v="BIDOT MURIEL"/>
    <n v="5"/>
    <x v="1"/>
    <x v="0"/>
    <s v="PLAQUETTES"/>
    <s v="304x28 RPE"/>
    <n v="47.8"/>
  </r>
  <r>
    <d v="2025-08-21T13:50:46"/>
    <x v="1"/>
    <s v="Plaquettes de finition"/>
    <s v="3224"/>
    <s v="BIDOT MURIEL"/>
    <n v="5"/>
    <x v="1"/>
    <x v="0"/>
    <s v="PLAQUETTES"/>
    <s v="304x28 RPE"/>
    <n v="47.8"/>
  </r>
  <r>
    <d v="2025-08-21T22:08:28"/>
    <x v="1"/>
    <s v="Plaquettes de finition"/>
    <s v="280225"/>
    <s v="FERNANDES DOS SANTOS REMY"/>
    <n v="5"/>
    <x v="0"/>
    <x v="0"/>
    <s v="PLAQUETTES"/>
    <s v="356x26 RPI"/>
    <n v="47.8"/>
  </r>
  <r>
    <d v="2025-08-23T02:22:11"/>
    <x v="1"/>
    <s v="Plaquettes de finition"/>
    <s v="j529800"/>
    <s v="MONTCHARMONT BAPTISTE"/>
    <n v="5"/>
    <x v="0"/>
    <x v="0"/>
    <s v="PLAQUETTES"/>
    <s v="356x26 RPI"/>
    <n v="47.8"/>
  </r>
  <r>
    <d v="2025-08-23T05:46:09"/>
    <x v="1"/>
    <s v="Plaquettes de finition"/>
    <s v="DELIAT C"/>
    <s v="DELIAT CHRISTOPHE"/>
    <n v="5"/>
    <x v="1"/>
    <x v="0"/>
    <s v="PLAQUETTES"/>
    <s v="304x28 RPE"/>
    <n v="47.8"/>
  </r>
  <r>
    <d v="2025-08-23T05:46:30"/>
    <x v="0"/>
    <s v="Plaquettes de finition"/>
    <s v="DELIAT C"/>
    <s v="DELIAT CHRISTOPHE"/>
    <n v="10"/>
    <x v="1"/>
    <x v="0"/>
    <s v="PLAQUETTES"/>
    <s v="304x28 RPE"/>
    <n v="109.7"/>
  </r>
  <r>
    <d v="2025-08-23T11:19:49"/>
    <x v="1"/>
    <s v="Plaquettes de finition"/>
    <s v="U080365"/>
    <s v="ALAVOINE SAMUEL"/>
    <n v="5"/>
    <x v="0"/>
    <x v="0"/>
    <s v="PLAQUETTES"/>
    <s v="356x26 RPI"/>
    <n v="47.8"/>
  </r>
  <r>
    <d v="2025-08-24T17:03:00"/>
    <x v="1"/>
    <s v="Plaquettes de finition"/>
    <s v="J529792"/>
    <s v="LEBRE CHRISTOPHE"/>
    <n v="5"/>
    <x v="2"/>
    <x v="1"/>
    <s v="PLAQUETTES"/>
    <s v="302x26 RPI"/>
    <n v="47.8"/>
  </r>
  <r>
    <d v="2025-08-24T20:06:35"/>
    <x v="0"/>
    <s v="Plaquettes de finition"/>
    <s v="U080365"/>
    <s v="ALAVOINE SAMUEL"/>
    <n v="10"/>
    <x v="0"/>
    <x v="0"/>
    <s v="PLAQUETTES"/>
    <s v="356x26 RPI"/>
    <n v="109.7"/>
  </r>
  <r>
    <d v="2025-08-25T00:22:10"/>
    <x v="1"/>
    <s v="Plaquettes de finition"/>
    <s v="DELIAT C"/>
    <s v="DELIAT CHRISTOPHE"/>
    <n v="5"/>
    <x v="1"/>
    <x v="0"/>
    <s v="PLAQUETTES"/>
    <s v="304x28 RPE"/>
    <n v="47.8"/>
  </r>
  <r>
    <d v="2025-08-25T16:27:55"/>
    <x v="1"/>
    <s v="Plaquettes de finition"/>
    <s v="040725"/>
    <s v="BARGEOT LUCAS"/>
    <n v="5"/>
    <x v="0"/>
    <x v="0"/>
    <s v="PLAQUETTES"/>
    <s v="356x26 RPI"/>
    <n v="47.8"/>
  </r>
  <r>
    <d v="2025-08-25T21:23:32"/>
    <x v="1"/>
    <s v="Plaquettes de finition"/>
    <s v="U037238"/>
    <s v="PRIEUR OLIVIER"/>
    <n v="5"/>
    <x v="2"/>
    <x v="1"/>
    <s v="PLAQUETTES"/>
    <s v="302x26 RPI"/>
    <n v="47.8"/>
  </r>
  <r>
    <d v="2025-08-26T06:16:21"/>
    <x v="1"/>
    <s v="Plaquettes de finition"/>
    <s v="U505000"/>
    <s v="RECEVEUR BENOIT"/>
    <n v="5"/>
    <x v="0"/>
    <x v="0"/>
    <s v="PLAQUETTES"/>
    <s v="356x26 RPI"/>
    <n v="47.8"/>
  </r>
  <r>
    <d v="2025-08-26T06:28:02"/>
    <x v="1"/>
    <s v="Plaquettes de finition"/>
    <s v="101123"/>
    <s v="BRUNET ANDREA"/>
    <n v="5"/>
    <x v="1"/>
    <x v="0"/>
    <s v="PLAQUETTES"/>
    <s v="304x28 RPE"/>
    <n v="47.8"/>
  </r>
  <r>
    <d v="2025-08-26T06:28:41"/>
    <x v="1"/>
    <s v="Plaquettes de finition"/>
    <s v="101123"/>
    <s v="BRUNET ANDREA"/>
    <n v="5"/>
    <x v="2"/>
    <x v="1"/>
    <s v="PLAQUETTES"/>
    <s v="302x26 RPI"/>
    <n v="47.8"/>
  </r>
  <r>
    <d v="2025-08-26T14:05:48"/>
    <x v="1"/>
    <s v="Plaquettes de finition"/>
    <s v="040725"/>
    <s v="BARGEOT LUCAS"/>
    <n v="5"/>
    <x v="0"/>
    <x v="0"/>
    <s v="PLAQUETTES"/>
    <s v="356x26 RPI"/>
    <n v="47.8"/>
  </r>
  <r>
    <d v="2025-08-27T05:07:48"/>
    <x v="1"/>
    <s v="Plaquettes de finition"/>
    <s v="101123"/>
    <s v="BRUNET ANDREA"/>
    <n v="5"/>
    <x v="1"/>
    <x v="0"/>
    <s v="PLAQUETTES"/>
    <s v="304x28 RPE"/>
    <n v="47.8"/>
  </r>
  <r>
    <d v="2025-08-27T13:08:07"/>
    <x v="1"/>
    <s v="Plaquettes de finition"/>
    <s v="040725"/>
    <s v="BARGEOT LUCAS"/>
    <n v="5"/>
    <x v="0"/>
    <x v="0"/>
    <s v="PLAQUETTES"/>
    <s v="356x26 RPI"/>
    <n v="47.8"/>
  </r>
  <r>
    <d v="2025-08-27T23:24:52"/>
    <x v="1"/>
    <s v="Plaquettes de finition"/>
    <s v="U037238"/>
    <s v="PRIEUR OLIVIER"/>
    <n v="5"/>
    <x v="2"/>
    <x v="1"/>
    <s v="PLAQUETTES"/>
    <s v="302x26 RPI"/>
    <n v="47.8"/>
  </r>
  <r>
    <d v="2025-08-28T05:03:06"/>
    <x v="1"/>
    <s v="Plaquettes de finition"/>
    <s v="101123"/>
    <s v="BRUNET ANDREA"/>
    <n v="5"/>
    <x v="1"/>
    <x v="0"/>
    <s v="PLAQUETTES"/>
    <s v="304x28 RPE"/>
    <n v="47.8"/>
  </r>
  <r>
    <d v="2025-08-28T13:44:28"/>
    <x v="1"/>
    <s v="Plaquettes de finition"/>
    <s v="SD75051"/>
    <s v="COMBALUZIER LUCAS"/>
    <n v="5"/>
    <x v="1"/>
    <x v="0"/>
    <s v="PLAQUETTES"/>
    <s v="304x28 RPE"/>
    <n v="47.8"/>
  </r>
  <r>
    <d v="2025-08-28T14:46:35"/>
    <x v="1"/>
    <s v="Plaquettes de finition"/>
    <s v="040725"/>
    <s v="BARGEOT LUCAS"/>
    <n v="5"/>
    <x v="0"/>
    <x v="0"/>
    <s v="PLAQUETTES"/>
    <s v="356x26 RPI"/>
    <n v="47.8"/>
  </r>
  <r>
    <d v="2025-08-28T16:22:05"/>
    <x v="1"/>
    <s v="Plaquettes de finition"/>
    <s v="u636817"/>
    <s v="MOCQUEREAU LYDIE"/>
    <n v="5"/>
    <x v="2"/>
    <x v="1"/>
    <s v="PLAQUETTES"/>
    <s v="302x26 RPI"/>
    <n v="47.8"/>
  </r>
  <r>
    <d v="2025-08-28T16:22:24"/>
    <x v="1"/>
    <s v="Plaquettes de finition"/>
    <s v="u636817"/>
    <s v="MOCQUEREAU LYDIE"/>
    <n v="5"/>
    <x v="2"/>
    <x v="1"/>
    <s v="PLAQUETTES"/>
    <s v="302x26 RPI"/>
    <n v="47.8"/>
  </r>
  <r>
    <d v="2025-08-29T04:35:28"/>
    <x v="1"/>
    <s v="Plaquettes de finition"/>
    <s v="j529800"/>
    <s v="MONTCHARMONT BAPTISTE"/>
    <n v="5"/>
    <x v="0"/>
    <x v="0"/>
    <s v="PLAQUETTES"/>
    <s v="356x26 RPI"/>
    <n v="47.8"/>
  </r>
  <r>
    <d v="2025-08-29T05:28:01"/>
    <x v="0"/>
    <s v="Plaquettes de finition"/>
    <s v="DELIAT C"/>
    <s v="DELIAT CHRISTOPHE"/>
    <n v="10"/>
    <x v="1"/>
    <x v="0"/>
    <s v="PLAQUETTES"/>
    <s v="304x28 RPE"/>
    <n v="109.7"/>
  </r>
  <r>
    <d v="2025-08-29T05:28:33"/>
    <x v="1"/>
    <s v="Plaquettes de finition"/>
    <s v="DELIAT C"/>
    <s v="DELIAT CHRISTOPHE"/>
    <n v="5"/>
    <x v="1"/>
    <x v="0"/>
    <s v="PLAQUETTES"/>
    <s v="304x28 RPE"/>
    <n v="47.8"/>
  </r>
  <r>
    <d v="2025-08-29T05:28:45"/>
    <x v="1"/>
    <s v="Plaquettes de finition"/>
    <s v="DELIAT C"/>
    <s v="DELIAT CHRISTOPHE"/>
    <n v="5"/>
    <x v="1"/>
    <x v="0"/>
    <s v="PLAQUETTES"/>
    <s v="304x28 RPE"/>
    <n v="47.8"/>
  </r>
  <r>
    <d v="2025-08-29T12:04:22"/>
    <x v="1"/>
    <s v="Plaquettes de finition"/>
    <s v="U080365"/>
    <s v="ALAVOINE SAMUEL"/>
    <n v="5"/>
    <x v="0"/>
    <x v="0"/>
    <s v="PLAQUETTES"/>
    <s v="356x26 RPI"/>
    <n v="47.8"/>
  </r>
  <r>
    <d v="2025-08-30T11:27:33"/>
    <x v="1"/>
    <s v="Plaquettes de finition"/>
    <s v="U080365"/>
    <s v="ALAVOINE SAMUEL"/>
    <n v="5"/>
    <x v="0"/>
    <x v="0"/>
    <s v="PLAQUETTES"/>
    <s v="356x26 RPI"/>
    <n v="47.8"/>
  </r>
  <r>
    <d v="2025-08-31T09:02:23"/>
    <x v="1"/>
    <s v="Plaquettes de finition"/>
    <s v="140325"/>
    <s v="BOUCLIER JONATHAN"/>
    <n v="5"/>
    <x v="2"/>
    <x v="1"/>
    <s v="PLAQUETTES"/>
    <s v="302x26 RPI"/>
    <n v="47.8"/>
  </r>
  <r>
    <d v="2025-08-31T16:57:58"/>
    <x v="1"/>
    <s v="Plaquettes de finition"/>
    <s v="J529792"/>
    <s v="LEBRE CHRISTOPHE"/>
    <n v="5"/>
    <x v="2"/>
    <x v="1"/>
    <s v="PLAQUETTES"/>
    <s v="302x26 RPI"/>
    <n v="47.8"/>
  </r>
  <r>
    <d v="2025-09-01T03:15:20"/>
    <x v="1"/>
    <s v="Plaquettes de finition"/>
    <s v="u080365"/>
    <s v="ALAVOINE SAMUEL"/>
    <n v="5"/>
    <x v="0"/>
    <x v="0"/>
    <s v="PLAQUETTES"/>
    <s v="356x26 RPI"/>
    <n v="47.8"/>
  </r>
  <r>
    <d v="2025-09-01T05:37:12"/>
    <x v="1"/>
    <s v="Plaquettes de finition"/>
    <s v="SD75051"/>
    <s v="COMBALUZIER LUCAS"/>
    <n v="5"/>
    <x v="1"/>
    <x v="0"/>
    <s v="PLAQUETTES"/>
    <s v="304x28 RPE"/>
    <n v="47.8"/>
  </r>
  <r>
    <d v="2025-09-01T13:03:23"/>
    <x v="1"/>
    <s v="Plaquettes de finition"/>
    <s v="101123"/>
    <s v="BRUNET ANDREA"/>
    <n v="5"/>
    <x v="1"/>
    <x v="0"/>
    <s v="PLAQUETTES"/>
    <s v="304x28 RPE"/>
    <n v="47.8"/>
  </r>
  <r>
    <d v="2025-09-01T13:12:49"/>
    <x v="1"/>
    <s v="Plaquettes de finition"/>
    <s v="U505000"/>
    <s v="RECEVEUR BENOIT"/>
    <n v="5"/>
    <x v="2"/>
    <x v="1"/>
    <s v="PLAQUETTES"/>
    <s v="302x26 RPI"/>
    <n v="47.8"/>
  </r>
  <r>
    <d v="2025-09-01T21:26:16"/>
    <x v="1"/>
    <s v="Plaquettes de finition"/>
    <s v="U037238"/>
    <s v="PRIEUR OLIVIER"/>
    <n v="5"/>
    <x v="2"/>
    <x v="1"/>
    <s v="PLAQUETTES"/>
    <s v="302x26 RPI"/>
    <n v="47.8"/>
  </r>
  <r>
    <d v="2025-09-01T21:33:20"/>
    <x v="1"/>
    <s v="Plaquettes de finition"/>
    <s v="j529800"/>
    <s v="MONTCHARMONT BAPTISTE"/>
    <n v="5"/>
    <x v="0"/>
    <x v="0"/>
    <s v="PLAQUETTES"/>
    <s v="356x26 RPI"/>
    <n v="47.8"/>
  </r>
  <r>
    <d v="2025-09-02T06:21:50"/>
    <x v="1"/>
    <s v="Plaquettes de finition"/>
    <s v="SD75051"/>
    <s v="COMBALUZIER LUCAS"/>
    <n v="5"/>
    <x v="1"/>
    <x v="0"/>
    <s v="PLAQUETTES"/>
    <s v="304x28 RPE"/>
    <n v="47.8"/>
  </r>
  <r>
    <d v="2025-09-02T08:34:12"/>
    <x v="1"/>
    <s v="Plaquettes de finition"/>
    <s v="040725"/>
    <s v="BARGEOT LUCAS"/>
    <n v="5"/>
    <x v="0"/>
    <x v="0"/>
    <s v="PLAQUETTES"/>
    <s v="356x26 RPI"/>
    <n v="47.8"/>
  </r>
  <r>
    <d v="2025-09-03T02:34:12"/>
    <x v="1"/>
    <s v="Plaquettes de finition"/>
    <s v="U037238"/>
    <s v="PRIEUR OLIVIER"/>
    <n v="5"/>
    <x v="2"/>
    <x v="1"/>
    <s v="PLAQUETTES"/>
    <s v="302x26 RPI"/>
    <n v="47.8"/>
  </r>
  <r>
    <d v="2025-09-03T02:42:18"/>
    <x v="1"/>
    <s v="Plaquettes de finition"/>
    <s v="j529800"/>
    <s v="MONTCHARMONT BAPTISTE"/>
    <n v="5"/>
    <x v="0"/>
    <x v="0"/>
    <s v="PLAQUETTES"/>
    <s v="356x26 RPI"/>
    <n v="47.8"/>
  </r>
  <r>
    <d v="2025-09-03T06:13:28"/>
    <x v="1"/>
    <s v="Plaquettes de finition"/>
    <s v="SD75051"/>
    <s v="COMBALUZIER LUCAS"/>
    <n v="5"/>
    <x v="1"/>
    <x v="0"/>
    <s v="PLAQUETTES"/>
    <s v="304x28 RPE"/>
    <n v="47.8"/>
  </r>
  <r>
    <d v="2025-09-03T11:26:41"/>
    <x v="1"/>
    <s v="Plaquettes de finition"/>
    <s v="040725"/>
    <s v="BARGEOT LUCAS"/>
    <n v="5"/>
    <x v="0"/>
    <x v="0"/>
    <s v="PLAQUETTES"/>
    <s v="356x26 RPI"/>
    <n v="47.8"/>
  </r>
  <r>
    <d v="2025-09-03T21:20:40"/>
    <x v="1"/>
    <s v="Plaquettes de finition"/>
    <s v="j529800"/>
    <s v="MONTCHARMONT BAPTISTE"/>
    <n v="5"/>
    <x v="0"/>
    <x v="0"/>
    <s v="PLAQUETTES"/>
    <s v="356x26 RPI"/>
    <n v="47.8"/>
  </r>
  <r>
    <d v="2025-09-03T22:20:24"/>
    <x v="1"/>
    <s v="Plaquettes de finition"/>
    <s v="130325"/>
    <s v="PAPONNEAU JULIEN"/>
    <n v="5"/>
    <x v="1"/>
    <x v="0"/>
    <s v="PLAQUETTES"/>
    <s v="304x28 RPE"/>
    <n v="47.8"/>
  </r>
  <r>
    <d v="2025-09-03T22:20:37"/>
    <x v="1"/>
    <s v="Plaquettes de finition"/>
    <s v="130325"/>
    <s v="PAPONNEAU JULIEN"/>
    <n v="5"/>
    <x v="1"/>
    <x v="0"/>
    <s v="PLAQUETTES"/>
    <s v="304x28 RPE"/>
    <n v="47.8"/>
  </r>
  <r>
    <d v="2025-09-03T22:20:49"/>
    <x v="1"/>
    <s v="Plaquettes de finition"/>
    <s v="130325"/>
    <s v="PAPONNEAU JULIEN"/>
    <n v="5"/>
    <x v="1"/>
    <x v="0"/>
    <s v="PLAQUETTES"/>
    <s v="304x28 RPE"/>
    <n v="47.8"/>
  </r>
  <r>
    <d v="2025-09-04T03:16:45"/>
    <x v="1"/>
    <s v="Plaquettes de finition"/>
    <s v="U037238"/>
    <s v="PRIEUR OLIVIER"/>
    <n v="5"/>
    <x v="2"/>
    <x v="1"/>
    <s v="PLAQUETTES"/>
    <s v="302x26 RPI"/>
    <n v="47.8"/>
  </r>
  <r>
    <d v="2025-09-04T05:12:45"/>
    <x v="1"/>
    <s v="Plaquettes de finition"/>
    <s v="SD75051"/>
    <s v="COMBALUZIER LUCAS"/>
    <n v="5"/>
    <x v="1"/>
    <x v="0"/>
    <s v="PLAQUETTES"/>
    <s v="304x28 RPE"/>
    <n v="47.8"/>
  </r>
  <r>
    <d v="2025-09-04T05:38:24"/>
    <x v="1"/>
    <s v="Plaquettes de finition"/>
    <s v="040725"/>
    <s v="BARGEOT LUCAS"/>
    <n v="5"/>
    <x v="0"/>
    <x v="0"/>
    <s v="PLAQUETTES"/>
    <s v="356x26 RPI"/>
    <n v="47.8"/>
  </r>
  <r>
    <d v="2025-09-04T21:45:18"/>
    <x v="2"/>
    <s v="Plaquettes de finition"/>
    <s v="j529800"/>
    <s v="MONTCHARMONT BAPTISTE"/>
    <n v="5"/>
    <x v="3"/>
    <x v="2"/>
    <s v="PLAQUETTES"/>
    <s v="330x28 RPE KO"/>
    <n v="44.85"/>
  </r>
  <r>
    <d v="2025-09-04T21:46:13"/>
    <x v="1"/>
    <s v="Plaquettes de finition"/>
    <s v="j529800"/>
    <s v="MONTCHARMONT BAPTISTE"/>
    <n v="5"/>
    <x v="3"/>
    <x v="0"/>
    <s v="PLAQUETTES"/>
    <s v="330x28 RPE KO"/>
    <n v="47.8"/>
  </r>
  <r>
    <d v="2025-09-05T05:27:17"/>
    <x v="1"/>
    <s v="Plaquettes de finition"/>
    <s v="U551977"/>
    <s v="BASPINAR SELAHATTIN"/>
    <n v="5"/>
    <x v="1"/>
    <x v="0"/>
    <s v="PLAQUETTES"/>
    <s v="304x28 RPE"/>
    <n v="47.8"/>
  </r>
  <r>
    <d v="2025-09-05T05:28:06"/>
    <x v="0"/>
    <s v="Plaquettes de finition"/>
    <s v="U551977"/>
    <s v="BASPINAR SELAHATTIN"/>
    <n v="10"/>
    <x v="1"/>
    <x v="0"/>
    <s v="PLAQUETTES"/>
    <s v="304x28 RPE"/>
    <n v="109.7"/>
  </r>
  <r>
    <d v="2025-09-05T08:59:50"/>
    <x v="1"/>
    <s v="Plaquettes de finition"/>
    <s v="J529792"/>
    <s v="LEBRE CHRISTOPHE"/>
    <n v="5"/>
    <x v="2"/>
    <x v="1"/>
    <s v="PLAQUETTES"/>
    <s v="302x26 RPI"/>
    <n v="47.8"/>
  </r>
  <r>
    <d v="2025-09-05T09:00:09"/>
    <x v="1"/>
    <s v="Plaquettes de finition"/>
    <s v="J529792"/>
    <s v="LEBRE CHRISTOPHE"/>
    <n v="5"/>
    <x v="2"/>
    <x v="1"/>
    <s v="PLAQUETTES"/>
    <s v="302x26 RPI"/>
    <n v="47.8"/>
  </r>
  <r>
    <d v="2025-09-05T13:09:58"/>
    <x v="1"/>
    <s v="Plaquettes de finition"/>
    <s v="101123"/>
    <s v="BRUNET ANDREA"/>
    <n v="5"/>
    <x v="1"/>
    <x v="0"/>
    <s v="PLAQUETTES"/>
    <s v="304x28 RPE"/>
    <n v="47.8"/>
  </r>
  <r>
    <d v="2025-09-05T14:08:44"/>
    <x v="1"/>
    <s v="Plaquettes de finition"/>
    <s v="101224"/>
    <s v="CHAZEAU KYLIAN"/>
    <n v="5"/>
    <x v="3"/>
    <x v="0"/>
    <s v="PLAQUETTES"/>
    <s v="330x28 RPE KO"/>
    <n v="47.8"/>
  </r>
  <r>
    <d v="2025-09-05T14:08:56"/>
    <x v="1"/>
    <s v="Plaquettes de finition"/>
    <s v="101224"/>
    <s v="CHAZEAU KYLIAN"/>
    <n v="5"/>
    <x v="0"/>
    <x v="0"/>
    <s v="PLAQUETTES"/>
    <s v="356x26 RPI"/>
    <n v="47.8"/>
  </r>
  <r>
    <d v="2025-09-06T00:15:42"/>
    <x v="1"/>
    <s v="Plaquettes de finition"/>
    <s v="U037238"/>
    <s v="PRIEUR OLIVIER"/>
    <n v="5"/>
    <x v="2"/>
    <x v="1"/>
    <s v="PLAQUETTES"/>
    <s v="302x26 RPI"/>
    <n v="47.8"/>
  </r>
  <r>
    <d v="2025-09-06T05:22:38"/>
    <x v="1"/>
    <s v="Plaquettes de finition"/>
    <s v="U080365"/>
    <s v="ALAVOINE SAMUEL"/>
    <n v="5"/>
    <x v="1"/>
    <x v="0"/>
    <s v="PLAQUETTES"/>
    <s v="304x28 RPE"/>
    <n v="47.8"/>
  </r>
  <r>
    <d v="2025-09-06T12:55:34"/>
    <x v="1"/>
    <s v="Plaquettes de finition"/>
    <s v="150725"/>
    <s v="ADOUL WASSIM"/>
    <n v="5"/>
    <x v="0"/>
    <x v="0"/>
    <s v="PLAQUETTES"/>
    <s v="356x26 RPI"/>
    <n v="47.8"/>
  </r>
  <r>
    <d v="2025-09-07T17:20:08"/>
    <x v="1"/>
    <s v="Plaquettes de finition"/>
    <s v="150725"/>
    <s v="ADOUL WASSIM"/>
    <n v="5"/>
    <x v="0"/>
    <x v="0"/>
    <s v="PLAQUETTES"/>
    <s v="356x26 RPI"/>
    <n v="47.8"/>
  </r>
  <r>
    <d v="2025-09-08T05:08:46"/>
    <x v="1"/>
    <s v="Plaquettes de finition"/>
    <s v="101123"/>
    <s v="BRUNET ANDREA"/>
    <n v="5"/>
    <x v="1"/>
    <x v="0"/>
    <s v="PLAQUETTES"/>
    <s v="304x28 RPE"/>
    <n v="47.8"/>
  </r>
  <r>
    <d v="2025-09-08T10:50:02"/>
    <x v="1"/>
    <s v="Plaquettes de finition"/>
    <s v="12824586"/>
    <s v="DA SILVA FERNANDO"/>
    <n v="5"/>
    <x v="2"/>
    <x v="1"/>
    <s v="PLAQUETTES"/>
    <s v="TOUT DISQUES"/>
    <n v="47.8"/>
  </r>
  <r>
    <d v="2025-09-08T12:40:28"/>
    <x v="1"/>
    <s v="Plaquettes de finition"/>
    <s v="101224"/>
    <s v="CHAZEAU KYLIAN"/>
    <n v="5"/>
    <x v="3"/>
    <x v="0"/>
    <s v="PLAQUETTES"/>
    <s v="330x28 RPE KO"/>
    <n v="47.8"/>
  </r>
  <r>
    <d v="2025-09-08T14:11:58"/>
    <x v="1"/>
    <s v="Plaquettes de finition"/>
    <s v="SD75051"/>
    <s v="COMBALUZIER LUCAS"/>
    <n v="5"/>
    <x v="1"/>
    <x v="0"/>
    <s v="PLAQUETTES"/>
    <s v="304x28 RPE"/>
    <n v="47.8"/>
  </r>
  <r>
    <d v="2025-09-08T14:13:21"/>
    <x v="2"/>
    <s v="Plaquettes de finition"/>
    <s v="040725"/>
    <s v="BARGEOT LUCAS"/>
    <n v="5"/>
    <x v="3"/>
    <x v="2"/>
    <s v="PLAQUETTES"/>
    <s v="330x28 RPE KO"/>
    <n v="44.85"/>
  </r>
  <r>
    <d v="2025-09-08T14:14:28"/>
    <x v="1"/>
    <s v="Plaquettes de finition"/>
    <s v="040725"/>
    <s v="BARGEOT LUCAS"/>
    <n v="5"/>
    <x v="3"/>
    <x v="0"/>
    <s v="PLAQUETTES"/>
    <s v="330x28 RPE KO"/>
    <n v="47.8"/>
  </r>
  <r>
    <d v="2025-09-08T14:14:58"/>
    <x v="1"/>
    <s v="Plaquettes de finition"/>
    <s v="040725"/>
    <s v="BARGEOT LUCAS"/>
    <n v="5"/>
    <x v="0"/>
    <x v="0"/>
    <s v="PLAQUETTES"/>
    <s v="356x26 RPI"/>
    <n v="47.8"/>
  </r>
  <r>
    <d v="2025-09-08T15:15:42"/>
    <x v="1"/>
    <s v="Plaquettes de finition"/>
    <s v="u636817"/>
    <s v="MOCQUEREAU LYDIE"/>
    <n v="5"/>
    <x v="2"/>
    <x v="1"/>
    <s v="PLAQUETTES"/>
    <s v="302x26 RPI"/>
    <n v="47.8"/>
  </r>
  <r>
    <d v="2025-09-08T15:16:12"/>
    <x v="1"/>
    <s v="Plaquettes de finition"/>
    <s v="u636817"/>
    <s v="MOCQUEREAU LYDIE"/>
    <n v="5"/>
    <x v="2"/>
    <x v="1"/>
    <s v="PLAQUETTES"/>
    <s v="302x26 RPI"/>
    <n v="47.8"/>
  </r>
  <r>
    <d v="2025-09-09T13:34:05"/>
    <x v="1"/>
    <s v="Plaquettes de finition"/>
    <s v="SD75051"/>
    <s v="COMBALUZIER LUCAS"/>
    <n v="5"/>
    <x v="1"/>
    <x v="0"/>
    <s v="PLAQUETTES"/>
    <s v="304x28 RPE"/>
    <n v="47.8"/>
  </r>
  <r>
    <d v="2025-09-10T05:04:29"/>
    <x v="1"/>
    <s v="Plaquettes de finition"/>
    <s v="101224"/>
    <s v="CHAZEAU KYLIAN"/>
    <n v="5"/>
    <x v="0"/>
    <x v="0"/>
    <s v="PLAQUETTES"/>
    <s v="356x26 RPI"/>
    <n v="47.8"/>
  </r>
  <r>
    <d v="2025-09-11T05:11:59"/>
    <x v="1"/>
    <s v="Plaquettes de finition"/>
    <s v="171124"/>
    <s v="GONIN AGNES"/>
    <n v="5"/>
    <x v="2"/>
    <x v="1"/>
    <s v="PLAQUETTES"/>
    <s v="302x26 RPI"/>
    <n v="47.8"/>
  </r>
  <r>
    <d v="2025-09-11T05:13:41"/>
    <x v="1"/>
    <s v="Plaquettes de finition"/>
    <s v="101123"/>
    <s v="BRUNET ANDREA"/>
    <n v="5"/>
    <x v="1"/>
    <x v="0"/>
    <s v="PLAQUETTES"/>
    <s v="304x28 RPE"/>
    <n v="47.8"/>
  </r>
  <r>
    <d v="2025-09-11T05:14:39"/>
    <x v="1"/>
    <s v="Plaquettes de finition"/>
    <s v="171124"/>
    <s v="GONIN AGNES"/>
    <n v="5"/>
    <x v="2"/>
    <x v="1"/>
    <s v="PLAQUETTES"/>
    <s v="302x26 RPI"/>
    <n v="47.8"/>
  </r>
  <r>
    <d v="2025-09-11T13:10:33"/>
    <x v="1"/>
    <s v="Plaquettes de finition"/>
    <s v="u636817"/>
    <s v="MOCQUEREAU LYDIE"/>
    <n v="5"/>
    <x v="2"/>
    <x v="1"/>
    <s v="PLAQUETTES"/>
    <s v="302x26 RPI"/>
    <n v="47.8"/>
  </r>
  <r>
    <d v="2025-09-11T13:11:03"/>
    <x v="1"/>
    <s v="Plaquettes de finition"/>
    <s v="u636817"/>
    <s v="MOCQUEREAU LYDIE"/>
    <n v="5"/>
    <x v="2"/>
    <x v="1"/>
    <s v="PLAQUETTES"/>
    <s v="302x26 RPI"/>
    <n v="47.8"/>
  </r>
  <r>
    <d v="2025-09-11T13:11:27"/>
    <x v="1"/>
    <s v="Plaquettes de finition"/>
    <s v="u636817"/>
    <s v="MOCQUEREAU LYDIE"/>
    <n v="5"/>
    <x v="2"/>
    <x v="1"/>
    <s v="PLAQUETTES"/>
    <s v="302x26 RPI"/>
    <n v="47.8"/>
  </r>
  <r>
    <d v="2025-09-11T14:17:20"/>
    <x v="1"/>
    <s v="Plaquettes de finition"/>
    <s v="040725"/>
    <s v="BARGEOT LUCAS"/>
    <n v="5"/>
    <x v="0"/>
    <x v="0"/>
    <s v="PLAQUETTES"/>
    <s v="356x26 RPI"/>
    <n v="47.8"/>
  </r>
  <r>
    <d v="2025-09-11T14:22:31"/>
    <x v="1"/>
    <s v="Plaquettes de finition"/>
    <s v="SD75051"/>
    <s v="COMBALUZIER LUCAS"/>
    <n v="5"/>
    <x v="1"/>
    <x v="0"/>
    <s v="PLAQUETTES"/>
    <s v="304x28 RPE"/>
    <n v="47.8"/>
  </r>
  <r>
    <d v="2025-09-11T22:00:01"/>
    <x v="1"/>
    <s v="Plaquettes de finition"/>
    <s v="U037238"/>
    <s v="PRIEUR OLIVIER"/>
    <n v="5"/>
    <x v="2"/>
    <x v="1"/>
    <s v="PLAQUETTES"/>
    <s v="302x26 RPI"/>
    <n v="47.8"/>
  </r>
  <r>
    <d v="2025-09-12T00:03:49"/>
    <x v="1"/>
    <s v="Plaquettes de finition"/>
    <s v="j529800"/>
    <s v="MONTCHARMONT BAPTISTE"/>
    <n v="5"/>
    <x v="0"/>
    <x v="0"/>
    <s v="PLAQUETTES"/>
    <s v="356x26 RPI"/>
    <n v="47.8"/>
  </r>
  <r>
    <d v="2025-09-12T05:04:40"/>
    <x v="1"/>
    <s v="Plaquettes de finition"/>
    <s v="J529792"/>
    <s v="LEBRE CHRISTOPHE"/>
    <n v="5"/>
    <x v="2"/>
    <x v="1"/>
    <s v="PLAQUETTES"/>
    <s v="302x26 RPI"/>
    <n v="47.8"/>
  </r>
  <r>
    <d v="2025-09-12T14:01:27"/>
    <x v="1"/>
    <s v="Plaquettes de finition"/>
    <s v="SD75051"/>
    <s v="COMBALUZIER LUCAS"/>
    <n v="5"/>
    <x v="1"/>
    <x v="0"/>
    <s v="PLAQUETTES"/>
    <s v="304x28 RPE"/>
    <n v="47.8"/>
  </r>
  <r>
    <d v="2025-09-12T18:07:20"/>
    <x v="1"/>
    <s v="Plaquettes de finition"/>
    <s v="040725"/>
    <s v="BARGEOT LUCAS"/>
    <n v="5"/>
    <x v="0"/>
    <x v="0"/>
    <s v="PLAQUETTES"/>
    <s v="356x26 RPI"/>
    <n v="47.8"/>
  </r>
  <r>
    <d v="2025-09-15T00:37:42"/>
    <x v="1"/>
    <s v="Plaquettes de finition"/>
    <s v="U109136"/>
    <s v="WIPLIE FREDERIC"/>
    <n v="5"/>
    <x v="0"/>
    <x v="0"/>
    <s v="PLAQUETTES"/>
    <s v="356x26 RPI"/>
    <n v="47.8"/>
  </r>
  <r>
    <d v="2025-09-15T00:56:19"/>
    <x v="1"/>
    <s v="Plaquettes de finition"/>
    <s v="150725"/>
    <s v="ADOUL WASSIM"/>
    <n v="5"/>
    <x v="1"/>
    <x v="0"/>
    <s v="PLAQUETTES"/>
    <s v="304x28 RPE"/>
    <n v="47.8"/>
  </r>
  <r>
    <d v="2025-09-15T08:12:40"/>
    <x v="1"/>
    <s v="Plaquettes de finition"/>
    <s v="140325"/>
    <s v="BOUCLIER JONATHAN"/>
    <n v="5"/>
    <x v="2"/>
    <x v="1"/>
    <s v="PLAQUETTES"/>
    <s v="302x26 RPI"/>
    <n v="47.8"/>
  </r>
  <r>
    <d v="2025-09-15T09:14:28"/>
    <x v="1"/>
    <s v="Plaquettes de finition"/>
    <s v="SD75051"/>
    <s v="COMBALUZIER LUCAS"/>
    <n v="5"/>
    <x v="1"/>
    <x v="0"/>
    <s v="PLAQUETTES"/>
    <s v="304x28 RPE"/>
    <n v="47.8"/>
  </r>
  <r>
    <d v="2025-09-15T21:19:07"/>
    <x v="1"/>
    <s v="Plaquettes de finition"/>
    <s v="j529800"/>
    <s v="MONTCHARMONT BAPTISTE"/>
    <n v="5"/>
    <x v="0"/>
    <x v="0"/>
    <s v="PLAQUETTES"/>
    <s v="356x26 RPI"/>
    <n v="47.8"/>
  </r>
  <r>
    <d v="2025-09-16T06:03:12"/>
    <x v="1"/>
    <s v="Plaquettes de finition"/>
    <s v="SD75051"/>
    <s v="COMBALUZIER LUCAS"/>
    <n v="5"/>
    <x v="1"/>
    <x v="0"/>
    <s v="PLAQUETTES"/>
    <s v="304x28 RPE"/>
    <n v="47.8"/>
  </r>
  <r>
    <d v="2025-09-16T07:38:05"/>
    <x v="0"/>
    <s v="Plaquettes de finition"/>
    <s v="040725"/>
    <s v="BARGEOT LUCAS"/>
    <n v="10"/>
    <x v="0"/>
    <x v="0"/>
    <s v="PLAQUETTES"/>
    <s v="356x26 RPI"/>
    <n v="109.7"/>
  </r>
  <r>
    <d v="2025-09-16T17:48:52"/>
    <x v="1"/>
    <s v="Plaquettes de finition"/>
    <s v="101224"/>
    <s v="CHAZEAU KYLIAN"/>
    <n v="5"/>
    <x v="0"/>
    <x v="0"/>
    <s v="PLAQUETTES"/>
    <s v="356x26 RPI"/>
    <n v="47.8"/>
  </r>
  <r>
    <d v="2025-09-17T01:17:37"/>
    <x v="1"/>
    <s v="Plaquettes de finition"/>
    <s v="U037238"/>
    <s v="PRIEUR OLIVIER"/>
    <n v="5"/>
    <x v="2"/>
    <x v="1"/>
    <s v="PLAQUETTES"/>
    <s v="302x26 RPI"/>
    <n v="47.8"/>
  </r>
  <r>
    <d v="2025-09-17T11:57:11"/>
    <x v="1"/>
    <s v="Plaquettes de finition"/>
    <s v="140325"/>
    <s v="BOUCLIER JONATHAN"/>
    <n v="5"/>
    <x v="2"/>
    <x v="1"/>
    <s v="PLAQUETTES"/>
    <s v="302x26 RPI"/>
    <n v="47.8"/>
  </r>
  <r>
    <d v="2025-09-17T13:58:46"/>
    <x v="1"/>
    <s v="Plaquettes de finition"/>
    <s v="101123"/>
    <s v="BRUNET ANDREA"/>
    <n v="5"/>
    <x v="1"/>
    <x v="0"/>
    <s v="PLAQUETTES"/>
    <s v="304x28 RPE"/>
    <n v="47.8"/>
  </r>
  <r>
    <d v="2025-09-17T21:23:34"/>
    <x v="1"/>
    <s v="Plaquettes de finition"/>
    <s v="j529800"/>
    <s v="MONTCHARMONT BAPTISTE"/>
    <n v="5"/>
    <x v="0"/>
    <x v="0"/>
    <s v="PLAQUETTES"/>
    <s v="356x26 RPI"/>
    <n v="47.8"/>
  </r>
  <r>
    <d v="2025-09-18T05:02:55"/>
    <x v="1"/>
    <s v="Plaquettes de finition"/>
    <s v="140325"/>
    <s v="BOUCLIER JONATHAN"/>
    <n v="5"/>
    <x v="2"/>
    <x v="1"/>
    <s v="PLAQUETTES"/>
    <s v="302x26 RPI"/>
    <n v="47.8"/>
  </r>
  <r>
    <d v="2025-09-18T07:06:07"/>
    <x v="1"/>
    <s v="Plaquettes de finition"/>
    <s v="SD75051"/>
    <s v="COMBALUZIER LUCAS"/>
    <n v="5"/>
    <x v="1"/>
    <x v="0"/>
    <s v="PLAQUETTES"/>
    <s v="304x28 RPE"/>
    <n v="47.8"/>
  </r>
  <r>
    <d v="2025-09-18T16:39:40"/>
    <x v="1"/>
    <s v="Plaquettes de finition"/>
    <s v="101224"/>
    <s v="CHAZEAU KYLIAN"/>
    <n v="5"/>
    <x v="0"/>
    <x v="0"/>
    <s v="PLAQUETTES"/>
    <s v="356x26 RPI"/>
    <n v="47.8"/>
  </r>
  <r>
    <d v="2025-09-18T21:17:23"/>
    <x v="1"/>
    <s v="Plaquettes de finition"/>
    <s v="U037238"/>
    <s v="PRIEUR OLIVIER"/>
    <n v="5"/>
    <x v="2"/>
    <x v="1"/>
    <s v="PLAQUETTES"/>
    <s v="302x26 RPI"/>
    <n v="47.8"/>
  </r>
  <r>
    <d v="2025-09-19T13:01:15"/>
    <x v="1"/>
    <s v="Plaquettes de finition"/>
    <s v="101123"/>
    <s v="BRUNET ANDREA"/>
    <n v="5"/>
    <x v="1"/>
    <x v="0"/>
    <s v="PLAQUETTES"/>
    <s v="304x28 RPE"/>
    <n v="47.8"/>
  </r>
  <r>
    <d v="2025-09-19T14:01:49"/>
    <x v="1"/>
    <s v="Plaquettes de finition"/>
    <s v="101224"/>
    <s v="CHAZEAU KYLIAN"/>
    <n v="5"/>
    <x v="0"/>
    <x v="0"/>
    <s v="PLAQUETTES"/>
    <s v="356x26 RPI"/>
    <n v="47.8"/>
  </r>
  <r>
    <d v="2025-09-19T17:32:07"/>
    <x v="0"/>
    <s v="Plaquettes de finition"/>
    <s v="101224"/>
    <s v="CHAZEAU KYLIAN"/>
    <n v="10"/>
    <x v="3"/>
    <x v="0"/>
    <s v="PLAQUETTES"/>
    <s v="290x12"/>
    <n v="109.7"/>
  </r>
  <r>
    <d v="2025-09-20T12:53:03"/>
    <x v="1"/>
    <s v="Plaquettes de finition"/>
    <s v="U109136"/>
    <s v="WIPLIE FREDERIC"/>
    <n v="5"/>
    <x v="1"/>
    <x v="0"/>
    <s v="PLAQUETTES"/>
    <s v="304x28 RPE"/>
    <n v="47.8"/>
  </r>
  <r>
    <d v="2025-09-20T14:18:39"/>
    <x v="1"/>
    <s v="Plaquettes de finition"/>
    <s v="150725"/>
    <s v="ADOUL WASSIM"/>
    <n v="5"/>
    <x v="0"/>
    <x v="0"/>
    <s v="PLAQUETTES"/>
    <s v="356x26 RPI"/>
    <n v="47.8"/>
  </r>
  <r>
    <d v="2025-09-21T21:37:30"/>
    <x v="1"/>
    <s v="Plaquettes de finition"/>
    <s v="U109136"/>
    <s v="WIPLIE FREDERIC"/>
    <n v="5"/>
    <x v="1"/>
    <x v="0"/>
    <s v="PLAQUETTES"/>
    <s v="304x28 RPE"/>
    <n v="47.8"/>
  </r>
  <r>
    <d v="2025-09-21T22:27:12"/>
    <x v="1"/>
    <s v="Plaquettes de finition"/>
    <s v="J529792"/>
    <s v="LEBRE CHRISTOPHE"/>
    <n v="5"/>
    <x v="2"/>
    <x v="1"/>
    <s v="PLAQUETTES"/>
    <s v="302x26 RPI"/>
    <n v="47.8"/>
  </r>
  <r>
    <d v="2025-09-22T04:58:34"/>
    <x v="1"/>
    <s v="Plaquettes de finition"/>
    <s v="171124"/>
    <s v="GONIN AGNES"/>
    <n v="5"/>
    <x v="2"/>
    <x v="1"/>
    <s v="PLAQUETTES"/>
    <s v="302x26 RPI"/>
    <n v="47.8"/>
  </r>
  <r>
    <d v="2025-09-22T04:59:01"/>
    <x v="1"/>
    <s v="Plaquettes de finition"/>
    <s v="171124"/>
    <s v="GONIN AGNES"/>
    <n v="5"/>
    <x v="2"/>
    <x v="1"/>
    <s v="PLAQUETTES"/>
    <s v="302x26 RPI"/>
    <n v="47.8"/>
  </r>
  <r>
    <d v="2025-09-22T05:31:21"/>
    <x v="1"/>
    <s v="Plaquettes de finition"/>
    <s v="U505000"/>
    <s v="RECEVEUR BENOIT"/>
    <n v="5"/>
    <x v="0"/>
    <x v="0"/>
    <s v="PLAQUETTES"/>
    <s v="356x26 RPI"/>
    <n v="47.8"/>
  </r>
  <r>
    <d v="2025-09-22T13:21:05"/>
    <x v="1"/>
    <s v="Plaquettes de finition"/>
    <s v="SD75051"/>
    <s v="COMBALUZIER LUCAS"/>
    <n v="5"/>
    <x v="1"/>
    <x v="0"/>
    <s v="PLAQUETTES"/>
    <s v="304x28 RPE"/>
    <n v="47.8"/>
  </r>
  <r>
    <d v="2025-09-22T13:33:51"/>
    <x v="1"/>
    <s v="Plaquettes de finition"/>
    <s v="140325"/>
    <s v="BOUCLIER JONATHAN"/>
    <n v="5"/>
    <x v="2"/>
    <x v="1"/>
    <s v="PLAQUETTES"/>
    <s v="302x26 RPI"/>
    <n v="47.8"/>
  </r>
  <r>
    <d v="2025-09-22T17:26:18"/>
    <x v="1"/>
    <s v="Plaquettes de finition"/>
    <s v="040725"/>
    <s v="BARGEOT LUCAS"/>
    <n v="5"/>
    <x v="0"/>
    <x v="0"/>
    <s v="PLAQUETTES"/>
    <s v="356x26 RPI"/>
    <n v="47.8"/>
  </r>
  <r>
    <d v="2025-09-22T22:09:16"/>
    <x v="1"/>
    <s v="Plaquettes de finition"/>
    <s v="U037238"/>
    <s v="PRIEUR OLIVIER"/>
    <n v="5"/>
    <x v="2"/>
    <x v="1"/>
    <s v="PLAQUETTES"/>
    <s v="302x26 RPI"/>
    <n v="47.8"/>
  </r>
  <r>
    <d v="2025-09-23T13:16:38"/>
    <x v="1"/>
    <s v="Plaquettes de finition"/>
    <s v="SD75051"/>
    <s v="COMBALUZIER LUCAS"/>
    <n v="5"/>
    <x v="1"/>
    <x v="0"/>
    <s v="PLAQUETTES"/>
    <s v="304x28 RPE"/>
    <n v="47.8"/>
  </r>
  <r>
    <d v="2025-09-23T14:25:52"/>
    <x v="1"/>
    <s v="Plaquettes de finition"/>
    <s v="040725"/>
    <s v="BARGEOT LUCAS"/>
    <n v="5"/>
    <x v="0"/>
    <x v="0"/>
    <s v="PLAQUETTES"/>
    <s v="356x26 RPI"/>
    <n v="47.8"/>
  </r>
  <r>
    <d v="2025-09-23T16:17:43"/>
    <x v="1"/>
    <s v="Plaquettes de finition"/>
    <s v="u636817"/>
    <s v="MOCQUEREAU LYDIE"/>
    <n v="5"/>
    <x v="2"/>
    <x v="1"/>
    <s v="PLAQUETTES"/>
    <s v="302x26 RPI"/>
    <n v="47.8"/>
  </r>
  <r>
    <d v="2025-09-23T16:18:03"/>
    <x v="1"/>
    <s v="Plaquettes de finition"/>
    <s v="u636817"/>
    <s v="MOCQUEREAU LYDIE"/>
    <n v="5"/>
    <x v="2"/>
    <x v="1"/>
    <s v="PLAQUETTES"/>
    <s v="302x26 RPI"/>
    <n v="47.8"/>
  </r>
  <r>
    <d v="2025-09-24T07:13:34"/>
    <x v="1"/>
    <s v="Plaquettes de finition"/>
    <s v="3224"/>
    <s v="BIDOT MURIEL"/>
    <n v="5"/>
    <x v="0"/>
    <x v="0"/>
    <s v="PLAQUETTES"/>
    <s v="356x26 RPI"/>
    <n v="47.8"/>
  </r>
  <r>
    <d v="2025-09-24T07:13:49"/>
    <x v="1"/>
    <s v="Plaquettes de finition"/>
    <s v="3224"/>
    <s v="BIDOT MURIEL"/>
    <n v="5"/>
    <x v="0"/>
    <x v="0"/>
    <s v="PLAQUETTES"/>
    <s v="356x26 RPI"/>
    <n v="47.8"/>
  </r>
  <r>
    <d v="2025-09-24T07:14:06"/>
    <x v="1"/>
    <s v="Plaquettes de finition"/>
    <s v="3224"/>
    <s v="BIDOT MURIEL"/>
    <n v="5"/>
    <x v="0"/>
    <x v="0"/>
    <s v="PLAQUETTES"/>
    <s v="356x26 RPI"/>
    <n v="47.8"/>
  </r>
  <r>
    <d v="2025-09-24T14:06:15"/>
    <x v="1"/>
    <s v="Plaquettes de finition"/>
    <s v="140325"/>
    <s v="BOUCLIER JONATHAN"/>
    <n v="5"/>
    <x v="2"/>
    <x v="1"/>
    <s v="PLAQUETTES"/>
    <s v="302x26 RPI"/>
    <n v="47.8"/>
  </r>
  <r>
    <d v="2025-09-24T14:21:08"/>
    <x v="1"/>
    <s v="Plaquettes de finition"/>
    <s v="SD75051"/>
    <s v="COMBALUZIER LUCAS"/>
    <n v="5"/>
    <x v="0"/>
    <x v="0"/>
    <s v="PLAQUETTES"/>
    <s v="356x26 RPI"/>
    <n v="47.8"/>
  </r>
  <r>
    <d v="2025-09-24T17:10:56"/>
    <x v="1"/>
    <s v="Plaquettes de finition"/>
    <s v="SD75051"/>
    <s v="COMBALUZIER LUCAS"/>
    <n v="5"/>
    <x v="3"/>
    <x v="0"/>
    <s v="PLAQUETTES"/>
    <s v="330x28 RPE KO"/>
    <n v="47.8"/>
  </r>
  <r>
    <d v="2025-09-25T03:19:32"/>
    <x v="1"/>
    <s v="Plaquettes de finition"/>
    <s v="U037238"/>
    <s v="PRIEUR OLIVIER"/>
    <n v="5"/>
    <x v="2"/>
    <x v="1"/>
    <s v="PLAQUETTES"/>
    <s v="302x26 RPI"/>
    <n v="47.8"/>
  </r>
  <r>
    <d v="2025-09-25T05:17:05"/>
    <x v="1"/>
    <s v="Plaquettes de finition"/>
    <s v="101123"/>
    <s v="BRUNET ANDREA"/>
    <n v="5"/>
    <x v="1"/>
    <x v="0"/>
    <s v="PLAQUETTES"/>
    <s v="304x28 RPE"/>
    <n v="47.8"/>
  </r>
  <r>
    <d v="2025-09-25T10:01:45"/>
    <x v="1"/>
    <s v="Plaquettes de finition"/>
    <s v="101224"/>
    <s v="CHAZEAU KYLIAN"/>
    <n v="5"/>
    <x v="0"/>
    <x v="0"/>
    <s v="PLAQUETTES"/>
    <s v="356x26 RPI"/>
    <n v="47.8"/>
  </r>
  <r>
    <d v="2025-09-25T10:59:52"/>
    <x v="1"/>
    <s v="Plaquettes de finition"/>
    <s v="101224"/>
    <s v="CHAZEAU KYLIAN"/>
    <n v="5"/>
    <x v="3"/>
    <x v="0"/>
    <s v="PLAQUETTES"/>
    <s v="330x28 RPE KO"/>
    <n v="47.8"/>
  </r>
  <r>
    <d v="2025-09-26T02:37:48"/>
    <x v="1"/>
    <s v="Plaquettes de finition"/>
    <s v="j529800"/>
    <s v="MONTCHARMONT BAPTISTE"/>
    <n v="5"/>
    <x v="3"/>
    <x v="0"/>
    <s v="PLAQUETTES"/>
    <s v="330x28 RPE KO"/>
    <n v="47.8"/>
  </r>
  <r>
    <d v="2025-09-26T13:09:24"/>
    <x v="1"/>
    <s v="Plaquettes de finition"/>
    <s v="040725"/>
    <s v="BARGEOT LUCAS"/>
    <n v="5"/>
    <x v="0"/>
    <x v="0"/>
    <s v="PLAQUETTES"/>
    <s v="356x26 RPI"/>
    <n v="47.8"/>
  </r>
  <r>
    <d v="2025-09-26T13:16:50"/>
    <x v="1"/>
    <s v="Plaquettes de finition"/>
    <s v="u636817"/>
    <s v="MOCQUEREAU LYDIE"/>
    <n v="5"/>
    <x v="2"/>
    <x v="1"/>
    <s v="PLAQUETTES"/>
    <s v="302x26 RPI"/>
    <n v="47.8"/>
  </r>
  <r>
    <d v="2025-09-26T13:17:13"/>
    <x v="1"/>
    <s v="Plaquettes de finition"/>
    <s v="u636817"/>
    <s v="MOCQUEREAU LYDIE"/>
    <n v="5"/>
    <x v="2"/>
    <x v="1"/>
    <s v="PLAQUETTES"/>
    <s v="302x26 RPI"/>
    <n v="47.8"/>
  </r>
  <r>
    <d v="2025-09-26T13:36:19"/>
    <x v="1"/>
    <s v="Plaquettes de finition"/>
    <s v="SD75051"/>
    <s v="COMBALUZIER LUCAS"/>
    <n v="5"/>
    <x v="1"/>
    <x v="0"/>
    <s v="PLAQUETTES"/>
    <s v="304x28 RPE"/>
    <n v="47.8"/>
  </r>
  <r>
    <d v="2025-09-26T14:35:55"/>
    <x v="1"/>
    <s v="Plaquettes de finition"/>
    <s v="040725"/>
    <s v="BARGEOT LUCAS"/>
    <n v="5"/>
    <x v="3"/>
    <x v="0"/>
    <s v="PLAQUETTES"/>
    <s v="330x28 RPE KO"/>
    <n v="47.8"/>
  </r>
  <r>
    <d v="2025-09-26T21:18:50"/>
    <x v="1"/>
    <s v="Plaquettes de finition"/>
    <s v="U037238"/>
    <s v="PRIEUR OLIVIER"/>
    <n v="5"/>
    <x v="2"/>
    <x v="1"/>
    <s v="PLAQUETTES"/>
    <s v="302x26 RPI"/>
    <n v="47.8"/>
  </r>
  <r>
    <d v="2025-09-27T05:05:02"/>
    <x v="1"/>
    <s v="Plaquettes de finition"/>
    <s v="J529792"/>
    <s v="LEBRE CHRISTOPHE"/>
    <n v="5"/>
    <x v="2"/>
    <x v="1"/>
    <s v="PLAQUETTES"/>
    <s v="302x26 RPI"/>
    <n v="47.8"/>
  </r>
  <r>
    <d v="2025-09-27T05:05:18"/>
    <x v="1"/>
    <s v="Plaquettes de finition"/>
    <s v="J529792"/>
    <s v="LEBRE CHRISTOPHE"/>
    <n v="5"/>
    <x v="2"/>
    <x v="1"/>
    <s v="PLAQUETTES"/>
    <s v="302x26 RPI"/>
    <n v="47.8"/>
  </r>
  <r>
    <d v="2025-09-27T09:15:04"/>
    <x v="1"/>
    <s v="Plaquettes de finition"/>
    <s v="150725"/>
    <s v="ADOUL WASSIM"/>
    <n v="5"/>
    <x v="1"/>
    <x v="0"/>
    <s v="PLAQUETTES"/>
    <s v="304x28 RPE"/>
    <n v="47.8"/>
  </r>
  <r>
    <d v="2025-09-28T11:11:45"/>
    <x v="1"/>
    <s v="Plaquettes de finition"/>
    <s v="250425"/>
    <s v="CHANDAR ABDER"/>
    <n v="5"/>
    <x v="2"/>
    <x v="1"/>
    <s v="PLAQUETTES"/>
    <s v="302x26 RPI"/>
    <n v="47.8"/>
  </r>
  <r>
    <d v="2025-09-29T00:59:17"/>
    <x v="1"/>
    <s v="Plaquettes de finition"/>
    <s v="U109136"/>
    <s v="WIPLIE FREDERIC"/>
    <n v="5"/>
    <x v="0"/>
    <x v="0"/>
    <s v="PLAQUETTES"/>
    <s v="356x26 RPI"/>
    <n v="47.8"/>
  </r>
  <r>
    <d v="2025-09-29T05:05:00"/>
    <x v="1"/>
    <s v="Plaquettes de finition"/>
    <s v="SD75051"/>
    <s v="COMBALUZIER LUCAS"/>
    <n v="5"/>
    <x v="1"/>
    <x v="0"/>
    <s v="PLAQUETTES"/>
    <s v="304x28 RPE"/>
    <n v="47.8"/>
  </r>
  <r>
    <d v="2025-09-29T05:05:18"/>
    <x v="0"/>
    <s v="Plaquettes de finition"/>
    <s v="SD75051"/>
    <s v="COMBALUZIER LUCAS"/>
    <n v="10"/>
    <x v="1"/>
    <x v="0"/>
    <s v="PLAQUETTES"/>
    <s v="304x28 RPE"/>
    <n v="109.7"/>
  </r>
  <r>
    <d v="2025-09-29T13:25:59"/>
    <x v="1"/>
    <s v="Plaquettes de finition"/>
    <s v="045F69CAA77080"/>
    <s v="TEIXEIRA FLORIAN"/>
    <n v="5"/>
    <x v="2"/>
    <x v="1"/>
    <s v="PLAQUETTES"/>
    <s v="302x26 RPI"/>
    <n v="47.8"/>
  </r>
  <r>
    <d v="2025-09-29T21:24:04"/>
    <x v="1"/>
    <s v="Plaquettes de finition"/>
    <s v="j529800"/>
    <s v="MONTCHARMONT BAPTISTE"/>
    <n v="5"/>
    <x v="0"/>
    <x v="0"/>
    <s v="PLAQUETTES"/>
    <s v="356x26 RPI"/>
    <n v="47.8"/>
  </r>
  <r>
    <d v="2025-09-29T22:06:31"/>
    <x v="1"/>
    <s v="Plaquettes de finition"/>
    <s v="U037238"/>
    <s v="PRIEUR OLIVIER"/>
    <n v="5"/>
    <x v="2"/>
    <x v="1"/>
    <s v="PLAQUETTES"/>
    <s v="302x26 RPI"/>
    <n v="47.8"/>
  </r>
  <r>
    <d v="2025-09-30T06:10:42"/>
    <x v="1"/>
    <s v="Plaquettes de finition"/>
    <s v="SD75051"/>
    <s v="COMBALUZIER LUCAS"/>
    <n v="5"/>
    <x v="1"/>
    <x v="0"/>
    <s v="PLAQUETTES"/>
    <s v="304x28 RPE"/>
    <n v="47.8"/>
  </r>
  <r>
    <d v="2025-09-30T21:26:19"/>
    <x v="1"/>
    <s v="Plaquettes de finition"/>
    <s v="j529800"/>
    <s v="MONTCHARMONT BAPTISTE"/>
    <n v="5"/>
    <x v="0"/>
    <x v="0"/>
    <s v="PLAQUETTES"/>
    <s v="356x26 RPI"/>
    <n v="47.8"/>
  </r>
  <r>
    <d v="2025-10-01T12:07:22"/>
    <x v="1"/>
    <s v="Plaquettes de finition"/>
    <s v="u636817"/>
    <s v="MOCQUEREAU LYDIE"/>
    <n v="5"/>
    <x v="2"/>
    <x v="1"/>
    <s v="PLAQUETTES"/>
    <s v="302x26 RPI"/>
    <n v="47.8"/>
  </r>
  <r>
    <d v="2025-10-01T12:07:45"/>
    <x v="1"/>
    <s v="Plaquettes de finition"/>
    <s v="u636817"/>
    <s v="MOCQUEREAU LYDIE"/>
    <n v="5"/>
    <x v="2"/>
    <x v="1"/>
    <s v="PLAQUETTES"/>
    <s v="302x26 RPI"/>
    <n v="47.8"/>
  </r>
  <r>
    <d v="2025-10-01T21:22:47"/>
    <x v="1"/>
    <s v="Plaquettes de finition"/>
    <s v="U037238"/>
    <s v="PRIEUR OLIVIER"/>
    <n v="5"/>
    <x v="2"/>
    <x v="1"/>
    <s v="PLAQUETTES"/>
    <s v="302x26 RPI"/>
    <n v="47.8"/>
  </r>
  <r>
    <d v="2025-10-02T06:46:43"/>
    <x v="1"/>
    <s v="Plaquettes de finition"/>
    <s v="040725"/>
    <s v="BARGEOT LUCAS"/>
    <n v="5"/>
    <x v="0"/>
    <x v="0"/>
    <s v="PLAQUETTES"/>
    <s v="356x26 RPI"/>
    <n v="47.8"/>
  </r>
  <r>
    <d v="2025-10-02T13:05:39"/>
    <x v="1"/>
    <s v="Plaquettes de finition"/>
    <s v="045F69CAA77080"/>
    <s v="TEIXEIRA FLORIAN"/>
    <n v="5"/>
    <x v="2"/>
    <x v="1"/>
    <s v="PLAQUETTES"/>
    <s v="302x26 RPI"/>
    <n v="47.8"/>
  </r>
  <r>
    <d v="2025-10-02T13:25:12"/>
    <x v="1"/>
    <s v="Plaquettes de finition"/>
    <s v="U505000"/>
    <s v="RECEVEUR BENOIT"/>
    <n v="5"/>
    <x v="1"/>
    <x v="0"/>
    <s v="PLAQUETTES"/>
    <s v="304x28 RPE"/>
    <n v="47.8"/>
  </r>
  <r>
    <d v="2025-10-02T22:20:12"/>
    <x v="1"/>
    <s v="Plaquettes de finition"/>
    <s v="j529800"/>
    <s v="MONTCHARMONT BAPTISTE"/>
    <n v="5"/>
    <x v="0"/>
    <x v="0"/>
    <s v="PLAQUETTES"/>
    <s v="356x26 RPI"/>
    <n v="47.8"/>
  </r>
  <r>
    <d v="2025-10-02T23:03:49"/>
    <x v="1"/>
    <s v="Plaquettes de finition"/>
    <s v="U037238"/>
    <s v="PRIEUR OLIVIER"/>
    <n v="5"/>
    <x v="2"/>
    <x v="1"/>
    <s v="PLAQUETTES"/>
    <s v="302x26 RPI"/>
    <n v="47.8"/>
  </r>
  <r>
    <d v="2025-10-03T13:15:02"/>
    <x v="1"/>
    <s v="Plaquettes de finition"/>
    <s v="045F69CAA77080"/>
    <s v="TEIXEIRA FLORIAN"/>
    <n v="5"/>
    <x v="2"/>
    <x v="1"/>
    <s v="PLAQUETTES"/>
    <s v="302x26 RPI"/>
    <n v="47.8"/>
  </r>
  <r>
    <d v="2025-10-03T21:14:18"/>
    <x v="1"/>
    <s v="Plaquettes de finition"/>
    <s v="j529800"/>
    <s v="MONTCHARMONT BAPTISTE"/>
    <n v="5"/>
    <x v="0"/>
    <x v="0"/>
    <s v="PLAQUETTES"/>
    <s v="356x26 RPI"/>
    <n v="47.8"/>
  </r>
  <r>
    <d v="2025-10-03T21:28:44"/>
    <x v="1"/>
    <s v="Plaquettes de finition"/>
    <s v="130325"/>
    <s v="PAPONNEAU JULIEN"/>
    <n v="5"/>
    <x v="1"/>
    <x v="0"/>
    <s v="PLAQUETTES"/>
    <s v="304x28 RPE"/>
    <n v="47.8"/>
  </r>
  <r>
    <d v="2025-10-03T21:28:57"/>
    <x v="1"/>
    <s v="Plaquettes de finition"/>
    <s v="130325"/>
    <s v="PAPONNEAU JULIEN"/>
    <n v="5"/>
    <x v="1"/>
    <x v="0"/>
    <s v="PLAQUETTES"/>
    <s v="304x28 RPE"/>
    <n v="47.8"/>
  </r>
  <r>
    <d v="2025-10-03T21:29:09"/>
    <x v="1"/>
    <s v="Plaquettes de finition"/>
    <s v="130325"/>
    <s v="PAPONNEAU JULIEN"/>
    <n v="5"/>
    <x v="1"/>
    <x v="0"/>
    <s v="PLAQUETTES"/>
    <s v="304x28 RPE"/>
    <n v="47.8"/>
  </r>
  <r>
    <d v="2025-10-04T06:42:01"/>
    <x v="1"/>
    <s v="Plaquettes de finition"/>
    <s v="U109136"/>
    <s v="WIPLIE FREDERIC"/>
    <n v="5"/>
    <x v="1"/>
    <x v="0"/>
    <s v="PLAQUETTES"/>
    <s v="304x28 RPE"/>
    <n v="47.8"/>
  </r>
  <r>
    <d v="2025-10-04T06:42:42"/>
    <x v="1"/>
    <s v="Plaquettes de finition"/>
    <s v="U109136"/>
    <s v="WIPLIE FREDERIC"/>
    <n v="5"/>
    <x v="1"/>
    <x v="0"/>
    <s v="PLAQUETTES"/>
    <s v="304x28 RPE"/>
    <n v="47.8"/>
  </r>
  <r>
    <d v="2025-10-05T17:29:38"/>
    <x v="1"/>
    <s v="Plaquettes de finition"/>
    <s v="150725"/>
    <s v="ADOUL WASSIM"/>
    <n v="5"/>
    <x v="0"/>
    <x v="0"/>
    <s v="PLAQUETTES"/>
    <s v="356x26 RPI"/>
    <n v="47.8"/>
  </r>
  <r>
    <d v="2025-10-05T22:50:02"/>
    <x v="1"/>
    <s v="Plaquettes de finition"/>
    <s v="150725"/>
    <s v="ADOUL WASSIM"/>
    <n v="5"/>
    <x v="1"/>
    <x v="0"/>
    <s v="PLAQUETTES"/>
    <s v="304x28 RPE"/>
    <n v="47.8"/>
  </r>
  <r>
    <d v="2025-10-06T06:44:44"/>
    <x v="1"/>
    <s v="Plaquettes de finition"/>
    <s v="101224"/>
    <s v="CHAZEAU KYLIAN"/>
    <n v="5"/>
    <x v="0"/>
    <x v="0"/>
    <s v="PLAQUETTES"/>
    <s v="356x26 RPI"/>
    <n v="47.8"/>
  </r>
  <r>
    <d v="2025-10-06T21:12:25"/>
    <x v="1"/>
    <s v="Plaquettes de finition"/>
    <s v="j529800"/>
    <s v="MONTCHARMONT BAPTISTE"/>
    <n v="5"/>
    <x v="0"/>
    <x v="0"/>
    <s v="PLAQUETTES"/>
    <s v="356x26 RPI"/>
    <n v="47.8"/>
  </r>
  <r>
    <d v="2025-10-06T21:15:42"/>
    <x v="1"/>
    <s v="Plaquettes de finition"/>
    <s v="U037238"/>
    <s v="PRIEUR OLIVIER"/>
    <n v="5"/>
    <x v="2"/>
    <x v="1"/>
    <s v="PLAQUETTES"/>
    <s v="302x26 RPI"/>
    <n v="47.8"/>
  </r>
  <r>
    <d v="2025-10-07T05:17:39"/>
    <x v="1"/>
    <s v="Plaquettes de finition"/>
    <s v="045F69CAA77080"/>
    <s v="TEIXEIRA FLORIAN"/>
    <n v="5"/>
    <x v="2"/>
    <x v="1"/>
    <s v="PLAQUETTES"/>
    <s v="302x26 RPI"/>
    <n v="47.8"/>
  </r>
  <r>
    <d v="2025-10-07T10:16:41"/>
    <x v="1"/>
    <s v="Plaquettes de finition"/>
    <s v="101224"/>
    <s v="CHAZEAU KYLIAN"/>
    <n v="5"/>
    <x v="0"/>
    <x v="0"/>
    <s v="PLAQUETTES"/>
    <s v="356x26 RPI"/>
    <n v="47.8"/>
  </r>
  <r>
    <d v="2025-10-07T16:44:21"/>
    <x v="1"/>
    <s v="Plaquettes de finition"/>
    <s v="J609988"/>
    <s v="AMALRIC VINCENT"/>
    <n v="5"/>
    <x v="1"/>
    <x v="0"/>
    <s v="PLAQUETTES"/>
    <s v="304x28 RPE"/>
    <n v="47.8"/>
  </r>
  <r>
    <d v="2025-10-08T01:08:04"/>
    <x v="0"/>
    <s v="Plaquettes de finition"/>
    <s v="j529800"/>
    <s v="MONTCHARMONT BAPTISTE"/>
    <n v="10"/>
    <x v="3"/>
    <x v="0"/>
    <s v="PLAQUETTES"/>
    <s v="330x14"/>
    <n v="109.7"/>
  </r>
  <r>
    <d v="2025-10-08T06:03:32"/>
    <x v="1"/>
    <s v="Plaquettes de finition"/>
    <s v="U505000"/>
    <s v="RECEVEUR BENOIT"/>
    <n v="5"/>
    <x v="1"/>
    <x v="0"/>
    <s v="PLAQUETTES"/>
    <s v="304x28 RPE"/>
    <n v="47.8"/>
  </r>
  <r>
    <d v="2025-10-08T12:36:25"/>
    <x v="1"/>
    <s v="Plaquettes de finition"/>
    <s v="U505000"/>
    <s v="RECEVEUR BENOIT"/>
    <n v="5"/>
    <x v="1"/>
    <x v="0"/>
    <s v="PLAQUETTES"/>
    <s v="304x28 RPE"/>
    <n v="47.8"/>
  </r>
  <r>
    <d v="2025-10-08T19:55:08"/>
    <x v="1"/>
    <s v="Plaquettes de finition"/>
    <s v="u636817"/>
    <s v="MOCQUEREAU LYDIE"/>
    <n v="5"/>
    <x v="2"/>
    <x v="1"/>
    <s v="PLAQUETTES"/>
    <s v="302x26 RPI"/>
    <n v="47.8"/>
  </r>
  <r>
    <d v="2025-10-08T19:55:26"/>
    <x v="1"/>
    <s v="Plaquettes de finition"/>
    <s v="u636817"/>
    <s v="MOCQUEREAU LYDIE"/>
    <n v="5"/>
    <x v="2"/>
    <x v="1"/>
    <s v="PLAQUETTES"/>
    <s v="302x26 RPI"/>
    <n v="47.8"/>
  </r>
  <r>
    <d v="2025-10-08T21:12:40"/>
    <x v="1"/>
    <s v="Plaquettes de finition"/>
    <s v="U037238"/>
    <s v="PRIEUR OLIVIER"/>
    <n v="5"/>
    <x v="2"/>
    <x v="1"/>
    <s v="PLAQUETTES"/>
    <s v="302x26 RPI"/>
    <n v="47.8"/>
  </r>
  <r>
    <d v="2025-10-09T01:17:00"/>
    <x v="1"/>
    <s v="Plaquettes de finition"/>
    <s v="j529800"/>
    <s v="MONTCHARMONT BAPTISTE"/>
    <n v="5"/>
    <x v="3"/>
    <x v="0"/>
    <s v="PLAQUETTES"/>
    <s v="330x28 RPE KO"/>
    <n v="47.8"/>
  </r>
  <r>
    <d v="2025-10-09T05:06:07"/>
    <x v="1"/>
    <s v="Plaquettes de finition"/>
    <s v="045F69CAA77080"/>
    <s v="TEIXEIRA FLORIAN"/>
    <n v="5"/>
    <x v="2"/>
    <x v="1"/>
    <s v="PLAQUETTES"/>
    <s v="302x26 RPI"/>
    <n v="47.8"/>
  </r>
  <r>
    <d v="2025-10-09T05:35:02"/>
    <x v="1"/>
    <s v="Plaquettes de finition"/>
    <s v="U505000"/>
    <s v="RECEVEUR BENOIT"/>
    <n v="5"/>
    <x v="1"/>
    <x v="0"/>
    <s v="PLAQUETTES"/>
    <s v="304x28 RPE"/>
    <n v="47.8"/>
  </r>
  <r>
    <d v="2025-10-09T09:33:15"/>
    <x v="1"/>
    <s v="Plaquettes de finition"/>
    <s v="101224"/>
    <s v="CHAZEAU KYLIAN"/>
    <n v="5"/>
    <x v="0"/>
    <x v="0"/>
    <s v="PLAQUETTES"/>
    <s v="356x26 RPI"/>
    <n v="47.8"/>
  </r>
  <r>
    <d v="2025-10-09T13:44:49"/>
    <x v="1"/>
    <s v="Plaquettes de finition"/>
    <s v="J609988"/>
    <s v="AMALRIC VINCENT"/>
    <n v="5"/>
    <x v="1"/>
    <x v="0"/>
    <s v="PLAQUETTES"/>
    <s v="304x28 RPE"/>
    <n v="47.8"/>
  </r>
  <r>
    <d v="2025-10-09T21:18:05"/>
    <x v="1"/>
    <s v="Plaquettes de finition"/>
    <s v="j529800"/>
    <s v="MONTCHARMONT BAPTISTE"/>
    <n v="5"/>
    <x v="3"/>
    <x v="0"/>
    <s v="PLAQUETTES"/>
    <s v="330x28 RPE KO"/>
    <n v="47.8"/>
  </r>
  <r>
    <d v="2025-10-10T01:13:47"/>
    <x v="1"/>
    <s v="Plaquettes de finition"/>
    <s v="U037238"/>
    <s v="PRIEUR OLIVIER"/>
    <n v="5"/>
    <x v="2"/>
    <x v="1"/>
    <s v="PLAQUETTES"/>
    <s v="302x26 RPI"/>
    <n v="47.8"/>
  </r>
  <r>
    <d v="2025-10-10T05:05:14"/>
    <x v="1"/>
    <s v="Plaquettes de finition"/>
    <s v="J529792"/>
    <s v="LEBRE CHRISTOPHE"/>
    <n v="5"/>
    <x v="2"/>
    <x v="1"/>
    <s v="PLAQUETTES"/>
    <s v="302x26 RPI"/>
    <n v="47.8"/>
  </r>
  <r>
    <d v="2025-10-10T13:24:32"/>
    <x v="1"/>
    <s v="Plaquettes de finition"/>
    <s v="U505000"/>
    <s v="RECEVEUR BENOIT"/>
    <n v="5"/>
    <x v="1"/>
    <x v="0"/>
    <s v="PLAQUETTES"/>
    <s v="304x28 RPE"/>
    <n v="47.8"/>
  </r>
  <r>
    <d v="2025-10-10T13:29:01"/>
    <x v="1"/>
    <s v="Plaquettes de finition"/>
    <s v="040725"/>
    <s v="BARGEOT LUCAS"/>
    <n v="5"/>
    <x v="0"/>
    <x v="0"/>
    <s v="PLAQUETTES"/>
    <s v="356x26 RPI"/>
    <n v="47.8"/>
  </r>
  <r>
    <d v="2025-10-10T14:25:39"/>
    <x v="1"/>
    <s v="Plaquettes de finition"/>
    <s v="040725"/>
    <s v="BARGEOT LUCAS"/>
    <n v="5"/>
    <x v="3"/>
    <x v="0"/>
    <s v="PLAQUETTES"/>
    <s v="330x28 RPE KO"/>
    <n v="47.8"/>
  </r>
  <r>
    <d v="2025-10-11T12:35:39"/>
    <x v="1"/>
    <s v="Plaquettes de finition"/>
    <s v="150725"/>
    <s v="ADOUL WASSIM"/>
    <n v="5"/>
    <x v="3"/>
    <x v="0"/>
    <s v="PLAQUETTES"/>
    <s v="330x28 RPE KO"/>
    <n v="47.8"/>
  </r>
  <r>
    <d v="2025-10-12T20:45:24"/>
    <x v="1"/>
    <s v="Plaquettes de finition"/>
    <s v="150725"/>
    <s v="ADOUL WASSIM"/>
    <n v="5"/>
    <x v="1"/>
    <x v="0"/>
    <s v="PLAQUETTES"/>
    <s v="304x28 RPE"/>
    <n v="47.8"/>
  </r>
  <r>
    <d v="2025-10-13T05:14:07"/>
    <x v="1"/>
    <s v="Plaquettes de finition"/>
    <s v="040725"/>
    <s v="BARGEOT LUCAS"/>
    <n v="5"/>
    <x v="0"/>
    <x v="0"/>
    <s v="PLAQUETTES"/>
    <s v="356x26 RPI"/>
    <n v="47.8"/>
  </r>
  <r>
    <d v="2025-10-13T05:15:11"/>
    <x v="1"/>
    <s v="Plaquettes de finition"/>
    <s v="040725"/>
    <s v="BARGEOT LUCAS"/>
    <n v="5"/>
    <x v="3"/>
    <x v="0"/>
    <s v="PLAQUETTES"/>
    <s v="330x28 RPE KO"/>
    <n v="47.8"/>
  </r>
  <r>
    <d v="2025-10-13T13:40:40"/>
    <x v="1"/>
    <s v="Plaquettes de finition"/>
    <s v="101123"/>
    <s v="BRUNET ANDREA"/>
    <n v="5"/>
    <x v="1"/>
    <x v="0"/>
    <s v="PLAQUETTES"/>
    <s v="304x28 RPE"/>
    <n v="47.8"/>
  </r>
  <r>
    <d v="2025-10-13T16:10:12"/>
    <x v="1"/>
    <s v="Plaquettes de finition"/>
    <s v="U505000"/>
    <s v="RECEVEUR BENOIT"/>
    <n v="5"/>
    <x v="0"/>
    <x v="0"/>
    <s v="PLAQUETTES"/>
    <s v="356x26 RPI"/>
    <n v="47.8"/>
  </r>
  <r>
    <d v="2025-10-13T21:15:20"/>
    <x v="1"/>
    <s v="Plaquettes de finition"/>
    <s v="U037238"/>
    <s v="PRIEUR OLIVIER"/>
    <n v="5"/>
    <x v="2"/>
    <x v="1"/>
    <s v="PLAQUETTES"/>
    <s v="302x26 RPI"/>
    <n v="47.8"/>
  </r>
  <r>
    <d v="2025-10-13T21:32:08"/>
    <x v="1"/>
    <s v="Plaquettes de finition"/>
    <s v="130325"/>
    <s v="PAPONNEAU JULIEN"/>
    <n v="5"/>
    <x v="0"/>
    <x v="0"/>
    <s v="PLAQUETTES"/>
    <s v="304x28 RPE"/>
    <n v="47.8"/>
  </r>
  <r>
    <d v="2025-10-14T14:51:32"/>
    <x v="1"/>
    <s v="Plaquettes de finition"/>
    <s v="045F69CAA77080"/>
    <s v="TEIXEIRA FLORIAN"/>
    <n v="5"/>
    <x v="2"/>
    <x v="1"/>
    <s v="PLAQUETTES"/>
    <s v="302x26 RPI"/>
    <n v="47.8"/>
  </r>
  <r>
    <d v="2025-10-14T15:04:48"/>
    <x v="2"/>
    <s v="Plaquettes de finition"/>
    <s v="101224"/>
    <s v="CHAZEAU KYLIAN"/>
    <n v="5"/>
    <x v="3"/>
    <x v="2"/>
    <s v="PLAQUETTES"/>
    <s v="330x28 RPE KO"/>
    <n v="44.85"/>
  </r>
  <r>
    <d v="2025-10-14T17:33:09"/>
    <x v="1"/>
    <s v="Plaquettes de finition"/>
    <s v="U505000"/>
    <s v="RECEVEUR BENOIT"/>
    <n v="5"/>
    <x v="1"/>
    <x v="0"/>
    <s v="PLAQUETTES"/>
    <s v="304x28 RPE"/>
    <n v="47.8"/>
  </r>
  <r>
    <d v="2025-10-14T17:33:23"/>
    <x v="0"/>
    <s v="Plaquettes de finition"/>
    <s v="U505000"/>
    <s v="RECEVEUR BENOIT"/>
    <n v="10"/>
    <x v="1"/>
    <x v="0"/>
    <s v="PLAQUETTES"/>
    <s v="304x28 RPE"/>
    <n v="109.7"/>
  </r>
  <r>
    <d v="2025-10-14T19:55:30"/>
    <x v="1"/>
    <s v="Plaquettes de finition"/>
    <s v="101224"/>
    <s v="CHAZEAU KYLIAN"/>
    <n v="5"/>
    <x v="0"/>
    <x v="0"/>
    <s v="PLAQUETTES"/>
    <s v="356x26 RPI"/>
    <n v="47.8"/>
  </r>
  <r>
    <d v="2025-10-15T00:02:58"/>
    <x v="1"/>
    <s v="Plaquettes de finition"/>
    <s v="U037238"/>
    <s v="PRIEUR OLIVIER"/>
    <n v="5"/>
    <x v="2"/>
    <x v="1"/>
    <s v="PLAQUETTES"/>
    <s v="302x26 RPI"/>
    <n v="47.8"/>
  </r>
  <r>
    <d v="2025-10-15T00:11:08"/>
    <x v="1"/>
    <s v="Plaquettes de finition"/>
    <s v="j529800"/>
    <s v="MONTCHARMONT BAPTISTE"/>
    <n v="5"/>
    <x v="0"/>
    <x v="0"/>
    <s v="PLAQUETTES"/>
    <s v="356x26 RPI"/>
    <n v="47.8"/>
  </r>
  <r>
    <d v="2025-10-15T05:19:05"/>
    <x v="1"/>
    <s v="Plaquettes de finition"/>
    <s v="SD75051"/>
    <s v="COMBALUZIER LUCAS"/>
    <n v="5"/>
    <x v="1"/>
    <x v="0"/>
    <s v="PLAQUETTES"/>
    <s v="304x28 RPE"/>
    <n v="47.8"/>
  </r>
  <r>
    <d v="2025-10-15T17:19:19"/>
    <x v="1"/>
    <s v="Plaquettes de finition"/>
    <s v="101224"/>
    <s v="CHAZEAU KYLIAN"/>
    <n v="5"/>
    <x v="0"/>
    <x v="0"/>
    <s v="PLAQUETTES"/>
    <s v="356x26 RPI"/>
    <n v="47.8"/>
  </r>
  <r>
    <d v="2025-10-15T17:19:31"/>
    <x v="1"/>
    <s v="Plaquettes de finition"/>
    <s v="101224"/>
    <s v="CHAZEAU KYLIAN"/>
    <n v="5"/>
    <x v="3"/>
    <x v="0"/>
    <s v="PLAQUETTES"/>
    <s v="330x28 RPE KO"/>
    <n v="47.8"/>
  </r>
  <r>
    <d v="2025-10-16T06:06:29"/>
    <x v="1"/>
    <s v="Plaquettes de finition"/>
    <s v="u636817"/>
    <s v="MOCQUEREAU LYDIE"/>
    <n v="5"/>
    <x v="2"/>
    <x v="1"/>
    <s v="PLAQUETTES"/>
    <s v="302x26 RPI"/>
    <n v="47.8"/>
  </r>
  <r>
    <d v="2025-10-16T06:06:50"/>
    <x v="1"/>
    <s v="Plaquettes de finition"/>
    <s v="u636817"/>
    <s v="MOCQUEREAU LYDIE"/>
    <n v="5"/>
    <x v="2"/>
    <x v="1"/>
    <s v="PLAQUETTES"/>
    <s v="302x26 RPI"/>
    <n v="47.8"/>
  </r>
  <r>
    <d v="2025-10-16T17:36:10"/>
    <x v="1"/>
    <s v="Plaquettes de finition"/>
    <s v="101224"/>
    <s v="CHAZEAU KYLIAN"/>
    <n v="5"/>
    <x v="3"/>
    <x v="0"/>
    <s v="PLAQUETTES"/>
    <s v="330x28 RPE KO"/>
    <n v="47.8"/>
  </r>
  <r>
    <d v="2025-10-16T18:49:53"/>
    <x v="1"/>
    <s v="Plaquettes de finition"/>
    <s v="045F69CAA77080"/>
    <s v="TEIXEIRA FLORIAN"/>
    <n v="5"/>
    <x v="2"/>
    <x v="1"/>
    <s v="PLAQUETTES"/>
    <s v="302x26 RPI"/>
    <n v="47.8"/>
  </r>
  <r>
    <d v="2025-10-16T21:18:57"/>
    <x v="1"/>
    <s v="Plaquettes de finition"/>
    <s v="j529800"/>
    <s v="MONTCHARMONT BAPTISTE"/>
    <n v="5"/>
    <x v="0"/>
    <x v="0"/>
    <s v="PLAQUETTES"/>
    <s v="356x26 RPI"/>
    <n v="47.8"/>
  </r>
  <r>
    <d v="2025-10-16T22:09:28"/>
    <x v="1"/>
    <s v="Plaquettes de finition"/>
    <s v="U037238"/>
    <s v="PRIEUR OLIVIER"/>
    <n v="5"/>
    <x v="2"/>
    <x v="1"/>
    <s v="PLAQUETTES"/>
    <s v="302x26 RPI"/>
    <n v="47.8"/>
  </r>
  <r>
    <d v="2025-10-17T02:41:22"/>
    <x v="1"/>
    <s v="Plaquettes de finition"/>
    <s v="j529800"/>
    <s v="MONTCHARMONT BAPTISTE"/>
    <n v="5"/>
    <x v="3"/>
    <x v="0"/>
    <s v="PLAQUETTES"/>
    <s v="330x28 RPE KO"/>
    <n v="47.8"/>
  </r>
  <r>
    <d v="2025-10-17T13:18:51"/>
    <x v="1"/>
    <s v="Plaquettes de finition"/>
    <s v="U505000"/>
    <s v="RECEVEUR BENOIT"/>
    <n v="5"/>
    <x v="1"/>
    <x v="0"/>
    <s v="PLAQUETTES"/>
    <s v="304x28 RPE"/>
    <n v="47.8"/>
  </r>
  <r>
    <d v="2025-10-17T15:56:57"/>
    <x v="1"/>
    <s v="Plaquettes de finition"/>
    <s v="U505000"/>
    <s v="RECEVEUR BENOIT"/>
    <n v="5"/>
    <x v="1"/>
    <x v="0"/>
    <s v="PLAQUETTES"/>
    <s v="304x28 RPE"/>
    <n v="47.8"/>
  </r>
  <r>
    <d v="2025-10-17T16:49:38"/>
    <x v="1"/>
    <s v="Plaquettes de finition"/>
    <s v="101224"/>
    <s v="CHAZEAU KYLIAN"/>
    <n v="5"/>
    <x v="0"/>
    <x v="0"/>
    <s v="PLAQUETTES"/>
    <s v="356x26 RPI"/>
    <n v="47.8"/>
  </r>
  <r>
    <d v="2025-10-18T02:44:33"/>
    <x v="1"/>
    <s v="Plaquettes de finition"/>
    <s v="j529800"/>
    <s v="MONTCHARMONT BAPTISTE"/>
    <n v="5"/>
    <x v="0"/>
    <x v="0"/>
    <s v="PLAQUETTES"/>
    <s v="356x26 RPI"/>
    <n v="47.8"/>
  </r>
  <r>
    <d v="2025-10-18T13:03:40"/>
    <x v="1"/>
    <s v="Plaquettes de finition"/>
    <s v="J529792"/>
    <s v="LEBRE CHRISTOPHE"/>
    <n v="5"/>
    <x v="2"/>
    <x v="1"/>
    <s v="PLAQUETTES"/>
    <s v="302x26 RPI"/>
    <n v="47.8"/>
  </r>
  <r>
    <d v="2025-10-20T05:00:19"/>
    <x v="1"/>
    <s v="Plaquettes de finition"/>
    <s v="045F69CAA77080"/>
    <s v="TEIXEIRA FLORIAN"/>
    <n v="5"/>
    <x v="2"/>
    <x v="1"/>
    <s v="PLAQUETTES"/>
    <s v="302x26 RPI"/>
    <n v="47.8"/>
  </r>
  <r>
    <d v="2025-10-20T06:34:39"/>
    <x v="1"/>
    <s v="Plaquettes de finition"/>
    <s v="U505000"/>
    <s v="RECEVEUR BENOIT"/>
    <n v="5"/>
    <x v="1"/>
    <x v="0"/>
    <s v="PLAQUETTES"/>
    <s v="304x28 RPE"/>
    <n v="47.8"/>
  </r>
  <r>
    <d v="2025-10-20T16:52:31"/>
    <x v="1"/>
    <s v="Plaquettes de finition"/>
    <s v="040725"/>
    <s v="BARGEOT LUCAS"/>
    <n v="5"/>
    <x v="0"/>
    <x v="0"/>
    <s v="PLAQUETTES"/>
    <s v="356x26 RPI"/>
    <n v="47.8"/>
  </r>
  <r>
    <d v="2025-10-20T19:28:20"/>
    <x v="1"/>
    <s v="Plaquettes de finition"/>
    <s v="u636817"/>
    <s v="MOCQUEREAU LYDIE"/>
    <n v="5"/>
    <x v="2"/>
    <x v="1"/>
    <s v="PLAQUETTES"/>
    <s v="302x26 RPI"/>
    <n v="47.8"/>
  </r>
  <r>
    <d v="2025-10-21T05:44:37"/>
    <x v="1"/>
    <s v="Plaquettes de finition"/>
    <s v="U505000"/>
    <s v="RECEVEUR BENOIT"/>
    <n v="5"/>
    <x v="1"/>
    <x v="0"/>
    <s v="PLAQUETTES"/>
    <s v="304x28 RPE"/>
    <n v="47.8"/>
  </r>
  <r>
    <d v="2025-10-21T11:15:26"/>
    <x v="1"/>
    <s v="Plaquettes de finition"/>
    <s v="101224"/>
    <s v="CHAZEAU KYLIAN"/>
    <n v="5"/>
    <x v="0"/>
    <x v="0"/>
    <s v="PLAQUETTES"/>
    <s v="356x26 RPI"/>
    <n v="47.8"/>
  </r>
  <r>
    <d v="2025-10-21T13:12:29"/>
    <x v="1"/>
    <s v="Plaquettes de finition"/>
    <s v="SD75051"/>
    <s v="COMBALUZIER LUCAS"/>
    <n v="5"/>
    <x v="1"/>
    <x v="0"/>
    <s v="PLAQUETTES"/>
    <s v="304x28 RPE"/>
    <n v="47.8"/>
  </r>
  <r>
    <d v="2025-10-22T05:00:25"/>
    <x v="1"/>
    <s v="Plaquettes de finition"/>
    <s v="045F69CAA77080"/>
    <s v="TEIXEIRA FLORIAN"/>
    <n v="5"/>
    <x v="2"/>
    <x v="1"/>
    <s v="PLAQUETTES"/>
    <s v="302x26 RPI"/>
    <n v="47.8"/>
  </r>
  <r>
    <d v="2025-10-22T13:24:04"/>
    <x v="1"/>
    <s v="Plaquettes de finition"/>
    <s v="040725"/>
    <s v="BARGEOT LUCAS"/>
    <n v="5"/>
    <x v="0"/>
    <x v="0"/>
    <s v="PLAQUETTES"/>
    <s v="356x26 RPI"/>
    <n v="47.8"/>
  </r>
  <r>
    <d v="2025-10-22T22:04:26"/>
    <x v="1"/>
    <s v="Plaquettes de finition"/>
    <s v="j529800"/>
    <s v="MONTCHARMONT BAPTISTE"/>
    <n v="5"/>
    <x v="0"/>
    <x v="0"/>
    <s v="PLAQUETTES"/>
    <s v="356x26 RPI"/>
    <n v="47.8"/>
  </r>
  <r>
    <d v="2025-10-22T22:48:59"/>
    <x v="1"/>
    <s v="Plaquettes de finition"/>
    <s v="U037238"/>
    <s v="PRIEUR OLIVIER"/>
    <n v="5"/>
    <x v="2"/>
    <x v="1"/>
    <s v="PLAQUETTES"/>
    <s v="302x26 RPI"/>
    <n v="47.8"/>
  </r>
  <r>
    <d v="2025-10-23T05:05:09"/>
    <x v="1"/>
    <s v="Plaquettes de finition"/>
    <s v="U505000"/>
    <s v="RECEVEUR BENOIT"/>
    <n v="5"/>
    <x v="1"/>
    <x v="0"/>
    <s v="PLAQUETTES"/>
    <s v="304x28 RPE"/>
    <n v="47.8"/>
  </r>
  <r>
    <d v="2025-10-23T05:56:32"/>
    <x v="1"/>
    <s v="Plaquettes de finition"/>
    <s v="045F69CAA77080"/>
    <s v="TEIXEIRA FLORIAN"/>
    <n v="5"/>
    <x v="2"/>
    <x v="1"/>
    <s v="PLAQUETTES"/>
    <s v="302x26 RPI"/>
    <n v="47.8"/>
  </r>
  <r>
    <d v="2025-10-23T13:08:17"/>
    <x v="1"/>
    <s v="Plaquettes de finition"/>
    <s v="SD75051"/>
    <s v="COMBALUZIER LUCAS"/>
    <n v="5"/>
    <x v="1"/>
    <x v="0"/>
    <s v="PLAQUETTES"/>
    <s v="304x28 RPE"/>
    <n v="47.8"/>
  </r>
  <r>
    <d v="2025-10-24T02:22:32"/>
    <x v="1"/>
    <s v="Plaquettes de finition"/>
    <s v="j529800"/>
    <s v="MONTCHARMONT BAPTISTE"/>
    <n v="5"/>
    <x v="0"/>
    <x v="0"/>
    <s v="PLAQUETTES"/>
    <s v="356x26 RPI"/>
    <n v="47.8"/>
  </r>
  <r>
    <d v="2025-10-24T03:21:18"/>
    <x v="1"/>
    <s v="Plaquettes de finition"/>
    <s v="U037238"/>
    <s v="PRIEUR OLIVIER"/>
    <n v="5"/>
    <x v="2"/>
    <x v="1"/>
    <s v="PLAQUETTES"/>
    <s v="302x26 RPI"/>
    <n v="47.8"/>
  </r>
  <r>
    <d v="2025-10-24T05:18:08"/>
    <x v="1"/>
    <s v="Plaquettes de finition"/>
    <s v="J529792"/>
    <s v="LEBRE CHRISTOPHE"/>
    <n v="5"/>
    <x v="2"/>
    <x v="1"/>
    <s v="PLAQUETTES"/>
    <s v="302x26 RPI"/>
    <n v="47.8"/>
  </r>
  <r>
    <d v="2025-10-24T13:09:37"/>
    <x v="1"/>
    <s v="Plaquettes de finition"/>
    <s v="SD75051"/>
    <s v="COMBALUZIER LUCAS"/>
    <n v="5"/>
    <x v="1"/>
    <x v="0"/>
    <s v="PLAQUETTES"/>
    <s v="304x28 RPE"/>
    <n v="47.8"/>
  </r>
  <r>
    <d v="2025-10-24T21:30:14"/>
    <x v="1"/>
    <s v="Plaquettes de finition"/>
    <s v="j529800"/>
    <s v="MONTCHARMONT BAPTISTE"/>
    <n v="5"/>
    <x v="3"/>
    <x v="0"/>
    <s v="PLAQUETTES"/>
    <s v="330x28 RPE KO"/>
    <n v="47.8"/>
  </r>
  <r>
    <d v="2025-10-25T05:03:13"/>
    <x v="1"/>
    <s v="Plaquettes de finition"/>
    <s v="J529792"/>
    <s v="LEBRE CHRISTOPHE"/>
    <n v="5"/>
    <x v="2"/>
    <x v="1"/>
    <s v="PLAQUETTES"/>
    <s v="302x26 RPI"/>
    <n v="47.8"/>
  </r>
  <r>
    <d v="2025-10-25T06:30:13"/>
    <x v="1"/>
    <s v="Plaquettes de finition"/>
    <s v="150725"/>
    <s v="ADOUL WASSIM"/>
    <n v="5"/>
    <x v="1"/>
    <x v="0"/>
    <s v="PLAQUETTES"/>
    <s v="304x28 RPE"/>
    <n v="47.8"/>
  </r>
  <r>
    <d v="2025-10-26T17:48:23"/>
    <x v="1"/>
    <s v="Plaquettes de finition"/>
    <s v="150725"/>
    <s v="ADOUL WASSIM"/>
    <n v="5"/>
    <x v="3"/>
    <x v="0"/>
    <s v="PLAQUETTES"/>
    <s v="330x28 RPE KO"/>
    <n v="47.8"/>
  </r>
  <r>
    <d v="2025-10-26T19:04:16"/>
    <x v="2"/>
    <s v="Plaquettes de finition"/>
    <s v="150725"/>
    <s v="ADOUL WASSIM"/>
    <n v="5"/>
    <x v="3"/>
    <x v="2"/>
    <s v="PLAQUETTES"/>
    <s v="330x28 RPE KO"/>
    <n v="44.85"/>
  </r>
  <r>
    <d v="2025-10-27T05:04:11"/>
    <x v="1"/>
    <s v="Plaquettes de finition"/>
    <s v="SD75051"/>
    <s v="COMBALUZIER LUCAS"/>
    <n v="5"/>
    <x v="1"/>
    <x v="0"/>
    <s v="PLAQUETTES"/>
    <s v="304x28 RPE"/>
    <n v="47.8"/>
  </r>
  <r>
    <d v="2025-10-27T05:08:53"/>
    <x v="1"/>
    <s v="Plaquettes de finition"/>
    <s v="040725"/>
    <s v="BARGEOT LUCAS"/>
    <n v="5"/>
    <x v="3"/>
    <x v="0"/>
    <s v="PLAQUETTES"/>
    <s v="330x28 RPE KO"/>
    <n v="47.8"/>
  </r>
  <r>
    <d v="2025-10-27T20:15:28"/>
    <x v="1"/>
    <s v="Plaquettes de finition"/>
    <s v="U505000"/>
    <s v="RECEVEUR BENOIT"/>
    <n v="5"/>
    <x v="1"/>
    <x v="0"/>
    <s v="PLAQUETTES"/>
    <s v="304x28 RPE"/>
    <n v="47.8"/>
  </r>
  <r>
    <d v="2025-10-28T07:40:09"/>
    <x v="1"/>
    <s v="Plaquettes de finition"/>
    <s v="040725"/>
    <s v="BARGEOT LUCAS"/>
    <n v="5"/>
    <x v="0"/>
    <x v="0"/>
    <s v="PLAQUETTES"/>
    <s v="356x26 RPI"/>
    <n v="47.8"/>
  </r>
  <r>
    <d v="2025-10-28T07:40:34"/>
    <x v="1"/>
    <s v="Plaquettes de finition"/>
    <s v="040725"/>
    <s v="BARGEOT LUCAS"/>
    <n v="5"/>
    <x v="3"/>
    <x v="0"/>
    <s v="PLAQUETTES"/>
    <s v="330x28 RPE KO"/>
    <n v="47.8"/>
  </r>
  <r>
    <d v="2025-10-28T14:31:03"/>
    <x v="1"/>
    <s v="Plaquettes de finition"/>
    <s v="045F69CAA77080"/>
    <s v="TEIXEIRA FLORIAN"/>
    <n v="5"/>
    <x v="2"/>
    <x v="1"/>
    <s v="PLAQUETTES"/>
    <s v="302x26 RPI"/>
    <n v="47.8"/>
  </r>
  <r>
    <d v="2025-10-28T19:15:43"/>
    <x v="1"/>
    <s v="Plaquettes de finition"/>
    <s v="045F69CAA77080"/>
    <s v="TEIXEIRA FLORIAN"/>
    <n v="5"/>
    <x v="2"/>
    <x v="1"/>
    <s v="PLAQUETTES"/>
    <s v="302x26 RPI"/>
    <n v="47.8"/>
  </r>
  <r>
    <d v="2025-10-28T23:23:37"/>
    <x v="2"/>
    <s v="Plaquettes de finition"/>
    <s v="j529800"/>
    <s v="MONTCHARMONT BAPTISTE"/>
    <n v="5"/>
    <x v="3"/>
    <x v="2"/>
    <s v="PLAQUETTES"/>
    <s v="330x28 RPE KO"/>
    <n v="44.85"/>
  </r>
  <r>
    <d v="2025-10-29T05:06:38"/>
    <x v="1"/>
    <s v="Plaquettes de finition"/>
    <s v="SD75051"/>
    <s v="COMBALUZIER LUCAS"/>
    <n v="5"/>
    <x v="1"/>
    <x v="0"/>
    <s v="PLAQUETTES"/>
    <s v="304x28 RPE"/>
    <n v="47.8"/>
  </r>
  <r>
    <d v="2025-10-29T05:14:38"/>
    <x v="1"/>
    <s v="Plaquettes de finition"/>
    <s v="u636817"/>
    <s v="MOCQUEREAU LYDIE"/>
    <n v="5"/>
    <x v="2"/>
    <x v="1"/>
    <s v="PLAQUETTES"/>
    <s v="302x26 RPI"/>
    <n v="47.8"/>
  </r>
  <r>
    <d v="2025-10-29T05:14:58"/>
    <x v="1"/>
    <s v="Plaquettes de finition"/>
    <s v="u636817"/>
    <s v="MOCQUEREAU LYDIE"/>
    <n v="5"/>
    <x v="2"/>
    <x v="1"/>
    <s v="PLAQUETTES"/>
    <s v="302x26 RPI"/>
    <n v="47.8"/>
  </r>
  <r>
    <d v="2025-10-29T13:12:53"/>
    <x v="1"/>
    <s v="Plaquettes de finition"/>
    <s v="04551FC25C7780"/>
    <s v="CHEDRU VIANNEY"/>
    <n v="5"/>
    <x v="0"/>
    <x v="0"/>
    <s v="PLAQUETTES"/>
    <s v="356x26 RPI"/>
    <n v="47.8"/>
  </r>
  <r>
    <d v="2025-10-29T13:13:27"/>
    <x v="0"/>
    <s v="Plaquettes de finition"/>
    <s v="04551FC25C7780"/>
    <s v="CHEDRU VIANNEY"/>
    <n v="10"/>
    <x v="0"/>
    <x v="0"/>
    <s v="PLAQUETTES"/>
    <s v="356x26 RPI"/>
    <n v="109.7"/>
  </r>
  <r>
    <d v="2025-10-29T17:04:09"/>
    <x v="1"/>
    <s v="Plaquettes de finition"/>
    <s v="04551FC25C7780"/>
    <s v="CHEDRU VIANNEY"/>
    <n v="5"/>
    <x v="3"/>
    <x v="0"/>
    <s v="PLAQUETTES"/>
    <s v="330x28 RPE KO"/>
    <n v="47.8"/>
  </r>
  <r>
    <d v="2025-10-29T20:39:10"/>
    <x v="0"/>
    <s v="Plaquettes de finition"/>
    <s v="04551FC25C7780"/>
    <s v="CHEDRU VIANNEY"/>
    <n v="10"/>
    <x v="1"/>
    <x v="0"/>
    <s v="PLAQUETTES"/>
    <s v="304x28 RPE"/>
    <n v="109.7"/>
  </r>
  <r>
    <d v="2025-10-30T06:33:05"/>
    <x v="1"/>
    <s v="Plaquettes de finition"/>
    <s v="SD75051"/>
    <s v="COMBALUZIER LUCAS"/>
    <n v="5"/>
    <x v="1"/>
    <x v="0"/>
    <s v="PLAQUETTES"/>
    <s v="304x28 RPE"/>
    <n v="47.8"/>
  </r>
  <r>
    <d v="2025-10-30T15:23:26"/>
    <x v="1"/>
    <s v="Plaquettes de finition"/>
    <s v="04551FC25C7780"/>
    <s v="CHEDRU VIANNEY"/>
    <n v="5"/>
    <x v="0"/>
    <x v="0"/>
    <s v="PLAQUETTES"/>
    <s v="356x26 RPI"/>
    <n v="47.8"/>
  </r>
  <r>
    <d v="2025-10-30T22:48:35"/>
    <x v="1"/>
    <s v="Plaquettes de finition"/>
    <s v="j529800"/>
    <s v="MONTCHARMONT BAPTISTE"/>
    <n v="5"/>
    <x v="0"/>
    <x v="0"/>
    <s v="PLAQUETTES"/>
    <s v="356x26 RPI"/>
    <n v="47.8"/>
  </r>
  <r>
    <d v="2025-10-31T04:09:42"/>
    <x v="1"/>
    <s v="Plaquettes de finition"/>
    <s v="j529800"/>
    <s v="MONTCHARMONT BAPTISTE"/>
    <n v="5"/>
    <x v="0"/>
    <x v="0"/>
    <s v="PLAQUETTES"/>
    <s v="356x26 RPI"/>
    <n v="47.8"/>
  </r>
  <r>
    <d v="2025-10-31T09:28:33"/>
    <x v="1"/>
    <s v="Plaquettes de finition"/>
    <s v="150725"/>
    <s v="ADOUL WASSIM"/>
    <n v="5"/>
    <x v="1"/>
    <x v="0"/>
    <s v="PLAQUETTES"/>
    <s v="304x28 RPE"/>
    <n v="47.8"/>
  </r>
  <r>
    <d v="2025-10-31T22:09:44"/>
    <x v="1"/>
    <s v="Plaquettes de finition"/>
    <s v="U037238"/>
    <s v="PRIEUR OLIVIER"/>
    <n v="5"/>
    <x v="2"/>
    <x v="1"/>
    <s v="PLAQUETTES"/>
    <s v="302x26 RPI"/>
    <n v="47.8"/>
  </r>
  <r>
    <d v="2025-11-01T01:29:32"/>
    <x v="1"/>
    <s v="Plaquettes de finition"/>
    <s v="j529800"/>
    <s v="MONTCHARMONT BAPTISTE"/>
    <n v="5"/>
    <x v="0"/>
    <x v="0"/>
    <s v="PLAQUETTES"/>
    <s v="356x26 RPI"/>
    <n v="47.8"/>
  </r>
  <r>
    <d v="2025-11-01T01:52:24"/>
    <x v="1"/>
    <s v="Plaquettes de finition"/>
    <s v="U037238"/>
    <s v="PRIEUR OLIVIER"/>
    <n v="5"/>
    <x v="2"/>
    <x v="1"/>
    <s v="PLAQUETTES"/>
    <s v="302x26 RPI"/>
    <n v="47.8"/>
  </r>
  <r>
    <d v="2025-11-01T08:18:54"/>
    <x v="1"/>
    <s v="Plaquettes de finition"/>
    <s v="150725"/>
    <s v="ADOUL WASSIM"/>
    <n v="5"/>
    <x v="0"/>
    <x v="0"/>
    <s v="PLAQUETTES"/>
    <s v="356x26 RPI"/>
    <n v="47.8"/>
  </r>
  <r>
    <d v="2025-11-01T11:06:36"/>
    <x v="1"/>
    <s v="Plaquettes de finition"/>
    <s v="J529792"/>
    <s v="LEBRE CHRISTOPHE"/>
    <n v="5"/>
    <x v="2"/>
    <x v="1"/>
    <s v="PLAQUETTES"/>
    <s v="302x26 RPI"/>
    <n v="47.8"/>
  </r>
  <r>
    <d v="2025-11-01T11:06:53"/>
    <x v="1"/>
    <s v="Plaquettes de finition"/>
    <s v="J529792"/>
    <s v="LEBRE CHRISTOPHE"/>
    <n v="5"/>
    <x v="2"/>
    <x v="1"/>
    <s v="PLAQUETTES"/>
    <s v="302x26 RPI"/>
    <n v="47.8"/>
  </r>
  <r>
    <d v="2025-11-01T11:49:25"/>
    <x v="1"/>
    <s v="Plaquettes de finition"/>
    <s v="150725"/>
    <s v="ADOUL WASSIM"/>
    <n v="5"/>
    <x v="1"/>
    <x v="0"/>
    <s v="PLAQUETTES"/>
    <s v="304x28 RPE"/>
    <n v="47.8"/>
  </r>
  <r>
    <d v="2025-11-03T00:24:27"/>
    <x v="1"/>
    <s v="Plaquettes de finition"/>
    <s v="150725"/>
    <s v="ADOUL WASSIM"/>
    <n v="5"/>
    <x v="1"/>
    <x v="0"/>
    <s v="PLAQUETTES"/>
    <s v="304x28 RPE"/>
    <n v="47.8"/>
  </r>
  <r>
    <d v="2025-11-03T05:11:42"/>
    <x v="1"/>
    <s v="Plaquettes de finition"/>
    <s v="101224"/>
    <s v="CHAZEAU KYLIAN"/>
    <n v="5"/>
    <x v="1"/>
    <x v="0"/>
    <s v="PLAQUETTES"/>
    <s v="304x28 RPE"/>
    <n v="47.8"/>
  </r>
  <r>
    <d v="2025-11-03T06:01:29"/>
    <x v="1"/>
    <s v="Plaquettes de finition"/>
    <s v="045F69CAA77080"/>
    <s v="TEIXEIRA FLORIAN"/>
    <n v="5"/>
    <x v="2"/>
    <x v="1"/>
    <s v="PLAQUETTES"/>
    <s v="302x26 RPI"/>
    <n v="47.8"/>
  </r>
  <r>
    <d v="2025-11-03T12:42:48"/>
    <x v="1"/>
    <s v="Plaquettes de finition"/>
    <s v="04551FC25C7780"/>
    <s v="CHEDRU VIANNEY"/>
    <n v="5"/>
    <x v="0"/>
    <x v="0"/>
    <s v="PLAQUETTES"/>
    <s v="356x26 RPI"/>
    <n v="47.8"/>
  </r>
  <r>
    <d v="2025-11-03T13:16:43"/>
    <x v="1"/>
    <s v="Plaquettes de finition"/>
    <s v="140325"/>
    <s v="BOUCLIER JONATHAN"/>
    <n v="5"/>
    <x v="2"/>
    <x v="1"/>
    <s v="PLAQUETTES"/>
    <s v="302x26 RPI"/>
    <n v="47.8"/>
  </r>
  <r>
    <d v="2025-11-03T21:28:08"/>
    <x v="1"/>
    <s v="Plaquettes de finition"/>
    <s v="j529800"/>
    <s v="MONTCHARMONT BAPTISTE"/>
    <n v="5"/>
    <x v="0"/>
    <x v="0"/>
    <s v="PLAQUETTES"/>
    <s v="356x26 RPI"/>
    <n v="47.8"/>
  </r>
  <r>
    <d v="2025-11-04T01:50:10"/>
    <x v="1"/>
    <s v="Plaquettes de finition"/>
    <s v="U037238"/>
    <s v="PRIEUR OLIVIER"/>
    <n v="5"/>
    <x v="2"/>
    <x v="1"/>
    <s v="PLAQUETTES"/>
    <s v="302x26 RPI"/>
    <n v="47.8"/>
  </r>
  <r>
    <d v="2025-11-04T13:32:10"/>
    <x v="1"/>
    <s v="Plaquettes de finition"/>
    <s v="SD75051"/>
    <s v="COMBALUZIER LUCAS"/>
    <n v="5"/>
    <x v="1"/>
    <x v="0"/>
    <s v="PLAQUETTES"/>
    <s v="304x28 RPE"/>
    <n v="47.8"/>
  </r>
  <r>
    <d v="2025-11-04T21:21:02"/>
    <x v="1"/>
    <s v="Plaquettes de finition"/>
    <s v="j529800"/>
    <s v="MONTCHARMONT BAPTISTE"/>
    <n v="5"/>
    <x v="0"/>
    <x v="0"/>
    <s v="PLAQUETTES"/>
    <s v="356x26 RPI"/>
    <n v="47.8"/>
  </r>
  <r>
    <d v="2025-11-04T21:24:02"/>
    <x v="1"/>
    <s v="Plaquettes de finition"/>
    <s v="130325"/>
    <s v="PAPONNEAU JULIEN"/>
    <n v="5"/>
    <x v="1"/>
    <x v="0"/>
    <s v="PLAQUETTES"/>
    <s v="304x28 RPE"/>
    <n v="47.8"/>
  </r>
  <r>
    <d v="2025-11-04T21:24:14"/>
    <x v="1"/>
    <s v="Plaquettes de finition"/>
    <s v="130325"/>
    <s v="PAPONNEAU JULIEN"/>
    <n v="5"/>
    <x v="1"/>
    <x v="0"/>
    <s v="PLAQUETTES"/>
    <s v="304x28 RPE"/>
    <n v="47.8"/>
  </r>
  <r>
    <d v="2025-11-04T21:24:26"/>
    <x v="1"/>
    <s v="Plaquettes de finition"/>
    <s v="130325"/>
    <s v="PAPONNEAU JULIEN"/>
    <n v="5"/>
    <x v="1"/>
    <x v="0"/>
    <s v="PLAQUETTES"/>
    <s v="304x28 RPE"/>
    <n v="47.8"/>
  </r>
  <r>
    <d v="2025-11-04T21:25:18"/>
    <x v="1"/>
    <s v="Plaquettes de finition"/>
    <s v="130325"/>
    <s v="PAPONNEAU JULIEN"/>
    <n v="5"/>
    <x v="1"/>
    <x v="0"/>
    <s v="PLAQUETTES"/>
    <s v="304x28 RPE"/>
    <n v="47.8"/>
  </r>
  <r>
    <d v="2025-11-04T21:32:05"/>
    <x v="0"/>
    <s v="Plaquettes de finition"/>
    <s v="130325"/>
    <s v="PAPONNEAU JULIEN"/>
    <n v="10"/>
    <x v="1"/>
    <x v="0"/>
    <s v="PLAQUETTES"/>
    <s v="304x28 RPE"/>
    <n v="109.7"/>
  </r>
  <r>
    <d v="2025-11-05T05:01:38"/>
    <x v="1"/>
    <s v="Plaquettes de finition"/>
    <s v="045F69CAA77080"/>
    <s v="TEIXEIRA FLORIAN"/>
    <n v="5"/>
    <x v="2"/>
    <x v="1"/>
    <s v="PLAQUETTES"/>
    <s v="302x26 RPI"/>
    <n v="47.8"/>
  </r>
  <r>
    <d v="2025-11-05T05:02:28"/>
    <x v="1"/>
    <s v="Plaquettes de finition"/>
    <s v="045F69CAA77080"/>
    <s v="TEIXEIRA FLORIAN"/>
    <n v="5"/>
    <x v="2"/>
    <x v="1"/>
    <s v="PLAQUETTES"/>
    <s v="302x26 RPI"/>
    <n v="47.8"/>
  </r>
  <r>
    <d v="2025-11-05T13:16:56"/>
    <x v="1"/>
    <s v="Plaquettes de finition"/>
    <s v="040725"/>
    <s v="BARGEOT LUCAS"/>
    <n v="5"/>
    <x v="0"/>
    <x v="0"/>
    <s v="PLAQUETTES"/>
    <s v="356x26 RPI"/>
    <n v="47.8"/>
  </r>
  <r>
    <d v="2025-11-05T13:41:32"/>
    <x v="1"/>
    <s v="Plaquettes de finition"/>
    <s v="040725"/>
    <s v="BARGEOT LUCAS"/>
    <n v="5"/>
    <x v="3"/>
    <x v="0"/>
    <s v="PLAQUETTES"/>
    <s v="330x28 RPE KO"/>
    <n v="47.8"/>
  </r>
  <r>
    <d v="2025-11-05T21:17:21"/>
    <x v="1"/>
    <s v="Plaquettes de finition"/>
    <s v="j529800"/>
    <s v="MONTCHARMONT BAPTISTE"/>
    <n v="5"/>
    <x v="3"/>
    <x v="0"/>
    <s v="PLAQUETTES"/>
    <s v="330x28 RPE KO"/>
    <n v="47.8"/>
  </r>
  <r>
    <d v="2025-11-05T22:18:37"/>
    <x v="2"/>
    <s v="Plaquettes de finition"/>
    <s v="j529800"/>
    <s v="MONTCHARMONT BAPTISTE"/>
    <n v="5"/>
    <x v="3"/>
    <x v="2"/>
    <s v="PLAQUETTES"/>
    <s v="330x28 RPE KO"/>
    <n v="44.85"/>
  </r>
  <r>
    <d v="2025-11-05T23:29:50"/>
    <x v="1"/>
    <s v="Plaquettes de finition"/>
    <s v="U037238"/>
    <s v="PRIEUR OLIVIER"/>
    <n v="5"/>
    <x v="2"/>
    <x v="1"/>
    <s v="PLAQUETTES"/>
    <s v="302x26 RPI"/>
    <n v="47.8"/>
  </r>
  <r>
    <d v="2025-11-06T05:04:16"/>
    <x v="1"/>
    <s v="Plaquettes de finition"/>
    <s v="045F69CAA77080"/>
    <s v="TEIXEIRA FLORIAN"/>
    <n v="5"/>
    <x v="2"/>
    <x v="1"/>
    <s v="PLAQUETTES"/>
    <s v="302x26 RPI"/>
    <n v="47.8"/>
  </r>
  <r>
    <d v="2025-11-06T05:30:03"/>
    <x v="1"/>
    <s v="Plaquettes de finition"/>
    <s v="04551FC25C7780"/>
    <s v="CHEDRU VIANNEY"/>
    <n v="5"/>
    <x v="0"/>
    <x v="0"/>
    <s v="PLAQUETTES"/>
    <s v="356x26 RPI"/>
    <n v="47.8"/>
  </r>
  <r>
    <d v="2025-11-06T14:02:29"/>
    <x v="1"/>
    <s v="Plaquettes de finition"/>
    <s v="SD75051"/>
    <s v="COMBALUZIER LUCAS"/>
    <n v="5"/>
    <x v="1"/>
    <x v="0"/>
    <s v="PLAQUETTES"/>
    <s v="304x28 RPE"/>
    <n v="47.8"/>
  </r>
  <r>
    <d v="2025-11-07T13:40:49"/>
    <x v="1"/>
    <s v="Plaquettes de finition"/>
    <s v="SD75051"/>
    <s v="COMBALUZIER LUCAS"/>
    <n v="5"/>
    <x v="1"/>
    <x v="0"/>
    <s v="PLAQUETTES"/>
    <s v="304x28 RPE"/>
    <n v="47.8"/>
  </r>
  <r>
    <d v="2025-11-07T20:44:45"/>
    <x v="1"/>
    <s v="Plaquettes de finition"/>
    <s v="040725"/>
    <s v="BARGEOT LUCAS"/>
    <n v="5"/>
    <x v="0"/>
    <x v="0"/>
    <s v="PLAQUETTES"/>
    <s v="356x26 RPI"/>
    <n v="47.8"/>
  </r>
  <r>
    <d v="2025-11-07T21:22:53"/>
    <x v="1"/>
    <s v="Plaquettes de finition"/>
    <s v="j529800"/>
    <s v="MONTCHARMONT BAPTISTE"/>
    <n v="5"/>
    <x v="0"/>
    <x v="0"/>
    <s v="PLAQUETTES"/>
    <s v="356x26 RPI"/>
    <n v="47.8"/>
  </r>
  <r>
    <d v="2025-11-07T23:15:05"/>
    <x v="1"/>
    <s v="Plaquettes de finition"/>
    <s v="U037238"/>
    <s v="PRIEUR OLIVIER"/>
    <n v="5"/>
    <x v="2"/>
    <x v="1"/>
    <s v="PLAQUETTES"/>
    <s v="302x26 RPI"/>
    <n v="47.8"/>
  </r>
  <r>
    <d v="2025-11-08T07:07:37"/>
    <x v="1"/>
    <s v="Plaquettes de finition"/>
    <s v="u080365"/>
    <s v="ALAVOINE SAMUEL"/>
    <n v="5"/>
    <x v="1"/>
    <x v="0"/>
    <s v="PLAQUETTES"/>
    <s v="304x28 RPE"/>
    <n v="47.8"/>
  </r>
  <r>
    <d v="2025-11-08T07:08:47"/>
    <x v="1"/>
    <s v="Plaquettes de finition"/>
    <s v="u080365"/>
    <s v="ALAVOINE SAMUEL"/>
    <n v="5"/>
    <x v="1"/>
    <x v="0"/>
    <s v="PLAQUETTES"/>
    <s v="304x28 RPE"/>
    <n v="47.8"/>
  </r>
  <r>
    <d v="2025-11-08T20:56:49"/>
    <x v="1"/>
    <s v="Plaquettes de finition"/>
    <s v="150725"/>
    <s v="ADOUL WASSIM"/>
    <n v="5"/>
    <x v="0"/>
    <x v="0"/>
    <s v="PLAQUETTES"/>
    <s v="356x26 RPI"/>
    <n v="47.8"/>
  </r>
  <r>
    <d v="2025-11-09T06:55:02"/>
    <x v="1"/>
    <s v="Plaquettes de finition"/>
    <s v="U080365"/>
    <s v="ALAVOINE SAMUEL"/>
    <n v="5"/>
    <x v="0"/>
    <x v="0"/>
    <s v="PLAQUETTES"/>
    <s v="356x26 RPI"/>
    <n v="47.8"/>
  </r>
  <r>
    <d v="2025-11-10T23:48:05"/>
    <x v="1"/>
    <s v="Plaquettes de finition"/>
    <s v="j529800"/>
    <s v="MONTCHARMONT BAPTISTE"/>
    <n v="5"/>
    <x v="0"/>
    <x v="0"/>
    <s v="PLAQUETTES"/>
    <s v="356x26 RPI"/>
    <n v="47.8"/>
  </r>
  <r>
    <d v="2025-11-12T08:18:44"/>
    <x v="1"/>
    <s v="Plaquettes de finition"/>
    <s v="040725"/>
    <s v="BARGEOT LUCAS"/>
    <n v="5"/>
    <x v="0"/>
    <x v="0"/>
    <s v="PLAQUETTES"/>
    <s v="356x26 RPI"/>
    <n v="47.8"/>
  </r>
  <r>
    <d v="2025-11-12T10:27:07"/>
    <x v="1"/>
    <s v="Plaquettes de finition"/>
    <s v="020824"/>
    <s v="DA SILVA RENAUD"/>
    <n v="5"/>
    <x v="2"/>
    <x v="1"/>
    <s v="PLAQUETTES"/>
    <s v="TOUT DISQUES"/>
    <n v="47.8"/>
  </r>
  <r>
    <d v="2025-11-12T14:56:00"/>
    <x v="1"/>
    <s v="Plaquettes de finition"/>
    <s v="045F69CAA77080"/>
    <s v="TEIXEIRA FLORIAN"/>
    <n v="5"/>
    <x v="2"/>
    <x v="1"/>
    <s v="PLAQUETTES"/>
    <s v="302x26 RPI"/>
    <n v="47.8"/>
  </r>
  <r>
    <d v="2025-11-12T20:07:39"/>
    <x v="1"/>
    <s v="Plaquettes de finition"/>
    <s v="04551FC25C7780"/>
    <s v="CHEDRU VIANNEY"/>
    <n v="5"/>
    <x v="3"/>
    <x v="0"/>
    <s v="PLAQUETTES"/>
    <s v="330x28 RPE KO"/>
    <n v="47.8"/>
  </r>
  <r>
    <d v="2025-11-12T21:17:01"/>
    <x v="1"/>
    <s v="Plaquettes de finition"/>
    <s v="j529800"/>
    <s v="MONTCHARMONT BAPTISTE"/>
    <n v="5"/>
    <x v="3"/>
    <x v="0"/>
    <s v="PLAQUETTES"/>
    <s v="330x28 RPE KO"/>
    <n v="47.8"/>
  </r>
  <r>
    <d v="2025-11-12T21:37:15"/>
    <x v="1"/>
    <s v="Plaquettes de finition"/>
    <s v="130325"/>
    <s v="PAPONNEAU JULIEN"/>
    <n v="5"/>
    <x v="1"/>
    <x v="0"/>
    <s v="PLAQUETTES"/>
    <s v="304x28 RPE"/>
    <n v="47.8"/>
  </r>
  <r>
    <d v="2025-11-13T16:57:48"/>
    <x v="1"/>
    <s v="Plaquettes de finition"/>
    <s v="101224"/>
    <s v="CHAZEAU KYLIAN"/>
    <n v="5"/>
    <x v="1"/>
    <x v="0"/>
    <s v="PLAQUETTES"/>
    <s v="304x28 RPE"/>
    <n v="47.8"/>
  </r>
  <r>
    <d v="2025-11-13T18:50:22"/>
    <x v="1"/>
    <s v="Plaquettes de finition"/>
    <s v="04551FC25C7780"/>
    <s v="CHEDRU VIANNEY"/>
    <n v="5"/>
    <x v="0"/>
    <x v="0"/>
    <s v="PLAQUETTES"/>
    <s v="356x26 RPI"/>
    <n v="47.8"/>
  </r>
  <r>
    <d v="2025-11-13T18:50:37"/>
    <x v="1"/>
    <s v="Plaquettes de finition"/>
    <s v="04551FC25C7780"/>
    <s v="CHEDRU VIANNEY"/>
    <n v="5"/>
    <x v="3"/>
    <x v="0"/>
    <s v="PLAQUETTES"/>
    <s v="330x28 RPE KO"/>
    <n v="47.8"/>
  </r>
  <r>
    <d v="2025-11-14T01:23:02"/>
    <x v="1"/>
    <s v="Plaquettes de finition"/>
    <s v="U037238"/>
    <s v="PRIEUR OLIVIER"/>
    <n v="5"/>
    <x v="2"/>
    <x v="1"/>
    <s v="PLAQUETTES"/>
    <s v="302x26 RPI"/>
    <n v="47.8"/>
  </r>
  <r>
    <d v="2025-11-14T05:26:16"/>
    <x v="1"/>
    <s v="Plaquettes de finition"/>
    <s v="150725"/>
    <s v="ADOUL WASSIM"/>
    <n v="5"/>
    <x v="1"/>
    <x v="0"/>
    <s v="PLAQUETTES"/>
    <s v="304x28 RPE"/>
    <n v="47.8"/>
  </r>
  <r>
    <d v="2025-11-14T05:32:23"/>
    <x v="1"/>
    <s v="Plaquettes de finition"/>
    <s v="J529792"/>
    <s v="LEBRE CHRISTOPHE"/>
    <n v="5"/>
    <x v="2"/>
    <x v="1"/>
    <s v="PLAQUETTES"/>
    <s v="302x26 RPI"/>
    <n v="47.8"/>
  </r>
  <r>
    <d v="2025-11-14T05:32:50"/>
    <x v="1"/>
    <s v="Plaquettes de finition"/>
    <s v="J529792"/>
    <s v="LEBRE CHRISTOPHE"/>
    <n v="5"/>
    <x v="2"/>
    <x v="1"/>
    <s v="PLAQUETTES"/>
    <s v="302x26 RPI"/>
    <n v="47.8"/>
  </r>
  <r>
    <d v="2025-11-14T13:43:13"/>
    <x v="1"/>
    <s v="Plaquettes de finition"/>
    <s v="04551FC25C7780"/>
    <s v="CHEDRU VIANNEY"/>
    <n v="5"/>
    <x v="3"/>
    <x v="0"/>
    <s v="PLAQUETTES"/>
    <s v="330x28 RPE KO"/>
    <n v="47.8"/>
  </r>
  <r>
    <d v="2025-11-14T14:31:49"/>
    <x v="0"/>
    <s v="Plaquettes de finition"/>
    <s v="04551FC25C7780"/>
    <s v="CHEDRU VIANNEY"/>
    <n v="10"/>
    <x v="0"/>
    <x v="0"/>
    <s v="PLAQUETTES"/>
    <s v="356x26 RPI"/>
    <n v="109.7"/>
  </r>
  <r>
    <d v="2025-11-14T14:32:15"/>
    <x v="0"/>
    <s v="Plaquettes de finition"/>
    <s v="04551FC25C7780"/>
    <s v="CHEDRU VIANNEY"/>
    <n v="10"/>
    <x v="3"/>
    <x v="0"/>
    <s v="PLAQUETTES"/>
    <s v="330x14"/>
    <n v="109.7"/>
  </r>
  <r>
    <d v="2025-11-14T16:55:47"/>
    <x v="2"/>
    <s v="Plaquettes de finition"/>
    <s v="101224"/>
    <s v="CHAZEAU KYLIAN"/>
    <n v="5"/>
    <x v="3"/>
    <x v="2"/>
    <s v="PLAQUETTES"/>
    <s v="330x28 RPE KO"/>
    <n v="44.85"/>
  </r>
  <r>
    <d v="2025-11-14T17:28:10"/>
    <x v="1"/>
    <s v="Plaquettes de finition"/>
    <s v="04551FC25C7780"/>
    <s v="CHEDRU VIANNEY"/>
    <n v="5"/>
    <x v="0"/>
    <x v="0"/>
    <s v="PLAQUETTES"/>
    <s v="356x26 RPI"/>
    <n v="47.8"/>
  </r>
  <r>
    <d v="2025-11-14T22:07:11"/>
    <x v="1"/>
    <s v="Plaquettes de finition"/>
    <s v="U037238"/>
    <s v="PRIEUR OLIVIER"/>
    <n v="5"/>
    <x v="2"/>
    <x v="1"/>
    <s v="PLAQUETTES"/>
    <s v="302x26 RPI"/>
    <n v="47.8"/>
  </r>
  <r>
    <d v="2025-11-14T23:56:18"/>
    <x v="1"/>
    <s v="Plaquettes de finition"/>
    <s v="U561365"/>
    <s v="BALLY BENOIT"/>
    <n v="5"/>
    <x v="1"/>
    <x v="0"/>
    <s v="PLAQUETTES"/>
    <s v="304x28 RPE"/>
    <n v="47.8"/>
  </r>
  <r>
    <d v="2025-11-15T03:53:35"/>
    <x v="1"/>
    <s v="Plaquettes de finition"/>
    <s v="j529800"/>
    <s v="MONTCHARMONT BAPTISTE"/>
    <n v="5"/>
    <x v="3"/>
    <x v="0"/>
    <s v="PLAQUETTES"/>
    <s v="330x28 RPE KO"/>
    <n v="47.8"/>
  </r>
  <r>
    <d v="2025-11-15T07:19:39"/>
    <x v="1"/>
    <s v="Plaquettes de finition"/>
    <s v="150725"/>
    <s v="ADOUL WASSIM"/>
    <n v="5"/>
    <x v="1"/>
    <x v="0"/>
    <s v="PLAQUETTES"/>
    <s v="304x28 RPE"/>
    <n v="47.8"/>
  </r>
  <r>
    <d v="2025-11-15T19:29:58"/>
    <x v="1"/>
    <s v="Plaquettes de finition"/>
    <s v="u080365"/>
    <s v="ALAVOINE SAMUEL"/>
    <n v="5"/>
    <x v="3"/>
    <x v="0"/>
    <s v="PLAQUETTES"/>
    <s v="330x28 RPE KO"/>
    <n v="47.8"/>
  </r>
  <r>
    <d v="2025-11-15T19:30:18"/>
    <x v="0"/>
    <s v="Plaquettes de finition"/>
    <s v="u080365"/>
    <s v="ALAVOINE SAMUEL"/>
    <n v="10"/>
    <x v="3"/>
    <x v="0"/>
    <s v="PLAQUETTES"/>
    <s v="330x14"/>
    <n v="109.7"/>
  </r>
  <r>
    <d v="2025-11-15T19:31:06"/>
    <x v="1"/>
    <s v="Plaquettes de finition"/>
    <s v="u080365"/>
    <s v="ALAVOINE SAMUEL"/>
    <n v="5"/>
    <x v="0"/>
    <x v="0"/>
    <s v="PLAQUETTES"/>
    <s v="356x26 RPI"/>
    <n v="47.8"/>
  </r>
  <r>
    <d v="2025-11-16T17:19:40"/>
    <x v="1"/>
    <s v="Plaquettes de finition"/>
    <s v="U080365"/>
    <s v="ALAVOINE SAMUEL"/>
    <n v="5"/>
    <x v="0"/>
    <x v="0"/>
    <s v="PLAQUETTES"/>
    <s v="356x26 RPI"/>
    <n v="47.8"/>
  </r>
  <r>
    <d v="2025-11-16T17:19:58"/>
    <x v="1"/>
    <s v="Plaquettes de finition"/>
    <s v="U080365"/>
    <s v="ALAVOINE SAMUEL"/>
    <n v="5"/>
    <x v="3"/>
    <x v="0"/>
    <s v="PLAQUETTES"/>
    <s v="330x28 RPE KO"/>
    <n v="47.8"/>
  </r>
  <r>
    <d v="2025-11-17T07:45:14"/>
    <x v="1"/>
    <s v="Plaquettes de finition"/>
    <s v="101224"/>
    <s v="CHAZEAU KYLIAN"/>
    <n v="5"/>
    <x v="1"/>
    <x v="0"/>
    <s v="PLAQUETTES"/>
    <s v="304x28 RPE"/>
    <n v="47.8"/>
  </r>
  <r>
    <d v="2025-11-17T13:19:07"/>
    <x v="1"/>
    <s v="Plaquettes de finition"/>
    <s v="040725"/>
    <s v="BARGEOT LUCAS"/>
    <n v="5"/>
    <x v="0"/>
    <x v="0"/>
    <s v="PLAQUETTES"/>
    <s v="356x26 RPI"/>
    <n v="47.8"/>
  </r>
  <r>
    <d v="2025-11-17T14:19:59"/>
    <x v="1"/>
    <s v="Plaquettes de finition"/>
    <s v="040725"/>
    <s v="BARGEOT LUCAS"/>
    <n v="5"/>
    <x v="3"/>
    <x v="0"/>
    <s v="PLAQUETTES"/>
    <s v="330x28 RPE KO"/>
    <n v="47.8"/>
  </r>
  <r>
    <d v="2025-11-18T02:13:17"/>
    <x v="1"/>
    <s v="Plaquettes de finition"/>
    <s v="j529800"/>
    <s v="MONTCHARMONT BAPTISTE"/>
    <n v="5"/>
    <x v="0"/>
    <x v="0"/>
    <s v="PLAQUETTES"/>
    <s v="356x26 RPI"/>
    <n v="47.8"/>
  </r>
  <r>
    <d v="2025-11-18T13:09:29"/>
    <x v="1"/>
    <s v="Plaquettes de finition"/>
    <s v="SD75051"/>
    <s v="COMBALUZIER LUCAS"/>
    <n v="5"/>
    <x v="1"/>
    <x v="0"/>
    <s v="PLAQUETTES"/>
    <s v="304x28 RPE"/>
    <n v="47.8"/>
  </r>
  <r>
    <d v="2025-11-18T23:23:00"/>
    <x v="1"/>
    <s v="Plaquettes de finition"/>
    <s v="U037238"/>
    <s v="PRIEUR OLIVIER"/>
    <n v="5"/>
    <x v="2"/>
    <x v="1"/>
    <s v="PLAQUETTES"/>
    <s v="302x26 RPI"/>
    <n v="47.8"/>
  </r>
  <r>
    <d v="2025-11-19T00:05:12"/>
    <x v="1"/>
    <s v="Plaquettes de finition"/>
    <s v="j529800"/>
    <s v="MONTCHARMONT BAPTISTE"/>
    <n v="5"/>
    <x v="0"/>
    <x v="0"/>
    <s v="PLAQUETTES"/>
    <s v="356x26 RPI"/>
    <n v="47.8"/>
  </r>
  <r>
    <d v="2025-11-19T05:17:42"/>
    <x v="1"/>
    <s v="Plaquettes de finition"/>
    <s v="045F69CAA77080"/>
    <s v="TEIXEIRA FLORIAN"/>
    <n v="5"/>
    <x v="2"/>
    <x v="1"/>
    <s v="PLAQUETTES"/>
    <s v="302x26 RPI"/>
    <n v="47.8"/>
  </r>
  <r>
    <d v="2025-11-19T08:47:41"/>
    <x v="1"/>
    <s v="Plaquettes de finition"/>
    <s v="04551FC25C7780"/>
    <s v="CHEDRU VIANNEY"/>
    <n v="5"/>
    <x v="0"/>
    <x v="0"/>
    <s v="PLAQUETTES"/>
    <s v="356x26 RPI"/>
    <n v="47.8"/>
  </r>
  <r>
    <d v="2025-11-19T13:29:31"/>
    <x v="1"/>
    <s v="Plaquettes de finition"/>
    <s v="SD75051"/>
    <s v="COMBALUZIER LUCAS"/>
    <n v="5"/>
    <x v="1"/>
    <x v="0"/>
    <s v="PLAQUETTES"/>
    <s v="304x28 RPE"/>
    <n v="47.8"/>
  </r>
  <r>
    <d v="2025-11-19T19:51:50"/>
    <x v="1"/>
    <s v="Plaquettes de finition"/>
    <s v="u636817"/>
    <s v="MOCQUEREAU LYDIE"/>
    <n v="5"/>
    <x v="2"/>
    <x v="1"/>
    <s v="PLAQUETTES"/>
    <s v="302x26 RPI"/>
    <n v="47.8"/>
  </r>
  <r>
    <d v="2025-11-19T19:52:09"/>
    <x v="1"/>
    <s v="Plaquettes de finition"/>
    <s v="u636817"/>
    <s v="MOCQUEREAU LYDIE"/>
    <n v="5"/>
    <x v="2"/>
    <x v="1"/>
    <s v="PLAQUETTES"/>
    <s v="302x26 RPI"/>
    <n v="47.8"/>
  </r>
  <r>
    <d v="2025-11-20T03:47:55"/>
    <x v="1"/>
    <s v="Plaquettes de finition"/>
    <s v="j529800"/>
    <s v="MONTCHARMONT BAPTISTE"/>
    <n v="5"/>
    <x v="0"/>
    <x v="0"/>
    <s v="PLAQUETTES"/>
    <s v="356x26 RPI"/>
    <n v="47.8"/>
  </r>
  <r>
    <d v="2025-11-20T09:41:34"/>
    <x v="1"/>
    <s v="Plaquettes de finition"/>
    <s v="045F69CAA77080"/>
    <s v="TEIXEIRA FLORIAN"/>
    <n v="5"/>
    <x v="2"/>
    <x v="1"/>
    <s v="PLAQUETTES"/>
    <s v="302x26 RPI"/>
    <n v="47.8"/>
  </r>
  <r>
    <d v="2025-11-20T13:20:33"/>
    <x v="1"/>
    <s v="Plaquettes de finition"/>
    <s v="SD75051"/>
    <s v="COMBALUZIER LUCAS"/>
    <n v="5"/>
    <x v="1"/>
    <x v="0"/>
    <s v="PLAQUETTES"/>
    <s v="304x28 RPE"/>
    <n v="47.8"/>
  </r>
  <r>
    <d v="2025-11-20T21:53:05"/>
    <x v="1"/>
    <s v="Plaquettes de finition"/>
    <s v="U037238"/>
    <s v="PRIEUR OLIVIER"/>
    <n v="5"/>
    <x v="2"/>
    <x v="1"/>
    <s v="PLAQUETTES"/>
    <s v="302x26 RPI"/>
    <n v="47.8"/>
  </r>
  <r>
    <d v="2025-11-21T13:14:54"/>
    <x v="1"/>
    <s v="Plaquettes de finition"/>
    <s v="040725"/>
    <s v="BARGEOT LUCAS"/>
    <n v="5"/>
    <x v="3"/>
    <x v="0"/>
    <s v="PLAQUETTES"/>
    <s v="330x28 RPE KO"/>
    <n v="47.8"/>
  </r>
  <r>
    <d v="2025-11-21T14:19:07"/>
    <x v="1"/>
    <s v="Plaquettes de finition"/>
    <s v="SD75051"/>
    <s v="COMBALUZIER LUCAS"/>
    <n v="5"/>
    <x v="1"/>
    <x v="0"/>
    <s v="PLAQUETTES"/>
    <s v="304x28 RPE"/>
    <n v="47.8"/>
  </r>
  <r>
    <d v="2025-11-21T21:22:35"/>
    <x v="1"/>
    <s v="Plaquettes de finition"/>
    <s v="j529800"/>
    <s v="MONTCHARMONT BAPTISTE"/>
    <n v="5"/>
    <x v="3"/>
    <x v="0"/>
    <s v="PLAQUETTES"/>
    <s v="330x28 RPE KO"/>
    <n v="47.8"/>
  </r>
  <r>
    <d v="2025-11-22T00:39:53"/>
    <x v="1"/>
    <s v="Plaquettes de finition"/>
    <s v="U037238"/>
    <s v="PRIEUR OLIVIER"/>
    <n v="5"/>
    <x v="2"/>
    <x v="1"/>
    <s v="PLAQUETTES"/>
    <s v="302x26 RPI"/>
    <n v="47.8"/>
  </r>
  <r>
    <d v="2025-11-22T19:15:40"/>
    <x v="1"/>
    <s v="Plaquettes de finition"/>
    <s v="150725"/>
    <s v="ADOUL WASSIM"/>
    <n v="5"/>
    <x v="3"/>
    <x v="0"/>
    <s v="PLAQUETTES"/>
    <s v="330x28 RPE KO"/>
    <n v="47.8"/>
  </r>
  <r>
    <d v="2025-11-23T11:45:20"/>
    <x v="1"/>
    <s v="Plaquettes de finition"/>
    <s v="U080365"/>
    <s v="ALAVOINE SAMUEL"/>
    <n v="5"/>
    <x v="0"/>
    <x v="0"/>
    <s v="PLAQUETTES"/>
    <s v="356x26 RPI"/>
    <n v="47.8"/>
  </r>
  <r>
    <d v="2025-11-23T11:46:04"/>
    <x v="1"/>
    <s v="Plaquettes de finition"/>
    <s v="U080365"/>
    <s v="ALAVOINE SAMUEL"/>
    <n v="5"/>
    <x v="0"/>
    <x v="0"/>
    <s v="PLAQUETTES"/>
    <s v="356x26 RPI"/>
    <n v="47.8"/>
  </r>
  <r>
    <d v="2025-11-23T19:10:19"/>
    <x v="1"/>
    <s v="Plaquettes de finition"/>
    <s v="150725"/>
    <s v="ADOUL WASSIM"/>
    <n v="5"/>
    <x v="1"/>
    <x v="0"/>
    <s v="PLAQUETTES"/>
    <s v="304x28 RPE"/>
    <n v="47.8"/>
  </r>
  <r>
    <d v="2025-11-23T21:03:59"/>
    <x v="2"/>
    <s v="Plaquettes de finition"/>
    <s v="150725"/>
    <s v="ADOUL WASSIM"/>
    <n v="5"/>
    <x v="3"/>
    <x v="2"/>
    <s v="PLAQUETTES"/>
    <s v="330x28 RPE KO"/>
    <n v="44.85"/>
  </r>
  <r>
    <d v="2025-11-23T21:04:35"/>
    <x v="2"/>
    <s v="Plaquettes de finition"/>
    <s v="150725"/>
    <s v="ADOUL WASSIM"/>
    <n v="5"/>
    <x v="3"/>
    <x v="2"/>
    <s v="PLAQUETTES"/>
    <s v="330x28 RPE KO"/>
    <n v="44.85"/>
  </r>
  <r>
    <d v="2025-11-24T05:42:00"/>
    <x v="1"/>
    <s v="Plaquettes de finition"/>
    <s v="040725"/>
    <s v="BARGEOT LUCAS"/>
    <n v="5"/>
    <x v="3"/>
    <x v="0"/>
    <s v="PLAQUETTES"/>
    <s v="330x28 RPE KO"/>
    <n v="47.8"/>
  </r>
  <r>
    <d v="2025-11-24T07:03:02"/>
    <x v="1"/>
    <s v="Plaquettes de finition"/>
    <s v="040725"/>
    <s v="BARGEOT LUCAS"/>
    <n v="5"/>
    <x v="0"/>
    <x v="0"/>
    <s v="PLAQUETTES"/>
    <s v="356x26 RPI"/>
    <n v="47.8"/>
  </r>
  <r>
    <d v="2025-11-25T05:36:32"/>
    <x v="1"/>
    <s v="Plaquettes de finition"/>
    <s v="040725"/>
    <s v="BARGEOT LUCAS"/>
    <n v="5"/>
    <x v="0"/>
    <x v="0"/>
    <s v="PLAQUETTES"/>
    <s v="356x26 RPI"/>
    <n v="47.8"/>
  </r>
  <r>
    <d v="2025-11-25T05:36:47"/>
    <x v="1"/>
    <s v="Plaquettes de finition"/>
    <s v="040725"/>
    <s v="BARGEOT LUCAS"/>
    <n v="5"/>
    <x v="3"/>
    <x v="0"/>
    <s v="PLAQUETTES"/>
    <s v="330x28 RPE KO"/>
    <n v="47.8"/>
  </r>
  <r>
    <d v="2025-11-25T14:42:52"/>
    <x v="1"/>
    <s v="Plaquettes de finition"/>
    <s v="04551FC25C7780"/>
    <s v="CHEDRU VIANNEY"/>
    <n v="5"/>
    <x v="0"/>
    <x v="0"/>
    <s v="PLAQUETTES"/>
    <s v="356x26 RPI"/>
    <n v="47.8"/>
  </r>
  <r>
    <d v="2025-11-25T14:43:05"/>
    <x v="1"/>
    <s v="Plaquettes de finition"/>
    <s v="04551FC25C7780"/>
    <s v="CHEDRU VIANNEY"/>
    <n v="5"/>
    <x v="3"/>
    <x v="0"/>
    <s v="PLAQUETTES"/>
    <s v="330x28 RPE KO"/>
    <n v="47.8"/>
  </r>
  <r>
    <d v="2025-11-26T05:07:01"/>
    <x v="1"/>
    <s v="Plaquettes de finition"/>
    <s v="SD75051"/>
    <s v="COMBALUZIER LUCAS"/>
    <n v="5"/>
    <x v="1"/>
    <x v="0"/>
    <s v="PLAQUETTES"/>
    <s v="304x28 RPE"/>
    <n v="47.8"/>
  </r>
  <r>
    <d v="2025-11-26T06:45:48"/>
    <x v="1"/>
    <s v="Plaquettes de finition"/>
    <s v="u636817"/>
    <s v="MOCQUEREAU LYDIE"/>
    <n v="5"/>
    <x v="2"/>
    <x v="1"/>
    <s v="PLAQUETTES"/>
    <s v="302x26 RPI"/>
    <n v="47.8"/>
  </r>
  <r>
    <d v="2025-11-26T06:46:06"/>
    <x v="1"/>
    <s v="Plaquettes de finition"/>
    <s v="u636817"/>
    <s v="MOCQUEREAU LYDIE"/>
    <n v="5"/>
    <x v="2"/>
    <x v="1"/>
    <s v="PLAQUETTES"/>
    <s v="302x26 RPI"/>
    <n v="47.8"/>
  </r>
  <r>
    <d v="2025-11-26T13:07:58"/>
    <x v="1"/>
    <s v="Plaquettes de finition"/>
    <s v="045F69CAA77080"/>
    <s v="TEIXEIRA FLORIAN"/>
    <n v="5"/>
    <x v="2"/>
    <x v="1"/>
    <s v="PLAQUETTES"/>
    <s v="302x26 RPI"/>
    <n v="47.8"/>
  </r>
  <r>
    <d v="2025-11-26T13:11:44"/>
    <x v="1"/>
    <s v="Plaquettes de finition"/>
    <s v="04551FC25C7780"/>
    <s v="CHEDRU VIANNEY"/>
    <n v="5"/>
    <x v="0"/>
    <x v="0"/>
    <s v="PLAQUETTES"/>
    <s v="356x26 RPI"/>
    <n v="47.8"/>
  </r>
  <r>
    <d v="2025-11-26T13:12:32"/>
    <x v="1"/>
    <s v="Plaquettes de finition"/>
    <s v="04551FC25C7780"/>
    <s v="CHEDRU VIANNEY"/>
    <n v="5"/>
    <x v="3"/>
    <x v="0"/>
    <s v="PLAQUETTES"/>
    <s v="330x28 RPE KO"/>
    <n v="47.8"/>
  </r>
  <r>
    <d v="2025-11-26T14:52:45"/>
    <x v="1"/>
    <s v="Plaquettes de finition"/>
    <s v="101224"/>
    <s v="CHAZEAU KYLIAN"/>
    <n v="5"/>
    <x v="1"/>
    <x v="0"/>
    <s v="PLAQUETTES"/>
    <s v="304x28 RPE"/>
    <n v="47.8"/>
  </r>
  <r>
    <d v="2025-11-26T22:00:59"/>
    <x v="1"/>
    <s v="Plaquettes de finition"/>
    <s v="U037238"/>
    <s v="PRIEUR OLIVIER"/>
    <n v="5"/>
    <x v="2"/>
    <x v="1"/>
    <s v="PLAQUETTES"/>
    <s v="302x26 RPI"/>
    <n v="47.8"/>
  </r>
  <r>
    <d v="2025-11-27T16:35:08"/>
    <x v="1"/>
    <s v="Plaquettes de finition"/>
    <s v="045F69CAA77080"/>
    <s v="TEIXEIRA FLORIAN"/>
    <n v="5"/>
    <x v="2"/>
    <x v="1"/>
    <s v="PLAQUETTES"/>
    <s v="302x26 RPI"/>
    <n v="47.8"/>
  </r>
  <r>
    <d v="2025-11-27T21:53:21"/>
    <x v="1"/>
    <s v="Plaquettes de finition"/>
    <s v="j529800"/>
    <s v="MONTCHARMONT BAPTISTE"/>
    <n v="5"/>
    <x v="0"/>
    <x v="0"/>
    <s v="PLAQUETTES"/>
    <s v="356x26 RPI"/>
    <n v="47.8"/>
  </r>
  <r>
    <d v="2025-11-27T22:16:43"/>
    <x v="1"/>
    <s v="Plaquettes de finition"/>
    <s v="j529800"/>
    <s v="MONTCHARMONT BAPTISTE"/>
    <n v="5"/>
    <x v="0"/>
    <x v="0"/>
    <s v="PLAQUETTES"/>
    <s v="356x26 RPI"/>
    <n v="47.8"/>
  </r>
  <r>
    <d v="2025-11-28T00:37:32"/>
    <x v="1"/>
    <s v="Plaquettes de finition"/>
    <s v="j529800"/>
    <s v="MONTCHARMONT BAPTISTE"/>
    <n v="5"/>
    <x v="3"/>
    <x v="0"/>
    <s v="PLAQUETTES"/>
    <s v="330x28 RPE KO"/>
    <n v="47.8"/>
  </r>
  <r>
    <d v="2025-11-28T07:33:19"/>
    <x v="1"/>
    <s v="Plaquettes de finition"/>
    <s v="J529792"/>
    <s v="LEBRE CHRISTOPHE"/>
    <n v="5"/>
    <x v="2"/>
    <x v="1"/>
    <s v="PLAQUETTES"/>
    <s v="302x26 RPI"/>
    <n v="47.8"/>
  </r>
  <r>
    <d v="2025-11-28T07:33:40"/>
    <x v="1"/>
    <s v="Plaquettes de finition"/>
    <s v="J529792"/>
    <s v="LEBRE CHRISTOPHE"/>
    <n v="5"/>
    <x v="2"/>
    <x v="1"/>
    <s v="PLAQUETTES"/>
    <s v="302x26 RPI"/>
    <n v="47.8"/>
  </r>
  <r>
    <d v="2025-11-28T13:00:31"/>
    <x v="1"/>
    <s v="Plaquettes de finition"/>
    <s v="04551FC25C7780"/>
    <s v="CHEDRU VIANNEY"/>
    <n v="5"/>
    <x v="3"/>
    <x v="0"/>
    <s v="PLAQUETTES"/>
    <s v="330x28 RPE KO"/>
    <n v="47.8"/>
  </r>
  <r>
    <d v="2025-11-28T14:27:05"/>
    <x v="2"/>
    <s v="Plaquettes de finition"/>
    <s v="04551FC25C7780"/>
    <s v="CHEDRU VIANNEY"/>
    <n v="5"/>
    <x v="3"/>
    <x v="2"/>
    <s v="PLAQUETTES"/>
    <s v="330x28 RPE KO"/>
    <n v="44.85"/>
  </r>
  <r>
    <d v="2025-11-29T16:43:04"/>
    <x v="1"/>
    <s v="Plaquettes de finition"/>
    <s v="U080365"/>
    <s v="ALAVOINE SAMUEL"/>
    <n v="5"/>
    <x v="3"/>
    <x v="0"/>
    <s v="PLAQUETTES"/>
    <s v="330x28 RPE KO"/>
    <n v="47.8"/>
  </r>
  <r>
    <d v="2025-11-29T16:43:32"/>
    <x v="1"/>
    <s v="Plaquettes de finition"/>
    <s v="U080365"/>
    <s v="ALAVOINE SAMUEL"/>
    <n v="5"/>
    <x v="0"/>
    <x v="0"/>
    <s v="PLAQUETTES"/>
    <s v="356x26 RPI"/>
    <n v="47.8"/>
  </r>
  <r>
    <d v="2025-11-30T10:10:48"/>
    <x v="1"/>
    <s v="Plaquettes de finition"/>
    <s v="U080365"/>
    <s v="ALAVOINE SAMUEL"/>
    <n v="5"/>
    <x v="0"/>
    <x v="0"/>
    <s v="PLAQUETTES"/>
    <s v="356x26 RPI"/>
    <n v="47.8"/>
  </r>
  <r>
    <d v="2025-11-30T10:11:04"/>
    <x v="1"/>
    <s v="Plaquettes de finition"/>
    <s v="U080365"/>
    <s v="ALAVOINE SAMUEL"/>
    <n v="5"/>
    <x v="3"/>
    <x v="0"/>
    <s v="PLAQUETTES"/>
    <s v="330x28 RPE KO"/>
    <n v="47.8"/>
  </r>
  <r>
    <d v="2025-11-30T19:16:11"/>
    <x v="1"/>
    <s v="Plaquettes de finition"/>
    <s v="150725"/>
    <s v="ADOUL WASSIM"/>
    <n v="5"/>
    <x v="1"/>
    <x v="0"/>
    <s v="PLAQUETTES"/>
    <s v="304x28 RPE"/>
    <n v="47.8"/>
  </r>
  <r>
    <d v="2025-12-01T05:39:06"/>
    <x v="1"/>
    <s v="Plaquettes de finition"/>
    <s v="210325"/>
    <s v="DAUTUN ALLAN"/>
    <n v="5"/>
    <x v="2"/>
    <x v="1"/>
    <s v="PLAQUETTES"/>
    <s v="302x26 RPI"/>
    <n v="47.8"/>
  </r>
  <r>
    <d v="2025-12-01T05:39:27"/>
    <x v="1"/>
    <s v="Plaquettes de finition"/>
    <s v="210325"/>
    <s v="DAUTUN ALLAN"/>
    <n v="5"/>
    <x v="2"/>
    <x v="1"/>
    <s v="PLAQUETTES"/>
    <s v="302x26 RPI"/>
    <n v="47.8"/>
  </r>
  <r>
    <d v="2025-12-01T12:06:31"/>
    <x v="0"/>
    <s v="Plaquettes de finition"/>
    <s v="045C6ECAA77080"/>
    <s v="PERREIRA KEVIN"/>
    <n v="10"/>
    <x v="1"/>
    <x v="0"/>
    <s v="PLAQUETTES"/>
    <s v="304x28 RPE"/>
    <n v="109.7"/>
  </r>
  <r>
    <d v="2025-12-01T12:07:01"/>
    <x v="1"/>
    <s v="Plaquettes de finition"/>
    <s v="045C6ECAA77080"/>
    <s v="PERREIRA KEVIN"/>
    <n v="5"/>
    <x v="1"/>
    <x v="0"/>
    <s v="PLAQUETTES"/>
    <s v="304x28 RPE"/>
    <n v="47.8"/>
  </r>
  <r>
    <d v="2025-12-01T13:08:32"/>
    <x v="1"/>
    <s v="Plaquettes de finition"/>
    <s v="140325"/>
    <s v="BOUCLIER JONATHAN"/>
    <n v="5"/>
    <x v="2"/>
    <x v="1"/>
    <s v="PLAQUETTES"/>
    <s v="302x26 RPI"/>
    <n v="47.8"/>
  </r>
  <r>
    <d v="2025-12-01T13:11:29"/>
    <x v="1"/>
    <s v="Plaquettes de finition"/>
    <s v="SD75051"/>
    <s v="COMBALUZIER LUCAS"/>
    <n v="5"/>
    <x v="1"/>
    <x v="0"/>
    <s v="PLAQUETTES"/>
    <s v="304x28 RPE"/>
    <n v="47.8"/>
  </r>
  <r>
    <d v="2025-12-01T20:22:39"/>
    <x v="1"/>
    <s v="Plaquettes de finition"/>
    <s v="SE08251"/>
    <s v="FAYET AYMERIC"/>
    <n v="5"/>
    <x v="0"/>
    <x v="0"/>
    <s v="PLAQUETTES"/>
    <s v="356x26 RPI"/>
    <n v="47.8"/>
  </r>
  <r>
    <d v="2025-12-01T20:23:04"/>
    <x v="1"/>
    <s v="Plaquettes de finition"/>
    <s v="SE08251"/>
    <s v="FAYET AYMERIC"/>
    <n v="5"/>
    <x v="3"/>
    <x v="0"/>
    <s v="PLAQUETTES"/>
    <s v="330x28 RPE KO"/>
    <n v="47.8"/>
  </r>
  <r>
    <d v="2025-12-02T05:34:50"/>
    <x v="1"/>
    <s v="Plaquettes de finition"/>
    <s v="045C6ECAA77080"/>
    <s v="PERREIRA KEVIN"/>
    <n v="5"/>
    <x v="1"/>
    <x v="0"/>
    <s v="PLAQUETTES"/>
    <s v="304x28 RPE"/>
    <n v="47.8"/>
  </r>
  <r>
    <d v="2025-12-02T07:17:23"/>
    <x v="1"/>
    <s v="Plaquettes de finition"/>
    <s v="04551FC25C7780"/>
    <s v="CHEDRU VIANNEY"/>
    <n v="5"/>
    <x v="0"/>
    <x v="0"/>
    <s v="PLAQUETTES"/>
    <s v="356x26 RPI"/>
    <n v="47.8"/>
  </r>
  <r>
    <d v="2025-12-02T07:18:09"/>
    <x v="1"/>
    <s v="Plaquettes de finition"/>
    <s v="04551FC25C7780"/>
    <s v="CHEDRU VIANNEY"/>
    <n v="5"/>
    <x v="3"/>
    <x v="0"/>
    <s v="PLAQUETTES"/>
    <s v="330x28 RPE KO"/>
    <n v="47.8"/>
  </r>
  <r>
    <d v="2025-12-02T07:18:25"/>
    <x v="2"/>
    <s v="Plaquettes de finition"/>
    <s v="04551FC25C7780"/>
    <s v="CHEDRU VIANNEY"/>
    <n v="5"/>
    <x v="3"/>
    <x v="2"/>
    <s v="PLAQUETTES"/>
    <s v="330x28 RPE KO"/>
    <n v="44.85"/>
  </r>
  <r>
    <d v="2025-12-02T21:58:04"/>
    <x v="1"/>
    <s v="Plaquettes de finition"/>
    <s v="U037238"/>
    <s v="PRIEUR OLIVIER"/>
    <n v="5"/>
    <x v="2"/>
    <x v="1"/>
    <s v="PLAQUETTES"/>
    <s v="302x26 RPI"/>
    <n v="47.8"/>
  </r>
  <r>
    <d v="2025-12-03T01:26:18"/>
    <x v="1"/>
    <s v="Plaquettes de finition"/>
    <s v="130325"/>
    <s v="PAPONNEAU JULIEN"/>
    <n v="5"/>
    <x v="1"/>
    <x v="0"/>
    <s v="PLAQUETTES"/>
    <s v="304x28 RPE"/>
    <n v="47.8"/>
  </r>
  <r>
    <d v="2025-12-03T01:26:30"/>
    <x v="1"/>
    <s v="Plaquettes de finition"/>
    <s v="130325"/>
    <s v="PAPONNEAU JULIEN"/>
    <n v="5"/>
    <x v="1"/>
    <x v="0"/>
    <s v="PLAQUETTES"/>
    <s v="304x28 RPE"/>
    <n v="47.8"/>
  </r>
  <r>
    <d v="2025-12-03T06:25:06"/>
    <x v="1"/>
    <s v="Plaquettes de finition"/>
    <s v="045F69CAA77080"/>
    <s v="TEIXEIRA FLORIAN"/>
    <n v="5"/>
    <x v="2"/>
    <x v="1"/>
    <s v="PLAQUETTES"/>
    <s v="302x26 RPI"/>
    <n v="47.8"/>
  </r>
  <r>
    <d v="2025-12-03T07:00:17"/>
    <x v="1"/>
    <s v="Plaquettes de finition"/>
    <s v="04551FC25C7780"/>
    <s v="CHEDRU VIANNEY"/>
    <n v="5"/>
    <x v="3"/>
    <x v="0"/>
    <s v="PLAQUETTES"/>
    <s v="330x28 RPE KO"/>
    <n v="47.8"/>
  </r>
  <r>
    <d v="2025-12-03T07:00:34"/>
    <x v="1"/>
    <s v="Plaquettes de finition"/>
    <s v="04551FC25C7780"/>
    <s v="CHEDRU VIANNEY"/>
    <n v="5"/>
    <x v="0"/>
    <x v="0"/>
    <s v="PLAQUETTES"/>
    <s v="356x26 RPI"/>
    <n v="47.8"/>
  </r>
  <r>
    <d v="2025-12-03T07:21:58"/>
    <x v="1"/>
    <s v="Plaquettes de finition"/>
    <s v="045C6ECAA77080"/>
    <s v="PERREIRA KEVIN"/>
    <n v="5"/>
    <x v="1"/>
    <x v="0"/>
    <s v="PLAQUETTES"/>
    <s v="304x28 RPE"/>
    <n v="47.8"/>
  </r>
  <r>
    <d v="2025-12-04T04:24:09"/>
    <x v="1"/>
    <s v="Plaquettes de finition"/>
    <s v="j529800"/>
    <s v="MONTCHARMONT BAPTISTE"/>
    <n v="5"/>
    <x v="0"/>
    <x v="0"/>
    <s v="PLAQUETTES"/>
    <s v="356x26 RPI"/>
    <n v="47.8"/>
  </r>
  <r>
    <d v="2025-12-04T05:04:41"/>
    <x v="1"/>
    <s v="Plaquettes de finition"/>
    <s v="045F69CAA77080"/>
    <s v="TEIXEIRA FLORIAN"/>
    <n v="5"/>
    <x v="2"/>
    <x v="1"/>
    <s v="PLAQUETTES"/>
    <s v="302x26 RPI"/>
    <n v="47.8"/>
  </r>
  <r>
    <d v="2025-12-04T06:39:30"/>
    <x v="1"/>
    <s v="Plaquettes de finition"/>
    <s v="04551FC25C7780"/>
    <s v="CHEDRU VIANNEY"/>
    <n v="5"/>
    <x v="0"/>
    <x v="0"/>
    <s v="PLAQUETTES"/>
    <s v="356x26 RPI"/>
    <n v="47.8"/>
  </r>
  <r>
    <d v="2025-12-04T06:40:31"/>
    <x v="1"/>
    <s v="Plaquettes de finition"/>
    <s v="04551FC25C7780"/>
    <s v="CHEDRU VIANNEY"/>
    <n v="5"/>
    <x v="3"/>
    <x v="0"/>
    <s v="PLAQUETTES"/>
    <s v="330x28 RPE KO"/>
    <n v="47.8"/>
  </r>
  <r>
    <d v="2025-12-04T21:24:09"/>
    <x v="1"/>
    <s v="Plaquettes de finition"/>
    <s v="j529800"/>
    <s v="MONTCHARMONT BAPTISTE"/>
    <n v="5"/>
    <x v="0"/>
    <x v="0"/>
    <s v="PLAQUETTES"/>
    <s v="356x26 RPI"/>
    <n v="47.8"/>
  </r>
  <r>
    <d v="2025-12-04T23:27:09"/>
    <x v="1"/>
    <s v="Plaquettes de finition"/>
    <s v="U037238"/>
    <s v="PRIEUR OLIVIER"/>
    <n v="5"/>
    <x v="2"/>
    <x v="1"/>
    <s v="PLAQUETTES"/>
    <s v="302x26 RPI"/>
    <n v="47.8"/>
  </r>
  <r>
    <d v="2025-12-05T05:03:25"/>
    <x v="1"/>
    <s v="Plaquettes de finition"/>
    <s v="J529792"/>
    <s v="LEBRE CHRISTOPHE"/>
    <n v="5"/>
    <x v="2"/>
    <x v="1"/>
    <s v="PLAQUETTES"/>
    <s v="302x26 RPI"/>
    <n v="47.8"/>
  </r>
  <r>
    <d v="2025-12-05T05:04:03"/>
    <x v="1"/>
    <s v="Plaquettes de finition"/>
    <s v="J529792"/>
    <s v="LEBRE CHRISTOPHE"/>
    <n v="5"/>
    <x v="2"/>
    <x v="1"/>
    <s v="PLAQUETTES"/>
    <s v="302x26 RPI"/>
    <n v="47.8"/>
  </r>
  <r>
    <d v="2025-12-05T13:11:21"/>
    <x v="2"/>
    <s v="Plaquettes de finition"/>
    <s v="040725"/>
    <s v="BARGEOT LUCAS"/>
    <n v="5"/>
    <x v="3"/>
    <x v="2"/>
    <s v="PLAQUETTES"/>
    <s v="330x28 RPE KO"/>
    <n v="44.85"/>
  </r>
  <r>
    <d v="2025-12-05T14:18:59"/>
    <x v="1"/>
    <s v="Plaquettes de finition"/>
    <s v="040725"/>
    <s v="BARGEOT LUCAS"/>
    <n v="5"/>
    <x v="3"/>
    <x v="0"/>
    <s v="PLAQUETTES"/>
    <s v="330x28 RPE KO"/>
    <n v="47.8"/>
  </r>
  <r>
    <d v="2025-12-05T21:19:35"/>
    <x v="1"/>
    <s v="Plaquettes de finition"/>
    <s v="j529800"/>
    <s v="MONTCHARMONT BAPTISTE"/>
    <n v="5"/>
    <x v="3"/>
    <x v="0"/>
    <s v="PLAQUETTES"/>
    <s v="330x28 RPE KO"/>
    <n v="47.8"/>
  </r>
  <r>
    <d v="2025-12-05T21:21:21"/>
    <x v="1"/>
    <s v="Plaquettes de finition"/>
    <s v="U037238"/>
    <s v="PRIEUR OLIVIER"/>
    <n v="5"/>
    <x v="2"/>
    <x v="1"/>
    <s v="PLAQUETTES"/>
    <s v="302x26 RPI"/>
    <n v="47.8"/>
  </r>
  <r>
    <d v="2025-12-06T05:13:04"/>
    <x v="1"/>
    <s v="Plaquettes de finition"/>
    <s v="U080365"/>
    <s v="ALAVOINE SAMUEL"/>
    <n v="5"/>
    <x v="0"/>
    <x v="0"/>
    <s v="PLAQUETTES"/>
    <s v="356x26 RPI"/>
    <n v="47.8"/>
  </r>
  <r>
    <d v="2025-12-06T05:13:23"/>
    <x v="1"/>
    <s v="Plaquettes de finition"/>
    <s v="U080365"/>
    <s v="ALAVOINE SAMUEL"/>
    <n v="5"/>
    <x v="3"/>
    <x v="0"/>
    <s v="PLAQUETTES"/>
    <s v="330x28 RPE KO"/>
    <n v="47.8"/>
  </r>
  <r>
    <d v="2025-12-06T05:51:38"/>
    <x v="0"/>
    <s v="Plaquettes de finition"/>
    <s v="DELIAT C"/>
    <s v="DELIAT CHRISTOPHE"/>
    <n v="10"/>
    <x v="1"/>
    <x v="0"/>
    <s v="PLAQUETTES"/>
    <s v="304x28 RPE"/>
    <n v="109.7"/>
  </r>
  <r>
    <d v="2025-12-06T05:51:53"/>
    <x v="1"/>
    <s v="Plaquettes de finition"/>
    <s v="DELIAT C"/>
    <s v="DELIAT CHRISTOPHE"/>
    <n v="5"/>
    <x v="1"/>
    <x v="0"/>
    <s v="PLAQUETTES"/>
    <s v="304x28 RPE"/>
    <n v="47.8"/>
  </r>
  <r>
    <d v="2025-12-07T10:09:44"/>
    <x v="1"/>
    <s v="Plaquettes de finition"/>
    <s v="U080365"/>
    <s v="ALAVOINE SAMUEL"/>
    <n v="5"/>
    <x v="0"/>
    <x v="0"/>
    <s v="PLAQUETTES"/>
    <s v="356x26 RPI"/>
    <n v="47.8"/>
  </r>
  <r>
    <d v="2025-12-07T21:09:51"/>
    <x v="1"/>
    <s v="Plaquettes de finition"/>
    <s v="150725"/>
    <s v="ADOUL WASSIM"/>
    <n v="5"/>
    <x v="0"/>
    <x v="0"/>
    <s v="PLAQUETTES"/>
    <s v="356x26 RPI"/>
    <n v="47.8"/>
  </r>
  <r>
    <d v="2025-12-08T04:59:36"/>
    <x v="1"/>
    <s v="Plaquettes de finition"/>
    <s v="140325"/>
    <s v="BOUCLIER JONATHAN"/>
    <n v="5"/>
    <x v="2"/>
    <x v="1"/>
    <s v="PLAQUETTES"/>
    <s v="302x26 RPI"/>
    <n v="47.8"/>
  </r>
  <r>
    <d v="2025-12-08T05:20:14"/>
    <x v="1"/>
    <s v="Plaquettes de finition"/>
    <s v="040725"/>
    <s v="BARGEOT LUCAS"/>
    <n v="5"/>
    <x v="3"/>
    <x v="0"/>
    <s v="PLAQUETTES"/>
    <s v="330x28 RPE KO"/>
    <n v="47.8"/>
  </r>
  <r>
    <d v="2025-12-08T16:00:00"/>
    <x v="1"/>
    <s v="Plaquettes de finition"/>
    <s v="04551FC25C7780"/>
    <s v="CHEDRU VIANNEY"/>
    <n v="5"/>
    <x v="0"/>
    <x v="0"/>
    <s v="PLAQUETTES"/>
    <s v="356x26 RPI"/>
    <n v="47.8"/>
  </r>
  <r>
    <d v="2025-12-08T16:00:13"/>
    <x v="1"/>
    <s v="Plaquettes de finition"/>
    <s v="04551FC25C7780"/>
    <s v="CHEDRU VIANNEY"/>
    <n v="5"/>
    <x v="3"/>
    <x v="0"/>
    <s v="PLAQUETTES"/>
    <s v="330x28 RPE KO"/>
    <n v="47.8"/>
  </r>
  <r>
    <d v="2025-12-08T23:30:31"/>
    <x v="1"/>
    <s v="Plaquettes de finition"/>
    <s v="130325"/>
    <s v="PAPONNEAU JULIEN"/>
    <n v="5"/>
    <x v="1"/>
    <x v="0"/>
    <s v="PLAQUETTES"/>
    <s v="304x28 RPE"/>
    <n v="47.8"/>
  </r>
  <r>
    <d v="2025-12-09T03:52:56"/>
    <x v="1"/>
    <s v="Plaquettes de finition"/>
    <s v="U037238"/>
    <s v="PRIEUR OLIVIER"/>
    <n v="5"/>
    <x v="2"/>
    <x v="1"/>
    <s v="PLAQUETTES"/>
    <s v="302x26 RPI"/>
    <n v="47.8"/>
  </r>
  <r>
    <d v="2025-12-09T05:05:51"/>
    <x v="1"/>
    <s v="Plaquettes de finition"/>
    <s v="140325"/>
    <s v="BOUCLIER JONATHAN"/>
    <n v="5"/>
    <x v="2"/>
    <x v="1"/>
    <s v="PLAQUETTES"/>
    <s v="302x26 RPI"/>
    <n v="47.8"/>
  </r>
  <r>
    <d v="2025-12-09T23:09:05"/>
    <x v="1"/>
    <s v="Plaquettes de finition"/>
    <s v="130325"/>
    <s v="PAPONNEAU JULIEN"/>
    <n v="5"/>
    <x v="1"/>
    <x v="0"/>
    <s v="PLAQUETTES"/>
    <s v="304x28 RPE"/>
    <n v="47.8"/>
  </r>
  <r>
    <d v="2025-12-10T05:11:33"/>
    <x v="1"/>
    <s v="Plaquettes de finition"/>
    <s v="140325"/>
    <s v="BOUCLIER JONATHAN"/>
    <n v="5"/>
    <x v="2"/>
    <x v="1"/>
    <s v="PLAQUETTES"/>
    <s v="302x26 RPI"/>
    <n v="47.8"/>
  </r>
  <r>
    <d v="2025-12-10T18:09:37"/>
    <x v="1"/>
    <s v="Plaquettes de finition"/>
    <s v="04551FC25C7780"/>
    <s v="CHEDRU VIANNEY"/>
    <n v="5"/>
    <x v="0"/>
    <x v="0"/>
    <s v="PLAQUETTES"/>
    <s v="356x26 RPI"/>
    <n v="47.8"/>
  </r>
  <r>
    <d v="2025-12-11T01:01:11"/>
    <x v="1"/>
    <s v="Plaquettes de finition"/>
    <s v="U037238"/>
    <s v="PRIEUR OLIVIER"/>
    <n v="5"/>
    <x v="2"/>
    <x v="1"/>
    <s v="PLAQUETTES"/>
    <s v="302x26 RPI"/>
    <n v="47.8"/>
  </r>
  <r>
    <d v="2025-12-11T11:15:07"/>
    <x v="1"/>
    <s v="Plaquettes de finition"/>
    <s v="040725"/>
    <s v="BARGEOT LUCAS"/>
    <n v="5"/>
    <x v="0"/>
    <x v="0"/>
    <s v="PLAQUETTES"/>
    <s v="356x26 RPI"/>
    <n v="47.8"/>
  </r>
  <r>
    <d v="2025-12-11T19:45:03"/>
    <x v="1"/>
    <s v="Plaquettes de finition"/>
    <s v="045C6ECAA77080"/>
    <s v="PERREIRA KEVIN"/>
    <n v="5"/>
    <x v="1"/>
    <x v="0"/>
    <s v="PLAQUETTES"/>
    <s v="356x26 RPI"/>
    <n v="47.8"/>
  </r>
  <r>
    <d v="2025-12-11T21:55:00"/>
    <x v="1"/>
    <s v="Plaquettes de finition"/>
    <s v="j529800"/>
    <s v="MONTCHARMONT BAPTISTE"/>
    <n v="5"/>
    <x v="3"/>
    <x v="0"/>
    <s v="PLAQUETTES"/>
    <s v="330x28 RPE KO"/>
    <n v="47.8"/>
  </r>
  <r>
    <d v="2025-12-12T09:23:46"/>
    <x v="1"/>
    <s v="Plaquettes de finition"/>
    <s v="u109136"/>
    <s v="WIPLIE FREDERIC"/>
    <n v="5"/>
    <x v="1"/>
    <x v="0"/>
    <s v="PLAQUETTES"/>
    <s v="356x26 RPI"/>
    <n v="47.8"/>
  </r>
  <r>
    <d v="2025-12-12T16:55:32"/>
    <x v="0"/>
    <s v="Plaquettes de finition"/>
    <s v="04551FC25C7780"/>
    <s v="CHEDRU VIANNEY"/>
    <n v="10"/>
    <x v="0"/>
    <x v="0"/>
    <s v="PLAQUETTES"/>
    <s v="356x26 RPI"/>
    <n v="109.7"/>
  </r>
  <r>
    <d v="2025-12-12T16:55:47"/>
    <x v="1"/>
    <s v="Plaquettes de finition"/>
    <s v="04551FC25C7780"/>
    <s v="CHEDRU VIANNEY"/>
    <n v="5"/>
    <x v="0"/>
    <x v="0"/>
    <s v="PLAQUETTES"/>
    <s v="356x26 RPI"/>
    <n v="47.8"/>
  </r>
  <r>
    <d v="2025-12-12T16:57:14"/>
    <x v="2"/>
    <s v="Plaquettes de finition"/>
    <s v="04551FC25C7780"/>
    <s v="CHEDRU VIANNEY"/>
    <n v="5"/>
    <x v="3"/>
    <x v="2"/>
    <s v="PLAQUETTES"/>
    <s v="330x28 RPE KO"/>
    <n v="44.85"/>
  </r>
  <r>
    <d v="2025-12-12T16:57:30"/>
    <x v="1"/>
    <s v="Plaquettes de finition"/>
    <s v="04551FC25C7780"/>
    <s v="CHEDRU VIANNEY"/>
    <n v="5"/>
    <x v="3"/>
    <x v="0"/>
    <s v="PLAQUETTES"/>
    <s v="330x28 RPE KO"/>
    <n v="47.8"/>
  </r>
  <r>
    <d v="2025-12-12T16:58:27"/>
    <x v="0"/>
    <s v="Plaquettes de finition"/>
    <s v="04551FC25C7780"/>
    <s v="CHEDRU VIANNEY"/>
    <n v="10"/>
    <x v="3"/>
    <x v="0"/>
    <s v="PLAQUETTES"/>
    <s v="330x28 RPE KO"/>
    <n v="109.7"/>
  </r>
  <r>
    <d v="2025-12-12T19:18:38"/>
    <x v="1"/>
    <s v="Plaquettes de finition"/>
    <s v="045C6ECAA77080"/>
    <s v="PERREIRA KEVIN"/>
    <n v="5"/>
    <x v="1"/>
    <x v="0"/>
    <s v="PLAQUETTES"/>
    <s v="356x26 RPI"/>
    <n v="47.8"/>
  </r>
  <r>
    <d v="2025-12-12T22:05:35"/>
    <x v="1"/>
    <s v="Plaquettes de finition"/>
    <s v="U037238"/>
    <s v="PRIEUR OLIVIER"/>
    <n v="5"/>
    <x v="2"/>
    <x v="1"/>
    <s v="PLAQUETTES"/>
    <s v="302x26 RPI"/>
    <n v="47.8"/>
  </r>
  <r>
    <d v="2025-12-13T05:10:10"/>
    <x v="1"/>
    <s v="Plaquettes de finition"/>
    <s v="J529792"/>
    <s v="LEBRE CHRISTOPHE"/>
    <n v="5"/>
    <x v="2"/>
    <x v="1"/>
    <s v="PLAQUETTES"/>
    <s v="302x26 RPI"/>
    <n v="47.8"/>
  </r>
  <r>
    <d v="2025-12-13T05:10:39"/>
    <x v="1"/>
    <s v="Plaquettes de finition"/>
    <s v="J529792"/>
    <s v="LEBRE CHRISTOPHE"/>
    <n v="5"/>
    <x v="2"/>
    <x v="1"/>
    <s v="PLAQUETTES"/>
    <s v="302x26 RPI"/>
    <n v="47.8"/>
  </r>
  <r>
    <d v="2025-12-13T10:29:55"/>
    <x v="1"/>
    <s v="Plaquettes de finition"/>
    <s v="150725"/>
    <s v="ADOUL WASSIM"/>
    <n v="5"/>
    <x v="0"/>
    <x v="0"/>
    <s v="PLAQUETTES"/>
    <s v="356x26 RPI"/>
    <n v="47.8"/>
  </r>
  <r>
    <d v="2025-12-13T19:33:49"/>
    <x v="1"/>
    <s v="Plaquettes de finition"/>
    <s v="U080365"/>
    <s v="ALAVOINE SAMUEL"/>
    <n v="5"/>
    <x v="0"/>
    <x v="0"/>
    <s v="PLAQUETTES"/>
    <s v="356x26 RPI"/>
    <n v="47.8"/>
  </r>
  <r>
    <d v="2025-12-13T19:34:01"/>
    <x v="1"/>
    <s v="Plaquettes de finition"/>
    <s v="U080365"/>
    <s v="ALAVOINE SAMUEL"/>
    <n v="5"/>
    <x v="3"/>
    <x v="0"/>
    <s v="PLAQUETTES"/>
    <s v="330x28 RPE KO"/>
    <n v="47.8"/>
  </r>
  <r>
    <d v="2025-12-13T19:34:18"/>
    <x v="2"/>
    <s v="Plaquettes de finition"/>
    <s v="U080365"/>
    <s v="ALAVOINE SAMUEL"/>
    <n v="5"/>
    <x v="3"/>
    <x v="2"/>
    <s v="PLAQUETTES"/>
    <s v="330x28 RPE KO"/>
    <n v="44.85"/>
  </r>
  <r>
    <d v="2025-12-14T14:04:48"/>
    <x v="1"/>
    <s v="Plaquettes de finition"/>
    <s v="SD75051"/>
    <s v="COMBALUZIER LUCAS"/>
    <n v="5"/>
    <x v="1"/>
    <x v="0"/>
    <s v="PLAQUETTES"/>
    <s v="304x28 RPE"/>
    <n v="47.8"/>
  </r>
  <r>
    <d v="2025-12-15T05:28:37"/>
    <x v="1"/>
    <s v="Plaquettes de finition"/>
    <s v="045C6ECAA77080"/>
    <s v="PERREIRA KEVIN"/>
    <n v="5"/>
    <x v="1"/>
    <x v="0"/>
    <s v="PLAQUETTES"/>
    <s v="356x26 RPI"/>
    <n v="47.8"/>
  </r>
  <r>
    <d v="2025-12-15T05:36:10"/>
    <x v="1"/>
    <s v="Plaquettes de finition"/>
    <s v="04551FC25C7780"/>
    <s v="CHEDRU VIANNEY"/>
    <n v="5"/>
    <x v="0"/>
    <x v="0"/>
    <s v="PLAQUETTES"/>
    <s v="356x26 RPI"/>
    <n v="47.8"/>
  </r>
  <r>
    <d v="2025-12-15T05:36:39"/>
    <x v="1"/>
    <s v="Plaquettes de finition"/>
    <s v="04551FC25C7780"/>
    <s v="CHEDRU VIANNEY"/>
    <n v="5"/>
    <x v="3"/>
    <x v="0"/>
    <s v="PLAQUETTES"/>
    <s v="330x28 RPE KO"/>
    <n v="47.8"/>
  </r>
  <r>
    <d v="2025-12-15T11:42:35"/>
    <x v="1"/>
    <s v="Plaquettes de finition"/>
    <s v="045F69CAA77080"/>
    <s v="TEIXEIRA FLORIAN"/>
    <n v="5"/>
    <x v="2"/>
    <x v="1"/>
    <s v="PLAQUETTES"/>
    <s v="302x26 RPI"/>
    <n v="47.8"/>
  </r>
  <r>
    <d v="2025-12-15T11:42:49"/>
    <x v="1"/>
    <s v="Plaquettes de finition"/>
    <s v="045F69CAA77080"/>
    <s v="TEIXEIRA FLORIAN"/>
    <n v="5"/>
    <x v="2"/>
    <x v="1"/>
    <s v="PLAQUETTES"/>
    <s v="302x26 RPI"/>
    <n v="47.8"/>
  </r>
  <r>
    <d v="2025-12-15T14:27:10"/>
    <x v="1"/>
    <s v="Plaquettes de finition"/>
    <s v="SD75051"/>
    <s v="COMBALUZIER LUCAS"/>
    <n v="5"/>
    <x v="1"/>
    <x v="0"/>
    <s v="PLAQUETTES"/>
    <s v="304x28 RPE"/>
    <n v="47.8"/>
  </r>
  <r>
    <d v="2025-12-15T22:06:01"/>
    <x v="1"/>
    <s v="Plaquettes de finition"/>
    <s v="j529800"/>
    <s v="MONTCHARMONT BAPTISTE"/>
    <n v="5"/>
    <x v="0"/>
    <x v="0"/>
    <s v="PLAQUETTES"/>
    <s v="356x26 RPI"/>
    <n v="47.8"/>
  </r>
  <r>
    <d v="2025-12-16T02:53:52"/>
    <x v="1"/>
    <s v="Plaquettes de finition"/>
    <s v="U037238"/>
    <s v="PRIEUR OLIVIER"/>
    <n v="5"/>
    <x v="2"/>
    <x v="1"/>
    <s v="PLAQUETTES"/>
    <s v="302x26 RPI"/>
    <n v="47.8"/>
  </r>
  <r>
    <d v="2025-12-16T05:50:28"/>
    <x v="1"/>
    <s v="Plaquettes de finition"/>
    <s v="04551FC25C7780"/>
    <s v="CHEDRU VIANNEY"/>
    <n v="5"/>
    <x v="0"/>
    <x v="0"/>
    <s v="PLAQUETTES"/>
    <s v="356x26 RPI"/>
    <n v="47.8"/>
  </r>
  <r>
    <d v="2025-12-16T05:50:42"/>
    <x v="1"/>
    <s v="Plaquettes de finition"/>
    <s v="04551FC25C7780"/>
    <s v="CHEDRU VIANNEY"/>
    <n v="5"/>
    <x v="3"/>
    <x v="0"/>
    <s v="PLAQUETTES"/>
    <s v="330x28 RPE KO"/>
    <n v="47.8"/>
  </r>
  <r>
    <d v="2025-12-16T13:05:25"/>
    <x v="1"/>
    <s v="Plaquettes de finition"/>
    <s v="SD75051"/>
    <s v="COMBALUZIER LUCAS"/>
    <n v="5"/>
    <x v="1"/>
    <x v="0"/>
    <s v="PLAQUETTES"/>
    <s v="304x28 RPE"/>
    <n v="47.8"/>
  </r>
  <r>
    <d v="2025-12-17T13:12:21"/>
    <x v="1"/>
    <s v="Plaquettes de finition"/>
    <s v="u636817"/>
    <s v="MOCQUEREAU LYDIE"/>
    <n v="5"/>
    <x v="2"/>
    <x v="1"/>
    <s v="PLAQUETTES"/>
    <s v="302x26 RPI"/>
    <n v="47.8"/>
  </r>
  <r>
    <d v="2025-12-17T13:12:38"/>
    <x v="1"/>
    <s v="Plaquettes de finition"/>
    <s v="u636817"/>
    <s v="MOCQUEREAU LYDIE"/>
    <n v="5"/>
    <x v="2"/>
    <x v="1"/>
    <s v="PLAQUETTES"/>
    <s v="302x26 RPI"/>
    <n v="47.8"/>
  </r>
  <r>
    <d v="2025-12-17T13:15:14"/>
    <x v="1"/>
    <s v="Plaquettes de finition"/>
    <s v="SD75051"/>
    <s v="COMBALUZIER LUCAS"/>
    <n v="5"/>
    <x v="1"/>
    <x v="0"/>
    <s v="PLAQUETTES"/>
    <s v="356x26 RPI"/>
    <n v="47.8"/>
  </r>
  <r>
    <d v="2025-12-17T14:21:19"/>
    <x v="1"/>
    <s v="Plaquettes de finition"/>
    <s v="040725"/>
    <s v="BARGEOT LUCAS"/>
    <n v="5"/>
    <x v="3"/>
    <x v="0"/>
    <s v="PLAQUETTES"/>
    <s v="330x28 RPE KO"/>
    <n v="47.8"/>
  </r>
  <r>
    <d v="2025-12-17T17:19:42"/>
    <x v="1"/>
    <s v="Plaquettes de finition"/>
    <s v="SD75051"/>
    <s v="COMBALUZIER LUCAS"/>
    <n v="5"/>
    <x v="1"/>
    <x v="0"/>
    <s v="PLAQUETTES"/>
    <s v="356x26 RPI"/>
    <n v="47.8"/>
  </r>
  <r>
    <d v="2025-12-17T22:50:14"/>
    <x v="1"/>
    <s v="Plaquettes de finition"/>
    <s v="j529800"/>
    <s v="MONTCHARMONT BAPTISTE"/>
    <n v="5"/>
    <x v="3"/>
    <x v="0"/>
    <s v="PLAQUETTES"/>
    <s v="330x28 RPE KO"/>
    <n v="47.8"/>
  </r>
  <r>
    <d v="2025-12-18T04:06:21"/>
    <x v="1"/>
    <s v="Plaquettes de finition"/>
    <s v="U037238"/>
    <s v="PRIEUR OLIVIER"/>
    <n v="5"/>
    <x v="2"/>
    <x v="1"/>
    <s v="PLAQUETTES"/>
    <s v="302x26 RPI"/>
    <n v="47.8"/>
  </r>
  <r>
    <d v="2025-12-18T05:53:55"/>
    <x v="1"/>
    <s v="Plaquettes de finition"/>
    <s v="045C6ECAA77080"/>
    <s v="PERREIRA KEVIN"/>
    <n v="5"/>
    <x v="1"/>
    <x v="0"/>
    <s v="PLAQUETTES"/>
    <s v="356x26 RPI"/>
    <n v="47.8"/>
  </r>
  <r>
    <d v="2025-12-18T17:56:43"/>
    <x v="2"/>
    <s v="Plaquettes de finition"/>
    <s v="040725"/>
    <s v="BARGEOT LUCAS"/>
    <n v="5"/>
    <x v="3"/>
    <x v="2"/>
    <s v="PLAQUETTES"/>
    <s v="330x28 RPE KO"/>
    <n v="44.85"/>
  </r>
  <r>
    <d v="2025-12-18T19:42:09"/>
    <x v="1"/>
    <s v="Plaquettes de finition"/>
    <s v="SE08251"/>
    <s v="FAYET AYMERIC"/>
    <n v="5"/>
    <x v="1"/>
    <x v="0"/>
    <s v="PLAQUETTES"/>
    <s v="356x26 RPI"/>
    <n v="47.8"/>
  </r>
  <r>
    <d v="2025-12-19T04:31:53"/>
    <x v="1"/>
    <s v="Plaquettes de finition"/>
    <s v="j529800"/>
    <s v="MONTCHARMONT BAPTISTE"/>
    <n v="5"/>
    <x v="0"/>
    <x v="0"/>
    <s v="PLAQUETTES"/>
    <s v="356x26 RPI"/>
    <n v="47.8"/>
  </r>
  <r>
    <d v="2025-12-19T15:46:24"/>
    <x v="1"/>
    <s v="Plaquettes de finition"/>
    <s v="SD75051"/>
    <s v="COMBALUZIER LUCAS"/>
    <n v="5"/>
    <x v="1"/>
    <x v="0"/>
    <s v="PLAQUETTES"/>
    <s v="304x28 RPE"/>
    <n v="47.8"/>
  </r>
  <r>
    <d v="2025-12-19T15:55:00"/>
    <x v="1"/>
    <s v="Plaquettes de finition"/>
    <s v="040725"/>
    <s v="BARGEOT LUCAS"/>
    <n v="5"/>
    <x v="3"/>
    <x v="0"/>
    <s v="PLAQUETTES"/>
    <s v="330x28 RPE KO"/>
    <n v="47.8"/>
  </r>
  <r>
    <d v="2025-12-20T10:20:26"/>
    <x v="1"/>
    <s v="Plaquettes de finition"/>
    <s v="U080365"/>
    <s v="ALAVOINE SAMUEL"/>
    <n v="5"/>
    <x v="1"/>
    <x v="0"/>
    <s v="PLAQUETTES"/>
    <s v="356x26 RPI"/>
    <n v="47.8"/>
  </r>
  <r>
    <d v="2025-12-20T20:40:40"/>
    <x v="2"/>
    <s v="Plaquettes de finition"/>
    <s v="150725"/>
    <s v="ADOUL WASSIM"/>
    <n v="5"/>
    <x v="3"/>
    <x v="2"/>
    <s v="PLAQUETTES"/>
    <s v="330x28 RPE KO"/>
    <n v="44.85"/>
  </r>
  <r>
    <d v="2025-12-21T08:33:17"/>
    <x v="1"/>
    <s v="Plaquettes de finition"/>
    <s v="U080365"/>
    <s v="ALAVOINE SAMUEL"/>
    <n v="5"/>
    <x v="3"/>
    <x v="0"/>
    <s v="PLAQUETTES"/>
    <s v="330x28 RPE KO"/>
    <n v="47.8"/>
  </r>
  <r>
    <d v="2025-12-21T19:15:46"/>
    <x v="1"/>
    <s v="Plaquettes de finition"/>
    <s v="150725"/>
    <s v="ADOUL WASSIM"/>
    <n v="5"/>
    <x v="1"/>
    <x v="0"/>
    <s v="PLAQUETTES"/>
    <s v="356x26 RPI"/>
    <n v="47.8"/>
  </r>
  <r>
    <d v="2025-12-22T02:16:53"/>
    <x v="2"/>
    <s v="Plaquettes de finition"/>
    <s v="u109136"/>
    <s v="WIPLIE FREDERIC"/>
    <n v="5"/>
    <x v="3"/>
    <x v="2"/>
    <s v="PLAQUETTES"/>
    <s v="330x28 RPE KO"/>
    <n v="44.85"/>
  </r>
  <r>
    <d v="2025-12-22T05:39:36"/>
    <x v="0"/>
    <s v="Plaquettes de finition"/>
    <s v="SE08251"/>
    <s v="FAYET AYMERIC"/>
    <n v="10"/>
    <x v="1"/>
    <x v="0"/>
    <s v="PLAQUETTES"/>
    <s v="356x26 RPI"/>
    <n v="109.7"/>
  </r>
  <r>
    <d v="2025-12-22T06:11:06"/>
    <x v="1"/>
    <s v="Plaquettes de finition"/>
    <s v="040725"/>
    <s v="BARGEOT LUCAS"/>
    <n v="5"/>
    <x v="3"/>
    <x v="0"/>
    <s v="PLAQUETTES"/>
    <s v="330x28 RPE KO"/>
    <n v="47.8"/>
  </r>
  <r>
    <d v="2025-12-22T08:40:22"/>
    <x v="1"/>
    <s v="Plaquettes de finition"/>
    <s v="SE08251"/>
    <s v="FAYET AYMERIC"/>
    <n v="5"/>
    <x v="1"/>
    <x v="0"/>
    <s v="PLAQUETTES"/>
    <s v="356x26 RPI"/>
    <n v="47.8"/>
  </r>
  <r>
    <d v="2025-12-22T13:19:38"/>
    <x v="0"/>
    <s v="Plaquettes de finition"/>
    <s v="04551FC25C7780"/>
    <s v="CHEDRU VIANNEY"/>
    <n v="10"/>
    <x v="3"/>
    <x v="0"/>
    <s v="PLAQUETTES"/>
    <s v="330x28 RPE KO"/>
    <n v="109.7"/>
  </r>
  <r>
    <d v="2025-12-22T17:32:17"/>
    <x v="1"/>
    <s v="Plaquettes de finition"/>
    <s v="04551FC25C7780"/>
    <s v="CHEDRU VIANNEY"/>
    <n v="5"/>
    <x v="3"/>
    <x v="0"/>
    <s v="PLAQUETTES"/>
    <s v="330x28 RPE KO"/>
    <n v="47.8"/>
  </r>
  <r>
    <d v="2025-12-22T21:42:40"/>
    <x v="1"/>
    <s v="Plaquettes de finition"/>
    <s v="U037238"/>
    <s v="PRIEUR OLIVIER"/>
    <n v="5"/>
    <x v="2"/>
    <x v="1"/>
    <s v="PLAQUETTES"/>
    <s v="302x26 RPI"/>
    <n v="47.8"/>
  </r>
  <r>
    <d v="2025-12-23T05:56:44"/>
    <x v="1"/>
    <s v="Plaquettes de finition"/>
    <s v="040725"/>
    <s v="BARGEOT LUCAS"/>
    <n v="5"/>
    <x v="3"/>
    <x v="0"/>
    <s v="PLAQUETTES"/>
    <s v="330x28 RPE KO"/>
    <n v="47.8"/>
  </r>
  <r>
    <d v="2025-01-05T19:54:54"/>
    <x v="3"/>
    <s v="Plaquettes de finition positives"/>
    <s v="U080365"/>
    <s v="ALAVOINE SAMUEL"/>
    <n v="10"/>
    <x v="0"/>
    <x v="0"/>
    <s v="PLAQUETTES"/>
    <s v="290x12"/>
    <n v="87"/>
  </r>
  <r>
    <d v="2025-01-05T20:05:59"/>
    <x v="3"/>
    <s v="Plaquettes de finition positives"/>
    <s v="U080365"/>
    <s v="ALAVOINE SAMUEL"/>
    <n v="10"/>
    <x v="3"/>
    <x v="0"/>
    <s v="PLAQUETTES"/>
    <s v="290x12"/>
    <n v="87"/>
  </r>
  <r>
    <d v="2025-01-09T13:31:07"/>
    <x v="3"/>
    <s v="Plaquettes de finition positives"/>
    <s v="SE08251"/>
    <s v="FAYET AYMERIC"/>
    <n v="10"/>
    <x v="0"/>
    <x v="0"/>
    <s v="PLAQUETTES"/>
    <s v="290x12"/>
    <n v="87"/>
  </r>
  <r>
    <d v="2025-01-10T13:58:41"/>
    <x v="3"/>
    <s v="Plaquettes de finition positives"/>
    <s v="SE08251"/>
    <s v="FAYET AYMERIC"/>
    <n v="10"/>
    <x v="0"/>
    <x v="0"/>
    <s v="PLAQUETTES"/>
    <s v="330x14"/>
    <n v="87"/>
  </r>
  <r>
    <d v="2025-01-11T07:48:52"/>
    <x v="3"/>
    <s v="Plaquettes de finition positives"/>
    <s v="U109136"/>
    <s v="WIPLIE FREDERIC"/>
    <n v="20"/>
    <x v="0"/>
    <x v="0"/>
    <s v="PLAQUETTES"/>
    <s v="290x12"/>
    <n v="174"/>
  </r>
  <r>
    <d v="2025-01-13T11:33:46"/>
    <x v="3"/>
    <s v="Plaquettes de finition positives"/>
    <s v="SE08251"/>
    <s v="FAYET AYMERIC"/>
    <n v="10"/>
    <x v="3"/>
    <x v="0"/>
    <s v="PLAQUETTES"/>
    <s v="290x12"/>
    <n v="87"/>
  </r>
  <r>
    <d v="2025-01-15T23:58:32"/>
    <x v="3"/>
    <s v="Plaquettes de finition positives"/>
    <s v="101224"/>
    <s v="CHAZEAU KYLIAN"/>
    <n v="20"/>
    <x v="0"/>
    <x v="0"/>
    <s v="PLAQUETTES"/>
    <s v="290x12"/>
    <n v="174"/>
  </r>
  <r>
    <d v="2025-01-16T14:17:47"/>
    <x v="3"/>
    <s v="Plaquettes de finition positives"/>
    <s v="SD75051"/>
    <s v="COMBALUZIER LUCAS"/>
    <n v="10"/>
    <x v="0"/>
    <x v="0"/>
    <s v="PLAQUETTES"/>
    <s v="290x12"/>
    <n v="87"/>
  </r>
  <r>
    <d v="2025-01-16T23:25:02"/>
    <x v="3"/>
    <s v="Plaquettes de finition positives"/>
    <s v="101224"/>
    <s v="CHAZEAU KYLIAN"/>
    <n v="20"/>
    <x v="3"/>
    <x v="0"/>
    <s v="PLAQUETTES"/>
    <s v="290x12"/>
    <n v="174"/>
  </r>
  <r>
    <d v="2025-01-17T09:55:05"/>
    <x v="3"/>
    <s v="Plaquettes de finition positives"/>
    <s v="U080365"/>
    <s v="ALAVOINE SAMUEL"/>
    <n v="10"/>
    <x v="0"/>
    <x v="0"/>
    <s v="PLAQUETTES"/>
    <s v="290x12"/>
    <n v="87"/>
  </r>
  <r>
    <d v="2025-01-18T08:10:23"/>
    <x v="3"/>
    <s v="Plaquettes de finition positives"/>
    <s v="U080365"/>
    <s v="ALAVOINE SAMUEL"/>
    <n v="20"/>
    <x v="3"/>
    <x v="0"/>
    <s v="PLAQUETTES"/>
    <s v="290x12"/>
    <n v="174"/>
  </r>
  <r>
    <d v="2025-01-20T03:39:19"/>
    <x v="3"/>
    <s v="Plaquettes de finition positives"/>
    <s v="U515988"/>
    <s v="BLAHA"/>
    <n v="10"/>
    <x v="3"/>
    <x v="0"/>
    <s v="PLAQUETTES"/>
    <s v="290x12"/>
    <n v="87"/>
  </r>
  <r>
    <d v="2025-01-20T12:24:47"/>
    <x v="3"/>
    <s v="Plaquettes de finition positives"/>
    <s v="U568060"/>
    <s v="FAVIER STEVEN"/>
    <n v="20"/>
    <x v="3"/>
    <x v="0"/>
    <s v="PLAQUETTES"/>
    <s v="290x12"/>
    <n v="174"/>
  </r>
  <r>
    <d v="2025-01-20T23:41:57"/>
    <x v="3"/>
    <s v="Plaquettes de finition positives"/>
    <s v="3224"/>
    <s v="BIDOT MURIEL"/>
    <n v="10"/>
    <x v="0"/>
    <x v="0"/>
    <s v="PLAQUETTES"/>
    <s v="290x12"/>
    <n v="87"/>
  </r>
  <r>
    <d v="2025-01-21T18:03:55"/>
    <x v="3"/>
    <s v="Plaquettes de finition positives"/>
    <s v="101224"/>
    <s v="CHAZEAU KYLIAN"/>
    <n v="20"/>
    <x v="0"/>
    <x v="0"/>
    <s v="PLAQUETTES"/>
    <s v="290x12"/>
    <n v="174"/>
  </r>
  <r>
    <d v="2025-01-22T13:07:37"/>
    <x v="3"/>
    <s v="Plaquettes de finition positives"/>
    <s v="101224"/>
    <s v="CHAZEAU KYLIAN"/>
    <n v="20"/>
    <x v="0"/>
    <x v="0"/>
    <s v="PLAQUETTES"/>
    <s v="290x12"/>
    <n v="174"/>
  </r>
  <r>
    <d v="2025-01-23T18:27:07"/>
    <x v="3"/>
    <s v="Plaquettes de finition positives"/>
    <s v="101224"/>
    <s v="CHAZEAU KYLIAN"/>
    <n v="20"/>
    <x v="0"/>
    <x v="0"/>
    <s v="PLAQUETTES"/>
    <s v="290x12"/>
    <n v="174"/>
  </r>
  <r>
    <d v="2025-01-24T09:51:24"/>
    <x v="3"/>
    <s v="Plaquettes de finition positives"/>
    <s v="1234"/>
    <s v=" "/>
    <n v="10"/>
    <x v="3"/>
    <x v="0"/>
    <s v="PLAQUETTES"/>
    <s v="290x12"/>
    <n v="87"/>
  </r>
  <r>
    <d v="2025-01-24T18:07:24"/>
    <x v="3"/>
    <s v="Plaquettes de finition positives"/>
    <s v="101224"/>
    <s v="CHAZEAU KYLIAN"/>
    <n v="10"/>
    <x v="3"/>
    <x v="0"/>
    <s v="PLAQUETTES"/>
    <s v="290x12"/>
    <n v="87"/>
  </r>
  <r>
    <d v="2025-01-25T05:39:17"/>
    <x v="3"/>
    <s v="Plaquettes de finition positives"/>
    <s v="U080365"/>
    <s v="ALAVOINE SAMUEL"/>
    <n v="20"/>
    <x v="0"/>
    <x v="0"/>
    <s v="PLAQUETTES"/>
    <s v="290x12"/>
    <n v="174"/>
  </r>
  <r>
    <d v="2025-01-27T05:05:39"/>
    <x v="3"/>
    <s v="Plaquettes de finition positives"/>
    <s v="101224"/>
    <s v="CHAZEAU KYLIAN"/>
    <n v="20"/>
    <x v="3"/>
    <x v="0"/>
    <s v="PLAQUETTES"/>
    <s v="290x12"/>
    <n v="174"/>
  </r>
  <r>
    <d v="2025-01-28T01:47:55"/>
    <x v="3"/>
    <s v="Plaquettes de finition positives"/>
    <s v="SC95213"/>
    <s v="RABET PAULINE"/>
    <n v="10"/>
    <x v="0"/>
    <x v="0"/>
    <s v="PLAQUETTES"/>
    <s v="290x12"/>
    <n v="87"/>
  </r>
  <r>
    <d v="2025-01-28T05:08:38"/>
    <x v="3"/>
    <s v="Plaquettes de finition positives"/>
    <s v="101224"/>
    <s v="CHAZEAU KYLIAN"/>
    <n v="20"/>
    <x v="0"/>
    <x v="0"/>
    <s v="PLAQUETTES"/>
    <s v="290x12"/>
    <n v="174"/>
  </r>
  <r>
    <d v="2025-01-29T19:51:49"/>
    <x v="3"/>
    <s v="Plaquettes de finition positives"/>
    <s v="SE08251"/>
    <s v="FAYET AYMERIC"/>
    <n v="10"/>
    <x v="0"/>
    <x v="0"/>
    <s v="PLAQUETTES"/>
    <s v="290x12"/>
    <n v="87"/>
  </r>
  <r>
    <d v="2025-01-31T00:43:09"/>
    <x v="3"/>
    <s v="Plaquettes de finition positives"/>
    <s v="SC95213"/>
    <s v="RABET PAULINE"/>
    <n v="10"/>
    <x v="0"/>
    <x v="0"/>
    <s v="PLAQUETTES"/>
    <s v="330x14"/>
    <n v="87"/>
  </r>
  <r>
    <d v="2025-01-31T07:26:57"/>
    <x v="3"/>
    <s v="Plaquettes de finition positives"/>
    <s v="U080365"/>
    <s v="ALAVOINE SAMUEL"/>
    <n v="10"/>
    <x v="3"/>
    <x v="0"/>
    <s v="PLAQUETTES"/>
    <s v="290x12"/>
    <n v="87"/>
  </r>
  <r>
    <d v="2025-01-31T14:24:29"/>
    <x v="3"/>
    <s v="Plaquettes de finition positives"/>
    <s v="SE08251"/>
    <s v="FAYET AYMERIC"/>
    <n v="10"/>
    <x v="3"/>
    <x v="0"/>
    <s v="PLAQUETTES"/>
    <s v="290x12"/>
    <n v="87"/>
  </r>
  <r>
    <d v="2025-02-01T05:19:58"/>
    <x v="3"/>
    <s v="Plaquettes de finition positives"/>
    <s v="U080365"/>
    <s v="ALAVOINE SAMUEL"/>
    <n v="20"/>
    <x v="0"/>
    <x v="0"/>
    <s v="PLAQUETTES"/>
    <s v="290x12"/>
    <n v="174"/>
  </r>
  <r>
    <d v="2025-02-01T11:50:59"/>
    <x v="3"/>
    <s v="Plaquettes de finition positives"/>
    <s v="U080365"/>
    <s v="ALAVOINE SAMUEL"/>
    <n v="20"/>
    <x v="0"/>
    <x v="0"/>
    <s v="PLAQUETTES"/>
    <s v="330x14"/>
    <n v="174"/>
  </r>
  <r>
    <d v="2025-02-01T11:51:41"/>
    <x v="3"/>
    <s v="Plaquettes de finition positives"/>
    <s v="U080365"/>
    <s v="ALAVOINE SAMUEL"/>
    <n v="20"/>
    <x v="0"/>
    <x v="0"/>
    <s v="PLAQUETTES"/>
    <s v="330x14"/>
    <n v="174"/>
  </r>
  <r>
    <d v="2025-02-03T23:02:52"/>
    <x v="3"/>
    <s v="Plaquettes de finition positives"/>
    <s v="130124"/>
    <s v="MOHAMED ILDIRAY"/>
    <n v="20"/>
    <x v="3"/>
    <x v="0"/>
    <s v="PLAQUETTES"/>
    <s v="290x12"/>
    <n v="174"/>
  </r>
  <r>
    <d v="2025-02-04T15:59:42"/>
    <x v="3"/>
    <s v="Plaquettes de finition positives"/>
    <s v="SD75051"/>
    <s v="COMBALUZIER LUCAS"/>
    <n v="10"/>
    <x v="0"/>
    <x v="0"/>
    <s v="PLAQUETTES"/>
    <s v="330x14"/>
    <n v="87"/>
  </r>
  <r>
    <d v="2025-02-04T21:12:18"/>
    <x v="3"/>
    <s v="Plaquettes de finition positives"/>
    <s v="130124"/>
    <s v="MOHAMED ILDIRAY"/>
    <n v="20"/>
    <x v="0"/>
    <x v="0"/>
    <s v="PLAQUETTES"/>
    <s v="290x12"/>
    <n v="174"/>
  </r>
  <r>
    <d v="2025-02-05T11:46:23"/>
    <x v="3"/>
    <s v="Plaquettes de finition positives"/>
    <s v="SE08251"/>
    <s v="FAYET AYMERIC"/>
    <n v="10"/>
    <x v="0"/>
    <x v="0"/>
    <s v="PLAQUETTES"/>
    <s v="330x14"/>
    <n v="87"/>
  </r>
  <r>
    <d v="2025-02-05T21:26:08"/>
    <x v="3"/>
    <s v="Plaquettes de finition positives"/>
    <s v="101224"/>
    <s v="CHAZEAU KYLIAN"/>
    <n v="20"/>
    <x v="3"/>
    <x v="0"/>
    <s v="PLAQUETTES"/>
    <s v="290x12"/>
    <n v="174"/>
  </r>
  <r>
    <d v="2025-02-06T13:41:38"/>
    <x v="3"/>
    <s v="Plaquettes de finition positives"/>
    <s v="7236310"/>
    <s v="BRANDALY JEREMY"/>
    <n v="20"/>
    <x v="0"/>
    <x v="0"/>
    <s v="PLAQUETTES"/>
    <s v="330x14"/>
    <n v="174"/>
  </r>
  <r>
    <d v="2025-02-07T16:57:30"/>
    <x v="3"/>
    <s v="Plaquettes de finition positives"/>
    <s v="7236310"/>
    <s v="BRANDALY JEREMY"/>
    <n v="40"/>
    <x v="0"/>
    <x v="0"/>
    <s v="PLAQUETTES"/>
    <s v="290x12"/>
    <n v="348"/>
  </r>
  <r>
    <d v="2025-02-08T13:33:19"/>
    <x v="3"/>
    <s v="Plaquettes de finition positives"/>
    <s v="U109136"/>
    <s v="WIPLIE FREDERIC"/>
    <n v="10"/>
    <x v="0"/>
    <x v="0"/>
    <s v="PLAQUETTES"/>
    <s v="290x12"/>
    <n v="87"/>
  </r>
  <r>
    <d v="2025-02-09T16:08:24"/>
    <x v="3"/>
    <s v="Plaquettes de finition positives"/>
    <s v="SC95213"/>
    <s v="RABET PAULINE"/>
    <n v="10"/>
    <x v="3"/>
    <x v="0"/>
    <s v="PLAQUETTES"/>
    <s v="290x12"/>
    <n v="87"/>
  </r>
  <r>
    <d v="2025-02-09T23:43:49"/>
    <x v="3"/>
    <s v="Plaquettes de finition positives"/>
    <s v="U515988"/>
    <s v="BLAHA"/>
    <n v="20"/>
    <x v="0"/>
    <x v="0"/>
    <s v="PLAQUETTES"/>
    <s v="290x12"/>
    <n v="174"/>
  </r>
  <r>
    <d v="2025-02-10T23:05:03"/>
    <x v="3"/>
    <s v="Plaquettes de finition positives"/>
    <s v="SE08251"/>
    <s v="FAYET AYMERIC"/>
    <n v="10"/>
    <x v="0"/>
    <x v="0"/>
    <s v="PLAQUETTES"/>
    <s v="290x12"/>
    <n v="87"/>
  </r>
  <r>
    <d v="2025-02-11T16:20:57"/>
    <x v="3"/>
    <s v="Plaquettes de finition positives"/>
    <s v="101224"/>
    <s v="CHAZEAU KYLIAN"/>
    <n v="20"/>
    <x v="3"/>
    <x v="0"/>
    <s v="PLAQUETTES"/>
    <s v="290x12"/>
    <n v="174"/>
  </r>
  <r>
    <d v="2025-02-12T04:26:35"/>
    <x v="3"/>
    <s v="Plaquettes de finition positives"/>
    <s v="SE08251"/>
    <s v="FAYET AYMERIC"/>
    <n v="20"/>
    <x v="0"/>
    <x v="0"/>
    <s v="PLAQUETTES"/>
    <s v="330x14"/>
    <n v="174"/>
  </r>
  <r>
    <d v="2025-02-13T06:13:26"/>
    <x v="3"/>
    <s v="Plaquettes de finition positives"/>
    <s v="SD75051"/>
    <s v="COMBALUZIER LUCAS"/>
    <n v="10"/>
    <x v="3"/>
    <x v="0"/>
    <s v="PLAQUETTES"/>
    <s v="290x12"/>
    <n v="87"/>
  </r>
  <r>
    <d v="2025-02-13T08:41:20"/>
    <x v="3"/>
    <s v="Plaquettes de finition positives"/>
    <s v="7236310"/>
    <s v="BRANDALY JEREMY"/>
    <n v="10"/>
    <x v="0"/>
    <x v="0"/>
    <s v="PLAQUETTES"/>
    <s v="290x12"/>
    <n v="87"/>
  </r>
  <r>
    <d v="2025-02-13T16:38:06"/>
    <x v="3"/>
    <s v="Plaquettes de finition positives"/>
    <s v="101224"/>
    <s v="CHAZEAU KYLIAN"/>
    <n v="10"/>
    <x v="3"/>
    <x v="0"/>
    <s v="PLAQUETTES"/>
    <s v="290x12"/>
    <n v="87"/>
  </r>
  <r>
    <d v="2025-02-13T16:38:36"/>
    <x v="3"/>
    <s v="Plaquettes de finition positives"/>
    <s v="101224"/>
    <s v="CHAZEAU KYLIAN"/>
    <n v="10"/>
    <x v="0"/>
    <x v="0"/>
    <s v="PLAQUETTES"/>
    <s v="330x14"/>
    <n v="87"/>
  </r>
  <r>
    <d v="2025-02-15T05:35:23"/>
    <x v="3"/>
    <s v="Plaquettes de finition positives"/>
    <s v="U080365"/>
    <s v="ALAVOINE SAMUEL"/>
    <n v="10"/>
    <x v="0"/>
    <x v="0"/>
    <s v="PLAQUETTES"/>
    <s v="330x14"/>
    <n v="87"/>
  </r>
  <r>
    <d v="2025-02-15T05:37:00"/>
    <x v="3"/>
    <s v="Plaquettes de finition positives"/>
    <s v="U080365"/>
    <s v="ALAVOINE SAMUEL"/>
    <n v="10"/>
    <x v="3"/>
    <x v="0"/>
    <s v="PLAQUETTES"/>
    <s v="290x12"/>
    <n v="87"/>
  </r>
  <r>
    <d v="2025-02-16T23:02:54"/>
    <x v="3"/>
    <s v="Plaquettes de finition positives"/>
    <s v="U080365"/>
    <s v="ALAVOINE SAMUEL"/>
    <n v="10"/>
    <x v="0"/>
    <x v="0"/>
    <s v="PLAQUETTES"/>
    <s v="330x14"/>
    <n v="87"/>
  </r>
  <r>
    <d v="2025-02-17T11:34:19"/>
    <x v="3"/>
    <s v="Plaquettes de finition positives"/>
    <s v="101224"/>
    <s v="CHAZEAU KYLIAN"/>
    <n v="10"/>
    <x v="3"/>
    <x v="0"/>
    <s v="PLAQUETTES"/>
    <s v="290x12"/>
    <n v="87"/>
  </r>
  <r>
    <d v="2025-02-18T01:41:05"/>
    <x v="3"/>
    <s v="Plaquettes de finition positives"/>
    <s v="7236310"/>
    <s v="BRANDALY JEREMY"/>
    <n v="10"/>
    <x v="0"/>
    <x v="0"/>
    <s v="PLAQUETTES"/>
    <s v="290x12"/>
    <n v="87"/>
  </r>
  <r>
    <d v="2025-02-18T01:41:28"/>
    <x v="3"/>
    <s v="Plaquettes de finition positives"/>
    <s v="7236310"/>
    <s v="BRANDALY JEREMY"/>
    <n v="10"/>
    <x v="3"/>
    <x v="0"/>
    <s v="PLAQUETTES"/>
    <s v="290x12"/>
    <n v="87"/>
  </r>
  <r>
    <d v="2025-02-18T05:14:27"/>
    <x v="3"/>
    <s v="Plaquettes de finition positives"/>
    <s v="101224"/>
    <s v="CHAZEAU KYLIAN"/>
    <n v="10"/>
    <x v="0"/>
    <x v="0"/>
    <s v="PLAQUETTES"/>
    <s v="290x12"/>
    <n v="87"/>
  </r>
  <r>
    <d v="2025-02-19T08:21:08"/>
    <x v="3"/>
    <s v="Plaquettes de finition positives"/>
    <s v="101224"/>
    <s v="CHAZEAU KYLIAN"/>
    <n v="10"/>
    <x v="3"/>
    <x v="0"/>
    <s v="PLAQUETTES"/>
    <s v="290x12"/>
    <n v="87"/>
  </r>
  <r>
    <d v="2025-02-19T08:21:48"/>
    <x v="3"/>
    <s v="Plaquettes de finition positives"/>
    <s v="101224"/>
    <s v="CHAZEAU KYLIAN"/>
    <n v="10"/>
    <x v="3"/>
    <x v="0"/>
    <s v="PLAQUETTES"/>
    <s v="290x12"/>
    <n v="87"/>
  </r>
  <r>
    <d v="2025-02-20T05:10:18"/>
    <x v="3"/>
    <s v="Plaquettes de finition positives"/>
    <s v="101224"/>
    <s v="CHAZEAU KYLIAN"/>
    <n v="10"/>
    <x v="0"/>
    <x v="0"/>
    <s v="PLAQUETTES"/>
    <s v="330x14"/>
    <n v="87"/>
  </r>
  <r>
    <d v="2025-02-20T05:10:39"/>
    <x v="3"/>
    <s v="Plaquettes de finition positives"/>
    <s v="101224"/>
    <s v="CHAZEAU KYLIAN"/>
    <n v="10"/>
    <x v="3"/>
    <x v="0"/>
    <s v="PLAQUETTES"/>
    <s v="290x12"/>
    <n v="87"/>
  </r>
  <r>
    <d v="2025-02-21T17:04:40"/>
    <x v="3"/>
    <s v="Plaquettes de finition positives"/>
    <s v="280225"/>
    <s v="FERNANDES DOS SANTOS REMY"/>
    <n v="10"/>
    <x v="0"/>
    <x v="0"/>
    <s v="PLAQUETTES"/>
    <s v="330x14"/>
    <n v="87"/>
  </r>
  <r>
    <d v="2025-02-21T22:44:36"/>
    <x v="3"/>
    <s v="Plaquettes de finition positives"/>
    <s v="7236310"/>
    <s v="BRANDALY JEREMY"/>
    <n v="10"/>
    <x v="0"/>
    <x v="0"/>
    <s v="PLAQUETTES"/>
    <s v="290x12"/>
    <n v="87"/>
  </r>
  <r>
    <d v="2025-02-21T22:44:55"/>
    <x v="3"/>
    <s v="Plaquettes de finition positives"/>
    <s v="7236310"/>
    <s v="BRANDALY JEREMY"/>
    <n v="10"/>
    <x v="3"/>
    <x v="0"/>
    <s v="PLAQUETTES"/>
    <s v="290x12"/>
    <n v="87"/>
  </r>
  <r>
    <d v="2025-02-22T05:25:53"/>
    <x v="3"/>
    <s v="Plaquettes de finition positives"/>
    <s v="U109136"/>
    <s v="WIPLIE FREDERIC"/>
    <n v="10"/>
    <x v="0"/>
    <x v="0"/>
    <s v="PLAQUETTES"/>
    <s v="290x12"/>
    <n v="87"/>
  </r>
  <r>
    <d v="2025-02-23T19:41:19"/>
    <x v="3"/>
    <s v="Plaquettes de finition positives"/>
    <s v="1234"/>
    <s v=" "/>
    <n v="10"/>
    <x v="0"/>
    <x v="0"/>
    <s v="PLAQUETTES"/>
    <s v="330x14"/>
    <n v="87"/>
  </r>
  <r>
    <d v="2025-02-24T06:16:37"/>
    <x v="3"/>
    <s v="Plaquettes de finition positives"/>
    <s v="280225"/>
    <s v="FERNANDES DOS SANTOS REMY"/>
    <n v="10"/>
    <x v="0"/>
    <x v="0"/>
    <s v="PLAQUETTES"/>
    <s v="290x12"/>
    <n v="87"/>
  </r>
  <r>
    <d v="2025-02-24T06:21:07"/>
    <x v="3"/>
    <s v="Plaquettes de finition positives"/>
    <s v="280225"/>
    <s v="FERNANDES DOS SANTOS REMY"/>
    <n v="10"/>
    <x v="3"/>
    <x v="0"/>
    <s v="PLAQUETTES"/>
    <s v="290x12"/>
    <n v="87"/>
  </r>
  <r>
    <d v="2025-02-25T00:21:49"/>
    <x v="3"/>
    <s v="Plaquettes de finition positives"/>
    <s v="101224"/>
    <s v="CHAZEAU KYLIAN"/>
    <n v="10"/>
    <x v="0"/>
    <x v="0"/>
    <s v="PLAQUETTES"/>
    <s v="330x14"/>
    <n v="87"/>
  </r>
  <r>
    <d v="2025-02-25T00:22:13"/>
    <x v="3"/>
    <s v="Plaquettes de finition positives"/>
    <s v="101224"/>
    <s v="CHAZEAU KYLIAN"/>
    <n v="10"/>
    <x v="3"/>
    <x v="0"/>
    <s v="PLAQUETTES"/>
    <s v="290x12"/>
    <n v="87"/>
  </r>
  <r>
    <d v="2025-02-25T06:32:23"/>
    <x v="3"/>
    <s v="Plaquettes de finition positives"/>
    <s v="SE08251"/>
    <s v="FAYET AYMERIC"/>
    <n v="10"/>
    <x v="0"/>
    <x v="0"/>
    <s v="PLAQUETTES"/>
    <s v="330x14"/>
    <n v="87"/>
  </r>
  <r>
    <d v="2025-02-26T05:50:10"/>
    <x v="3"/>
    <s v="Plaquettes de finition positives"/>
    <s v="SE08251"/>
    <s v="FAYET AYMERIC"/>
    <n v="10"/>
    <x v="0"/>
    <x v="0"/>
    <s v="PLAQUETTES"/>
    <s v="330x14"/>
    <n v="87"/>
  </r>
  <r>
    <d v="2025-02-26T05:50:35"/>
    <x v="3"/>
    <s v="Plaquettes de finition positives"/>
    <s v="SE08251"/>
    <s v="FAYET AYMERIC"/>
    <n v="10"/>
    <x v="3"/>
    <x v="0"/>
    <s v="PLAQUETTES"/>
    <s v="290x12"/>
    <n v="87"/>
  </r>
  <r>
    <d v="2025-02-27T11:32:02"/>
    <x v="3"/>
    <s v="Plaquettes de finition positives"/>
    <s v="SE08251"/>
    <s v="FAYET AYMERIC"/>
    <n v="10"/>
    <x v="3"/>
    <x v="0"/>
    <s v="PLAQUETTES"/>
    <s v="290x12"/>
    <n v="87"/>
  </r>
  <r>
    <d v="2025-02-27T12:02:09"/>
    <x v="3"/>
    <s v="Plaquettes de finition positives"/>
    <s v="18498233"/>
    <s v="ALVES ARTHUR"/>
    <n v="10"/>
    <x v="3"/>
    <x v="0"/>
    <s v="PLAQUETTES"/>
    <s v="TOUT DISQUES"/>
    <n v="87"/>
  </r>
  <r>
    <d v="2025-02-28T11:23:24"/>
    <x v="3"/>
    <s v="Plaquettes de finition positives"/>
    <s v="U109136"/>
    <s v="WIPLIE FREDERIC"/>
    <n v="10"/>
    <x v="3"/>
    <x v="0"/>
    <s v="PLAQUETTES"/>
    <s v="290x12"/>
    <n v="87"/>
  </r>
  <r>
    <d v="2025-03-01T04:05:38"/>
    <x v="3"/>
    <s v="Plaquettes de finition positives"/>
    <s v="101224"/>
    <s v="CHAZEAU KYLIAN"/>
    <n v="10"/>
    <x v="3"/>
    <x v="0"/>
    <s v="PLAQUETTES"/>
    <s v="290x12"/>
    <n v="87"/>
  </r>
  <r>
    <d v="2025-03-02T17:37:10"/>
    <x v="3"/>
    <s v="Plaquettes de finition positives"/>
    <s v="U109136"/>
    <s v="WIPLIE FREDERIC"/>
    <n v="10"/>
    <x v="3"/>
    <x v="0"/>
    <s v="PLAQUETTES"/>
    <s v="290x12"/>
    <n v="87"/>
  </r>
  <r>
    <d v="2025-03-03T20:09:41"/>
    <x v="3"/>
    <s v="Plaquettes de finition positives"/>
    <s v="101224"/>
    <s v="CHAZEAU KYLIAN"/>
    <n v="10"/>
    <x v="3"/>
    <x v="0"/>
    <s v="PLAQUETTES"/>
    <s v="290x12"/>
    <n v="87"/>
  </r>
  <r>
    <d v="2025-03-04T17:52:00"/>
    <x v="3"/>
    <s v="Plaquettes de finition positives"/>
    <s v="101224"/>
    <s v="CHAZEAU KYLIAN"/>
    <n v="10"/>
    <x v="3"/>
    <x v="0"/>
    <s v="PLAQUETTES"/>
    <s v="290x12"/>
    <n v="87"/>
  </r>
  <r>
    <d v="2025-03-05T15:31:37"/>
    <x v="3"/>
    <s v="Plaquettes de finition positives"/>
    <s v="101224"/>
    <s v="CHAZEAU KYLIAN"/>
    <n v="10"/>
    <x v="3"/>
    <x v="0"/>
    <s v="PLAQUETTES"/>
    <s v="290x12"/>
    <n v="87"/>
  </r>
  <r>
    <d v="2025-03-06T05:38:06"/>
    <x v="3"/>
    <s v="Plaquettes de finition positives"/>
    <s v="7236310"/>
    <s v="BRANDALY JEREMY"/>
    <n v="10"/>
    <x v="0"/>
    <x v="0"/>
    <s v="PLAQUETTES"/>
    <s v="290x12"/>
    <n v="87"/>
  </r>
  <r>
    <d v="2025-03-06T05:39:42"/>
    <x v="3"/>
    <s v="Plaquettes de finition positives"/>
    <s v="7236310"/>
    <s v="BRANDALY JEREMY"/>
    <n v="10"/>
    <x v="0"/>
    <x v="0"/>
    <s v="PLAQUETTES"/>
    <s v="290x12"/>
    <n v="87"/>
  </r>
  <r>
    <d v="2025-03-06T13:28:27"/>
    <x v="3"/>
    <s v="Plaquettes de finition positives"/>
    <s v="101224"/>
    <s v="CHAZEAU KYLIAN"/>
    <n v="10"/>
    <x v="3"/>
    <x v="0"/>
    <s v="PLAQUETTES"/>
    <s v="290x12"/>
    <n v="87"/>
  </r>
  <r>
    <d v="2025-03-07T01:11:56"/>
    <x v="3"/>
    <s v="Plaquettes de finition positives"/>
    <s v="SE08251"/>
    <s v="FAYET AYMERIC"/>
    <n v="10"/>
    <x v="0"/>
    <x v="0"/>
    <s v="PLAQUETTES"/>
    <s v="330x14"/>
    <n v="87"/>
  </r>
  <r>
    <d v="2025-03-07T01:12:31"/>
    <x v="3"/>
    <s v="Plaquettes de finition positives"/>
    <s v="SE08251"/>
    <s v="FAYET AYMERIC"/>
    <n v="10"/>
    <x v="3"/>
    <x v="0"/>
    <s v="PLAQUETTES"/>
    <s v="290x12"/>
    <n v="87"/>
  </r>
  <r>
    <d v="2025-03-07T19:09:38"/>
    <x v="3"/>
    <s v="Plaquettes de finition positives"/>
    <s v="101224"/>
    <s v="CHAZEAU KYLIAN"/>
    <n v="10"/>
    <x v="3"/>
    <x v="0"/>
    <s v="PLAQUETTES"/>
    <s v="290x12"/>
    <n v="87"/>
  </r>
  <r>
    <d v="2025-03-07T19:10:05"/>
    <x v="3"/>
    <s v="Plaquettes de finition positives"/>
    <s v="101224"/>
    <s v="CHAZEAU KYLIAN"/>
    <n v="10"/>
    <x v="0"/>
    <x v="0"/>
    <s v="PLAQUETTES"/>
    <s v="330x14"/>
    <n v="87"/>
  </r>
  <r>
    <d v="2025-03-09T19:53:33"/>
    <x v="3"/>
    <s v="Plaquettes de finition positives"/>
    <s v="1234"/>
    <s v=" "/>
    <n v="10"/>
    <x v="0"/>
    <x v="0"/>
    <s v="PLAQUETTES"/>
    <s v="330x14"/>
    <n v="87"/>
  </r>
  <r>
    <d v="2025-03-09T23:08:31"/>
    <x v="3"/>
    <s v="Plaquettes de finition positives"/>
    <s v="1234"/>
    <s v=" "/>
    <n v="10"/>
    <x v="3"/>
    <x v="0"/>
    <s v="PLAQUETTES"/>
    <s v="290x12"/>
    <n v="87"/>
  </r>
  <r>
    <d v="2025-03-10T05:55:48"/>
    <x v="3"/>
    <s v="Plaquettes de finition positives"/>
    <s v="101224"/>
    <s v="CHAZEAU KYLIAN"/>
    <n v="10"/>
    <x v="3"/>
    <x v="0"/>
    <s v="PLAQUETTES"/>
    <s v="290x12"/>
    <n v="87"/>
  </r>
  <r>
    <d v="2025-03-10T13:47:54"/>
    <x v="3"/>
    <s v="Plaquettes de finition positives"/>
    <s v="SE08251"/>
    <s v="FAYET AYMERIC"/>
    <n v="10"/>
    <x v="0"/>
    <x v="0"/>
    <s v="PLAQUETTES"/>
    <s v="330x14"/>
    <n v="87"/>
  </r>
  <r>
    <d v="2025-03-11T05:06:47"/>
    <x v="3"/>
    <s v="Plaquettes de finition positives"/>
    <s v="101224"/>
    <s v="CHAZEAU KYLIAN"/>
    <n v="10"/>
    <x v="3"/>
    <x v="0"/>
    <s v="PLAQUETTES"/>
    <s v="290x12"/>
    <n v="87"/>
  </r>
  <r>
    <d v="2025-03-11T05:07:08"/>
    <x v="3"/>
    <s v="Plaquettes de finition positives"/>
    <s v="101224"/>
    <s v="CHAZEAU KYLIAN"/>
    <n v="10"/>
    <x v="0"/>
    <x v="0"/>
    <s v="PLAQUETTES"/>
    <s v="330x14"/>
    <n v="87"/>
  </r>
  <r>
    <d v="2025-03-11T18:40:03"/>
    <x v="3"/>
    <s v="Plaquettes de finition positives"/>
    <s v="280225"/>
    <s v="FERNANDES DOS SANTOS REMY"/>
    <n v="10"/>
    <x v="3"/>
    <x v="0"/>
    <s v="PLAQUETTES"/>
    <s v="290x12"/>
    <n v="87"/>
  </r>
  <r>
    <d v="2025-03-12T05:17:46"/>
    <x v="3"/>
    <s v="Plaquettes de finition positives"/>
    <s v="101224"/>
    <s v="CHAZEAU KYLIAN"/>
    <n v="10"/>
    <x v="0"/>
    <x v="0"/>
    <s v="PLAQUETTES"/>
    <s v="330x14"/>
    <n v="87"/>
  </r>
  <r>
    <d v="2025-03-12T13:50:37"/>
    <x v="3"/>
    <s v="Plaquettes de finition positives"/>
    <s v="SE08251"/>
    <s v="FAYET AYMERIC"/>
    <n v="10"/>
    <x v="3"/>
    <x v="0"/>
    <s v="PLAQUETTES"/>
    <s v="290x12"/>
    <n v="87"/>
  </r>
  <r>
    <d v="2025-03-12T20:54:39"/>
    <x v="3"/>
    <s v="Plaquettes de finition positives"/>
    <s v="SE08251"/>
    <s v="FAYET AYMERIC"/>
    <n v="10"/>
    <x v="0"/>
    <x v="0"/>
    <s v="PLAQUETTES"/>
    <s v="330x14"/>
    <n v="87"/>
  </r>
  <r>
    <d v="2025-03-13T11:44:27"/>
    <x v="3"/>
    <s v="Plaquettes de finition positives"/>
    <s v="101224"/>
    <s v="CHAZEAU KYLIAN"/>
    <n v="10"/>
    <x v="3"/>
    <x v="0"/>
    <s v="PLAQUETTES"/>
    <s v="290x12"/>
    <n v="87"/>
  </r>
  <r>
    <d v="2025-03-13T20:07:13"/>
    <x v="3"/>
    <s v="Plaquettes de finition positives"/>
    <s v="SE08251"/>
    <s v="FAYET AYMERIC"/>
    <n v="10"/>
    <x v="3"/>
    <x v="0"/>
    <s v="PLAQUETTES"/>
    <s v="290x12"/>
    <n v="87"/>
  </r>
  <r>
    <d v="2025-03-13T20:07:28"/>
    <x v="3"/>
    <s v="Plaquettes de finition positives"/>
    <s v="SE08251"/>
    <s v="FAYET AYMERIC"/>
    <n v="10"/>
    <x v="0"/>
    <x v="0"/>
    <s v="PLAQUETTES"/>
    <s v="330x14"/>
    <n v="87"/>
  </r>
  <r>
    <d v="2025-03-14T08:21:42"/>
    <x v="3"/>
    <s v="Plaquettes de finition positives"/>
    <s v="U109136"/>
    <s v="WIPLIE FREDERIC"/>
    <n v="10"/>
    <x v="3"/>
    <x v="0"/>
    <s v="PLAQUETTES"/>
    <s v="290x12"/>
    <n v="87"/>
  </r>
  <r>
    <d v="2025-03-14T17:09:52"/>
    <x v="3"/>
    <s v="Plaquettes de finition positives"/>
    <s v="SE08251"/>
    <s v="FAYET AYMERIC"/>
    <n v="10"/>
    <x v="3"/>
    <x v="0"/>
    <s v="PLAQUETTES"/>
    <s v="290x12"/>
    <n v="87"/>
  </r>
  <r>
    <d v="2025-03-16T18:01:46"/>
    <x v="3"/>
    <s v="Plaquettes de finition positives"/>
    <s v="U109136"/>
    <s v="WIPLIE FREDERIC"/>
    <n v="10"/>
    <x v="3"/>
    <x v="0"/>
    <s v="PLAQUETTES"/>
    <s v="290x12"/>
    <n v="87"/>
  </r>
  <r>
    <d v="2025-03-17T11:18:23"/>
    <x v="3"/>
    <s v="Plaquettes de finition positives"/>
    <s v="SE08251"/>
    <s v="FAYET AYMERIC"/>
    <n v="10"/>
    <x v="3"/>
    <x v="0"/>
    <s v="PLAQUETTES"/>
    <s v="290x12"/>
    <n v="87"/>
  </r>
  <r>
    <d v="2025-03-18T08:14:50"/>
    <x v="3"/>
    <s v="Plaquettes de finition positives"/>
    <s v="SE08251"/>
    <s v="FAYET AYMERIC"/>
    <n v="10"/>
    <x v="3"/>
    <x v="0"/>
    <s v="PLAQUETTES"/>
    <s v="290x12"/>
    <n v="87"/>
  </r>
  <r>
    <d v="2025-03-18T22:03:39"/>
    <x v="3"/>
    <s v="Plaquettes de finition positives"/>
    <s v="101224"/>
    <s v="CHAZEAU KYLIAN"/>
    <n v="10"/>
    <x v="3"/>
    <x v="0"/>
    <s v="PLAQUETTES"/>
    <s v="290x12"/>
    <n v="87"/>
  </r>
  <r>
    <d v="2025-03-20T13:21:39"/>
    <x v="3"/>
    <s v="Plaquettes de finition positives"/>
    <s v="SD75051"/>
    <s v="COMBALUZIER LUCAS"/>
    <n v="10"/>
    <x v="3"/>
    <x v="0"/>
    <s v="PLAQUETTES"/>
    <s v="290x12"/>
    <n v="87"/>
  </r>
  <r>
    <d v="2025-03-21T03:51:35"/>
    <x v="3"/>
    <s v="Plaquettes de finition positives"/>
    <s v="U505000"/>
    <s v="RECEVEUR BENOIT"/>
    <n v="10"/>
    <x v="3"/>
    <x v="0"/>
    <s v="PLAQUETTES"/>
    <s v="290x12"/>
    <n v="87"/>
  </r>
  <r>
    <d v="2025-03-21T14:32:29"/>
    <x v="3"/>
    <s v="Plaquettes de finition positives"/>
    <s v="7236310"/>
    <s v="BRANDALY JEREMY"/>
    <n v="10"/>
    <x v="0"/>
    <x v="0"/>
    <s v="PLAQUETTES"/>
    <s v="290x12"/>
    <n v="87"/>
  </r>
  <r>
    <d v="2025-03-21T22:18:39"/>
    <x v="3"/>
    <s v="Plaquettes de finition positives"/>
    <s v="U505000"/>
    <s v="RECEVEUR BENOIT"/>
    <n v="10"/>
    <x v="3"/>
    <x v="0"/>
    <s v="PLAQUETTES"/>
    <s v="290x12"/>
    <n v="87"/>
  </r>
  <r>
    <d v="2025-03-21T22:18:57"/>
    <x v="3"/>
    <s v="Plaquettes de finition positives"/>
    <s v="U505000"/>
    <s v="RECEVEUR BENOIT"/>
    <n v="10"/>
    <x v="0"/>
    <x v="0"/>
    <s v="PLAQUETTES"/>
    <s v="330x14"/>
    <n v="87"/>
  </r>
  <r>
    <d v="2025-03-23T17:43:51"/>
    <x v="3"/>
    <s v="Plaquettes de finition positives"/>
    <s v="1234"/>
    <s v=" "/>
    <n v="10"/>
    <x v="0"/>
    <x v="0"/>
    <s v="PLAQUETTES"/>
    <s v="330x14"/>
    <n v="87"/>
  </r>
  <r>
    <d v="2025-03-24T05:09:47"/>
    <x v="3"/>
    <s v="Plaquettes de finition positives"/>
    <s v="7236310"/>
    <s v="BRANDALY JEREMY"/>
    <n v="10"/>
    <x v="0"/>
    <x v="0"/>
    <s v="PLAQUETTES"/>
    <s v="330x14"/>
    <n v="87"/>
  </r>
  <r>
    <d v="2025-03-24T10:33:22"/>
    <x v="3"/>
    <s v="Plaquettes de finition positives"/>
    <s v="7236310"/>
    <s v="BRANDALY JEREMY"/>
    <n v="10"/>
    <x v="3"/>
    <x v="0"/>
    <s v="PLAQUETTES"/>
    <s v="290x12"/>
    <n v="87"/>
  </r>
  <r>
    <d v="2025-03-24T13:26:01"/>
    <x v="3"/>
    <s v="Plaquettes de finition positives"/>
    <s v="101224"/>
    <s v="CHAZEAU KYLIAN"/>
    <n v="10"/>
    <x v="0"/>
    <x v="0"/>
    <s v="PLAQUETTES"/>
    <s v="330x14"/>
    <n v="87"/>
  </r>
  <r>
    <d v="2025-03-24T13:26:42"/>
    <x v="3"/>
    <s v="Plaquettes de finition positives"/>
    <s v="101224"/>
    <s v="CHAZEAU KYLIAN"/>
    <n v="10"/>
    <x v="3"/>
    <x v="0"/>
    <s v="PLAQUETTES"/>
    <s v="290x12"/>
    <n v="87"/>
  </r>
  <r>
    <d v="2025-03-25T07:16:16"/>
    <x v="3"/>
    <s v="Plaquettes de finition positives"/>
    <s v="7236310"/>
    <s v="BRANDALY JEREMY"/>
    <n v="10"/>
    <x v="0"/>
    <x v="0"/>
    <s v="PLAQUETTES"/>
    <s v="290x12"/>
    <n v="87"/>
  </r>
  <r>
    <d v="2025-03-25T07:16:47"/>
    <x v="3"/>
    <s v="Plaquettes de finition positives"/>
    <s v="7236310"/>
    <s v="BRANDALY JEREMY"/>
    <n v="10"/>
    <x v="0"/>
    <x v="0"/>
    <s v="PLAQUETTES"/>
    <s v="330x14"/>
    <n v="87"/>
  </r>
  <r>
    <d v="2025-03-25T15:25:43"/>
    <x v="3"/>
    <s v="Plaquettes de finition positives"/>
    <s v="101224"/>
    <s v="CHAZEAU KYLIAN"/>
    <n v="10"/>
    <x v="3"/>
    <x v="0"/>
    <s v="PLAQUETTES"/>
    <s v="290x12"/>
    <n v="87"/>
  </r>
  <r>
    <d v="2025-03-26T14:08:47"/>
    <x v="3"/>
    <s v="Plaquettes de finition positives"/>
    <s v="101224"/>
    <s v="CHAZEAU KYLIAN"/>
    <n v="10"/>
    <x v="3"/>
    <x v="0"/>
    <s v="PLAQUETTES"/>
    <s v="290x12"/>
    <n v="87"/>
  </r>
  <r>
    <d v="2025-03-26T14:09:04"/>
    <x v="3"/>
    <s v="Plaquettes de finition positives"/>
    <s v="101224"/>
    <s v="CHAZEAU KYLIAN"/>
    <n v="10"/>
    <x v="0"/>
    <x v="0"/>
    <s v="PLAQUETTES"/>
    <s v="330x14"/>
    <n v="87"/>
  </r>
  <r>
    <d v="2025-03-28T04:32:51"/>
    <x v="3"/>
    <s v="Plaquettes de finition positives"/>
    <s v="SE08251"/>
    <s v="FAYET AYMERIC"/>
    <n v="10"/>
    <x v="3"/>
    <x v="0"/>
    <s v="PLAQUETTES"/>
    <s v="290x12"/>
    <n v="87"/>
  </r>
  <r>
    <d v="2025-03-28T22:26:09"/>
    <x v="3"/>
    <s v="Plaquettes de finition positives"/>
    <s v="SE08251"/>
    <s v="FAYET AYMERIC"/>
    <n v="10"/>
    <x v="3"/>
    <x v="0"/>
    <s v="PLAQUETTES"/>
    <s v="290x12"/>
    <n v="87"/>
  </r>
  <r>
    <d v="2025-03-30T17:21:52"/>
    <x v="3"/>
    <s v="Plaquettes de finition positives"/>
    <s v="U109136"/>
    <s v="WIPLIE FREDERIC"/>
    <n v="10"/>
    <x v="0"/>
    <x v="0"/>
    <s v="PLAQUETTES"/>
    <s v="290x12"/>
    <n v="87"/>
  </r>
  <r>
    <d v="2025-03-31T07:29:33"/>
    <x v="3"/>
    <s v="Plaquettes de finition positives"/>
    <s v="U505000"/>
    <s v="RECEVEUR BENOIT"/>
    <n v="10"/>
    <x v="3"/>
    <x v="0"/>
    <s v="PLAQUETTES"/>
    <s v="290x12"/>
    <n v="87"/>
  </r>
  <r>
    <d v="2025-03-31T09:58:49"/>
    <x v="3"/>
    <s v="Plaquettes de finition positives"/>
    <s v="12824586"/>
    <s v="DA SILVA FERNANDO"/>
    <n v="60"/>
    <x v="3"/>
    <x v="0"/>
    <s v="PLAQUETTES"/>
    <s v="TOUT DISQUES"/>
    <n v="522"/>
  </r>
  <r>
    <d v="2025-03-31T09:59:29"/>
    <x v="3"/>
    <s v="Plaquettes de finition positives"/>
    <s v="12824586"/>
    <s v="DA SILVA FERNANDO"/>
    <n v="40"/>
    <x v="3"/>
    <x v="0"/>
    <s v="PLAQUETTES"/>
    <s v="TOUT DISQUES"/>
    <n v="348"/>
  </r>
  <r>
    <d v="2025-04-01T13:36:54"/>
    <x v="3"/>
    <s v="Plaquettes de finition positives"/>
    <s v="SD88834"/>
    <s v="PEJOUX MELANIE"/>
    <n v="10"/>
    <x v="3"/>
    <x v="0"/>
    <s v="PLAQUETTES"/>
    <s v="290x12"/>
    <n v="87"/>
  </r>
  <r>
    <d v="2025-04-01T13:37:19"/>
    <x v="3"/>
    <s v="Plaquettes de finition positives"/>
    <s v="SD88834"/>
    <s v="PEJOUX MELANIE"/>
    <n v="10"/>
    <x v="0"/>
    <x v="0"/>
    <s v="PLAQUETTES"/>
    <s v="330x14"/>
    <n v="87"/>
  </r>
  <r>
    <d v="2025-04-02T12:12:51"/>
    <x v="3"/>
    <s v="Plaquettes de finition positives"/>
    <s v="101224"/>
    <s v="CHAZEAU KYLIAN"/>
    <n v="10"/>
    <x v="0"/>
    <x v="0"/>
    <s v="PLAQUETTES"/>
    <s v="330x14"/>
    <n v="87"/>
  </r>
  <r>
    <d v="2025-04-02T14:12:36"/>
    <x v="3"/>
    <s v="Plaquettes de finition positives"/>
    <s v="SE08251"/>
    <s v="FAYET AYMERIC"/>
    <n v="10"/>
    <x v="0"/>
    <x v="0"/>
    <s v="PLAQUETTES"/>
    <s v="330x14"/>
    <n v="87"/>
  </r>
  <r>
    <d v="2025-04-02T22:04:07"/>
    <x v="3"/>
    <s v="Plaquettes de finition positives"/>
    <s v="7236310"/>
    <s v="BRANDALY JEREMY"/>
    <n v="10"/>
    <x v="0"/>
    <x v="0"/>
    <s v="PLAQUETTES"/>
    <s v="290x12"/>
    <n v="87"/>
  </r>
  <r>
    <d v="2025-04-02T22:04:24"/>
    <x v="3"/>
    <s v="Plaquettes de finition positives"/>
    <s v="7236310"/>
    <s v="BRANDALY JEREMY"/>
    <n v="10"/>
    <x v="3"/>
    <x v="0"/>
    <s v="PLAQUETTES"/>
    <s v="290x12"/>
    <n v="87"/>
  </r>
  <r>
    <d v="2025-04-03T10:33:23"/>
    <x v="3"/>
    <s v="Plaquettes de finition positives"/>
    <s v="U505000"/>
    <s v="RECEVEUR BENOIT"/>
    <n v="10"/>
    <x v="3"/>
    <x v="0"/>
    <s v="PLAQUETTES"/>
    <s v="290x12"/>
    <n v="87"/>
  </r>
  <r>
    <d v="2025-04-03T10:33:56"/>
    <x v="3"/>
    <s v="Plaquettes de finition positives"/>
    <s v="U505000"/>
    <s v="RECEVEUR BENOIT"/>
    <n v="10"/>
    <x v="3"/>
    <x v="0"/>
    <s v="PLAQUETTES"/>
    <s v="290x12"/>
    <n v="87"/>
  </r>
  <r>
    <d v="2025-04-03T20:12:52"/>
    <x v="3"/>
    <s v="Plaquettes de finition positives"/>
    <s v="SE08251"/>
    <s v="FAYET AYMERIC"/>
    <n v="10"/>
    <x v="3"/>
    <x v="0"/>
    <s v="PLAQUETTES"/>
    <s v="290x12"/>
    <n v="87"/>
  </r>
  <r>
    <d v="2025-04-03T20:13:15"/>
    <x v="3"/>
    <s v="Plaquettes de finition positives"/>
    <s v="SE08251"/>
    <s v="FAYET AYMERIC"/>
    <n v="10"/>
    <x v="0"/>
    <x v="0"/>
    <s v="PLAQUETTES"/>
    <s v="330x14"/>
    <n v="87"/>
  </r>
  <r>
    <d v="2025-04-04T13:15:22"/>
    <x v="3"/>
    <s v="Plaquettes de finition positives"/>
    <s v="SE08251"/>
    <s v="FAYET AYMERIC"/>
    <n v="10"/>
    <x v="3"/>
    <x v="0"/>
    <s v="PLAQUETTES"/>
    <s v="290x12"/>
    <n v="87"/>
  </r>
  <r>
    <d v="2025-04-04T13:15:41"/>
    <x v="3"/>
    <s v="Plaquettes de finition positives"/>
    <s v="SE08251"/>
    <s v="FAYET AYMERIC"/>
    <n v="10"/>
    <x v="0"/>
    <x v="0"/>
    <s v="PLAQUETTES"/>
    <s v="330x14"/>
    <n v="87"/>
  </r>
  <r>
    <d v="2025-04-05T09:24:12"/>
    <x v="3"/>
    <s v="Plaquettes de finition positives"/>
    <s v="150725"/>
    <s v="ADOUL WASSIM"/>
    <n v="10"/>
    <x v="0"/>
    <x v="0"/>
    <s v="PLAQUETTES"/>
    <s v="330x14"/>
    <n v="87"/>
  </r>
  <r>
    <d v="2025-04-07T05:20:18"/>
    <x v="3"/>
    <s v="Plaquettes de finition positives"/>
    <s v="SE08251"/>
    <s v="FAYET AYMERIC"/>
    <n v="10"/>
    <x v="3"/>
    <x v="0"/>
    <s v="PLAQUETTES"/>
    <s v="290x12"/>
    <n v="87"/>
  </r>
  <r>
    <d v="2025-04-07T05:20:57"/>
    <x v="3"/>
    <s v="Plaquettes de finition positives"/>
    <s v="SE08251"/>
    <s v="FAYET AYMERIC"/>
    <n v="10"/>
    <x v="0"/>
    <x v="0"/>
    <s v="PLAQUETTES"/>
    <s v="330x14"/>
    <n v="87"/>
  </r>
  <r>
    <d v="2025-04-08T07:41:54"/>
    <x v="3"/>
    <s v="Plaquettes de finition positives"/>
    <s v="SE08251"/>
    <s v="FAYET AYMERIC"/>
    <n v="10"/>
    <x v="0"/>
    <x v="0"/>
    <s v="PLAQUETTES"/>
    <s v="330x14"/>
    <n v="87"/>
  </r>
  <r>
    <d v="2025-04-08T07:42:09"/>
    <x v="3"/>
    <s v="Plaquettes de finition positives"/>
    <s v="SE08251"/>
    <s v="FAYET AYMERIC"/>
    <n v="10"/>
    <x v="3"/>
    <x v="0"/>
    <s v="PLAQUETTES"/>
    <s v="290x12"/>
    <n v="87"/>
  </r>
  <r>
    <d v="2025-04-08T08:32:55"/>
    <x v="3"/>
    <s v="Plaquettes de finition positives"/>
    <s v="SF51433"/>
    <s v="BONTEMS COLINE"/>
    <n v="10"/>
    <x v="0"/>
    <x v="0"/>
    <s v="PLAQUETTES"/>
    <s v="TOUT DISQUES"/>
    <n v="87"/>
  </r>
  <r>
    <d v="2025-04-08T09:10:41"/>
    <x v="3"/>
    <s v="Plaquettes de finition positives"/>
    <s v="SF51433"/>
    <s v="BONTEMS COLINE"/>
    <n v="-10"/>
    <x v="0"/>
    <x v="0"/>
    <s v="PLAQUETTES"/>
    <s v="TOUT DISQUES"/>
    <n v="-87"/>
  </r>
  <r>
    <d v="2025-04-09T01:52:39"/>
    <x v="3"/>
    <s v="Plaquettes de finition positives"/>
    <s v="101224"/>
    <s v="CHAZEAU KYLIAN"/>
    <n v="10"/>
    <x v="3"/>
    <x v="0"/>
    <s v="PLAQUETTES"/>
    <s v="290x12"/>
    <n v="87"/>
  </r>
  <r>
    <d v="2025-04-09T01:52:54"/>
    <x v="3"/>
    <s v="Plaquettes de finition positives"/>
    <s v="101224"/>
    <s v="CHAZEAU KYLIAN"/>
    <n v="10"/>
    <x v="0"/>
    <x v="0"/>
    <s v="PLAQUETTES"/>
    <s v="330x14"/>
    <n v="87"/>
  </r>
  <r>
    <d v="2025-04-09T09:47:05"/>
    <x v="3"/>
    <s v="Plaquettes de finition positives"/>
    <s v="SE08251"/>
    <s v="FAYET AYMERIC"/>
    <n v="10"/>
    <x v="3"/>
    <x v="0"/>
    <s v="PLAQUETTES"/>
    <s v="290x12"/>
    <n v="87"/>
  </r>
  <r>
    <d v="2025-04-10T08:20:00"/>
    <x v="3"/>
    <s v="Plaquettes de finition positives"/>
    <s v="SE08251"/>
    <s v="FAYET AYMERIC"/>
    <n v="10"/>
    <x v="3"/>
    <x v="0"/>
    <s v="PLAQUETTES"/>
    <s v="290x12"/>
    <n v="87"/>
  </r>
  <r>
    <d v="2025-04-10T08:20:21"/>
    <x v="3"/>
    <s v="Plaquettes de finition positives"/>
    <s v="SE08251"/>
    <s v="FAYET AYMERIC"/>
    <n v="10"/>
    <x v="0"/>
    <x v="0"/>
    <s v="PLAQUETTES"/>
    <s v="330x14"/>
    <n v="87"/>
  </r>
  <r>
    <d v="2025-04-12T03:51:03"/>
    <x v="3"/>
    <s v="Plaquettes de finition positives"/>
    <s v="101224"/>
    <s v="CHAZEAU KYLIAN"/>
    <n v="10"/>
    <x v="3"/>
    <x v="0"/>
    <s v="PLAQUETTES"/>
    <s v="290x12"/>
    <n v="87"/>
  </r>
  <r>
    <d v="2025-04-13T22:49:38"/>
    <x v="3"/>
    <s v="Plaquettes de finition positives"/>
    <s v="U109136"/>
    <s v="WIPLIE FREDERIC"/>
    <n v="10"/>
    <x v="3"/>
    <x v="0"/>
    <s v="PLAQUETTES"/>
    <s v="290x12"/>
    <n v="87"/>
  </r>
  <r>
    <d v="2025-04-14T05:44:17"/>
    <x v="3"/>
    <s v="Plaquettes de finition positives"/>
    <s v="SD75051"/>
    <s v="COMBALUZIER LUCAS"/>
    <n v="10"/>
    <x v="3"/>
    <x v="0"/>
    <s v="PLAQUETTES"/>
    <s v="290x12"/>
    <n v="87"/>
  </r>
  <r>
    <d v="2025-04-14T14:04:07"/>
    <x v="3"/>
    <s v="Plaquettes de finition positives"/>
    <s v="101224"/>
    <s v="CHAZEAU KYLIAN"/>
    <n v="10"/>
    <x v="0"/>
    <x v="0"/>
    <s v="PLAQUETTES"/>
    <s v="330x14"/>
    <n v="87"/>
  </r>
  <r>
    <d v="2025-04-15T14:28:35"/>
    <x v="3"/>
    <s v="Plaquettes de finition positives"/>
    <s v="101224"/>
    <s v="CHAZEAU KYLIAN"/>
    <n v="10"/>
    <x v="3"/>
    <x v="0"/>
    <s v="PLAQUETTES"/>
    <s v="290x12"/>
    <n v="87"/>
  </r>
  <r>
    <d v="2025-04-15T14:28:50"/>
    <x v="3"/>
    <s v="Plaquettes de finition positives"/>
    <s v="101224"/>
    <s v="CHAZEAU KYLIAN"/>
    <n v="10"/>
    <x v="0"/>
    <x v="0"/>
    <s v="PLAQUETTES"/>
    <s v="290x12"/>
    <n v="87"/>
  </r>
  <r>
    <d v="2025-04-16T06:05:13"/>
    <x v="3"/>
    <s v="Plaquettes de finition positives"/>
    <s v="SD75051"/>
    <s v="COMBALUZIER LUCAS"/>
    <n v="10"/>
    <x v="3"/>
    <x v="0"/>
    <s v="PLAQUETTES"/>
    <s v="290x12"/>
    <n v="87"/>
  </r>
  <r>
    <d v="2025-04-16T06:05:34"/>
    <x v="3"/>
    <s v="Plaquettes de finition positives"/>
    <s v="SD75051"/>
    <s v="COMBALUZIER LUCAS"/>
    <n v="10"/>
    <x v="0"/>
    <x v="0"/>
    <s v="PLAQUETTES"/>
    <s v="330x14"/>
    <n v="87"/>
  </r>
  <r>
    <d v="2025-04-16T10:12:12"/>
    <x v="3"/>
    <s v="Plaquettes de finition positives"/>
    <s v="18498233"/>
    <s v="ALVES ARTHUR"/>
    <n v="10"/>
    <x v="0"/>
    <x v="0"/>
    <s v="PLAQUETTES"/>
    <s v="TOUT DISQUES"/>
    <n v="87"/>
  </r>
  <r>
    <d v="2025-04-17T00:25:46"/>
    <x v="3"/>
    <s v="Plaquettes de finition positives"/>
    <s v="j529800"/>
    <s v="MONTCHARMONT BAPTISTE"/>
    <n v="10"/>
    <x v="0"/>
    <x v="0"/>
    <s v="PLAQUETTES"/>
    <s v="290x12"/>
    <n v="87"/>
  </r>
  <r>
    <d v="2025-04-17T06:08:00"/>
    <x v="3"/>
    <s v="Plaquettes de finition positives"/>
    <s v="SD75051"/>
    <s v="COMBALUZIER LUCAS"/>
    <n v="10"/>
    <x v="3"/>
    <x v="0"/>
    <s v="PLAQUETTES"/>
    <s v="290x12"/>
    <n v="87"/>
  </r>
  <r>
    <d v="2025-04-17T15:19:18"/>
    <x v="3"/>
    <s v="Plaquettes de finition positives"/>
    <s v="101224"/>
    <s v="CHAZEAU KYLIAN"/>
    <n v="10"/>
    <x v="0"/>
    <x v="0"/>
    <s v="PLAQUETTES"/>
    <s v="330x14"/>
    <n v="87"/>
  </r>
  <r>
    <d v="2025-04-18T04:14:44"/>
    <x v="3"/>
    <s v="Plaquettes de finition positives"/>
    <s v="SE08251"/>
    <s v="FAYET AYMERIC"/>
    <n v="10"/>
    <x v="0"/>
    <x v="0"/>
    <s v="PLAQUETTES"/>
    <s v="330x14"/>
    <n v="87"/>
  </r>
  <r>
    <d v="2025-04-18T12:05:46"/>
    <x v="3"/>
    <s v="Plaquettes de finition positives"/>
    <s v="150725"/>
    <s v="ADOUL WASSIM"/>
    <n v="10"/>
    <x v="3"/>
    <x v="0"/>
    <s v="PLAQUETTES"/>
    <s v="290x12"/>
    <n v="87"/>
  </r>
  <r>
    <d v="2025-04-18T21:28:56"/>
    <x v="3"/>
    <s v="Plaquettes de finition positives"/>
    <s v="SE08251"/>
    <s v="FAYET AYMERIC"/>
    <n v="10"/>
    <x v="0"/>
    <x v="0"/>
    <s v="PLAQUETTES"/>
    <s v="330x14"/>
    <n v="87"/>
  </r>
  <r>
    <d v="2025-04-18T21:29:14"/>
    <x v="3"/>
    <s v="Plaquettes de finition positives"/>
    <s v="SE08251"/>
    <s v="FAYET AYMERIC"/>
    <n v="10"/>
    <x v="3"/>
    <x v="0"/>
    <s v="PLAQUETTES"/>
    <s v="290x12"/>
    <n v="87"/>
  </r>
  <r>
    <d v="2025-04-20T19:08:54"/>
    <x v="3"/>
    <s v="Plaquettes de finition positives"/>
    <s v="150725"/>
    <s v="ADOUL WASSIM"/>
    <n v="10"/>
    <x v="0"/>
    <x v="0"/>
    <s v="PLAQUETTES"/>
    <s v="330x14"/>
    <n v="87"/>
  </r>
  <r>
    <d v="2025-04-20T19:09:18"/>
    <x v="3"/>
    <s v="Plaquettes de finition positives"/>
    <s v="150725"/>
    <s v="ADOUL WASSIM"/>
    <n v="10"/>
    <x v="3"/>
    <x v="0"/>
    <s v="PLAQUETTES"/>
    <s v="290x12"/>
    <n v="87"/>
  </r>
  <r>
    <d v="2025-04-21T09:39:46"/>
    <x v="3"/>
    <s v="Plaquettes de finition positives"/>
    <s v="101224"/>
    <s v="CHAZEAU KYLIAN"/>
    <n v="10"/>
    <x v="3"/>
    <x v="0"/>
    <s v="PLAQUETTES"/>
    <s v="290x12"/>
    <n v="87"/>
  </r>
  <r>
    <d v="2025-04-21T16:56:44"/>
    <x v="3"/>
    <s v="Plaquettes de finition positives"/>
    <s v="150725"/>
    <s v="ADOUL WASSIM"/>
    <n v="10"/>
    <x v="0"/>
    <x v="0"/>
    <s v="PLAQUETTES"/>
    <s v="330x14"/>
    <n v="87"/>
  </r>
  <r>
    <d v="2025-04-21T16:57:13"/>
    <x v="3"/>
    <s v="Plaquettes de finition positives"/>
    <s v="150725"/>
    <s v="ADOUL WASSIM"/>
    <n v="10"/>
    <x v="3"/>
    <x v="0"/>
    <s v="PLAQUETTES"/>
    <s v="290x12"/>
    <n v="87"/>
  </r>
  <r>
    <d v="2025-04-22T21:20:14"/>
    <x v="3"/>
    <s v="Plaquettes de finition positives"/>
    <s v="SD75051"/>
    <s v="COMBALUZIER LUCAS"/>
    <n v="10"/>
    <x v="0"/>
    <x v="0"/>
    <s v="PLAQUETTES"/>
    <s v="330x14"/>
    <n v="87"/>
  </r>
  <r>
    <d v="2025-04-22T23:23:15"/>
    <x v="3"/>
    <s v="Plaquettes de finition positives"/>
    <s v="U109136"/>
    <s v="WIPLIE FREDERIC"/>
    <n v="10"/>
    <x v="3"/>
    <x v="0"/>
    <s v="PLAQUETTES"/>
    <s v="290x12"/>
    <n v="87"/>
  </r>
  <r>
    <d v="2025-04-23T06:09:44"/>
    <x v="3"/>
    <s v="Plaquettes de finition positives"/>
    <s v="101224"/>
    <s v="CHAZEAU KYLIAN"/>
    <n v="10"/>
    <x v="0"/>
    <x v="0"/>
    <s v="PLAQUETTES"/>
    <s v="330x14"/>
    <n v="87"/>
  </r>
  <r>
    <d v="2025-04-23T14:08:19"/>
    <x v="3"/>
    <s v="Plaquettes de finition positives"/>
    <s v="SE08251"/>
    <s v="FAYET AYMERIC"/>
    <n v="10"/>
    <x v="3"/>
    <x v="0"/>
    <s v="PLAQUETTES"/>
    <s v="290x12"/>
    <n v="87"/>
  </r>
  <r>
    <d v="2025-04-23T14:08:38"/>
    <x v="3"/>
    <s v="Plaquettes de finition positives"/>
    <s v="SE08251"/>
    <s v="FAYET AYMERIC"/>
    <n v="10"/>
    <x v="0"/>
    <x v="0"/>
    <s v="PLAQUETTES"/>
    <s v="330x14"/>
    <n v="87"/>
  </r>
  <r>
    <d v="2025-04-25T15:35:18"/>
    <x v="3"/>
    <s v="Plaquettes de finition positives"/>
    <s v="SE08251"/>
    <s v="FAYET AYMERIC"/>
    <n v="10"/>
    <x v="3"/>
    <x v="0"/>
    <s v="PLAQUETTES"/>
    <s v="290x12"/>
    <n v="87"/>
  </r>
  <r>
    <d v="2025-04-27T17:26:08"/>
    <x v="3"/>
    <s v="Plaquettes de finition positives"/>
    <s v="U109136"/>
    <s v="WIPLIE FREDERIC"/>
    <n v="10"/>
    <x v="3"/>
    <x v="0"/>
    <s v="PLAQUETTES"/>
    <s v="290x12"/>
    <n v="87"/>
  </r>
  <r>
    <d v="2025-04-28T05:16:37"/>
    <x v="3"/>
    <s v="Plaquettes de finition positives"/>
    <s v="SE08251"/>
    <s v="FAYET AYMERIC"/>
    <n v="10"/>
    <x v="3"/>
    <x v="0"/>
    <s v="PLAQUETTES"/>
    <s v="290x12"/>
    <n v="87"/>
  </r>
  <r>
    <d v="2025-04-29T08:28:35"/>
    <x v="3"/>
    <s v="Plaquettes de finition positives"/>
    <s v="SE08251"/>
    <s v="FAYET AYMERIC"/>
    <n v="10"/>
    <x v="0"/>
    <x v="0"/>
    <s v="PLAQUETTES"/>
    <s v="330x14"/>
    <n v="87"/>
  </r>
  <r>
    <d v="2025-04-29T08:28:58"/>
    <x v="3"/>
    <s v="Plaquettes de finition positives"/>
    <s v="SE08251"/>
    <s v="FAYET AYMERIC"/>
    <n v="10"/>
    <x v="3"/>
    <x v="0"/>
    <s v="PLAQUETTES"/>
    <s v="290x12"/>
    <n v="87"/>
  </r>
  <r>
    <d v="2025-04-30T05:24:25"/>
    <x v="3"/>
    <s v="Plaquettes de finition positives"/>
    <s v="SE08251"/>
    <s v="FAYET AYMERIC"/>
    <n v="10"/>
    <x v="3"/>
    <x v="0"/>
    <s v="PLAQUETTES"/>
    <s v="290x12"/>
    <n v="87"/>
  </r>
  <r>
    <d v="2025-04-30T05:26:08"/>
    <x v="3"/>
    <s v="Plaquettes de finition positives"/>
    <s v="SE08251"/>
    <s v="FAYET AYMERIC"/>
    <n v="10"/>
    <x v="0"/>
    <x v="0"/>
    <s v="PLAQUETTES"/>
    <s v="330x14"/>
    <n v="87"/>
  </r>
  <r>
    <d v="2025-04-30T22:09:27"/>
    <x v="3"/>
    <s v="Plaquettes de finition positives"/>
    <s v="101224"/>
    <s v="CHAZEAU KYLIAN"/>
    <n v="10"/>
    <x v="0"/>
    <x v="0"/>
    <s v="PLAQUETTES"/>
    <s v="330x14"/>
    <n v="87"/>
  </r>
  <r>
    <d v="2025-05-02T08:24:31"/>
    <x v="3"/>
    <s v="Plaquettes de finition positives"/>
    <s v="150725"/>
    <s v="ADOUL WASSIM"/>
    <n v="10"/>
    <x v="3"/>
    <x v="0"/>
    <s v="PLAQUETTES"/>
    <s v="290x12"/>
    <n v="87"/>
  </r>
  <r>
    <d v="2025-05-02T08:24:49"/>
    <x v="3"/>
    <s v="Plaquettes de finition positives"/>
    <s v="150725"/>
    <s v="ADOUL WASSIM"/>
    <n v="10"/>
    <x v="0"/>
    <x v="0"/>
    <s v="PLAQUETTES"/>
    <s v="330x14"/>
    <n v="87"/>
  </r>
  <r>
    <d v="2025-05-03T06:17:51"/>
    <x v="3"/>
    <s v="Plaquettes de finition positives"/>
    <s v="150725"/>
    <s v="ADOUL WASSIM"/>
    <n v="10"/>
    <x v="0"/>
    <x v="0"/>
    <s v="PLAQUETTES"/>
    <s v="330x14"/>
    <n v="87"/>
  </r>
  <r>
    <d v="2025-05-03T06:18:17"/>
    <x v="3"/>
    <s v="Plaquettes de finition positives"/>
    <s v="150725"/>
    <s v="ADOUL WASSIM"/>
    <n v="10"/>
    <x v="3"/>
    <x v="0"/>
    <s v="PLAQUETTES"/>
    <s v="290x12"/>
    <n v="87"/>
  </r>
  <r>
    <d v="2025-05-04T14:10:37"/>
    <x v="3"/>
    <s v="Plaquettes de finition positives"/>
    <s v="U080365"/>
    <s v="ALAVOINE SAMUEL"/>
    <n v="10"/>
    <x v="3"/>
    <x v="0"/>
    <s v="PLAQUETTES"/>
    <s v="290x12"/>
    <n v="87"/>
  </r>
  <r>
    <d v="2025-05-04T14:11:01"/>
    <x v="3"/>
    <s v="Plaquettes de finition positives"/>
    <s v="U080365"/>
    <s v="ALAVOINE SAMUEL"/>
    <n v="10"/>
    <x v="3"/>
    <x v="0"/>
    <s v="PLAQUETTES"/>
    <s v="290x12"/>
    <n v="87"/>
  </r>
  <r>
    <d v="2025-05-05T18:19:21"/>
    <x v="3"/>
    <s v="Plaquettes de finition positives"/>
    <s v="101224"/>
    <s v="CHAZEAU KYLIAN"/>
    <n v="10"/>
    <x v="3"/>
    <x v="0"/>
    <s v="PLAQUETTES"/>
    <s v="290x12"/>
    <n v="87"/>
  </r>
  <r>
    <d v="2025-05-05T18:19:38"/>
    <x v="3"/>
    <s v="Plaquettes de finition positives"/>
    <s v="101224"/>
    <s v="CHAZEAU KYLIAN"/>
    <n v="10"/>
    <x v="0"/>
    <x v="0"/>
    <s v="PLAQUETTES"/>
    <s v="330x14"/>
    <n v="87"/>
  </r>
  <r>
    <d v="2025-05-06T20:06:10"/>
    <x v="3"/>
    <s v="Plaquettes de finition positives"/>
    <s v="101224"/>
    <s v="CHAZEAU KYLIAN"/>
    <n v="10"/>
    <x v="0"/>
    <x v="0"/>
    <s v="PLAQUETTES"/>
    <s v="330x14"/>
    <n v="87"/>
  </r>
  <r>
    <d v="2025-05-06T20:06:25"/>
    <x v="3"/>
    <s v="Plaquettes de finition positives"/>
    <s v="101224"/>
    <s v="CHAZEAU KYLIAN"/>
    <n v="10"/>
    <x v="3"/>
    <x v="0"/>
    <s v="PLAQUETTES"/>
    <s v="290x12"/>
    <n v="87"/>
  </r>
  <r>
    <d v="2025-05-07T09:07:02"/>
    <x v="3"/>
    <s v="Plaquettes de finition positives"/>
    <s v="130325"/>
    <s v="PAPONNEAU JULIEN"/>
    <n v="10"/>
    <x v="3"/>
    <x v="0"/>
    <s v="PLAQUETTES"/>
    <s v="290x12"/>
    <n v="87"/>
  </r>
  <r>
    <d v="2025-05-07T09:07:19"/>
    <x v="3"/>
    <s v="Plaquettes de finition positives"/>
    <s v="130325"/>
    <s v="PAPONNEAU JULIEN"/>
    <n v="10"/>
    <x v="0"/>
    <x v="0"/>
    <s v="PLAQUETTES"/>
    <s v="330x14"/>
    <n v="87"/>
  </r>
  <r>
    <d v="2025-05-07T22:11:20"/>
    <x v="3"/>
    <s v="Plaquettes de finition positives"/>
    <s v="SE08251"/>
    <s v="FAYET AYMERIC"/>
    <n v="10"/>
    <x v="3"/>
    <x v="0"/>
    <s v="PLAQUETTES"/>
    <s v="290x12"/>
    <n v="87"/>
  </r>
  <r>
    <d v="2025-05-07T22:11:36"/>
    <x v="3"/>
    <s v="Plaquettes de finition positives"/>
    <s v="SE08251"/>
    <s v="FAYET AYMERIC"/>
    <n v="10"/>
    <x v="0"/>
    <x v="0"/>
    <s v="PLAQUETTES"/>
    <s v="330x14"/>
    <n v="87"/>
  </r>
  <r>
    <d v="2025-05-08T14:32:24"/>
    <x v="3"/>
    <s v="Plaquettes de finition positives"/>
    <s v="130124"/>
    <s v="MOHAMED ILDIRAY"/>
    <n v="10"/>
    <x v="0"/>
    <x v="0"/>
    <s v="PLAQUETTES"/>
    <s v="330x14"/>
    <n v="87"/>
  </r>
  <r>
    <d v="2025-05-08T14:32:46"/>
    <x v="3"/>
    <s v="Plaquettes de finition positives"/>
    <s v="130124"/>
    <s v="MOHAMED ILDIRAY"/>
    <n v="10"/>
    <x v="0"/>
    <x v="0"/>
    <s v="PLAQUETTES"/>
    <s v="330x14"/>
    <n v="87"/>
  </r>
  <r>
    <d v="2025-05-09T15:54:34"/>
    <x v="3"/>
    <s v="Plaquettes de finition positives"/>
    <s v="101224"/>
    <s v="CHAZEAU KYLIAN"/>
    <n v="10"/>
    <x v="3"/>
    <x v="0"/>
    <s v="PLAQUETTES"/>
    <s v="290x12"/>
    <n v="87"/>
  </r>
  <r>
    <d v="2025-05-09T15:54:47"/>
    <x v="3"/>
    <s v="Plaquettes de finition positives"/>
    <s v="101224"/>
    <s v="CHAZEAU KYLIAN"/>
    <n v="10"/>
    <x v="0"/>
    <x v="0"/>
    <s v="PLAQUETTES"/>
    <s v="330x14"/>
    <n v="87"/>
  </r>
  <r>
    <d v="2025-05-10T10:17:32"/>
    <x v="3"/>
    <s v="Plaquettes de finition positives"/>
    <s v="U109136"/>
    <s v="WIPLIE FREDERIC"/>
    <n v="10"/>
    <x v="0"/>
    <x v="0"/>
    <s v="PLAQUETTES"/>
    <s v="290x12"/>
    <n v="87"/>
  </r>
  <r>
    <d v="2025-05-11T06:57:33"/>
    <x v="3"/>
    <s v="Plaquettes de finition positives"/>
    <s v="U109136"/>
    <s v="WIPLIE FREDERIC"/>
    <n v="10"/>
    <x v="3"/>
    <x v="0"/>
    <s v="PLAQUETTES"/>
    <s v="290x12"/>
    <n v="87"/>
  </r>
  <r>
    <d v="2025-05-11T15:00:07"/>
    <x v="3"/>
    <s v="Plaquettes de finition positives"/>
    <s v="U109136"/>
    <s v="WIPLIE FREDERIC"/>
    <n v="10"/>
    <x v="3"/>
    <x v="0"/>
    <s v="PLAQUETTES"/>
    <s v="290x12"/>
    <n v="87"/>
  </r>
  <r>
    <d v="2025-05-12T00:44:26"/>
    <x v="3"/>
    <s v="Plaquettes de finition positives"/>
    <s v="sc95213"/>
    <s v="RABET PAULINE"/>
    <n v="10"/>
    <x v="0"/>
    <x v="0"/>
    <s v="PLAQUETTES"/>
    <s v="330x14"/>
    <n v="87"/>
  </r>
  <r>
    <d v="2025-05-12T00:45:12"/>
    <x v="3"/>
    <s v="Plaquettes de finition positives"/>
    <s v="sc95213"/>
    <s v="RABET PAULINE"/>
    <n v="10"/>
    <x v="3"/>
    <x v="0"/>
    <s v="PLAQUETTES"/>
    <s v="290x12"/>
    <n v="87"/>
  </r>
  <r>
    <d v="2025-05-12T13:14:10"/>
    <x v="3"/>
    <s v="Plaquettes de finition positives"/>
    <s v="SE08251"/>
    <s v="FAYET AYMERIC"/>
    <n v="10"/>
    <x v="0"/>
    <x v="0"/>
    <s v="PLAQUETTES"/>
    <s v="290x12"/>
    <n v="87"/>
  </r>
  <r>
    <d v="2025-05-12T13:14:25"/>
    <x v="3"/>
    <s v="Plaquettes de finition positives"/>
    <s v="SE08251"/>
    <s v="FAYET AYMERIC"/>
    <n v="10"/>
    <x v="3"/>
    <x v="0"/>
    <s v="PLAQUETTES"/>
    <s v="290x12"/>
    <n v="87"/>
  </r>
  <r>
    <d v="2025-05-15T05:52:01"/>
    <x v="3"/>
    <s v="Plaquettes de finition positives"/>
    <s v="101224"/>
    <s v="CHAZEAU KYLIAN"/>
    <n v="10"/>
    <x v="3"/>
    <x v="0"/>
    <s v="PLAQUETTES"/>
    <s v="290x12"/>
    <n v="87"/>
  </r>
  <r>
    <d v="2025-05-15T23:13:39"/>
    <x v="3"/>
    <s v="Plaquettes de finition positives"/>
    <s v="130325"/>
    <s v="PAPONNEAU JULIEN"/>
    <n v="10"/>
    <x v="3"/>
    <x v="0"/>
    <s v="PLAQUETTES"/>
    <s v="290x12"/>
    <n v="87"/>
  </r>
  <r>
    <d v="2025-05-17T01:54:44"/>
    <x v="3"/>
    <s v="Plaquettes de finition positives"/>
    <s v="130325"/>
    <s v="PAPONNEAU JULIEN"/>
    <n v="10"/>
    <x v="3"/>
    <x v="0"/>
    <s v="PLAQUETTES"/>
    <s v="290x12"/>
    <n v="87"/>
  </r>
  <r>
    <d v="2025-05-18T07:05:34"/>
    <x v="3"/>
    <s v="Plaquettes de finition positives"/>
    <s v="150725"/>
    <s v="ADOUL WASSIM"/>
    <n v="10"/>
    <x v="3"/>
    <x v="0"/>
    <s v="PLAQUETTES"/>
    <s v="290x12"/>
    <n v="87"/>
  </r>
  <r>
    <d v="2025-05-18T19:42:20"/>
    <x v="3"/>
    <s v="Plaquettes de finition positives"/>
    <s v="u080365"/>
    <s v="ALAVOINE SAMUEL"/>
    <n v="10"/>
    <x v="0"/>
    <x v="0"/>
    <s v="PLAQUETTES"/>
    <s v="330x14"/>
    <n v="87"/>
  </r>
  <r>
    <d v="2025-05-18T21:29:26"/>
    <x v="3"/>
    <s v="Plaquettes de finition positives"/>
    <s v="u080365"/>
    <s v="ALAVOINE SAMUEL"/>
    <n v="10"/>
    <x v="3"/>
    <x v="0"/>
    <s v="PLAQUETTES"/>
    <s v="290x12"/>
    <n v="87"/>
  </r>
  <r>
    <d v="2025-05-19T05:44:18"/>
    <x v="3"/>
    <s v="Plaquettes de finition positives"/>
    <s v="SE08251"/>
    <s v="FAYET AYMERIC"/>
    <n v="10"/>
    <x v="0"/>
    <x v="0"/>
    <s v="PLAQUETTES"/>
    <s v="330x14"/>
    <n v="87"/>
  </r>
  <r>
    <d v="2025-05-20T04:39:44"/>
    <x v="3"/>
    <s v="Plaquettes de finition positives"/>
    <s v="101224"/>
    <s v="CHAZEAU KYLIAN"/>
    <n v="10"/>
    <x v="0"/>
    <x v="0"/>
    <s v="PLAQUETTES"/>
    <s v="330x14"/>
    <n v="87"/>
  </r>
  <r>
    <d v="2025-05-20T05:22:05"/>
    <x v="3"/>
    <s v="Plaquettes de finition positives"/>
    <s v="SE08251"/>
    <s v="FAYET AYMERIC"/>
    <n v="10"/>
    <x v="0"/>
    <x v="0"/>
    <s v="PLAQUETTES"/>
    <s v="330x14"/>
    <n v="87"/>
  </r>
  <r>
    <d v="2025-05-20T12:25:21"/>
    <x v="3"/>
    <s v="Plaquettes de finition positives"/>
    <s v="SE08251"/>
    <s v="FAYET AYMERIC"/>
    <n v="10"/>
    <x v="3"/>
    <x v="0"/>
    <s v="PLAQUETTES"/>
    <s v="290x12"/>
    <n v="87"/>
  </r>
  <r>
    <d v="2025-05-21T05:54:44"/>
    <x v="3"/>
    <s v="Plaquettes de finition positives"/>
    <s v="SE08251"/>
    <s v="FAYET AYMERIC"/>
    <n v="10"/>
    <x v="3"/>
    <x v="0"/>
    <s v="PLAQUETTES"/>
    <s v="290x12"/>
    <n v="87"/>
  </r>
  <r>
    <d v="2025-05-21T09:16:15"/>
    <x v="3"/>
    <s v="Plaquettes de finition positives"/>
    <s v="SE08251"/>
    <s v="FAYET AYMERIC"/>
    <n v="10"/>
    <x v="0"/>
    <x v="0"/>
    <s v="PLAQUETTES"/>
    <s v="330x14"/>
    <n v="87"/>
  </r>
  <r>
    <d v="2025-05-22T00:18:36"/>
    <x v="3"/>
    <s v="Plaquettes de finition positives"/>
    <s v="101224"/>
    <s v="CHAZEAU KYLIAN"/>
    <n v="10"/>
    <x v="3"/>
    <x v="0"/>
    <s v="PLAQUETTES"/>
    <s v="290x12"/>
    <n v="87"/>
  </r>
  <r>
    <d v="2025-05-22T00:18:55"/>
    <x v="3"/>
    <s v="Plaquettes de finition positives"/>
    <s v="101224"/>
    <s v="CHAZEAU KYLIAN"/>
    <n v="10"/>
    <x v="0"/>
    <x v="0"/>
    <s v="PLAQUETTES"/>
    <s v="330x14"/>
    <n v="87"/>
  </r>
  <r>
    <d v="2025-05-22T19:50:49"/>
    <x v="3"/>
    <s v="Plaquettes de finition positives"/>
    <s v="SD75051"/>
    <s v="COMBALUZIER LUCAS"/>
    <n v="10"/>
    <x v="0"/>
    <x v="0"/>
    <s v="PLAQUETTES"/>
    <s v="330x14"/>
    <n v="87"/>
  </r>
  <r>
    <d v="2025-05-23T13:12:41"/>
    <x v="3"/>
    <s v="Plaquettes de finition positives"/>
    <s v="SD75051"/>
    <s v="COMBALUZIER LUCAS"/>
    <n v="10"/>
    <x v="0"/>
    <x v="0"/>
    <s v="PLAQUETTES"/>
    <s v="330x14"/>
    <n v="87"/>
  </r>
  <r>
    <d v="2025-05-25T18:06:06"/>
    <x v="3"/>
    <s v="Plaquettes de finition positives"/>
    <s v="U109136"/>
    <s v="WIPLIE FREDERIC"/>
    <n v="10"/>
    <x v="0"/>
    <x v="0"/>
    <s v="PLAQUETTES"/>
    <s v="330x14"/>
    <n v="87"/>
  </r>
  <r>
    <d v="2025-05-26T04:23:48"/>
    <x v="3"/>
    <s v="Plaquettes de finition positives"/>
    <s v="U109136"/>
    <s v="WIPLIE FREDERIC"/>
    <n v="10"/>
    <x v="0"/>
    <x v="0"/>
    <s v="PLAQUETTES"/>
    <s v="330x14"/>
    <n v="87"/>
  </r>
  <r>
    <d v="2025-05-26T05:33:39"/>
    <x v="3"/>
    <s v="Plaquettes de finition positives"/>
    <s v="U080365"/>
    <s v="ALAVOINE SAMUEL"/>
    <n v="10"/>
    <x v="3"/>
    <x v="0"/>
    <s v="PLAQUETTES"/>
    <s v="290x12"/>
    <n v="87"/>
  </r>
  <r>
    <d v="2025-05-26T05:34:14"/>
    <x v="3"/>
    <s v="Plaquettes de finition positives"/>
    <s v="U080365"/>
    <s v="ALAVOINE SAMUEL"/>
    <n v="10"/>
    <x v="0"/>
    <x v="0"/>
    <s v="PLAQUETTES"/>
    <s v="330x14"/>
    <n v="87"/>
  </r>
  <r>
    <d v="2025-05-26T11:22:07"/>
    <x v="3"/>
    <s v="Plaquettes de finition positives"/>
    <s v="u080365"/>
    <s v="ALAVOINE SAMUEL"/>
    <n v="10"/>
    <x v="3"/>
    <x v="0"/>
    <s v="PLAQUETTES"/>
    <s v="290x12"/>
    <n v="87"/>
  </r>
  <r>
    <d v="2025-05-29T02:43:42"/>
    <x v="3"/>
    <s v="Plaquettes de finition positives"/>
    <s v="SE08251"/>
    <s v="FAYET AYMERIC"/>
    <n v="10"/>
    <x v="3"/>
    <x v="0"/>
    <s v="PLAQUETTES"/>
    <s v="290x12"/>
    <n v="87"/>
  </r>
  <r>
    <d v="2025-05-29T21:25:48"/>
    <x v="3"/>
    <s v="Plaquettes de finition positives"/>
    <s v="SE08251"/>
    <s v="FAYET AYMERIC"/>
    <n v="10"/>
    <x v="3"/>
    <x v="0"/>
    <s v="PLAQUETTES"/>
    <s v="290x12"/>
    <n v="87"/>
  </r>
  <r>
    <d v="2025-05-31T10:03:35"/>
    <x v="3"/>
    <s v="Plaquettes de finition positives"/>
    <s v="150725"/>
    <s v="ADOUL WASSIM"/>
    <n v="10"/>
    <x v="3"/>
    <x v="0"/>
    <s v="PLAQUETTES"/>
    <s v="290x12"/>
    <n v="87"/>
  </r>
  <r>
    <d v="2025-06-02T13:27:24"/>
    <x v="3"/>
    <s v="Plaquettes de finition positives"/>
    <s v="SE08251"/>
    <s v="FAYET AYMERIC"/>
    <n v="10"/>
    <x v="3"/>
    <x v="0"/>
    <s v="PLAQUETTES"/>
    <s v="290x12"/>
    <n v="87"/>
  </r>
  <r>
    <d v="2025-06-02T13:27:40"/>
    <x v="3"/>
    <s v="Plaquettes de finition positives"/>
    <s v="SE08251"/>
    <s v="FAYET AYMERIC"/>
    <n v="10"/>
    <x v="0"/>
    <x v="0"/>
    <s v="PLAQUETTES"/>
    <s v="330x14"/>
    <n v="87"/>
  </r>
  <r>
    <d v="2025-06-02T23:11:49"/>
    <x v="3"/>
    <s v="Plaquettes de finition positives"/>
    <s v="SD75051"/>
    <s v="COMBALUZIER LUCAS"/>
    <n v="10"/>
    <x v="0"/>
    <x v="0"/>
    <s v="PLAQUETTES"/>
    <s v="330x14"/>
    <n v="87"/>
  </r>
  <r>
    <d v="2025-06-03T13:12:49"/>
    <x v="3"/>
    <s v="Plaquettes de finition positives"/>
    <s v="SE08251"/>
    <s v="FAYET AYMERIC"/>
    <n v="10"/>
    <x v="3"/>
    <x v="0"/>
    <s v="PLAQUETTES"/>
    <s v="290x12"/>
    <n v="87"/>
  </r>
  <r>
    <d v="2025-06-03T20:41:11"/>
    <x v="3"/>
    <s v="Plaquettes de finition positives"/>
    <s v="SE08251"/>
    <s v="FAYET AYMERIC"/>
    <n v="10"/>
    <x v="0"/>
    <x v="0"/>
    <s v="PLAQUETTES"/>
    <s v="290x12"/>
    <n v="87"/>
  </r>
  <r>
    <d v="2025-06-04T21:52:16"/>
    <x v="3"/>
    <s v="Plaquettes de finition positives"/>
    <s v="SD75051"/>
    <s v="COMBALUZIER LUCAS"/>
    <n v="10"/>
    <x v="0"/>
    <x v="0"/>
    <s v="PLAQUETTES"/>
    <s v="330x14"/>
    <n v="87"/>
  </r>
  <r>
    <d v="2025-06-05T14:23:52"/>
    <x v="3"/>
    <s v="Plaquettes de finition positives"/>
    <s v="SE08251"/>
    <s v="FAYET AYMERIC"/>
    <n v="10"/>
    <x v="0"/>
    <x v="0"/>
    <s v="PLAQUETTES"/>
    <s v="290x12"/>
    <n v="87"/>
  </r>
  <r>
    <d v="2025-06-05T14:24:11"/>
    <x v="3"/>
    <s v="Plaquettes de finition positives"/>
    <s v="SE08251"/>
    <s v="FAYET AYMERIC"/>
    <n v="10"/>
    <x v="3"/>
    <x v="0"/>
    <s v="PLAQUETTES"/>
    <s v="290x12"/>
    <n v="87"/>
  </r>
  <r>
    <d v="2025-06-06T08:19:22"/>
    <x v="3"/>
    <s v="Plaquettes de finition positives"/>
    <s v="U109136"/>
    <s v="WIPLIE FREDERIC"/>
    <n v="10"/>
    <x v="3"/>
    <x v="0"/>
    <s v="PLAQUETTES"/>
    <s v="290x12"/>
    <n v="87"/>
  </r>
  <r>
    <d v="2025-06-07T05:14:49"/>
    <x v="3"/>
    <s v="Plaquettes de finition positives"/>
    <s v="U109136"/>
    <s v="WIPLIE FREDERIC"/>
    <n v="10"/>
    <x v="0"/>
    <x v="0"/>
    <s v="PLAQUETTES"/>
    <s v="330x14"/>
    <n v="87"/>
  </r>
  <r>
    <d v="2025-06-09T03:07:07"/>
    <x v="3"/>
    <s v="Plaquettes de finition positives"/>
    <s v="150725"/>
    <s v="ADOUL WASSIM"/>
    <n v="10"/>
    <x v="0"/>
    <x v="0"/>
    <s v="PLAQUETTES"/>
    <s v="330x14"/>
    <n v="87"/>
  </r>
  <r>
    <d v="2025-06-09T13:33:57"/>
    <x v="3"/>
    <s v="Plaquettes de finition positives"/>
    <s v="SD75051"/>
    <s v="COMBALUZIER LUCAS"/>
    <n v="10"/>
    <x v="0"/>
    <x v="0"/>
    <s v="PLAQUETTES"/>
    <s v="330x14"/>
    <n v="87"/>
  </r>
  <r>
    <d v="2025-06-12T19:36:02"/>
    <x v="3"/>
    <s v="Plaquettes de finition positives"/>
    <s v="SD75051"/>
    <s v="COMBALUZIER LUCAS"/>
    <n v="10"/>
    <x v="3"/>
    <x v="0"/>
    <s v="PLAQUETTES"/>
    <s v="290x12"/>
    <n v="87"/>
  </r>
  <r>
    <d v="2025-06-12T23:42:15"/>
    <x v="3"/>
    <s v="Plaquettes de finition positives"/>
    <s v="101224"/>
    <s v="CHAZEAU KYLIAN"/>
    <n v="10"/>
    <x v="3"/>
    <x v="0"/>
    <s v="PLAQUETTES"/>
    <s v="290x12"/>
    <n v="87"/>
  </r>
  <r>
    <d v="2025-06-18T19:09:07"/>
    <x v="3"/>
    <s v="Plaquettes de finition positives"/>
    <s v="101224"/>
    <s v="CHAZEAU KYLIAN"/>
    <n v="10"/>
    <x v="0"/>
    <x v="0"/>
    <s v="PLAQUETTES"/>
    <s v="330x14"/>
    <n v="87"/>
  </r>
  <r>
    <d v="2025-06-19T06:18:04"/>
    <x v="3"/>
    <s v="Plaquettes de finition positives"/>
    <s v="SD75051"/>
    <s v="COMBALUZIER LUCAS"/>
    <n v="10"/>
    <x v="0"/>
    <x v="0"/>
    <s v="PLAQUETTES"/>
    <s v="330x14"/>
    <n v="87"/>
  </r>
  <r>
    <d v="2025-06-19T19:25:17"/>
    <x v="3"/>
    <s v="Plaquettes de finition positives"/>
    <s v="101224"/>
    <s v="CHAZEAU KYLIAN"/>
    <n v="10"/>
    <x v="0"/>
    <x v="0"/>
    <s v="PLAQUETTES"/>
    <s v="330x14"/>
    <n v="87"/>
  </r>
  <r>
    <d v="2025-06-20T13:30:47"/>
    <x v="3"/>
    <s v="Plaquettes de finition positives"/>
    <s v="101224"/>
    <s v="CHAZEAU KYLIAN"/>
    <n v="10"/>
    <x v="0"/>
    <x v="0"/>
    <s v="PLAQUETTES"/>
    <s v="330x14"/>
    <n v="87"/>
  </r>
  <r>
    <d v="2025-06-20T16:14:37"/>
    <x v="3"/>
    <s v="Plaquettes de finition positives"/>
    <s v="101224"/>
    <s v="CHAZEAU KYLIAN"/>
    <n v="10"/>
    <x v="3"/>
    <x v="0"/>
    <s v="PLAQUETTES"/>
    <s v="290x12"/>
    <n v="87"/>
  </r>
  <r>
    <d v="2025-06-21T07:25:00"/>
    <x v="3"/>
    <s v="Plaquettes de finition positives"/>
    <s v="U109136"/>
    <s v="WIPLIE FREDERIC"/>
    <n v="10"/>
    <x v="0"/>
    <x v="0"/>
    <s v="PLAQUETTES"/>
    <s v="330x14"/>
    <n v="87"/>
  </r>
  <r>
    <d v="2025-06-22T15:45:14"/>
    <x v="3"/>
    <s v="Plaquettes de finition positives"/>
    <s v="u080365"/>
    <s v="ALAVOINE SAMUEL"/>
    <n v="10"/>
    <x v="3"/>
    <x v="0"/>
    <s v="PLAQUETTES"/>
    <s v="290x12"/>
    <n v="87"/>
  </r>
  <r>
    <d v="2025-06-22T23:28:38"/>
    <x v="3"/>
    <s v="Plaquettes de finition positives"/>
    <s v="U109136"/>
    <s v="WIPLIE FREDERIC"/>
    <n v="10"/>
    <x v="0"/>
    <x v="0"/>
    <s v="PLAQUETTES"/>
    <s v="330x14"/>
    <n v="87"/>
  </r>
  <r>
    <d v="2025-06-23T06:48:16"/>
    <x v="3"/>
    <s v="Plaquettes de finition positives"/>
    <s v="101224"/>
    <s v="CHAZEAU KYLIAN"/>
    <n v="10"/>
    <x v="3"/>
    <x v="0"/>
    <s v="PLAQUETTES"/>
    <s v="290x12"/>
    <n v="87"/>
  </r>
  <r>
    <d v="2025-06-23T14:38:59"/>
    <x v="3"/>
    <s v="Plaquettes de finition positives"/>
    <s v="SE08251"/>
    <s v="FAYET AYMERIC"/>
    <n v="10"/>
    <x v="0"/>
    <x v="0"/>
    <s v="PLAQUETTES"/>
    <s v="330x14"/>
    <n v="87"/>
  </r>
  <r>
    <d v="2025-06-23T14:39:17"/>
    <x v="3"/>
    <s v="Plaquettes de finition positives"/>
    <s v="SE08251"/>
    <s v="FAYET AYMERIC"/>
    <n v="10"/>
    <x v="3"/>
    <x v="0"/>
    <s v="PLAQUETTES"/>
    <s v="290x12"/>
    <n v="87"/>
  </r>
  <r>
    <d v="2025-06-25T15:34:16"/>
    <x v="3"/>
    <s v="Plaquettes de finition positives"/>
    <s v="SE08251"/>
    <s v="FAYET AYMERIC"/>
    <n v="10"/>
    <x v="0"/>
    <x v="0"/>
    <s v="PLAQUETTES"/>
    <s v="330x14"/>
    <n v="87"/>
  </r>
  <r>
    <d v="2025-06-26T10:55:03"/>
    <x v="3"/>
    <s v="Plaquettes de finition positives"/>
    <s v="130124"/>
    <s v="MOHAMED ILDIRAY"/>
    <n v="10"/>
    <x v="0"/>
    <x v="0"/>
    <s v="PLAQUETTES"/>
    <s v="330x14"/>
    <n v="87"/>
  </r>
  <r>
    <d v="2025-06-26T21:09:47"/>
    <x v="3"/>
    <s v="Plaquettes de finition positives"/>
    <s v="SD75051"/>
    <s v="COMBALUZIER LUCAS"/>
    <n v="10"/>
    <x v="0"/>
    <x v="0"/>
    <s v="PLAQUETTES"/>
    <s v="330x14"/>
    <n v="87"/>
  </r>
  <r>
    <d v="2025-06-27T15:15:35"/>
    <x v="3"/>
    <s v="Plaquettes de finition positives"/>
    <s v="SE08251"/>
    <s v="FAYET AYMERIC"/>
    <n v="10"/>
    <x v="0"/>
    <x v="0"/>
    <s v="PLAQUETTES"/>
    <s v="330x14"/>
    <n v="87"/>
  </r>
  <r>
    <d v="2025-06-28T07:07:44"/>
    <x v="3"/>
    <s v="Plaquettes de finition positives"/>
    <s v="150725"/>
    <s v="ADOUL WASSIM"/>
    <n v="10"/>
    <x v="0"/>
    <x v="0"/>
    <s v="PLAQUETTES"/>
    <s v="330x14"/>
    <n v="87"/>
  </r>
  <r>
    <d v="2025-06-28T13:06:58"/>
    <x v="3"/>
    <s v="Plaquettes de finition positives"/>
    <s v="150725"/>
    <s v="ADOUL WASSIM"/>
    <n v="10"/>
    <x v="0"/>
    <x v="0"/>
    <s v="PLAQUETTES"/>
    <s v="330x14"/>
    <n v="87"/>
  </r>
  <r>
    <d v="2025-06-30T00:27:36"/>
    <x v="3"/>
    <s v="Plaquettes de finition positives"/>
    <s v="150725"/>
    <s v="ADOUL WASSIM"/>
    <n v="10"/>
    <x v="0"/>
    <x v="0"/>
    <s v="PLAQUETTES"/>
    <s v="330x14"/>
    <n v="87"/>
  </r>
  <r>
    <d v="2025-06-30T06:16:29"/>
    <x v="3"/>
    <s v="Plaquettes de finition positives"/>
    <s v="SE08251"/>
    <s v="FAYET AYMERIC"/>
    <n v="10"/>
    <x v="0"/>
    <x v="0"/>
    <s v="PLAQUETTES"/>
    <s v="330x14"/>
    <n v="87"/>
  </r>
  <r>
    <d v="2025-06-30T21:08:02"/>
    <x v="3"/>
    <s v="Plaquettes de finition positives"/>
    <s v="101224"/>
    <s v="CHAZEAU KYLIAN"/>
    <n v="10"/>
    <x v="0"/>
    <x v="0"/>
    <s v="PLAQUETTES"/>
    <s v="290x12"/>
    <n v="87"/>
  </r>
  <r>
    <d v="2025-07-01T23:21:22"/>
    <x v="3"/>
    <s v="Plaquettes de finition positives"/>
    <s v="101224"/>
    <s v="CHAZEAU KYLIAN"/>
    <n v="10"/>
    <x v="0"/>
    <x v="0"/>
    <s v="PLAQUETTES"/>
    <s v="290x12"/>
    <n v="87"/>
  </r>
  <r>
    <d v="2025-07-02T22:19:46"/>
    <x v="3"/>
    <s v="Plaquettes de finition positives"/>
    <s v="101224"/>
    <s v="CHAZEAU KYLIAN"/>
    <n v="10"/>
    <x v="0"/>
    <x v="0"/>
    <s v="PLAQUETTES"/>
    <s v="290x12"/>
    <n v="87"/>
  </r>
  <r>
    <d v="2025-07-03T07:18:12"/>
    <x v="3"/>
    <s v="Plaquettes de finition positives"/>
    <s v="SE08251"/>
    <s v="FAYET AYMERIC"/>
    <n v="10"/>
    <x v="0"/>
    <x v="0"/>
    <s v="PLAQUETTES"/>
    <s v="290x12"/>
    <n v="87"/>
  </r>
  <r>
    <d v="2025-07-04T01:47:16"/>
    <x v="3"/>
    <s v="Plaquettes de finition positives"/>
    <s v="101224"/>
    <s v="CHAZEAU KYLIAN"/>
    <n v="10"/>
    <x v="0"/>
    <x v="0"/>
    <s v="PLAQUETTES"/>
    <s v="290x12"/>
    <n v="87"/>
  </r>
  <r>
    <d v="2025-07-04T13:17:48"/>
    <x v="3"/>
    <s v="Plaquettes de finition positives"/>
    <s v="SD75051"/>
    <s v="COMBALUZIER LUCAS"/>
    <n v="10"/>
    <x v="0"/>
    <x v="0"/>
    <s v="PLAQUETTES"/>
    <s v="290x12"/>
    <n v="87"/>
  </r>
  <r>
    <d v="2025-07-04T13:18:13"/>
    <x v="3"/>
    <s v="Plaquettes de finition positives"/>
    <s v="SD75051"/>
    <s v="COMBALUZIER LUCAS"/>
    <n v="10"/>
    <x v="3"/>
    <x v="0"/>
    <s v="PLAQUETTES"/>
    <s v="330x14"/>
    <n v="87"/>
  </r>
  <r>
    <d v="2025-07-05T11:11:59"/>
    <x v="3"/>
    <s v="Plaquettes de finition positives"/>
    <s v="U109136"/>
    <s v="WIPLIE FREDERIC"/>
    <n v="10"/>
    <x v="0"/>
    <x v="0"/>
    <s v="PLAQUETTES"/>
    <s v="330x14"/>
    <n v="87"/>
  </r>
  <r>
    <d v="2025-07-06T21:33:15"/>
    <x v="3"/>
    <s v="Plaquettes de finition positives"/>
    <s v="U109136"/>
    <s v="WIPLIE FREDERIC"/>
    <n v="10"/>
    <x v="3"/>
    <x v="0"/>
    <s v="PLAQUETTES"/>
    <s v="330x14"/>
    <n v="87"/>
  </r>
  <r>
    <d v="2025-07-07T05:59:49"/>
    <x v="3"/>
    <s v="Plaquettes de finition positives"/>
    <s v="SD75051"/>
    <s v="COMBALUZIER LUCAS"/>
    <n v="10"/>
    <x v="0"/>
    <x v="0"/>
    <s v="PLAQUETTES"/>
    <s v="290x12"/>
    <n v="87"/>
  </r>
  <r>
    <d v="2025-07-07T06:00:39"/>
    <x v="3"/>
    <s v="Plaquettes de finition positives"/>
    <s v="SD75051"/>
    <s v="COMBALUZIER LUCAS"/>
    <n v="10"/>
    <x v="3"/>
    <x v="0"/>
    <s v="PLAQUETTES"/>
    <s v="330x14"/>
    <n v="87"/>
  </r>
  <r>
    <d v="2025-07-08T00:44:11"/>
    <x v="3"/>
    <s v="Plaquettes de finition positives"/>
    <s v="SE08251"/>
    <s v="FAYET AYMERIC"/>
    <n v="10"/>
    <x v="0"/>
    <x v="0"/>
    <s v="PLAQUETTES"/>
    <s v="290x12"/>
    <n v="87"/>
  </r>
  <r>
    <d v="2025-07-08T00:44:25"/>
    <x v="3"/>
    <s v="Plaquettes de finition positives"/>
    <s v="SE08251"/>
    <s v="FAYET AYMERIC"/>
    <n v="10"/>
    <x v="3"/>
    <x v="0"/>
    <s v="PLAQUETTES"/>
    <s v="330x14"/>
    <n v="87"/>
  </r>
  <r>
    <d v="2025-07-08T18:14:02"/>
    <x v="3"/>
    <s v="Plaquettes de finition positives"/>
    <s v="101224"/>
    <s v="CHAZEAU KYLIAN"/>
    <n v="10"/>
    <x v="0"/>
    <x v="0"/>
    <s v="PLAQUETTES"/>
    <s v="290x12"/>
    <n v="87"/>
  </r>
  <r>
    <d v="2025-07-09T07:23:10"/>
    <x v="3"/>
    <s v="Plaquettes de finition positives"/>
    <s v="SD75051"/>
    <s v="COMBALUZIER LUCAS"/>
    <n v="10"/>
    <x v="3"/>
    <x v="0"/>
    <s v="PLAQUETTES"/>
    <s v="330x14"/>
    <n v="87"/>
  </r>
  <r>
    <d v="2025-07-10T04:37:40"/>
    <x v="3"/>
    <s v="Plaquettes de finition positives"/>
    <s v="SE08251"/>
    <s v="FAYET AYMERIC"/>
    <n v="10"/>
    <x v="3"/>
    <x v="0"/>
    <s v="PLAQUETTES"/>
    <s v="330x14"/>
    <n v="87"/>
  </r>
  <r>
    <d v="2025-07-10T17:24:03"/>
    <x v="3"/>
    <s v="Plaquettes de finition positives"/>
    <s v="101224"/>
    <s v="CHAZEAU KYLIAN"/>
    <n v="10"/>
    <x v="3"/>
    <x v="0"/>
    <s v="PLAQUETTES"/>
    <s v="330x14"/>
    <n v="87"/>
  </r>
  <r>
    <d v="2025-07-16T03:48:31"/>
    <x v="3"/>
    <s v="Plaquettes de finition positives"/>
    <s v="SD75051"/>
    <s v="COMBALUZIER LUCAS"/>
    <n v="10"/>
    <x v="3"/>
    <x v="0"/>
    <s v="PLAQUETTES"/>
    <s v="330x14"/>
    <n v="87"/>
  </r>
  <r>
    <d v="2025-07-16T19:53:21"/>
    <x v="3"/>
    <s v="Plaquettes de finition positives"/>
    <s v="SE08251"/>
    <s v="FAYET AYMERIC"/>
    <n v="10"/>
    <x v="3"/>
    <x v="0"/>
    <s v="PLAQUETTES"/>
    <s v="330x14"/>
    <n v="87"/>
  </r>
  <r>
    <d v="2025-07-17T08:14:58"/>
    <x v="3"/>
    <s v="Plaquettes de finition positives"/>
    <s v="SD13196"/>
    <s v="FRADIN MAXIME"/>
    <n v="10"/>
    <x v="3"/>
    <x v="0"/>
    <s v="PLAQUETTES"/>
    <s v="330x14"/>
    <n v="87"/>
  </r>
  <r>
    <d v="2025-07-18T02:59:46"/>
    <x v="3"/>
    <s v="Plaquettes de finition positives"/>
    <s v="SD75051"/>
    <s v="COMBALUZIER LUCAS"/>
    <n v="10"/>
    <x v="3"/>
    <x v="0"/>
    <s v="PLAQUETTES"/>
    <s v="330x14"/>
    <n v="87"/>
  </r>
  <r>
    <d v="2025-07-18T10:32:20"/>
    <x v="3"/>
    <s v="Plaquettes de finition positives"/>
    <s v="U109136"/>
    <s v="WIPLIE FREDERIC"/>
    <n v="10"/>
    <x v="3"/>
    <x v="0"/>
    <s v="PLAQUETTES"/>
    <s v="330x14"/>
    <n v="87"/>
  </r>
  <r>
    <d v="2025-07-19T11:31:21"/>
    <x v="3"/>
    <s v="Plaquettes de finition positives"/>
    <s v="U109136"/>
    <s v="WIPLIE FREDERIC"/>
    <n v="10"/>
    <x v="0"/>
    <x v="0"/>
    <s v="PLAQUETTES"/>
    <s v="330x14"/>
    <n v="87"/>
  </r>
  <r>
    <d v="2025-07-21T07:58:19"/>
    <x v="3"/>
    <s v="Plaquettes de finition positives"/>
    <s v="SE08251"/>
    <s v="FAYET AYMERIC"/>
    <n v="10"/>
    <x v="3"/>
    <x v="0"/>
    <s v="PLAQUETTES"/>
    <s v="330x14"/>
    <n v="87"/>
  </r>
  <r>
    <d v="2025-07-21T21:04:32"/>
    <x v="3"/>
    <s v="Plaquettes de finition positives"/>
    <s v="101224"/>
    <s v="CHAZEAU KYLIAN"/>
    <n v="10"/>
    <x v="3"/>
    <x v="0"/>
    <s v="PLAQUETTES"/>
    <s v="330x14"/>
    <n v="87"/>
  </r>
  <r>
    <d v="2025-07-22T05:37:53"/>
    <x v="3"/>
    <s v="Plaquettes de finition positives"/>
    <s v="SE08251"/>
    <s v="FAYET AYMERIC"/>
    <n v="10"/>
    <x v="3"/>
    <x v="0"/>
    <s v="PLAQUETTES"/>
    <s v="330x14"/>
    <n v="87"/>
  </r>
  <r>
    <d v="2025-07-25T00:45:25"/>
    <x v="3"/>
    <s v="Plaquettes de finition positives"/>
    <s v="101224"/>
    <s v="CHAZEAU KYLIAN"/>
    <n v="10"/>
    <x v="3"/>
    <x v="0"/>
    <s v="PLAQUETTES"/>
    <s v="330x14"/>
    <n v="87"/>
  </r>
  <r>
    <d v="2025-07-25T08:12:54"/>
    <x v="3"/>
    <s v="Plaquettes de finition positives"/>
    <s v="U080365"/>
    <s v="ALAVOINE SAMUEL"/>
    <n v="10"/>
    <x v="0"/>
    <x v="0"/>
    <s v="PLAQUETTES"/>
    <s v="290x12"/>
    <n v="87"/>
  </r>
  <r>
    <d v="2025-07-25T08:14:31"/>
    <x v="3"/>
    <s v="Plaquettes de finition positives"/>
    <s v="U080365"/>
    <s v="ALAVOINE SAMUEL"/>
    <n v="10"/>
    <x v="3"/>
    <x v="0"/>
    <s v="PLAQUETTES"/>
    <s v="330x14"/>
    <n v="87"/>
  </r>
  <r>
    <d v="2025-07-25T19:50:34"/>
    <x v="3"/>
    <s v="Plaquettes de finition positives"/>
    <s v="040725"/>
    <s v="BARGEOT LUCAS"/>
    <n v="10"/>
    <x v="3"/>
    <x v="0"/>
    <s v="PLAQUETTES"/>
    <s v="330x14"/>
    <n v="87"/>
  </r>
  <r>
    <d v="2025-07-26T07:06:29"/>
    <x v="3"/>
    <s v="Plaquettes de finition positives"/>
    <s v="U080365"/>
    <s v="ALAVOINE SAMUEL"/>
    <n v="10"/>
    <x v="0"/>
    <x v="0"/>
    <s v="PLAQUETTES"/>
    <s v="290x12"/>
    <n v="87"/>
  </r>
  <r>
    <d v="2025-07-26T07:06:54"/>
    <x v="3"/>
    <s v="Plaquettes de finition positives"/>
    <s v="U080365"/>
    <s v="ALAVOINE SAMUEL"/>
    <n v="10"/>
    <x v="3"/>
    <x v="0"/>
    <s v="PLAQUETTES"/>
    <s v="330x14"/>
    <n v="87"/>
  </r>
  <r>
    <d v="2025-07-28T06:03:02"/>
    <x v="3"/>
    <s v="Plaquettes de finition positives"/>
    <s v="040725"/>
    <s v="BARGEOT LUCAS"/>
    <n v="10"/>
    <x v="0"/>
    <x v="0"/>
    <s v="PLAQUETTES"/>
    <s v="330x14"/>
    <n v="87"/>
  </r>
  <r>
    <d v="2025-07-28T06:03:24"/>
    <x v="3"/>
    <s v="Plaquettes de finition positives"/>
    <s v="040725"/>
    <s v="BARGEOT LUCAS"/>
    <n v="10"/>
    <x v="3"/>
    <x v="0"/>
    <s v="PLAQUETTES"/>
    <s v="330x14"/>
    <n v="87"/>
  </r>
  <r>
    <d v="2025-07-28T06:03:49"/>
    <x v="3"/>
    <s v="Plaquettes de finition positives"/>
    <s v="040725"/>
    <s v="BARGEOT LUCAS"/>
    <n v="10"/>
    <x v="0"/>
    <x v="0"/>
    <s v="PLAQUETTES"/>
    <s v="290x12"/>
    <n v="87"/>
  </r>
  <r>
    <d v="2025-07-29T06:05:57"/>
    <x v="3"/>
    <s v="Plaquettes de finition positives"/>
    <s v="040725"/>
    <s v="BARGEOT LUCAS"/>
    <n v="10"/>
    <x v="3"/>
    <x v="0"/>
    <s v="PLAQUETTES"/>
    <s v="330x14"/>
    <n v="87"/>
  </r>
  <r>
    <d v="2025-07-29T12:44:05"/>
    <x v="3"/>
    <s v="Plaquettes de finition positives"/>
    <s v="040725"/>
    <s v="BARGEOT LUCAS"/>
    <n v="10"/>
    <x v="3"/>
    <x v="0"/>
    <s v="PLAQUETTES"/>
    <s v="330x14"/>
    <n v="87"/>
  </r>
  <r>
    <d v="2025-07-30T06:39:59"/>
    <x v="3"/>
    <s v="Plaquettes de finition positives"/>
    <s v="040725"/>
    <s v="BARGEOT LUCAS"/>
    <n v="10"/>
    <x v="0"/>
    <x v="0"/>
    <s v="PLAQUETTES"/>
    <s v="290x12"/>
    <n v="87"/>
  </r>
  <r>
    <d v="2025-08-19T02:13:59"/>
    <x v="3"/>
    <s v="Plaquettes de finition positives"/>
    <s v="j529800"/>
    <s v="MONTCHARMONT BAPTISTE"/>
    <n v="10"/>
    <x v="3"/>
    <x v="0"/>
    <s v="PLAQUETTES"/>
    <s v="330x14"/>
    <n v="87"/>
  </r>
  <r>
    <d v="2025-08-20T00:34:35"/>
    <x v="3"/>
    <s v="Plaquettes de finition positives"/>
    <s v="j529800"/>
    <s v="MONTCHARMONT BAPTISTE"/>
    <n v="10"/>
    <x v="0"/>
    <x v="0"/>
    <s v="PLAQUETTES"/>
    <s v="330x14"/>
    <n v="87"/>
  </r>
  <r>
    <d v="2025-08-20T16:34:59"/>
    <x v="3"/>
    <s v="Plaquettes de finition positives"/>
    <s v="101224"/>
    <s v="CHAZEAU KYLIAN"/>
    <n v="10"/>
    <x v="3"/>
    <x v="0"/>
    <s v="PLAQUETTES"/>
    <s v="330x14"/>
    <n v="87"/>
  </r>
  <r>
    <d v="2025-08-20T23:54:23"/>
    <x v="3"/>
    <s v="Plaquettes de finition positives"/>
    <s v="280225"/>
    <s v="FERNANDES DOS SANTOS REMY"/>
    <n v="10"/>
    <x v="3"/>
    <x v="0"/>
    <s v="PLAQUETTES"/>
    <s v="330x14"/>
    <n v="87"/>
  </r>
  <r>
    <d v="2025-08-21T08:41:43"/>
    <x v="3"/>
    <s v="Plaquettes de finition positives"/>
    <s v="040725"/>
    <s v="BARGEOT LUCAS"/>
    <n v="10"/>
    <x v="3"/>
    <x v="0"/>
    <s v="PLAQUETTES"/>
    <s v="330x14"/>
    <n v="87"/>
  </r>
  <r>
    <d v="2025-08-21T20:09:20"/>
    <x v="3"/>
    <s v="Plaquettes de finition positives"/>
    <s v="101224"/>
    <s v="CHAZEAU KYLIAN"/>
    <n v="10"/>
    <x v="3"/>
    <x v="0"/>
    <s v="PLAQUETTES"/>
    <s v="330x14"/>
    <n v="87"/>
  </r>
  <r>
    <d v="2025-08-22T02:24:33"/>
    <x v="3"/>
    <s v="Plaquettes de finition positives"/>
    <s v="j529800"/>
    <s v="MONTCHARMONT BAPTISTE"/>
    <n v="10"/>
    <x v="3"/>
    <x v="0"/>
    <s v="PLAQUETTES"/>
    <s v="330x14"/>
    <n v="87"/>
  </r>
  <r>
    <d v="2025-08-22T10:00:23"/>
    <x v="3"/>
    <s v="Plaquettes de finition positives"/>
    <s v="U080365"/>
    <s v="ALAVOINE SAMUEL"/>
    <n v="10"/>
    <x v="3"/>
    <x v="0"/>
    <s v="PLAQUETTES"/>
    <s v="330x14"/>
    <n v="87"/>
  </r>
  <r>
    <d v="2025-08-22T19:08:52"/>
    <x v="3"/>
    <s v="Plaquettes de finition positives"/>
    <s v="040725"/>
    <s v="BARGEOT LUCAS"/>
    <n v="10"/>
    <x v="3"/>
    <x v="0"/>
    <s v="PLAQUETTES"/>
    <s v="330x14"/>
    <n v="87"/>
  </r>
  <r>
    <d v="2025-08-22T23:47:31"/>
    <x v="3"/>
    <s v="Plaquettes de finition positives"/>
    <s v="j529800"/>
    <s v="MONTCHARMONT BAPTISTE"/>
    <n v="10"/>
    <x v="3"/>
    <x v="0"/>
    <s v="PLAQUETTES"/>
    <s v="330x14"/>
    <n v="87"/>
  </r>
  <r>
    <d v="2025-08-23T07:43:29"/>
    <x v="3"/>
    <s v="Plaquettes de finition positives"/>
    <s v="U515988"/>
    <s v="BLAHA"/>
    <n v="10"/>
    <x v="3"/>
    <x v="0"/>
    <s v="PLAQUETTES"/>
    <s v="330x14"/>
    <n v="87"/>
  </r>
  <r>
    <d v="2025-08-23T11:19:04"/>
    <x v="3"/>
    <s v="Plaquettes de finition positives"/>
    <s v="U080365"/>
    <s v="ALAVOINE SAMUEL"/>
    <n v="10"/>
    <x v="3"/>
    <x v="0"/>
    <s v="PLAQUETTES"/>
    <s v="330x14"/>
    <n v="87"/>
  </r>
  <r>
    <d v="2025-08-25T15:21:06"/>
    <x v="3"/>
    <s v="Plaquettes de finition positives"/>
    <s v="040725"/>
    <s v="BARGEOT LUCAS"/>
    <n v="10"/>
    <x v="3"/>
    <x v="0"/>
    <s v="PLAQUETTES"/>
    <s v="330x14"/>
    <n v="87"/>
  </r>
  <r>
    <d v="2025-08-25T23:52:49"/>
    <x v="3"/>
    <s v="Plaquettes de finition positives"/>
    <s v="j529800"/>
    <s v="MONTCHARMONT BAPTISTE"/>
    <n v="10"/>
    <x v="3"/>
    <x v="0"/>
    <s v="PLAQUETTES"/>
    <s v="330x14"/>
    <n v="87"/>
  </r>
  <r>
    <d v="2025-08-26T06:16:05"/>
    <x v="3"/>
    <s v="Plaquettes de finition positives"/>
    <s v="U505000"/>
    <s v="RECEVEUR BENOIT"/>
    <n v="10"/>
    <x v="3"/>
    <x v="0"/>
    <s v="PLAQUETTES"/>
    <s v="330x14"/>
    <n v="87"/>
  </r>
  <r>
    <d v="2025-08-26T23:11:13"/>
    <x v="3"/>
    <s v="Plaquettes de finition positives"/>
    <s v="j529800"/>
    <s v="MONTCHARMONT BAPTISTE"/>
    <n v="10"/>
    <x v="3"/>
    <x v="0"/>
    <s v="PLAQUETTES"/>
    <s v="330x14"/>
    <n v="87"/>
  </r>
  <r>
    <d v="2025-08-29T19:19:05"/>
    <x v="3"/>
    <s v="Plaquettes de finition positives"/>
    <s v="040725"/>
    <s v="BARGEOT LUCAS"/>
    <n v="10"/>
    <x v="3"/>
    <x v="0"/>
    <s v="PLAQUETTES"/>
    <s v="330x14"/>
    <n v="87"/>
  </r>
  <r>
    <d v="2025-08-30T02:32:30"/>
    <x v="3"/>
    <s v="Plaquettes de finition positives"/>
    <s v="j529800"/>
    <s v="MONTCHARMONT BAPTISTE"/>
    <n v="10"/>
    <x v="3"/>
    <x v="0"/>
    <s v="PLAQUETTES"/>
    <s v="330x14"/>
    <n v="87"/>
  </r>
  <r>
    <d v="2025-08-30T11:25:38"/>
    <x v="3"/>
    <s v="Plaquettes de finition positives"/>
    <s v="U080365"/>
    <s v="ALAVOINE SAMUEL"/>
    <n v="10"/>
    <x v="3"/>
    <x v="0"/>
    <s v="PLAQUETTES"/>
    <s v="330x14"/>
    <n v="87"/>
  </r>
  <r>
    <d v="2025-09-01T03:14:31"/>
    <x v="3"/>
    <s v="Plaquettes de finition positives"/>
    <s v="u080365"/>
    <s v="ALAVOINE SAMUEL"/>
    <n v="10"/>
    <x v="3"/>
    <x v="0"/>
    <s v="PLAQUETTES"/>
    <s v="330x14"/>
    <n v="87"/>
  </r>
  <r>
    <d v="2025-09-01T06:41:21"/>
    <x v="3"/>
    <s v="Plaquettes de finition positives"/>
    <s v="J609988"/>
    <s v="AMALRIC VINCENT"/>
    <n v="10"/>
    <x v="3"/>
    <x v="0"/>
    <s v="PLAQUETTES"/>
    <s v="330x14"/>
    <n v="87"/>
  </r>
  <r>
    <d v="2025-09-02T09:15:17"/>
    <x v="3"/>
    <s v="Plaquettes de finition positives"/>
    <s v="040725"/>
    <s v="BARGEOT LUCAS"/>
    <n v="10"/>
    <x v="3"/>
    <x v="0"/>
    <s v="PLAQUETTES"/>
    <s v="330x14"/>
    <n v="87"/>
  </r>
  <r>
    <d v="2025-09-02T21:20:45"/>
    <x v="3"/>
    <s v="Plaquettes de finition positives"/>
    <s v="j529800"/>
    <s v="MONTCHARMONT BAPTISTE"/>
    <n v="10"/>
    <x v="3"/>
    <x v="0"/>
    <s v="PLAQUETTES"/>
    <s v="330x14"/>
    <n v="87"/>
  </r>
  <r>
    <d v="2025-09-03T06:25:10"/>
    <x v="3"/>
    <s v="Plaquettes de finition positives"/>
    <s v="040725"/>
    <s v="BARGEOT LUCAS"/>
    <n v="10"/>
    <x v="3"/>
    <x v="0"/>
    <s v="PLAQUETTES"/>
    <s v="330x14"/>
    <n v="87"/>
  </r>
  <r>
    <d v="2025-09-04T03:31:46"/>
    <x v="3"/>
    <s v="Plaquettes de finition positives"/>
    <s v="j529800"/>
    <s v="MONTCHARMONT BAPTISTE"/>
    <n v="10"/>
    <x v="3"/>
    <x v="0"/>
    <s v="PLAQUETTES"/>
    <s v="330x14"/>
    <n v="87"/>
  </r>
  <r>
    <d v="2025-09-08T23:24:22"/>
    <x v="3"/>
    <s v="Plaquettes de finition positives"/>
    <s v="j529800"/>
    <s v="MONTCHARMONT BAPTISTE"/>
    <n v="10"/>
    <x v="3"/>
    <x v="0"/>
    <s v="PLAQUETTES"/>
    <s v="330x14"/>
    <n v="87"/>
  </r>
  <r>
    <d v="2025-09-09T13:41:01"/>
    <x v="3"/>
    <s v="Plaquettes de finition positives"/>
    <s v="040725"/>
    <s v="BARGEOT LUCAS"/>
    <n v="10"/>
    <x v="3"/>
    <x v="0"/>
    <s v="PLAQUETTES"/>
    <s v="330x14"/>
    <n v="87"/>
  </r>
  <r>
    <d v="2025-09-09T21:40:50"/>
    <x v="3"/>
    <s v="Plaquettes de finition positives"/>
    <s v="j529800"/>
    <s v="MONTCHARMONT BAPTISTE"/>
    <n v="10"/>
    <x v="3"/>
    <x v="0"/>
    <s v="PLAQUETTES"/>
    <s v="330x14"/>
    <n v="87"/>
  </r>
  <r>
    <d v="2025-09-10T16:13:53"/>
    <x v="3"/>
    <s v="Plaquettes de finition positives"/>
    <s v="040725"/>
    <s v="BARGEOT LUCAS"/>
    <n v="10"/>
    <x v="3"/>
    <x v="0"/>
    <s v="PLAQUETTES"/>
    <s v="330x14"/>
    <n v="87"/>
  </r>
  <r>
    <d v="2025-09-11T02:24:03"/>
    <x v="3"/>
    <s v="Plaquettes de finition positives"/>
    <s v="j529800"/>
    <s v="MONTCHARMONT BAPTISTE"/>
    <n v="10"/>
    <x v="3"/>
    <x v="0"/>
    <s v="PLAQUETTES"/>
    <s v="330x14"/>
    <n v="87"/>
  </r>
  <r>
    <d v="2025-09-11T13:46:29"/>
    <x v="3"/>
    <s v="Plaquettes de finition positives"/>
    <s v="040725"/>
    <s v="BARGEOT LUCAS"/>
    <n v="10"/>
    <x v="0"/>
    <x v="0"/>
    <s v="PLAQUETTES"/>
    <s v="330x14"/>
    <n v="87"/>
  </r>
  <r>
    <d v="2025-09-12T00:04:16"/>
    <x v="3"/>
    <s v="Plaquettes de finition positives"/>
    <s v="j529800"/>
    <s v="MONTCHARMONT BAPTISTE"/>
    <n v="10"/>
    <x v="3"/>
    <x v="0"/>
    <s v="PLAQUETTES"/>
    <s v="330x14"/>
    <n v="87"/>
  </r>
  <r>
    <d v="2025-09-12T13:10:04"/>
    <x v="3"/>
    <s v="Plaquettes de finition positives"/>
    <s v="040725"/>
    <s v="BARGEOT LUCAS"/>
    <n v="10"/>
    <x v="3"/>
    <x v="0"/>
    <s v="PLAQUETTES"/>
    <s v="330x14"/>
    <n v="87"/>
  </r>
  <r>
    <d v="2025-09-12T21:17:35"/>
    <x v="3"/>
    <s v="Plaquettes de finition positives"/>
    <s v="j529800"/>
    <s v="MONTCHARMONT BAPTISTE"/>
    <n v="10"/>
    <x v="3"/>
    <x v="0"/>
    <s v="PLAQUETTES"/>
    <s v="330x14"/>
    <n v="87"/>
  </r>
  <r>
    <d v="2025-09-13T08:44:50"/>
    <x v="3"/>
    <s v="Plaquettes de finition positives"/>
    <s v="U109136"/>
    <s v="WIPLIE FREDERIC"/>
    <n v="10"/>
    <x v="3"/>
    <x v="0"/>
    <s v="PLAQUETTES"/>
    <s v="290x12"/>
    <n v="87"/>
  </r>
  <r>
    <d v="2025-09-15T00:38:06"/>
    <x v="3"/>
    <s v="Plaquettes de finition positives"/>
    <s v="U109136"/>
    <s v="WIPLIE FREDERIC"/>
    <n v="10"/>
    <x v="3"/>
    <x v="0"/>
    <s v="PLAQUETTES"/>
    <s v="330x14"/>
    <n v="87"/>
  </r>
  <r>
    <d v="2025-09-15T21:19:35"/>
    <x v="3"/>
    <s v="Plaquettes de finition positives"/>
    <s v="j529800"/>
    <s v="MONTCHARMONT BAPTISTE"/>
    <n v="10"/>
    <x v="3"/>
    <x v="0"/>
    <s v="PLAQUETTES"/>
    <s v="290x12"/>
    <n v="87"/>
  </r>
  <r>
    <d v="2025-09-16T17:43:12"/>
    <x v="3"/>
    <s v="Plaquettes de finition positives"/>
    <s v="101224"/>
    <s v="CHAZEAU KYLIAN"/>
    <n v="10"/>
    <x v="3"/>
    <x v="0"/>
    <s v="PLAQUETTES"/>
    <s v="290x12"/>
    <n v="87"/>
  </r>
  <r>
    <d v="2025-09-17T19:16:38"/>
    <x v="3"/>
    <s v="Plaquettes de finition positives"/>
    <s v="101224"/>
    <s v="CHAZEAU KYLIAN"/>
    <n v="10"/>
    <x v="3"/>
    <x v="0"/>
    <s v="PLAQUETTES"/>
    <s v="290x12"/>
    <n v="87"/>
  </r>
  <r>
    <d v="2025-09-17T21:11:46"/>
    <x v="3"/>
    <s v="Plaquettes de finition positives"/>
    <s v="j529800"/>
    <s v="MONTCHARMONT BAPTISTE"/>
    <n v="10"/>
    <x v="3"/>
    <x v="0"/>
    <s v="PLAQUETTES"/>
    <s v="290x12"/>
    <n v="87"/>
  </r>
  <r>
    <d v="2025-09-18T05:30:35"/>
    <x v="3"/>
    <s v="Plaquettes de finition positives"/>
    <s v="040725"/>
    <s v="BARGEOT LUCAS"/>
    <n v="10"/>
    <x v="3"/>
    <x v="0"/>
    <s v="PLAQUETTES"/>
    <s v="290x12"/>
    <n v="87"/>
  </r>
  <r>
    <d v="2025-09-18T05:31:06"/>
    <x v="3"/>
    <s v="Plaquettes de finition positives"/>
    <s v="040725"/>
    <s v="BARGEOT LUCAS"/>
    <n v="10"/>
    <x v="3"/>
    <x v="0"/>
    <s v="PLAQUETTES"/>
    <s v="290x12"/>
    <n v="87"/>
  </r>
  <r>
    <d v="2025-09-19T17:33:01"/>
    <x v="3"/>
    <s v="Plaquettes de finition positives"/>
    <s v="101224"/>
    <s v="CHAZEAU KYLIAN"/>
    <n v="10"/>
    <x v="3"/>
    <x v="0"/>
    <s v="PLAQUETTES"/>
    <s v="290x12"/>
    <n v="87"/>
  </r>
  <r>
    <d v="2025-09-21T20:13:43"/>
    <x v="3"/>
    <s v="Plaquettes de finition positives"/>
    <s v="150725"/>
    <s v="ADOUL WASSIM"/>
    <n v="10"/>
    <x v="3"/>
    <x v="0"/>
    <s v="PLAQUETTES"/>
    <s v="290x12"/>
    <n v="87"/>
  </r>
  <r>
    <d v="2025-09-22T16:55:35"/>
    <x v="3"/>
    <s v="Plaquettes de finition positives"/>
    <s v="040725"/>
    <s v="BARGEOT LUCAS"/>
    <n v="10"/>
    <x v="3"/>
    <x v="0"/>
    <s v="PLAQUETTES"/>
    <s v="290x12"/>
    <n v="87"/>
  </r>
  <r>
    <d v="2025-09-23T05:04:33"/>
    <x v="3"/>
    <s v="Plaquettes de finition positives"/>
    <s v="101224"/>
    <s v="CHAZEAU KYLIAN"/>
    <n v="10"/>
    <x v="3"/>
    <x v="0"/>
    <s v="PLAQUETTES"/>
    <s v="290x12"/>
    <n v="87"/>
  </r>
  <r>
    <d v="2025-09-24T03:22:18"/>
    <x v="3"/>
    <s v="Plaquettes de finition positives"/>
    <s v="j529800"/>
    <s v="MONTCHARMONT BAPTISTE"/>
    <n v="10"/>
    <x v="0"/>
    <x v="0"/>
    <s v="PLAQUETTES"/>
    <s v="290x12"/>
    <n v="87"/>
  </r>
  <r>
    <d v="2025-09-27T09:42:28"/>
    <x v="3"/>
    <s v="Plaquettes de finition positives"/>
    <s v="U109136"/>
    <s v="WIPLIE FREDERIC"/>
    <n v="10"/>
    <x v="3"/>
    <x v="0"/>
    <s v="PLAQUETTES"/>
    <s v="330x14"/>
    <n v="87"/>
  </r>
  <r>
    <d v="2025-09-29T05:28:20"/>
    <x v="3"/>
    <s v="Plaquettes de finition positives"/>
    <s v="SD75051"/>
    <s v="COMBALUZIER LUCAS"/>
    <n v="10"/>
    <x v="3"/>
    <x v="0"/>
    <s v="PLAQUETTES"/>
    <s v="330x14"/>
    <n v="87"/>
  </r>
  <r>
    <d v="2025-09-29T21:22:51"/>
    <x v="3"/>
    <s v="Plaquettes de finition positives"/>
    <s v="j529800"/>
    <s v="MONTCHARMONT BAPTISTE"/>
    <n v="10"/>
    <x v="3"/>
    <x v="0"/>
    <s v="PLAQUETTES"/>
    <s v="330x14"/>
    <n v="87"/>
  </r>
  <r>
    <d v="2025-09-29T21:23:09"/>
    <x v="3"/>
    <s v="Plaquettes de finition positives"/>
    <s v="j529800"/>
    <s v="MONTCHARMONT BAPTISTE"/>
    <n v="10"/>
    <x v="3"/>
    <x v="0"/>
    <s v="PLAQUETTES"/>
    <s v="330x14"/>
    <n v="87"/>
  </r>
  <r>
    <d v="2025-09-30T19:44:00"/>
    <x v="3"/>
    <s v="Plaquettes de finition positives"/>
    <s v="101224"/>
    <s v="CHAZEAU KYLIAN"/>
    <n v="10"/>
    <x v="3"/>
    <x v="0"/>
    <s v="PLAQUETTES"/>
    <s v="330x14"/>
    <n v="87"/>
  </r>
  <r>
    <d v="2025-09-30T21:25:44"/>
    <x v="3"/>
    <s v="Plaquettes de finition positives"/>
    <s v="j529800"/>
    <s v="MONTCHARMONT BAPTISTE"/>
    <n v="10"/>
    <x v="3"/>
    <x v="0"/>
    <s v="PLAQUETTES"/>
    <s v="330x14"/>
    <n v="87"/>
  </r>
  <r>
    <d v="2025-10-01T22:21:40"/>
    <x v="3"/>
    <s v="Plaquettes de finition positives"/>
    <s v="j529800"/>
    <s v="MONTCHARMONT BAPTISTE"/>
    <n v="10"/>
    <x v="3"/>
    <x v="0"/>
    <s v="PLAQUETTES"/>
    <s v="330x14"/>
    <n v="87"/>
  </r>
  <r>
    <d v="2025-10-02T07:54:29"/>
    <x v="3"/>
    <s v="Plaquettes de finition positives"/>
    <s v="040725"/>
    <s v="BARGEOT LUCAS"/>
    <n v="10"/>
    <x v="3"/>
    <x v="0"/>
    <s v="PLAQUETTES"/>
    <s v="330x14"/>
    <n v="87"/>
  </r>
  <r>
    <d v="2025-10-02T21:46:16"/>
    <x v="3"/>
    <s v="Plaquettes de finition positives"/>
    <s v="j529800"/>
    <s v="MONTCHARMONT BAPTISTE"/>
    <n v="10"/>
    <x v="3"/>
    <x v="0"/>
    <s v="PLAQUETTES"/>
    <s v="330x14"/>
    <n v="87"/>
  </r>
  <r>
    <d v="2025-10-03T15:07:40"/>
    <x v="3"/>
    <s v="Plaquettes de finition positives"/>
    <s v="101224"/>
    <s v="CHAZEAU KYLIAN"/>
    <n v="10"/>
    <x v="3"/>
    <x v="0"/>
    <s v="PLAQUETTES"/>
    <s v="330x14"/>
    <n v="87"/>
  </r>
  <r>
    <d v="2025-10-08T01:07:44"/>
    <x v="3"/>
    <s v="Plaquettes de finition positives"/>
    <s v="j529800"/>
    <s v="MONTCHARMONT BAPTISTE"/>
    <n v="10"/>
    <x v="3"/>
    <x v="0"/>
    <s v="PLAQUETTES"/>
    <s v="330x14"/>
    <n v="87"/>
  </r>
  <r>
    <d v="2025-10-13T21:31:52"/>
    <x v="3"/>
    <s v="Plaquettes de finition positives"/>
    <s v="130325"/>
    <s v="PAPONNEAU JULIEN"/>
    <n v="10"/>
    <x v="0"/>
    <x v="0"/>
    <s v="PLAQUETTES"/>
    <s v="290x12"/>
    <n v="87"/>
  </r>
  <r>
    <d v="2025-10-20T07:44:42"/>
    <x v="3"/>
    <s v="Plaquettes de finition positives"/>
    <s v="101224"/>
    <s v="CHAZEAU KYLIAN"/>
    <n v="10"/>
    <x v="3"/>
    <x v="0"/>
    <s v="PLAQUETTES"/>
    <s v="330x14"/>
    <n v="87"/>
  </r>
  <r>
    <d v="2025-10-20T21:18:53"/>
    <x v="3"/>
    <s v="Plaquettes de finition positives"/>
    <s v="j529800"/>
    <s v="MONTCHARMONT BAPTISTE"/>
    <n v="10"/>
    <x v="3"/>
    <x v="0"/>
    <s v="PLAQUETTES"/>
    <s v="330x14"/>
    <n v="87"/>
  </r>
  <r>
    <d v="2025-10-20T21:19:06"/>
    <x v="3"/>
    <s v="Plaquettes de finition positives"/>
    <s v="j529800"/>
    <s v="MONTCHARMONT BAPTISTE"/>
    <n v="10"/>
    <x v="0"/>
    <x v="0"/>
    <s v="PLAQUETTES"/>
    <s v="330x14"/>
    <n v="87"/>
  </r>
  <r>
    <d v="2025-10-21T10:20:52"/>
    <x v="3"/>
    <s v="Plaquettes de finition positives"/>
    <s v="101224"/>
    <s v="CHAZEAU KYLIAN"/>
    <n v="10"/>
    <x v="3"/>
    <x v="0"/>
    <s v="PLAQUETTES"/>
    <s v="330x14"/>
    <n v="87"/>
  </r>
  <r>
    <d v="2025-10-21T19:34:28"/>
    <x v="3"/>
    <s v="Plaquettes de finition positives"/>
    <s v="040725"/>
    <s v="BARGEOT LUCAS"/>
    <n v="10"/>
    <x v="3"/>
    <x v="0"/>
    <s v="PLAQUETTES"/>
    <s v="330x14"/>
    <n v="87"/>
  </r>
  <r>
    <d v="2025-10-22T15:49:30"/>
    <x v="3"/>
    <s v="Plaquettes de finition positives"/>
    <s v="040725"/>
    <s v="BARGEOT LUCAS"/>
    <n v="10"/>
    <x v="3"/>
    <x v="0"/>
    <s v="PLAQUETTES"/>
    <s v="330x14"/>
    <n v="87"/>
  </r>
  <r>
    <d v="2025-10-22T21:48:02"/>
    <x v="3"/>
    <s v="Plaquettes de finition positives"/>
    <s v="j529800"/>
    <s v="MONTCHARMONT BAPTISTE"/>
    <n v="10"/>
    <x v="3"/>
    <x v="0"/>
    <s v="PLAQUETTES"/>
    <s v="330x14"/>
    <n v="87"/>
  </r>
  <r>
    <d v="2025-10-23T03:27:52"/>
    <x v="3"/>
    <s v="Plaquettes de finition positives"/>
    <s v="j529800"/>
    <s v="MONTCHARMONT BAPTISTE"/>
    <n v="10"/>
    <x v="3"/>
    <x v="0"/>
    <s v="PLAQUETTES"/>
    <s v="330x14"/>
    <n v="87"/>
  </r>
  <r>
    <d v="2025-10-23T14:26:11"/>
    <x v="3"/>
    <s v="Plaquettes de finition positives"/>
    <s v="040725"/>
    <s v="BARGEOT LUCAS"/>
    <n v="10"/>
    <x v="3"/>
    <x v="0"/>
    <s v="PLAQUETTES"/>
    <s v="330x14"/>
    <n v="87"/>
  </r>
  <r>
    <d v="2025-11-04T21:20:44"/>
    <x v="3"/>
    <s v="Plaquettes de finition positives"/>
    <s v="j529800"/>
    <s v="MONTCHARMONT BAPTISTE"/>
    <n v="10"/>
    <x v="3"/>
    <x v="0"/>
    <s v="PLAQUETTES"/>
    <s v="330x14"/>
    <n v="87"/>
  </r>
  <r>
    <d v="2025-11-06T21:31:34"/>
    <x v="3"/>
    <s v="Plaquettes de finition positives"/>
    <s v="j529800"/>
    <s v="MONTCHARMONT BAPTISTE"/>
    <n v="10"/>
    <x v="3"/>
    <x v="0"/>
    <s v="PLAQUETTES"/>
    <s v="330x14"/>
    <n v="87"/>
  </r>
  <r>
    <d v="2025-11-07T01:50:47"/>
    <x v="3"/>
    <s v="Plaquettes de finition positives"/>
    <s v="j529800"/>
    <s v="MONTCHARMONT BAPTISTE"/>
    <n v="10"/>
    <x v="3"/>
    <x v="0"/>
    <s v="PLAQUETTES"/>
    <s v="330x14"/>
    <n v="87"/>
  </r>
  <r>
    <d v="2025-11-07T21:22:19"/>
    <x v="3"/>
    <s v="Plaquettes de finition positives"/>
    <s v="j529800"/>
    <s v="MONTCHARMONT BAPTISTE"/>
    <n v="10"/>
    <x v="3"/>
    <x v="0"/>
    <s v="PLAQUETTES"/>
    <s v="330x14"/>
    <n v="87"/>
  </r>
  <r>
    <d v="2025-11-08T11:16:23"/>
    <x v="3"/>
    <s v="Plaquettes de finition positives"/>
    <s v="DELIAT C"/>
    <s v="DELIAT CHRISTOPHE"/>
    <n v="10"/>
    <x v="3"/>
    <x v="0"/>
    <s v="PLAQUETTES"/>
    <s v="330x14"/>
    <n v="87"/>
  </r>
  <r>
    <d v="2025-11-09T04:08:00"/>
    <x v="3"/>
    <s v="Plaquettes de finition positives"/>
    <s v="150725"/>
    <s v="ADOUL WASSIM"/>
    <n v="10"/>
    <x v="3"/>
    <x v="0"/>
    <s v="PLAQUETTES"/>
    <s v="330x14"/>
    <n v="87"/>
  </r>
  <r>
    <d v="2025-11-09T06:56:42"/>
    <x v="3"/>
    <s v="Plaquettes de finition positives"/>
    <s v="U080365"/>
    <s v="ALAVOINE SAMUEL"/>
    <n v="10"/>
    <x v="3"/>
    <x v="0"/>
    <s v="PLAQUETTES"/>
    <s v="330x14"/>
    <n v="87"/>
  </r>
  <r>
    <d v="2025-11-10T05:41:00"/>
    <x v="3"/>
    <s v="Plaquettes de finition positives"/>
    <s v="040725"/>
    <s v="BARGEOT LUCAS"/>
    <n v="10"/>
    <x v="3"/>
    <x v="0"/>
    <s v="PLAQUETTES"/>
    <s v="330x14"/>
    <n v="87"/>
  </r>
  <r>
    <d v="2025-11-10T18:46:01"/>
    <x v="3"/>
    <s v="Plaquettes de finition positives"/>
    <s v="04551FC25C7780"/>
    <s v="CHEDRU VIANNEY"/>
    <n v="10"/>
    <x v="3"/>
    <x v="0"/>
    <s v="PLAQUETTES"/>
    <s v="330x14"/>
    <n v="87"/>
  </r>
  <r>
    <d v="2025-11-12T06:28:59"/>
    <x v="3"/>
    <s v="Plaquettes de finition positives"/>
    <s v="040725"/>
    <s v="BARGEOT LUCAS"/>
    <n v="10"/>
    <x v="3"/>
    <x v="0"/>
    <s v="PLAQUETTES"/>
    <s v="330x14"/>
    <n v="87"/>
  </r>
  <r>
    <d v="2025-11-18T15:38:08"/>
    <x v="3"/>
    <s v="Plaquettes de finition positives"/>
    <s v="040725"/>
    <s v="BARGEOT LUCAS"/>
    <n v="10"/>
    <x v="3"/>
    <x v="0"/>
    <s v="PLAQUETTES"/>
    <s v="330x14"/>
    <n v="87"/>
  </r>
  <r>
    <d v="2025-11-19T03:04:41"/>
    <x v="3"/>
    <s v="Plaquettes de finition positives"/>
    <s v="j529800"/>
    <s v="MONTCHARMONT BAPTISTE"/>
    <n v="10"/>
    <x v="3"/>
    <x v="0"/>
    <s v="PLAQUETTES"/>
    <s v="330x14"/>
    <n v="87"/>
  </r>
  <r>
    <d v="2025-11-19T08:40:35"/>
    <x v="3"/>
    <s v="Plaquettes de finition positives"/>
    <s v="12824586"/>
    <s v="DA SILVA FERNANDO"/>
    <n v="10"/>
    <x v="1"/>
    <x v="0"/>
    <s v="PLAQUETTES"/>
    <s v="TOUT DISQUES"/>
    <n v="87"/>
  </r>
  <r>
    <d v="2025-11-20T02:15:01"/>
    <x v="3"/>
    <s v="Plaquettes de finition positives"/>
    <s v="j529800"/>
    <s v="MONTCHARMONT BAPTISTE"/>
    <n v="10"/>
    <x v="3"/>
    <x v="0"/>
    <s v="PLAQUETTES"/>
    <s v="330x14"/>
    <n v="87"/>
  </r>
  <r>
    <d v="2025-11-20T12:47:41"/>
    <x v="3"/>
    <s v="Plaquettes de finition positives"/>
    <s v="04551FC25C7780"/>
    <s v="CHEDRU VIANNEY"/>
    <n v="10"/>
    <x v="3"/>
    <x v="0"/>
    <s v="PLAQUETTES"/>
    <s v="330x14"/>
    <n v="87"/>
  </r>
  <r>
    <d v="2025-12-09T14:36:37"/>
    <x v="3"/>
    <s v="Plaquettes de finition positives"/>
    <s v="04551FC25C7780"/>
    <s v="CHEDRU VIANNEY"/>
    <n v="10"/>
    <x v="3"/>
    <x v="0"/>
    <s v="PLAQUETTES"/>
    <s v="330x14"/>
    <n v="87"/>
  </r>
  <r>
    <d v="2025-12-09T23:53:42"/>
    <x v="3"/>
    <s v="Plaquettes de finition positives"/>
    <s v="j529800"/>
    <s v="MONTCHARMONT BAPTISTE"/>
    <n v="10"/>
    <x v="0"/>
    <x v="0"/>
    <s v="PLAQUETTES"/>
    <s v="330x14"/>
    <n v="87"/>
  </r>
  <r>
    <d v="2025-12-10T15:16:12"/>
    <x v="3"/>
    <s v="Plaquettes de finition positives"/>
    <s v="04551FC25C7780"/>
    <s v="CHEDRU VIANNEY"/>
    <n v="10"/>
    <x v="3"/>
    <x v="0"/>
    <s v="PLAQUETTES"/>
    <s v="330x14"/>
    <n v="87"/>
  </r>
  <r>
    <d v="2025-12-10T18:10:58"/>
    <x v="3"/>
    <s v="Plaquettes de finition positives"/>
    <s v="04551FC25C7780"/>
    <s v="CHEDRU VIANNEY"/>
    <n v="10"/>
    <x v="3"/>
    <x v="0"/>
    <s v="PLAQUETTES"/>
    <s v="330x14"/>
    <n v="87"/>
  </r>
  <r>
    <d v="2025-12-11T05:46:30"/>
    <x v="3"/>
    <s v="Plaquettes de finition positives"/>
    <s v="040725"/>
    <s v="BARGEOT LUCAS"/>
    <n v="10"/>
    <x v="3"/>
    <x v="0"/>
    <s v="PLAQUETTES"/>
    <s v="330x14"/>
    <n v="87"/>
  </r>
  <r>
    <d v="2025-12-16T22:50:44"/>
    <x v="3"/>
    <s v="Plaquettes de finition positives"/>
    <s v="j529800"/>
    <s v="MONTCHARMONT BAPTISTE"/>
    <n v="10"/>
    <x v="0"/>
    <x v="0"/>
    <s v="PLAQUETTES"/>
    <s v="330x14"/>
    <n v="87"/>
  </r>
  <r>
    <d v="2025-12-17T03:21:55"/>
    <x v="3"/>
    <s v="Plaquettes de finition positives"/>
    <s v="j529800"/>
    <s v="MONTCHARMONT BAPTISTE"/>
    <n v="10"/>
    <x v="0"/>
    <x v="0"/>
    <s v="PLAQUETTES"/>
    <s v="330x14"/>
    <n v="87"/>
  </r>
  <r>
    <d v="2025-12-17T21:15:45"/>
    <x v="3"/>
    <s v="Plaquettes de finition positives"/>
    <s v="j529800"/>
    <s v="MONTCHARMONT BAPTISTE"/>
    <n v="10"/>
    <x v="0"/>
    <x v="0"/>
    <s v="PLAQUETTES"/>
    <s v="330x14"/>
    <n v="87"/>
  </r>
  <r>
    <d v="2025-12-18T14:29:10"/>
    <x v="3"/>
    <s v="Plaquettes de finition positives"/>
    <s v="040725"/>
    <s v="BARGEOT LUCAS"/>
    <n v="10"/>
    <x v="0"/>
    <x v="0"/>
    <s v="PLAQUETTES"/>
    <s v="330x14"/>
    <n v="87"/>
  </r>
  <r>
    <d v="2025-12-19T13:05:48"/>
    <x v="3"/>
    <s v="Plaquettes de finition positives"/>
    <s v="040725"/>
    <s v="BARGEOT LUCAS"/>
    <n v="10"/>
    <x v="0"/>
    <x v="0"/>
    <s v="PLAQUETTES"/>
    <s v="330x14"/>
    <n v="87"/>
  </r>
  <r>
    <d v="2025-12-20T04:10:31"/>
    <x v="3"/>
    <s v="Plaquettes de finition positives"/>
    <s v="j529800"/>
    <s v="MONTCHARMONT BAPTISTE"/>
    <n v="10"/>
    <x v="0"/>
    <x v="0"/>
    <s v="PLAQUETTES"/>
    <s v="330x14"/>
    <n v="87"/>
  </r>
  <r>
    <d v="2025-12-20T18:08:55"/>
    <x v="3"/>
    <s v="Plaquettes de finition positives"/>
    <s v="150725"/>
    <s v="ADOUL WASSIM"/>
    <n v="10"/>
    <x v="0"/>
    <x v="0"/>
    <s v="PLAQUETTES"/>
    <s v="330x14"/>
    <n v="87"/>
  </r>
  <r>
    <d v="2025-12-21T08:33:35"/>
    <x v="3"/>
    <s v="Plaquettes de finition positives"/>
    <s v="U080365"/>
    <s v="ALAVOINE SAMUEL"/>
    <n v="10"/>
    <x v="0"/>
    <x v="0"/>
    <s v="PLAQUETTES"/>
    <s v="330x14"/>
    <n v="87"/>
  </r>
  <r>
    <d v="2025-12-22T06:11:49"/>
    <x v="3"/>
    <s v="Plaquettes de finition positives"/>
    <s v="040725"/>
    <s v="BARGEOT LUCAS"/>
    <n v="10"/>
    <x v="0"/>
    <x v="0"/>
    <s v="PLAQUETTES"/>
    <s v="330x14"/>
    <n v="87"/>
  </r>
  <r>
    <d v="2025-12-22T21:30:22"/>
    <x v="3"/>
    <s v="Plaquettes de finition positives"/>
    <s v="j529800"/>
    <s v="MONTCHARMONT BAPTISTE"/>
    <n v="10"/>
    <x v="0"/>
    <x v="0"/>
    <s v="PLAQUETTES"/>
    <s v="330x14"/>
    <n v="87"/>
  </r>
  <r>
    <d v="2025-12-23T05:55:22"/>
    <x v="3"/>
    <s v="Plaquettes de finition positives"/>
    <s v="040725"/>
    <s v="BARGEOT LUCAS"/>
    <n v="10"/>
    <x v="0"/>
    <x v="0"/>
    <s v="PLAQUETTES"/>
    <s v="330x14"/>
    <n v="87"/>
  </r>
  <r>
    <d v="2025-01-05T19:55:20"/>
    <x v="4"/>
    <s v="Plaquettes de finition triangulaires"/>
    <s v="U080365"/>
    <s v="ALAVOINE SAMUEL"/>
    <n v="20"/>
    <x v="0"/>
    <x v="0"/>
    <s v="PLAQUETTES"/>
    <s v="290x12"/>
    <n v="237.4"/>
  </r>
  <r>
    <d v="2025-01-05T19:55:46"/>
    <x v="5"/>
    <s v="Plaquettes de finition triangulaires"/>
    <s v="U080365"/>
    <s v="ALAVOINE SAMUEL"/>
    <n v="20"/>
    <x v="0"/>
    <x v="0"/>
    <s v="PLAQUETTES"/>
    <s v="330x14"/>
    <n v="277.60000000000002"/>
  </r>
  <r>
    <d v="2025-01-09T13:30:25"/>
    <x v="4"/>
    <s v="Plaquettes de finition triangulaires"/>
    <s v="SE08251"/>
    <s v="FAYET AYMERIC"/>
    <n v="20"/>
    <x v="0"/>
    <x v="0"/>
    <s v="PLAQUETTES"/>
    <s v="290x12"/>
    <n v="237.4"/>
  </r>
  <r>
    <d v="2025-01-16T00:07:13"/>
    <x v="4"/>
    <s v="Plaquettes de finition triangulaires"/>
    <s v="101224"/>
    <s v="CHAZEAU KYLIAN"/>
    <n v="20"/>
    <x v="0"/>
    <x v="0"/>
    <s v="PLAQUETTES"/>
    <s v="290x12"/>
    <n v="237.4"/>
  </r>
  <r>
    <d v="2025-01-16T09:32:47"/>
    <x v="5"/>
    <s v="Plaquettes de finition triangulaires"/>
    <s v="SE08251"/>
    <s v="FAYET AYMERIC"/>
    <n v="10"/>
    <x v="3"/>
    <x v="0"/>
    <s v="PLAQUETTES"/>
    <s v="290x12"/>
    <n v="138.80000000000001"/>
  </r>
  <r>
    <d v="2025-01-16T23:25:18"/>
    <x v="5"/>
    <s v="Plaquettes de finition triangulaires"/>
    <s v="101224"/>
    <s v="CHAZEAU KYLIAN"/>
    <n v="10"/>
    <x v="3"/>
    <x v="0"/>
    <s v="PLAQUETTES"/>
    <s v="290x12"/>
    <n v="138.80000000000001"/>
  </r>
  <r>
    <d v="2025-01-20T15:09:17"/>
    <x v="5"/>
    <s v="Plaquettes de finition triangulaires"/>
    <s v="101224"/>
    <s v="CHAZEAU KYLIAN"/>
    <n v="10"/>
    <x v="0"/>
    <x v="0"/>
    <s v="PLAQUETTES"/>
    <s v="290x12"/>
    <n v="138.80000000000001"/>
  </r>
  <r>
    <d v="2025-01-20T15:09:38"/>
    <x v="4"/>
    <s v="Plaquettes de finition triangulaires"/>
    <s v="101224"/>
    <s v="CHAZEAU KYLIAN"/>
    <n v="10"/>
    <x v="0"/>
    <x v="0"/>
    <s v="PLAQUETTES"/>
    <s v="290x12"/>
    <n v="118.7"/>
  </r>
  <r>
    <d v="2025-01-20T23:42:16"/>
    <x v="4"/>
    <s v="Plaquettes de finition triangulaires"/>
    <s v="3224"/>
    <s v="BIDOT MURIEL"/>
    <n v="10"/>
    <x v="0"/>
    <x v="0"/>
    <s v="PLAQUETTES"/>
    <s v="290x12"/>
    <n v="118.7"/>
  </r>
  <r>
    <d v="2025-01-20T23:42:38"/>
    <x v="5"/>
    <s v="Plaquettes de finition triangulaires"/>
    <s v="3224"/>
    <s v="BIDOT MURIEL"/>
    <n v="10"/>
    <x v="3"/>
    <x v="0"/>
    <s v="PLAQUETTES"/>
    <s v="290x12"/>
    <n v="138.80000000000001"/>
  </r>
  <r>
    <d v="2025-01-22T13:15:20"/>
    <x v="4"/>
    <s v="Plaquettes de finition triangulaires"/>
    <s v="130124"/>
    <s v="MOHAMED ILDIRAY"/>
    <n v="10"/>
    <x v="1"/>
    <x v="0"/>
    <s v="PLAQUETTES"/>
    <s v="304x28 RPE"/>
    <n v="118.7"/>
  </r>
  <r>
    <d v="2025-01-25T05:41:24"/>
    <x v="4"/>
    <s v="Plaquettes de finition triangulaires"/>
    <s v="U080365"/>
    <s v="ALAVOINE SAMUEL"/>
    <n v="10"/>
    <x v="0"/>
    <x v="0"/>
    <s v="PLAQUETTES"/>
    <s v="290x12"/>
    <n v="118.7"/>
  </r>
  <r>
    <d v="2025-01-25T05:41:51"/>
    <x v="5"/>
    <s v="Plaquettes de finition triangulaires"/>
    <s v="U080365"/>
    <s v="ALAVOINE SAMUEL"/>
    <n v="10"/>
    <x v="3"/>
    <x v="0"/>
    <s v="PLAQUETTES"/>
    <s v="290x12"/>
    <n v="138.80000000000001"/>
  </r>
  <r>
    <d v="2025-01-28T05:09:04"/>
    <x v="5"/>
    <s v="Plaquettes de finition triangulaires"/>
    <s v="101224"/>
    <s v="CHAZEAU KYLIAN"/>
    <n v="10"/>
    <x v="3"/>
    <x v="0"/>
    <s v="PLAQUETTES"/>
    <s v="290x12"/>
    <n v="138.80000000000001"/>
  </r>
  <r>
    <d v="2025-01-28T05:09:33"/>
    <x v="4"/>
    <s v="Plaquettes de finition triangulaires"/>
    <s v="101224"/>
    <s v="CHAZEAU KYLIAN"/>
    <n v="10"/>
    <x v="3"/>
    <x v="0"/>
    <s v="PLAQUETTES"/>
    <s v="290x12"/>
    <n v="118.7"/>
  </r>
  <r>
    <d v="2025-01-28T05:12:42"/>
    <x v="5"/>
    <s v="Plaquettes de finition triangulaires"/>
    <s v="101224"/>
    <s v="CHAZEAU KYLIAN"/>
    <n v="10"/>
    <x v="3"/>
    <x v="0"/>
    <s v="PLAQUETTES"/>
    <s v="290x12"/>
    <n v="138.80000000000001"/>
  </r>
  <r>
    <d v="2025-01-29T19:52:17"/>
    <x v="4"/>
    <s v="Plaquettes de finition triangulaires"/>
    <s v="SE08251"/>
    <s v="FAYET AYMERIC"/>
    <n v="10"/>
    <x v="0"/>
    <x v="0"/>
    <s v="PLAQUETTES"/>
    <s v="290x12"/>
    <n v="118.7"/>
  </r>
  <r>
    <d v="2025-01-31T07:53:51"/>
    <x v="5"/>
    <s v="Plaquettes de finition triangulaires"/>
    <s v="U080365"/>
    <s v="ALAVOINE SAMUEL"/>
    <n v="10"/>
    <x v="3"/>
    <x v="0"/>
    <s v="PLAQUETTES"/>
    <s v="290x12"/>
    <n v="138.80000000000001"/>
  </r>
  <r>
    <d v="2025-01-31T13:55:16"/>
    <x v="4"/>
    <s v="Plaquettes de finition triangulaires"/>
    <s v="3224"/>
    <s v="BIDOT MURIEL"/>
    <n v="10"/>
    <x v="1"/>
    <x v="0"/>
    <s v="PLAQUETTES"/>
    <s v="356x26 RPI"/>
    <n v="118.7"/>
  </r>
  <r>
    <d v="2025-01-31T13:55:50"/>
    <x v="4"/>
    <s v="Plaquettes de finition triangulaires"/>
    <s v="3224"/>
    <s v="BIDOT MURIEL"/>
    <n v="10"/>
    <x v="1"/>
    <x v="0"/>
    <s v="PLAQUETTES"/>
    <s v="356x26 RPI"/>
    <n v="118.7"/>
  </r>
  <r>
    <d v="2025-01-31T13:56:21"/>
    <x v="4"/>
    <s v="Plaquettes de finition triangulaires"/>
    <s v="3224"/>
    <s v="BIDOT MURIEL"/>
    <n v="-10"/>
    <x v="1"/>
    <x v="0"/>
    <s v="PLAQUETTES"/>
    <s v="356x26 RPI"/>
    <n v="-118.7"/>
  </r>
  <r>
    <d v="2025-02-03T05:53:10"/>
    <x v="4"/>
    <s v="Plaquettes de finition triangulaires"/>
    <s v="3224"/>
    <s v="BIDOT MURIEL"/>
    <n v="10"/>
    <x v="0"/>
    <x v="0"/>
    <s v="PLAQUETTES"/>
    <s v="290x12"/>
    <n v="118.7"/>
  </r>
  <r>
    <d v="2025-02-03T23:04:50"/>
    <x v="5"/>
    <s v="Plaquettes de finition triangulaires"/>
    <s v="130124"/>
    <s v="MOHAMED ILDIRAY"/>
    <n v="20"/>
    <x v="0"/>
    <x v="0"/>
    <s v="PLAQUETTES"/>
    <s v="330x14"/>
    <n v="277.60000000000002"/>
  </r>
  <r>
    <d v="2025-02-04T05:19:39"/>
    <x v="4"/>
    <s v="Plaquettes de finition triangulaires"/>
    <s v="U532976"/>
    <s v="LEFORT XAVIER"/>
    <n v="10"/>
    <x v="2"/>
    <x v="3"/>
    <s v="PLAQUETTES"/>
    <s v="302x26 RPI"/>
    <n v="118.7"/>
  </r>
  <r>
    <d v="2025-02-04T20:16:11"/>
    <x v="4"/>
    <s v="Plaquettes de finition triangulaires"/>
    <s v="SC95213"/>
    <s v="RABET PAULINE"/>
    <n v="10"/>
    <x v="1"/>
    <x v="0"/>
    <s v="PLAQUETTES"/>
    <s v="356x26 RPI"/>
    <n v="118.7"/>
  </r>
  <r>
    <d v="2025-02-06T13:41:06"/>
    <x v="4"/>
    <s v="Plaquettes de finition triangulaires"/>
    <s v="7236310"/>
    <s v="BRANDALY JEREMY"/>
    <n v="10"/>
    <x v="0"/>
    <x v="0"/>
    <s v="PLAQUETTES"/>
    <s v="330x14"/>
    <n v="118.7"/>
  </r>
  <r>
    <d v="2025-02-06T22:23:18"/>
    <x v="5"/>
    <s v="Plaquettes de finition triangulaires"/>
    <s v="101224"/>
    <s v="CHAZEAU KYLIAN"/>
    <n v="10"/>
    <x v="3"/>
    <x v="0"/>
    <s v="PLAQUETTES"/>
    <s v="290x12"/>
    <n v="138.80000000000001"/>
  </r>
  <r>
    <d v="2025-02-06T22:23:38"/>
    <x v="4"/>
    <s v="Plaquettes de finition triangulaires"/>
    <s v="101224"/>
    <s v="CHAZEAU KYLIAN"/>
    <n v="10"/>
    <x v="3"/>
    <x v="0"/>
    <s v="PLAQUETTES"/>
    <s v="290x12"/>
    <n v="118.7"/>
  </r>
  <r>
    <d v="2025-02-08T14:23:36"/>
    <x v="4"/>
    <s v="Plaquettes de finition triangulaires"/>
    <s v="U080365"/>
    <s v="ALAVOINE SAMUEL"/>
    <n v="10"/>
    <x v="1"/>
    <x v="0"/>
    <s v="PLAQUETTES"/>
    <s v="356x26 RPI"/>
    <n v="118.7"/>
  </r>
  <r>
    <d v="2025-02-09T09:14:20"/>
    <x v="5"/>
    <s v="Plaquettes de finition triangulaires"/>
    <s v="SC95213"/>
    <s v="RABET PAULINE"/>
    <n v="10"/>
    <x v="0"/>
    <x v="0"/>
    <s v="PLAQUETTES"/>
    <s v="290x12"/>
    <n v="138.80000000000001"/>
  </r>
  <r>
    <d v="2025-02-10T10:42:30"/>
    <x v="4"/>
    <s v="Plaquettes de finition triangulaires"/>
    <s v="7236310"/>
    <s v="BRANDALY JEREMY"/>
    <n v="10"/>
    <x v="0"/>
    <x v="0"/>
    <s v="PLAQUETTES"/>
    <s v="290x12"/>
    <n v="118.7"/>
  </r>
  <r>
    <d v="2025-02-10T22:56:33"/>
    <x v="5"/>
    <s v="Plaquettes de finition triangulaires"/>
    <s v="SE08251"/>
    <s v="FAYET AYMERIC"/>
    <n v="10"/>
    <x v="3"/>
    <x v="0"/>
    <s v="PLAQUETTES"/>
    <s v="290x12"/>
    <n v="138.80000000000001"/>
  </r>
  <r>
    <d v="2025-02-10T22:56:56"/>
    <x v="4"/>
    <s v="Plaquettes de finition triangulaires"/>
    <s v="SE08251"/>
    <s v="FAYET AYMERIC"/>
    <n v="10"/>
    <x v="3"/>
    <x v="0"/>
    <s v="PLAQUETTES"/>
    <s v="290x12"/>
    <n v="118.7"/>
  </r>
  <r>
    <d v="2025-02-11T19:53:04"/>
    <x v="4"/>
    <s v="Plaquettes de finition triangulaires"/>
    <s v="130124"/>
    <s v="MOHAMED ILDIRAY"/>
    <n v="10"/>
    <x v="1"/>
    <x v="0"/>
    <s v="PLAQUETTES"/>
    <s v="356x26 RPI"/>
    <n v="118.7"/>
  </r>
  <r>
    <d v="2025-02-13T22:31:22"/>
    <x v="5"/>
    <s v="Plaquettes de finition triangulaires"/>
    <s v="SE08251"/>
    <s v="FAYET AYMERIC"/>
    <n v="10"/>
    <x v="0"/>
    <x v="0"/>
    <s v="PLAQUETTES"/>
    <s v="330x14"/>
    <n v="138.80000000000001"/>
  </r>
  <r>
    <d v="2025-02-13T22:31:44"/>
    <x v="4"/>
    <s v="Plaquettes de finition triangulaires"/>
    <s v="SE08251"/>
    <s v="FAYET AYMERIC"/>
    <n v="10"/>
    <x v="0"/>
    <x v="0"/>
    <s v="PLAQUETTES"/>
    <s v="330x14"/>
    <n v="118.7"/>
  </r>
  <r>
    <d v="2025-02-16T23:47:00"/>
    <x v="4"/>
    <s v="Plaquettes de finition triangulaires"/>
    <s v="U109136"/>
    <s v="WIPLIE FREDERIC"/>
    <n v="10"/>
    <x v="1"/>
    <x v="0"/>
    <s v="PLAQUETTES"/>
    <s v="304x28 RPE"/>
    <n v="118.7"/>
  </r>
  <r>
    <d v="2025-02-17T11:34:45"/>
    <x v="5"/>
    <s v="Plaquettes de finition triangulaires"/>
    <s v="101224"/>
    <s v="CHAZEAU KYLIAN"/>
    <n v="10"/>
    <x v="3"/>
    <x v="0"/>
    <s v="PLAQUETTES"/>
    <s v="290x12"/>
    <n v="138.80000000000001"/>
  </r>
  <r>
    <d v="2025-02-17T11:35:04"/>
    <x v="4"/>
    <s v="Plaquettes de finition triangulaires"/>
    <s v="101224"/>
    <s v="CHAZEAU KYLIAN"/>
    <n v="10"/>
    <x v="3"/>
    <x v="0"/>
    <s v="PLAQUETTES"/>
    <s v="290x12"/>
    <n v="118.7"/>
  </r>
  <r>
    <d v="2025-02-18T05:14:51"/>
    <x v="5"/>
    <s v="Plaquettes de finition triangulaires"/>
    <s v="101224"/>
    <s v="CHAZEAU KYLIAN"/>
    <n v="10"/>
    <x v="3"/>
    <x v="0"/>
    <s v="PLAQUETTES"/>
    <s v="290x12"/>
    <n v="138.80000000000001"/>
  </r>
  <r>
    <d v="2025-02-19T08:20:49"/>
    <x v="5"/>
    <s v="Plaquettes de finition triangulaires"/>
    <s v="101224"/>
    <s v="CHAZEAU KYLIAN"/>
    <n v="10"/>
    <x v="3"/>
    <x v="0"/>
    <s v="PLAQUETTES"/>
    <s v="290x12"/>
    <n v="138.80000000000001"/>
  </r>
  <r>
    <d v="2025-02-19T16:13:14"/>
    <x v="4"/>
    <s v="Plaquettes de finition triangulaires"/>
    <s v="280225"/>
    <s v="FERNANDES DOS SANTOS REMY"/>
    <n v="10"/>
    <x v="1"/>
    <x v="0"/>
    <s v="PLAQUETTES"/>
    <s v="304x28 RPE"/>
    <n v="118.7"/>
  </r>
  <r>
    <d v="2025-02-21T13:16:47"/>
    <x v="4"/>
    <s v="Plaquettes de finition triangulaires"/>
    <s v="130124"/>
    <s v="MOHAMED ILDIRAY"/>
    <n v="10"/>
    <x v="1"/>
    <x v="0"/>
    <s v="PLAQUETTES"/>
    <s v="304x28 RPE"/>
    <n v="118.7"/>
  </r>
  <r>
    <d v="2025-02-21T14:09:20"/>
    <x v="5"/>
    <s v="Plaquettes de finition triangulaires"/>
    <s v="280225"/>
    <s v="FERNANDES DOS SANTOS REMY"/>
    <n v="10"/>
    <x v="3"/>
    <x v="0"/>
    <s v="PLAQUETTES"/>
    <s v="290x12"/>
    <n v="138.80000000000001"/>
  </r>
  <r>
    <d v="2025-02-21T14:09:47"/>
    <x v="4"/>
    <s v="Plaquettes de finition triangulaires"/>
    <s v="280225"/>
    <s v="FERNANDES DOS SANTOS REMY"/>
    <n v="10"/>
    <x v="0"/>
    <x v="0"/>
    <s v="PLAQUETTES"/>
    <s v="330x14"/>
    <n v="118.7"/>
  </r>
  <r>
    <d v="2025-02-22T05:25:32"/>
    <x v="5"/>
    <s v="Plaquettes de finition triangulaires"/>
    <s v="U109136"/>
    <s v="WIPLIE FREDERIC"/>
    <n v="10"/>
    <x v="3"/>
    <x v="0"/>
    <s v="PLAQUETTES"/>
    <s v="290x12"/>
    <n v="138.80000000000001"/>
  </r>
  <r>
    <d v="2025-02-24T06:16:12"/>
    <x v="4"/>
    <s v="Plaquettes de finition triangulaires"/>
    <s v="280225"/>
    <s v="FERNANDES DOS SANTOS REMY"/>
    <n v="10"/>
    <x v="3"/>
    <x v="0"/>
    <s v="PLAQUETTES"/>
    <s v="330x28 RPE KO"/>
    <n v="118.7"/>
  </r>
  <r>
    <d v="2025-02-24T21:08:21"/>
    <x v="4"/>
    <s v="Plaquettes de finition triangulaires"/>
    <s v="130124"/>
    <s v="MOHAMED ILDIRAY"/>
    <n v="10"/>
    <x v="1"/>
    <x v="0"/>
    <s v="PLAQUETTES"/>
    <s v="304x28 RPE"/>
    <n v="118.7"/>
  </r>
  <r>
    <d v="2025-02-26T05:49:49"/>
    <x v="4"/>
    <s v="Plaquettes de finition triangulaires"/>
    <s v="SE08251"/>
    <s v="FAYET AYMERIC"/>
    <n v="10"/>
    <x v="3"/>
    <x v="0"/>
    <s v="PLAQUETTES"/>
    <s v="290x12"/>
    <n v="118.7"/>
  </r>
  <r>
    <d v="2025-02-27T06:02:33"/>
    <x v="4"/>
    <s v="Plaquettes de finition triangulaires"/>
    <s v="280225"/>
    <s v="FERNANDES DOS SANTOS REMY"/>
    <n v="10"/>
    <x v="1"/>
    <x v="0"/>
    <s v="PLAQUETTES"/>
    <s v="304x28 RPE"/>
    <n v="118.7"/>
  </r>
  <r>
    <d v="2025-03-03T07:20:36"/>
    <x v="4"/>
    <s v="Plaquettes de finition triangulaires"/>
    <s v="SD75051"/>
    <s v="COMBALUZIER LUCAS"/>
    <n v="10"/>
    <x v="1"/>
    <x v="0"/>
    <s v="PLAQUETTES"/>
    <s v="304x28 RPE"/>
    <n v="118.7"/>
  </r>
  <r>
    <d v="2025-03-03T13:07:10"/>
    <x v="4"/>
    <s v="Plaquettes de finition triangulaires"/>
    <s v="101224"/>
    <s v="CHAZEAU KYLIAN"/>
    <n v="10"/>
    <x v="3"/>
    <x v="0"/>
    <s v="PLAQUETTES"/>
    <s v="290x12"/>
    <n v="118.7"/>
  </r>
  <r>
    <d v="2025-03-03T13:08:06"/>
    <x v="4"/>
    <s v="Plaquettes de finition triangulaires"/>
    <s v="101224"/>
    <s v="CHAZEAU KYLIAN"/>
    <n v="10"/>
    <x v="0"/>
    <x v="0"/>
    <s v="PLAQUETTES"/>
    <s v="356x26 RPI"/>
    <n v="118.7"/>
  </r>
  <r>
    <d v="2025-03-05T00:34:55"/>
    <x v="5"/>
    <s v="Plaquettes de finition triangulaires"/>
    <s v="SE08251"/>
    <s v="FAYET AYMERIC"/>
    <n v="10"/>
    <x v="3"/>
    <x v="0"/>
    <s v="PLAQUETTES"/>
    <s v="290x12"/>
    <n v="138.80000000000001"/>
  </r>
  <r>
    <d v="2025-03-05T05:53:24"/>
    <x v="4"/>
    <s v="Plaquettes de finition triangulaires"/>
    <s v="130325"/>
    <s v="PAPONNEAU JULIEN"/>
    <n v="10"/>
    <x v="1"/>
    <x v="0"/>
    <s v="PLAQUETTES"/>
    <s v="304x28 RPE"/>
    <n v="118.7"/>
  </r>
  <r>
    <d v="2025-03-06T13:28:54"/>
    <x v="5"/>
    <s v="Plaquettes de finition triangulaires"/>
    <s v="101224"/>
    <s v="CHAZEAU KYLIAN"/>
    <n v="10"/>
    <x v="3"/>
    <x v="0"/>
    <s v="PLAQUETTES"/>
    <s v="290x12"/>
    <n v="138.80000000000001"/>
  </r>
  <r>
    <d v="2025-03-07T05:11:26"/>
    <x v="4"/>
    <s v="Plaquettes de finition triangulaires"/>
    <s v="J534699"/>
    <s v="FABIAN CHARTON"/>
    <n v="10"/>
    <x v="2"/>
    <x v="3"/>
    <s v="PLAQUETTES"/>
    <s v="302x26 RPI"/>
    <n v="118.7"/>
  </r>
  <r>
    <d v="2025-03-07T22:33:54"/>
    <x v="4"/>
    <s v="Plaquettes de finition triangulaires"/>
    <s v="SE08251"/>
    <s v="FAYET AYMERIC"/>
    <n v="10"/>
    <x v="0"/>
    <x v="0"/>
    <s v="PLAQUETTES"/>
    <s v="330x14"/>
    <n v="118.7"/>
  </r>
  <r>
    <d v="2025-03-07T22:34:11"/>
    <x v="4"/>
    <s v="Plaquettes de finition triangulaires"/>
    <s v="SE08251"/>
    <s v="FAYET AYMERIC"/>
    <n v="10"/>
    <x v="3"/>
    <x v="0"/>
    <s v="PLAQUETTES"/>
    <s v="290x12"/>
    <n v="118.7"/>
  </r>
  <r>
    <d v="2025-03-07T22:34:32"/>
    <x v="5"/>
    <s v="Plaquettes de finition triangulaires"/>
    <s v="SE08251"/>
    <s v="FAYET AYMERIC"/>
    <n v="10"/>
    <x v="3"/>
    <x v="0"/>
    <s v="PLAQUETTES"/>
    <s v="290x12"/>
    <n v="138.80000000000001"/>
  </r>
  <r>
    <d v="2025-03-10T17:15:13"/>
    <x v="4"/>
    <s v="Plaquettes de finition triangulaires"/>
    <s v="280225"/>
    <s v="FERNANDES DOS SANTOS REMY"/>
    <n v="10"/>
    <x v="1"/>
    <x v="0"/>
    <s v="PLAQUETTES"/>
    <s v="304x28 RPE"/>
    <n v="118.7"/>
  </r>
  <r>
    <d v="2025-03-12T05:16:49"/>
    <x v="5"/>
    <s v="Plaquettes de finition triangulaires"/>
    <s v="101224"/>
    <s v="CHAZEAU KYLIAN"/>
    <n v="10"/>
    <x v="3"/>
    <x v="0"/>
    <s v="PLAQUETTES"/>
    <s v="290x12"/>
    <n v="138.80000000000001"/>
  </r>
  <r>
    <d v="2025-03-12T05:17:07"/>
    <x v="5"/>
    <s v="Plaquettes de finition triangulaires"/>
    <s v="101224"/>
    <s v="CHAZEAU KYLIAN"/>
    <n v="10"/>
    <x v="0"/>
    <x v="0"/>
    <s v="PLAQUETTES"/>
    <s v="330x14"/>
    <n v="138.80000000000001"/>
  </r>
  <r>
    <d v="2025-03-12T05:17:24"/>
    <x v="4"/>
    <s v="Plaquettes de finition triangulaires"/>
    <s v="101224"/>
    <s v="CHAZEAU KYLIAN"/>
    <n v="10"/>
    <x v="0"/>
    <x v="0"/>
    <s v="PLAQUETTES"/>
    <s v="330x14"/>
    <n v="118.7"/>
  </r>
  <r>
    <d v="2025-03-12T14:35:39"/>
    <x v="4"/>
    <s v="Plaquettes de finition triangulaires"/>
    <s v="280225"/>
    <s v="FERNANDES DOS SANTOS REMY"/>
    <n v="10"/>
    <x v="1"/>
    <x v="0"/>
    <s v="PLAQUETTES"/>
    <s v="304x28 RPE"/>
    <n v="118.7"/>
  </r>
  <r>
    <d v="2025-03-14T17:08:46"/>
    <x v="4"/>
    <s v="Plaquettes de finition triangulaires"/>
    <s v="SE08251"/>
    <s v="FAYET AYMERIC"/>
    <n v="10"/>
    <x v="3"/>
    <x v="0"/>
    <s v="PLAQUETTES"/>
    <s v="290x12"/>
    <n v="118.7"/>
  </r>
  <r>
    <d v="2025-03-16T18:05:02"/>
    <x v="4"/>
    <s v="Plaquettes de finition triangulaires"/>
    <s v="1234"/>
    <s v=" "/>
    <n v="10"/>
    <x v="1"/>
    <x v="0"/>
    <s v="PLAQUETTES"/>
    <s v="304x28 RPE"/>
    <n v="118.7"/>
  </r>
  <r>
    <d v="2025-03-18T08:15:09"/>
    <x v="4"/>
    <s v="Plaquettes de finition triangulaires"/>
    <s v="SE08251"/>
    <s v="FAYET AYMERIC"/>
    <n v="10"/>
    <x v="0"/>
    <x v="0"/>
    <s v="PLAQUETTES"/>
    <s v="356x26 RPI"/>
    <n v="118.7"/>
  </r>
  <r>
    <d v="2025-03-18T22:03:23"/>
    <x v="5"/>
    <s v="Plaquettes de finition triangulaires"/>
    <s v="101224"/>
    <s v="CHAZEAU KYLIAN"/>
    <n v="10"/>
    <x v="3"/>
    <x v="0"/>
    <s v="PLAQUETTES"/>
    <s v="290x12"/>
    <n v="138.80000000000001"/>
  </r>
  <r>
    <d v="2025-03-19T21:49:02"/>
    <x v="5"/>
    <s v="Plaquettes de finition triangulaires"/>
    <s v="101224"/>
    <s v="CHAZEAU KYLIAN"/>
    <n v="10"/>
    <x v="3"/>
    <x v="0"/>
    <s v="PLAQUETTES"/>
    <s v="290x12"/>
    <n v="138.80000000000001"/>
  </r>
  <r>
    <d v="2025-03-19T22:57:53"/>
    <x v="4"/>
    <s v="Plaquettes de finition triangulaires"/>
    <s v="101224"/>
    <s v="CHAZEAU KYLIAN"/>
    <n v="10"/>
    <x v="3"/>
    <x v="0"/>
    <s v="PLAQUETTES"/>
    <s v="290x12"/>
    <n v="118.7"/>
  </r>
  <r>
    <d v="2025-03-20T09:10:52"/>
    <x v="4"/>
    <s v="Plaquettes de finition triangulaires"/>
    <s v="280225"/>
    <s v="FERNANDES DOS SANTOS REMY"/>
    <n v="10"/>
    <x v="1"/>
    <x v="0"/>
    <s v="PLAQUETTES"/>
    <s v="304x28 RPE"/>
    <n v="118.7"/>
  </r>
  <r>
    <d v="2025-03-21T13:13:00"/>
    <x v="4"/>
    <s v="Plaquettes de finition triangulaires"/>
    <s v="130325"/>
    <s v="PAPONNEAU JULIEN"/>
    <n v="10"/>
    <x v="1"/>
    <x v="0"/>
    <s v="PLAQUETTES"/>
    <s v="304x28 RPE"/>
    <n v="118.7"/>
  </r>
  <r>
    <d v="2025-03-21T14:32:09"/>
    <x v="4"/>
    <s v="Plaquettes de finition triangulaires"/>
    <s v="7236310"/>
    <s v="BRANDALY JEREMY"/>
    <n v="10"/>
    <x v="3"/>
    <x v="0"/>
    <s v="PLAQUETTES"/>
    <s v="290x12"/>
    <n v="118.7"/>
  </r>
  <r>
    <d v="2025-03-24T13:27:05"/>
    <x v="5"/>
    <s v="Plaquettes de finition triangulaires"/>
    <s v="101224"/>
    <s v="CHAZEAU KYLIAN"/>
    <n v="10"/>
    <x v="0"/>
    <x v="0"/>
    <s v="PLAQUETTES"/>
    <s v="330x14"/>
    <n v="138.80000000000001"/>
  </r>
  <r>
    <d v="2025-03-26T06:32:34"/>
    <x v="4"/>
    <s v="Plaquettes de finition triangulaires"/>
    <s v="130325"/>
    <s v="PAPONNEAU JULIEN"/>
    <n v="10"/>
    <x v="1"/>
    <x v="0"/>
    <s v="PLAQUETTES"/>
    <s v="304x28 RPE"/>
    <n v="118.7"/>
  </r>
  <r>
    <d v="2025-03-26T14:08:09"/>
    <x v="4"/>
    <s v="Plaquettes de finition triangulaires"/>
    <s v="101224"/>
    <s v="CHAZEAU KYLIAN"/>
    <n v="10"/>
    <x v="3"/>
    <x v="0"/>
    <s v="PLAQUETTES"/>
    <s v="290x12"/>
    <n v="118.7"/>
  </r>
  <r>
    <d v="2025-03-26T14:08:32"/>
    <x v="5"/>
    <s v="Plaquettes de finition triangulaires"/>
    <s v="101224"/>
    <s v="CHAZEAU KYLIAN"/>
    <n v="10"/>
    <x v="3"/>
    <x v="0"/>
    <s v="PLAQUETTES"/>
    <s v="290x12"/>
    <n v="138.80000000000001"/>
  </r>
  <r>
    <d v="2025-03-27T13:14:32"/>
    <x v="4"/>
    <s v="Plaquettes de finition triangulaires"/>
    <s v="130124"/>
    <s v="MOHAMED ILDIRAY"/>
    <n v="10"/>
    <x v="1"/>
    <x v="0"/>
    <s v="PLAQUETTES"/>
    <s v="304x28 RPE"/>
    <n v="118.7"/>
  </r>
  <r>
    <d v="2025-03-28T22:08:05"/>
    <x v="4"/>
    <s v="Plaquettes de finition triangulaires"/>
    <s v="11737592"/>
    <s v="BLOCQUET DAVID"/>
    <n v="10"/>
    <x v="2"/>
    <x v="3"/>
    <s v="PLAQUETTES"/>
    <s v="302x26 RPI"/>
    <n v="118.7"/>
  </r>
  <r>
    <d v="2025-03-30T21:10:50"/>
    <x v="4"/>
    <s v="Plaquettes de finition triangulaires"/>
    <s v="U515988"/>
    <s v="BLAHA"/>
    <n v="10"/>
    <x v="1"/>
    <x v="0"/>
    <s v="PLAQUETTES"/>
    <s v="304x28 RPE"/>
    <n v="118.7"/>
  </r>
  <r>
    <d v="2025-03-31T07:28:55"/>
    <x v="5"/>
    <s v="Plaquettes de finition triangulaires"/>
    <s v="U505000"/>
    <s v="RECEVEUR BENOIT"/>
    <n v="10"/>
    <x v="3"/>
    <x v="0"/>
    <s v="PLAQUETTES"/>
    <s v="290x12"/>
    <n v="138.80000000000001"/>
  </r>
  <r>
    <d v="2025-03-31T07:29:14"/>
    <x v="4"/>
    <s v="Plaquettes de finition triangulaires"/>
    <s v="U505000"/>
    <s v="RECEVEUR BENOIT"/>
    <n v="10"/>
    <x v="3"/>
    <x v="0"/>
    <s v="PLAQUETTES"/>
    <s v="290x12"/>
    <n v="118.7"/>
  </r>
  <r>
    <d v="2025-03-31T13:28:13"/>
    <x v="4"/>
    <s v="Plaquettes de finition triangulaires"/>
    <s v="SE08251"/>
    <s v="FAYET AYMERIC"/>
    <n v="10"/>
    <x v="0"/>
    <x v="0"/>
    <s v="PLAQUETTES"/>
    <s v="356x26 RPI"/>
    <n v="118.7"/>
  </r>
  <r>
    <d v="2025-03-31T23:32:25"/>
    <x v="4"/>
    <s v="Plaquettes de finition triangulaires"/>
    <s v="130325"/>
    <s v="PAPONNEAU JULIEN"/>
    <n v="10"/>
    <x v="1"/>
    <x v="0"/>
    <s v="PLAQUETTES"/>
    <s v="304x28 RPE"/>
    <n v="118.7"/>
  </r>
  <r>
    <d v="2025-04-01T05:33:33"/>
    <x v="4"/>
    <s v="Plaquettes de finition triangulaires"/>
    <s v="130124"/>
    <s v="MOHAMED ILDIRAY"/>
    <n v="10"/>
    <x v="1"/>
    <x v="0"/>
    <s v="PLAQUETTES"/>
    <s v="304x28 RPE"/>
    <n v="118.7"/>
  </r>
  <r>
    <d v="2025-04-01T13:37:46"/>
    <x v="5"/>
    <s v="Plaquettes de finition triangulaires"/>
    <s v="SD88834"/>
    <s v="PEJOUX MELANIE"/>
    <n v="10"/>
    <x v="0"/>
    <x v="0"/>
    <s v="PLAQUETTES"/>
    <s v="330x14"/>
    <n v="138.80000000000001"/>
  </r>
  <r>
    <d v="2025-04-07T05:21:15"/>
    <x v="4"/>
    <s v="Plaquettes de finition triangulaires"/>
    <s v="SE08251"/>
    <s v="FAYET AYMERIC"/>
    <n v="1"/>
    <x v="0"/>
    <x v="0"/>
    <s v="PLAQUETTES"/>
    <s v="330x14"/>
    <n v="11.87"/>
  </r>
  <r>
    <d v="2025-04-07T05:21:42"/>
    <x v="4"/>
    <s v="Plaquettes de finition triangulaires"/>
    <s v="SE08251"/>
    <s v="FAYET AYMERIC"/>
    <n v="1"/>
    <x v="3"/>
    <x v="0"/>
    <s v="PLAQUETTES"/>
    <s v="290x12"/>
    <n v="11.87"/>
  </r>
  <r>
    <d v="2025-04-07T05:22:28"/>
    <x v="5"/>
    <s v="Plaquettes de finition triangulaires"/>
    <s v="SE08251"/>
    <s v="FAYET AYMERIC"/>
    <n v="1"/>
    <x v="3"/>
    <x v="0"/>
    <s v="PLAQUETTES"/>
    <s v="290x12"/>
    <n v="13.88"/>
  </r>
  <r>
    <d v="2025-04-07T05:22:50"/>
    <x v="5"/>
    <s v="Plaquettes de finition triangulaires"/>
    <s v="SE08251"/>
    <s v="FAYET AYMERIC"/>
    <n v="1"/>
    <x v="0"/>
    <x v="0"/>
    <s v="PLAQUETTES"/>
    <s v="330x14"/>
    <n v="13.88"/>
  </r>
  <r>
    <d v="2025-04-07T21:19:29"/>
    <x v="4"/>
    <s v="Plaquettes de finition triangulaires"/>
    <s v="130124"/>
    <s v="MOHAMED ILDIRAY"/>
    <n v="10"/>
    <x v="1"/>
    <x v="0"/>
    <s v="PLAQUETTES"/>
    <s v="304x28 RPE"/>
    <n v="118.7"/>
  </r>
  <r>
    <d v="2025-04-10T21:54:09"/>
    <x v="4"/>
    <s v="Plaquettes de finition triangulaires"/>
    <s v="130124"/>
    <s v="MOHAMED ILDIRAY"/>
    <n v="10"/>
    <x v="1"/>
    <x v="0"/>
    <s v="PLAQUETTES"/>
    <s v="304x28 RPE"/>
    <n v="118.7"/>
  </r>
  <r>
    <d v="2025-04-12T08:58:03"/>
    <x v="4"/>
    <s v="Plaquettes de finition triangulaires"/>
    <s v="150725"/>
    <s v="ADOUL WASSIM"/>
    <n v="10"/>
    <x v="1"/>
    <x v="0"/>
    <s v="PLAQUETTES"/>
    <s v="304x28 RPE"/>
    <n v="118.7"/>
  </r>
  <r>
    <d v="2025-04-13T23:32:41"/>
    <x v="4"/>
    <s v="Plaquettes de finition triangulaires"/>
    <s v="U109136"/>
    <s v="WIPLIE FREDERIC"/>
    <n v="10"/>
    <x v="1"/>
    <x v="0"/>
    <s v="PLAQUETTES"/>
    <s v="356x26 RPI"/>
    <n v="118.7"/>
  </r>
  <r>
    <d v="2025-04-14T05:44:42"/>
    <x v="4"/>
    <s v="Plaquettes de finition triangulaires"/>
    <s v="SD75051"/>
    <s v="COMBALUZIER LUCAS"/>
    <n v="10"/>
    <x v="3"/>
    <x v="0"/>
    <s v="PLAQUETTES"/>
    <s v="290x12"/>
    <n v="118.7"/>
  </r>
  <r>
    <d v="2025-04-14T05:45:15"/>
    <x v="5"/>
    <s v="Plaquettes de finition triangulaires"/>
    <s v="SD75051"/>
    <s v="COMBALUZIER LUCAS"/>
    <n v="10"/>
    <x v="3"/>
    <x v="0"/>
    <s v="PLAQUETTES"/>
    <s v="290x12"/>
    <n v="138.80000000000001"/>
  </r>
  <r>
    <d v="2025-04-15T19:05:23"/>
    <x v="5"/>
    <s v="Plaquettes de finition triangulaires"/>
    <s v="101224"/>
    <s v="CHAZEAU KYLIAN"/>
    <n v="10"/>
    <x v="3"/>
    <x v="0"/>
    <s v="PLAQUETTES"/>
    <s v="290x12"/>
    <n v="138.80000000000001"/>
  </r>
  <r>
    <d v="2025-04-15T22:25:24"/>
    <x v="4"/>
    <s v="Plaquettes de finition triangulaires"/>
    <s v="j529800"/>
    <s v="MONTCHARMONT BAPTISTE"/>
    <n v="10"/>
    <x v="2"/>
    <x v="3"/>
    <s v="PLAQUETTES"/>
    <s v="302x26 RPI"/>
    <n v="118.7"/>
  </r>
  <r>
    <d v="2025-04-16T22:34:54"/>
    <x v="4"/>
    <s v="Plaquettes de finition triangulaires"/>
    <s v="280225"/>
    <s v="FERNANDES DOS SANTOS REMY"/>
    <n v="10"/>
    <x v="1"/>
    <x v="0"/>
    <s v="PLAQUETTES"/>
    <s v="356x26 RPI"/>
    <n v="118.7"/>
  </r>
  <r>
    <d v="2025-04-18T04:15:05"/>
    <x v="4"/>
    <s v="Plaquettes de finition triangulaires"/>
    <s v="SE08251"/>
    <s v="FAYET AYMERIC"/>
    <n v="10"/>
    <x v="0"/>
    <x v="0"/>
    <s v="PLAQUETTES"/>
    <s v="330x14"/>
    <n v="118.7"/>
  </r>
  <r>
    <d v="2025-04-18T04:15:28"/>
    <x v="4"/>
    <s v="Plaquettes de finition triangulaires"/>
    <s v="SE08251"/>
    <s v="FAYET AYMERIC"/>
    <n v="10"/>
    <x v="3"/>
    <x v="0"/>
    <s v="PLAQUETTES"/>
    <s v="290x12"/>
    <n v="118.7"/>
  </r>
  <r>
    <d v="2025-04-18T21:29:41"/>
    <x v="5"/>
    <s v="Plaquettes de finition triangulaires"/>
    <s v="SE08251"/>
    <s v="FAYET AYMERIC"/>
    <n v="10"/>
    <x v="0"/>
    <x v="0"/>
    <s v="PLAQUETTES"/>
    <s v="330x14"/>
    <n v="138.80000000000001"/>
  </r>
  <r>
    <d v="2025-04-19T02:28:28"/>
    <x v="4"/>
    <s v="Plaquettes de finition triangulaires"/>
    <s v="280225"/>
    <s v="FERNANDES DOS SANTOS REMY"/>
    <n v="10"/>
    <x v="1"/>
    <x v="0"/>
    <s v="PLAQUETTES"/>
    <s v="356x26 RPI"/>
    <n v="118.7"/>
  </r>
  <r>
    <d v="2025-04-22T05:53:50"/>
    <x v="4"/>
    <s v="Plaquettes de finition triangulaires"/>
    <s v="130124"/>
    <s v="MOHAMED ILDIRAY"/>
    <n v="10"/>
    <x v="1"/>
    <x v="0"/>
    <s v="PLAQUETTES"/>
    <s v="304x28 RPE"/>
    <n v="118.7"/>
  </r>
  <r>
    <d v="2025-04-22T14:29:10"/>
    <x v="4"/>
    <s v="Plaquettes de finition triangulaires"/>
    <s v="SE08251"/>
    <s v="FAYET AYMERIC"/>
    <n v="10"/>
    <x v="3"/>
    <x v="0"/>
    <s v="PLAQUETTES"/>
    <s v="290x12"/>
    <n v="118.7"/>
  </r>
  <r>
    <d v="2025-04-22T14:29:28"/>
    <x v="5"/>
    <s v="Plaquettes de finition triangulaires"/>
    <s v="SE08251"/>
    <s v="FAYET AYMERIC"/>
    <n v="10"/>
    <x v="3"/>
    <x v="0"/>
    <s v="PLAQUETTES"/>
    <s v="290x12"/>
    <n v="138.80000000000001"/>
  </r>
  <r>
    <d v="2025-04-23T06:09:13"/>
    <x v="5"/>
    <s v="Plaquettes de finition triangulaires"/>
    <s v="101224"/>
    <s v="CHAZEAU KYLIAN"/>
    <n v="10"/>
    <x v="0"/>
    <x v="0"/>
    <s v="PLAQUETTES"/>
    <s v="330x14"/>
    <n v="138.80000000000001"/>
  </r>
  <r>
    <d v="2025-04-23T06:09:27"/>
    <x v="4"/>
    <s v="Plaquettes de finition triangulaires"/>
    <s v="101224"/>
    <s v="CHAZEAU KYLIAN"/>
    <n v="10"/>
    <x v="0"/>
    <x v="0"/>
    <s v="PLAQUETTES"/>
    <s v="330x14"/>
    <n v="118.7"/>
  </r>
  <r>
    <d v="2025-04-23T15:04:33"/>
    <x v="4"/>
    <s v="Plaquettes de finition triangulaires"/>
    <s v="280225"/>
    <s v="FERNANDES DOS SANTOS REMY"/>
    <n v="10"/>
    <x v="1"/>
    <x v="0"/>
    <s v="PLAQUETTES"/>
    <s v="304x28 RPE"/>
    <n v="118.7"/>
  </r>
  <r>
    <d v="2025-04-24T04:43:39"/>
    <x v="4"/>
    <s v="Plaquettes de finition triangulaires"/>
    <s v="130325"/>
    <s v="PAPONNEAU JULIEN"/>
    <n v="10"/>
    <x v="1"/>
    <x v="0"/>
    <s v="PLAQUETTES"/>
    <s v="304x28 RPE"/>
    <n v="118.7"/>
  </r>
  <r>
    <d v="2025-04-25T13:14:05"/>
    <x v="4"/>
    <s v="Plaquettes de finition triangulaires"/>
    <s v="280225"/>
    <s v="FERNANDES DOS SANTOS REMY"/>
    <n v="10"/>
    <x v="1"/>
    <x v="0"/>
    <s v="PLAQUETTES"/>
    <s v="304x28 RPE"/>
    <n v="118.7"/>
  </r>
  <r>
    <d v="2025-04-28T05:17:04"/>
    <x v="4"/>
    <s v="Plaquettes de finition triangulaires"/>
    <s v="SE08251"/>
    <s v="FAYET AYMERIC"/>
    <n v="10"/>
    <x v="3"/>
    <x v="0"/>
    <s v="PLAQUETTES"/>
    <s v="290x12"/>
    <n v="118.7"/>
  </r>
  <r>
    <d v="2025-04-29T18:59:48"/>
    <x v="4"/>
    <s v="Plaquettes de finition triangulaires"/>
    <s v="130325"/>
    <s v="PAPONNEAU JULIEN"/>
    <n v="10"/>
    <x v="1"/>
    <x v="0"/>
    <s v="PLAQUETTES"/>
    <s v="304x28 RPE"/>
    <n v="118.7"/>
  </r>
  <r>
    <d v="2025-04-29T22:36:05"/>
    <x v="4"/>
    <s v="Plaquettes de finition triangulaires"/>
    <s v="130124"/>
    <s v="MOHAMED ILDIRAY"/>
    <n v="10"/>
    <x v="1"/>
    <x v="0"/>
    <s v="PLAQUETTES"/>
    <s v="304x28 RPE"/>
    <n v="118.7"/>
  </r>
  <r>
    <d v="2025-04-30T05:26:28"/>
    <x v="5"/>
    <s v="Plaquettes de finition triangulaires"/>
    <s v="SE08251"/>
    <s v="FAYET AYMERIC"/>
    <n v="10"/>
    <x v="0"/>
    <x v="0"/>
    <s v="PLAQUETTES"/>
    <s v="330x14"/>
    <n v="138.80000000000001"/>
  </r>
  <r>
    <d v="2025-04-30T05:26:43"/>
    <x v="4"/>
    <s v="Plaquettes de finition triangulaires"/>
    <s v="SE08251"/>
    <s v="FAYET AYMERIC"/>
    <n v="10"/>
    <x v="0"/>
    <x v="0"/>
    <s v="PLAQUETTES"/>
    <s v="330x14"/>
    <n v="118.7"/>
  </r>
  <r>
    <d v="2025-04-30T21:27:36"/>
    <x v="4"/>
    <s v="Plaquettes de finition triangulaires"/>
    <s v="130124"/>
    <s v="MOHAMED ILDIRAY"/>
    <n v="10"/>
    <x v="1"/>
    <x v="0"/>
    <s v="PLAQUETTES"/>
    <s v="304x28 RPE"/>
    <n v="118.7"/>
  </r>
  <r>
    <d v="2025-05-04T14:10:09"/>
    <x v="5"/>
    <s v="Plaquettes de finition triangulaires"/>
    <s v="U080365"/>
    <s v="ALAVOINE SAMUEL"/>
    <n v="10"/>
    <x v="3"/>
    <x v="0"/>
    <s v="PLAQUETTES"/>
    <s v="290x12"/>
    <n v="138.80000000000001"/>
  </r>
  <r>
    <d v="2025-05-04T14:11:32"/>
    <x v="4"/>
    <s v="Plaquettes de finition triangulaires"/>
    <s v="U080365"/>
    <s v="ALAVOINE SAMUEL"/>
    <n v="10"/>
    <x v="0"/>
    <x v="0"/>
    <s v="PLAQUETTES"/>
    <s v="330x14"/>
    <n v="118.7"/>
  </r>
  <r>
    <d v="2025-05-04T14:14:16"/>
    <x v="4"/>
    <s v="Plaquettes de finition triangulaires"/>
    <s v="U080365"/>
    <s v="ALAVOINE SAMUEL"/>
    <n v="10"/>
    <x v="3"/>
    <x v="0"/>
    <s v="PLAQUETTES"/>
    <s v="290x12"/>
    <n v="118.7"/>
  </r>
  <r>
    <d v="2025-05-05T13:21:07"/>
    <x v="4"/>
    <s v="Plaquettes de finition triangulaires"/>
    <s v="130124"/>
    <s v="MOHAMED ILDIRAY"/>
    <n v="10"/>
    <x v="1"/>
    <x v="0"/>
    <s v="PLAQUETTES"/>
    <s v="304x28 RPE"/>
    <n v="118.7"/>
  </r>
  <r>
    <d v="2025-05-05T22:14:33"/>
    <x v="5"/>
    <s v="Plaquettes de finition triangulaires"/>
    <s v="SE08251"/>
    <s v="FAYET AYMERIC"/>
    <n v="10"/>
    <x v="0"/>
    <x v="0"/>
    <s v="PLAQUETTES"/>
    <s v="330x14"/>
    <n v="138.80000000000001"/>
  </r>
  <r>
    <d v="2025-05-06T23:23:42"/>
    <x v="4"/>
    <s v="Plaquettes de finition triangulaires"/>
    <s v="280225"/>
    <s v="FERNANDES DOS SANTOS REMY"/>
    <n v="10"/>
    <x v="1"/>
    <x v="0"/>
    <s v="PLAQUETTES"/>
    <s v="356x26 RPI"/>
    <n v="118.7"/>
  </r>
  <r>
    <d v="2025-05-07T22:11:56"/>
    <x v="4"/>
    <s v="Plaquettes de finition triangulaires"/>
    <s v="SE08251"/>
    <s v="FAYET AYMERIC"/>
    <n v="10"/>
    <x v="0"/>
    <x v="0"/>
    <s v="PLAQUETTES"/>
    <s v="330x14"/>
    <n v="118.7"/>
  </r>
  <r>
    <d v="2025-05-08T10:53:16"/>
    <x v="4"/>
    <s v="Plaquettes de finition triangulaires"/>
    <s v="U080365"/>
    <s v="ALAVOINE SAMUEL"/>
    <n v="10"/>
    <x v="2"/>
    <x v="3"/>
    <s v="PLAQUETTES"/>
    <s v="302x26 RPI"/>
    <n v="118.7"/>
  </r>
  <r>
    <d v="2025-05-08T14:33:07"/>
    <x v="5"/>
    <s v="Plaquettes de finition triangulaires"/>
    <s v="130124"/>
    <s v="MOHAMED ILDIRAY"/>
    <n v="10"/>
    <x v="0"/>
    <x v="0"/>
    <s v="PLAQUETTES"/>
    <s v="330x14"/>
    <n v="138.80000000000001"/>
  </r>
  <r>
    <d v="2025-05-08T14:33:24"/>
    <x v="4"/>
    <s v="Plaquettes de finition triangulaires"/>
    <s v="130124"/>
    <s v="MOHAMED ILDIRAY"/>
    <n v="10"/>
    <x v="3"/>
    <x v="0"/>
    <s v="PLAQUETTES"/>
    <s v="290x12"/>
    <n v="118.7"/>
  </r>
  <r>
    <d v="2025-05-09T16:55:17"/>
    <x v="4"/>
    <s v="Plaquettes de finition triangulaires"/>
    <s v="130124"/>
    <s v="MOHAMED ILDIRAY"/>
    <n v="10"/>
    <x v="1"/>
    <x v="0"/>
    <s v="PLAQUETTES"/>
    <s v="304x28 RPE"/>
    <n v="118.7"/>
  </r>
  <r>
    <d v="2025-05-12T05:21:37"/>
    <x v="4"/>
    <s v="Plaquettes de finition triangulaires"/>
    <s v="130124"/>
    <s v="MOHAMED ILDIRAY"/>
    <n v="10"/>
    <x v="1"/>
    <x v="0"/>
    <s v="PLAQUETTES"/>
    <s v="304x28 RPE"/>
    <n v="118.7"/>
  </r>
  <r>
    <d v="2025-05-12T11:20:45"/>
    <x v="5"/>
    <s v="Plaquettes de finition triangulaires"/>
    <s v="101224"/>
    <s v="CHAZEAU KYLIAN"/>
    <n v="10"/>
    <x v="3"/>
    <x v="0"/>
    <s v="PLAQUETTES"/>
    <s v="290x12"/>
    <n v="138.80000000000001"/>
  </r>
  <r>
    <d v="2025-05-12T11:21:03"/>
    <x v="4"/>
    <s v="Plaquettes de finition triangulaires"/>
    <s v="101224"/>
    <s v="CHAZEAU KYLIAN"/>
    <n v="10"/>
    <x v="0"/>
    <x v="0"/>
    <s v="PLAQUETTES"/>
    <s v="330x14"/>
    <n v="118.7"/>
  </r>
  <r>
    <d v="2025-05-14T05:15:05"/>
    <x v="4"/>
    <s v="Plaquettes de finition triangulaires"/>
    <s v="130124"/>
    <s v="MOHAMED ILDIRAY"/>
    <n v="10"/>
    <x v="1"/>
    <x v="0"/>
    <s v="PLAQUETTES"/>
    <s v="304x28 RPE"/>
    <n v="118.7"/>
  </r>
  <r>
    <d v="2025-05-15T13:38:45"/>
    <x v="4"/>
    <s v="Plaquettes de finition triangulaires"/>
    <s v="SE08251"/>
    <s v="FAYET AYMERIC"/>
    <n v="10"/>
    <x v="3"/>
    <x v="0"/>
    <s v="PLAQUETTES"/>
    <s v="290x12"/>
    <n v="118.7"/>
  </r>
  <r>
    <d v="2025-05-16T15:35:22"/>
    <x v="4"/>
    <s v="Plaquettes de finition triangulaires"/>
    <s v="SE08251"/>
    <s v="FAYET AYMERIC"/>
    <n v="10"/>
    <x v="0"/>
    <x v="0"/>
    <s v="PLAQUETTES"/>
    <s v="356x26 RPI"/>
    <n v="118.7"/>
  </r>
  <r>
    <d v="2025-05-18T06:19:50"/>
    <x v="4"/>
    <s v="Plaquettes de finition triangulaires"/>
    <s v="U109136"/>
    <s v="WIPLIE FREDERIC"/>
    <n v="10"/>
    <x v="1"/>
    <x v="0"/>
    <s v="PLAQUETTES"/>
    <s v="304x28 RPE"/>
    <n v="118.7"/>
  </r>
  <r>
    <d v="2025-05-19T05:45:36"/>
    <x v="5"/>
    <s v="Plaquettes de finition triangulaires"/>
    <s v="SE08251"/>
    <s v="FAYET AYMERIC"/>
    <n v="10"/>
    <x v="0"/>
    <x v="0"/>
    <s v="PLAQUETTES"/>
    <s v="330x14"/>
    <n v="138.80000000000001"/>
  </r>
  <r>
    <d v="2025-05-19T05:46:41"/>
    <x v="4"/>
    <s v="Plaquettes de finition triangulaires"/>
    <s v="SE08251"/>
    <s v="FAYET AYMERIC"/>
    <n v="10"/>
    <x v="3"/>
    <x v="0"/>
    <s v="PLAQUETTES"/>
    <s v="290x12"/>
    <n v="118.7"/>
  </r>
  <r>
    <d v="2025-05-19T05:47:07"/>
    <x v="5"/>
    <s v="Plaquettes de finition triangulaires"/>
    <s v="SE08251"/>
    <s v="FAYET AYMERIC"/>
    <n v="10"/>
    <x v="3"/>
    <x v="0"/>
    <s v="PLAQUETTES"/>
    <s v="290x12"/>
    <n v="138.80000000000001"/>
  </r>
  <r>
    <d v="2025-05-20T02:17:50"/>
    <x v="4"/>
    <s v="Plaquettes de finition triangulaires"/>
    <s v="130124"/>
    <s v="MOHAMED ILDIRAY"/>
    <n v="10"/>
    <x v="1"/>
    <x v="0"/>
    <s v="PLAQUETTES"/>
    <s v="304x28 RPE"/>
    <n v="118.7"/>
  </r>
  <r>
    <d v="2025-05-20T08:05:59"/>
    <x v="4"/>
    <s v="Plaquettes de finition triangulaires"/>
    <s v="SE08251"/>
    <s v="FAYET AYMERIC"/>
    <n v="10"/>
    <x v="0"/>
    <x v="0"/>
    <s v="PLAQUETTES"/>
    <s v="330x14"/>
    <n v="118.7"/>
  </r>
  <r>
    <d v="2025-05-20T21:07:45"/>
    <x v="4"/>
    <s v="Plaquettes de finition triangulaires"/>
    <s v="101123"/>
    <s v="BRUNET ANDREA"/>
    <n v="10"/>
    <x v="2"/>
    <x v="3"/>
    <s v="PLAQUETTES"/>
    <s v="302x26 RPI"/>
    <n v="118.7"/>
  </r>
  <r>
    <d v="2025-05-23T13:13:56"/>
    <x v="4"/>
    <s v="Plaquettes de finition triangulaires"/>
    <s v="SD75051"/>
    <s v="COMBALUZIER LUCAS"/>
    <n v="10"/>
    <x v="0"/>
    <x v="0"/>
    <s v="PLAQUETTES"/>
    <s v="330x14"/>
    <n v="118.7"/>
  </r>
  <r>
    <d v="2025-05-25T17:49:47"/>
    <x v="4"/>
    <s v="Plaquettes de finition triangulaires"/>
    <s v="150725"/>
    <s v="ADOUL WASSIM"/>
    <n v="10"/>
    <x v="1"/>
    <x v="0"/>
    <s v="PLAQUETTES"/>
    <s v="356x26 RPI"/>
    <n v="118.7"/>
  </r>
  <r>
    <d v="2025-05-25T19:43:53"/>
    <x v="5"/>
    <s v="Plaquettes de finition triangulaires"/>
    <s v="U109136"/>
    <s v="WIPLIE FREDERIC"/>
    <n v="10"/>
    <x v="0"/>
    <x v="0"/>
    <s v="PLAQUETTES"/>
    <s v="290x12"/>
    <n v="138.80000000000001"/>
  </r>
  <r>
    <d v="2025-05-26T13:53:26"/>
    <x v="5"/>
    <s v="Plaquettes de finition triangulaires"/>
    <s v="101224"/>
    <s v="CHAZEAU KYLIAN"/>
    <n v="10"/>
    <x v="0"/>
    <x v="0"/>
    <s v="PLAQUETTES"/>
    <s v="330x14"/>
    <n v="138.80000000000001"/>
  </r>
  <r>
    <d v="2025-05-26T13:53:43"/>
    <x v="4"/>
    <s v="Plaquettes de finition triangulaires"/>
    <s v="101224"/>
    <s v="CHAZEAU KYLIAN"/>
    <n v="10"/>
    <x v="3"/>
    <x v="0"/>
    <s v="PLAQUETTES"/>
    <s v="290x12"/>
    <n v="118.7"/>
  </r>
  <r>
    <d v="2025-05-28T01:44:30"/>
    <x v="4"/>
    <s v="Plaquettes de finition triangulaires"/>
    <s v="280225"/>
    <s v="FERNANDES DOS SANTOS REMY"/>
    <n v="10"/>
    <x v="1"/>
    <x v="0"/>
    <s v="PLAQUETTES"/>
    <s v="304x28 RPE"/>
    <n v="118.7"/>
  </r>
  <r>
    <d v="2025-05-28T02:05:21"/>
    <x v="4"/>
    <s v="Plaquettes de finition triangulaires"/>
    <s v="SE08251"/>
    <s v="FAYET AYMERIC"/>
    <n v="10"/>
    <x v="0"/>
    <x v="0"/>
    <s v="PLAQUETTES"/>
    <s v="356x26 RPI"/>
    <n v="118.7"/>
  </r>
  <r>
    <d v="2025-05-28T03:53:17"/>
    <x v="4"/>
    <s v="Plaquettes de finition triangulaires"/>
    <s v="250425"/>
    <s v="CHANDAR ABDER"/>
    <n v="10"/>
    <x v="2"/>
    <x v="3"/>
    <s v="PLAQUETTES"/>
    <s v="302x26 RPI"/>
    <n v="118.7"/>
  </r>
  <r>
    <d v="2025-05-29T13:19:07"/>
    <x v="4"/>
    <s v="Plaquettes de finition triangulaires"/>
    <s v="130124"/>
    <s v="MOHAMED ILDIRAY"/>
    <n v="10"/>
    <x v="1"/>
    <x v="0"/>
    <s v="PLAQUETTES"/>
    <s v="304x28 RPE"/>
    <n v="118.7"/>
  </r>
  <r>
    <d v="2025-05-29T15:45:55"/>
    <x v="4"/>
    <s v="Plaquettes de finition triangulaires"/>
    <s v="SD13196"/>
    <s v="FRADIN MAXIME"/>
    <n v="10"/>
    <x v="0"/>
    <x v="0"/>
    <s v="PLAQUETTES"/>
    <s v="356x26 RPI"/>
    <n v="118.7"/>
  </r>
  <r>
    <d v="2025-05-29T21:26:03"/>
    <x v="4"/>
    <s v="Plaquettes de finition triangulaires"/>
    <s v="SE08251"/>
    <s v="FAYET AYMERIC"/>
    <n v="10"/>
    <x v="3"/>
    <x v="0"/>
    <s v="PLAQUETTES"/>
    <s v="290x12"/>
    <n v="118.7"/>
  </r>
  <r>
    <d v="2025-05-30T01:32:01"/>
    <x v="4"/>
    <s v="Plaquettes de finition triangulaires"/>
    <s v="280225"/>
    <s v="FERNANDES DOS SANTOS REMY"/>
    <n v="10"/>
    <x v="1"/>
    <x v="0"/>
    <s v="PLAQUETTES"/>
    <s v="304x28 RPE"/>
    <n v="118.7"/>
  </r>
  <r>
    <d v="2025-06-02T02:46:14"/>
    <x v="4"/>
    <s v="Plaquettes de finition triangulaires"/>
    <s v="U109136"/>
    <s v="WIPLIE FREDERIC"/>
    <n v="10"/>
    <x v="1"/>
    <x v="0"/>
    <s v="PLAQUETTES"/>
    <s v="304x28 RPE"/>
    <n v="118.7"/>
  </r>
  <r>
    <d v="2025-06-02T14:10:43"/>
    <x v="5"/>
    <s v="Plaquettes de finition triangulaires"/>
    <s v="SE08251"/>
    <s v="FAYET AYMERIC"/>
    <n v="10"/>
    <x v="3"/>
    <x v="0"/>
    <s v="PLAQUETTES"/>
    <s v="290x12"/>
    <n v="138.80000000000001"/>
  </r>
  <r>
    <d v="2025-06-02T15:17:50"/>
    <x v="4"/>
    <s v="Plaquettes de finition triangulaires"/>
    <s v="280225"/>
    <s v="FERNANDES DOS SANTOS REMY"/>
    <n v="10"/>
    <x v="1"/>
    <x v="0"/>
    <s v="PLAQUETTES"/>
    <s v="304x28 RPE"/>
    <n v="118.7"/>
  </r>
  <r>
    <d v="2025-06-02T16:22:35"/>
    <x v="4"/>
    <s v="Plaquettes de finition triangulaires"/>
    <s v="280225"/>
    <s v="FERNANDES DOS SANTOS REMY"/>
    <n v="10"/>
    <x v="1"/>
    <x v="0"/>
    <s v="PLAQUETTES"/>
    <s v="304x28 RPE"/>
    <n v="118.7"/>
  </r>
  <r>
    <d v="2025-06-03T13:26:56"/>
    <x v="4"/>
    <s v="Plaquettes de finition triangulaires"/>
    <s v="280225"/>
    <s v="FERNANDES DOS SANTOS REMY"/>
    <n v="10"/>
    <x v="1"/>
    <x v="0"/>
    <s v="PLAQUETTES"/>
    <s v="304x28 RPE"/>
    <n v="118.7"/>
  </r>
  <r>
    <d v="2025-06-04T13:52:57"/>
    <x v="4"/>
    <s v="Plaquettes de finition triangulaires"/>
    <s v="SE08251"/>
    <s v="FAYET AYMERIC"/>
    <n v="10"/>
    <x v="0"/>
    <x v="0"/>
    <s v="PLAQUETTES"/>
    <s v="330x14"/>
    <n v="118.7"/>
  </r>
  <r>
    <d v="2025-06-05T14:24:31"/>
    <x v="4"/>
    <s v="Plaquettes de finition triangulaires"/>
    <s v="SE08251"/>
    <s v="FAYET AYMERIC"/>
    <n v="10"/>
    <x v="3"/>
    <x v="0"/>
    <s v="PLAQUETTES"/>
    <s v="290x12"/>
    <n v="118.7"/>
  </r>
  <r>
    <d v="2025-06-05T14:24:43"/>
    <x v="5"/>
    <s v="Plaquettes de finition triangulaires"/>
    <s v="SE08251"/>
    <s v="FAYET AYMERIC"/>
    <n v="10"/>
    <x v="3"/>
    <x v="0"/>
    <s v="PLAQUETTES"/>
    <s v="290x12"/>
    <n v="138.80000000000001"/>
  </r>
  <r>
    <d v="2025-06-05T14:25:05"/>
    <x v="5"/>
    <s v="Plaquettes de finition triangulaires"/>
    <s v="SE08251"/>
    <s v="FAYET AYMERIC"/>
    <n v="10"/>
    <x v="0"/>
    <x v="0"/>
    <s v="PLAQUETTES"/>
    <s v="330x14"/>
    <n v="138.80000000000001"/>
  </r>
  <r>
    <d v="2025-06-07T17:00:44"/>
    <x v="4"/>
    <s v="Plaquettes de finition triangulaires"/>
    <s v="J534699"/>
    <s v="FABIAN CHARTON"/>
    <n v="10"/>
    <x v="2"/>
    <x v="3"/>
    <s v="PLAQUETTES"/>
    <s v="302x26 RPI"/>
    <n v="118.7"/>
  </r>
  <r>
    <d v="2025-06-08T17:35:47"/>
    <x v="4"/>
    <s v="Plaquettes de finition triangulaires"/>
    <s v="150725"/>
    <s v="ADOUL WASSIM"/>
    <n v="10"/>
    <x v="1"/>
    <x v="0"/>
    <s v="PLAQUETTES"/>
    <s v="356x26 RPI"/>
    <n v="118.7"/>
  </r>
  <r>
    <d v="2025-06-09T06:26:53"/>
    <x v="4"/>
    <s v="Plaquettes de finition triangulaires"/>
    <s v="SE08251"/>
    <s v="FAYET AYMERIC"/>
    <n v="10"/>
    <x v="0"/>
    <x v="0"/>
    <s v="PLAQUETTES"/>
    <s v="330x14"/>
    <n v="118.7"/>
  </r>
  <r>
    <d v="2025-06-12T07:05:11"/>
    <x v="4"/>
    <s v="Plaquettes de finition triangulaires"/>
    <s v="SE08251"/>
    <s v="FAYET AYMERIC"/>
    <n v="10"/>
    <x v="3"/>
    <x v="0"/>
    <s v="PLAQUETTES"/>
    <s v="330x28 RPE KO"/>
    <n v="118.7"/>
  </r>
  <r>
    <d v="2025-06-16T06:05:00"/>
    <x v="4"/>
    <s v="Plaquettes de finition triangulaires"/>
    <s v="SD75051"/>
    <s v="COMBALUZIER LUCAS"/>
    <n v="10"/>
    <x v="3"/>
    <x v="0"/>
    <s v="PLAQUETTES"/>
    <s v="302x26 RPI"/>
    <n v="118.7"/>
  </r>
  <r>
    <d v="2025-06-16T13:23:18"/>
    <x v="4"/>
    <s v="Plaquettes de finition triangulaires"/>
    <s v="130124"/>
    <s v="MOHAMED ILDIRAY"/>
    <n v="10"/>
    <x v="1"/>
    <x v="0"/>
    <s v="PLAQUETTES"/>
    <s v="304x28 RPE"/>
    <n v="118.7"/>
  </r>
  <r>
    <d v="2025-06-17T20:21:18"/>
    <x v="4"/>
    <s v="Plaquettes de finition triangulaires"/>
    <s v="130124"/>
    <s v="MOHAMED ILDIRAY"/>
    <n v="10"/>
    <x v="1"/>
    <x v="0"/>
    <s v="PLAQUETTES"/>
    <s v="304x28 RPE"/>
    <n v="118.7"/>
  </r>
  <r>
    <d v="2025-06-19T06:18:24"/>
    <x v="5"/>
    <s v="Plaquettes de finition triangulaires"/>
    <s v="SD75051"/>
    <s v="COMBALUZIER LUCAS"/>
    <n v="10"/>
    <x v="0"/>
    <x v="0"/>
    <s v="PLAQUETTES"/>
    <s v="330x14"/>
    <n v="138.80000000000001"/>
  </r>
  <r>
    <d v="2025-06-19T22:15:13"/>
    <x v="4"/>
    <s v="Plaquettes de finition triangulaires"/>
    <s v="SE08251"/>
    <s v="FAYET AYMERIC"/>
    <n v="10"/>
    <x v="0"/>
    <x v="0"/>
    <s v="PLAQUETTES"/>
    <s v="330x14"/>
    <n v="118.7"/>
  </r>
  <r>
    <d v="2025-06-19T22:15:40"/>
    <x v="4"/>
    <s v="Plaquettes de finition triangulaires"/>
    <s v="SE08251"/>
    <s v="FAYET AYMERIC"/>
    <n v="10"/>
    <x v="3"/>
    <x v="0"/>
    <s v="PLAQUETTES"/>
    <s v="302x26 RPI"/>
    <n v="118.7"/>
  </r>
  <r>
    <d v="2025-06-20T17:34:23"/>
    <x v="4"/>
    <s v="Plaquettes de finition triangulaires"/>
    <s v="130124"/>
    <s v="MOHAMED ILDIRAY"/>
    <n v="10"/>
    <x v="1"/>
    <x v="0"/>
    <s v="PLAQUETTES"/>
    <s v="356x26 RPI"/>
    <n v="118.7"/>
  </r>
  <r>
    <d v="2025-06-21T00:27:11"/>
    <x v="5"/>
    <s v="Plaquettes de finition triangulaires"/>
    <s v="SE08251"/>
    <s v="FAYET AYMERIC"/>
    <n v="10"/>
    <x v="3"/>
    <x v="0"/>
    <s v="PLAQUETTES"/>
    <s v="290x12"/>
    <n v="138.80000000000001"/>
  </r>
  <r>
    <d v="2025-06-23T15:51:15"/>
    <x v="4"/>
    <s v="Plaquettes de finition triangulaires"/>
    <s v="SE08251"/>
    <s v="FAYET AYMERIC"/>
    <n v="10"/>
    <x v="0"/>
    <x v="0"/>
    <s v="PLAQUETTES"/>
    <s v="330x14"/>
    <n v="118.7"/>
  </r>
  <r>
    <d v="2025-06-23T15:51:33"/>
    <x v="5"/>
    <s v="Plaquettes de finition triangulaires"/>
    <s v="SE08251"/>
    <s v="FAYET AYMERIC"/>
    <n v="10"/>
    <x v="0"/>
    <x v="0"/>
    <s v="PLAQUETTES"/>
    <s v="330x14"/>
    <n v="138.80000000000001"/>
  </r>
  <r>
    <d v="2025-06-23T15:51:52"/>
    <x v="4"/>
    <s v="Plaquettes de finition triangulaires"/>
    <s v="SE08251"/>
    <s v="FAYET AYMERIC"/>
    <n v="10"/>
    <x v="3"/>
    <x v="0"/>
    <s v="PLAQUETTES"/>
    <s v="290x12"/>
    <n v="118.7"/>
  </r>
  <r>
    <d v="2025-06-23T15:52:11"/>
    <x v="5"/>
    <s v="Plaquettes de finition triangulaires"/>
    <s v="SE08251"/>
    <s v="FAYET AYMERIC"/>
    <n v="10"/>
    <x v="3"/>
    <x v="0"/>
    <s v="PLAQUETTES"/>
    <s v="290x12"/>
    <n v="138.80000000000001"/>
  </r>
  <r>
    <d v="2025-06-27T14:53:46"/>
    <x v="4"/>
    <s v="Plaquettes de finition triangulaires"/>
    <s v="280225"/>
    <s v="FERNANDES DOS SANTOS REMY"/>
    <n v="10"/>
    <x v="1"/>
    <x v="0"/>
    <s v="PLAQUETTES"/>
    <s v="356x26 RPI"/>
    <n v="118.7"/>
  </r>
  <r>
    <d v="2025-06-28T13:07:24"/>
    <x v="5"/>
    <s v="Plaquettes de finition triangulaires"/>
    <s v="150725"/>
    <s v="ADOUL WASSIM"/>
    <n v="10"/>
    <x v="0"/>
    <x v="0"/>
    <s v="PLAQUETTES"/>
    <s v="330x14"/>
    <n v="138.80000000000001"/>
  </r>
  <r>
    <d v="2025-06-28T13:09:10"/>
    <x v="4"/>
    <s v="Plaquettes de finition triangulaires"/>
    <s v="150725"/>
    <s v="ADOUL WASSIM"/>
    <n v="10"/>
    <x v="0"/>
    <x v="0"/>
    <s v="PLAQUETTES"/>
    <s v="330x14"/>
    <n v="118.7"/>
  </r>
  <r>
    <d v="2025-06-30T06:40:14"/>
    <x v="4"/>
    <s v="Plaquettes de finition triangulaires"/>
    <s v="SE08251"/>
    <s v="FAYET AYMERIC"/>
    <n v="10"/>
    <x v="0"/>
    <x v="0"/>
    <s v="PLAQUETTES"/>
    <s v="290x12"/>
    <n v="118.7"/>
  </r>
  <r>
    <d v="2025-06-30T06:42:45"/>
    <x v="4"/>
    <s v="Plaquettes de finition triangulaires"/>
    <s v="SE08251"/>
    <s v="FAYET AYMERIC"/>
    <n v="10"/>
    <x v="3"/>
    <x v="0"/>
    <s v="PLAQUETTES"/>
    <s v="304x28 RPE"/>
    <n v="118.7"/>
  </r>
  <r>
    <d v="2025-07-03T01:33:40"/>
    <x v="4"/>
    <s v="Plaquettes de finition triangulaires"/>
    <s v="130124"/>
    <s v="MOHAMED ILDIRAY"/>
    <n v="10"/>
    <x v="1"/>
    <x v="0"/>
    <s v="PLAQUETTES"/>
    <s v="356x26 RPI"/>
    <n v="118.7"/>
  </r>
  <r>
    <d v="2025-07-04T13:18:32"/>
    <x v="5"/>
    <s v="Plaquettes de finition triangulaires"/>
    <s v="SD75051"/>
    <s v="COMBALUZIER LUCAS"/>
    <n v="10"/>
    <x v="3"/>
    <x v="0"/>
    <s v="PLAQUETTES"/>
    <s v="330x14"/>
    <n v="138.80000000000001"/>
  </r>
  <r>
    <d v="2025-07-04T15:43:24"/>
    <x v="5"/>
    <s v="Plaquettes de finition triangulaires"/>
    <s v="SD75051"/>
    <s v="COMBALUZIER LUCAS"/>
    <n v="10"/>
    <x v="0"/>
    <x v="0"/>
    <s v="PLAQUETTES"/>
    <s v="290x12"/>
    <n v="138.80000000000001"/>
  </r>
  <r>
    <d v="2025-07-04T16:52:06"/>
    <x v="4"/>
    <s v="Plaquettes de finition triangulaires"/>
    <s v="SD75051"/>
    <s v="COMBALUZIER LUCAS"/>
    <n v="10"/>
    <x v="3"/>
    <x v="0"/>
    <s v="PLAQUETTES"/>
    <s v="330x14"/>
    <n v="118.7"/>
  </r>
  <r>
    <d v="2025-07-04T16:53:24"/>
    <x v="4"/>
    <s v="Plaquettes de finition triangulaires"/>
    <s v="SD75051"/>
    <s v="COMBALUZIER LUCAS"/>
    <n v="10"/>
    <x v="0"/>
    <x v="0"/>
    <s v="PLAQUETTES"/>
    <s v="290x12"/>
    <n v="118.7"/>
  </r>
  <r>
    <d v="2025-07-07T05:12:51"/>
    <x v="4"/>
    <s v="Plaquettes de finition triangulaires"/>
    <s v="140325"/>
    <s v="BOUCLIER JONATHAN"/>
    <n v="10"/>
    <x v="2"/>
    <x v="3"/>
    <s v="PLAQUETTES"/>
    <s v="302x26 RPI"/>
    <n v="118.7"/>
  </r>
  <r>
    <d v="2025-07-07T19:55:46"/>
    <x v="4"/>
    <s v="Plaquettes de finition triangulaires"/>
    <s v="130124"/>
    <s v="MOHAMED ILDIRAY"/>
    <n v="10"/>
    <x v="1"/>
    <x v="0"/>
    <s v="PLAQUETTES"/>
    <s v="356x26 RPI"/>
    <n v="118.7"/>
  </r>
  <r>
    <d v="2025-07-10T04:36:29"/>
    <x v="4"/>
    <s v="Plaquettes de finition triangulaires"/>
    <s v="SE08251"/>
    <s v="FAYET AYMERIC"/>
    <n v="10"/>
    <x v="0"/>
    <x v="0"/>
    <s v="PLAQUETTES"/>
    <s v="356x26 RPI"/>
    <n v="118.7"/>
  </r>
  <r>
    <d v="2025-07-10T04:37:56"/>
    <x v="4"/>
    <s v="Plaquettes de finition triangulaires"/>
    <s v="SE08251"/>
    <s v="FAYET AYMERIC"/>
    <n v="10"/>
    <x v="3"/>
    <x v="0"/>
    <s v="PLAQUETTES"/>
    <s v="330x14"/>
    <n v="118.7"/>
  </r>
  <r>
    <d v="2025-07-10T04:38:16"/>
    <x v="5"/>
    <s v="Plaquettes de finition triangulaires"/>
    <s v="SE08251"/>
    <s v="FAYET AYMERIC"/>
    <n v="10"/>
    <x v="3"/>
    <x v="0"/>
    <s v="PLAQUETTES"/>
    <s v="330x14"/>
    <n v="138.80000000000001"/>
  </r>
  <r>
    <d v="2025-07-11T13:12:16"/>
    <x v="4"/>
    <s v="Plaquettes de finition triangulaires"/>
    <s v="130124"/>
    <s v="MOHAMED ILDIRAY"/>
    <n v="10"/>
    <x v="1"/>
    <x v="0"/>
    <s v="PLAQUETTES"/>
    <s v="304x28 RPE"/>
    <n v="118.7"/>
  </r>
  <r>
    <d v="2025-07-15T05:04:45"/>
    <x v="4"/>
    <s v="Plaquettes de finition triangulaires"/>
    <s v="130124"/>
    <s v="MOHAMED ILDIRAY"/>
    <n v="10"/>
    <x v="1"/>
    <x v="0"/>
    <s v="PLAQUETTES"/>
    <s v="304x28 RPE"/>
    <n v="118.7"/>
  </r>
  <r>
    <d v="2025-07-15T06:49:26"/>
    <x v="4"/>
    <s v="Plaquettes de finition triangulaires"/>
    <s v="130124"/>
    <s v="MOHAMED ILDIRAY"/>
    <n v="10"/>
    <x v="0"/>
    <x v="0"/>
    <s v="PLAQUETTES"/>
    <s v="356x26 RPI"/>
    <n v="118.7"/>
  </r>
  <r>
    <d v="2025-07-17T21:52:21"/>
    <x v="4"/>
    <s v="Plaquettes de finition triangulaires"/>
    <s v="SD75051"/>
    <s v="COMBALUZIER LUCAS"/>
    <n v="10"/>
    <x v="0"/>
    <x v="0"/>
    <s v="PLAQUETTES"/>
    <s v="356x26 RPI"/>
    <n v="118.7"/>
  </r>
  <r>
    <d v="2025-07-18T13:10:45"/>
    <x v="4"/>
    <s v="Plaquettes de finition triangulaires"/>
    <s v="280225"/>
    <s v="FERNANDES DOS SANTOS REMY"/>
    <n v="10"/>
    <x v="1"/>
    <x v="0"/>
    <s v="PLAQUETTES"/>
    <s v="304x28 RPE"/>
    <n v="118.7"/>
  </r>
  <r>
    <d v="2025-07-18T13:27:25"/>
    <x v="4"/>
    <s v="Plaquettes de finition triangulaires"/>
    <s v="SE08251"/>
    <s v="FAYET AYMERIC"/>
    <n v="10"/>
    <x v="3"/>
    <x v="0"/>
    <s v="PLAQUETTES"/>
    <s v="330x14"/>
    <n v="118.7"/>
  </r>
  <r>
    <d v="2025-07-18T13:27:51"/>
    <x v="5"/>
    <s v="Plaquettes de finition triangulaires"/>
    <s v="SE08251"/>
    <s v="FAYET AYMERIC"/>
    <n v="10"/>
    <x v="3"/>
    <x v="0"/>
    <s v="PLAQUETTES"/>
    <s v="330x14"/>
    <n v="138.80000000000001"/>
  </r>
  <r>
    <d v="2025-07-18T21:59:50"/>
    <x v="4"/>
    <s v="Plaquettes de finition triangulaires"/>
    <s v="sc95213"/>
    <s v="RABET PAULINE"/>
    <n v="10"/>
    <x v="1"/>
    <x v="0"/>
    <s v="PLAQUETTES"/>
    <s v="302x26 RPI"/>
    <n v="118.7"/>
  </r>
  <r>
    <d v="2025-07-21T07:58:01"/>
    <x v="4"/>
    <s v="Plaquettes de finition triangulaires"/>
    <s v="SE08251"/>
    <s v="FAYET AYMERIC"/>
    <n v="10"/>
    <x v="0"/>
    <x v="0"/>
    <s v="PLAQUETTES"/>
    <s v="356x26 RPI"/>
    <n v="118.7"/>
  </r>
  <r>
    <d v="2025-07-21T21:04:46"/>
    <x v="4"/>
    <s v="Plaquettes de finition triangulaires"/>
    <s v="101224"/>
    <s v="CHAZEAU KYLIAN"/>
    <n v="10"/>
    <x v="3"/>
    <x v="0"/>
    <s v="PLAQUETTES"/>
    <s v="330x14"/>
    <n v="118.7"/>
  </r>
  <r>
    <d v="2025-07-21T21:05:02"/>
    <x v="5"/>
    <s v="Plaquettes de finition triangulaires"/>
    <s v="101224"/>
    <s v="CHAZEAU KYLIAN"/>
    <n v="10"/>
    <x v="3"/>
    <x v="0"/>
    <s v="PLAQUETTES"/>
    <s v="330x14"/>
    <n v="138.80000000000001"/>
  </r>
  <r>
    <d v="2025-07-21T21:55:07"/>
    <x v="4"/>
    <s v="Plaquettes de finition triangulaires"/>
    <s v="101123"/>
    <s v="BRUNET ANDREA"/>
    <n v="10"/>
    <x v="1"/>
    <x v="0"/>
    <s v="PLAQUETTES"/>
    <s v="304x28 RPE"/>
    <n v="118.7"/>
  </r>
  <r>
    <d v="2025-07-23T21:05:55"/>
    <x v="4"/>
    <s v="Plaquettes de finition triangulaires"/>
    <s v="130124"/>
    <s v="MOHAMED ILDIRAY"/>
    <n v="10"/>
    <x v="1"/>
    <x v="0"/>
    <s v="PLAQUETTES"/>
    <s v="304x28 RPE"/>
    <n v="118.7"/>
  </r>
  <r>
    <d v="2025-07-25T08:13:07"/>
    <x v="4"/>
    <s v="Plaquettes de finition triangulaires"/>
    <s v="U080365"/>
    <s v="ALAVOINE SAMUEL"/>
    <n v="10"/>
    <x v="0"/>
    <x v="0"/>
    <s v="PLAQUETTES"/>
    <s v="290x12"/>
    <n v="118.7"/>
  </r>
  <r>
    <d v="2025-07-25T08:13:21"/>
    <x v="5"/>
    <s v="Plaquettes de finition triangulaires"/>
    <s v="U080365"/>
    <s v="ALAVOINE SAMUEL"/>
    <n v="10"/>
    <x v="0"/>
    <x v="0"/>
    <s v="PLAQUETTES"/>
    <s v="290x12"/>
    <n v="138.80000000000001"/>
  </r>
  <r>
    <d v="2025-07-25T19:50:10"/>
    <x v="4"/>
    <s v="Plaquettes de finition triangulaires"/>
    <s v="040725"/>
    <s v="BARGEOT LUCAS"/>
    <n v="10"/>
    <x v="0"/>
    <x v="0"/>
    <s v="PLAQUETTES"/>
    <s v="330x14"/>
    <n v="118.7"/>
  </r>
  <r>
    <d v="2025-07-28T07:48:38"/>
    <x v="4"/>
    <s v="Plaquettes de finition triangulaires"/>
    <s v="040725"/>
    <s v="BARGEOT LUCAS"/>
    <n v="10"/>
    <x v="3"/>
    <x v="0"/>
    <s v="PLAQUETTES"/>
    <s v="330x14"/>
    <n v="118.7"/>
  </r>
  <r>
    <d v="2025-07-28T10:26:37"/>
    <x v="5"/>
    <s v="Plaquettes de finition triangulaires"/>
    <s v="040725"/>
    <s v="BARGEOT LUCAS"/>
    <n v="10"/>
    <x v="3"/>
    <x v="0"/>
    <s v="PLAQUETTES"/>
    <s v="330x14"/>
    <n v="138.80000000000001"/>
  </r>
  <r>
    <d v="2025-07-28T13:52:11"/>
    <x v="4"/>
    <s v="Plaquettes de finition triangulaires"/>
    <s v="140325"/>
    <s v="BOUCLIER JONATHAN"/>
    <n v="10"/>
    <x v="2"/>
    <x v="3"/>
    <s v="PLAQUETTES"/>
    <s v="302x26 RPI"/>
    <n v="118.7"/>
  </r>
  <r>
    <d v="2025-07-29T05:38:23"/>
    <x v="5"/>
    <s v="Plaquettes de finition triangulaires"/>
    <s v="040725"/>
    <s v="BARGEOT LUCAS"/>
    <n v="10"/>
    <x v="0"/>
    <x v="0"/>
    <s v="PLAQUETTES"/>
    <s v="290x12"/>
    <n v="138.80000000000001"/>
  </r>
  <r>
    <d v="2025-08-07T13:44:06"/>
    <x v="4"/>
    <s v="Plaquettes de finition triangulaires"/>
    <s v="SF51433"/>
    <s v="BONTEMS COLINE"/>
    <n v="10"/>
    <x v="1"/>
    <x v="0"/>
    <s v="PLAQUETTES"/>
    <s v="TOUT DISQUES"/>
    <n v="118.7"/>
  </r>
  <r>
    <d v="2025-08-18T05:30:07"/>
    <x v="4"/>
    <s v="Plaquettes de finition triangulaires"/>
    <s v="SD75051"/>
    <s v="COMBALUZIER LUCAS"/>
    <n v="10"/>
    <x v="1"/>
    <x v="0"/>
    <s v="PLAQUETTES"/>
    <s v="304x28 RPE"/>
    <n v="118.7"/>
  </r>
  <r>
    <d v="2025-08-20T05:41:55"/>
    <x v="4"/>
    <s v="Plaquettes de finition triangulaires"/>
    <s v="040725"/>
    <s v="BARGEOT LUCAS"/>
    <n v="10"/>
    <x v="0"/>
    <x v="0"/>
    <s v="PLAQUETTES"/>
    <s v="356x26 RPI"/>
    <n v="118.7"/>
  </r>
  <r>
    <d v="2025-08-23T05:46:45"/>
    <x v="4"/>
    <s v="Plaquettes de finition triangulaires"/>
    <s v="DELIAT C"/>
    <s v="DELIAT CHRISTOPHE"/>
    <n v="10"/>
    <x v="1"/>
    <x v="0"/>
    <s v="PLAQUETTES"/>
    <s v="304x28 RPE"/>
    <n v="118.7"/>
  </r>
  <r>
    <d v="2025-08-23T11:18:45"/>
    <x v="4"/>
    <s v="Plaquettes de finition triangulaires"/>
    <s v="U080365"/>
    <s v="ALAVOINE SAMUEL"/>
    <n v="10"/>
    <x v="3"/>
    <x v="0"/>
    <s v="PLAQUETTES"/>
    <s v="330x14"/>
    <n v="118.7"/>
  </r>
  <r>
    <d v="2025-08-23T11:19:32"/>
    <x v="5"/>
    <s v="Plaquettes de finition triangulaires"/>
    <s v="U080365"/>
    <s v="ALAVOINE SAMUEL"/>
    <n v="10"/>
    <x v="3"/>
    <x v="0"/>
    <s v="PLAQUETTES"/>
    <s v="330x14"/>
    <n v="138.80000000000001"/>
  </r>
  <r>
    <d v="2025-08-23T11:20:23"/>
    <x v="4"/>
    <s v="Plaquettes de finition triangulaires"/>
    <s v="U080365"/>
    <s v="ALAVOINE SAMUEL"/>
    <n v="10"/>
    <x v="0"/>
    <x v="0"/>
    <s v="PLAQUETTES"/>
    <s v="356x26 RPI"/>
    <n v="118.7"/>
  </r>
  <r>
    <d v="2025-08-26T06:27:01"/>
    <x v="4"/>
    <s v="Plaquettes de finition triangulaires"/>
    <s v="101123"/>
    <s v="BRUNET ANDREA"/>
    <n v="10"/>
    <x v="1"/>
    <x v="0"/>
    <s v="PLAQUETTES"/>
    <s v="304x28 RPE"/>
    <n v="118.7"/>
  </r>
  <r>
    <d v="2025-08-28T05:02:46"/>
    <x v="4"/>
    <s v="Plaquettes de finition triangulaires"/>
    <s v="101123"/>
    <s v="BRUNET ANDREA"/>
    <n v="10"/>
    <x v="1"/>
    <x v="0"/>
    <s v="PLAQUETTES"/>
    <s v="304x28 RPE"/>
    <n v="118.7"/>
  </r>
  <r>
    <d v="2025-08-29T05:28:58"/>
    <x v="4"/>
    <s v="Plaquettes de finition triangulaires"/>
    <s v="DELIAT C"/>
    <s v="DELIAT CHRISTOPHE"/>
    <n v="10"/>
    <x v="1"/>
    <x v="0"/>
    <s v="PLAQUETTES"/>
    <s v="304x28 RPE"/>
    <n v="118.7"/>
  </r>
  <r>
    <d v="2025-08-29T21:38:23"/>
    <x v="4"/>
    <s v="Plaquettes de finition triangulaires"/>
    <s v="j529800"/>
    <s v="MONTCHARMONT BAPTISTE"/>
    <n v="10"/>
    <x v="0"/>
    <x v="0"/>
    <s v="PLAQUETTES"/>
    <s v="356x26 RPI"/>
    <n v="118.7"/>
  </r>
  <r>
    <d v="2025-08-30T05:41:22"/>
    <x v="4"/>
    <s v="Plaquettes de finition triangulaires"/>
    <s v="DELIAT C"/>
    <s v="DELIAT CHRISTOPHE"/>
    <n v="10"/>
    <x v="2"/>
    <x v="3"/>
    <s v="PLAQUETTES"/>
    <s v="302x26 RPI"/>
    <n v="118.7"/>
  </r>
  <r>
    <d v="2025-08-30T09:01:48"/>
    <x v="5"/>
    <s v="Plaquettes de finition triangulaires"/>
    <s v="u080365"/>
    <s v="ALAVOINE SAMUEL"/>
    <n v="10"/>
    <x v="3"/>
    <x v="0"/>
    <s v="PLAQUETTES"/>
    <s v="330x14"/>
    <n v="138.80000000000001"/>
  </r>
  <r>
    <d v="2025-08-30T11:25:56"/>
    <x v="4"/>
    <s v="Plaquettes de finition triangulaires"/>
    <s v="U080365"/>
    <s v="ALAVOINE SAMUEL"/>
    <n v="10"/>
    <x v="3"/>
    <x v="0"/>
    <s v="PLAQUETTES"/>
    <s v="330x14"/>
    <n v="118.7"/>
  </r>
  <r>
    <d v="2025-09-01T05:38:15"/>
    <x v="4"/>
    <s v="Plaquettes de finition triangulaires"/>
    <s v="SD75051"/>
    <s v="COMBALUZIER LUCAS"/>
    <n v="10"/>
    <x v="1"/>
    <x v="0"/>
    <s v="PLAQUETTES"/>
    <s v="304x28 RPE"/>
    <n v="118.7"/>
  </r>
  <r>
    <d v="2025-09-01T21:34:13"/>
    <x v="4"/>
    <s v="Plaquettes de finition triangulaires"/>
    <s v="j529800"/>
    <s v="MONTCHARMONT BAPTISTE"/>
    <n v="10"/>
    <x v="0"/>
    <x v="0"/>
    <s v="PLAQUETTES"/>
    <s v="356x26 RPI"/>
    <n v="118.7"/>
  </r>
  <r>
    <d v="2025-09-01T23:04:45"/>
    <x v="5"/>
    <s v="Plaquettes de finition triangulaires"/>
    <s v="j529800"/>
    <s v="MONTCHARMONT BAPTISTE"/>
    <n v="10"/>
    <x v="3"/>
    <x v="0"/>
    <s v="PLAQUETTES"/>
    <s v="330x14"/>
    <n v="138.80000000000001"/>
  </r>
  <r>
    <d v="2025-09-03T23:30:02"/>
    <x v="5"/>
    <s v="Plaquettes de finition triangulaires"/>
    <s v="j529800"/>
    <s v="MONTCHARMONT BAPTISTE"/>
    <n v="10"/>
    <x v="3"/>
    <x v="0"/>
    <s v="PLAQUETTES"/>
    <s v="330x14"/>
    <n v="138.80000000000001"/>
  </r>
  <r>
    <d v="2025-09-04T20:36:27"/>
    <x v="4"/>
    <s v="Plaquettes de finition triangulaires"/>
    <s v="101224"/>
    <s v="CHAZEAU KYLIAN"/>
    <n v="10"/>
    <x v="0"/>
    <x v="0"/>
    <s v="PLAQUETTES"/>
    <s v="356x26 RPI"/>
    <n v="118.7"/>
  </r>
  <r>
    <d v="2025-09-05T05:27:43"/>
    <x v="4"/>
    <s v="Plaquettes de finition triangulaires"/>
    <s v="U551977"/>
    <s v="BASPINAR SELAHATTIN"/>
    <n v="10"/>
    <x v="1"/>
    <x v="0"/>
    <s v="PLAQUETTES"/>
    <s v="304x28 RPE"/>
    <n v="118.7"/>
  </r>
  <r>
    <d v="2025-09-05T14:55:05"/>
    <x v="4"/>
    <s v="Plaquettes de finition triangulaires"/>
    <s v="12824586"/>
    <s v="DA SILVA FERNANDO"/>
    <n v="10"/>
    <x v="1"/>
    <x v="0"/>
    <s v="PLAQUETTES"/>
    <s v="TOUT DISQUES"/>
    <n v="118.7"/>
  </r>
  <r>
    <d v="2025-09-06T09:27:48"/>
    <x v="4"/>
    <s v="Plaquettes de finition triangulaires"/>
    <s v="150725"/>
    <s v="ADOUL WASSIM"/>
    <n v="10"/>
    <x v="0"/>
    <x v="0"/>
    <s v="PLAQUETTES"/>
    <s v="356x26 RPI"/>
    <n v="118.7"/>
  </r>
  <r>
    <d v="2025-09-08T14:17:26"/>
    <x v="4"/>
    <s v="Plaquettes de finition triangulaires"/>
    <s v="SD75051"/>
    <s v="COMBALUZIER LUCAS"/>
    <n v="10"/>
    <x v="1"/>
    <x v="0"/>
    <s v="PLAQUETTES"/>
    <s v="304x28 RPE"/>
    <n v="118.7"/>
  </r>
  <r>
    <d v="2025-09-08T18:05:39"/>
    <x v="4"/>
    <s v="Plaquettes de finition triangulaires"/>
    <s v="040725"/>
    <s v="BARGEOT LUCAS"/>
    <n v="10"/>
    <x v="0"/>
    <x v="0"/>
    <s v="PLAQUETTES"/>
    <s v="356x26 RPI"/>
    <n v="118.7"/>
  </r>
  <r>
    <d v="2025-09-08T18:05:55"/>
    <x v="4"/>
    <s v="Plaquettes de finition triangulaires"/>
    <s v="040725"/>
    <s v="BARGEOT LUCAS"/>
    <n v="10"/>
    <x v="3"/>
    <x v="0"/>
    <s v="PLAQUETTES"/>
    <s v="330x14"/>
    <n v="118.7"/>
  </r>
  <r>
    <d v="2025-09-10T05:04:08"/>
    <x v="5"/>
    <s v="Plaquettes de finition triangulaires"/>
    <s v="101224"/>
    <s v="CHAZEAU KYLIAN"/>
    <n v="10"/>
    <x v="3"/>
    <x v="0"/>
    <s v="PLAQUETTES"/>
    <s v="330x14"/>
    <n v="138.80000000000001"/>
  </r>
  <r>
    <d v="2025-09-10T21:21:43"/>
    <x v="5"/>
    <s v="Plaquettes de finition triangulaires"/>
    <s v="j529800"/>
    <s v="MONTCHARMONT BAPTISTE"/>
    <n v="10"/>
    <x v="3"/>
    <x v="0"/>
    <s v="PLAQUETTES"/>
    <s v="330x14"/>
    <n v="138.80000000000001"/>
  </r>
  <r>
    <d v="2025-09-10T21:22:00"/>
    <x v="4"/>
    <s v="Plaquettes de finition triangulaires"/>
    <s v="j529800"/>
    <s v="MONTCHARMONT BAPTISTE"/>
    <n v="10"/>
    <x v="0"/>
    <x v="0"/>
    <s v="PLAQUETTES"/>
    <s v="356x26 RPI"/>
    <n v="118.7"/>
  </r>
  <r>
    <d v="2025-09-11T05:14:00"/>
    <x v="4"/>
    <s v="Plaquettes de finition triangulaires"/>
    <s v="101123"/>
    <s v="BRUNET ANDREA"/>
    <n v="10"/>
    <x v="1"/>
    <x v="0"/>
    <s v="PLAQUETTES"/>
    <s v="304x28 RPE"/>
    <n v="118.7"/>
  </r>
  <r>
    <d v="2025-09-11T13:45:56"/>
    <x v="5"/>
    <s v="Plaquettes de finition triangulaires"/>
    <s v="040725"/>
    <s v="BARGEOT LUCAS"/>
    <n v="10"/>
    <x v="3"/>
    <x v="0"/>
    <s v="PLAQUETTES"/>
    <s v="330x14"/>
    <n v="138.80000000000001"/>
  </r>
  <r>
    <d v="2025-09-11T13:46:10"/>
    <x v="4"/>
    <s v="Plaquettes de finition triangulaires"/>
    <s v="040725"/>
    <s v="BARGEOT LUCAS"/>
    <n v="10"/>
    <x v="3"/>
    <x v="0"/>
    <s v="PLAQUETTES"/>
    <s v="330x14"/>
    <n v="118.7"/>
  </r>
  <r>
    <d v="2025-09-12T06:26:04"/>
    <x v="4"/>
    <s v="Plaquettes de finition triangulaires"/>
    <s v="DELIAT C"/>
    <s v="DELIAT CHRISTOPHE"/>
    <n v="10"/>
    <x v="2"/>
    <x v="3"/>
    <s v="PLAQUETTES"/>
    <s v="302x26 RPI"/>
    <n v="118.7"/>
  </r>
  <r>
    <d v="2025-09-12T14:45:06"/>
    <x v="4"/>
    <s v="Plaquettes de finition triangulaires"/>
    <s v="040725"/>
    <s v="BARGEOT LUCAS"/>
    <n v="10"/>
    <x v="0"/>
    <x v="0"/>
    <s v="PLAQUETTES"/>
    <s v="356x26 RPI"/>
    <n v="118.7"/>
  </r>
  <r>
    <d v="2025-09-12T21:49:38"/>
    <x v="4"/>
    <s v="Plaquettes de finition triangulaires"/>
    <s v="101123"/>
    <s v="BRUNET ANDREA"/>
    <n v="10"/>
    <x v="1"/>
    <x v="0"/>
    <s v="PLAQUETTES"/>
    <s v="304x28 RPE"/>
    <n v="118.7"/>
  </r>
  <r>
    <d v="2025-09-15T08:12:25"/>
    <x v="4"/>
    <s v="Plaquettes de finition triangulaires"/>
    <s v="140325"/>
    <s v="BOUCLIER JONATHAN"/>
    <n v="10"/>
    <x v="2"/>
    <x v="3"/>
    <s v="PLAQUETTES"/>
    <s v="302x26 RPI"/>
    <n v="118.7"/>
  </r>
  <r>
    <d v="2025-09-16T14:15:22"/>
    <x v="5"/>
    <s v="Plaquettes de finition triangulaires"/>
    <s v="101224"/>
    <s v="CHAZEAU KYLIAN"/>
    <n v="10"/>
    <x v="3"/>
    <x v="0"/>
    <s v="PLAQUETTES"/>
    <s v="290x12"/>
    <n v="138.80000000000001"/>
  </r>
  <r>
    <d v="2025-09-16T17:48:25"/>
    <x v="4"/>
    <s v="Plaquettes de finition triangulaires"/>
    <s v="101224"/>
    <s v="CHAZEAU KYLIAN"/>
    <n v="10"/>
    <x v="3"/>
    <x v="0"/>
    <s v="PLAQUETTES"/>
    <s v="290x12"/>
    <n v="118.7"/>
  </r>
  <r>
    <d v="2025-09-16T17:48:39"/>
    <x v="4"/>
    <s v="Plaquettes de finition triangulaires"/>
    <s v="101224"/>
    <s v="CHAZEAU KYLIAN"/>
    <n v="10"/>
    <x v="0"/>
    <x v="0"/>
    <s v="PLAQUETTES"/>
    <s v="356x26 RPI"/>
    <n v="118.7"/>
  </r>
  <r>
    <d v="2025-09-17T13:59:11"/>
    <x v="4"/>
    <s v="Plaquettes de finition triangulaires"/>
    <s v="101123"/>
    <s v="BRUNET ANDREA"/>
    <n v="10"/>
    <x v="1"/>
    <x v="0"/>
    <s v="PLAQUETTES"/>
    <s v="304x28 RPE"/>
    <n v="118.7"/>
  </r>
  <r>
    <d v="2025-09-19T04:32:26"/>
    <x v="5"/>
    <s v="Plaquettes de finition triangulaires"/>
    <s v="j529800"/>
    <s v="MONTCHARMONT BAPTISTE"/>
    <n v="10"/>
    <x v="3"/>
    <x v="0"/>
    <s v="PLAQUETTES"/>
    <s v="290x12"/>
    <n v="138.80000000000001"/>
  </r>
  <r>
    <d v="2025-09-19T14:02:02"/>
    <x v="4"/>
    <s v="Plaquettes de finition triangulaires"/>
    <s v="101224"/>
    <s v="CHAZEAU KYLIAN"/>
    <n v="10"/>
    <x v="0"/>
    <x v="0"/>
    <s v="PLAQUETTES"/>
    <s v="356x26 RPI"/>
    <n v="118.7"/>
  </r>
  <r>
    <d v="2025-09-19T17:32:31"/>
    <x v="4"/>
    <s v="Plaquettes de finition triangulaires"/>
    <s v="101224"/>
    <s v="CHAZEAU KYLIAN"/>
    <n v="10"/>
    <x v="3"/>
    <x v="0"/>
    <s v="PLAQUETTES"/>
    <s v="290x12"/>
    <n v="118.7"/>
  </r>
  <r>
    <d v="2025-09-20T12:53:17"/>
    <x v="4"/>
    <s v="Plaquettes de finition triangulaires"/>
    <s v="U109136"/>
    <s v="WIPLIE FREDERIC"/>
    <n v="10"/>
    <x v="1"/>
    <x v="0"/>
    <s v="PLAQUETTES"/>
    <s v="304x28 RPE"/>
    <n v="118.7"/>
  </r>
  <r>
    <d v="2025-09-23T05:03:34"/>
    <x v="4"/>
    <s v="Plaquettes de finition triangulaires"/>
    <s v="101224"/>
    <s v="CHAZEAU KYLIAN"/>
    <n v="10"/>
    <x v="0"/>
    <x v="0"/>
    <s v="PLAQUETTES"/>
    <s v="356x26 RPI"/>
    <n v="118.7"/>
  </r>
  <r>
    <d v="2025-09-23T05:04:11"/>
    <x v="4"/>
    <s v="Plaquettes de finition triangulaires"/>
    <s v="101224"/>
    <s v="CHAZEAU KYLIAN"/>
    <n v="10"/>
    <x v="3"/>
    <x v="0"/>
    <s v="PLAQUETTES"/>
    <s v="290x12"/>
    <n v="118.7"/>
  </r>
  <r>
    <d v="2025-09-23T13:17:12"/>
    <x v="4"/>
    <s v="Plaquettes de finition triangulaires"/>
    <s v="SD75051"/>
    <s v="COMBALUZIER LUCAS"/>
    <n v="10"/>
    <x v="1"/>
    <x v="0"/>
    <s v="PLAQUETTES"/>
    <s v="304x28 RPE"/>
    <n v="118.7"/>
  </r>
  <r>
    <d v="2025-09-23T14:25:35"/>
    <x v="5"/>
    <s v="Plaquettes de finition triangulaires"/>
    <s v="040725"/>
    <s v="BARGEOT LUCAS"/>
    <n v="10"/>
    <x v="3"/>
    <x v="0"/>
    <s v="PLAQUETTES"/>
    <s v="290x12"/>
    <n v="138.80000000000001"/>
  </r>
  <r>
    <d v="2025-09-25T10:01:18"/>
    <x v="4"/>
    <s v="Plaquettes de finition triangulaires"/>
    <s v="101224"/>
    <s v="CHAZEAU KYLIAN"/>
    <n v="10"/>
    <x v="3"/>
    <x v="0"/>
    <s v="PLAQUETTES"/>
    <s v="330x28 RPE KO"/>
    <n v="118.7"/>
  </r>
  <r>
    <d v="2025-09-29T21:23:28"/>
    <x v="4"/>
    <s v="Plaquettes de finition triangulaires"/>
    <s v="j529800"/>
    <s v="MONTCHARMONT BAPTISTE"/>
    <n v="10"/>
    <x v="3"/>
    <x v="0"/>
    <s v="PLAQUETTES"/>
    <s v="330x14"/>
    <n v="118.7"/>
  </r>
  <r>
    <d v="2025-09-30T06:11:06"/>
    <x v="4"/>
    <s v="Plaquettes de finition triangulaires"/>
    <s v="SD75051"/>
    <s v="COMBALUZIER LUCAS"/>
    <n v="10"/>
    <x v="1"/>
    <x v="0"/>
    <s v="PLAQUETTES"/>
    <s v="304x28 RPE"/>
    <n v="118.7"/>
  </r>
  <r>
    <d v="2025-09-30T06:32:48"/>
    <x v="5"/>
    <s v="Plaquettes de finition triangulaires"/>
    <s v="040725"/>
    <s v="BARGEOT LUCAS"/>
    <n v="10"/>
    <x v="3"/>
    <x v="0"/>
    <s v="PLAQUETTES"/>
    <s v="330x14"/>
    <n v="138.80000000000001"/>
  </r>
  <r>
    <d v="2025-09-30T21:26:41"/>
    <x v="4"/>
    <s v="Plaquettes de finition triangulaires"/>
    <s v="j529800"/>
    <s v="MONTCHARMONT BAPTISTE"/>
    <n v="10"/>
    <x v="3"/>
    <x v="0"/>
    <s v="PLAQUETTES"/>
    <s v="330x14"/>
    <n v="118.7"/>
  </r>
  <r>
    <d v="2025-10-01T15:35:51"/>
    <x v="4"/>
    <s v="Plaquettes de finition triangulaires"/>
    <s v="101224"/>
    <s v="CHAZEAU KYLIAN"/>
    <n v="10"/>
    <x v="0"/>
    <x v="0"/>
    <s v="PLAQUETTES"/>
    <s v="356x26 RPI"/>
    <n v="118.7"/>
  </r>
  <r>
    <d v="2025-10-02T05:16:20"/>
    <x v="4"/>
    <s v="Plaquettes de finition triangulaires"/>
    <s v="SD75051"/>
    <s v="COMBALUZIER LUCAS"/>
    <n v="10"/>
    <x v="1"/>
    <x v="0"/>
    <s v="PLAQUETTES"/>
    <s v="304x28 RPE"/>
    <n v="118.7"/>
  </r>
  <r>
    <d v="2025-10-02T21:46:31"/>
    <x v="5"/>
    <s v="Plaquettes de finition triangulaires"/>
    <s v="j529800"/>
    <s v="MONTCHARMONT BAPTISTE"/>
    <n v="10"/>
    <x v="3"/>
    <x v="0"/>
    <s v="PLAQUETTES"/>
    <s v="330x14"/>
    <n v="138.80000000000001"/>
  </r>
  <r>
    <d v="2025-10-03T19:00:17"/>
    <x v="4"/>
    <s v="Plaquettes de finition triangulaires"/>
    <s v="101224"/>
    <s v="CHAZEAU KYLIAN"/>
    <n v="10"/>
    <x v="0"/>
    <x v="0"/>
    <s v="PLAQUETTES"/>
    <s v="356x26 RPI"/>
    <n v="118.7"/>
  </r>
  <r>
    <d v="2025-10-03T19:00:40"/>
    <x v="4"/>
    <s v="Plaquettes de finition triangulaires"/>
    <s v="101224"/>
    <s v="CHAZEAU KYLIAN"/>
    <n v="10"/>
    <x v="3"/>
    <x v="0"/>
    <s v="PLAQUETTES"/>
    <s v="330x14"/>
    <n v="118.7"/>
  </r>
  <r>
    <d v="2025-10-03T21:29:24"/>
    <x v="4"/>
    <s v="Plaquettes de finition triangulaires"/>
    <s v="130325"/>
    <s v="PAPONNEAU JULIEN"/>
    <n v="10"/>
    <x v="1"/>
    <x v="0"/>
    <s v="PLAQUETTES"/>
    <s v="304x28 RPE"/>
    <n v="118.7"/>
  </r>
  <r>
    <d v="2025-10-03T21:29:39"/>
    <x v="4"/>
    <s v="Plaquettes de finition triangulaires"/>
    <s v="130325"/>
    <s v="PAPONNEAU JULIEN"/>
    <n v="10"/>
    <x v="1"/>
    <x v="0"/>
    <s v="PLAQUETTES"/>
    <s v="304x28 RPE"/>
    <n v="118.7"/>
  </r>
  <r>
    <d v="2025-10-06T14:28:37"/>
    <x v="4"/>
    <s v="Plaquettes de finition triangulaires"/>
    <s v="SD75051"/>
    <s v="COMBALUZIER LUCAS"/>
    <n v="10"/>
    <x v="1"/>
    <x v="0"/>
    <s v="PLAQUETTES"/>
    <s v="304x28 RPE"/>
    <n v="118.7"/>
  </r>
  <r>
    <d v="2025-10-06T21:12:53"/>
    <x v="4"/>
    <s v="Plaquettes de finition triangulaires"/>
    <s v="j529800"/>
    <s v="MONTCHARMONT BAPTISTE"/>
    <n v="10"/>
    <x v="0"/>
    <x v="0"/>
    <s v="PLAQUETTES"/>
    <s v="356x26 RPI"/>
    <n v="118.7"/>
  </r>
  <r>
    <d v="2025-10-09T19:35:33"/>
    <x v="4"/>
    <s v="Plaquettes de finition triangulaires"/>
    <s v="J609988"/>
    <s v="AMALRIC VINCENT"/>
    <n v="10"/>
    <x v="1"/>
    <x v="0"/>
    <s v="PLAQUETTES"/>
    <s v="304x28 RPE"/>
    <n v="118.7"/>
  </r>
  <r>
    <d v="2025-10-10T13:29:14"/>
    <x v="4"/>
    <s v="Plaquettes de finition triangulaires"/>
    <s v="040725"/>
    <s v="BARGEOT LUCAS"/>
    <n v="10"/>
    <x v="0"/>
    <x v="0"/>
    <s v="PLAQUETTES"/>
    <s v="356x26 RPI"/>
    <n v="118.7"/>
  </r>
  <r>
    <d v="2025-10-12T20:45:09"/>
    <x v="4"/>
    <s v="Plaquettes de finition triangulaires"/>
    <s v="150725"/>
    <s v="ADOUL WASSIM"/>
    <n v="10"/>
    <x v="1"/>
    <x v="0"/>
    <s v="PLAQUETTES"/>
    <s v="304x28 RPE"/>
    <n v="118.7"/>
  </r>
  <r>
    <d v="2025-10-13T21:53:18"/>
    <x v="4"/>
    <s v="Plaquettes de finition triangulaires"/>
    <s v="j529800"/>
    <s v="MONTCHARMONT BAPTISTE"/>
    <n v="10"/>
    <x v="0"/>
    <x v="0"/>
    <s v="PLAQUETTES"/>
    <s v="356x26 RPI"/>
    <n v="118.7"/>
  </r>
  <r>
    <d v="2025-10-14T19:55:49"/>
    <x v="4"/>
    <s v="Plaquettes de finition triangulaires"/>
    <s v="101224"/>
    <s v="CHAZEAU KYLIAN"/>
    <n v="10"/>
    <x v="0"/>
    <x v="0"/>
    <s v="PLAQUETTES"/>
    <s v="356x26 RPI"/>
    <n v="118.7"/>
  </r>
  <r>
    <d v="2025-10-16T05:21:58"/>
    <x v="4"/>
    <s v="Plaquettes de finition triangulaires"/>
    <s v="SD75051"/>
    <s v="COMBALUZIER LUCAS"/>
    <n v="10"/>
    <x v="1"/>
    <x v="0"/>
    <s v="PLAQUETTES"/>
    <s v="304x28 RPE"/>
    <n v="118.7"/>
  </r>
  <r>
    <d v="2025-10-17T02:41:36"/>
    <x v="4"/>
    <s v="Plaquettes de finition triangulaires"/>
    <s v="j529800"/>
    <s v="MONTCHARMONT BAPTISTE"/>
    <n v="10"/>
    <x v="0"/>
    <x v="0"/>
    <s v="PLAQUETTES"/>
    <s v="356x26 RPI"/>
    <n v="118.7"/>
  </r>
  <r>
    <d v="2025-10-17T16:51:05"/>
    <x v="4"/>
    <s v="Plaquettes de finition triangulaires"/>
    <s v="101224"/>
    <s v="CHAZEAU KYLIAN"/>
    <n v="10"/>
    <x v="0"/>
    <x v="0"/>
    <s v="PLAQUETTES"/>
    <s v="356x26 RPI"/>
    <n v="118.7"/>
  </r>
  <r>
    <d v="2025-10-20T06:34:54"/>
    <x v="4"/>
    <s v="Plaquettes de finition triangulaires"/>
    <s v="U505000"/>
    <s v="RECEVEUR BENOIT"/>
    <n v="10"/>
    <x v="1"/>
    <x v="0"/>
    <s v="PLAQUETTES"/>
    <s v="304x28 RPE"/>
    <n v="118.7"/>
  </r>
  <r>
    <d v="2025-10-20T16:52:50"/>
    <x v="4"/>
    <s v="Plaquettes de finition triangulaires"/>
    <s v="040725"/>
    <s v="BARGEOT LUCAS"/>
    <n v="10"/>
    <x v="0"/>
    <x v="0"/>
    <s v="PLAQUETTES"/>
    <s v="356x26 RPI"/>
    <n v="118.7"/>
  </r>
  <r>
    <d v="2025-10-20T21:19:21"/>
    <x v="4"/>
    <s v="Plaquettes de finition triangulaires"/>
    <s v="j529800"/>
    <s v="MONTCHARMONT BAPTISTE"/>
    <n v="10"/>
    <x v="0"/>
    <x v="0"/>
    <s v="PLAQUETTES"/>
    <s v="330x14"/>
    <n v="118.7"/>
  </r>
  <r>
    <d v="2025-10-21T19:34:49"/>
    <x v="5"/>
    <s v="Plaquettes de finition triangulaires"/>
    <s v="040725"/>
    <s v="BARGEOT LUCAS"/>
    <n v="10"/>
    <x v="3"/>
    <x v="0"/>
    <s v="PLAQUETTES"/>
    <s v="330x14"/>
    <n v="138.80000000000001"/>
  </r>
  <r>
    <d v="2025-10-23T05:56:59"/>
    <x v="4"/>
    <s v="Plaquettes de finition triangulaires"/>
    <s v="045F69CAA77080"/>
    <s v="TEIXEIRA FLORIAN"/>
    <n v="10"/>
    <x v="2"/>
    <x v="3"/>
    <s v="PLAQUETTES"/>
    <s v="302x26 RPI"/>
    <n v="118.7"/>
  </r>
  <r>
    <d v="2025-10-23T13:11:40"/>
    <x v="4"/>
    <s v="Plaquettes de finition triangulaires"/>
    <s v="SD75051"/>
    <s v="COMBALUZIER LUCAS"/>
    <n v="10"/>
    <x v="1"/>
    <x v="0"/>
    <s v="PLAQUETTES"/>
    <s v="304x28 RPE"/>
    <n v="118.7"/>
  </r>
  <r>
    <d v="2025-10-23T14:37:55"/>
    <x v="4"/>
    <s v="Plaquettes de finition triangulaires"/>
    <s v="040725"/>
    <s v="BARGEOT LUCAS"/>
    <n v="10"/>
    <x v="3"/>
    <x v="0"/>
    <s v="PLAQUETTES"/>
    <s v="330x14"/>
    <n v="118.7"/>
  </r>
  <r>
    <d v="2025-10-24T13:10:02"/>
    <x v="4"/>
    <s v="Plaquettes de finition triangulaires"/>
    <s v="040725"/>
    <s v="BARGEOT LUCAS"/>
    <n v="10"/>
    <x v="1"/>
    <x v="0"/>
    <s v="PLAQUETTES"/>
    <s v="304x28 RPE"/>
    <n v="118.7"/>
  </r>
  <r>
    <d v="2025-10-24T21:30:30"/>
    <x v="4"/>
    <s v="Plaquettes de finition triangulaires"/>
    <s v="j529800"/>
    <s v="MONTCHARMONT BAPTISTE"/>
    <n v="10"/>
    <x v="3"/>
    <x v="0"/>
    <s v="PLAQUETTES"/>
    <s v="330x28 RPE KO"/>
    <n v="118.7"/>
  </r>
  <r>
    <d v="2025-10-27T05:09:21"/>
    <x v="4"/>
    <s v="Plaquettes de finition triangulaires"/>
    <s v="040725"/>
    <s v="BARGEOT LUCAS"/>
    <n v="10"/>
    <x v="3"/>
    <x v="0"/>
    <s v="PLAQUETTES"/>
    <s v="330x28 RPE KO"/>
    <n v="118.7"/>
  </r>
  <r>
    <d v="2025-10-28T09:31:57"/>
    <x v="4"/>
    <s v="Plaquettes de finition triangulaires"/>
    <s v="12824586"/>
    <s v="DA SILVA FERNANDO"/>
    <n v="10"/>
    <x v="1"/>
    <x v="0"/>
    <s v="PLAQUETTES"/>
    <s v="TOUT DISQUES"/>
    <n v="118.7"/>
  </r>
  <r>
    <d v="2025-10-28T15:27:23"/>
    <x v="4"/>
    <s v="Plaquettes de finition triangulaires"/>
    <s v="04551FC25C7780"/>
    <s v="CHEDRU VIANNEY"/>
    <n v="10"/>
    <x v="0"/>
    <x v="0"/>
    <s v="PLAQUETTES"/>
    <s v="356x26 RPI"/>
    <n v="118.7"/>
  </r>
  <r>
    <d v="2025-10-29T05:07:01"/>
    <x v="4"/>
    <s v="Plaquettes de finition triangulaires"/>
    <s v="SD75051"/>
    <s v="COMBALUZIER LUCAS"/>
    <n v="10"/>
    <x v="1"/>
    <x v="0"/>
    <s v="PLAQUETTES"/>
    <s v="304x28 RPE"/>
    <n v="118.7"/>
  </r>
  <r>
    <d v="2025-10-31T04:10:00"/>
    <x v="4"/>
    <s v="Plaquettes de finition triangulaires"/>
    <s v="j529800"/>
    <s v="MONTCHARMONT BAPTISTE"/>
    <n v="10"/>
    <x v="3"/>
    <x v="0"/>
    <s v="PLAQUETTES"/>
    <s v="330x28 RPE KO"/>
    <n v="118.7"/>
  </r>
  <r>
    <d v="2025-10-31T15:42:48"/>
    <x v="4"/>
    <s v="Plaquettes de finition triangulaires"/>
    <s v="101224"/>
    <s v="CHAZEAU KYLIAN"/>
    <n v="10"/>
    <x v="1"/>
    <x v="0"/>
    <s v="PLAQUETTES"/>
    <s v="304x28 RPE"/>
    <n v="118.7"/>
  </r>
  <r>
    <d v="2025-11-03T05:11:57"/>
    <x v="4"/>
    <s v="Plaquettes de finition triangulaires"/>
    <s v="101224"/>
    <s v="CHAZEAU KYLIAN"/>
    <n v="10"/>
    <x v="1"/>
    <x v="0"/>
    <s v="PLAQUETTES"/>
    <s v="304x28 RPE"/>
    <n v="118.7"/>
  </r>
  <r>
    <d v="2025-11-04T21:24:39"/>
    <x v="4"/>
    <s v="Plaquettes de finition triangulaires"/>
    <s v="130325"/>
    <s v="PAPONNEAU JULIEN"/>
    <n v="10"/>
    <x v="1"/>
    <x v="0"/>
    <s v="PLAQUETTES"/>
    <s v="304x28 RPE"/>
    <n v="118.7"/>
  </r>
  <r>
    <d v="2025-11-04T21:24:54"/>
    <x v="4"/>
    <s v="Plaquettes de finition triangulaires"/>
    <s v="130325"/>
    <s v="PAPONNEAU JULIEN"/>
    <n v="10"/>
    <x v="1"/>
    <x v="0"/>
    <s v="PLAQUETTES"/>
    <s v="304x28 RPE"/>
    <n v="118.7"/>
  </r>
  <r>
    <d v="2025-11-04T21:25:05"/>
    <x v="4"/>
    <s v="Plaquettes de finition triangulaires"/>
    <s v="130325"/>
    <s v="PAPONNEAU JULIEN"/>
    <n v="10"/>
    <x v="1"/>
    <x v="0"/>
    <s v="PLAQUETTES"/>
    <s v="304x28 RPE"/>
    <n v="118.7"/>
  </r>
  <r>
    <d v="2025-11-05T13:41:45"/>
    <x v="4"/>
    <s v="Plaquettes de finition triangulaires"/>
    <s v="040725"/>
    <s v="BARGEOT LUCAS"/>
    <n v="10"/>
    <x v="3"/>
    <x v="0"/>
    <s v="PLAQUETTES"/>
    <s v="330x28 RPE KO"/>
    <n v="118.7"/>
  </r>
  <r>
    <d v="2025-11-06T05:57:20"/>
    <x v="4"/>
    <s v="Plaquettes de finition triangulaires"/>
    <s v="04551FC25C7780"/>
    <s v="CHEDRU VIANNEY"/>
    <n v="10"/>
    <x v="3"/>
    <x v="0"/>
    <s v="PLAQUETTES"/>
    <s v="330x28 RPE KO"/>
    <n v="118.7"/>
  </r>
  <r>
    <d v="2025-11-06T13:45:08"/>
    <x v="5"/>
    <s v="Plaquettes de finition triangulaires"/>
    <s v="040725"/>
    <s v="BARGEOT LUCAS"/>
    <n v="10"/>
    <x v="3"/>
    <x v="0"/>
    <s v="PLAQUETTES"/>
    <s v="330x14"/>
    <n v="138.80000000000001"/>
  </r>
  <r>
    <d v="2025-11-07T21:22:37"/>
    <x v="4"/>
    <s v="Plaquettes de finition triangulaires"/>
    <s v="j529800"/>
    <s v="MONTCHARMONT BAPTISTE"/>
    <n v="10"/>
    <x v="3"/>
    <x v="0"/>
    <s v="PLAQUETTES"/>
    <s v="330x14"/>
    <n v="118.7"/>
  </r>
  <r>
    <d v="2025-11-08T07:24:41"/>
    <x v="4"/>
    <s v="Plaquettes de finition triangulaires"/>
    <s v="u080365"/>
    <s v="ALAVOINE SAMUEL"/>
    <n v="10"/>
    <x v="1"/>
    <x v="0"/>
    <s v="PLAQUETTES"/>
    <s v="304x28 RPE"/>
    <n v="118.7"/>
  </r>
  <r>
    <d v="2025-11-08T11:16:06"/>
    <x v="4"/>
    <s v="Plaquettes de finition triangulaires"/>
    <s v="DELIAT C"/>
    <s v="DELIAT CHRISTOPHE"/>
    <n v="10"/>
    <x v="3"/>
    <x v="0"/>
    <s v="PLAQUETTES"/>
    <s v="330x14"/>
    <n v="118.7"/>
  </r>
  <r>
    <d v="2025-11-08T20:57:38"/>
    <x v="5"/>
    <s v="Plaquettes de finition triangulaires"/>
    <s v="150725"/>
    <s v="ADOUL WASSIM"/>
    <n v="10"/>
    <x v="3"/>
    <x v="0"/>
    <s v="PLAQUETTES"/>
    <s v="330x14"/>
    <n v="138.80000000000001"/>
  </r>
  <r>
    <d v="2025-11-09T06:55:14"/>
    <x v="4"/>
    <s v="Plaquettes de finition triangulaires"/>
    <s v="U080365"/>
    <s v="ALAVOINE SAMUEL"/>
    <n v="10"/>
    <x v="0"/>
    <x v="0"/>
    <s v="PLAQUETTES"/>
    <s v="356x26 RPI"/>
    <n v="118.7"/>
  </r>
  <r>
    <d v="2025-11-09T06:57:06"/>
    <x v="4"/>
    <s v="Plaquettes de finition triangulaires"/>
    <s v="U080365"/>
    <s v="ALAVOINE SAMUEL"/>
    <n v="10"/>
    <x v="3"/>
    <x v="0"/>
    <s v="PLAQUETTES"/>
    <s v="330x14"/>
    <n v="118.7"/>
  </r>
  <r>
    <d v="2025-11-12T07:03:53"/>
    <x v="5"/>
    <s v="Plaquettes de finition triangulaires"/>
    <s v="040725"/>
    <s v="BARGEOT LUCAS"/>
    <n v="10"/>
    <x v="3"/>
    <x v="0"/>
    <s v="PLAQUETTES"/>
    <s v="330x14"/>
    <n v="138.80000000000001"/>
  </r>
  <r>
    <d v="2025-11-12T21:37:37"/>
    <x v="4"/>
    <s v="Plaquettes de finition triangulaires"/>
    <s v="130325"/>
    <s v="PAPONNEAU JULIEN"/>
    <n v="10"/>
    <x v="1"/>
    <x v="0"/>
    <s v="PLAQUETTES"/>
    <s v="304x28 RPE"/>
    <n v="118.7"/>
  </r>
  <r>
    <d v="2025-11-13T22:11:07"/>
    <x v="4"/>
    <s v="Plaquettes de finition triangulaires"/>
    <s v="j529800"/>
    <s v="MONTCHARMONT BAPTISTE"/>
    <n v="10"/>
    <x v="3"/>
    <x v="0"/>
    <s v="PLAQUETTES"/>
    <s v="330x28 RPE KO"/>
    <n v="118.7"/>
  </r>
  <r>
    <d v="2025-11-14T19:02:53"/>
    <x v="4"/>
    <s v="Plaquettes de finition triangulaires"/>
    <s v="101224"/>
    <s v="CHAZEAU KYLIAN"/>
    <n v="10"/>
    <x v="1"/>
    <x v="0"/>
    <s v="PLAQUETTES"/>
    <s v="304x28 RPE"/>
    <n v="118.7"/>
  </r>
  <r>
    <d v="2025-11-15T02:24:33"/>
    <x v="4"/>
    <s v="Plaquettes de finition triangulaires"/>
    <s v="j529800"/>
    <s v="MONTCHARMONT BAPTISTE"/>
    <n v="10"/>
    <x v="3"/>
    <x v="0"/>
    <s v="PLAQUETTES"/>
    <s v="330x28 RPE KO"/>
    <n v="118.7"/>
  </r>
  <r>
    <d v="2025-11-15T07:19:53"/>
    <x v="4"/>
    <s v="Plaquettes de finition triangulaires"/>
    <s v="150725"/>
    <s v="ADOUL WASSIM"/>
    <n v="10"/>
    <x v="1"/>
    <x v="0"/>
    <s v="PLAQUETTES"/>
    <s v="304x28 RPE"/>
    <n v="118.7"/>
  </r>
  <r>
    <d v="2025-11-16T03:10:50"/>
    <x v="4"/>
    <s v="Plaquettes de finition triangulaires"/>
    <s v="U080365"/>
    <s v="ALAVOINE SAMUEL"/>
    <n v="10"/>
    <x v="0"/>
    <x v="0"/>
    <s v="PLAQUETTES"/>
    <s v="356x26 RPI"/>
    <n v="118.7"/>
  </r>
  <r>
    <d v="2025-11-16T03:11:04"/>
    <x v="4"/>
    <s v="Plaquettes de finition triangulaires"/>
    <s v="U080365"/>
    <s v="ALAVOINE SAMUEL"/>
    <n v="10"/>
    <x v="3"/>
    <x v="0"/>
    <s v="PLAQUETTES"/>
    <s v="330x28 RPE KO"/>
    <n v="118.7"/>
  </r>
  <r>
    <d v="2025-11-18T13:09:51"/>
    <x v="4"/>
    <s v="Plaquettes de finition triangulaires"/>
    <s v="SD75051"/>
    <s v="COMBALUZIER LUCAS"/>
    <n v="10"/>
    <x v="1"/>
    <x v="0"/>
    <s v="PLAQUETTES"/>
    <s v="304x28 RPE"/>
    <n v="118.7"/>
  </r>
  <r>
    <d v="2025-11-19T00:16:40"/>
    <x v="4"/>
    <s v="Plaquettes de finition triangulaires"/>
    <s v="j529800"/>
    <s v="MONTCHARMONT BAPTISTE"/>
    <n v="10"/>
    <x v="0"/>
    <x v="0"/>
    <s v="PLAQUETTES"/>
    <s v="356x26 RPI"/>
    <n v="118.7"/>
  </r>
  <r>
    <d v="2025-11-19T13:29:49"/>
    <x v="4"/>
    <s v="Plaquettes de finition triangulaires"/>
    <s v="SD75051"/>
    <s v="COMBALUZIER LUCAS"/>
    <n v="10"/>
    <x v="1"/>
    <x v="0"/>
    <s v="PLAQUETTES"/>
    <s v="304x28 RPE"/>
    <n v="118.7"/>
  </r>
  <r>
    <d v="2025-11-20T06:04:23"/>
    <x v="4"/>
    <s v="Plaquettes de finition triangulaires"/>
    <s v="04551FC25C7780"/>
    <s v="CHEDRU VIANNEY"/>
    <n v="10"/>
    <x v="0"/>
    <x v="0"/>
    <s v="PLAQUETTES"/>
    <s v="356x26 RPI"/>
    <n v="118.7"/>
  </r>
  <r>
    <d v="2025-11-20T23:52:07"/>
    <x v="5"/>
    <s v="Plaquettes de finition triangulaires"/>
    <s v="j529800"/>
    <s v="MONTCHARMONT BAPTISTE"/>
    <n v="10"/>
    <x v="3"/>
    <x v="0"/>
    <s v="PLAQUETTES"/>
    <s v="330x14"/>
    <n v="138.80000000000001"/>
  </r>
  <r>
    <d v="2025-11-22T19:16:06"/>
    <x v="4"/>
    <s v="Plaquettes de finition triangulaires"/>
    <s v="150725"/>
    <s v="ADOUL WASSIM"/>
    <n v="10"/>
    <x v="3"/>
    <x v="0"/>
    <s v="PLAQUETTES"/>
    <s v="330x28 RPE KO"/>
    <n v="118.7"/>
  </r>
  <r>
    <d v="2025-11-23T17:18:30"/>
    <x v="4"/>
    <s v="Plaquettes de finition triangulaires"/>
    <s v="150725"/>
    <s v="ADOUL WASSIM"/>
    <n v="10"/>
    <x v="0"/>
    <x v="0"/>
    <s v="PLAQUETTES"/>
    <s v="356x26 RPI"/>
    <n v="118.7"/>
  </r>
  <r>
    <d v="2025-11-23T19:10:35"/>
    <x v="4"/>
    <s v="Plaquettes de finition triangulaires"/>
    <s v="150725"/>
    <s v="ADOUL WASSIM"/>
    <n v="10"/>
    <x v="1"/>
    <x v="0"/>
    <s v="PLAQUETTES"/>
    <s v="304x28 RPE"/>
    <n v="118.7"/>
  </r>
  <r>
    <d v="2025-11-24T05:42:15"/>
    <x v="4"/>
    <s v="Plaquettes de finition triangulaires"/>
    <s v="040725"/>
    <s v="BARGEOT LUCAS"/>
    <n v="10"/>
    <x v="3"/>
    <x v="0"/>
    <s v="PLAQUETTES"/>
    <s v="330x28 RPE KO"/>
    <n v="118.7"/>
  </r>
  <r>
    <d v="2025-11-24T07:03:18"/>
    <x v="4"/>
    <s v="Plaquettes de finition triangulaires"/>
    <s v="040725"/>
    <s v="BARGEOT LUCAS"/>
    <n v="10"/>
    <x v="0"/>
    <x v="0"/>
    <s v="PLAQUETTES"/>
    <s v="356x26 RPI"/>
    <n v="118.7"/>
  </r>
  <r>
    <d v="2025-11-26T13:12:00"/>
    <x v="4"/>
    <s v="Plaquettes de finition triangulaires"/>
    <s v="04551FC25C7780"/>
    <s v="CHEDRU VIANNEY"/>
    <n v="10"/>
    <x v="0"/>
    <x v="0"/>
    <s v="PLAQUETTES"/>
    <s v="356x26 RPI"/>
    <n v="118.7"/>
  </r>
  <r>
    <d v="2025-11-28T00:40:19"/>
    <x v="4"/>
    <s v="Plaquettes de finition triangulaires"/>
    <s v="j529800"/>
    <s v="MONTCHARMONT BAPTISTE"/>
    <n v="10"/>
    <x v="3"/>
    <x v="0"/>
    <s v="PLAQUETTES"/>
    <s v="330x28 RPE KO"/>
    <n v="118.7"/>
  </r>
  <r>
    <d v="2025-11-29T18:19:49"/>
    <x v="4"/>
    <s v="Plaquettes de finition triangulaires"/>
    <s v="150725"/>
    <s v="ADOUL WASSIM"/>
    <n v="10"/>
    <x v="3"/>
    <x v="0"/>
    <s v="PLAQUETTES"/>
    <s v="330x28 RPE KO"/>
    <n v="118.7"/>
  </r>
  <r>
    <d v="2025-12-01T05:37:42"/>
    <x v="4"/>
    <s v="Plaquettes de finition triangulaires"/>
    <s v="210325"/>
    <s v="DAUTUN ALLAN"/>
    <n v="10"/>
    <x v="2"/>
    <x v="3"/>
    <s v="PLAQUETTES"/>
    <s v="302x26 RPI"/>
    <n v="118.7"/>
  </r>
  <r>
    <d v="2025-12-01T05:37:54"/>
    <x v="4"/>
    <s v="Plaquettes de finition triangulaires"/>
    <s v="210325"/>
    <s v="DAUTUN ALLAN"/>
    <n v="10"/>
    <x v="2"/>
    <x v="3"/>
    <s v="PLAQUETTES"/>
    <s v="302x26 RPI"/>
    <n v="118.7"/>
  </r>
  <r>
    <d v="2025-12-01T12:07:24"/>
    <x v="4"/>
    <s v="Plaquettes de finition triangulaires"/>
    <s v="045C6ECAA77080"/>
    <s v="PERREIRA KEVIN"/>
    <n v="10"/>
    <x v="1"/>
    <x v="0"/>
    <s v="PLAQUETTES"/>
    <s v="304x28 RPE"/>
    <n v="118.7"/>
  </r>
  <r>
    <d v="2025-12-01T13:11:51"/>
    <x v="4"/>
    <s v="Plaquettes de finition triangulaires"/>
    <s v="SD75051"/>
    <s v="COMBALUZIER LUCAS"/>
    <n v="10"/>
    <x v="1"/>
    <x v="0"/>
    <s v="PLAQUETTES"/>
    <s v="304x28 RPE"/>
    <n v="118.7"/>
  </r>
  <r>
    <d v="2025-12-01T21:41:33"/>
    <x v="4"/>
    <s v="Plaquettes de finition triangulaires"/>
    <s v="j529800"/>
    <s v="MONTCHARMONT BAPTISTE"/>
    <n v="10"/>
    <x v="0"/>
    <x v="0"/>
    <s v="PLAQUETTES"/>
    <s v="356x26 RPI"/>
    <n v="118.7"/>
  </r>
  <r>
    <d v="2025-12-02T07:18:42"/>
    <x v="4"/>
    <s v="Plaquettes de finition triangulaires"/>
    <s v="04551FC25C7780"/>
    <s v="CHEDRU VIANNEY"/>
    <n v="10"/>
    <x v="3"/>
    <x v="0"/>
    <s v="PLAQUETTES"/>
    <s v="330x28 RPE KO"/>
    <n v="118.7"/>
  </r>
  <r>
    <d v="2025-12-03T06:59:23"/>
    <x v="4"/>
    <s v="Plaquettes de finition triangulaires"/>
    <s v="04551FC25C7780"/>
    <s v="CHEDRU VIANNEY"/>
    <n v="10"/>
    <x v="0"/>
    <x v="0"/>
    <s v="PLAQUETTES"/>
    <s v="356x26 RPI"/>
    <n v="118.7"/>
  </r>
  <r>
    <d v="2025-12-04T06:39:15"/>
    <x v="4"/>
    <s v="Plaquettes de finition triangulaires"/>
    <s v="04551FC25C7780"/>
    <s v="CHEDRU VIANNEY"/>
    <n v="10"/>
    <x v="0"/>
    <x v="0"/>
    <s v="PLAQUETTES"/>
    <s v="356x26 RPI"/>
    <n v="118.7"/>
  </r>
  <r>
    <d v="2025-12-06T05:12:31"/>
    <x v="4"/>
    <s v="Plaquettes de finition triangulaires"/>
    <s v="U080365"/>
    <s v="ALAVOINE SAMUEL"/>
    <n v="10"/>
    <x v="0"/>
    <x v="0"/>
    <s v="PLAQUETTES"/>
    <s v="356x26 RPI"/>
    <n v="118.7"/>
  </r>
  <r>
    <d v="2025-12-06T05:14:06"/>
    <x v="5"/>
    <s v="Plaquettes de finition triangulaires"/>
    <s v="U080365"/>
    <s v="ALAVOINE SAMUEL"/>
    <n v="10"/>
    <x v="3"/>
    <x v="0"/>
    <s v="PLAQUETTES"/>
    <s v="330x28 RPE KO"/>
    <n v="138.80000000000001"/>
  </r>
  <r>
    <d v="2025-12-06T05:52:13"/>
    <x v="4"/>
    <s v="Plaquettes de finition triangulaires"/>
    <s v="DELIAT C"/>
    <s v="DELIAT CHRISTOPHE"/>
    <n v="10"/>
    <x v="1"/>
    <x v="0"/>
    <s v="PLAQUETTES"/>
    <s v="304x28 RPE"/>
    <n v="118.7"/>
  </r>
  <r>
    <d v="2025-12-07T10:10:04"/>
    <x v="4"/>
    <s v="Plaquettes de finition triangulaires"/>
    <s v="U080365"/>
    <s v="ALAVOINE SAMUEL"/>
    <n v="10"/>
    <x v="3"/>
    <x v="0"/>
    <s v="PLAQUETTES"/>
    <s v="330x28 RPE KO"/>
    <n v="118.7"/>
  </r>
  <r>
    <d v="2025-12-08T05:10:13"/>
    <x v="4"/>
    <s v="Plaquettes de finition triangulaires"/>
    <s v="140325"/>
    <s v="BOUCLIER JONATHAN"/>
    <n v="10"/>
    <x v="2"/>
    <x v="3"/>
    <s v="PLAQUETTES"/>
    <s v="302x26 RPI"/>
    <n v="118.7"/>
  </r>
  <r>
    <d v="2025-12-08T23:51:28"/>
    <x v="4"/>
    <s v="Plaquettes de finition triangulaires"/>
    <s v="j529800"/>
    <s v="MONTCHARMONT BAPTISTE"/>
    <n v="10"/>
    <x v="3"/>
    <x v="0"/>
    <s v="PLAQUETTES"/>
    <s v="330x28 RPE KO"/>
    <n v="118.7"/>
  </r>
  <r>
    <d v="2025-12-09T18:57:50"/>
    <x v="4"/>
    <s v="Plaquettes de finition triangulaires"/>
    <s v="04551FC25C7780"/>
    <s v="CHEDRU VIANNEY"/>
    <n v="10"/>
    <x v="3"/>
    <x v="0"/>
    <s v="PLAQUETTES"/>
    <s v="330x14"/>
    <n v="118.7"/>
  </r>
  <r>
    <d v="2025-12-11T11:15:20"/>
    <x v="4"/>
    <s v="Plaquettes de finition triangulaires"/>
    <s v="040725"/>
    <s v="BARGEOT LUCAS"/>
    <n v="10"/>
    <x v="0"/>
    <x v="0"/>
    <s v="PLAQUETTES"/>
    <s v="356x26 RPI"/>
    <n v="118.7"/>
  </r>
  <r>
    <d v="2025-12-11T19:15:59"/>
    <x v="5"/>
    <s v="Plaquettes de finition triangulaires"/>
    <s v="U505000"/>
    <s v="RECEVEUR BENOIT"/>
    <n v="10"/>
    <x v="3"/>
    <x v="0"/>
    <s v="PLAQUETTES"/>
    <s v="330x14"/>
    <n v="138.80000000000001"/>
  </r>
  <r>
    <d v="2025-12-12T16:56:03"/>
    <x v="4"/>
    <s v="Plaquettes de finition triangulaires"/>
    <s v="04551FC25C7780"/>
    <s v="CHEDRU VIANNEY"/>
    <n v="10"/>
    <x v="0"/>
    <x v="0"/>
    <s v="PLAQUETTES"/>
    <s v="356x26 RPI"/>
    <n v="118.7"/>
  </r>
  <r>
    <d v="2025-12-12T16:58:58"/>
    <x v="4"/>
    <s v="Plaquettes de finition triangulaires"/>
    <s v="04551FC25C7780"/>
    <s v="CHEDRU VIANNEY"/>
    <n v="10"/>
    <x v="3"/>
    <x v="0"/>
    <s v="PLAQUETTES"/>
    <s v="330x28 RPE KO"/>
    <n v="118.7"/>
  </r>
  <r>
    <d v="2025-12-15T05:29:00"/>
    <x v="4"/>
    <s v="Plaquettes de finition triangulaires"/>
    <s v="045C6ECAA77080"/>
    <s v="PERREIRA KEVIN"/>
    <n v="10"/>
    <x v="1"/>
    <x v="0"/>
    <s v="PLAQUETTES"/>
    <s v="356x26 RPI"/>
    <n v="118.7"/>
  </r>
  <r>
    <d v="2025-12-15T05:36:26"/>
    <x v="4"/>
    <s v="Plaquettes de finition triangulaires"/>
    <s v="04551FC25C7780"/>
    <s v="CHEDRU VIANNEY"/>
    <n v="10"/>
    <x v="0"/>
    <x v="0"/>
    <s v="PLAQUETTES"/>
    <s v="356x26 RPI"/>
    <n v="118.7"/>
  </r>
  <r>
    <d v="2025-12-16T22:51:46"/>
    <x v="5"/>
    <s v="Plaquettes de finition triangulaires"/>
    <s v="j529800"/>
    <s v="MONTCHARMONT BAPTISTE"/>
    <n v="10"/>
    <x v="0"/>
    <x v="0"/>
    <s v="PLAQUETTES"/>
    <s v="330x14"/>
    <n v="138.80000000000001"/>
  </r>
  <r>
    <d v="2025-12-17T13:15:41"/>
    <x v="4"/>
    <s v="Plaquettes de finition triangulaires"/>
    <s v="SD75051"/>
    <s v="COMBALUZIER LUCAS"/>
    <n v="10"/>
    <x v="1"/>
    <x v="0"/>
    <s v="PLAQUETTES"/>
    <s v="356x26 RPI"/>
    <n v="118.7"/>
  </r>
  <r>
    <d v="2025-12-17T18:20:12"/>
    <x v="4"/>
    <s v="Plaquettes de finition triangulaires"/>
    <s v="040725"/>
    <s v="BARGEOT LUCAS"/>
    <n v="10"/>
    <x v="0"/>
    <x v="0"/>
    <s v="PLAQUETTES"/>
    <s v="330x14"/>
    <n v="118.7"/>
  </r>
  <r>
    <d v="2025-12-17T21:16:14"/>
    <x v="4"/>
    <s v="Plaquettes de finition triangulaires"/>
    <s v="j529800"/>
    <s v="MONTCHARMONT BAPTISTE"/>
    <n v="10"/>
    <x v="3"/>
    <x v="0"/>
    <s v="PLAQUETTES"/>
    <s v="330x28 RPE KO"/>
    <n v="118.7"/>
  </r>
  <r>
    <d v="2025-12-18T14:28:50"/>
    <x v="4"/>
    <s v="Plaquettes de finition triangulaires"/>
    <s v="040725"/>
    <s v="BARGEOT LUCAS"/>
    <n v="10"/>
    <x v="0"/>
    <x v="0"/>
    <s v="PLAQUETTES"/>
    <s v="330x14"/>
    <n v="118.7"/>
  </r>
  <r>
    <d v="2025-12-19T21:58:39"/>
    <x v="4"/>
    <s v="Plaquettes de finition triangulaires"/>
    <s v="j529800"/>
    <s v="MONTCHARMONT BAPTISTE"/>
    <n v="10"/>
    <x v="0"/>
    <x v="0"/>
    <s v="PLAQUETTES"/>
    <s v="330x14"/>
    <n v="118.7"/>
  </r>
  <r>
    <d v="2025-12-20T10:25:23"/>
    <x v="4"/>
    <s v="Plaquettes de finition triangulaires"/>
    <s v="U080365"/>
    <s v="ALAVOINE SAMUEL"/>
    <n v="10"/>
    <x v="1"/>
    <x v="0"/>
    <s v="PLAQUETTES"/>
    <s v="356x26 RPI"/>
    <n v="118.7"/>
  </r>
  <r>
    <d v="2025-12-21T00:09:58"/>
    <x v="5"/>
    <s v="Plaquettes de finition triangulaires"/>
    <s v="150725"/>
    <s v="ADOUL WASSIM"/>
    <n v="10"/>
    <x v="0"/>
    <x v="0"/>
    <s v="PLAQUETTES"/>
    <s v="330x14"/>
    <n v="138.80000000000001"/>
  </r>
  <r>
    <d v="2025-12-22T02:15:49"/>
    <x v="4"/>
    <s v="Plaquettes de finition triangulaires"/>
    <s v="u109136"/>
    <s v="WIPLIE FREDERIC"/>
    <n v="10"/>
    <x v="0"/>
    <x v="0"/>
    <s v="PLAQUETTES"/>
    <s v="330x14"/>
    <n v="118.7"/>
  </r>
  <r>
    <d v="2025-12-22T05:38:25"/>
    <x v="4"/>
    <s v="Plaquettes de finition triangulaires"/>
    <s v="SE08251"/>
    <s v="FAYET AYMERIC"/>
    <n v="10"/>
    <x v="1"/>
    <x v="0"/>
    <s v="PLAQUETTES"/>
    <s v="356x26 RPI"/>
    <n v="118.7"/>
  </r>
  <r>
    <d v="2025-12-22T06:11:29"/>
    <x v="4"/>
    <s v="Plaquettes de finition triangulaires"/>
    <s v="040725"/>
    <s v="BARGEOT LUCAS"/>
    <n v="10"/>
    <x v="3"/>
    <x v="0"/>
    <s v="PLAQUETTES"/>
    <s v="330x28 RPE KO"/>
    <n v="118.7"/>
  </r>
  <r>
    <d v="2025-12-22T06:12:12"/>
    <x v="5"/>
    <s v="Plaquettes de finition triangulaires"/>
    <s v="040725"/>
    <s v="BARGEOT LUCAS"/>
    <n v="10"/>
    <x v="0"/>
    <x v="0"/>
    <s v="PLAQUETTES"/>
    <s v="330x14"/>
    <n v="138.80000000000001"/>
  </r>
  <r>
    <d v="2025-06-02T14:28:09"/>
    <x v="6"/>
    <s v="Plaquettes de gorges"/>
    <s v="18498233"/>
    <s v="ALVES ARTHUR"/>
    <n v="10"/>
    <x v="0"/>
    <x v="3"/>
    <s v="PLAQUETTES"/>
    <s v="TOUT DISQUES"/>
    <n v="188"/>
  </r>
  <r>
    <d v="2025-06-02T14:28:19"/>
    <x v="6"/>
    <s v="Plaquettes de gorges"/>
    <s v="18498233"/>
    <s v="ALVES ARTHUR"/>
    <n v="-10"/>
    <x v="0"/>
    <x v="3"/>
    <s v="PLAQUETTES"/>
    <s v="TOUT DISQUES"/>
    <n v="-188"/>
  </r>
  <r>
    <d v="2025-06-02T14:32:43"/>
    <x v="6"/>
    <s v="Plaquettes de gorges"/>
    <s v="1234SECOURS"/>
    <s v="SECOURS"/>
    <n v="10"/>
    <x v="0"/>
    <x v="3"/>
    <s v="PLAQUETTES"/>
    <s v="330x14"/>
    <n v="188"/>
  </r>
  <r>
    <d v="2025-06-04T23:25:06"/>
    <x v="6"/>
    <s v="Plaquettes de gorges"/>
    <s v="SD75051"/>
    <s v="COMBALUZIER LUCAS"/>
    <n v="10"/>
    <x v="0"/>
    <x v="3"/>
    <s v="PLAQUETTES"/>
    <s v="330x14"/>
    <n v="188"/>
  </r>
  <r>
    <d v="2025-06-08T17:19:56"/>
    <x v="6"/>
    <s v="Plaquettes de gorges"/>
    <s v="U109136"/>
    <s v="WIPLIE FREDERIC"/>
    <n v="10"/>
    <x v="0"/>
    <x v="3"/>
    <s v="PLAQUETTES"/>
    <s v="330x14"/>
    <n v="188"/>
  </r>
  <r>
    <d v="2025-06-18T03:44:06"/>
    <x v="6"/>
    <s v="Plaquettes de gorges"/>
    <s v="SE08251"/>
    <s v="FAYET AYMERIC"/>
    <n v="10"/>
    <x v="0"/>
    <x v="3"/>
    <s v="PLAQUETTES"/>
    <s v="330x14"/>
    <n v="188"/>
  </r>
  <r>
    <d v="2025-06-19T22:15:57"/>
    <x v="6"/>
    <s v="Plaquettes de gorges"/>
    <s v="SE08251"/>
    <s v="FAYET AYMERIC"/>
    <n v="10"/>
    <x v="0"/>
    <x v="3"/>
    <s v="PLAQUETTES"/>
    <s v="330x14"/>
    <n v="188"/>
  </r>
  <r>
    <d v="2025-06-23T05:54:54"/>
    <x v="6"/>
    <s v="Plaquettes de gorges"/>
    <s v="101224"/>
    <s v="CHAZEAU KYLIAN"/>
    <n v="10"/>
    <x v="0"/>
    <x v="3"/>
    <s v="PLAQUETTES"/>
    <s v="330x14"/>
    <n v="188"/>
  </r>
  <r>
    <d v="2025-07-03T17:50:55"/>
    <x v="6"/>
    <s v="Plaquettes de gorges"/>
    <s v="SD75051"/>
    <s v="COMBALUZIER LUCAS"/>
    <n v="10"/>
    <x v="0"/>
    <x v="3"/>
    <s v="PLAQUETTES"/>
    <s v="330x14"/>
    <n v="188"/>
  </r>
  <r>
    <d v="2025-07-07T05:06:48"/>
    <x v="6"/>
    <s v="Plaquettes de gorges"/>
    <s v="SD75051"/>
    <s v="COMBALUZIER LUCAS"/>
    <n v="10"/>
    <x v="3"/>
    <x v="3"/>
    <s v="PLAQUETTES"/>
    <s v="330x14"/>
    <n v="188"/>
  </r>
  <r>
    <d v="2025-07-10T04:37:21"/>
    <x v="6"/>
    <s v="Plaquettes de gorges"/>
    <s v="SE08251"/>
    <s v="FAYET AYMERIC"/>
    <n v="10"/>
    <x v="3"/>
    <x v="3"/>
    <s v="PLAQUETTES"/>
    <s v="330x14"/>
    <n v="188"/>
  </r>
  <r>
    <d v="2025-07-19T11:31:04"/>
    <x v="6"/>
    <s v="Plaquettes de gorges"/>
    <s v="U109136"/>
    <s v="WIPLIE FREDERIC"/>
    <n v="10"/>
    <x v="3"/>
    <x v="3"/>
    <s v="PLAQUETTES"/>
    <s v="330x14"/>
    <n v="188"/>
  </r>
  <r>
    <d v="2025-07-25T08:14:15"/>
    <x v="6"/>
    <s v="Plaquettes de gorges"/>
    <s v="U080365"/>
    <s v="ALAVOINE SAMUEL"/>
    <n v="10"/>
    <x v="3"/>
    <x v="3"/>
    <s v="PLAQUETTES"/>
    <s v="330x14"/>
    <n v="188"/>
  </r>
  <r>
    <d v="2025-07-28T09:17:32"/>
    <x v="6"/>
    <s v="Plaquettes de gorges"/>
    <s v="18498233"/>
    <s v="ALVES ARTHUR"/>
    <n v="10"/>
    <x v="0"/>
    <x v="3"/>
    <s v="PLAQUETTES"/>
    <s v="TOUT DISQUES"/>
    <n v="188"/>
  </r>
  <r>
    <d v="2025-08-19T08:47:26"/>
    <x v="6"/>
    <s v="Plaquettes de gorges"/>
    <s v="040725"/>
    <s v="BARGEOT LUCAS"/>
    <n v="10"/>
    <x v="3"/>
    <x v="3"/>
    <s v="PLAQUETTES"/>
    <s v="330x14"/>
    <n v="188"/>
  </r>
  <r>
    <d v="2025-08-22T10:52:43"/>
    <x v="6"/>
    <s v="Plaquettes de gorges"/>
    <s v="U080365"/>
    <s v="ALAVOINE SAMUEL"/>
    <n v="10"/>
    <x v="3"/>
    <x v="3"/>
    <s v="PLAQUETTES"/>
    <s v="330x14"/>
    <n v="188"/>
  </r>
  <r>
    <d v="2025-08-26T06:14:58"/>
    <x v="6"/>
    <s v="Plaquettes de gorges"/>
    <s v="U505000"/>
    <s v="RECEVEUR BENOIT"/>
    <n v="10"/>
    <x v="3"/>
    <x v="3"/>
    <s v="PLAQUETTES"/>
    <s v="330x14"/>
    <n v="188"/>
  </r>
  <r>
    <d v="2025-09-01T14:10:41"/>
    <x v="6"/>
    <s v="Plaquettes de gorges"/>
    <s v="101224"/>
    <s v="CHAZEAU KYLIAN"/>
    <n v="10"/>
    <x v="3"/>
    <x v="3"/>
    <s v="PLAQUETTES"/>
    <s v="330x14"/>
    <n v="188"/>
  </r>
  <r>
    <d v="2025-09-03T21:19:43"/>
    <x v="6"/>
    <s v="Plaquettes de gorges"/>
    <s v="j529800"/>
    <s v="MONTCHARMONT BAPTISTE"/>
    <n v="10"/>
    <x v="3"/>
    <x v="3"/>
    <s v="PLAQUETTES"/>
    <s v="330x14"/>
    <n v="188"/>
  </r>
  <r>
    <d v="2025-09-05T09:17:52"/>
    <x v="6"/>
    <s v="Plaquettes de gorges"/>
    <s v="020824"/>
    <s v="DA SILVA RENAUD"/>
    <n v="60"/>
    <x v="3"/>
    <x v="3"/>
    <s v="PLAQUETTES"/>
    <s v="TOUT DISQUES"/>
    <n v="1128"/>
  </r>
  <r>
    <d v="2025-09-11T02:24:16"/>
    <x v="6"/>
    <s v="Plaquettes de gorges"/>
    <s v="j529800"/>
    <s v="MONTCHARMONT BAPTISTE"/>
    <n v="10"/>
    <x v="3"/>
    <x v="3"/>
    <s v="PLAQUETTES"/>
    <s v="330x14"/>
    <n v="188"/>
  </r>
  <r>
    <d v="2025-09-13T06:51:19"/>
    <x v="6"/>
    <s v="Plaquettes de gorges"/>
    <s v="U109136"/>
    <s v="WIPLIE FREDERIC"/>
    <n v="10"/>
    <x v="3"/>
    <x v="3"/>
    <s v="PLAQUETTES"/>
    <s v="330x14"/>
    <n v="188"/>
  </r>
  <r>
    <d v="2025-09-27T09:42:44"/>
    <x v="6"/>
    <s v="Plaquettes de gorges"/>
    <s v="U109136"/>
    <s v="WIPLIE FREDERIC"/>
    <n v="10"/>
    <x v="3"/>
    <x v="3"/>
    <s v="PLAQUETTES"/>
    <s v="330x14"/>
    <n v="188"/>
  </r>
  <r>
    <d v="2025-09-30T19:58:25"/>
    <x v="6"/>
    <s v="Plaquettes de gorges"/>
    <s v="101224"/>
    <s v="CHAZEAU KYLIAN"/>
    <n v="10"/>
    <x v="3"/>
    <x v="3"/>
    <s v="PLAQUETTES"/>
    <s v="330x14"/>
    <n v="188"/>
  </r>
  <r>
    <d v="2025-10-02T06:47:34"/>
    <x v="6"/>
    <s v="Plaquettes de gorges"/>
    <s v="040725"/>
    <s v="BARGEOT LUCAS"/>
    <n v="10"/>
    <x v="3"/>
    <x v="3"/>
    <s v="PLAQUETTES"/>
    <s v="330x14"/>
    <n v="188"/>
  </r>
  <r>
    <d v="2025-10-20T19:19:50"/>
    <x v="6"/>
    <s v="Plaquettes de gorges"/>
    <s v="040725"/>
    <s v="BARGEOT LUCAS"/>
    <n v="10"/>
    <x v="3"/>
    <x v="3"/>
    <s v="PLAQUETTES"/>
    <s v="330x14"/>
    <n v="188"/>
  </r>
  <r>
    <d v="2025-10-23T00:38:27"/>
    <x v="6"/>
    <s v="Plaquettes de gorges"/>
    <s v="j529800"/>
    <s v="MONTCHARMONT BAPTISTE"/>
    <n v="10"/>
    <x v="3"/>
    <x v="3"/>
    <s v="PLAQUETTES"/>
    <s v="330x14"/>
    <n v="188"/>
  </r>
  <r>
    <d v="2025-11-06T21:46:14"/>
    <x v="6"/>
    <s v="Plaquettes de gorges"/>
    <s v="j529800"/>
    <s v="MONTCHARMONT BAPTISTE"/>
    <n v="10"/>
    <x v="3"/>
    <x v="3"/>
    <s v="PLAQUETTES"/>
    <s v="330x14"/>
    <n v="188"/>
  </r>
  <r>
    <d v="2025-11-09T02:56:38"/>
    <x v="6"/>
    <s v="Plaquettes de gorges"/>
    <s v="150725"/>
    <s v="ADOUL WASSIM"/>
    <n v="10"/>
    <x v="3"/>
    <x v="3"/>
    <s v="PLAQUETTES"/>
    <s v="330x14"/>
    <n v="188"/>
  </r>
  <r>
    <d v="2025-11-10T21:04:32"/>
    <x v="6"/>
    <s v="Plaquettes de gorges"/>
    <s v="j529800"/>
    <s v="MONTCHARMONT BAPTISTE"/>
    <n v="10"/>
    <x v="3"/>
    <x v="3"/>
    <s v="PLAQUETTES"/>
    <s v="330x14"/>
    <n v="188"/>
  </r>
  <r>
    <d v="2025-11-20T12:00:30"/>
    <x v="6"/>
    <s v="Plaquettes de gorges"/>
    <s v="04551FC25C7780"/>
    <s v="CHEDRU VIANNEY"/>
    <n v="10"/>
    <x v="3"/>
    <x v="3"/>
    <s v="PLAQUETTES"/>
    <s v="330x14"/>
    <n v="188"/>
  </r>
  <r>
    <d v="2025-12-11T14:11:07"/>
    <x v="6"/>
    <s v="Plaquettes de gorges"/>
    <s v="04551FC25C7780"/>
    <s v="CHEDRU VIANNEY"/>
    <n v="10"/>
    <x v="0"/>
    <x v="3"/>
    <s v="PLAQUETTES"/>
    <s v="330x14"/>
    <n v="188"/>
  </r>
  <r>
    <d v="2025-12-18T14:28:26"/>
    <x v="6"/>
    <s v="Plaquettes de gorges"/>
    <s v="040725"/>
    <s v="BARGEOT LUCAS"/>
    <n v="10"/>
    <x v="0"/>
    <x v="3"/>
    <s v="PLAQUETTES"/>
    <s v="330x14"/>
    <n v="188"/>
  </r>
  <r>
    <d v="2025-12-20T18:08:27"/>
    <x v="6"/>
    <s v="Plaquettes de gorges"/>
    <s v="150725"/>
    <s v="ADOUL WASSIM"/>
    <n v="10"/>
    <x v="0"/>
    <x v="3"/>
    <s v="PLAQUETTES"/>
    <s v="330x14"/>
    <n v="188"/>
  </r>
  <r>
    <d v="2025-12-22T02:19:34"/>
    <x v="6"/>
    <s v="Plaquettes de gorges"/>
    <s v="u109136"/>
    <s v="WIPLIE FREDERIC"/>
    <n v="10"/>
    <x v="0"/>
    <x v="3"/>
    <s v="PLAQUETTES"/>
    <s v="330x14"/>
    <n v="188"/>
  </r>
  <r>
    <d v="2025-01-02T16:06:03"/>
    <x v="7"/>
    <s v="Plaquettes d'ébauches carrées"/>
    <s v="101123"/>
    <s v="BRUNET ANDREA"/>
    <n v="10"/>
    <x v="2"/>
    <x v="4"/>
    <s v="PLAQUETTES"/>
    <s v="302x26 RPI"/>
    <n v="71.2"/>
  </r>
  <r>
    <d v="2025-01-04T01:00:59"/>
    <x v="7"/>
    <s v="Plaquettes d'ébauches carrées"/>
    <s v="SE08251"/>
    <s v="FAYET AYMERIC"/>
    <n v="10"/>
    <x v="3"/>
    <x v="2"/>
    <s v="PLAQUETTES"/>
    <s v="290x12"/>
    <n v="71.2"/>
  </r>
  <r>
    <d v="2025-01-04T06:51:15"/>
    <x v="7"/>
    <s v="Plaquettes d'ébauches carrées"/>
    <s v="U080365"/>
    <s v="ALAVOINE SAMUEL"/>
    <n v="20"/>
    <x v="2"/>
    <x v="2"/>
    <s v="PLAQUETTES"/>
    <s v="283x26 RPI"/>
    <n v="142.4"/>
  </r>
  <r>
    <d v="2025-01-04T06:52:06"/>
    <x v="7"/>
    <s v="Plaquettes d'ébauches carrées"/>
    <s v="U080365"/>
    <s v="ALAVOINE SAMUEL"/>
    <n v="10"/>
    <x v="2"/>
    <x v="2"/>
    <s v="PLAQUETTES"/>
    <s v="283x26 RPI"/>
    <n v="71.2"/>
  </r>
  <r>
    <d v="2025-01-05T20:05:36"/>
    <x v="7"/>
    <s v="Plaquettes d'ébauches carrées"/>
    <s v="U080365"/>
    <s v="ALAVOINE SAMUEL"/>
    <n v="20"/>
    <x v="3"/>
    <x v="2"/>
    <s v="PLAQUETTES"/>
    <s v="290x12"/>
    <n v="142.4"/>
  </r>
  <r>
    <d v="2025-01-07T14:05:55"/>
    <x v="7"/>
    <s v="Plaquettes d'ébauches carrées"/>
    <s v="SE08251"/>
    <s v="FAYET AYMERIC"/>
    <n v="10"/>
    <x v="0"/>
    <x v="2"/>
    <s v="PLAQUETTES"/>
    <s v="290x12"/>
    <n v="71.2"/>
  </r>
  <r>
    <d v="2025-01-08T14:59:35"/>
    <x v="7"/>
    <s v="Plaquettes d'ébauches carrées"/>
    <s v="SE08251"/>
    <s v="FAYET AYMERIC"/>
    <n v="10"/>
    <x v="0"/>
    <x v="2"/>
    <s v="PLAQUETTES"/>
    <s v="290x12"/>
    <n v="71.2"/>
  </r>
  <r>
    <d v="2025-01-08T22:13:36"/>
    <x v="7"/>
    <s v="Plaquettes d'ébauches carrées"/>
    <s v="SD75051"/>
    <s v="COMBALUZIER LUCAS"/>
    <n v="10"/>
    <x v="1"/>
    <x v="2"/>
    <s v="PLAQUETTES"/>
    <s v="356x26 RPI"/>
    <n v="71.2"/>
  </r>
  <r>
    <d v="2025-01-09T13:34:57"/>
    <x v="7"/>
    <s v="Plaquettes d'ébauches carrées"/>
    <s v="SE08251"/>
    <s v="FAYET AYMERIC"/>
    <n v="20"/>
    <x v="0"/>
    <x v="3"/>
    <s v="PLAQUETTES"/>
    <s v="290x12"/>
    <n v="142.4"/>
  </r>
  <r>
    <d v="2025-01-10T07:10:15"/>
    <x v="7"/>
    <s v="Plaquettes d'ébauches carrées"/>
    <s v="U080365"/>
    <s v="ALAVOINE SAMUEL"/>
    <n v="20"/>
    <x v="1"/>
    <x v="2"/>
    <s v="PLAQUETTES"/>
    <s v="356x26 RPI"/>
    <n v="142.4"/>
  </r>
  <r>
    <d v="2025-01-10T16:06:50"/>
    <x v="7"/>
    <s v="Plaquettes d'ébauches carrées"/>
    <s v="130124"/>
    <s v="MOHAMED ILDIRAY"/>
    <n v="10"/>
    <x v="1"/>
    <x v="3"/>
    <s v="PLAQUETTES"/>
    <s v="356x26 RPI"/>
    <n v="71.2"/>
  </r>
  <r>
    <d v="2025-01-11T04:39:48"/>
    <x v="7"/>
    <s v="Plaquettes d'ébauches carrées"/>
    <s v="u636817"/>
    <s v="MOCQUEREAU LYDIE"/>
    <n v="10"/>
    <x v="2"/>
    <x v="2"/>
    <s v="PLAQUETTES"/>
    <s v="302x26 RPI"/>
    <n v="71.2"/>
  </r>
  <r>
    <d v="2025-01-12T23:17:00"/>
    <x v="7"/>
    <s v="Plaquettes d'ébauches carrées"/>
    <s v="U109136"/>
    <s v="WIPLIE FREDERIC"/>
    <n v="10"/>
    <x v="0"/>
    <x v="3"/>
    <s v="PLAQUETTES"/>
    <s v="290x12"/>
    <n v="71.2"/>
  </r>
  <r>
    <d v="2025-01-13T05:20:18"/>
    <x v="7"/>
    <s v="Plaquettes d'ébauches carrées"/>
    <s v="SE08251"/>
    <s v="FAYET AYMERIC"/>
    <n v="20"/>
    <x v="0"/>
    <x v="3"/>
    <s v="PLAQUETTES"/>
    <s v="290x12"/>
    <n v="142.4"/>
  </r>
  <r>
    <d v="2025-01-13T09:09:37"/>
    <x v="7"/>
    <s v="Plaquettes d'ébauches carrées"/>
    <s v="11737592"/>
    <s v="BLOCQUET DAVID"/>
    <n v="10"/>
    <x v="2"/>
    <x v="2"/>
    <s v="PLAQUETTES"/>
    <s v="302x26 RPI"/>
    <n v="71.2"/>
  </r>
  <r>
    <d v="2025-01-14T20:23:11"/>
    <x v="7"/>
    <s v="Plaquettes d'ébauches carrées"/>
    <s v="u636817"/>
    <s v="MOCQUEREAU LYDIE"/>
    <n v="20"/>
    <x v="2"/>
    <x v="3"/>
    <s v="PLAQUETTES"/>
    <s v="302x26 RPI"/>
    <n v="142.4"/>
  </r>
  <r>
    <d v="2025-01-14T21:15:49"/>
    <x v="7"/>
    <s v="Plaquettes d'ébauches carrées"/>
    <s v="U037238"/>
    <s v="PRIEUR OLIVIER"/>
    <n v="10"/>
    <x v="2"/>
    <x v="3"/>
    <s v="PLAQUETTES"/>
    <s v="302x26 RPI"/>
    <n v="71.2"/>
  </r>
  <r>
    <d v="2025-01-15T10:59:59"/>
    <x v="7"/>
    <s v="Plaquettes d'ébauches carrées"/>
    <s v="SE08251"/>
    <s v="FAYET AYMERIC"/>
    <n v="10"/>
    <x v="0"/>
    <x v="2"/>
    <s v="PLAQUETTES"/>
    <s v="290x12"/>
    <n v="71.2"/>
  </r>
  <r>
    <d v="2025-01-15T21:15:16"/>
    <x v="7"/>
    <s v="Plaquettes d'ébauches carrées"/>
    <s v="101123"/>
    <s v="BRUNET ANDREA"/>
    <n v="20"/>
    <x v="2"/>
    <x v="2"/>
    <s v="PLAQUETTES"/>
    <s v="302x26 RPI"/>
    <n v="142.4"/>
  </r>
  <r>
    <d v="2025-01-16T07:00:23"/>
    <x v="7"/>
    <s v="Plaquettes d'ébauches carrées"/>
    <s v="SE08251"/>
    <s v="FAYET AYMERIC"/>
    <n v="10"/>
    <x v="0"/>
    <x v="2"/>
    <s v="PLAQUETTES"/>
    <s v="290x12"/>
    <n v="71.2"/>
  </r>
  <r>
    <d v="2025-01-16T21:04:47"/>
    <x v="7"/>
    <s v="Plaquettes d'ébauches carrées"/>
    <s v="130124"/>
    <s v="MOHAMED ILDIRAY"/>
    <n v="10"/>
    <x v="1"/>
    <x v="3"/>
    <s v="PLAQUETTES"/>
    <s v="304x28 RPE"/>
    <n v="71.2"/>
  </r>
  <r>
    <d v="2025-01-17T13:18:05"/>
    <x v="7"/>
    <s v="Plaquettes d'ébauches carrées"/>
    <s v="SD75051"/>
    <s v="COMBALUZIER LUCAS"/>
    <n v="10"/>
    <x v="0"/>
    <x v="2"/>
    <s v="PLAQUETTES"/>
    <s v="290x12"/>
    <n v="71.2"/>
  </r>
  <r>
    <d v="2025-01-18T11:26:04"/>
    <x v="7"/>
    <s v="Plaquettes d'ébauches carrées"/>
    <s v="U080365"/>
    <s v="ALAVOINE SAMUEL"/>
    <n v="10"/>
    <x v="0"/>
    <x v="2"/>
    <s v="PLAQUETTES"/>
    <s v="290x12"/>
    <n v="71.2"/>
  </r>
  <r>
    <d v="2025-01-19T17:09:42"/>
    <x v="7"/>
    <s v="Plaquettes d'ébauches carrées"/>
    <s v="U109136"/>
    <s v="WIPLIE FREDERIC"/>
    <n v="10"/>
    <x v="1"/>
    <x v="2"/>
    <s v="PLAQUETTES"/>
    <s v="304x28 RPE"/>
    <n v="71.2"/>
  </r>
  <r>
    <d v="2025-01-20T05:13:19"/>
    <x v="7"/>
    <s v="Plaquettes d'ébauches carrées"/>
    <s v="SD75051"/>
    <s v="COMBALUZIER LUCAS"/>
    <n v="10"/>
    <x v="1"/>
    <x v="3"/>
    <s v="PLAQUETTES"/>
    <s v="304x28 RPE"/>
    <n v="71.2"/>
  </r>
  <r>
    <d v="2025-01-20T13:29:54"/>
    <x v="7"/>
    <s v="Plaquettes d'ébauches carrées"/>
    <s v="U037238"/>
    <s v="PRIEUR OLIVIER"/>
    <n v="10"/>
    <x v="2"/>
    <x v="3"/>
    <s v="PLAQUETTES"/>
    <s v="302x26 RPI"/>
    <n v="71.2"/>
  </r>
  <r>
    <d v="2025-01-21T18:03:23"/>
    <x v="7"/>
    <s v="Plaquettes d'ébauches carrées"/>
    <s v="101224"/>
    <s v="CHAZEAU KYLIAN"/>
    <n v="20"/>
    <x v="0"/>
    <x v="2"/>
    <s v="PLAQUETTES"/>
    <s v="290x12"/>
    <n v="142.4"/>
  </r>
  <r>
    <d v="2025-01-23T00:15:33"/>
    <x v="7"/>
    <s v="Plaquettes d'ébauches carrées"/>
    <s v="11737592"/>
    <s v="BLOCQUET DAVID"/>
    <n v="10"/>
    <x v="2"/>
    <x v="4"/>
    <s v="PLAQUETTES"/>
    <s v="302x26 RPI"/>
    <n v="71.2"/>
  </r>
  <r>
    <d v="2025-01-23T00:16:26"/>
    <x v="7"/>
    <s v="Plaquettes d'ébauches carrées"/>
    <s v="11737592"/>
    <s v="BLOCQUET DAVID"/>
    <n v="10"/>
    <x v="2"/>
    <x v="3"/>
    <s v="PLAQUETTES"/>
    <s v="302x26 RPI"/>
    <n v="71.2"/>
  </r>
  <r>
    <d v="2025-01-23T05:10:27"/>
    <x v="7"/>
    <s v="Plaquettes d'ébauches carrées"/>
    <s v="SD75051"/>
    <s v="COMBALUZIER LUCAS"/>
    <n v="10"/>
    <x v="1"/>
    <x v="2"/>
    <s v="PLAQUETTES"/>
    <s v="304x28 RPE"/>
    <n v="71.2"/>
  </r>
  <r>
    <d v="2025-01-23T16:12:19"/>
    <x v="7"/>
    <s v="Plaquettes d'ébauches carrées"/>
    <s v="101224"/>
    <s v="CHAZEAU KYLIAN"/>
    <n v="10"/>
    <x v="0"/>
    <x v="2"/>
    <s v="PLAQUETTES"/>
    <s v="290x12"/>
    <n v="71.2"/>
  </r>
  <r>
    <d v="2025-01-23T16:21:30"/>
    <x v="7"/>
    <s v="Plaquettes d'ébauches carrées"/>
    <s v="101123"/>
    <s v="BRUNET ANDREA"/>
    <n v="10"/>
    <x v="2"/>
    <x v="3"/>
    <s v="PLAQUETTES"/>
    <s v="302x26 RPI"/>
    <n v="71.2"/>
  </r>
  <r>
    <d v="2025-01-25T05:38:18"/>
    <x v="7"/>
    <s v="Plaquettes d'ébauches carrées"/>
    <s v="U080365"/>
    <s v="ALAVOINE SAMUEL"/>
    <n v="20"/>
    <x v="0"/>
    <x v="2"/>
    <s v="PLAQUETTES"/>
    <s v="290x12"/>
    <n v="142.4"/>
  </r>
  <r>
    <d v="2025-01-27T05:19:43"/>
    <x v="7"/>
    <s v="Plaquettes d'ébauches carrées"/>
    <s v="130124"/>
    <s v="MOHAMED ILDIRAY"/>
    <n v="10"/>
    <x v="1"/>
    <x v="2"/>
    <s v="PLAQUETTES"/>
    <s v="356x26 RPI"/>
    <n v="71.2"/>
  </r>
  <r>
    <d v="2025-01-27T13:23:39"/>
    <x v="7"/>
    <s v="Plaquettes d'ébauches carrées"/>
    <s v="12824586"/>
    <s v="DA SILVA FERNANDO"/>
    <n v="10"/>
    <x v="2"/>
    <x v="3"/>
    <s v="PLAQUETTES"/>
    <s v="TOUT DISQUES"/>
    <n v="71.2"/>
  </r>
  <r>
    <d v="2025-01-27T23:14:34"/>
    <x v="7"/>
    <s v="Plaquettes d'ébauches carrées"/>
    <s v="SD75051"/>
    <s v="COMBALUZIER LUCAS"/>
    <n v="10"/>
    <x v="1"/>
    <x v="3"/>
    <s v="PLAQUETTES"/>
    <s v="356x26 RPI"/>
    <n v="71.2"/>
  </r>
  <r>
    <d v="2025-01-28T00:38:08"/>
    <x v="7"/>
    <s v="Plaquettes d'ébauches carrées"/>
    <s v="u636817"/>
    <s v="MOCQUEREAU LYDIE"/>
    <n v="20"/>
    <x v="2"/>
    <x v="2"/>
    <s v="PLAQUETTES"/>
    <s v="302x26 RPI"/>
    <n v="142.4"/>
  </r>
  <r>
    <d v="2025-01-28T00:38:50"/>
    <x v="7"/>
    <s v="Plaquettes d'ébauches carrées"/>
    <s v="u636817"/>
    <s v="MOCQUEREAU LYDIE"/>
    <n v="10"/>
    <x v="2"/>
    <x v="3"/>
    <s v="PLAQUETTES"/>
    <s v="302x26 RPI"/>
    <n v="71.2"/>
  </r>
  <r>
    <d v="2025-01-28T05:10:23"/>
    <x v="7"/>
    <s v="Plaquettes d'ébauches carrées"/>
    <s v="101224"/>
    <s v="CHAZEAU KYLIAN"/>
    <n v="10"/>
    <x v="3"/>
    <x v="2"/>
    <s v="PLAQUETTES"/>
    <s v="290x12"/>
    <n v="71.2"/>
  </r>
  <r>
    <d v="2025-01-28T19:45:46"/>
    <x v="7"/>
    <s v="Plaquettes d'ébauches carrées"/>
    <s v="SE08251"/>
    <s v="FAYET AYMERIC"/>
    <n v="10"/>
    <x v="3"/>
    <x v="3"/>
    <s v="PLAQUETTES"/>
    <s v="330x28 RPE KO"/>
    <n v="71.2"/>
  </r>
  <r>
    <d v="2025-01-29T05:16:04"/>
    <x v="7"/>
    <s v="Plaquettes d'ébauches carrées"/>
    <s v="101123"/>
    <s v="BRUNET ANDREA"/>
    <n v="10"/>
    <x v="2"/>
    <x v="2"/>
    <s v="PLAQUETTES"/>
    <s v="302x26 RPI"/>
    <n v="71.2"/>
  </r>
  <r>
    <d v="2025-01-29T13:10:39"/>
    <x v="7"/>
    <s v="Plaquettes d'ébauches carrées"/>
    <s v="11737592"/>
    <s v="BLOCQUET DAVID"/>
    <n v="20"/>
    <x v="2"/>
    <x v="3"/>
    <s v="PLAQUETTES"/>
    <s v="302x26 RPI"/>
    <n v="142.4"/>
  </r>
  <r>
    <d v="2025-01-29T17:15:19"/>
    <x v="7"/>
    <s v="Plaquettes d'ébauches carrées"/>
    <s v="SE08251"/>
    <s v="FAYET AYMERIC"/>
    <n v="10"/>
    <x v="0"/>
    <x v="3"/>
    <s v="PLAQUETTES"/>
    <s v="290x12"/>
    <n v="71.2"/>
  </r>
  <r>
    <d v="2025-01-30T05:38:03"/>
    <x v="7"/>
    <s v="Plaquettes d'ébauches carrées"/>
    <s v="U037238"/>
    <s v="PRIEUR OLIVIER"/>
    <n v="10"/>
    <x v="2"/>
    <x v="3"/>
    <s v="PLAQUETTES"/>
    <s v="302x26 RPI"/>
    <n v="71.2"/>
  </r>
  <r>
    <d v="2025-01-31T13:53:51"/>
    <x v="7"/>
    <s v="Plaquettes d'ébauches carrées"/>
    <s v="3224"/>
    <s v="BIDOT MURIEL"/>
    <n v="10"/>
    <x v="1"/>
    <x v="2"/>
    <s v="PLAQUETTES"/>
    <s v="356x26 RPI"/>
    <n v="71.2"/>
  </r>
  <r>
    <d v="2025-01-31T14:36:46"/>
    <x v="7"/>
    <s v="Plaquettes d'ébauches carrées"/>
    <s v="3224"/>
    <s v="BIDOT MURIEL"/>
    <n v="10"/>
    <x v="1"/>
    <x v="2"/>
    <s v="PLAQUETTES"/>
    <s v="304x28 RPE"/>
    <n v="71.2"/>
  </r>
  <r>
    <d v="2025-01-31T14:38:40"/>
    <x v="7"/>
    <s v="Plaquettes d'ébauches carrées"/>
    <s v="3224"/>
    <s v="BIDOT MURIEL"/>
    <n v="-10"/>
    <x v="1"/>
    <x v="2"/>
    <s v="PLAQUETTES"/>
    <s v="304x28 RPE"/>
    <n v="-71.2"/>
  </r>
  <r>
    <d v="2025-02-01T03:44:55"/>
    <x v="7"/>
    <s v="Plaquettes d'ébauches carrées"/>
    <s v="u636817"/>
    <s v="MOCQUEREAU LYDIE"/>
    <n v="20"/>
    <x v="2"/>
    <x v="2"/>
    <s v="PLAQUETTES"/>
    <s v="302x26 RPI"/>
    <n v="142.4"/>
  </r>
  <r>
    <d v="2025-02-03T05:15:39"/>
    <x v="7"/>
    <s v="Plaquettes d'ébauches carrées"/>
    <s v="3224"/>
    <s v="BIDOT MURIEL"/>
    <n v="10"/>
    <x v="1"/>
    <x v="2"/>
    <s v="PLAQUETTES"/>
    <s v="356x26 RPI"/>
    <n v="71.2"/>
  </r>
  <r>
    <d v="2025-02-03T05:52:48"/>
    <x v="7"/>
    <s v="Plaquettes d'ébauches carrées"/>
    <s v="3224"/>
    <s v="BIDOT MURIEL"/>
    <n v="10"/>
    <x v="3"/>
    <x v="2"/>
    <s v="PLAQUETTES"/>
    <s v="290x12"/>
    <n v="71.2"/>
  </r>
  <r>
    <d v="2025-02-03T21:26:23"/>
    <x v="7"/>
    <s v="Plaquettes d'ébauches carrées"/>
    <s v="U037238"/>
    <s v="PRIEUR OLIVIER"/>
    <n v="10"/>
    <x v="2"/>
    <x v="3"/>
    <s v="PLAQUETTES"/>
    <s v="302x26 RPI"/>
    <n v="71.2"/>
  </r>
  <r>
    <d v="2025-02-04T05:20:08"/>
    <x v="7"/>
    <s v="Plaquettes d'ébauches carrées"/>
    <s v="U532976"/>
    <s v="LEFORT XAVIER"/>
    <n v="10"/>
    <x v="2"/>
    <x v="3"/>
    <s v="PLAQUETTES"/>
    <s v="302x26 RPI"/>
    <n v="71.2"/>
  </r>
  <r>
    <d v="2025-02-04T13:30:59"/>
    <x v="7"/>
    <s v="Plaquettes d'ébauches carrées"/>
    <s v="SD75051"/>
    <s v="COMBALUZIER LUCAS"/>
    <n v="10"/>
    <x v="0"/>
    <x v="2"/>
    <s v="PLAQUETTES"/>
    <s v="330x14"/>
    <n v="71.2"/>
  </r>
  <r>
    <d v="2025-02-05T07:53:09"/>
    <x v="7"/>
    <s v="Plaquettes d'ébauches carrées"/>
    <s v="SE08251"/>
    <s v="FAYET AYMERIC"/>
    <n v="10"/>
    <x v="0"/>
    <x v="3"/>
    <s v="PLAQUETTES"/>
    <s v="330x14"/>
    <n v="71.2"/>
  </r>
  <r>
    <d v="2025-02-05T10:25:45"/>
    <x v="7"/>
    <s v="Plaquettes d'ébauches carrées"/>
    <s v="12824586"/>
    <s v="DA SILVA FERNANDO"/>
    <n v="10"/>
    <x v="3"/>
    <x v="2"/>
    <s v="PLAQUETTES"/>
    <s v="TOUT DISQUES"/>
    <n v="71.2"/>
  </r>
  <r>
    <d v="2025-02-06T17:05:54"/>
    <x v="7"/>
    <s v="Plaquettes d'ébauches carrées"/>
    <s v="SD75051"/>
    <s v="COMBALUZIER LUCAS"/>
    <n v="10"/>
    <x v="1"/>
    <x v="2"/>
    <s v="PLAQUETTES"/>
    <s v="356x26 RPI"/>
    <n v="71.2"/>
  </r>
  <r>
    <d v="2025-02-06T21:44:06"/>
    <x v="7"/>
    <s v="Plaquettes d'ébauches carrées"/>
    <s v="U037238"/>
    <s v="PRIEUR OLIVIER"/>
    <n v="10"/>
    <x v="2"/>
    <x v="3"/>
    <s v="PLAQUETTES"/>
    <s v="302x26 RPI"/>
    <n v="71.2"/>
  </r>
  <r>
    <d v="2025-02-06T22:57:22"/>
    <x v="7"/>
    <s v="Plaquettes d'ébauches carrées"/>
    <s v="101224"/>
    <s v="CHAZEAU KYLIAN"/>
    <n v="10"/>
    <x v="3"/>
    <x v="2"/>
    <s v="PLAQUETTES"/>
    <s v="290x12"/>
    <n v="71.2"/>
  </r>
  <r>
    <d v="2025-02-08T07:04:01"/>
    <x v="7"/>
    <s v="Plaquettes d'ébauches carrées"/>
    <s v="U109136"/>
    <s v="WIPLIE FREDERIC"/>
    <n v="20"/>
    <x v="0"/>
    <x v="2"/>
    <s v="PLAQUETTES"/>
    <s v="290x12"/>
    <n v="142.4"/>
  </r>
  <r>
    <d v="2025-02-10T10:46:30"/>
    <x v="7"/>
    <s v="Plaquettes d'ébauches carrées"/>
    <s v="7236310"/>
    <s v="BRANDALY JEREMY"/>
    <n v="20"/>
    <x v="0"/>
    <x v="3"/>
    <s v="PLAQUETTES"/>
    <s v="356x26 RPI"/>
    <n v="142.4"/>
  </r>
  <r>
    <d v="2025-02-11T05:24:20"/>
    <x v="7"/>
    <s v="Plaquettes d'ébauches carrées"/>
    <s v="SD75051"/>
    <s v="COMBALUZIER LUCAS"/>
    <n v="10"/>
    <x v="1"/>
    <x v="2"/>
    <s v="PLAQUETTES"/>
    <s v="356x26 RPI"/>
    <n v="71.2"/>
  </r>
  <r>
    <d v="2025-02-11T06:26:15"/>
    <x v="7"/>
    <s v="Plaquettes d'ébauches carrées"/>
    <s v="140325"/>
    <s v="BOUCLIER JONATHAN"/>
    <n v="10"/>
    <x v="2"/>
    <x v="2"/>
    <s v="PLAQUETTES"/>
    <s v="302x26 RPI"/>
    <n v="71.2"/>
  </r>
  <r>
    <d v="2025-02-11T13:27:30"/>
    <x v="7"/>
    <s v="Plaquettes d'ébauches carrées"/>
    <s v="U037238"/>
    <s v="PRIEUR OLIVIER"/>
    <n v="10"/>
    <x v="2"/>
    <x v="4"/>
    <s v="PLAQUETTES"/>
    <s v="302x26 RPI"/>
    <n v="71.2"/>
  </r>
  <r>
    <d v="2025-02-12T04:26:08"/>
    <x v="7"/>
    <s v="Plaquettes d'ébauches carrées"/>
    <s v="SE08251"/>
    <s v="FAYET AYMERIC"/>
    <n v="20"/>
    <x v="0"/>
    <x v="2"/>
    <s v="PLAQUETTES"/>
    <s v="290x12"/>
    <n v="142.4"/>
  </r>
  <r>
    <d v="2025-02-12T15:01:30"/>
    <x v="7"/>
    <s v="Plaquettes d'ébauches carrées"/>
    <s v="U373626"/>
    <s v="CHARRIER ROMAIN"/>
    <n v="10"/>
    <x v="0"/>
    <x v="2"/>
    <s v="PLAQUETTES"/>
    <s v="290x12"/>
    <n v="71.2"/>
  </r>
  <r>
    <d v="2025-02-12T15:01:47"/>
    <x v="7"/>
    <s v="Plaquettes d'ébauches carrées"/>
    <s v="U373626"/>
    <s v="CHARRIER ROMAIN"/>
    <n v="-10"/>
    <x v="0"/>
    <x v="2"/>
    <s v="PLAQUETTES"/>
    <s v="290x12"/>
    <n v="-71.2"/>
  </r>
  <r>
    <d v="2025-02-14T19:41:06"/>
    <x v="7"/>
    <s v="Plaquettes d'ébauches carrées"/>
    <s v="101123"/>
    <s v="BRUNET ANDREA"/>
    <n v="10"/>
    <x v="2"/>
    <x v="2"/>
    <s v="PLAQUETTES"/>
    <s v="302x26 RPI"/>
    <n v="71.2"/>
  </r>
  <r>
    <d v="2025-02-14T19:41:32"/>
    <x v="7"/>
    <s v="Plaquettes d'ébauches carrées"/>
    <s v="101123"/>
    <s v="BRUNET ANDREA"/>
    <n v="10"/>
    <x v="2"/>
    <x v="4"/>
    <s v="PLAQUETTES"/>
    <s v="302x26 RPI"/>
    <n v="71.2"/>
  </r>
  <r>
    <d v="2025-02-15T05:36:31"/>
    <x v="7"/>
    <s v="Plaquettes d'ébauches carrées"/>
    <s v="U080365"/>
    <s v="ALAVOINE SAMUEL"/>
    <n v="10"/>
    <x v="0"/>
    <x v="2"/>
    <s v="PLAQUETTES"/>
    <s v="330x14"/>
    <n v="71.2"/>
  </r>
  <r>
    <d v="2025-02-17T05:09:17"/>
    <x v="7"/>
    <s v="Plaquettes d'ébauches carrées"/>
    <s v="100225"/>
    <s v="PRUNEAU WILLIAM"/>
    <n v="10"/>
    <x v="1"/>
    <x v="2"/>
    <s v="PLAQUETTES"/>
    <s v="304x28 RPE"/>
    <n v="71.2"/>
  </r>
  <r>
    <d v="2025-02-17T05:12:37"/>
    <x v="7"/>
    <s v="Plaquettes d'ébauches carrées"/>
    <s v="130124"/>
    <s v="MOHAMED ILDIRAY"/>
    <n v="10"/>
    <x v="1"/>
    <x v="2"/>
    <s v="PLAQUETTES"/>
    <s v="304x28 RPE"/>
    <n v="71.2"/>
  </r>
  <r>
    <d v="2025-02-17T05:13:30"/>
    <x v="7"/>
    <s v="Plaquettes d'ébauches carrées"/>
    <s v="130124"/>
    <s v="MOHAMED ILDIRAY"/>
    <n v="10"/>
    <x v="1"/>
    <x v="3"/>
    <s v="PLAQUETTES"/>
    <s v="304x28 RPE"/>
    <n v="71.2"/>
  </r>
  <r>
    <d v="2025-02-17T10:17:20"/>
    <x v="7"/>
    <s v="Plaquettes d'ébauches carrées"/>
    <s v="101224"/>
    <s v="CHAZEAU KYLIAN"/>
    <n v="10"/>
    <x v="3"/>
    <x v="2"/>
    <s v="PLAQUETTES"/>
    <s v="290x12"/>
    <n v="71.2"/>
  </r>
  <r>
    <d v="2025-02-18T02:53:45"/>
    <x v="7"/>
    <s v="Plaquettes d'ébauches carrées"/>
    <s v="140325"/>
    <s v="BOUCLIER JONATHAN"/>
    <n v="10"/>
    <x v="2"/>
    <x v="2"/>
    <s v="PLAQUETTES"/>
    <s v="302x26 RPI"/>
    <n v="71.2"/>
  </r>
  <r>
    <d v="2025-02-18T14:20:08"/>
    <x v="7"/>
    <s v="Plaquettes d'ébauches carrées"/>
    <s v="3224"/>
    <s v="BIDOT MURIEL"/>
    <n v="10"/>
    <x v="1"/>
    <x v="2"/>
    <s v="PLAQUETTES"/>
    <s v="304x28 RPE"/>
    <n v="71.2"/>
  </r>
  <r>
    <d v="2025-02-18T23:10:08"/>
    <x v="7"/>
    <s v="Plaquettes d'ébauches carrées"/>
    <s v="7236310"/>
    <s v="BRANDALY JEREMY"/>
    <n v="10"/>
    <x v="0"/>
    <x v="3"/>
    <s v="PLAQUETTES"/>
    <s v="330x14"/>
    <n v="71.2"/>
  </r>
  <r>
    <d v="2025-02-18T23:10:33"/>
    <x v="7"/>
    <s v="Plaquettes d'ébauches carrées"/>
    <s v="7236310"/>
    <s v="BRANDALY JEREMY"/>
    <n v="10"/>
    <x v="3"/>
    <x v="3"/>
    <s v="PLAQUETTES"/>
    <s v="290x12"/>
    <n v="71.2"/>
  </r>
  <r>
    <d v="2025-02-19T00:29:41"/>
    <x v="7"/>
    <s v="Plaquettes d'ébauches carrées"/>
    <s v="u636817"/>
    <s v="MOCQUEREAU LYDIE"/>
    <n v="10"/>
    <x v="2"/>
    <x v="3"/>
    <s v="PLAQUETTES"/>
    <s v="302x26 RPI"/>
    <n v="71.2"/>
  </r>
  <r>
    <d v="2025-02-19T08:22:53"/>
    <x v="7"/>
    <s v="Plaquettes d'ébauches carrées"/>
    <s v="101224"/>
    <s v="CHAZEAU KYLIAN"/>
    <n v="10"/>
    <x v="0"/>
    <x v="2"/>
    <s v="PLAQUETTES"/>
    <s v="330x14"/>
    <n v="71.2"/>
  </r>
  <r>
    <d v="2025-02-19T08:23:26"/>
    <x v="7"/>
    <s v="Plaquettes d'ébauches carrées"/>
    <s v="101224"/>
    <s v="CHAZEAU KYLIAN"/>
    <n v="10"/>
    <x v="3"/>
    <x v="2"/>
    <s v="PLAQUETTES"/>
    <s v="290x12"/>
    <n v="71.2"/>
  </r>
  <r>
    <d v="2025-02-19T18:21:00"/>
    <x v="7"/>
    <s v="Plaquettes d'ébauches carrées"/>
    <s v="280225"/>
    <s v="FERNANDES DOS SANTOS REMY"/>
    <n v="10"/>
    <x v="1"/>
    <x v="2"/>
    <s v="PLAQUETTES"/>
    <s v="304x28 RPE"/>
    <n v="71.2"/>
  </r>
  <r>
    <d v="2025-02-19T21:31:59"/>
    <x v="7"/>
    <s v="Plaquettes d'ébauches carrées"/>
    <s v="SD75051"/>
    <s v="COMBALUZIER LUCAS"/>
    <n v="10"/>
    <x v="1"/>
    <x v="2"/>
    <s v="PLAQUETTES"/>
    <s v="304x28 RPE"/>
    <n v="71.2"/>
  </r>
  <r>
    <d v="2025-02-21T17:53:06"/>
    <x v="7"/>
    <s v="Plaquettes d'ébauches carrées"/>
    <s v="280225"/>
    <s v="FERNANDES DOS SANTOS REMY"/>
    <n v="10"/>
    <x v="3"/>
    <x v="3"/>
    <s v="PLAQUETTES"/>
    <s v="290x12"/>
    <n v="71.2"/>
  </r>
  <r>
    <d v="2025-02-22T05:25:13"/>
    <x v="7"/>
    <s v="Plaquettes d'ébauches carrées"/>
    <s v="U109136"/>
    <s v="WIPLIE FREDERIC"/>
    <n v="10"/>
    <x v="0"/>
    <x v="3"/>
    <s v="PLAQUETTES"/>
    <s v="330x14"/>
    <n v="71.2"/>
  </r>
  <r>
    <d v="2025-02-24T13:40:20"/>
    <x v="7"/>
    <s v="Plaquettes d'ébauches carrées"/>
    <s v="SD75051"/>
    <s v="COMBALUZIER LUCAS"/>
    <n v="10"/>
    <x v="0"/>
    <x v="2"/>
    <s v="PLAQUETTES"/>
    <s v="330x14"/>
    <n v="71.2"/>
  </r>
  <r>
    <d v="2025-02-25T05:25:51"/>
    <x v="7"/>
    <s v="Plaquettes d'ébauches carrées"/>
    <s v="11737592"/>
    <s v="BLOCQUET DAVID"/>
    <n v="10"/>
    <x v="2"/>
    <x v="2"/>
    <s v="PLAQUETTES"/>
    <s v="302x26 RPI"/>
    <n v="71.2"/>
  </r>
  <r>
    <d v="2025-02-25T06:26:32"/>
    <x v="7"/>
    <s v="Plaquettes d'ébauches carrées"/>
    <s v="SE08251"/>
    <s v="FAYET AYMERIC"/>
    <n v="10"/>
    <x v="3"/>
    <x v="2"/>
    <s v="PLAQUETTES"/>
    <s v="290x12"/>
    <n v="71.2"/>
  </r>
  <r>
    <d v="2025-02-25T13:22:08"/>
    <x v="7"/>
    <s v="Plaquettes d'ébauches carrées"/>
    <s v="140325"/>
    <s v="BOUCLIER JONATHAN"/>
    <n v="10"/>
    <x v="2"/>
    <x v="2"/>
    <s v="PLAQUETTES"/>
    <s v="302x26 RPI"/>
    <n v="71.2"/>
  </r>
  <r>
    <d v="2025-02-25T16:31:21"/>
    <x v="7"/>
    <s v="Plaquettes d'ébauches carrées"/>
    <s v="u636817"/>
    <s v="MOCQUEREAU LYDIE"/>
    <n v="10"/>
    <x v="2"/>
    <x v="3"/>
    <s v="PLAQUETTES"/>
    <s v="302x26 RPI"/>
    <n v="71.2"/>
  </r>
  <r>
    <d v="2025-02-26T05:53:01"/>
    <x v="7"/>
    <s v="Plaquettes d'ébauches carrées"/>
    <s v="280225"/>
    <s v="FERNANDES DOS SANTOS REMY"/>
    <n v="10"/>
    <x v="1"/>
    <x v="2"/>
    <s v="PLAQUETTES"/>
    <s v="304x28 RPE"/>
    <n v="71.2"/>
  </r>
  <r>
    <d v="2025-02-26T21:57:10"/>
    <x v="7"/>
    <s v="Plaquettes d'ébauches carrées"/>
    <s v="U037238"/>
    <s v="PRIEUR OLIVIER"/>
    <n v="10"/>
    <x v="2"/>
    <x v="3"/>
    <s v="PLAQUETTES"/>
    <s v="302x26 RPI"/>
    <n v="71.2"/>
  </r>
  <r>
    <d v="2025-02-26T22:14:23"/>
    <x v="7"/>
    <s v="Plaquettes d'ébauches carrées"/>
    <s v="101224"/>
    <s v="CHAZEAU KYLIAN"/>
    <n v="10"/>
    <x v="3"/>
    <x v="2"/>
    <s v="PLAQUETTES"/>
    <s v="290x12"/>
    <n v="71.2"/>
  </r>
  <r>
    <d v="2025-02-28T03:09:15"/>
    <x v="7"/>
    <s v="Plaquettes d'ébauches carrées"/>
    <s v="101224"/>
    <s v="CHAZEAU KYLIAN"/>
    <n v="10"/>
    <x v="3"/>
    <x v="2"/>
    <s v="PLAQUETTES"/>
    <s v="290x12"/>
    <n v="71.2"/>
  </r>
  <r>
    <d v="2025-02-28T13:59:21"/>
    <x v="7"/>
    <s v="Plaquettes d'ébauches carrées"/>
    <s v="140325"/>
    <s v="BOUCLIER JONATHAN"/>
    <n v="10"/>
    <x v="2"/>
    <x v="2"/>
    <s v="PLAQUETTES"/>
    <s v="302x26 RPI"/>
    <n v="71.2"/>
  </r>
  <r>
    <d v="2025-02-28T21:10:45"/>
    <x v="7"/>
    <s v="Plaquettes d'ébauches carrées"/>
    <s v="130124"/>
    <s v="MOHAMED ILDIRAY"/>
    <n v="10"/>
    <x v="1"/>
    <x v="2"/>
    <s v="PLAQUETTES"/>
    <s v="304x28 RPE"/>
    <n v="71.2"/>
  </r>
  <r>
    <d v="2025-03-03T02:28:39"/>
    <x v="7"/>
    <s v="Plaquettes d'ébauches carrées"/>
    <s v="U109136"/>
    <s v="WIPLIE FREDERIC"/>
    <n v="10"/>
    <x v="0"/>
    <x v="2"/>
    <s v="PLAQUETTES"/>
    <s v="356x26 RPI"/>
    <n v="71.2"/>
  </r>
  <r>
    <d v="2025-03-04T05:43:14"/>
    <x v="7"/>
    <s v="Plaquettes d'ébauches carrées"/>
    <s v="140325"/>
    <s v="BOUCLIER JONATHAN"/>
    <n v="10"/>
    <x v="2"/>
    <x v="2"/>
    <s v="PLAQUETTES"/>
    <s v="302x26 RPI"/>
    <n v="71.2"/>
  </r>
  <r>
    <d v="2025-03-04T09:39:33"/>
    <x v="7"/>
    <s v="Plaquettes d'ébauches carrées"/>
    <s v="u636817"/>
    <s v="MOCQUEREAU LYDIE"/>
    <n v="10"/>
    <x v="2"/>
    <x v="3"/>
    <s v="PLAQUETTES"/>
    <s v="302x26 RPI"/>
    <n v="71.2"/>
  </r>
  <r>
    <d v="2025-03-04T13:14:18"/>
    <x v="7"/>
    <s v="Plaquettes d'ébauches carrées"/>
    <s v="101123"/>
    <s v="BRUNET ANDREA"/>
    <n v="10"/>
    <x v="2"/>
    <x v="4"/>
    <s v="PLAQUETTES"/>
    <s v="302x26 RPI"/>
    <n v="71.2"/>
  </r>
  <r>
    <d v="2025-03-04T19:43:45"/>
    <x v="7"/>
    <s v="Plaquettes d'ébauches carrées"/>
    <s v="U037238"/>
    <s v="PRIEUR OLIVIER"/>
    <n v="10"/>
    <x v="2"/>
    <x v="3"/>
    <s v="PLAQUETTES"/>
    <s v="302x26 RPI"/>
    <n v="71.2"/>
  </r>
  <r>
    <d v="2025-03-05T00:33:55"/>
    <x v="7"/>
    <s v="Plaquettes d'ébauches carrées"/>
    <s v="SE08251"/>
    <s v="FAYET AYMERIC"/>
    <n v="10"/>
    <x v="0"/>
    <x v="2"/>
    <s v="PLAQUETTES"/>
    <s v="290x12"/>
    <n v="71.2"/>
  </r>
  <r>
    <d v="2025-03-05T00:34:13"/>
    <x v="7"/>
    <s v="Plaquettes d'ébauches carrées"/>
    <s v="SE08251"/>
    <s v="FAYET AYMERIC"/>
    <n v="10"/>
    <x v="0"/>
    <x v="2"/>
    <s v="PLAQUETTES"/>
    <s v="356x26 RPI"/>
    <n v="71.2"/>
  </r>
  <r>
    <d v="2025-03-06T04:33:31"/>
    <x v="7"/>
    <s v="Plaquettes d'ébauches carrées"/>
    <s v="11737592"/>
    <s v="BLOCQUET DAVID"/>
    <n v="10"/>
    <x v="2"/>
    <x v="2"/>
    <s v="PLAQUETTES"/>
    <s v="302x26 RPI"/>
    <n v="71.2"/>
  </r>
  <r>
    <d v="2025-03-06T05:38:26"/>
    <x v="7"/>
    <s v="Plaquettes d'ébauches carrées"/>
    <s v="7236310"/>
    <s v="BRANDALY JEREMY"/>
    <n v="10"/>
    <x v="0"/>
    <x v="3"/>
    <s v="PLAQUETTES"/>
    <s v="290x12"/>
    <n v="71.2"/>
  </r>
  <r>
    <d v="2025-03-06T13:25:36"/>
    <x v="7"/>
    <s v="Plaquettes d'ébauches carrées"/>
    <s v="101224"/>
    <s v="CHAZEAU KYLIAN"/>
    <n v="10"/>
    <x v="3"/>
    <x v="2"/>
    <s v="PLAQUETTES"/>
    <s v="290x12"/>
    <n v="71.2"/>
  </r>
  <r>
    <d v="2025-03-07T05:10:06"/>
    <x v="7"/>
    <s v="Plaquettes d'ébauches carrées"/>
    <s v="J534699"/>
    <s v="FABIAN CHARTON"/>
    <n v="10"/>
    <x v="2"/>
    <x v="3"/>
    <s v="PLAQUETTES"/>
    <s v="302x26 RPI"/>
    <n v="71.2"/>
  </r>
  <r>
    <d v="2025-03-07T05:11:53"/>
    <x v="7"/>
    <s v="Plaquettes d'ébauches carrées"/>
    <s v="J534699"/>
    <s v="FABIAN CHARTON"/>
    <n v="10"/>
    <x v="2"/>
    <x v="2"/>
    <s v="PLAQUETTES"/>
    <s v="302x26 RPI"/>
    <n v="71.2"/>
  </r>
  <r>
    <d v="2025-03-07T22:33:27"/>
    <x v="7"/>
    <s v="Plaquettes d'ébauches carrées"/>
    <s v="SE08251"/>
    <s v="FAYET AYMERIC"/>
    <n v="10"/>
    <x v="3"/>
    <x v="2"/>
    <s v="PLAQUETTES"/>
    <s v="290x12"/>
    <n v="71.2"/>
  </r>
  <r>
    <d v="2025-03-10T07:12:51"/>
    <x v="7"/>
    <s v="Plaquettes d'ébauches carrées"/>
    <s v="U037238"/>
    <s v="PRIEUR OLIVIER"/>
    <n v="10"/>
    <x v="2"/>
    <x v="3"/>
    <s v="PLAQUETTES"/>
    <s v="302x26 RPI"/>
    <n v="71.2"/>
  </r>
  <r>
    <d v="2025-03-10T13:12:50"/>
    <x v="7"/>
    <s v="Plaquettes d'ébauches carrées"/>
    <s v="12824586"/>
    <s v="DA SILVA FERNANDO"/>
    <n v="20"/>
    <x v="2"/>
    <x v="3"/>
    <s v="PLAQUETTES"/>
    <s v="TOUT DISQUES"/>
    <n v="142.4"/>
  </r>
  <r>
    <d v="2025-03-10T13:25:45"/>
    <x v="7"/>
    <s v="Plaquettes d'ébauches carrées"/>
    <s v="SE08251"/>
    <s v="FAYET AYMERIC"/>
    <n v="10"/>
    <x v="0"/>
    <x v="2"/>
    <s v="PLAQUETTES"/>
    <s v="330x14"/>
    <n v="71.2"/>
  </r>
  <r>
    <d v="2025-03-10T13:26:55"/>
    <x v="7"/>
    <s v="Plaquettes d'ébauches carrées"/>
    <s v="SE08251"/>
    <s v="FAYET AYMERIC"/>
    <n v="10"/>
    <x v="3"/>
    <x v="2"/>
    <s v="PLAQUETTES"/>
    <s v="290x12"/>
    <n v="71.2"/>
  </r>
  <r>
    <d v="2025-03-10T13:44:16"/>
    <x v="7"/>
    <s v="Plaquettes d'ébauches carrées"/>
    <s v="u543010"/>
    <s v="GIBBES AGNES"/>
    <n v="10"/>
    <x v="2"/>
    <x v="3"/>
    <s v="PLAQUETTES"/>
    <s v="302x26 RPI"/>
    <n v="71.2"/>
  </r>
  <r>
    <d v="2025-03-10T21:33:35"/>
    <x v="7"/>
    <s v="Plaquettes d'ébauches carrées"/>
    <s v="140325"/>
    <s v="BOUCLIER JONATHAN"/>
    <n v="10"/>
    <x v="2"/>
    <x v="2"/>
    <s v="PLAQUETTES"/>
    <s v="302x26 RPI"/>
    <n v="71.2"/>
  </r>
  <r>
    <d v="2025-03-10T21:34:38"/>
    <x v="7"/>
    <s v="Plaquettes d'ébauches carrées"/>
    <s v="140325"/>
    <s v="BOUCLIER JONATHAN"/>
    <n v="10"/>
    <x v="2"/>
    <x v="4"/>
    <s v="PLAQUETTES"/>
    <s v="302x26 RPI"/>
    <n v="71.2"/>
  </r>
  <r>
    <d v="2025-03-11T18:29:42"/>
    <x v="7"/>
    <s v="Plaquettes d'ébauches carrées"/>
    <s v="280225"/>
    <s v="FERNANDES DOS SANTOS REMY"/>
    <n v="10"/>
    <x v="0"/>
    <x v="2"/>
    <s v="PLAQUETTES"/>
    <s v="290x12"/>
    <n v="71.2"/>
  </r>
  <r>
    <d v="2025-03-12T00:41:40"/>
    <x v="7"/>
    <s v="Plaquettes d'ébauches carrées"/>
    <s v="u636817"/>
    <s v="MOCQUEREAU LYDIE"/>
    <n v="10"/>
    <x v="2"/>
    <x v="3"/>
    <s v="PLAQUETTES"/>
    <s v="302x26 RPI"/>
    <n v="71.2"/>
  </r>
  <r>
    <d v="2025-03-12T13:49:35"/>
    <x v="7"/>
    <s v="Plaquettes d'ébauches carrées"/>
    <s v="SE08251"/>
    <s v="FAYET AYMERIC"/>
    <n v="10"/>
    <x v="3"/>
    <x v="2"/>
    <s v="PLAQUETTES"/>
    <s v="290x12"/>
    <n v="71.2"/>
  </r>
  <r>
    <d v="2025-03-13T07:21:17"/>
    <x v="7"/>
    <s v="Plaquettes d'ébauches carrées"/>
    <s v="101123"/>
    <s v="BRUNET ANDREA"/>
    <n v="10"/>
    <x v="2"/>
    <x v="2"/>
    <s v="PLAQUETTES"/>
    <s v="302x26 RPI"/>
    <n v="71.2"/>
  </r>
  <r>
    <d v="2025-03-13T23:13:56"/>
    <x v="7"/>
    <s v="Plaquettes d'ébauches carrées"/>
    <s v="SD75051"/>
    <s v="COMBALUZIER LUCAS"/>
    <n v="10"/>
    <x v="0"/>
    <x v="3"/>
    <s v="PLAQUETTES"/>
    <s v="330x14"/>
    <n v="71.2"/>
  </r>
  <r>
    <d v="2025-03-14T21:08:03"/>
    <x v="7"/>
    <s v="Plaquettes d'ébauches carrées"/>
    <s v="140325"/>
    <s v="BOUCLIER JONATHAN"/>
    <n v="10"/>
    <x v="2"/>
    <x v="2"/>
    <s v="PLAQUETTES"/>
    <s v="302x26 RPI"/>
    <n v="71.2"/>
  </r>
  <r>
    <d v="2025-03-14T21:47:01"/>
    <x v="7"/>
    <s v="Plaquettes d'ébauches carrées"/>
    <s v="SD13196"/>
    <s v="FRADIN MAXIME"/>
    <n v="10"/>
    <x v="3"/>
    <x v="2"/>
    <s v="PLAQUETTES"/>
    <s v="290x12"/>
    <n v="71.2"/>
  </r>
  <r>
    <d v="2025-03-15T05:06:12"/>
    <x v="7"/>
    <s v="Plaquettes d'ébauches carrées"/>
    <s v="J529792"/>
    <s v="LEBRE CHRISTOPHE"/>
    <n v="10"/>
    <x v="2"/>
    <x v="3"/>
    <s v="PLAQUETTES"/>
    <s v="302x26 RPI"/>
    <n v="71.2"/>
  </r>
  <r>
    <d v="2025-03-15T05:06:36"/>
    <x v="7"/>
    <s v="Plaquettes d'ébauches carrées"/>
    <s v="J529792"/>
    <s v="LEBRE CHRISTOPHE"/>
    <n v="10"/>
    <x v="2"/>
    <x v="3"/>
    <s v="PLAQUETTES"/>
    <s v="302x26 RPI"/>
    <n v="71.2"/>
  </r>
  <r>
    <d v="2025-03-16T18:01:25"/>
    <x v="7"/>
    <s v="Plaquettes d'ébauches carrées"/>
    <s v="U109136"/>
    <s v="WIPLIE FREDERIC"/>
    <n v="10"/>
    <x v="0"/>
    <x v="3"/>
    <s v="PLAQUETTES"/>
    <s v="356x26 RPI"/>
    <n v="71.2"/>
  </r>
  <r>
    <d v="2025-03-18T12:40:45"/>
    <x v="7"/>
    <s v="Plaquettes d'ébauches carrées"/>
    <s v="u543010"/>
    <s v="GIBBES AGNES"/>
    <n v="10"/>
    <x v="2"/>
    <x v="3"/>
    <s v="PLAQUETTES"/>
    <s v="302x26 RPI"/>
    <n v="71.2"/>
  </r>
  <r>
    <d v="2025-03-19T15:22:12"/>
    <x v="7"/>
    <s v="Plaquettes d'ébauches carrées"/>
    <s v="140325"/>
    <s v="BOUCLIER JONATHAN"/>
    <n v="10"/>
    <x v="2"/>
    <x v="2"/>
    <s v="PLAQUETTES"/>
    <s v="302x26 RPI"/>
    <n v="71.2"/>
  </r>
  <r>
    <d v="2025-03-19T15:22:32"/>
    <x v="7"/>
    <s v="Plaquettes d'ébauches carrées"/>
    <s v="140325"/>
    <s v="BOUCLIER JONATHAN"/>
    <n v="10"/>
    <x v="2"/>
    <x v="4"/>
    <s v="PLAQUETTES"/>
    <s v="302x26 RPI"/>
    <n v="71.2"/>
  </r>
  <r>
    <d v="2025-03-19T17:03:24"/>
    <x v="7"/>
    <s v="Plaquettes d'ébauches carrées"/>
    <s v="u636817"/>
    <s v="MOCQUEREAU LYDIE"/>
    <n v="10"/>
    <x v="2"/>
    <x v="3"/>
    <s v="PLAQUETTES"/>
    <s v="302x26 RPI"/>
    <n v="71.2"/>
  </r>
  <r>
    <d v="2025-03-19T17:03:46"/>
    <x v="7"/>
    <s v="Plaquettes d'ébauches carrées"/>
    <s v="u636817"/>
    <s v="MOCQUEREAU LYDIE"/>
    <n v="10"/>
    <x v="2"/>
    <x v="3"/>
    <s v="PLAQUETTES"/>
    <s v="302x26 RPI"/>
    <n v="71.2"/>
  </r>
  <r>
    <d v="2025-03-19T21:48:08"/>
    <x v="7"/>
    <s v="Plaquettes d'ébauches carrées"/>
    <s v="101224"/>
    <s v="CHAZEAU KYLIAN"/>
    <n v="10"/>
    <x v="3"/>
    <x v="3"/>
    <s v="PLAQUETTES"/>
    <s v="290x12"/>
    <n v="71.2"/>
  </r>
  <r>
    <d v="2025-03-20T09:37:37"/>
    <x v="7"/>
    <s v="Plaquettes d'ébauches carrées"/>
    <s v="12824586"/>
    <s v="DA SILVA FERNANDO"/>
    <n v="10"/>
    <x v="2"/>
    <x v="2"/>
    <s v="PLAQUETTES"/>
    <s v="TOUT DISQUES"/>
    <n v="71.2"/>
  </r>
  <r>
    <d v="2025-03-20T13:21:19"/>
    <x v="7"/>
    <s v="Plaquettes d'ébauches carrées"/>
    <s v="SD75051"/>
    <s v="COMBALUZIER LUCAS"/>
    <n v="10"/>
    <x v="0"/>
    <x v="2"/>
    <s v="PLAQUETTES"/>
    <s v="356x26 RPI"/>
    <n v="71.2"/>
  </r>
  <r>
    <d v="2025-03-20T21:10:11"/>
    <x v="7"/>
    <s v="Plaquettes d'ébauches carrées"/>
    <s v="U037238"/>
    <s v="PRIEUR OLIVIER"/>
    <n v="10"/>
    <x v="2"/>
    <x v="3"/>
    <s v="PLAQUETTES"/>
    <s v="302x26 RPI"/>
    <n v="71.2"/>
  </r>
  <r>
    <d v="2025-03-20T21:10:53"/>
    <x v="7"/>
    <s v="Plaquettes d'ébauches carrées"/>
    <s v="U037238"/>
    <s v="PRIEUR OLIVIER"/>
    <n v="10"/>
    <x v="2"/>
    <x v="3"/>
    <s v="PLAQUETTES"/>
    <s v="302x26 RPI"/>
    <n v="71.2"/>
  </r>
  <r>
    <d v="2025-03-24T05:10:38"/>
    <x v="7"/>
    <s v="Plaquettes d'ébauches carrées"/>
    <s v="7236310"/>
    <s v="BRANDALY JEREMY"/>
    <n v="10"/>
    <x v="3"/>
    <x v="3"/>
    <s v="PLAQUETTES"/>
    <s v="290x12"/>
    <n v="71.2"/>
  </r>
  <r>
    <d v="2025-03-24T13:25:25"/>
    <x v="7"/>
    <s v="Plaquettes d'ébauches carrées"/>
    <s v="101224"/>
    <s v="CHAZEAU KYLIAN"/>
    <n v="10"/>
    <x v="3"/>
    <x v="2"/>
    <s v="PLAQUETTES"/>
    <s v="290x12"/>
    <n v="71.2"/>
  </r>
  <r>
    <d v="2025-03-26T05:40:11"/>
    <x v="7"/>
    <s v="Plaquettes d'ébauches carrées"/>
    <s v="7236310"/>
    <s v="BRANDALY JEREMY"/>
    <n v="10"/>
    <x v="0"/>
    <x v="3"/>
    <s v="PLAQUETTES"/>
    <s v="330x14"/>
    <n v="71.2"/>
  </r>
  <r>
    <d v="2025-03-26T05:40:55"/>
    <x v="7"/>
    <s v="Plaquettes d'ébauches carrées"/>
    <s v="7236310"/>
    <s v="BRANDALY JEREMY"/>
    <n v="10"/>
    <x v="3"/>
    <x v="3"/>
    <s v="PLAQUETTES"/>
    <s v="290x12"/>
    <n v="71.2"/>
  </r>
  <r>
    <d v="2025-03-27T01:58:33"/>
    <x v="7"/>
    <s v="Plaquettes d'ébauches carrées"/>
    <s v="11737592"/>
    <s v="BLOCQUET DAVID"/>
    <n v="10"/>
    <x v="2"/>
    <x v="4"/>
    <s v="PLAQUETTES"/>
    <s v="302x26 RPI"/>
    <n v="71.2"/>
  </r>
  <r>
    <d v="2025-03-27T06:26:21"/>
    <x v="7"/>
    <s v="Plaquettes d'ébauches carrées"/>
    <s v="140325"/>
    <s v="BOUCLIER JONATHAN"/>
    <n v="10"/>
    <x v="2"/>
    <x v="2"/>
    <s v="PLAQUETTES"/>
    <s v="302x26 RPI"/>
    <n v="71.2"/>
  </r>
  <r>
    <d v="2025-03-27T06:26:37"/>
    <x v="7"/>
    <s v="Plaquettes d'ébauches carrées"/>
    <s v="140325"/>
    <s v="BOUCLIER JONATHAN"/>
    <n v="10"/>
    <x v="2"/>
    <x v="4"/>
    <s v="PLAQUETTES"/>
    <s v="302x26 RPI"/>
    <n v="71.2"/>
  </r>
  <r>
    <d v="2025-03-27T06:48:52"/>
    <x v="7"/>
    <s v="Plaquettes d'ébauches carrées"/>
    <s v="7236310"/>
    <s v="BRANDALY JEREMY"/>
    <n v="10"/>
    <x v="0"/>
    <x v="3"/>
    <s v="PLAQUETTES"/>
    <s v="356x26 RPI"/>
    <n v="71.2"/>
  </r>
  <r>
    <d v="2025-03-27T13:41:30"/>
    <x v="7"/>
    <s v="Plaquettes d'ébauches carrées"/>
    <s v="101123"/>
    <s v="BRUNET ANDREA"/>
    <n v="10"/>
    <x v="2"/>
    <x v="4"/>
    <s v="PLAQUETTES"/>
    <s v="302x26 RPI"/>
    <n v="71.2"/>
  </r>
  <r>
    <d v="2025-03-27T21:30:52"/>
    <x v="7"/>
    <s v="Plaquettes d'ébauches carrées"/>
    <s v="SE08251"/>
    <s v="FAYET AYMERIC"/>
    <n v="10"/>
    <x v="0"/>
    <x v="3"/>
    <s v="PLAQUETTES"/>
    <s v="356x26 RPI"/>
    <n v="71.2"/>
  </r>
  <r>
    <d v="2025-03-27T21:31:18"/>
    <x v="7"/>
    <s v="Plaquettes d'ébauches carrées"/>
    <s v="SE08251"/>
    <s v="FAYET AYMERIC"/>
    <n v="10"/>
    <x v="3"/>
    <x v="2"/>
    <s v="PLAQUETTES"/>
    <s v="290x12"/>
    <n v="71.2"/>
  </r>
  <r>
    <d v="2025-03-28T22:09:19"/>
    <x v="7"/>
    <s v="Plaquettes d'ébauches carrées"/>
    <s v="11737592"/>
    <s v="BLOCQUET DAVID"/>
    <n v="10"/>
    <x v="2"/>
    <x v="3"/>
    <s v="PLAQUETTES"/>
    <s v="302x26 RPI"/>
    <n v="71.2"/>
  </r>
  <r>
    <d v="2025-03-30T17:12:00"/>
    <x v="7"/>
    <s v="Plaquettes d'ébauches carrées"/>
    <s v="J534699"/>
    <s v="FABIAN CHARTON"/>
    <n v="10"/>
    <x v="2"/>
    <x v="2"/>
    <s v="PLAQUETTES"/>
    <s v="302x26 RPI"/>
    <n v="71.2"/>
  </r>
  <r>
    <d v="2025-03-30T17:13:58"/>
    <x v="7"/>
    <s v="Plaquettes d'ébauches carrées"/>
    <s v="J534699"/>
    <s v="FABIAN CHARTON"/>
    <n v="10"/>
    <x v="2"/>
    <x v="4"/>
    <s v="PLAQUETTES"/>
    <s v="302x26 RPI"/>
    <n v="71.2"/>
  </r>
  <r>
    <d v="2025-03-30T17:14:32"/>
    <x v="7"/>
    <s v="Plaquettes d'ébauches carrées"/>
    <s v="J534699"/>
    <s v="FABIAN CHARTON"/>
    <n v="10"/>
    <x v="2"/>
    <x v="3"/>
    <s v="PLAQUETTES"/>
    <s v="302x26 RPI"/>
    <n v="71.2"/>
  </r>
  <r>
    <d v="2025-03-30T17:20:47"/>
    <x v="7"/>
    <s v="Plaquettes d'ébauches carrées"/>
    <s v="U109136"/>
    <s v="WIPLIE FREDERIC"/>
    <n v="10"/>
    <x v="0"/>
    <x v="2"/>
    <s v="PLAQUETTES"/>
    <s v="356x26 RPI"/>
    <n v="71.2"/>
  </r>
  <r>
    <d v="2025-03-31T05:04:28"/>
    <x v="7"/>
    <s v="Plaquettes d'ébauches carrées"/>
    <s v="101123"/>
    <s v="BRUNET ANDREA"/>
    <n v="10"/>
    <x v="2"/>
    <x v="3"/>
    <s v="PLAQUETTES"/>
    <s v="302x26 RPI"/>
    <n v="71.2"/>
  </r>
  <r>
    <d v="2025-03-31T18:11:22"/>
    <x v="7"/>
    <s v="Plaquettes d'ébauches carrées"/>
    <s v="11737592"/>
    <s v="BLOCQUET DAVID"/>
    <n v="10"/>
    <x v="2"/>
    <x v="4"/>
    <s v="PLAQUETTES"/>
    <s v="302x26 RPI"/>
    <n v="71.2"/>
  </r>
  <r>
    <d v="2025-03-31T22:46:54"/>
    <x v="7"/>
    <s v="Plaquettes d'ébauches carrées"/>
    <s v="u636817"/>
    <s v="MOCQUEREAU LYDIE"/>
    <n v="10"/>
    <x v="2"/>
    <x v="3"/>
    <s v="PLAQUETTES"/>
    <s v="302x26 RPI"/>
    <n v="71.2"/>
  </r>
  <r>
    <d v="2025-04-02T14:11:47"/>
    <x v="7"/>
    <s v="Plaquettes d'ébauches carrées"/>
    <s v="SE08251"/>
    <s v="FAYET AYMERIC"/>
    <n v="10"/>
    <x v="0"/>
    <x v="2"/>
    <s v="PLAQUETTES"/>
    <s v="330x14"/>
    <n v="71.2"/>
  </r>
  <r>
    <d v="2025-04-02T19:06:13"/>
    <x v="7"/>
    <s v="Plaquettes d'ébauches carrées"/>
    <s v="11737592"/>
    <s v="BLOCQUET DAVID"/>
    <n v="10"/>
    <x v="2"/>
    <x v="4"/>
    <s v="PLAQUETTES"/>
    <s v="302x26 RPI"/>
    <n v="71.2"/>
  </r>
  <r>
    <d v="2025-04-03T13:16:21"/>
    <x v="7"/>
    <s v="Plaquettes d'ébauches carrées"/>
    <s v="280225"/>
    <s v="FERNANDES DOS SANTOS REMY"/>
    <n v="10"/>
    <x v="0"/>
    <x v="3"/>
    <s v="PLAQUETTES"/>
    <s v="330x14"/>
    <n v="71.2"/>
  </r>
  <r>
    <d v="2025-04-03T21:06:39"/>
    <x v="7"/>
    <s v="Plaquettes d'ébauches carrées"/>
    <s v="140325"/>
    <s v="BOUCLIER JONATHAN"/>
    <n v="10"/>
    <x v="2"/>
    <x v="2"/>
    <s v="PLAQUETTES"/>
    <s v="302x26 RPI"/>
    <n v="71.2"/>
  </r>
  <r>
    <d v="2025-04-03T21:06:58"/>
    <x v="7"/>
    <s v="Plaquettes d'ébauches carrées"/>
    <s v="140325"/>
    <s v="BOUCLIER JONATHAN"/>
    <n v="10"/>
    <x v="2"/>
    <x v="4"/>
    <s v="PLAQUETTES"/>
    <s v="302x26 RPI"/>
    <n v="71.2"/>
  </r>
  <r>
    <d v="2025-04-04T01:51:28"/>
    <x v="7"/>
    <s v="Plaquettes d'ébauches carrées"/>
    <s v="u636817"/>
    <s v="MOCQUEREAU LYDIE"/>
    <n v="10"/>
    <x v="2"/>
    <x v="3"/>
    <s v="PLAQUETTES"/>
    <s v="302x26 RPI"/>
    <n v="71.2"/>
  </r>
  <r>
    <d v="2025-04-04T01:51:49"/>
    <x v="7"/>
    <s v="Plaquettes d'ébauches carrées"/>
    <s v="u636817"/>
    <s v="MOCQUEREAU LYDIE"/>
    <n v="10"/>
    <x v="2"/>
    <x v="3"/>
    <s v="PLAQUETTES"/>
    <s v="302x26 RPI"/>
    <n v="71.2"/>
  </r>
  <r>
    <d v="2025-04-05T03:39:03"/>
    <x v="7"/>
    <s v="Plaquettes d'ébauches carrées"/>
    <s v="140325"/>
    <s v="BOUCLIER JONATHAN"/>
    <n v="10"/>
    <x v="2"/>
    <x v="4"/>
    <s v="PLAQUETTES"/>
    <s v="302x26 RPI"/>
    <n v="71.2"/>
  </r>
  <r>
    <d v="2025-04-05T05:05:57"/>
    <x v="7"/>
    <s v="Plaquettes d'ébauches carrées"/>
    <s v="U532948"/>
    <s v="BACHELERY CEDRIC"/>
    <n v="10"/>
    <x v="2"/>
    <x v="2"/>
    <s v="PLAQUETTES"/>
    <s v="302x26 RPI"/>
    <n v="71.2"/>
  </r>
  <r>
    <d v="2025-04-07T05:12:18"/>
    <x v="7"/>
    <s v="Plaquettes d'ébauches carrées"/>
    <s v="SE08251"/>
    <s v="FAYET AYMERIC"/>
    <n v="10"/>
    <x v="0"/>
    <x v="2"/>
    <s v="PLAQUETTES"/>
    <s v="330x14"/>
    <n v="71.2"/>
  </r>
  <r>
    <d v="2025-04-07T05:13:51"/>
    <x v="7"/>
    <s v="Plaquettes d'ébauches carrées"/>
    <s v="SE08251"/>
    <s v="FAYET AYMERIC"/>
    <n v="10"/>
    <x v="3"/>
    <x v="2"/>
    <s v="PLAQUETTES"/>
    <s v="290x12"/>
    <n v="71.2"/>
  </r>
  <r>
    <d v="2025-04-07T21:23:30"/>
    <x v="7"/>
    <s v="Plaquettes d'ébauches carrées"/>
    <s v="U037238"/>
    <s v="PRIEUR OLIVIER"/>
    <n v="10"/>
    <x v="2"/>
    <x v="3"/>
    <s v="PLAQUETTES"/>
    <s v="302x26 RPI"/>
    <n v="71.2"/>
  </r>
  <r>
    <d v="2025-04-08T05:50:58"/>
    <x v="7"/>
    <s v="Plaquettes d'ébauches carrées"/>
    <s v="SE08251"/>
    <s v="FAYET AYMERIC"/>
    <n v="10"/>
    <x v="3"/>
    <x v="2"/>
    <s v="PLAQUETTES"/>
    <s v="290x12"/>
    <n v="71.2"/>
  </r>
  <r>
    <d v="2025-04-08T08:17:13"/>
    <x v="7"/>
    <s v="Plaquettes d'ébauches carrées"/>
    <s v="11737592"/>
    <s v="BLOCQUET DAVID"/>
    <n v="10"/>
    <x v="2"/>
    <x v="3"/>
    <s v="PLAQUETTES"/>
    <s v="302x26 RPI"/>
    <n v="71.2"/>
  </r>
  <r>
    <d v="2025-04-08T17:49:03"/>
    <x v="7"/>
    <s v="Plaquettes d'ébauches carrées"/>
    <s v="u636817"/>
    <s v="MOCQUEREAU LYDIE"/>
    <n v="10"/>
    <x v="2"/>
    <x v="3"/>
    <s v="PLAQUETTES"/>
    <s v="302x26 RPI"/>
    <n v="71.2"/>
  </r>
  <r>
    <d v="2025-04-08T21:22:57"/>
    <x v="7"/>
    <s v="Plaquettes d'ébauches carrées"/>
    <s v="101123"/>
    <s v="BRUNET ANDREA"/>
    <n v="10"/>
    <x v="2"/>
    <x v="2"/>
    <s v="PLAQUETTES"/>
    <s v="302x26 RPI"/>
    <n v="71.2"/>
  </r>
  <r>
    <d v="2025-04-09T08:37:40"/>
    <x v="7"/>
    <s v="Plaquettes d'ébauches carrées"/>
    <s v="SE08251"/>
    <s v="FAYET AYMERIC"/>
    <n v="10"/>
    <x v="3"/>
    <x v="2"/>
    <s v="PLAQUETTES"/>
    <s v="290x12"/>
    <n v="71.2"/>
  </r>
  <r>
    <d v="2025-04-10T13:10:46"/>
    <x v="7"/>
    <s v="Plaquettes d'ébauches carrées"/>
    <s v="140325"/>
    <s v="BOUCLIER JONATHAN"/>
    <n v="10"/>
    <x v="2"/>
    <x v="2"/>
    <s v="PLAQUETTES"/>
    <s v="302x26 RPI"/>
    <n v="71.2"/>
  </r>
  <r>
    <d v="2025-04-10T13:11:45"/>
    <x v="7"/>
    <s v="Plaquettes d'ébauches carrées"/>
    <s v="140325"/>
    <s v="BOUCLIER JONATHAN"/>
    <n v="10"/>
    <x v="2"/>
    <x v="4"/>
    <s v="PLAQUETTES"/>
    <s v="302x26 RPI"/>
    <n v="71.2"/>
  </r>
  <r>
    <d v="2025-04-10T21:45:46"/>
    <x v="7"/>
    <s v="Plaquettes d'ébauches carrées"/>
    <s v="101123"/>
    <s v="BRUNET ANDREA"/>
    <n v="10"/>
    <x v="2"/>
    <x v="3"/>
    <s v="PLAQUETTES"/>
    <s v="302x26 RPI"/>
    <n v="71.2"/>
  </r>
  <r>
    <d v="2025-04-11T04:28:11"/>
    <x v="7"/>
    <s v="Plaquettes d'ébauches carrées"/>
    <s v="J609988"/>
    <s v="AMALRIC VINCENT"/>
    <n v="10"/>
    <x v="2"/>
    <x v="4"/>
    <s v="PLAQUETTES"/>
    <s v="302x26 RPI"/>
    <n v="71.2"/>
  </r>
  <r>
    <d v="2025-04-11T13:55:39"/>
    <x v="7"/>
    <s v="Plaquettes d'ébauches carrées"/>
    <s v="SD75051"/>
    <s v="COMBALUZIER LUCAS"/>
    <n v="10"/>
    <x v="3"/>
    <x v="2"/>
    <s v="PLAQUETTES"/>
    <s v="290x12"/>
    <n v="71.2"/>
  </r>
  <r>
    <d v="2025-04-14T05:08:48"/>
    <x v="7"/>
    <s v="Plaquettes d'ébauches carrées"/>
    <s v="SD75051"/>
    <s v="COMBALUZIER LUCAS"/>
    <n v="10"/>
    <x v="0"/>
    <x v="2"/>
    <s v="PLAQUETTES"/>
    <s v="356x26 RPI"/>
    <n v="71.2"/>
  </r>
  <r>
    <d v="2025-04-14T13:36:24"/>
    <x v="7"/>
    <s v="Plaquettes d'ébauches carrées"/>
    <s v="U037238"/>
    <s v="PRIEUR OLIVIER"/>
    <n v="10"/>
    <x v="2"/>
    <x v="3"/>
    <s v="PLAQUETTES"/>
    <s v="302x26 RPI"/>
    <n v="71.2"/>
  </r>
  <r>
    <d v="2025-04-15T05:21:16"/>
    <x v="7"/>
    <s v="Plaquettes d'ébauches carrées"/>
    <s v="140325"/>
    <s v="BOUCLIER JONATHAN"/>
    <n v="10"/>
    <x v="2"/>
    <x v="4"/>
    <s v="PLAQUETTES"/>
    <s v="302x26 RPI"/>
    <n v="71.2"/>
  </r>
  <r>
    <d v="2025-04-15T22:24:58"/>
    <x v="7"/>
    <s v="Plaquettes d'ébauches carrées"/>
    <s v="j529800"/>
    <s v="MONTCHARMONT BAPTISTE"/>
    <n v="10"/>
    <x v="2"/>
    <x v="3"/>
    <s v="PLAQUETTES"/>
    <s v="302x26 RPI"/>
    <n v="71.2"/>
  </r>
  <r>
    <d v="2025-04-16T05:28:11"/>
    <x v="7"/>
    <s v="Plaquettes d'ébauches carrées"/>
    <s v="SD75051"/>
    <s v="COMBALUZIER LUCAS"/>
    <n v="10"/>
    <x v="0"/>
    <x v="2"/>
    <s v="PLAQUETTES"/>
    <s v="330x14"/>
    <n v="71.2"/>
  </r>
  <r>
    <d v="2025-04-16T06:59:33"/>
    <x v="7"/>
    <s v="Plaquettes d'ébauches carrées"/>
    <s v="140325"/>
    <s v="BOUCLIER JONATHAN"/>
    <n v="10"/>
    <x v="2"/>
    <x v="2"/>
    <s v="PLAQUETTES"/>
    <s v="302x26 RPI"/>
    <n v="71.2"/>
  </r>
  <r>
    <d v="2025-04-16T07:01:15"/>
    <x v="7"/>
    <s v="Plaquettes d'ébauches carrées"/>
    <s v="140325"/>
    <s v="BOUCLIER JONATHAN"/>
    <n v="10"/>
    <x v="2"/>
    <x v="4"/>
    <s v="PLAQUETTES"/>
    <s v="302x26 RPI"/>
    <n v="71.2"/>
  </r>
  <r>
    <d v="2025-04-17T06:07:08"/>
    <x v="7"/>
    <s v="Plaquettes d'ébauches carrées"/>
    <s v="SD75051"/>
    <s v="COMBALUZIER LUCAS"/>
    <n v="10"/>
    <x v="0"/>
    <x v="2"/>
    <s v="PLAQUETTES"/>
    <s v="330x14"/>
    <n v="71.2"/>
  </r>
  <r>
    <d v="2025-04-17T06:08:17"/>
    <x v="7"/>
    <s v="Plaquettes d'ébauches carrées"/>
    <s v="SD75051"/>
    <s v="COMBALUZIER LUCAS"/>
    <n v="10"/>
    <x v="3"/>
    <x v="2"/>
    <s v="PLAQUETTES"/>
    <s v="290x12"/>
    <n v="71.2"/>
  </r>
  <r>
    <d v="2025-04-17T13:16:52"/>
    <x v="7"/>
    <s v="Plaquettes d'ébauches carrées"/>
    <s v="U037238"/>
    <s v="PRIEUR OLIVIER"/>
    <n v="10"/>
    <x v="2"/>
    <x v="3"/>
    <s v="PLAQUETTES"/>
    <s v="302x26 RPI"/>
    <n v="71.2"/>
  </r>
  <r>
    <d v="2025-04-18T04:11:57"/>
    <x v="7"/>
    <s v="Plaquettes d'ébauches carrées"/>
    <s v="280225"/>
    <s v="FERNANDES DOS SANTOS REMY"/>
    <n v="10"/>
    <x v="1"/>
    <x v="3"/>
    <s v="PLAQUETTES"/>
    <s v="356x26 RPI"/>
    <n v="71.2"/>
  </r>
  <r>
    <d v="2025-04-18T17:42:02"/>
    <x v="7"/>
    <s v="Plaquettes d'ébauches carrées"/>
    <s v="210325"/>
    <s v="DAUTUN ALLAN"/>
    <n v="10"/>
    <x v="2"/>
    <x v="2"/>
    <s v="PLAQUETTES"/>
    <s v="302x26 RPI"/>
    <n v="71.2"/>
  </r>
  <r>
    <d v="2025-04-18T17:42:23"/>
    <x v="7"/>
    <s v="Plaquettes d'ébauches carrées"/>
    <s v="210325"/>
    <s v="DAUTUN ALLAN"/>
    <n v="10"/>
    <x v="2"/>
    <x v="4"/>
    <s v="PLAQUETTES"/>
    <s v="302x26 RPI"/>
    <n v="71.2"/>
  </r>
  <r>
    <d v="2025-04-21T05:07:37"/>
    <x v="7"/>
    <s v="Plaquettes d'ébauches carrées"/>
    <s v="101123"/>
    <s v="BRUNET ANDREA"/>
    <n v="10"/>
    <x v="2"/>
    <x v="3"/>
    <s v="PLAQUETTES"/>
    <s v="302x26 RPI"/>
    <n v="71.2"/>
  </r>
  <r>
    <d v="2025-04-22T14:28:47"/>
    <x v="7"/>
    <s v="Plaquettes d'ébauches carrées"/>
    <s v="SE08251"/>
    <s v="FAYET AYMERIC"/>
    <n v="10"/>
    <x v="3"/>
    <x v="2"/>
    <s v="PLAQUETTES"/>
    <s v="290x12"/>
    <n v="71.2"/>
  </r>
  <r>
    <d v="2025-04-22T21:40:20"/>
    <x v="7"/>
    <s v="Plaquettes d'ébauches carrées"/>
    <s v="u636817"/>
    <s v="MOCQUEREAU LYDIE"/>
    <n v="10"/>
    <x v="2"/>
    <x v="3"/>
    <s v="PLAQUETTES"/>
    <s v="302x26 RPI"/>
    <n v="71.2"/>
  </r>
  <r>
    <d v="2025-04-22T21:40:46"/>
    <x v="7"/>
    <s v="Plaquettes d'ébauches carrées"/>
    <s v="u636817"/>
    <s v="MOCQUEREAU LYDIE"/>
    <n v="10"/>
    <x v="2"/>
    <x v="3"/>
    <s v="PLAQUETTES"/>
    <s v="302x26 RPI"/>
    <n v="71.2"/>
  </r>
  <r>
    <d v="2025-04-24T18:26:09"/>
    <x v="7"/>
    <s v="Plaquettes d'ébauches carrées"/>
    <s v="250425"/>
    <s v="CHANDAR ABDER"/>
    <n v="10"/>
    <x v="2"/>
    <x v="4"/>
    <s v="PLAQUETTES"/>
    <s v="302x26 RPI"/>
    <n v="71.2"/>
  </r>
  <r>
    <d v="2025-04-24T20:52:05"/>
    <x v="7"/>
    <s v="Plaquettes d'ébauches carrées"/>
    <s v="SE08251"/>
    <s v="FAYET AYMERIC"/>
    <n v="10"/>
    <x v="0"/>
    <x v="2"/>
    <s v="PLAQUETTES"/>
    <s v="356x26 RPI"/>
    <n v="71.2"/>
  </r>
  <r>
    <d v="2025-04-24T20:52:40"/>
    <x v="7"/>
    <s v="Plaquettes d'ébauches carrées"/>
    <s v="SE08251"/>
    <s v="FAYET AYMERIC"/>
    <n v="10"/>
    <x v="3"/>
    <x v="2"/>
    <s v="PLAQUETTES"/>
    <s v="290x12"/>
    <n v="71.2"/>
  </r>
  <r>
    <d v="2025-04-24T22:20:51"/>
    <x v="7"/>
    <s v="Plaquettes d'ébauches carrées"/>
    <s v="140325"/>
    <s v="BOUCLIER JONATHAN"/>
    <n v="10"/>
    <x v="2"/>
    <x v="4"/>
    <s v="PLAQUETTES"/>
    <s v="302x26 RPI"/>
    <n v="71.2"/>
  </r>
  <r>
    <d v="2025-04-25T05:22:46"/>
    <x v="7"/>
    <s v="Plaquettes d'ébauches carrées"/>
    <s v="DELIAT C"/>
    <s v="DELIAT CHRISTOPHE"/>
    <n v="10"/>
    <x v="2"/>
    <x v="3"/>
    <s v="PLAQUETTES"/>
    <s v="302x26 RPI"/>
    <n v="71.2"/>
  </r>
  <r>
    <d v="2025-04-26T06:40:24"/>
    <x v="7"/>
    <s v="Plaquettes d'ébauches carrées"/>
    <s v="DELIAT C"/>
    <s v="DELIAT CHRISTOPHE"/>
    <n v="10"/>
    <x v="2"/>
    <x v="2"/>
    <s v="PLAQUETTES"/>
    <s v="302x26 RPI"/>
    <n v="71.2"/>
  </r>
  <r>
    <d v="2025-04-27T17:52:16"/>
    <x v="7"/>
    <s v="Plaquettes d'ébauches carrées"/>
    <s v="j534699"/>
    <s v="FABIAN CHARTON"/>
    <n v="10"/>
    <x v="2"/>
    <x v="3"/>
    <s v="PLAQUETTES"/>
    <s v="302x26 RPI"/>
    <n v="71.2"/>
  </r>
  <r>
    <d v="2025-04-27T17:52:52"/>
    <x v="7"/>
    <s v="Plaquettes d'ébauches carrées"/>
    <s v="j534699"/>
    <s v="FABIAN CHARTON"/>
    <n v="10"/>
    <x v="2"/>
    <x v="3"/>
    <s v="PLAQUETTES"/>
    <s v="302x26 RPI"/>
    <n v="71.2"/>
  </r>
  <r>
    <d v="2025-04-27T17:55:10"/>
    <x v="7"/>
    <s v="Plaquettes d'ébauches carrées"/>
    <s v="j534699"/>
    <s v="FABIAN CHARTON"/>
    <n v="10"/>
    <x v="2"/>
    <x v="4"/>
    <s v="PLAQUETTES"/>
    <s v="302x26 RPI"/>
    <n v="71.2"/>
  </r>
  <r>
    <d v="2025-04-27T17:56:36"/>
    <x v="7"/>
    <s v="Plaquettes d'ébauches carrées"/>
    <s v="j534699"/>
    <s v="FABIAN CHARTON"/>
    <n v="10"/>
    <x v="2"/>
    <x v="2"/>
    <s v="PLAQUETTES"/>
    <s v="302x26 RPI"/>
    <n v="71.2"/>
  </r>
  <r>
    <d v="2025-04-28T05:16:18"/>
    <x v="7"/>
    <s v="Plaquettes d'ébauches carrées"/>
    <s v="SE08251"/>
    <s v="FAYET AYMERIC"/>
    <n v="10"/>
    <x v="3"/>
    <x v="2"/>
    <s v="PLAQUETTES"/>
    <s v="290x12"/>
    <n v="71.2"/>
  </r>
  <r>
    <d v="2025-04-28T15:01:19"/>
    <x v="7"/>
    <s v="Plaquettes d'ébauches carrées"/>
    <s v="140325"/>
    <s v="BOUCLIER JONATHAN"/>
    <n v="10"/>
    <x v="2"/>
    <x v="2"/>
    <s v="PLAQUETTES"/>
    <s v="302x26 RPI"/>
    <n v="71.2"/>
  </r>
  <r>
    <d v="2025-04-28T15:02:51"/>
    <x v="7"/>
    <s v="Plaquettes d'ébauches carrées"/>
    <s v="140325"/>
    <s v="BOUCLIER JONATHAN"/>
    <n v="10"/>
    <x v="2"/>
    <x v="4"/>
    <s v="PLAQUETTES"/>
    <s v="302x26 RPI"/>
    <n v="71.2"/>
  </r>
  <r>
    <d v="2025-04-29T22:35:20"/>
    <x v="7"/>
    <s v="Plaquettes d'ébauches carrées"/>
    <s v="U037238"/>
    <s v="PRIEUR OLIVIER"/>
    <n v="10"/>
    <x v="2"/>
    <x v="3"/>
    <s v="PLAQUETTES"/>
    <s v="302x26 RPI"/>
    <n v="71.2"/>
  </r>
  <r>
    <d v="2025-04-30T05:23:03"/>
    <x v="7"/>
    <s v="Plaquettes d'ébauches carrées"/>
    <s v="SE08251"/>
    <s v="FAYET AYMERIC"/>
    <n v="10"/>
    <x v="0"/>
    <x v="3"/>
    <s v="PLAQUETTES"/>
    <s v="330x14"/>
    <n v="71.2"/>
  </r>
  <r>
    <d v="2025-04-30T05:23:43"/>
    <x v="7"/>
    <s v="Plaquettes d'ébauches carrées"/>
    <s v="SE08251"/>
    <s v="FAYET AYMERIC"/>
    <n v="10"/>
    <x v="3"/>
    <x v="3"/>
    <s v="PLAQUETTES"/>
    <s v="290x12"/>
    <n v="71.2"/>
  </r>
  <r>
    <d v="2025-04-30T17:19:29"/>
    <x v="7"/>
    <s v="Plaquettes d'ébauches carrées"/>
    <s v="140325"/>
    <s v="BOUCLIER JONATHAN"/>
    <n v="10"/>
    <x v="2"/>
    <x v="2"/>
    <s v="PLAQUETTES"/>
    <s v="302x26 RPI"/>
    <n v="71.2"/>
  </r>
  <r>
    <d v="2025-05-02T09:52:45"/>
    <x v="7"/>
    <s v="Plaquettes d'ébauches carrées"/>
    <s v="J534699"/>
    <s v="FABIAN CHARTON"/>
    <n v="10"/>
    <x v="2"/>
    <x v="2"/>
    <s v="PLAQUETTES"/>
    <s v="302x26 RPI"/>
    <n v="71.2"/>
  </r>
  <r>
    <d v="2025-05-02T09:54:50"/>
    <x v="7"/>
    <s v="Plaquettes d'ébauches carrées"/>
    <s v="J534699"/>
    <s v="FABIAN CHARTON"/>
    <n v="10"/>
    <x v="2"/>
    <x v="3"/>
    <s v="PLAQUETTES"/>
    <s v="302x26 RPI"/>
    <n v="71.2"/>
  </r>
  <r>
    <d v="2025-05-05T22:13:05"/>
    <x v="7"/>
    <s v="Plaquettes d'ébauches carrées"/>
    <s v="SE08251"/>
    <s v="FAYET AYMERIC"/>
    <n v="10"/>
    <x v="0"/>
    <x v="3"/>
    <s v="PLAQUETTES"/>
    <s v="330x14"/>
    <n v="71.2"/>
  </r>
  <r>
    <d v="2025-05-05T22:13:42"/>
    <x v="7"/>
    <s v="Plaquettes d'ébauches carrées"/>
    <s v="SE08251"/>
    <s v="FAYET AYMERIC"/>
    <n v="10"/>
    <x v="3"/>
    <x v="3"/>
    <s v="PLAQUETTES"/>
    <s v="290x12"/>
    <n v="71.2"/>
  </r>
  <r>
    <d v="2025-05-06T02:31:30"/>
    <x v="7"/>
    <s v="Plaquettes d'ébauches carrées"/>
    <s v="250425"/>
    <s v="CHANDAR ABDER"/>
    <n v="10"/>
    <x v="2"/>
    <x v="4"/>
    <s v="PLAQUETTES"/>
    <s v="302x26 RPI"/>
    <n v="71.2"/>
  </r>
  <r>
    <d v="2025-05-06T08:00:21"/>
    <x v="7"/>
    <s v="Plaquettes d'ébauches carrées"/>
    <s v="SF51433"/>
    <s v="BONTEMS COLINE"/>
    <n v="10"/>
    <x v="2"/>
    <x v="4"/>
    <s v="PLAQUETTES"/>
    <s v="TOUT DISQUES"/>
    <n v="71.2"/>
  </r>
  <r>
    <d v="2025-05-07T05:37:21"/>
    <x v="7"/>
    <s v="Plaquettes d'ébauches carrées"/>
    <s v="u636817"/>
    <s v="MOCQUEREAU LYDIE"/>
    <n v="10"/>
    <x v="2"/>
    <x v="3"/>
    <s v="PLAQUETTES"/>
    <s v="302x26 RPI"/>
    <n v="71.2"/>
  </r>
  <r>
    <d v="2025-05-07T11:38:37"/>
    <x v="7"/>
    <s v="Plaquettes d'ébauches carrées"/>
    <s v="140325"/>
    <s v="BOUCLIER JONATHAN"/>
    <n v="10"/>
    <x v="2"/>
    <x v="2"/>
    <s v="PLAQUETTES"/>
    <s v="302x26 RPI"/>
    <n v="71.2"/>
  </r>
  <r>
    <d v="2025-05-07T21:47:47"/>
    <x v="7"/>
    <s v="Plaquettes d'ébauches carrées"/>
    <s v="SE08251"/>
    <s v="FAYET AYMERIC"/>
    <n v="10"/>
    <x v="3"/>
    <x v="3"/>
    <s v="PLAQUETTES"/>
    <s v="290x12"/>
    <n v="71.2"/>
  </r>
  <r>
    <d v="2025-05-08T09:09:42"/>
    <x v="7"/>
    <s v="Plaquettes d'ébauches carrées"/>
    <s v="140325"/>
    <s v="BOUCLIER JONATHAN"/>
    <n v="10"/>
    <x v="2"/>
    <x v="2"/>
    <s v="PLAQUETTES"/>
    <s v="302x26 RPI"/>
    <n v="71.2"/>
  </r>
  <r>
    <d v="2025-05-08T09:10:04"/>
    <x v="7"/>
    <s v="Plaquettes d'ébauches carrées"/>
    <s v="140325"/>
    <s v="BOUCLIER JONATHAN"/>
    <n v="-10"/>
    <x v="2"/>
    <x v="2"/>
    <s v="PLAQUETTES"/>
    <s v="302x26 RPI"/>
    <n v="-71.2"/>
  </r>
  <r>
    <d v="2025-05-08T09:10:19"/>
    <x v="7"/>
    <s v="Plaquettes d'ébauches carrées"/>
    <s v="140325"/>
    <s v="BOUCLIER JONATHAN"/>
    <n v="10"/>
    <x v="2"/>
    <x v="2"/>
    <s v="PLAQUETTES"/>
    <s v="302x26 RPI"/>
    <n v="71.2"/>
  </r>
  <r>
    <d v="2025-05-08T09:10:52"/>
    <x v="7"/>
    <s v="Plaquettes d'ébauches carrées"/>
    <s v="140325"/>
    <s v="BOUCLIER JONATHAN"/>
    <n v="10"/>
    <x v="2"/>
    <x v="4"/>
    <s v="PLAQUETTES"/>
    <s v="302x26 RPI"/>
    <n v="71.2"/>
  </r>
  <r>
    <d v="2025-05-08T10:53:37"/>
    <x v="7"/>
    <s v="Plaquettes d'ébauches carrées"/>
    <s v="U080365"/>
    <s v="ALAVOINE SAMUEL"/>
    <n v="10"/>
    <x v="2"/>
    <x v="3"/>
    <s v="PLAQUETTES"/>
    <s v="302x26 RPI"/>
    <n v="71.2"/>
  </r>
  <r>
    <d v="2025-05-08T14:07:55"/>
    <x v="7"/>
    <s v="Plaquettes d'ébauches carrées"/>
    <s v="U037238"/>
    <s v="PRIEUR OLIVIER"/>
    <n v="10"/>
    <x v="2"/>
    <x v="3"/>
    <s v="PLAQUETTES"/>
    <s v="302x26 RPI"/>
    <n v="71.2"/>
  </r>
  <r>
    <d v="2025-05-08T21:56:38"/>
    <x v="7"/>
    <s v="Plaquettes d'ébauches carrées"/>
    <s v="250425"/>
    <s v="CHANDAR ABDER"/>
    <n v="10"/>
    <x v="2"/>
    <x v="2"/>
    <s v="PLAQUETTES"/>
    <s v="302x26 RPI"/>
    <n v="71.2"/>
  </r>
  <r>
    <d v="2025-05-09T21:17:42"/>
    <x v="7"/>
    <s v="Plaquettes d'ébauches carrées"/>
    <s v="SE08251"/>
    <s v="FAYET AYMERIC"/>
    <n v="10"/>
    <x v="3"/>
    <x v="2"/>
    <s v="PLAQUETTES"/>
    <s v="290x12"/>
    <n v="71.2"/>
  </r>
  <r>
    <d v="2025-05-13T07:08:09"/>
    <x v="7"/>
    <s v="Plaquettes d'ébauches carrées"/>
    <s v="101224"/>
    <s v="CHAZEAU KYLIAN"/>
    <n v="10"/>
    <x v="0"/>
    <x v="2"/>
    <s v="PLAQUETTES"/>
    <s v="356x26 RPI"/>
    <n v="71.2"/>
  </r>
  <r>
    <d v="2025-05-13T19:04:20"/>
    <x v="7"/>
    <s v="Plaquettes d'ébauches carrées"/>
    <s v="250425"/>
    <s v="CHANDAR ABDER"/>
    <n v="10"/>
    <x v="2"/>
    <x v="4"/>
    <s v="PLAQUETTES"/>
    <s v="302x26 RPI"/>
    <n v="71.2"/>
  </r>
  <r>
    <d v="2025-05-14T13:19:56"/>
    <x v="7"/>
    <s v="Plaquettes d'ébauches carrées"/>
    <s v="SE08251"/>
    <s v="FAYET AYMERIC"/>
    <n v="10"/>
    <x v="3"/>
    <x v="3"/>
    <s v="PLAQUETTES"/>
    <s v="290x12"/>
    <n v="71.2"/>
  </r>
  <r>
    <d v="2025-05-15T15:00:29"/>
    <x v="7"/>
    <s v="Plaquettes d'ébauches carrées"/>
    <s v="250425"/>
    <s v="CHANDAR ABDER"/>
    <n v="10"/>
    <x v="2"/>
    <x v="2"/>
    <s v="PLAQUETTES"/>
    <s v="302x26 RPI"/>
    <n v="71.2"/>
  </r>
  <r>
    <d v="2025-05-15T20:55:54"/>
    <x v="7"/>
    <s v="Plaquettes d'ébauches carrées"/>
    <s v="250425"/>
    <s v="CHANDAR ABDER"/>
    <n v="10"/>
    <x v="2"/>
    <x v="2"/>
    <s v="PLAQUETTES"/>
    <s v="302x26 RPI"/>
    <n v="71.2"/>
  </r>
  <r>
    <d v="2025-05-15T22:48:59"/>
    <x v="7"/>
    <s v="Plaquettes d'ébauches carrées"/>
    <s v="u636817"/>
    <s v="MOCQUEREAU LYDIE"/>
    <n v="10"/>
    <x v="2"/>
    <x v="3"/>
    <s v="PLAQUETTES"/>
    <s v="302x26 RPI"/>
    <n v="71.2"/>
  </r>
  <r>
    <d v="2025-05-15T22:49:26"/>
    <x v="7"/>
    <s v="Plaquettes d'ébauches carrées"/>
    <s v="u636817"/>
    <s v="MOCQUEREAU LYDIE"/>
    <n v="10"/>
    <x v="2"/>
    <x v="3"/>
    <s v="PLAQUETTES"/>
    <s v="302x26 RPI"/>
    <n v="71.2"/>
  </r>
  <r>
    <d v="2025-05-16T03:55:26"/>
    <x v="7"/>
    <s v="Plaquettes d'ébauches carrées"/>
    <s v="140325"/>
    <s v="BOUCLIER JONATHAN"/>
    <n v="10"/>
    <x v="2"/>
    <x v="4"/>
    <s v="PLAQUETTES"/>
    <s v="302x26 RPI"/>
    <n v="71.2"/>
  </r>
  <r>
    <d v="2025-05-16T03:55:58"/>
    <x v="7"/>
    <s v="Plaquettes d'ébauches carrées"/>
    <s v="140325"/>
    <s v="BOUCLIER JONATHAN"/>
    <n v="10"/>
    <x v="2"/>
    <x v="2"/>
    <s v="PLAQUETTES"/>
    <s v="302x26 RPI"/>
    <n v="71.2"/>
  </r>
  <r>
    <d v="2025-05-16T08:39:37"/>
    <x v="7"/>
    <s v="Plaquettes d'ébauches carrées"/>
    <s v="J534699"/>
    <s v="FABIAN CHARTON"/>
    <n v="10"/>
    <x v="2"/>
    <x v="4"/>
    <s v="PLAQUETTES"/>
    <s v="302x26 RPI"/>
    <n v="71.2"/>
  </r>
  <r>
    <d v="2025-05-16T08:40:07"/>
    <x v="7"/>
    <s v="Plaquettes d'ébauches carrées"/>
    <s v="J534699"/>
    <s v="FABIAN CHARTON"/>
    <n v="10"/>
    <x v="2"/>
    <x v="2"/>
    <s v="PLAQUETTES"/>
    <s v="302x26 RPI"/>
    <n v="71.2"/>
  </r>
  <r>
    <d v="2025-05-16T15:34:53"/>
    <x v="7"/>
    <s v="Plaquettes d'ébauches carrées"/>
    <s v="SE08251"/>
    <s v="FAYET AYMERIC"/>
    <n v="10"/>
    <x v="0"/>
    <x v="2"/>
    <s v="PLAQUETTES"/>
    <s v="356x26 RPI"/>
    <n v="71.2"/>
  </r>
  <r>
    <d v="2025-05-19T05:46:24"/>
    <x v="7"/>
    <s v="Plaquettes d'ébauches carrées"/>
    <s v="SE08251"/>
    <s v="FAYET AYMERIC"/>
    <n v="10"/>
    <x v="3"/>
    <x v="2"/>
    <s v="PLAQUETTES"/>
    <s v="290x12"/>
    <n v="71.2"/>
  </r>
  <r>
    <d v="2025-05-19T12:05:53"/>
    <x v="7"/>
    <s v="Plaquettes d'ébauches carrées"/>
    <s v="250425"/>
    <s v="CHANDAR ABDER"/>
    <n v="10"/>
    <x v="2"/>
    <x v="4"/>
    <s v="PLAQUETTES"/>
    <s v="302x26 RPI"/>
    <n v="71.2"/>
  </r>
  <r>
    <d v="2025-05-19T13:20:22"/>
    <x v="7"/>
    <s v="Plaquettes d'ébauches carrées"/>
    <s v="SD75051"/>
    <s v="COMBALUZIER LUCAS"/>
    <n v="10"/>
    <x v="0"/>
    <x v="2"/>
    <s v="PLAQUETTES"/>
    <s v="330x14"/>
    <n v="71.2"/>
  </r>
  <r>
    <d v="2025-05-19T13:29:03"/>
    <x v="7"/>
    <s v="Plaquettes d'ébauches carrées"/>
    <s v="u636817"/>
    <s v="MOCQUEREAU LYDIE"/>
    <n v="10"/>
    <x v="2"/>
    <x v="2"/>
    <s v="PLAQUETTES"/>
    <s v="302x26 RPI"/>
    <n v="71.2"/>
  </r>
  <r>
    <d v="2025-05-19T13:30:19"/>
    <x v="7"/>
    <s v="Plaquettes d'ébauches carrées"/>
    <s v="u636817"/>
    <s v="MOCQUEREAU LYDIE"/>
    <n v="10"/>
    <x v="2"/>
    <x v="4"/>
    <s v="PLAQUETTES"/>
    <s v="302x26 RPI"/>
    <n v="71.2"/>
  </r>
  <r>
    <d v="2025-05-20T05:21:41"/>
    <x v="7"/>
    <s v="Plaquettes d'ébauches carrées"/>
    <s v="SE08251"/>
    <s v="FAYET AYMERIC"/>
    <n v="10"/>
    <x v="0"/>
    <x v="3"/>
    <s v="PLAQUETTES"/>
    <s v="330x14"/>
    <n v="71.2"/>
  </r>
  <r>
    <d v="2025-05-20T21:07:26"/>
    <x v="7"/>
    <s v="Plaquettes d'ébauches carrées"/>
    <s v="101123"/>
    <s v="BRUNET ANDREA"/>
    <n v="10"/>
    <x v="2"/>
    <x v="3"/>
    <s v="PLAQUETTES"/>
    <s v="302x26 RPI"/>
    <n v="71.2"/>
  </r>
  <r>
    <d v="2025-05-21T05:56:32"/>
    <x v="7"/>
    <s v="Plaquettes d'ébauches carrées"/>
    <s v="SE08251"/>
    <s v="FAYET AYMERIC"/>
    <n v="10"/>
    <x v="3"/>
    <x v="2"/>
    <s v="PLAQUETTES"/>
    <s v="290x12"/>
    <n v="71.2"/>
  </r>
  <r>
    <d v="2025-05-22T13:52:08"/>
    <x v="7"/>
    <s v="Plaquettes d'ébauches carrées"/>
    <s v="140325"/>
    <s v="BOUCLIER JONATHAN"/>
    <n v="10"/>
    <x v="2"/>
    <x v="4"/>
    <s v="PLAQUETTES"/>
    <s v="302x26 RPI"/>
    <n v="71.2"/>
  </r>
  <r>
    <d v="2025-05-23T04:53:09"/>
    <x v="7"/>
    <s v="Plaquettes d'ébauches carrées"/>
    <s v="210325"/>
    <s v="DAUTUN ALLAN"/>
    <n v="10"/>
    <x v="2"/>
    <x v="2"/>
    <s v="PLAQUETTES"/>
    <s v="302x26 RPI"/>
    <n v="71.2"/>
  </r>
  <r>
    <d v="2025-05-23T04:53:27"/>
    <x v="7"/>
    <s v="Plaquettes d'ébauches carrées"/>
    <s v="210325"/>
    <s v="DAUTUN ALLAN"/>
    <n v="10"/>
    <x v="2"/>
    <x v="4"/>
    <s v="PLAQUETTES"/>
    <s v="302x26 RPI"/>
    <n v="71.2"/>
  </r>
  <r>
    <d v="2025-05-23T22:32:43"/>
    <x v="7"/>
    <s v="Plaquettes d'ébauches carrées"/>
    <s v="101123"/>
    <s v="BRUNET ANDREA"/>
    <n v="10"/>
    <x v="2"/>
    <x v="3"/>
    <s v="PLAQUETTES"/>
    <s v="302x26 RPI"/>
    <n v="71.2"/>
  </r>
  <r>
    <d v="2025-05-23T22:33:02"/>
    <x v="7"/>
    <s v="Plaquettes d'ébauches carrées"/>
    <s v="101123"/>
    <s v="BRUNET ANDREA"/>
    <n v="10"/>
    <x v="2"/>
    <x v="3"/>
    <s v="PLAQUETTES"/>
    <s v="302x26 RPI"/>
    <n v="71.2"/>
  </r>
  <r>
    <d v="2025-05-26T14:23:34"/>
    <x v="7"/>
    <s v="Plaquettes d'ébauches carrées"/>
    <s v="101224"/>
    <s v="CHAZEAU KYLIAN"/>
    <n v="10"/>
    <x v="0"/>
    <x v="3"/>
    <s v="PLAQUETTES"/>
    <s v="330x14"/>
    <n v="71.2"/>
  </r>
  <r>
    <d v="2025-05-27T01:08:35"/>
    <x v="7"/>
    <s v="Plaquettes d'ébauches carrées"/>
    <s v="250425"/>
    <s v="CHANDAR ABDER"/>
    <n v="10"/>
    <x v="2"/>
    <x v="2"/>
    <s v="PLAQUETTES"/>
    <s v="302x26 RPI"/>
    <n v="71.2"/>
  </r>
  <r>
    <d v="2025-05-27T05:36:17"/>
    <x v="7"/>
    <s v="Plaquettes d'ébauches carrées"/>
    <s v="140325"/>
    <s v="BOUCLIER JONATHAN"/>
    <n v="10"/>
    <x v="2"/>
    <x v="2"/>
    <s v="PLAQUETTES"/>
    <s v="302x26 RPI"/>
    <n v="71.2"/>
  </r>
  <r>
    <d v="2025-05-27T22:12:36"/>
    <x v="7"/>
    <s v="Plaquettes d'ébauches carrées"/>
    <s v="SE08251"/>
    <s v="FAYET AYMERIC"/>
    <n v="10"/>
    <x v="0"/>
    <x v="3"/>
    <s v="PLAQUETTES"/>
    <s v="356x26 RPI"/>
    <n v="71.2"/>
  </r>
  <r>
    <d v="2025-05-27T22:13:07"/>
    <x v="7"/>
    <s v="Plaquettes d'ébauches carrées"/>
    <s v="SE08251"/>
    <s v="FAYET AYMERIC"/>
    <n v="10"/>
    <x v="3"/>
    <x v="3"/>
    <s v="PLAQUETTES"/>
    <s v="290x12"/>
    <n v="71.2"/>
  </r>
  <r>
    <d v="2025-05-28T03:52:56"/>
    <x v="7"/>
    <s v="Plaquettes d'ébauches carrées"/>
    <s v="250425"/>
    <s v="CHANDAR ABDER"/>
    <n v="10"/>
    <x v="2"/>
    <x v="2"/>
    <s v="PLAQUETTES"/>
    <s v="302x26 RPI"/>
    <n v="71.2"/>
  </r>
  <r>
    <d v="2025-05-28T07:54:18"/>
    <x v="7"/>
    <s v="Plaquettes d'ébauches carrées"/>
    <s v="SF51433"/>
    <s v="BONTEMS COLINE"/>
    <n v="10"/>
    <x v="2"/>
    <x v="2"/>
    <s v="PLAQUETTES"/>
    <s v="TOUT DISQUES"/>
    <n v="71.2"/>
  </r>
  <r>
    <d v="2025-05-29T15:42:00"/>
    <x v="7"/>
    <s v="Plaquettes d'ébauches carrées"/>
    <s v="U561365"/>
    <s v="BALLY BENOIT"/>
    <n v="10"/>
    <x v="2"/>
    <x v="3"/>
    <s v="PLAQUETTES"/>
    <s v="302x26 RPI"/>
    <n v="71.2"/>
  </r>
  <r>
    <d v="2025-05-29T21:23:23"/>
    <x v="7"/>
    <s v="Plaquettes d'ébauches carrées"/>
    <s v="SE08251"/>
    <s v="FAYET AYMERIC"/>
    <n v="10"/>
    <x v="3"/>
    <x v="2"/>
    <s v="PLAQUETTES"/>
    <s v="290x12"/>
    <n v="71.2"/>
  </r>
  <r>
    <d v="2025-05-30T16:10:34"/>
    <x v="7"/>
    <s v="Plaquettes d'ébauches carrées"/>
    <s v="130124"/>
    <s v="MOHAMED ILDIRAY"/>
    <n v="10"/>
    <x v="1"/>
    <x v="3"/>
    <s v="PLAQUETTES"/>
    <s v="304x28 RPE"/>
    <n v="71.2"/>
  </r>
  <r>
    <d v="2025-05-31T01:24:46"/>
    <x v="7"/>
    <s v="Plaquettes d'ébauches carrées"/>
    <s v="250425"/>
    <s v="CHANDAR ABDER"/>
    <n v="10"/>
    <x v="2"/>
    <x v="2"/>
    <s v="PLAQUETTES"/>
    <s v="302x26 RPI"/>
    <n v="71.2"/>
  </r>
  <r>
    <d v="2025-06-02T11:42:31"/>
    <x v="7"/>
    <s v="Plaquettes d'ébauches carrées"/>
    <s v="101123"/>
    <s v="BRUNET ANDREA"/>
    <n v="10"/>
    <x v="2"/>
    <x v="3"/>
    <s v="PLAQUETTES"/>
    <s v="302x26 RPI"/>
    <n v="71.2"/>
  </r>
  <r>
    <d v="2025-06-02T11:50:14"/>
    <x v="7"/>
    <s v="Plaquettes d'ébauches carrées"/>
    <s v="210325"/>
    <s v="DAUTUN ALLAN"/>
    <n v="10"/>
    <x v="2"/>
    <x v="2"/>
    <s v="PLAQUETTES"/>
    <s v="302x26 RPI"/>
    <n v="71.2"/>
  </r>
  <r>
    <d v="2025-06-02T15:49:09"/>
    <x v="7"/>
    <s v="Plaquettes d'ébauches carrées"/>
    <s v="250425"/>
    <s v="CHANDAR ABDER"/>
    <n v="10"/>
    <x v="2"/>
    <x v="3"/>
    <s v="PLAQUETTES"/>
    <s v="302x26 RPI"/>
    <n v="71.2"/>
  </r>
  <r>
    <d v="2025-06-02T18:26:43"/>
    <x v="7"/>
    <s v="Plaquettes d'ébauches carrées"/>
    <s v="250425"/>
    <s v="CHANDAR ABDER"/>
    <n v="10"/>
    <x v="2"/>
    <x v="3"/>
    <s v="PLAQUETTES"/>
    <s v="302x26 RPI"/>
    <n v="71.2"/>
  </r>
  <r>
    <d v="2025-06-02T21:26:26"/>
    <x v="7"/>
    <s v="Plaquettes d'ébauches carrées"/>
    <s v="SD75051"/>
    <s v="COMBALUZIER LUCAS"/>
    <n v="10"/>
    <x v="0"/>
    <x v="3"/>
    <s v="PLAQUETTES"/>
    <s v="330x14"/>
    <n v="71.2"/>
  </r>
  <r>
    <d v="2025-06-02T21:40:23"/>
    <x v="7"/>
    <s v="Plaquettes d'ébauches carrées"/>
    <s v="140325"/>
    <s v="BOUCLIER JONATHAN"/>
    <n v="10"/>
    <x v="2"/>
    <x v="2"/>
    <s v="PLAQUETTES"/>
    <s v="302x26 RPI"/>
    <n v="71.2"/>
  </r>
  <r>
    <d v="2025-06-03T18:29:40"/>
    <x v="7"/>
    <s v="Plaquettes d'ébauches carrées"/>
    <s v="250425"/>
    <s v="CHANDAR ABDER"/>
    <n v="10"/>
    <x v="2"/>
    <x v="3"/>
    <s v="PLAQUETTES"/>
    <s v="302x26 RPI"/>
    <n v="71.2"/>
  </r>
  <r>
    <d v="2025-06-03T18:29:57"/>
    <x v="7"/>
    <s v="Plaquettes d'ébauches carrées"/>
    <s v="250425"/>
    <s v="CHANDAR ABDER"/>
    <n v="10"/>
    <x v="2"/>
    <x v="3"/>
    <s v="PLAQUETTES"/>
    <s v="302x26 RPI"/>
    <n v="71.2"/>
  </r>
  <r>
    <d v="2025-06-04T21:06:46"/>
    <x v="7"/>
    <s v="Plaquettes d'ébauches carrées"/>
    <s v="140325"/>
    <s v="BOUCLIER JONATHAN"/>
    <n v="10"/>
    <x v="2"/>
    <x v="4"/>
    <s v="PLAQUETTES"/>
    <s v="302x26 RPI"/>
    <n v="71.2"/>
  </r>
  <r>
    <d v="2025-06-04T21:47:01"/>
    <x v="7"/>
    <s v="Plaquettes d'ébauches carrées"/>
    <s v="SD75051"/>
    <s v="COMBALUZIER LUCAS"/>
    <n v="10"/>
    <x v="0"/>
    <x v="2"/>
    <s v="PLAQUETTES"/>
    <s v="330x14"/>
    <n v="71.2"/>
  </r>
  <r>
    <d v="2025-06-04T21:47:29"/>
    <x v="7"/>
    <s v="Plaquettes d'ébauches carrées"/>
    <s v="SD75051"/>
    <s v="COMBALUZIER LUCAS"/>
    <n v="10"/>
    <x v="0"/>
    <x v="2"/>
    <s v="PLAQUETTES"/>
    <s v="330x14"/>
    <n v="71.2"/>
  </r>
  <r>
    <d v="2025-06-05T03:23:07"/>
    <x v="7"/>
    <s v="Plaquettes d'ébauches carrées"/>
    <s v="u636817"/>
    <s v="MOCQUEREAU LYDIE"/>
    <n v="10"/>
    <x v="2"/>
    <x v="3"/>
    <s v="PLAQUETTES"/>
    <s v="302x26 RPI"/>
    <n v="71.2"/>
  </r>
  <r>
    <d v="2025-06-06T03:51:27"/>
    <x v="7"/>
    <s v="Plaquettes d'ébauches carrées"/>
    <s v="140325"/>
    <s v="BOUCLIER JONATHAN"/>
    <n v="10"/>
    <x v="2"/>
    <x v="2"/>
    <s v="PLAQUETTES"/>
    <s v="302x26 RPI"/>
    <n v="71.2"/>
  </r>
  <r>
    <d v="2025-06-06T13:07:41"/>
    <x v="7"/>
    <s v="Plaquettes d'ébauches carrées"/>
    <s v="250425"/>
    <s v="CHANDAR ABDER"/>
    <n v="10"/>
    <x v="2"/>
    <x v="2"/>
    <s v="PLAQUETTES"/>
    <s v="302x26 RPI"/>
    <n v="71.2"/>
  </r>
  <r>
    <d v="2025-06-06T21:37:33"/>
    <x v="7"/>
    <s v="Plaquettes d'ébauches carrées"/>
    <s v="140325"/>
    <s v="BOUCLIER JONATHAN"/>
    <n v="10"/>
    <x v="2"/>
    <x v="4"/>
    <s v="PLAQUETTES"/>
    <s v="302x26 RPI"/>
    <n v="71.2"/>
  </r>
  <r>
    <d v="2025-06-07T04:09:18"/>
    <x v="7"/>
    <s v="Plaquettes d'ébauches carrées"/>
    <s v="u636817"/>
    <s v="MOCQUEREAU LYDIE"/>
    <n v="10"/>
    <x v="2"/>
    <x v="3"/>
    <s v="PLAQUETTES"/>
    <s v="302x26 RPI"/>
    <n v="71.2"/>
  </r>
  <r>
    <d v="2025-06-07T05:31:32"/>
    <x v="7"/>
    <s v="Plaquettes d'ébauches carrées"/>
    <s v="DELIAT C"/>
    <s v="DELIAT CHRISTOPHE"/>
    <n v="10"/>
    <x v="2"/>
    <x v="4"/>
    <s v="PLAQUETTES"/>
    <s v="302x26 RPI"/>
    <n v="71.2"/>
  </r>
  <r>
    <d v="2025-06-07T16:58:55"/>
    <x v="7"/>
    <s v="Plaquettes d'ébauches carrées"/>
    <s v="J534699"/>
    <s v="FABIAN CHARTON"/>
    <n v="10"/>
    <x v="2"/>
    <x v="2"/>
    <s v="PLAQUETTES"/>
    <s v="302x26 RPI"/>
    <n v="71.2"/>
  </r>
  <r>
    <d v="2025-06-07T17:00:17"/>
    <x v="7"/>
    <s v="Plaquettes d'ébauches carrées"/>
    <s v="J534699"/>
    <s v="FABIAN CHARTON"/>
    <n v="10"/>
    <x v="2"/>
    <x v="3"/>
    <s v="PLAQUETTES"/>
    <s v="302x26 RPI"/>
    <n v="71.2"/>
  </r>
  <r>
    <d v="2025-06-08T17:36:34"/>
    <x v="7"/>
    <s v="Plaquettes d'ébauches carrées"/>
    <s v="150725"/>
    <s v="ADOUL WASSIM"/>
    <n v="10"/>
    <x v="1"/>
    <x v="3"/>
    <s v="PLAQUETTES"/>
    <s v="356x26 RPI"/>
    <n v="71.2"/>
  </r>
  <r>
    <d v="2025-06-09T05:43:08"/>
    <x v="7"/>
    <s v="Plaquettes d'ébauches carrées"/>
    <s v="U532976"/>
    <s v="LEFORT XAVIER"/>
    <n v="10"/>
    <x v="2"/>
    <x v="2"/>
    <s v="PLAQUETTES"/>
    <s v="302x26 RPI"/>
    <n v="71.2"/>
  </r>
  <r>
    <d v="2025-06-09T06:26:16"/>
    <x v="7"/>
    <s v="Plaquettes d'ébauches carrées"/>
    <s v="SE08251"/>
    <s v="FAYET AYMERIC"/>
    <n v="10"/>
    <x v="3"/>
    <x v="2"/>
    <s v="PLAQUETTES"/>
    <s v="302x26 RPI"/>
    <n v="71.2"/>
  </r>
  <r>
    <d v="2025-06-10T08:10:41"/>
    <x v="7"/>
    <s v="Plaquettes d'ébauches carrées"/>
    <s v="12824586"/>
    <s v="DA SILVA FERNANDO"/>
    <n v="10"/>
    <x v="1"/>
    <x v="2"/>
    <s v="PLAQUETTES"/>
    <s v="TOUT DISQUES"/>
    <n v="71.2"/>
  </r>
  <r>
    <d v="2025-06-10T21:19:29"/>
    <x v="7"/>
    <s v="Plaquettes d'ébauches carrées"/>
    <s v="101123"/>
    <s v="BRUNET ANDREA"/>
    <n v="10"/>
    <x v="2"/>
    <x v="3"/>
    <s v="PLAQUETTES"/>
    <s v="302x26 RPI"/>
    <n v="71.2"/>
  </r>
  <r>
    <d v="2025-06-11T13:26:46"/>
    <x v="7"/>
    <s v="Plaquettes d'ébauches carrées"/>
    <s v="SD75051"/>
    <s v="COMBALUZIER LUCAS"/>
    <n v="10"/>
    <x v="3"/>
    <x v="2"/>
    <s v="PLAQUETTES"/>
    <s v="330x28 RPE KO"/>
    <n v="71.2"/>
  </r>
  <r>
    <d v="2025-06-12T13:47:39"/>
    <x v="7"/>
    <s v="Plaquettes d'ébauches carrées"/>
    <s v="140325"/>
    <s v="BOUCLIER JONATHAN"/>
    <n v="10"/>
    <x v="2"/>
    <x v="2"/>
    <s v="PLAQUETTES"/>
    <s v="302x26 RPI"/>
    <n v="71.2"/>
  </r>
  <r>
    <d v="2025-06-13T08:14:25"/>
    <x v="7"/>
    <s v="Plaquettes d'ébauches carrées"/>
    <s v="J534699"/>
    <s v="FABIAN CHARTON"/>
    <n v="10"/>
    <x v="2"/>
    <x v="3"/>
    <s v="PLAQUETTES"/>
    <s v="302x26 RPI"/>
    <n v="71.2"/>
  </r>
  <r>
    <d v="2025-06-13T08:15:18"/>
    <x v="7"/>
    <s v="Plaquettes d'ébauches carrées"/>
    <s v="J534699"/>
    <s v="FABIAN CHARTON"/>
    <n v="10"/>
    <x v="2"/>
    <x v="4"/>
    <s v="PLAQUETTES"/>
    <s v="302x26 RPI"/>
    <n v="71.2"/>
  </r>
  <r>
    <d v="2025-06-13T22:24:08"/>
    <x v="7"/>
    <s v="Plaquettes d'ébauches carrées"/>
    <s v="101123"/>
    <s v="BRUNET ANDREA"/>
    <n v="10"/>
    <x v="2"/>
    <x v="3"/>
    <s v="PLAQUETTES"/>
    <s v="302x26 RPI"/>
    <n v="71.2"/>
  </r>
  <r>
    <d v="2025-06-16T00:32:37"/>
    <x v="7"/>
    <s v="Plaquettes d'ébauches carrées"/>
    <s v="u080365"/>
    <s v="ALAVOINE SAMUEL"/>
    <n v="10"/>
    <x v="2"/>
    <x v="2"/>
    <s v="PLAQUETTES"/>
    <s v="302x26 RPI"/>
    <n v="71.2"/>
  </r>
  <r>
    <d v="2025-06-16T06:04:39"/>
    <x v="7"/>
    <s v="Plaquettes d'ébauches carrées"/>
    <s v="SD75051"/>
    <s v="COMBALUZIER LUCAS"/>
    <n v="10"/>
    <x v="0"/>
    <x v="3"/>
    <s v="PLAQUETTES"/>
    <s v="356x26 RPI"/>
    <n v="71.2"/>
  </r>
  <r>
    <d v="2025-06-16T16:22:43"/>
    <x v="7"/>
    <s v="Plaquettes d'ébauches carrées"/>
    <s v="210325"/>
    <s v="DAUTUN ALLAN"/>
    <n v="10"/>
    <x v="2"/>
    <x v="2"/>
    <s v="PLAQUETTES"/>
    <s v="302x26 RPI"/>
    <n v="71.2"/>
  </r>
  <r>
    <d v="2025-06-16T16:23:01"/>
    <x v="7"/>
    <s v="Plaquettes d'ébauches carrées"/>
    <s v="210325"/>
    <s v="DAUTUN ALLAN"/>
    <n v="10"/>
    <x v="2"/>
    <x v="2"/>
    <s v="PLAQUETTES"/>
    <s v="302x26 RPI"/>
    <n v="71.2"/>
  </r>
  <r>
    <d v="2025-06-16T23:34:42"/>
    <x v="7"/>
    <s v="Plaquettes d'ébauches carrées"/>
    <s v="SE08251"/>
    <s v="FAYET AYMERIC"/>
    <n v="10"/>
    <x v="3"/>
    <x v="2"/>
    <s v="PLAQUETTES"/>
    <s v="302x26 RPI"/>
    <n v="71.2"/>
  </r>
  <r>
    <d v="2025-06-16T23:59:24"/>
    <x v="7"/>
    <s v="Plaquettes d'ébauches carrées"/>
    <s v="U505000"/>
    <s v="RECEVEUR BENOIT"/>
    <n v="10"/>
    <x v="2"/>
    <x v="3"/>
    <s v="PLAQUETTES"/>
    <s v="302x26 RPI"/>
    <n v="71.2"/>
  </r>
  <r>
    <d v="2025-06-17T08:21:19"/>
    <x v="7"/>
    <s v="Plaquettes d'ébauches carrées"/>
    <s v="u636817"/>
    <s v="MOCQUEREAU LYDIE"/>
    <n v="10"/>
    <x v="2"/>
    <x v="3"/>
    <s v="PLAQUETTES"/>
    <s v="302x26 RPI"/>
    <n v="71.2"/>
  </r>
  <r>
    <d v="2025-06-17T08:21:50"/>
    <x v="7"/>
    <s v="Plaquettes d'ébauches carrées"/>
    <s v="u636817"/>
    <s v="MOCQUEREAU LYDIE"/>
    <n v="10"/>
    <x v="2"/>
    <x v="3"/>
    <s v="PLAQUETTES"/>
    <s v="302x26 RPI"/>
    <n v="71.2"/>
  </r>
  <r>
    <d v="2025-06-17T13:38:49"/>
    <x v="7"/>
    <s v="Plaquettes d'ébauches carrées"/>
    <s v="U037238"/>
    <s v="PRIEUR OLIVIER"/>
    <n v="10"/>
    <x v="2"/>
    <x v="3"/>
    <s v="PLAQUETTES"/>
    <s v="302x26 RPI"/>
    <n v="71.2"/>
  </r>
  <r>
    <d v="2025-06-18T03:30:27"/>
    <x v="7"/>
    <s v="Plaquettes d'ébauches carrées"/>
    <s v="U505000"/>
    <s v="RECEVEUR BENOIT"/>
    <n v="10"/>
    <x v="2"/>
    <x v="3"/>
    <s v="PLAQUETTES"/>
    <s v="302x26 RPI"/>
    <n v="71.2"/>
  </r>
  <r>
    <d v="2025-06-18T05:35:50"/>
    <x v="7"/>
    <s v="Plaquettes d'ébauches carrées"/>
    <s v="140325"/>
    <s v="BOUCLIER JONATHAN"/>
    <n v="10"/>
    <x v="2"/>
    <x v="2"/>
    <s v="PLAQUETTES"/>
    <s v="302x26 RPI"/>
    <n v="71.2"/>
  </r>
  <r>
    <d v="2025-06-19T22:14:17"/>
    <x v="7"/>
    <s v="Plaquettes d'ébauches carrées"/>
    <s v="SE08251"/>
    <s v="FAYET AYMERIC"/>
    <n v="10"/>
    <x v="3"/>
    <x v="2"/>
    <s v="PLAQUETTES"/>
    <s v="302x26 RPI"/>
    <n v="71.2"/>
  </r>
  <r>
    <d v="2025-06-19T22:14:49"/>
    <x v="7"/>
    <s v="Plaquettes d'ébauches carrées"/>
    <s v="SE08251"/>
    <s v="FAYET AYMERIC"/>
    <n v="10"/>
    <x v="0"/>
    <x v="2"/>
    <s v="PLAQUETTES"/>
    <s v="330x14"/>
    <n v="71.2"/>
  </r>
  <r>
    <d v="2025-06-20T05:25:54"/>
    <x v="7"/>
    <s v="Plaquettes d'ébauches carrées"/>
    <s v="DELIAT C"/>
    <s v="DELIAT CHRISTOPHE"/>
    <n v="10"/>
    <x v="2"/>
    <x v="4"/>
    <s v="PLAQUETTES"/>
    <s v="302x26 RPI"/>
    <n v="71.2"/>
  </r>
  <r>
    <d v="2025-06-20T17:35:52"/>
    <x v="7"/>
    <s v="Plaquettes d'ébauches carrées"/>
    <s v="130124"/>
    <s v="MOHAMED ILDIRAY"/>
    <n v="10"/>
    <x v="1"/>
    <x v="3"/>
    <s v="PLAQUETTES"/>
    <s v="356x26 RPI"/>
    <n v="71.2"/>
  </r>
  <r>
    <d v="2025-06-20T23:17:50"/>
    <x v="7"/>
    <s v="Plaquettes d'ébauches carrées"/>
    <s v="140325"/>
    <s v="BOUCLIER JONATHAN"/>
    <n v="10"/>
    <x v="2"/>
    <x v="3"/>
    <s v="PLAQUETTES"/>
    <s v="302x26 RPI"/>
    <n v="71.2"/>
  </r>
  <r>
    <d v="2025-06-23T14:38:39"/>
    <x v="7"/>
    <s v="Plaquettes d'ébauches carrées"/>
    <s v="SE08251"/>
    <s v="FAYET AYMERIC"/>
    <n v="10"/>
    <x v="3"/>
    <x v="2"/>
    <s v="PLAQUETTES"/>
    <s v="290x12"/>
    <n v="71.2"/>
  </r>
  <r>
    <d v="2025-06-24T03:38:29"/>
    <x v="7"/>
    <s v="Plaquettes d'ébauches carrées"/>
    <s v="u636817"/>
    <s v="MOCQUEREAU LYDIE"/>
    <n v="10"/>
    <x v="2"/>
    <x v="3"/>
    <s v="PLAQUETTES"/>
    <s v="302x26 RPI"/>
    <n v="71.2"/>
  </r>
  <r>
    <d v="2025-06-24T03:38:54"/>
    <x v="7"/>
    <s v="Plaquettes d'ébauches carrées"/>
    <s v="u636817"/>
    <s v="MOCQUEREAU LYDIE"/>
    <n v="10"/>
    <x v="2"/>
    <x v="2"/>
    <s v="PLAQUETTES"/>
    <s v="302x26 RPI"/>
    <n v="71.2"/>
  </r>
  <r>
    <d v="2025-06-24T05:30:59"/>
    <x v="7"/>
    <s v="Plaquettes d'ébauches carrées"/>
    <s v="U037238"/>
    <s v="PRIEUR OLIVIER"/>
    <n v="10"/>
    <x v="2"/>
    <x v="3"/>
    <s v="PLAQUETTES"/>
    <s v="302x26 RPI"/>
    <n v="71.2"/>
  </r>
  <r>
    <d v="2025-06-25T03:58:29"/>
    <x v="7"/>
    <s v="Plaquettes d'ébauches carrées"/>
    <s v="140325"/>
    <s v="BOUCLIER JONATHAN"/>
    <n v="10"/>
    <x v="2"/>
    <x v="2"/>
    <s v="PLAQUETTES"/>
    <s v="302x26 RPI"/>
    <n v="71.2"/>
  </r>
  <r>
    <d v="2025-06-25T21:32:50"/>
    <x v="7"/>
    <s v="Plaquettes d'ébauches carrées"/>
    <s v="140325"/>
    <s v="BOUCLIER JONATHAN"/>
    <n v="10"/>
    <x v="2"/>
    <x v="4"/>
    <s v="PLAQUETTES"/>
    <s v="302x26 RPI"/>
    <n v="71.2"/>
  </r>
  <r>
    <d v="2025-06-27T10:12:46"/>
    <x v="7"/>
    <s v="Plaquettes d'ébauches carrées"/>
    <s v="U109136"/>
    <s v="WIPLIE FREDERIC"/>
    <n v="10"/>
    <x v="1"/>
    <x v="3"/>
    <s v="PLAQUETTES"/>
    <s v="356x26 RPI"/>
    <n v="71.2"/>
  </r>
  <r>
    <d v="2025-06-27T17:46:49"/>
    <x v="7"/>
    <s v="Plaquettes d'ébauches carrées"/>
    <s v="SE08251"/>
    <s v="FAYET AYMERIC"/>
    <n v="10"/>
    <x v="2"/>
    <x v="4"/>
    <s v="PLAQUETTES"/>
    <s v="302x26 RPI"/>
    <n v="71.2"/>
  </r>
  <r>
    <d v="2025-06-27T21:20:28"/>
    <x v="7"/>
    <s v="Plaquettes d'ébauches carrées"/>
    <s v="SD75051"/>
    <s v="COMBALUZIER LUCAS"/>
    <n v="10"/>
    <x v="0"/>
    <x v="3"/>
    <s v="PLAQUETTES"/>
    <s v="330x14"/>
    <n v="71.2"/>
  </r>
  <r>
    <d v="2025-06-28T05:29:16"/>
    <x v="7"/>
    <s v="Plaquettes d'ébauches carrées"/>
    <s v="DELIAT C"/>
    <s v="DELIAT CHRISTOPHE"/>
    <n v="10"/>
    <x v="2"/>
    <x v="4"/>
    <s v="PLAQUETTES"/>
    <s v="302x26 RPI"/>
    <n v="71.2"/>
  </r>
  <r>
    <d v="2025-06-30T19:29:26"/>
    <x v="7"/>
    <s v="Plaquettes d'ébauches carrées"/>
    <s v="140325"/>
    <s v="BOUCLIER JONATHAN"/>
    <n v="10"/>
    <x v="2"/>
    <x v="2"/>
    <s v="PLAQUETTES"/>
    <s v="302x26 RPI"/>
    <n v="71.2"/>
  </r>
  <r>
    <d v="2025-06-30T19:30:25"/>
    <x v="7"/>
    <s v="Plaquettes d'ébauches carrées"/>
    <s v="140325"/>
    <s v="BOUCLIER JONATHAN"/>
    <n v="10"/>
    <x v="2"/>
    <x v="4"/>
    <s v="PLAQUETTES"/>
    <s v="302x26 RPI"/>
    <n v="71.2"/>
  </r>
  <r>
    <d v="2025-07-01T08:58:19"/>
    <x v="7"/>
    <s v="Plaquettes d'ébauches carrées"/>
    <s v="SE08251"/>
    <s v="FAYET AYMERIC"/>
    <n v="10"/>
    <x v="0"/>
    <x v="3"/>
    <s v="PLAQUETTES"/>
    <s v="290x12"/>
    <n v="71.2"/>
  </r>
  <r>
    <d v="2025-07-02T07:59:32"/>
    <x v="7"/>
    <s v="Plaquettes d'ébauches carrées"/>
    <s v="250425"/>
    <s v="CHANDAR ABDER"/>
    <n v="10"/>
    <x v="2"/>
    <x v="2"/>
    <s v="PLAQUETTES"/>
    <s v="302x26 RPI"/>
    <n v="71.2"/>
  </r>
  <r>
    <d v="2025-07-03T01:33:21"/>
    <x v="7"/>
    <s v="Plaquettes d'ébauches carrées"/>
    <s v="130124"/>
    <s v="MOHAMED ILDIRAY"/>
    <n v="10"/>
    <x v="1"/>
    <x v="3"/>
    <s v="PLAQUETTES"/>
    <s v="356x26 RPI"/>
    <n v="71.2"/>
  </r>
  <r>
    <d v="2025-07-04T05:36:17"/>
    <x v="7"/>
    <s v="Plaquettes d'ébauches carrées"/>
    <s v="DELIAT C"/>
    <s v="DELIAT CHRISTOPHE"/>
    <n v="10"/>
    <x v="2"/>
    <x v="2"/>
    <s v="PLAQUETTES"/>
    <s v="302x26 RPI"/>
    <n v="71.2"/>
  </r>
  <r>
    <d v="2025-07-04T05:36:56"/>
    <x v="7"/>
    <s v="Plaquettes d'ébauches carrées"/>
    <s v="DELIAT C"/>
    <s v="DELIAT CHRISTOPHE"/>
    <n v="10"/>
    <x v="2"/>
    <x v="4"/>
    <s v="PLAQUETTES"/>
    <s v="302x26 RPI"/>
    <n v="71.2"/>
  </r>
  <r>
    <d v="2025-07-04T08:54:44"/>
    <x v="7"/>
    <s v="Plaquettes d'ébauches carrées"/>
    <s v="12824586"/>
    <s v="DA SILVA FERNANDO"/>
    <n v="10"/>
    <x v="2"/>
    <x v="2"/>
    <s v="PLAQUETTES"/>
    <s v="TOUT DISQUES"/>
    <n v="71.2"/>
  </r>
  <r>
    <d v="2025-07-07T05:13:06"/>
    <x v="7"/>
    <s v="Plaquettes d'ébauches carrées"/>
    <s v="140325"/>
    <s v="BOUCLIER JONATHAN"/>
    <n v="10"/>
    <x v="2"/>
    <x v="3"/>
    <s v="PLAQUETTES"/>
    <s v="302x26 RPI"/>
    <n v="71.2"/>
  </r>
  <r>
    <d v="2025-07-07T07:53:27"/>
    <x v="7"/>
    <s v="Plaquettes d'ébauches carrées"/>
    <s v="020824"/>
    <s v="DA SILVA RENAUD"/>
    <n v="10"/>
    <x v="3"/>
    <x v="3"/>
    <s v="PLAQUETTES"/>
    <s v="TOUT DISQUES"/>
    <n v="71.2"/>
  </r>
  <r>
    <d v="2025-07-08T12:07:07"/>
    <x v="7"/>
    <s v="Plaquettes d'ébauches carrées"/>
    <s v="140325"/>
    <s v="BOUCLIER JONATHAN"/>
    <n v="10"/>
    <x v="2"/>
    <x v="2"/>
    <s v="PLAQUETTES"/>
    <s v="302x26 RPI"/>
    <n v="71.2"/>
  </r>
  <r>
    <d v="2025-07-08T12:07:59"/>
    <x v="7"/>
    <s v="Plaquettes d'ébauches carrées"/>
    <s v="140325"/>
    <s v="BOUCLIER JONATHAN"/>
    <n v="10"/>
    <x v="2"/>
    <x v="4"/>
    <s v="PLAQUETTES"/>
    <s v="302x26 RPI"/>
    <n v="71.2"/>
  </r>
  <r>
    <d v="2025-07-08T22:31:07"/>
    <x v="7"/>
    <s v="Plaquettes d'ébauches carrées"/>
    <s v="250425"/>
    <s v="CHANDAR ABDER"/>
    <n v="10"/>
    <x v="2"/>
    <x v="2"/>
    <s v="PLAQUETTES"/>
    <s v="302x26 RPI"/>
    <n v="71.2"/>
  </r>
  <r>
    <d v="2025-07-10T00:16:46"/>
    <x v="7"/>
    <s v="Plaquettes d'ébauches carrées"/>
    <s v="250425"/>
    <s v="CHANDAR ABDER"/>
    <n v="10"/>
    <x v="2"/>
    <x v="2"/>
    <s v="PLAQUETTES"/>
    <s v="302x26 RPI"/>
    <n v="71.2"/>
  </r>
  <r>
    <d v="2025-07-10T05:19:35"/>
    <x v="7"/>
    <s v="Plaquettes d'ébauches carrées"/>
    <s v="SD75051"/>
    <s v="COMBALUZIER LUCAS"/>
    <n v="10"/>
    <x v="0"/>
    <x v="3"/>
    <s v="PLAQUETTES"/>
    <s v="356x26 RPI"/>
    <n v="71.2"/>
  </r>
  <r>
    <d v="2025-07-11T02:43:08"/>
    <x v="7"/>
    <s v="Plaquettes d'ébauches carrées"/>
    <s v="250425"/>
    <s v="CHANDAR ABDER"/>
    <n v="10"/>
    <x v="2"/>
    <x v="2"/>
    <s v="PLAQUETTES"/>
    <s v="302x26 RPI"/>
    <n v="71.2"/>
  </r>
  <r>
    <d v="2025-07-11T05:13:51"/>
    <x v="7"/>
    <s v="Plaquettes d'ébauches carrées"/>
    <s v="J534699"/>
    <s v="FABIAN CHARTON"/>
    <n v="10"/>
    <x v="2"/>
    <x v="2"/>
    <s v="PLAQUETTES"/>
    <s v="302x26 RPI"/>
    <n v="71.2"/>
  </r>
  <r>
    <d v="2025-07-11T05:15:35"/>
    <x v="7"/>
    <s v="Plaquettes d'ébauches carrées"/>
    <s v="J534699"/>
    <s v="FABIAN CHARTON"/>
    <n v="10"/>
    <x v="2"/>
    <x v="3"/>
    <s v="PLAQUETTES"/>
    <s v="302x26 RPI"/>
    <n v="71.2"/>
  </r>
  <r>
    <d v="2025-07-13T17:48:43"/>
    <x v="7"/>
    <s v="Plaquettes d'ébauches carrées"/>
    <s v="J534699"/>
    <s v="FABIAN CHARTON"/>
    <n v="10"/>
    <x v="2"/>
    <x v="2"/>
    <s v="PLAQUETTES"/>
    <s v="302x26 RPI"/>
    <n v="71.2"/>
  </r>
  <r>
    <d v="2025-07-13T17:49:59"/>
    <x v="7"/>
    <s v="Plaquettes d'ébauches carrées"/>
    <s v="J534699"/>
    <s v="FABIAN CHARTON"/>
    <n v="10"/>
    <x v="2"/>
    <x v="4"/>
    <s v="PLAQUETTES"/>
    <s v="302x26 RPI"/>
    <n v="71.2"/>
  </r>
  <r>
    <d v="2025-07-15T05:04:14"/>
    <x v="7"/>
    <s v="Plaquettes d'ébauches carrées"/>
    <s v="130124"/>
    <s v="MOHAMED ILDIRAY"/>
    <n v="10"/>
    <x v="1"/>
    <x v="3"/>
    <s v="PLAQUETTES"/>
    <s v="304x28 RPE"/>
    <n v="71.2"/>
  </r>
  <r>
    <d v="2025-07-15T12:23:55"/>
    <x v="7"/>
    <s v="Plaquettes d'ébauches carrées"/>
    <s v="210325"/>
    <s v="DAUTUN ALLAN"/>
    <n v="10"/>
    <x v="2"/>
    <x v="2"/>
    <s v="PLAQUETTES"/>
    <s v="302x26 RPI"/>
    <n v="71.2"/>
  </r>
  <r>
    <d v="2025-07-15T13:26:01"/>
    <x v="7"/>
    <s v="Plaquettes d'ébauches carrées"/>
    <s v="SE08251"/>
    <s v="FAYET AYMERIC"/>
    <n v="10"/>
    <x v="0"/>
    <x v="2"/>
    <s v="PLAQUETTES"/>
    <s v="290x12"/>
    <n v="71.2"/>
  </r>
  <r>
    <d v="2025-07-15T16:52:42"/>
    <x v="7"/>
    <s v="Plaquettes d'ébauches carrées"/>
    <s v="250425"/>
    <s v="CHANDAR ABDER"/>
    <n v="10"/>
    <x v="2"/>
    <x v="2"/>
    <s v="PLAQUETTES"/>
    <s v="302x26 RPI"/>
    <n v="71.2"/>
  </r>
  <r>
    <d v="2025-07-16T04:23:54"/>
    <x v="7"/>
    <s v="Plaquettes d'ébauches carrées"/>
    <s v="140325"/>
    <s v="BOUCLIER JONATHAN"/>
    <n v="10"/>
    <x v="2"/>
    <x v="2"/>
    <s v="PLAQUETTES"/>
    <s v="302x26 RPI"/>
    <n v="71.2"/>
  </r>
  <r>
    <d v="2025-07-16T04:24:52"/>
    <x v="7"/>
    <s v="Plaquettes d'ébauches carrées"/>
    <s v="140325"/>
    <s v="BOUCLIER JONATHAN"/>
    <n v="10"/>
    <x v="2"/>
    <x v="4"/>
    <s v="PLAQUETTES"/>
    <s v="302x26 RPI"/>
    <n v="71.2"/>
  </r>
  <r>
    <d v="2025-07-16T09:05:27"/>
    <x v="7"/>
    <s v="Plaquettes d'ébauches carrées"/>
    <s v="U037238"/>
    <s v="PRIEUR OLIVIER"/>
    <n v="10"/>
    <x v="2"/>
    <x v="3"/>
    <s v="PLAQUETTES"/>
    <s v="302x26 RPI"/>
    <n v="71.2"/>
  </r>
  <r>
    <d v="2025-07-16T17:38:54"/>
    <x v="7"/>
    <s v="Plaquettes d'ébauches carrées"/>
    <s v="250425"/>
    <s v="CHANDAR ABDER"/>
    <n v="10"/>
    <x v="2"/>
    <x v="2"/>
    <s v="PLAQUETTES"/>
    <s v="302x26 RPI"/>
    <n v="71.2"/>
  </r>
  <r>
    <d v="2025-07-17T08:15:54"/>
    <x v="7"/>
    <s v="Plaquettes d'ébauches carrées"/>
    <s v="SD13196"/>
    <s v="FRADIN MAXIME"/>
    <n v="10"/>
    <x v="0"/>
    <x v="2"/>
    <s v="PLAQUETTES"/>
    <s v="290x12"/>
    <n v="71.2"/>
  </r>
  <r>
    <d v="2025-07-18T05:30:12"/>
    <x v="7"/>
    <s v="Plaquettes d'ébauches carrées"/>
    <s v="J534699"/>
    <s v="FABIAN CHARTON"/>
    <n v="10"/>
    <x v="2"/>
    <x v="2"/>
    <s v="PLAQUETTES"/>
    <s v="302x26 RPI"/>
    <n v="71.2"/>
  </r>
  <r>
    <d v="2025-07-18T05:30:57"/>
    <x v="7"/>
    <s v="Plaquettes d'ébauches carrées"/>
    <s v="J534699"/>
    <s v="FABIAN CHARTON"/>
    <n v="10"/>
    <x v="2"/>
    <x v="4"/>
    <s v="PLAQUETTES"/>
    <s v="302x26 RPI"/>
    <n v="71.2"/>
  </r>
  <r>
    <d v="2025-07-18T05:31:38"/>
    <x v="7"/>
    <s v="Plaquettes d'ébauches carrées"/>
    <s v="J534699"/>
    <s v="FABIAN CHARTON"/>
    <n v="10"/>
    <x v="2"/>
    <x v="3"/>
    <s v="PLAQUETTES"/>
    <s v="302x26 RPI"/>
    <n v="71.2"/>
  </r>
  <r>
    <d v="2025-07-18T21:59:23"/>
    <x v="7"/>
    <s v="Plaquettes d'ébauches carrées"/>
    <s v="sc95213"/>
    <s v="RABET PAULINE"/>
    <n v="10"/>
    <x v="1"/>
    <x v="3"/>
    <s v="PLAQUETTES"/>
    <s v="302x26 RPI"/>
    <n v="71.2"/>
  </r>
  <r>
    <d v="2025-07-19T05:17:06"/>
    <x v="7"/>
    <s v="Plaquettes d'ébauches carrées"/>
    <s v="DELIAT C"/>
    <s v="DELIAT CHRISTOPHE"/>
    <n v="10"/>
    <x v="2"/>
    <x v="4"/>
    <s v="PLAQUETTES"/>
    <s v="302x26 RPI"/>
    <n v="71.2"/>
  </r>
  <r>
    <d v="2025-07-19T05:17:21"/>
    <x v="7"/>
    <s v="Plaquettes d'ébauches carrées"/>
    <s v="DELIAT C"/>
    <s v="DELIAT CHRISTOPHE"/>
    <n v="10"/>
    <x v="2"/>
    <x v="3"/>
    <s v="PLAQUETTES"/>
    <s v="302x26 RPI"/>
    <n v="71.2"/>
  </r>
  <r>
    <d v="2025-07-21T11:02:46"/>
    <x v="7"/>
    <s v="Plaquettes d'ébauches carrées"/>
    <s v="250425"/>
    <s v="CHANDAR ABDER"/>
    <n v="10"/>
    <x v="2"/>
    <x v="2"/>
    <s v="PLAQUETTES"/>
    <s v="302x26 RPI"/>
    <n v="71.2"/>
  </r>
  <r>
    <d v="2025-07-22T10:12:48"/>
    <x v="7"/>
    <s v="Plaquettes d'ébauches carrées"/>
    <s v="12824586"/>
    <s v="DA SILVA FERNANDO"/>
    <n v="10"/>
    <x v="1"/>
    <x v="2"/>
    <s v="PLAQUETTES"/>
    <s v="TOUT DISQUES"/>
    <n v="71.2"/>
  </r>
  <r>
    <d v="2025-07-23T12:00:26"/>
    <x v="7"/>
    <s v="Plaquettes d'ébauches carrées"/>
    <s v="250425"/>
    <s v="CHANDAR ABDER"/>
    <n v="10"/>
    <x v="2"/>
    <x v="2"/>
    <s v="PLAQUETTES"/>
    <s v="302x26 RPI"/>
    <n v="71.2"/>
  </r>
  <r>
    <d v="2025-07-24T05:44:55"/>
    <x v="7"/>
    <s v="Plaquettes d'ébauches carrées"/>
    <s v="j529800"/>
    <s v="MONTCHARMONT BAPTISTE"/>
    <n v="10"/>
    <x v="0"/>
    <x v="3"/>
    <s v="PLAQUETTES"/>
    <s v="356x26 RPI"/>
    <n v="71.2"/>
  </r>
  <r>
    <d v="2025-07-24T10:25:30"/>
    <x v="7"/>
    <s v="Plaquettes d'ébauches carrées"/>
    <s v="250425"/>
    <s v="CHANDAR ABDER"/>
    <n v="10"/>
    <x v="2"/>
    <x v="2"/>
    <s v="PLAQUETTES"/>
    <s v="302x26 RPI"/>
    <n v="71.2"/>
  </r>
  <r>
    <d v="2025-07-24T10:25:52"/>
    <x v="7"/>
    <s v="Plaquettes d'ébauches carrées"/>
    <s v="250425"/>
    <s v="CHANDAR ABDER"/>
    <n v="10"/>
    <x v="2"/>
    <x v="2"/>
    <s v="PLAQUETTES"/>
    <s v="302x26 RPI"/>
    <n v="71.2"/>
  </r>
  <r>
    <d v="2025-07-24T15:44:07"/>
    <x v="7"/>
    <s v="Plaquettes d'ébauches carrées"/>
    <s v="140325"/>
    <s v="BOUCLIER JONATHAN"/>
    <n v="10"/>
    <x v="2"/>
    <x v="2"/>
    <s v="PLAQUETTES"/>
    <s v="302x26 RPI"/>
    <n v="71.2"/>
  </r>
  <r>
    <d v="2025-07-24T15:44:36"/>
    <x v="7"/>
    <s v="Plaquettes d'ébauches carrées"/>
    <s v="140325"/>
    <s v="BOUCLIER JONATHAN"/>
    <n v="10"/>
    <x v="2"/>
    <x v="4"/>
    <s v="PLAQUETTES"/>
    <s v="302x26 RPI"/>
    <n v="71.2"/>
  </r>
  <r>
    <d v="2025-07-24T17:51:42"/>
    <x v="7"/>
    <s v="Plaquettes d'ébauches carrées"/>
    <s v="040725"/>
    <s v="BARGEOT LUCAS"/>
    <n v="10"/>
    <x v="3"/>
    <x v="3"/>
    <s v="PLAQUETTES"/>
    <s v="330x14"/>
    <n v="71.2"/>
  </r>
  <r>
    <d v="2025-07-25T08:13:55"/>
    <x v="7"/>
    <s v="Plaquettes d'ébauches carrées"/>
    <s v="U080365"/>
    <s v="ALAVOINE SAMUEL"/>
    <n v="10"/>
    <x v="0"/>
    <x v="3"/>
    <s v="PLAQUETTES"/>
    <s v="290x12"/>
    <n v="71.2"/>
  </r>
  <r>
    <d v="2025-07-25T21:53:06"/>
    <x v="7"/>
    <s v="Plaquettes d'ébauches carrées"/>
    <s v="130124"/>
    <s v="MOHAMED ILDIRAY"/>
    <n v="10"/>
    <x v="1"/>
    <x v="3"/>
    <s v="PLAQUETTES"/>
    <s v="304x28 RPE"/>
    <n v="71.2"/>
  </r>
  <r>
    <d v="2025-07-26T05:04:08"/>
    <x v="7"/>
    <s v="Plaquettes d'ébauches carrées"/>
    <s v="DELIAT C"/>
    <s v="DELIAT CHRISTOPHE"/>
    <n v="10"/>
    <x v="2"/>
    <x v="2"/>
    <s v="PLAQUETTES"/>
    <s v="302x26 RPI"/>
    <n v="71.2"/>
  </r>
  <r>
    <d v="2025-07-26T05:18:20"/>
    <x v="7"/>
    <s v="Plaquettes d'ébauches carrées"/>
    <s v="DELIAT C"/>
    <s v="DELIAT CHRISTOPHE"/>
    <n v="10"/>
    <x v="2"/>
    <x v="2"/>
    <s v="PLAQUETTES"/>
    <s v="302x26 RPI"/>
    <n v="71.2"/>
  </r>
  <r>
    <d v="2025-07-26T05:18:38"/>
    <x v="7"/>
    <s v="Plaquettes d'ébauches carrées"/>
    <s v="DELIAT C"/>
    <s v="DELIAT CHRISTOPHE"/>
    <n v="10"/>
    <x v="2"/>
    <x v="3"/>
    <s v="PLAQUETTES"/>
    <s v="302x26 RPI"/>
    <n v="71.2"/>
  </r>
  <r>
    <d v="2025-07-28T13:52:39"/>
    <x v="7"/>
    <s v="Plaquettes d'ébauches carrées"/>
    <s v="140325"/>
    <s v="BOUCLIER JONATHAN"/>
    <n v="10"/>
    <x v="2"/>
    <x v="3"/>
    <s v="PLAQUETTES"/>
    <s v="302x26 RPI"/>
    <n v="71.2"/>
  </r>
  <r>
    <d v="2025-07-29T05:55:18"/>
    <x v="7"/>
    <s v="Plaquettes d'ébauches carrées"/>
    <s v="u636817"/>
    <s v="MOCQUEREAU LYDIE"/>
    <n v="10"/>
    <x v="2"/>
    <x v="3"/>
    <s v="PLAQUETTES"/>
    <s v="302x26 RPI"/>
    <n v="71.2"/>
  </r>
  <r>
    <d v="2025-07-29T05:55:42"/>
    <x v="7"/>
    <s v="Plaquettes d'ébauches carrées"/>
    <s v="u636817"/>
    <s v="MOCQUEREAU LYDIE"/>
    <n v="10"/>
    <x v="2"/>
    <x v="3"/>
    <s v="PLAQUETTES"/>
    <s v="302x26 RPI"/>
    <n v="71.2"/>
  </r>
  <r>
    <d v="2025-07-30T14:06:52"/>
    <x v="7"/>
    <s v="Plaquettes d'ébauches carrées"/>
    <s v="140325"/>
    <s v="BOUCLIER JONATHAN"/>
    <n v="10"/>
    <x v="2"/>
    <x v="3"/>
    <s v="PLAQUETTES"/>
    <s v="302x26 RPI"/>
    <n v="71.2"/>
  </r>
  <r>
    <d v="2025-07-31T05:19:27"/>
    <x v="7"/>
    <s v="Plaquettes d'ébauches carrées"/>
    <s v="u636817"/>
    <s v="MOCQUEREAU LYDIE"/>
    <n v="10"/>
    <x v="2"/>
    <x v="2"/>
    <s v="PLAQUETTES"/>
    <s v="302x26 RPI"/>
    <n v="71.2"/>
  </r>
  <r>
    <d v="2025-07-31T13:17:02"/>
    <x v="7"/>
    <s v="Plaquettes d'ébauches carrées"/>
    <s v="140325"/>
    <s v="BOUCLIER JONATHAN"/>
    <n v="10"/>
    <x v="2"/>
    <x v="4"/>
    <s v="PLAQUETTES"/>
    <s v="302x26 RPI"/>
    <n v="71.2"/>
  </r>
  <r>
    <d v="2025-08-14T09:41:01"/>
    <x v="7"/>
    <s v="Plaquettes d'ébauches carrées"/>
    <s v="u636817"/>
    <s v="MOCQUEREAU LYDIE"/>
    <n v="10"/>
    <x v="2"/>
    <x v="3"/>
    <s v="PLAQUETTES"/>
    <s v="302x26 RPI"/>
    <n v="71.2"/>
  </r>
  <r>
    <d v="2025-08-18T05:08:50"/>
    <x v="7"/>
    <s v="Plaquettes d'ébauches carrées"/>
    <s v="140325"/>
    <s v="BOUCLIER JONATHAN"/>
    <n v="10"/>
    <x v="2"/>
    <x v="2"/>
    <s v="PLAQUETTES"/>
    <s v="302x26 RPI"/>
    <n v="71.2"/>
  </r>
  <r>
    <d v="2025-08-18T05:10:08"/>
    <x v="7"/>
    <s v="Plaquettes d'ébauches carrées"/>
    <s v="140325"/>
    <s v="BOUCLIER JONATHAN"/>
    <n v="10"/>
    <x v="2"/>
    <x v="4"/>
    <s v="PLAQUETTES"/>
    <s v="302x26 RPI"/>
    <n v="71.2"/>
  </r>
  <r>
    <d v="2025-08-18T13:25:23"/>
    <x v="7"/>
    <s v="Plaquettes d'ébauches carrées"/>
    <s v="210325"/>
    <s v="DAUTUN ALLAN"/>
    <n v="10"/>
    <x v="2"/>
    <x v="2"/>
    <s v="PLAQUETTES"/>
    <s v="302x26 RPI"/>
    <n v="71.2"/>
  </r>
  <r>
    <d v="2025-08-18T13:25:39"/>
    <x v="7"/>
    <s v="Plaquettes d'ébauches carrées"/>
    <s v="210325"/>
    <s v="DAUTUN ALLAN"/>
    <n v="10"/>
    <x v="2"/>
    <x v="4"/>
    <s v="PLAQUETTES"/>
    <s v="302x26 RPI"/>
    <n v="71.2"/>
  </r>
  <r>
    <d v="2025-08-18T21:49:24"/>
    <x v="7"/>
    <s v="Plaquettes d'ébauches carrées"/>
    <s v="U037238"/>
    <s v="PRIEUR OLIVIER"/>
    <n v="10"/>
    <x v="2"/>
    <x v="3"/>
    <s v="PLAQUETTES"/>
    <s v="302x26 RPI"/>
    <n v="71.2"/>
  </r>
  <r>
    <d v="2025-08-20T13:33:56"/>
    <x v="7"/>
    <s v="Plaquettes d'ébauches carrées"/>
    <s v="U561365"/>
    <s v="BALLY BENOIT"/>
    <n v="10"/>
    <x v="2"/>
    <x v="3"/>
    <s v="PLAQUETTES"/>
    <s v="302x26 RPI"/>
    <n v="71.2"/>
  </r>
  <r>
    <d v="2025-08-21T13:50:23"/>
    <x v="7"/>
    <s v="Plaquettes d'ébauches carrées"/>
    <s v="3224"/>
    <s v="BIDOT MURIEL"/>
    <n v="10"/>
    <x v="1"/>
    <x v="3"/>
    <s v="PLAQUETTES"/>
    <s v="304x28 RPE"/>
    <n v="71.2"/>
  </r>
  <r>
    <d v="2025-08-22T03:29:47"/>
    <x v="7"/>
    <s v="Plaquettes d'ébauches carrées"/>
    <s v="250425"/>
    <s v="CHANDAR ABDER"/>
    <n v="10"/>
    <x v="2"/>
    <x v="2"/>
    <s v="PLAQUETTES"/>
    <s v="302x26 RPI"/>
    <n v="71.2"/>
  </r>
  <r>
    <d v="2025-08-22T05:32:04"/>
    <x v="7"/>
    <s v="Plaquettes d'ébauches carrées"/>
    <s v="J534699"/>
    <s v="FABIAN CHARTON"/>
    <n v="10"/>
    <x v="2"/>
    <x v="2"/>
    <s v="PLAQUETTES"/>
    <s v="302x26 RPI"/>
    <n v="71.2"/>
  </r>
  <r>
    <d v="2025-08-22T05:32:55"/>
    <x v="7"/>
    <s v="Plaquettes d'ébauches carrées"/>
    <s v="J534699"/>
    <s v="FABIAN CHARTON"/>
    <n v="10"/>
    <x v="2"/>
    <x v="4"/>
    <s v="PLAQUETTES"/>
    <s v="302x26 RPI"/>
    <n v="71.2"/>
  </r>
  <r>
    <d v="2025-08-22T05:33:55"/>
    <x v="7"/>
    <s v="Plaquettes d'ébauches carrées"/>
    <s v="J534699"/>
    <s v="FABIAN CHARTON"/>
    <n v="10"/>
    <x v="2"/>
    <x v="3"/>
    <s v="PLAQUETTES"/>
    <s v="302x26 RPI"/>
    <n v="71.2"/>
  </r>
  <r>
    <d v="2025-08-22T20:22:20"/>
    <x v="7"/>
    <s v="Plaquettes d'ébauches carrées"/>
    <s v="210325"/>
    <s v="DAUTUN ALLAN"/>
    <n v="10"/>
    <x v="2"/>
    <x v="2"/>
    <s v="PLAQUETTES"/>
    <s v="302x26 RPI"/>
    <n v="71.2"/>
  </r>
  <r>
    <d v="2025-08-26T06:15:45"/>
    <x v="7"/>
    <s v="Plaquettes d'ébauches carrées"/>
    <s v="U505000"/>
    <s v="RECEVEUR BENOIT"/>
    <n v="10"/>
    <x v="3"/>
    <x v="3"/>
    <s v="PLAQUETTES"/>
    <s v="330x14"/>
    <n v="71.2"/>
  </r>
  <r>
    <d v="2025-08-26T06:28:19"/>
    <x v="7"/>
    <s v="Plaquettes d'ébauches carrées"/>
    <s v="101123"/>
    <s v="BRUNET ANDREA"/>
    <n v="10"/>
    <x v="2"/>
    <x v="3"/>
    <s v="PLAQUETTES"/>
    <s v="302x26 RPI"/>
    <n v="71.2"/>
  </r>
  <r>
    <d v="2025-08-26T13:07:02"/>
    <x v="7"/>
    <s v="Plaquettes d'ébauches carrées"/>
    <s v="140325"/>
    <s v="BOUCLIER JONATHAN"/>
    <n v="10"/>
    <x v="2"/>
    <x v="4"/>
    <s v="PLAQUETTES"/>
    <s v="302x26 RPI"/>
    <n v="71.2"/>
  </r>
  <r>
    <d v="2025-08-28T13:12:09"/>
    <x v="7"/>
    <s v="Plaquettes d'ébauches carrées"/>
    <s v="140325"/>
    <s v="BOUCLIER JONATHAN"/>
    <n v="10"/>
    <x v="2"/>
    <x v="2"/>
    <s v="PLAQUETTES"/>
    <s v="302x26 RPI"/>
    <n v="71.2"/>
  </r>
  <r>
    <d v="2025-08-28T16:23:09"/>
    <x v="7"/>
    <s v="Plaquettes d'ébauches carrées"/>
    <s v="u636817"/>
    <s v="MOCQUEREAU LYDIE"/>
    <n v="10"/>
    <x v="2"/>
    <x v="3"/>
    <s v="PLAQUETTES"/>
    <s v="302x26 RPI"/>
    <n v="71.2"/>
  </r>
  <r>
    <d v="2025-08-28T16:23:35"/>
    <x v="7"/>
    <s v="Plaquettes d'ébauches carrées"/>
    <s v="u636817"/>
    <s v="MOCQUEREAU LYDIE"/>
    <n v="10"/>
    <x v="2"/>
    <x v="3"/>
    <s v="PLAQUETTES"/>
    <s v="302x26 RPI"/>
    <n v="71.2"/>
  </r>
  <r>
    <d v="2025-08-29T05:17:05"/>
    <x v="7"/>
    <s v="Plaquettes d'ébauches carrées"/>
    <s v="U080365"/>
    <s v="ALAVOINE SAMUEL"/>
    <n v="10"/>
    <x v="0"/>
    <x v="3"/>
    <s v="PLAQUETTES"/>
    <s v="356x26 RPI"/>
    <n v="71.2"/>
  </r>
  <r>
    <d v="2025-08-29T05:27:46"/>
    <x v="7"/>
    <s v="Plaquettes d'ébauches carrées"/>
    <s v="DELIAT C"/>
    <s v="DELIAT CHRISTOPHE"/>
    <n v="10"/>
    <x v="1"/>
    <x v="3"/>
    <s v="PLAQUETTES"/>
    <s v="304x28 RPE"/>
    <n v="71.2"/>
  </r>
  <r>
    <d v="2025-08-29T13:26:54"/>
    <x v="7"/>
    <s v="Plaquettes d'ébauches carrées"/>
    <s v="140325"/>
    <s v="BOUCLIER JONATHAN"/>
    <n v="10"/>
    <x v="2"/>
    <x v="4"/>
    <s v="PLAQUETTES"/>
    <s v="302x26 RPI"/>
    <n v="71.2"/>
  </r>
  <r>
    <d v="2025-08-29T13:27:30"/>
    <x v="7"/>
    <s v="Plaquettes d'ébauches carrées"/>
    <s v="140325"/>
    <s v="BOUCLIER JONATHAN"/>
    <n v="10"/>
    <x v="2"/>
    <x v="2"/>
    <s v="PLAQUETTES"/>
    <s v="302x26 RPI"/>
    <n v="71.2"/>
  </r>
  <r>
    <d v="2025-08-30T05:39:57"/>
    <x v="7"/>
    <s v="Plaquettes d'ébauches carrées"/>
    <s v="DELIAT C"/>
    <s v="DELIAT CHRISTOPHE"/>
    <n v="10"/>
    <x v="2"/>
    <x v="2"/>
    <s v="PLAQUETTES"/>
    <s v="302x26 RPI"/>
    <n v="71.2"/>
  </r>
  <r>
    <d v="2025-08-30T05:40:49"/>
    <x v="7"/>
    <s v="Plaquettes d'ébauches carrées"/>
    <s v="DELIAT C"/>
    <s v="DELIAT CHRISTOPHE"/>
    <n v="10"/>
    <x v="2"/>
    <x v="4"/>
    <s v="PLAQUETTES"/>
    <s v="302x26 RPI"/>
    <n v="71.2"/>
  </r>
  <r>
    <d v="2025-08-30T05:41:07"/>
    <x v="7"/>
    <s v="Plaquettes d'ébauches carrées"/>
    <s v="DELIAT C"/>
    <s v="DELIAT CHRISTOPHE"/>
    <n v="10"/>
    <x v="2"/>
    <x v="3"/>
    <s v="PLAQUETTES"/>
    <s v="302x26 RPI"/>
    <n v="71.2"/>
  </r>
  <r>
    <d v="2025-08-31T09:02:53"/>
    <x v="7"/>
    <s v="Plaquettes d'ébauches carrées"/>
    <s v="140325"/>
    <s v="BOUCLIER JONATHAN"/>
    <n v="10"/>
    <x v="2"/>
    <x v="3"/>
    <s v="PLAQUETTES"/>
    <s v="302x26 RPI"/>
    <n v="71.2"/>
  </r>
  <r>
    <d v="2025-09-01T05:36:49"/>
    <x v="7"/>
    <s v="Plaquettes d'ébauches carrées"/>
    <s v="SD75051"/>
    <s v="COMBALUZIER LUCAS"/>
    <n v="10"/>
    <x v="1"/>
    <x v="3"/>
    <s v="PLAQUETTES"/>
    <s v="304x28 RPE"/>
    <n v="71.2"/>
  </r>
  <r>
    <d v="2025-09-01T06:40:48"/>
    <x v="7"/>
    <s v="Plaquettes d'ébauches carrées"/>
    <s v="J609988"/>
    <s v="AMALRIC VINCENT"/>
    <n v="10"/>
    <x v="0"/>
    <x v="3"/>
    <s v="PLAQUETTES"/>
    <s v="356x26 RPI"/>
    <n v="71.2"/>
  </r>
  <r>
    <d v="2025-09-01T21:26:39"/>
    <x v="7"/>
    <s v="Plaquettes d'ébauches carrées"/>
    <s v="U037238"/>
    <s v="PRIEUR OLIVIER"/>
    <n v="10"/>
    <x v="2"/>
    <x v="3"/>
    <s v="PLAQUETTES"/>
    <s v="302x26 RPI"/>
    <n v="71.2"/>
  </r>
  <r>
    <d v="2025-09-01T23:11:54"/>
    <x v="7"/>
    <s v="Plaquettes d'ébauches carrées"/>
    <s v="250425"/>
    <s v="CHANDAR ABDER"/>
    <n v="10"/>
    <x v="2"/>
    <x v="2"/>
    <s v="PLAQUETTES"/>
    <s v="302x26 RPI"/>
    <n v="71.2"/>
  </r>
  <r>
    <d v="2025-09-02T20:44:33"/>
    <x v="7"/>
    <s v="Plaquettes d'ébauches carrées"/>
    <s v="210325"/>
    <s v="DAUTUN ALLAN"/>
    <n v="10"/>
    <x v="2"/>
    <x v="2"/>
    <s v="PLAQUETTES"/>
    <s v="302x26 RPI"/>
    <n v="71.2"/>
  </r>
  <r>
    <d v="2025-09-02T20:44:45"/>
    <x v="7"/>
    <s v="Plaquettes d'ébauches carrées"/>
    <s v="210325"/>
    <s v="DAUTUN ALLAN"/>
    <n v="10"/>
    <x v="2"/>
    <x v="4"/>
    <s v="PLAQUETTES"/>
    <s v="302x26 RPI"/>
    <n v="71.2"/>
  </r>
  <r>
    <d v="2025-09-03T05:52:41"/>
    <x v="7"/>
    <s v="Plaquettes d'ébauches carrées"/>
    <s v="140325"/>
    <s v="BOUCLIER JONATHAN"/>
    <n v="10"/>
    <x v="2"/>
    <x v="4"/>
    <s v="PLAQUETTES"/>
    <s v="302x26 RPI"/>
    <n v="71.2"/>
  </r>
  <r>
    <d v="2025-09-03T22:32:22"/>
    <x v="7"/>
    <s v="Plaquettes d'ébauches carrées"/>
    <s v="250425"/>
    <s v="CHANDAR ABDER"/>
    <n v="10"/>
    <x v="2"/>
    <x v="2"/>
    <s v="PLAQUETTES"/>
    <s v="302x26 RPI"/>
    <n v="71.2"/>
  </r>
  <r>
    <d v="2025-09-04T20:53:45"/>
    <x v="7"/>
    <s v="Plaquettes d'ébauches carrées"/>
    <s v="210325"/>
    <s v="DAUTUN ALLAN"/>
    <n v="10"/>
    <x v="2"/>
    <x v="2"/>
    <s v="PLAQUETTES"/>
    <s v="302x26 RPI"/>
    <n v="71.2"/>
  </r>
  <r>
    <d v="2025-09-04T20:53:58"/>
    <x v="7"/>
    <s v="Plaquettes d'ébauches carrées"/>
    <s v="210325"/>
    <s v="DAUTUN ALLAN"/>
    <n v="10"/>
    <x v="2"/>
    <x v="4"/>
    <s v="PLAQUETTES"/>
    <s v="302x26 RPI"/>
    <n v="71.2"/>
  </r>
  <r>
    <d v="2025-09-05T00:45:23"/>
    <x v="7"/>
    <s v="Plaquettes d'ébauches carrées"/>
    <s v="250425"/>
    <s v="CHANDAR ABDER"/>
    <n v="10"/>
    <x v="2"/>
    <x v="2"/>
    <s v="PLAQUETTES"/>
    <s v="302x26 RPI"/>
    <n v="71.2"/>
  </r>
  <r>
    <d v="2025-09-05T05:11:25"/>
    <x v="7"/>
    <s v="Plaquettes d'ébauches carrées"/>
    <s v="J534699"/>
    <s v="FABIAN CHARTON"/>
    <n v="10"/>
    <x v="2"/>
    <x v="2"/>
    <s v="PLAQUETTES"/>
    <s v="302x26 RPI"/>
    <n v="71.2"/>
  </r>
  <r>
    <d v="2025-09-05T05:12:49"/>
    <x v="7"/>
    <s v="Plaquettes d'ébauches carrées"/>
    <s v="J534699"/>
    <s v="FABIAN CHARTON"/>
    <n v="10"/>
    <x v="2"/>
    <x v="3"/>
    <s v="PLAQUETTES"/>
    <s v="302x26 RPI"/>
    <n v="71.2"/>
  </r>
  <r>
    <d v="2025-09-05T21:55:42"/>
    <x v="7"/>
    <s v="Plaquettes d'ébauches carrées"/>
    <s v="j529800"/>
    <s v="MONTCHARMONT BAPTISTE"/>
    <n v="10"/>
    <x v="0"/>
    <x v="3"/>
    <s v="PLAQUETTES"/>
    <s v="356x26 RPI"/>
    <n v="71.2"/>
  </r>
  <r>
    <d v="2025-09-08T12:21:02"/>
    <x v="7"/>
    <s v="Plaquettes d'ébauches carrées"/>
    <s v="210325"/>
    <s v="DAUTUN ALLAN"/>
    <n v="10"/>
    <x v="2"/>
    <x v="2"/>
    <s v="PLAQUETTES"/>
    <s v="302x26 RPI"/>
    <n v="71.2"/>
  </r>
  <r>
    <d v="2025-09-08T14:14:13"/>
    <x v="7"/>
    <s v="Plaquettes d'ébauches carrées"/>
    <s v="040725"/>
    <s v="BARGEOT LUCAS"/>
    <n v="10"/>
    <x v="3"/>
    <x v="2"/>
    <s v="PLAQUETTES"/>
    <s v="330x28 RPE KO"/>
    <n v="71.2"/>
  </r>
  <r>
    <d v="2025-09-08T14:46:35"/>
    <x v="7"/>
    <s v="Plaquettes d'ébauches carrées"/>
    <s v="140325"/>
    <s v="BOUCLIER JONATHAN"/>
    <n v="10"/>
    <x v="2"/>
    <x v="2"/>
    <s v="PLAQUETTES"/>
    <s v="302x26 RPI"/>
    <n v="71.2"/>
  </r>
  <r>
    <d v="2025-09-08T15:16:34"/>
    <x v="7"/>
    <s v="Plaquettes d'ébauches carrées"/>
    <s v="u636817"/>
    <s v="MOCQUEREAU LYDIE"/>
    <n v="10"/>
    <x v="2"/>
    <x v="3"/>
    <s v="PLAQUETTES"/>
    <s v="302x26 RPI"/>
    <n v="71.2"/>
  </r>
  <r>
    <d v="2025-09-08T23:08:26"/>
    <x v="7"/>
    <s v="Plaquettes d'ébauches carrées"/>
    <s v="U037238"/>
    <s v="PRIEUR OLIVIER"/>
    <n v="10"/>
    <x v="2"/>
    <x v="3"/>
    <s v="PLAQUETTES"/>
    <s v="302x26 RPI"/>
    <n v="71.2"/>
  </r>
  <r>
    <d v="2025-09-09T12:49:30"/>
    <x v="7"/>
    <s v="Plaquettes d'ébauches carrées"/>
    <s v="210325"/>
    <s v="DAUTUN ALLAN"/>
    <n v="10"/>
    <x v="2"/>
    <x v="4"/>
    <s v="PLAQUETTES"/>
    <s v="302x26 RPI"/>
    <n v="71.2"/>
  </r>
  <r>
    <d v="2025-09-09T13:35:13"/>
    <x v="7"/>
    <s v="Plaquettes d'ébauches carrées"/>
    <s v="SD75051"/>
    <s v="COMBALUZIER LUCAS"/>
    <n v="10"/>
    <x v="1"/>
    <x v="3"/>
    <s v="PLAQUETTES"/>
    <s v="304x28 RPE"/>
    <n v="71.2"/>
  </r>
  <r>
    <d v="2025-09-10T01:47:44"/>
    <x v="7"/>
    <s v="Plaquettes d'ébauches carrées"/>
    <s v="U037238"/>
    <s v="PRIEUR OLIVIER"/>
    <n v="10"/>
    <x v="2"/>
    <x v="4"/>
    <s v="PLAQUETTES"/>
    <s v="302x26 RPI"/>
    <n v="71.2"/>
  </r>
  <r>
    <d v="2025-09-11T00:11:58"/>
    <x v="7"/>
    <s v="Plaquettes d'ébauches carrées"/>
    <s v="j529800"/>
    <s v="MONTCHARMONT BAPTISTE"/>
    <n v="10"/>
    <x v="0"/>
    <x v="3"/>
    <s v="PLAQUETTES"/>
    <s v="356x26 RPI"/>
    <n v="71.2"/>
  </r>
  <r>
    <d v="2025-09-11T05:13:00"/>
    <x v="7"/>
    <s v="Plaquettes d'ébauches carrées"/>
    <s v="171124"/>
    <s v="GONIN AGNES"/>
    <n v="10"/>
    <x v="2"/>
    <x v="3"/>
    <s v="PLAQUETTES"/>
    <s v="302x26 RPI"/>
    <n v="71.2"/>
  </r>
  <r>
    <d v="2025-09-11T13:07:26"/>
    <x v="7"/>
    <s v="Plaquettes d'ébauches carrées"/>
    <s v="140325"/>
    <s v="BOUCLIER JONATHAN"/>
    <n v="10"/>
    <x v="2"/>
    <x v="2"/>
    <s v="PLAQUETTES"/>
    <s v="302x26 RPI"/>
    <n v="71.2"/>
  </r>
  <r>
    <d v="2025-09-11T13:08:13"/>
    <x v="7"/>
    <s v="Plaquettes d'ébauches carrées"/>
    <s v="140325"/>
    <s v="BOUCLIER JONATHAN"/>
    <n v="10"/>
    <x v="2"/>
    <x v="4"/>
    <s v="PLAQUETTES"/>
    <s v="302x26 RPI"/>
    <n v="71.2"/>
  </r>
  <r>
    <d v="2025-09-11T13:11:48"/>
    <x v="7"/>
    <s v="Plaquettes d'ébauches carrées"/>
    <s v="u636817"/>
    <s v="MOCQUEREAU LYDIE"/>
    <n v="10"/>
    <x v="2"/>
    <x v="3"/>
    <s v="PLAQUETTES"/>
    <s v="302x26 RPI"/>
    <n v="71.2"/>
  </r>
  <r>
    <d v="2025-09-11T21:26:59"/>
    <x v="7"/>
    <s v="Plaquettes d'ébauches carrées"/>
    <s v="j529800"/>
    <s v="MONTCHARMONT BAPTISTE"/>
    <n v="10"/>
    <x v="3"/>
    <x v="3"/>
    <s v="PLAQUETTES"/>
    <s v="330x14"/>
    <n v="71.2"/>
  </r>
  <r>
    <d v="2025-09-11T22:00:27"/>
    <x v="7"/>
    <s v="Plaquettes d'ébauches carrées"/>
    <s v="U037238"/>
    <s v="PRIEUR OLIVIER"/>
    <n v="10"/>
    <x v="2"/>
    <x v="3"/>
    <s v="PLAQUETTES"/>
    <s v="302x26 RPI"/>
    <n v="71.2"/>
  </r>
  <r>
    <d v="2025-09-11T23:36:55"/>
    <x v="7"/>
    <s v="Plaquettes d'ébauches carrées"/>
    <s v="250425"/>
    <s v="CHANDAR ABDER"/>
    <n v="10"/>
    <x v="2"/>
    <x v="4"/>
    <s v="PLAQUETTES"/>
    <s v="302x26 RPI"/>
    <n v="71.2"/>
  </r>
  <r>
    <d v="2025-09-12T06:24:41"/>
    <x v="7"/>
    <s v="Plaquettes d'ébauches carrées"/>
    <s v="DELIAT C"/>
    <s v="DELIAT CHRISTOPHE"/>
    <n v="10"/>
    <x v="2"/>
    <x v="2"/>
    <s v="PLAQUETTES"/>
    <s v="302x26 RPI"/>
    <n v="71.2"/>
  </r>
  <r>
    <d v="2025-09-12T06:25:19"/>
    <x v="7"/>
    <s v="Plaquettes d'ébauches carrées"/>
    <s v="DELIAT C"/>
    <s v="DELIAT CHRISTOPHE"/>
    <n v="10"/>
    <x v="2"/>
    <x v="4"/>
    <s v="PLAQUETTES"/>
    <s v="302x26 RPI"/>
    <n v="71.2"/>
  </r>
  <r>
    <d v="2025-09-12T06:26:21"/>
    <x v="7"/>
    <s v="Plaquettes d'ébauches carrées"/>
    <s v="DELIAT C"/>
    <s v="DELIAT CHRISTOPHE"/>
    <n v="10"/>
    <x v="2"/>
    <x v="3"/>
    <s v="PLAQUETTES"/>
    <s v="302x26 RPI"/>
    <n v="71.2"/>
  </r>
  <r>
    <d v="2025-09-13T01:18:09"/>
    <x v="7"/>
    <s v="Plaquettes d'ébauches carrées"/>
    <s v="j529800"/>
    <s v="MONTCHARMONT BAPTISTE"/>
    <n v="10"/>
    <x v="0"/>
    <x v="3"/>
    <s v="PLAQUETTES"/>
    <s v="356x26 RPI"/>
    <n v="71.2"/>
  </r>
  <r>
    <d v="2025-09-15T15:54:53"/>
    <x v="7"/>
    <s v="Plaquettes d'ébauches carrées"/>
    <s v="210325"/>
    <s v="DAUTUN ALLAN"/>
    <n v="10"/>
    <x v="2"/>
    <x v="2"/>
    <s v="PLAQUETTES"/>
    <s v="302x26 RPI"/>
    <n v="71.2"/>
  </r>
  <r>
    <d v="2025-09-15T15:55:11"/>
    <x v="7"/>
    <s v="Plaquettes d'ébauches carrées"/>
    <s v="210325"/>
    <s v="DAUTUN ALLAN"/>
    <n v="10"/>
    <x v="2"/>
    <x v="4"/>
    <s v="PLAQUETTES"/>
    <s v="302x26 RPI"/>
    <n v="71.2"/>
  </r>
  <r>
    <d v="2025-09-15T21:12:00"/>
    <x v="7"/>
    <s v="Plaquettes d'ébauches carrées"/>
    <s v="U037238"/>
    <s v="PRIEUR OLIVIER"/>
    <n v="10"/>
    <x v="2"/>
    <x v="3"/>
    <s v="PLAQUETTES"/>
    <s v="302x26 RPI"/>
    <n v="71.2"/>
  </r>
  <r>
    <d v="2025-09-15T23:46:57"/>
    <x v="7"/>
    <s v="Plaquettes d'ébauches carrées"/>
    <s v="250425"/>
    <s v="CHANDAR ABDER"/>
    <n v="10"/>
    <x v="2"/>
    <x v="4"/>
    <s v="PLAQUETTES"/>
    <s v="302x26 RPI"/>
    <n v="71.2"/>
  </r>
  <r>
    <d v="2025-09-16T05:14:24"/>
    <x v="7"/>
    <s v="Plaquettes d'ébauches carrées"/>
    <s v="140325"/>
    <s v="BOUCLIER JONATHAN"/>
    <n v="10"/>
    <x v="2"/>
    <x v="3"/>
    <s v="PLAQUETTES"/>
    <s v="302x26 RPI"/>
    <n v="71.2"/>
  </r>
  <r>
    <d v="2025-09-16T05:27:39"/>
    <x v="7"/>
    <s v="Plaquettes d'ébauches carrées"/>
    <s v="u636817"/>
    <s v="MOCQUEREAU LYDIE"/>
    <n v="10"/>
    <x v="2"/>
    <x v="4"/>
    <s v="PLAQUETTES"/>
    <s v="302x26 RPI"/>
    <n v="71.2"/>
  </r>
  <r>
    <d v="2025-09-16T06:04:49"/>
    <x v="7"/>
    <s v="Plaquettes d'ébauches carrées"/>
    <s v="SD75051"/>
    <s v="COMBALUZIER LUCAS"/>
    <n v="10"/>
    <x v="1"/>
    <x v="3"/>
    <s v="PLAQUETTES"/>
    <s v="304x28 RPE"/>
    <n v="71.2"/>
  </r>
  <r>
    <d v="2025-09-17T00:36:53"/>
    <x v="7"/>
    <s v="Plaquettes d'ébauches carrées"/>
    <s v="U037238"/>
    <s v="PRIEUR OLIVIER"/>
    <n v="10"/>
    <x v="2"/>
    <x v="3"/>
    <s v="PLAQUETTES"/>
    <s v="302x26 RPI"/>
    <n v="71.2"/>
  </r>
  <r>
    <d v="2025-09-17T01:31:48"/>
    <x v="7"/>
    <s v="Plaquettes d'ébauches carrées"/>
    <s v="250425"/>
    <s v="CHANDAR ABDER"/>
    <n v="10"/>
    <x v="2"/>
    <x v="2"/>
    <s v="PLAQUETTES"/>
    <s v="302x26 RPI"/>
    <n v="71.2"/>
  </r>
  <r>
    <d v="2025-09-18T05:02:42"/>
    <x v="7"/>
    <s v="Plaquettes d'ébauches carrées"/>
    <s v="140325"/>
    <s v="BOUCLIER JONATHAN"/>
    <n v="10"/>
    <x v="2"/>
    <x v="3"/>
    <s v="PLAQUETTES"/>
    <s v="302x26 RPI"/>
    <n v="71.2"/>
  </r>
  <r>
    <d v="2025-09-19T01:08:15"/>
    <x v="7"/>
    <s v="Plaquettes d'ébauches carrées"/>
    <s v="j529800"/>
    <s v="MONTCHARMONT BAPTISTE"/>
    <n v="10"/>
    <x v="0"/>
    <x v="3"/>
    <s v="PLAQUETTES"/>
    <s v="356x26 RPI"/>
    <n v="71.2"/>
  </r>
  <r>
    <d v="2025-09-19T05:08:27"/>
    <x v="7"/>
    <s v="Plaquettes d'ébauches carrées"/>
    <s v="DELIAT C"/>
    <s v="DELIAT CHRISTOPHE"/>
    <n v="10"/>
    <x v="2"/>
    <x v="2"/>
    <s v="PLAQUETTES"/>
    <s v="302x26 RPI"/>
    <n v="71.2"/>
  </r>
  <r>
    <d v="2025-09-19T05:08:58"/>
    <x v="7"/>
    <s v="Plaquettes d'ébauches carrées"/>
    <s v="DELIAT C"/>
    <s v="DELIAT CHRISTOPHE"/>
    <n v="10"/>
    <x v="2"/>
    <x v="4"/>
    <s v="PLAQUETTES"/>
    <s v="302x26 RPI"/>
    <n v="71.2"/>
  </r>
  <r>
    <d v="2025-09-19T05:09:21"/>
    <x v="7"/>
    <s v="Plaquettes d'ébauches carrées"/>
    <s v="DELIAT C"/>
    <s v="DELIAT CHRISTOPHE"/>
    <n v="10"/>
    <x v="2"/>
    <x v="3"/>
    <s v="PLAQUETTES"/>
    <s v="302x26 RPI"/>
    <n v="71.2"/>
  </r>
  <r>
    <d v="2025-09-19T17:43:19"/>
    <x v="7"/>
    <s v="Plaquettes d'ébauches carrées"/>
    <s v="101224"/>
    <s v="CHAZEAU KYLIAN"/>
    <n v="10"/>
    <x v="0"/>
    <x v="3"/>
    <s v="PLAQUETTES"/>
    <s v="356x26 RPI"/>
    <n v="71.2"/>
  </r>
  <r>
    <d v="2025-09-20T01:07:49"/>
    <x v="7"/>
    <s v="Plaquettes d'ébauches carrées"/>
    <s v="250425"/>
    <s v="CHANDAR ABDER"/>
    <n v="10"/>
    <x v="2"/>
    <x v="4"/>
    <s v="PLAQUETTES"/>
    <s v="302x26 RPI"/>
    <n v="71.2"/>
  </r>
  <r>
    <d v="2025-09-22T04:57:23"/>
    <x v="7"/>
    <s v="Plaquettes d'ébauches carrées"/>
    <s v="171124"/>
    <s v="GONIN AGNES"/>
    <n v="10"/>
    <x v="2"/>
    <x v="3"/>
    <s v="PLAQUETTES"/>
    <s v="302x26 RPI"/>
    <n v="71.2"/>
  </r>
  <r>
    <d v="2025-09-22T04:57:50"/>
    <x v="7"/>
    <s v="Plaquettes d'ébauches carrées"/>
    <s v="171124"/>
    <s v="GONIN AGNES"/>
    <n v="10"/>
    <x v="2"/>
    <x v="3"/>
    <s v="PLAQUETTES"/>
    <s v="302x26 RPI"/>
    <n v="71.2"/>
  </r>
  <r>
    <d v="2025-09-22T13:21:26"/>
    <x v="7"/>
    <s v="Plaquettes d'ébauches carrées"/>
    <s v="SD75051"/>
    <s v="COMBALUZIER LUCAS"/>
    <n v="10"/>
    <x v="1"/>
    <x v="3"/>
    <s v="PLAQUETTES"/>
    <s v="304x28 RPE"/>
    <n v="71.2"/>
  </r>
  <r>
    <d v="2025-09-22T22:09:40"/>
    <x v="7"/>
    <s v="Plaquettes d'ébauches carrées"/>
    <s v="U037238"/>
    <s v="PRIEUR OLIVIER"/>
    <n v="10"/>
    <x v="2"/>
    <x v="3"/>
    <s v="PLAQUETTES"/>
    <s v="302x26 RPI"/>
    <n v="71.2"/>
  </r>
  <r>
    <d v="2025-09-23T12:50:47"/>
    <x v="7"/>
    <s v="Plaquettes d'ébauches carrées"/>
    <s v="210325"/>
    <s v="DAUTUN ALLAN"/>
    <n v="10"/>
    <x v="2"/>
    <x v="2"/>
    <s v="PLAQUETTES"/>
    <s v="302x26 RPI"/>
    <n v="71.2"/>
  </r>
  <r>
    <d v="2025-09-23T13:17:58"/>
    <x v="7"/>
    <s v="Plaquettes d'ébauches carrées"/>
    <s v="140325"/>
    <s v="BOUCLIER JONATHAN"/>
    <n v="10"/>
    <x v="2"/>
    <x v="2"/>
    <s v="PLAQUETTES"/>
    <s v="302x26 RPI"/>
    <n v="71.2"/>
  </r>
  <r>
    <d v="2025-09-23T16:19:16"/>
    <x v="7"/>
    <s v="Plaquettes d'ébauches carrées"/>
    <s v="u636817"/>
    <s v="MOCQUEREAU LYDIE"/>
    <n v="10"/>
    <x v="2"/>
    <x v="3"/>
    <s v="PLAQUETTES"/>
    <s v="302x26 RPI"/>
    <n v="71.2"/>
  </r>
  <r>
    <d v="2025-09-24T00:28:12"/>
    <x v="7"/>
    <s v="Plaquettes d'ébauches carrées"/>
    <s v="250425"/>
    <s v="CHANDAR ABDER"/>
    <n v="10"/>
    <x v="2"/>
    <x v="4"/>
    <s v="PLAQUETTES"/>
    <s v="302x26 RPI"/>
    <n v="71.2"/>
  </r>
  <r>
    <d v="2025-09-24T13:38:55"/>
    <x v="7"/>
    <s v="Plaquettes d'ébauches carrées"/>
    <s v="12824586"/>
    <s v="DA SILVA FERNANDO"/>
    <n v="10"/>
    <x v="1"/>
    <x v="2"/>
    <s v="PLAQUETTES"/>
    <s v="TOUT DISQUES"/>
    <n v="71.2"/>
  </r>
  <r>
    <d v="2025-09-24T14:05:45"/>
    <x v="7"/>
    <s v="Plaquettes d'ébauches carrées"/>
    <s v="140325"/>
    <s v="BOUCLIER JONATHAN"/>
    <n v="10"/>
    <x v="2"/>
    <x v="2"/>
    <s v="PLAQUETTES"/>
    <s v="302x26 RPI"/>
    <n v="71.2"/>
  </r>
  <r>
    <d v="2025-09-24T14:06:40"/>
    <x v="7"/>
    <s v="Plaquettes d'ébauches carrées"/>
    <s v="140325"/>
    <s v="BOUCLIER JONATHAN"/>
    <n v="10"/>
    <x v="2"/>
    <x v="3"/>
    <s v="PLAQUETTES"/>
    <s v="302x26 RPI"/>
    <n v="71.2"/>
  </r>
  <r>
    <d v="2025-09-25T05:37:15"/>
    <x v="7"/>
    <s v="Plaquettes d'ébauches carrées"/>
    <s v="171124"/>
    <s v="GONIN AGNES"/>
    <n v="10"/>
    <x v="2"/>
    <x v="3"/>
    <s v="PLAQUETTES"/>
    <s v="302x26 RPI"/>
    <n v="71.2"/>
  </r>
  <r>
    <d v="2025-09-25T05:37:44"/>
    <x v="7"/>
    <s v="Plaquettes d'ébauches carrées"/>
    <s v="171124"/>
    <s v="GONIN AGNES"/>
    <n v="10"/>
    <x v="2"/>
    <x v="3"/>
    <s v="PLAQUETTES"/>
    <s v="302x26 RPI"/>
    <n v="71.2"/>
  </r>
  <r>
    <d v="2025-09-25T12:12:26"/>
    <x v="7"/>
    <s v="Plaquettes d'ébauches carrées"/>
    <s v="101224"/>
    <s v="CHAZEAU KYLIAN"/>
    <n v="10"/>
    <x v="0"/>
    <x v="3"/>
    <s v="PLAQUETTES"/>
    <s v="356x26 RPI"/>
    <n v="71.2"/>
  </r>
  <r>
    <d v="2025-09-25T12:12:42"/>
    <x v="7"/>
    <s v="Plaquettes d'ébauches carrées"/>
    <s v="101224"/>
    <s v="CHAZEAU KYLIAN"/>
    <n v="10"/>
    <x v="3"/>
    <x v="3"/>
    <s v="PLAQUETTES"/>
    <s v="330x28 RPE KO"/>
    <n v="71.2"/>
  </r>
  <r>
    <d v="2025-09-25T14:04:18"/>
    <x v="7"/>
    <s v="Plaquettes d'ébauches carrées"/>
    <s v="12824586"/>
    <s v="DA SILVA FERNANDO"/>
    <n v="10"/>
    <x v="2"/>
    <x v="2"/>
    <s v="PLAQUETTES"/>
    <s v="TOUT DISQUES"/>
    <n v="71.2"/>
  </r>
  <r>
    <d v="2025-09-26T01:08:37"/>
    <x v="7"/>
    <s v="Plaquettes d'ébauches carrées"/>
    <s v="250425"/>
    <s v="CHANDAR ABDER"/>
    <n v="10"/>
    <x v="2"/>
    <x v="4"/>
    <s v="PLAQUETTES"/>
    <s v="302x26 RPI"/>
    <n v="71.2"/>
  </r>
  <r>
    <d v="2025-09-26T13:53:46"/>
    <x v="7"/>
    <s v="Plaquettes d'ébauches carrées"/>
    <s v="140325"/>
    <s v="BOUCLIER JONATHAN"/>
    <n v="10"/>
    <x v="2"/>
    <x v="4"/>
    <s v="PLAQUETTES"/>
    <s v="302x26 RPI"/>
    <n v="71.2"/>
  </r>
  <r>
    <d v="2025-09-26T21:19:12"/>
    <x v="7"/>
    <s v="Plaquettes d'ébauches carrées"/>
    <s v="U037238"/>
    <s v="PRIEUR OLIVIER"/>
    <n v="10"/>
    <x v="2"/>
    <x v="3"/>
    <s v="PLAQUETTES"/>
    <s v="302x26 RPI"/>
    <n v="71.2"/>
  </r>
  <r>
    <d v="2025-09-28T16:44:08"/>
    <x v="7"/>
    <s v="Plaquettes d'ébauches carrées"/>
    <s v="210325"/>
    <s v="DAUTUN ALLAN"/>
    <n v="10"/>
    <x v="2"/>
    <x v="2"/>
    <s v="PLAQUETTES"/>
    <s v="302x26 RPI"/>
    <n v="71.2"/>
  </r>
  <r>
    <d v="2025-09-29T13:26:20"/>
    <x v="7"/>
    <s v="Plaquettes d'ébauches carrées"/>
    <s v="045F69CAA77080"/>
    <s v="TEIXEIRA FLORIAN"/>
    <n v="10"/>
    <x v="2"/>
    <x v="3"/>
    <s v="PLAQUETTES"/>
    <s v="302x26 RPI"/>
    <n v="71.2"/>
  </r>
  <r>
    <d v="2025-09-29T22:06:55"/>
    <x v="7"/>
    <s v="Plaquettes d'ébauches carrées"/>
    <s v="U037238"/>
    <s v="PRIEUR OLIVIER"/>
    <n v="10"/>
    <x v="2"/>
    <x v="3"/>
    <s v="PLAQUETTES"/>
    <s v="302x26 RPI"/>
    <n v="71.2"/>
  </r>
  <r>
    <d v="2025-09-30T05:08:29"/>
    <x v="7"/>
    <s v="Plaquettes d'ébauches carrées"/>
    <s v="040725"/>
    <s v="BARGEOT LUCAS"/>
    <n v="10"/>
    <x v="0"/>
    <x v="3"/>
    <s v="PLAQUETTES"/>
    <s v="356x26 RPI"/>
    <n v="71.2"/>
  </r>
  <r>
    <d v="2025-10-01T11:18:44"/>
    <x v="7"/>
    <s v="Plaquettes d'ébauches carrées"/>
    <s v="140325"/>
    <s v="BOUCLIER JONATHAN"/>
    <n v="10"/>
    <x v="2"/>
    <x v="2"/>
    <s v="PLAQUETTES"/>
    <s v="302x26 RPI"/>
    <n v="71.2"/>
  </r>
  <r>
    <d v="2025-10-01T12:33:15"/>
    <x v="7"/>
    <s v="Plaquettes d'ébauches carrées"/>
    <s v="140325"/>
    <s v="BOUCLIER JONATHAN"/>
    <n v="10"/>
    <x v="2"/>
    <x v="4"/>
    <s v="PLAQUETTES"/>
    <s v="302x26 RPI"/>
    <n v="71.2"/>
  </r>
  <r>
    <d v="2025-10-01T15:31:37"/>
    <x v="7"/>
    <s v="Plaquettes d'ébauches carrées"/>
    <s v="101224"/>
    <s v="CHAZEAU KYLIAN"/>
    <n v="10"/>
    <x v="3"/>
    <x v="3"/>
    <s v="PLAQUETTES"/>
    <s v="330x14"/>
    <n v="71.2"/>
  </r>
  <r>
    <d v="2025-10-01T15:32:41"/>
    <x v="7"/>
    <s v="Plaquettes d'ébauches carrées"/>
    <s v="101224"/>
    <s v="CHAZEAU KYLIAN"/>
    <n v="10"/>
    <x v="0"/>
    <x v="3"/>
    <s v="PLAQUETTES"/>
    <s v="356x26 RPI"/>
    <n v="71.2"/>
  </r>
  <r>
    <d v="2025-10-01T21:54:17"/>
    <x v="7"/>
    <s v="Plaquettes d'ébauches carrées"/>
    <s v="250425"/>
    <s v="CHANDAR ABDER"/>
    <n v="10"/>
    <x v="2"/>
    <x v="4"/>
    <s v="PLAQUETTES"/>
    <s v="302x26 RPI"/>
    <n v="71.2"/>
  </r>
  <r>
    <d v="2025-10-02T05:15:36"/>
    <x v="7"/>
    <s v="Plaquettes d'ébauches carrées"/>
    <s v="SD75051"/>
    <s v="COMBALUZIER LUCAS"/>
    <n v="10"/>
    <x v="1"/>
    <x v="3"/>
    <s v="PLAQUETTES"/>
    <s v="304x28 RPE"/>
    <n v="71.2"/>
  </r>
  <r>
    <d v="2025-10-02T20:49:59"/>
    <x v="7"/>
    <s v="Plaquettes d'ébauches carrées"/>
    <s v="210325"/>
    <s v="DAUTUN ALLAN"/>
    <n v="10"/>
    <x v="2"/>
    <x v="2"/>
    <s v="PLAQUETTES"/>
    <s v="302x26 RPI"/>
    <n v="71.2"/>
  </r>
  <r>
    <d v="2025-10-02T20:50:24"/>
    <x v="7"/>
    <s v="Plaquettes d'ébauches carrées"/>
    <s v="210325"/>
    <s v="DAUTUN ALLAN"/>
    <n v="10"/>
    <x v="2"/>
    <x v="4"/>
    <s v="PLAQUETTES"/>
    <s v="302x26 RPI"/>
    <n v="71.2"/>
  </r>
  <r>
    <d v="2025-10-03T13:15:18"/>
    <x v="7"/>
    <s v="Plaquettes d'ébauches carrées"/>
    <s v="045F69CAA77080"/>
    <s v="TEIXEIRA FLORIAN"/>
    <n v="10"/>
    <x v="2"/>
    <x v="3"/>
    <s v="PLAQUETTES"/>
    <s v="302x26 RPI"/>
    <n v="71.2"/>
  </r>
  <r>
    <d v="2025-10-04T03:14:00"/>
    <x v="7"/>
    <s v="Plaquettes d'ébauches carrées"/>
    <s v="250425"/>
    <s v="CHANDAR ABDER"/>
    <n v="10"/>
    <x v="2"/>
    <x v="4"/>
    <s v="PLAQUETTES"/>
    <s v="302x26 RPI"/>
    <n v="71.2"/>
  </r>
  <r>
    <d v="2025-10-04T08:26:29"/>
    <x v="7"/>
    <s v="Plaquettes d'ébauches carrées"/>
    <s v="DELIAT C"/>
    <s v="DELIAT CHRISTOPHE"/>
    <n v="10"/>
    <x v="2"/>
    <x v="2"/>
    <s v="PLAQUETTES"/>
    <s v="302x26 RPI"/>
    <n v="71.2"/>
  </r>
  <r>
    <d v="2025-10-04T08:26:43"/>
    <x v="7"/>
    <s v="Plaquettes d'ébauches carrées"/>
    <s v="DELIAT C"/>
    <s v="DELIAT CHRISTOPHE"/>
    <n v="10"/>
    <x v="2"/>
    <x v="4"/>
    <s v="PLAQUETTES"/>
    <s v="302x26 RPI"/>
    <n v="71.2"/>
  </r>
  <r>
    <d v="2025-10-04T08:27:28"/>
    <x v="7"/>
    <s v="Plaquettes d'ébauches carrées"/>
    <s v="DELIAT C"/>
    <s v="DELIAT CHRISTOPHE"/>
    <n v="10"/>
    <x v="2"/>
    <x v="3"/>
    <s v="PLAQUETTES"/>
    <s v="302x26 RPI"/>
    <n v="71.2"/>
  </r>
  <r>
    <d v="2025-10-06T05:10:07"/>
    <x v="7"/>
    <s v="Plaquettes d'ébauches carrées"/>
    <s v="U505000"/>
    <s v="RECEVEUR BENOIT"/>
    <n v="10"/>
    <x v="1"/>
    <x v="3"/>
    <s v="PLAQUETTES"/>
    <s v="304x28 RPE"/>
    <n v="71.2"/>
  </r>
  <r>
    <d v="2025-10-06T17:19:16"/>
    <x v="7"/>
    <s v="Plaquettes d'ébauches carrées"/>
    <s v="u636817"/>
    <s v="MOCQUEREAU LYDIE"/>
    <n v="10"/>
    <x v="2"/>
    <x v="3"/>
    <s v="PLAQUETTES"/>
    <s v="302x26 RPI"/>
    <n v="71.2"/>
  </r>
  <r>
    <d v="2025-10-06T17:19:38"/>
    <x v="7"/>
    <s v="Plaquettes d'ébauches carrées"/>
    <s v="u636817"/>
    <s v="MOCQUEREAU LYDIE"/>
    <n v="10"/>
    <x v="2"/>
    <x v="3"/>
    <s v="PLAQUETTES"/>
    <s v="302x26 RPI"/>
    <n v="71.2"/>
  </r>
  <r>
    <d v="2025-10-06T21:16:09"/>
    <x v="7"/>
    <s v="Plaquettes d'ébauches carrées"/>
    <s v="U037238"/>
    <s v="PRIEUR OLIVIER"/>
    <n v="10"/>
    <x v="2"/>
    <x v="3"/>
    <s v="PLAQUETTES"/>
    <s v="302x26 RPI"/>
    <n v="71.2"/>
  </r>
  <r>
    <d v="2025-10-07T15:09:16"/>
    <x v="7"/>
    <s v="Plaquettes d'ébauches carrées"/>
    <s v="J609988"/>
    <s v="AMALRIC VINCENT"/>
    <n v="10"/>
    <x v="1"/>
    <x v="3"/>
    <s v="PLAQUETTES"/>
    <s v="304x28 RPE"/>
    <n v="71.2"/>
  </r>
  <r>
    <d v="2025-10-07T21:17:41"/>
    <x v="7"/>
    <s v="Plaquettes d'ébauches carrées"/>
    <s v="U037238"/>
    <s v="PRIEUR OLIVIER"/>
    <n v="10"/>
    <x v="2"/>
    <x v="3"/>
    <s v="PLAQUETTES"/>
    <s v="302x26 RPI"/>
    <n v="71.2"/>
  </r>
  <r>
    <d v="2025-10-07T22:47:46"/>
    <x v="7"/>
    <s v="Plaquettes d'ébauches carrées"/>
    <s v="250425"/>
    <s v="CHANDAR ABDER"/>
    <n v="10"/>
    <x v="2"/>
    <x v="4"/>
    <s v="PLAQUETTES"/>
    <s v="302x26 RPI"/>
    <n v="71.2"/>
  </r>
  <r>
    <d v="2025-10-08T21:13:06"/>
    <x v="7"/>
    <s v="Plaquettes d'ébauches carrées"/>
    <s v="U037238"/>
    <s v="PRIEUR OLIVIER"/>
    <n v="10"/>
    <x v="2"/>
    <x v="3"/>
    <s v="PLAQUETTES"/>
    <s v="302x26 RPI"/>
    <n v="71.2"/>
  </r>
  <r>
    <d v="2025-10-08T23:16:24"/>
    <x v="7"/>
    <s v="Plaquettes d'ébauches carrées"/>
    <s v="j529800"/>
    <s v="MONTCHARMONT BAPTISTE"/>
    <n v="10"/>
    <x v="0"/>
    <x v="3"/>
    <s v="PLAQUETTES"/>
    <s v="356x26 RPI"/>
    <n v="71.2"/>
  </r>
  <r>
    <d v="2025-10-09T05:06:25"/>
    <x v="7"/>
    <s v="Plaquettes d'ébauches carrées"/>
    <s v="045F69CAA77080"/>
    <s v="TEIXEIRA FLORIAN"/>
    <n v="10"/>
    <x v="2"/>
    <x v="3"/>
    <s v="PLAQUETTES"/>
    <s v="302x26 RPI"/>
    <n v="71.2"/>
  </r>
  <r>
    <d v="2025-10-09T13:32:17"/>
    <x v="7"/>
    <s v="Plaquettes d'ébauches carrées"/>
    <s v="u636817"/>
    <s v="MOCQUEREAU LYDIE"/>
    <n v="10"/>
    <x v="2"/>
    <x v="2"/>
    <s v="PLAQUETTES"/>
    <s v="302x26 RPI"/>
    <n v="71.2"/>
  </r>
  <r>
    <d v="2025-10-09T13:32:37"/>
    <x v="7"/>
    <s v="Plaquettes d'ébauches carrées"/>
    <s v="u636817"/>
    <s v="MOCQUEREAU LYDIE"/>
    <n v="10"/>
    <x v="2"/>
    <x v="4"/>
    <s v="PLAQUETTES"/>
    <s v="302x26 RPI"/>
    <n v="71.2"/>
  </r>
  <r>
    <d v="2025-10-09T13:44:30"/>
    <x v="7"/>
    <s v="Plaquettes d'ébauches carrées"/>
    <s v="J609988"/>
    <s v="AMALRIC VINCENT"/>
    <n v="10"/>
    <x v="1"/>
    <x v="2"/>
    <s v="PLAQUETTES"/>
    <s v="304x28 RPE"/>
    <n v="71.2"/>
  </r>
  <r>
    <d v="2025-10-10T13:28:44"/>
    <x v="7"/>
    <s v="Plaquettes d'ébauches carrées"/>
    <s v="040725"/>
    <s v="BARGEOT LUCAS"/>
    <n v="10"/>
    <x v="0"/>
    <x v="3"/>
    <s v="PLAQUETTES"/>
    <s v="356x26 RPI"/>
    <n v="71.2"/>
  </r>
  <r>
    <d v="2025-10-10T14:25:17"/>
    <x v="7"/>
    <s v="Plaquettes d'ébauches carrées"/>
    <s v="040725"/>
    <s v="BARGEOT LUCAS"/>
    <n v="10"/>
    <x v="3"/>
    <x v="3"/>
    <s v="PLAQUETTES"/>
    <s v="330x28 RPE KO"/>
    <n v="71.2"/>
  </r>
  <r>
    <d v="2025-10-12T17:03:48"/>
    <x v="7"/>
    <s v="Plaquettes d'ébauches carrées"/>
    <s v="DELIAT C"/>
    <s v="DELIAT CHRISTOPHE"/>
    <n v="10"/>
    <x v="2"/>
    <x v="2"/>
    <s v="PLAQUETTES"/>
    <s v="302x26 RPI"/>
    <n v="71.2"/>
  </r>
  <r>
    <d v="2025-10-12T17:05:03"/>
    <x v="7"/>
    <s v="Plaquettes d'ébauches carrées"/>
    <s v="DELIAT C"/>
    <s v="DELIAT CHRISTOPHE"/>
    <n v="10"/>
    <x v="2"/>
    <x v="4"/>
    <s v="PLAQUETTES"/>
    <s v="302x26 RPI"/>
    <n v="71.2"/>
  </r>
  <r>
    <d v="2025-10-12T17:05:26"/>
    <x v="7"/>
    <s v="Plaquettes d'ébauches carrées"/>
    <s v="DELIAT C"/>
    <s v="DELIAT CHRISTOPHE"/>
    <n v="10"/>
    <x v="2"/>
    <x v="3"/>
    <s v="PLAQUETTES"/>
    <s v="302x26 RPI"/>
    <n v="71.2"/>
  </r>
  <r>
    <d v="2025-10-13T05:22:57"/>
    <x v="7"/>
    <s v="Plaquettes d'ébauches carrées"/>
    <s v="140325"/>
    <s v="BOUCLIER JONATHAN"/>
    <n v="10"/>
    <x v="2"/>
    <x v="2"/>
    <s v="PLAQUETTES"/>
    <s v="302x26 RPI"/>
    <n v="71.2"/>
  </r>
  <r>
    <d v="2025-10-13T21:15:40"/>
    <x v="7"/>
    <s v="Plaquettes d'ébauches carrées"/>
    <s v="U037238"/>
    <s v="PRIEUR OLIVIER"/>
    <n v="10"/>
    <x v="2"/>
    <x v="3"/>
    <s v="PLAQUETTES"/>
    <s v="302x26 RPI"/>
    <n v="71.2"/>
  </r>
  <r>
    <d v="2025-10-13T23:02:11"/>
    <x v="7"/>
    <s v="Plaquettes d'ébauches carrées"/>
    <s v="250425"/>
    <s v="CHANDAR ABDER"/>
    <n v="10"/>
    <x v="2"/>
    <x v="4"/>
    <s v="PLAQUETTES"/>
    <s v="302x26 RPI"/>
    <n v="71.2"/>
  </r>
  <r>
    <d v="2025-10-14T20:36:08"/>
    <x v="7"/>
    <s v="Plaquettes d'ébauches carrées"/>
    <s v="210325"/>
    <s v="DAUTUN ALLAN"/>
    <n v="10"/>
    <x v="2"/>
    <x v="2"/>
    <s v="PLAQUETTES"/>
    <s v="302x26 RPI"/>
    <n v="71.2"/>
  </r>
  <r>
    <d v="2025-10-14T20:36:39"/>
    <x v="7"/>
    <s v="Plaquettes d'ébauches carrées"/>
    <s v="210325"/>
    <s v="DAUTUN ALLAN"/>
    <n v="10"/>
    <x v="2"/>
    <x v="4"/>
    <s v="PLAQUETTES"/>
    <s v="302x26 RPI"/>
    <n v="71.2"/>
  </r>
  <r>
    <d v="2025-10-16T05:04:25"/>
    <x v="7"/>
    <s v="Plaquettes d'ébauches carrées"/>
    <s v="140325"/>
    <s v="BOUCLIER JONATHAN"/>
    <n v="10"/>
    <x v="2"/>
    <x v="4"/>
    <s v="PLAQUETTES"/>
    <s v="302x26 RPI"/>
    <n v="71.2"/>
  </r>
  <r>
    <d v="2025-10-16T08:51:05"/>
    <x v="7"/>
    <s v="Plaquettes d'ébauches carrées"/>
    <s v="040725"/>
    <s v="BARGEOT LUCAS"/>
    <n v="10"/>
    <x v="3"/>
    <x v="2"/>
    <s v="PLAQUETTES"/>
    <s v="330x28 RPE KO"/>
    <n v="71.2"/>
  </r>
  <r>
    <d v="2025-10-17T13:01:15"/>
    <x v="7"/>
    <s v="Plaquettes d'ébauches carrées"/>
    <s v="045F69CAA77080"/>
    <s v="TEIXEIRA FLORIAN"/>
    <n v="10"/>
    <x v="2"/>
    <x v="3"/>
    <s v="PLAQUETTES"/>
    <s v="302x26 RPI"/>
    <n v="71.2"/>
  </r>
  <r>
    <d v="2025-10-18T12:43:36"/>
    <x v="7"/>
    <s v="Plaquettes d'ébauches carrées"/>
    <s v="DELIAT C"/>
    <s v="DELIAT CHRISTOPHE"/>
    <n v="10"/>
    <x v="2"/>
    <x v="2"/>
    <s v="PLAQUETTES"/>
    <s v="302x26 RPI"/>
    <n v="71.2"/>
  </r>
  <r>
    <d v="2025-10-19T17:58:01"/>
    <x v="7"/>
    <s v="Plaquettes d'ébauches carrées"/>
    <s v="DELIAT C"/>
    <s v="DELIAT CHRISTOPHE"/>
    <n v="10"/>
    <x v="2"/>
    <x v="4"/>
    <s v="PLAQUETTES"/>
    <s v="302x26 RPI"/>
    <n v="71.2"/>
  </r>
  <r>
    <d v="2025-10-20T07:27:20"/>
    <x v="7"/>
    <s v="Plaquettes d'ébauches carrées"/>
    <s v="101224"/>
    <s v="CHAZEAU KYLIAN"/>
    <n v="10"/>
    <x v="3"/>
    <x v="3"/>
    <s v="PLAQUETTES"/>
    <s v="330x14"/>
    <n v="71.2"/>
  </r>
  <r>
    <d v="2025-10-20T13:04:16"/>
    <x v="7"/>
    <s v="Plaquettes d'ébauches carrées"/>
    <s v="u636817"/>
    <s v="MOCQUEREAU LYDIE"/>
    <n v="10"/>
    <x v="2"/>
    <x v="4"/>
    <s v="PLAQUETTES"/>
    <s v="302x26 RPI"/>
    <n v="71.2"/>
  </r>
  <r>
    <d v="2025-10-20T19:20:34"/>
    <x v="7"/>
    <s v="Plaquettes d'ébauches carrées"/>
    <s v="040725"/>
    <s v="BARGEOT LUCAS"/>
    <n v="10"/>
    <x v="3"/>
    <x v="3"/>
    <s v="PLAQUETTES"/>
    <s v="330x14"/>
    <n v="71.2"/>
  </r>
  <r>
    <d v="2025-10-20T19:28:49"/>
    <x v="7"/>
    <s v="Plaquettes d'ébauches carrées"/>
    <s v="u636817"/>
    <s v="MOCQUEREAU LYDIE"/>
    <n v="10"/>
    <x v="2"/>
    <x v="3"/>
    <s v="PLAQUETTES"/>
    <s v="302x26 RPI"/>
    <n v="71.2"/>
  </r>
  <r>
    <d v="2025-10-20T22:22:03"/>
    <x v="7"/>
    <s v="Plaquettes d'ébauches carrées"/>
    <s v="250425"/>
    <s v="CHANDAR ABDER"/>
    <n v="10"/>
    <x v="2"/>
    <x v="4"/>
    <s v="PLAQUETTES"/>
    <s v="302x26 RPI"/>
    <n v="71.2"/>
  </r>
  <r>
    <d v="2025-10-21T13:13:09"/>
    <x v="7"/>
    <s v="Plaquettes d'ébauches carrées"/>
    <s v="SD75051"/>
    <s v="COMBALUZIER LUCAS"/>
    <n v="10"/>
    <x v="1"/>
    <x v="3"/>
    <s v="PLAQUETTES"/>
    <s v="304x28 RPE"/>
    <n v="71.2"/>
  </r>
  <r>
    <d v="2025-10-22T12:43:41"/>
    <x v="7"/>
    <s v="Plaquettes d'ébauches carrées"/>
    <s v="210325"/>
    <s v="DAUTUN ALLAN"/>
    <n v="10"/>
    <x v="2"/>
    <x v="2"/>
    <s v="PLAQUETTES"/>
    <s v="302x26 RPI"/>
    <n v="71.2"/>
  </r>
  <r>
    <d v="2025-10-22T22:22:39"/>
    <x v="7"/>
    <s v="Plaquettes d'ébauches carrées"/>
    <s v="250425"/>
    <s v="CHANDAR ABDER"/>
    <n v="10"/>
    <x v="2"/>
    <x v="4"/>
    <s v="PLAQUETTES"/>
    <s v="302x26 RPI"/>
    <n v="71.2"/>
  </r>
  <r>
    <d v="2025-10-24T03:22:13"/>
    <x v="7"/>
    <s v="Plaquettes d'ébauches carrées"/>
    <s v="U037238"/>
    <s v="PRIEUR OLIVIER"/>
    <n v="10"/>
    <x v="2"/>
    <x v="3"/>
    <s v="PLAQUETTES"/>
    <s v="302x26 RPI"/>
    <n v="71.2"/>
  </r>
  <r>
    <d v="2025-10-24T08:46:21"/>
    <x v="7"/>
    <s v="Plaquettes d'ébauches carrées"/>
    <s v="DELIAT C"/>
    <s v="DELIAT CHRISTOPHE"/>
    <n v="10"/>
    <x v="2"/>
    <x v="4"/>
    <s v="PLAQUETTES"/>
    <s v="302x26 RPI"/>
    <n v="71.2"/>
  </r>
  <r>
    <d v="2025-10-24T13:11:00"/>
    <x v="7"/>
    <s v="Plaquettes d'ébauches carrées"/>
    <s v="040725"/>
    <s v="BARGEOT LUCAS"/>
    <n v="10"/>
    <x v="0"/>
    <x v="3"/>
    <s v="PLAQUETTES"/>
    <s v="356x26 RPI"/>
    <n v="71.2"/>
  </r>
  <r>
    <d v="2025-10-25T05:28:59"/>
    <x v="7"/>
    <s v="Plaquettes d'ébauches carrées"/>
    <s v="DELIAT C"/>
    <s v="DELIAT CHRISTOPHE"/>
    <n v="10"/>
    <x v="2"/>
    <x v="2"/>
    <s v="PLAQUETTES"/>
    <s v="302x26 RPI"/>
    <n v="71.2"/>
  </r>
  <r>
    <d v="2025-10-27T02:03:08"/>
    <x v="7"/>
    <s v="Plaquettes d'ébauches carrées"/>
    <s v="J529792"/>
    <s v="LEBRE CHRISTOPHE"/>
    <n v="10"/>
    <x v="2"/>
    <x v="4"/>
    <s v="PLAQUETTES"/>
    <s v="302x26 RPI"/>
    <n v="71.2"/>
  </r>
  <r>
    <d v="2025-10-27T02:03:31"/>
    <x v="7"/>
    <s v="Plaquettes d'ébauches carrées"/>
    <s v="J529792"/>
    <s v="LEBRE CHRISTOPHE"/>
    <n v="10"/>
    <x v="2"/>
    <x v="2"/>
    <s v="PLAQUETTES"/>
    <s v="302x26 RPI"/>
    <n v="71.2"/>
  </r>
  <r>
    <d v="2025-10-27T05:03:26"/>
    <x v="7"/>
    <s v="Plaquettes d'ébauches carrées"/>
    <s v="SD75051"/>
    <s v="COMBALUZIER LUCAS"/>
    <n v="10"/>
    <x v="1"/>
    <x v="3"/>
    <s v="PLAQUETTES"/>
    <s v="304x28 RPE"/>
    <n v="71.2"/>
  </r>
  <r>
    <d v="2025-10-27T13:21:30"/>
    <x v="7"/>
    <s v="Plaquettes d'ébauches carrées"/>
    <s v="045F69CAA77080"/>
    <s v="TEIXEIRA FLORIAN"/>
    <n v="10"/>
    <x v="2"/>
    <x v="3"/>
    <s v="PLAQUETTES"/>
    <s v="302x26 RPI"/>
    <n v="71.2"/>
  </r>
  <r>
    <d v="2025-10-28T05:02:20"/>
    <x v="7"/>
    <s v="Plaquettes d'ébauches carrées"/>
    <s v="140325"/>
    <s v="BOUCLIER JONATHAN"/>
    <n v="10"/>
    <x v="2"/>
    <x v="2"/>
    <s v="PLAQUETTES"/>
    <s v="302x26 RPI"/>
    <n v="71.2"/>
  </r>
  <r>
    <d v="2025-10-28T15:26:59"/>
    <x v="7"/>
    <s v="Plaquettes d'ébauches carrées"/>
    <s v="04551FC25C7780"/>
    <s v="CHEDRU VIANNEY"/>
    <n v="10"/>
    <x v="3"/>
    <x v="3"/>
    <s v="PLAQUETTES"/>
    <s v="330x28 RPE KO"/>
    <n v="71.2"/>
  </r>
  <r>
    <d v="2025-10-28T19:16:02"/>
    <x v="7"/>
    <s v="Plaquettes d'ébauches carrées"/>
    <s v="045F69CAA77080"/>
    <s v="TEIXEIRA FLORIAN"/>
    <n v="10"/>
    <x v="2"/>
    <x v="3"/>
    <s v="PLAQUETTES"/>
    <s v="302x26 RPI"/>
    <n v="71.2"/>
  </r>
  <r>
    <d v="2025-10-28T20:45:58"/>
    <x v="7"/>
    <s v="Plaquettes d'ébauches carrées"/>
    <s v="210325"/>
    <s v="DAUTUN ALLAN"/>
    <n v="10"/>
    <x v="2"/>
    <x v="2"/>
    <s v="PLAQUETTES"/>
    <s v="302x26 RPI"/>
    <n v="71.2"/>
  </r>
  <r>
    <d v="2025-10-28T20:46:44"/>
    <x v="7"/>
    <s v="Plaquettes d'ébauches carrées"/>
    <s v="210325"/>
    <s v="DAUTUN ALLAN"/>
    <n v="10"/>
    <x v="2"/>
    <x v="4"/>
    <s v="PLAQUETTES"/>
    <s v="302x26 RPI"/>
    <n v="71.2"/>
  </r>
  <r>
    <d v="2025-10-29T00:56:43"/>
    <x v="7"/>
    <s v="Plaquettes d'ébauches carrées"/>
    <s v="250425"/>
    <s v="CHANDAR ABDER"/>
    <n v="10"/>
    <x v="2"/>
    <x v="4"/>
    <s v="PLAQUETTES"/>
    <s v="302x26 RPI"/>
    <n v="71.2"/>
  </r>
  <r>
    <d v="2025-10-29T13:53:01"/>
    <x v="7"/>
    <s v="Plaquettes d'ébauches carrées"/>
    <s v="045F69CAA77080"/>
    <s v="TEIXEIRA FLORIAN"/>
    <n v="10"/>
    <x v="2"/>
    <x v="3"/>
    <s v="PLAQUETTES"/>
    <s v="302x26 RPI"/>
    <n v="71.2"/>
  </r>
  <r>
    <d v="2025-10-29T14:17:25"/>
    <x v="7"/>
    <s v="Plaquettes d'ébauches carrées"/>
    <s v="04551FC25C7780"/>
    <s v="CHEDRU VIANNEY"/>
    <n v="10"/>
    <x v="0"/>
    <x v="3"/>
    <s v="PLAQUETTES"/>
    <s v="356x26 RPI"/>
    <n v="71.2"/>
  </r>
  <r>
    <d v="2025-10-29T21:46:21"/>
    <x v="7"/>
    <s v="Plaquettes d'ébauches carrées"/>
    <s v="U037238"/>
    <s v="PRIEUR OLIVIER"/>
    <n v="10"/>
    <x v="2"/>
    <x v="3"/>
    <s v="PLAQUETTES"/>
    <s v="302x26 RPI"/>
    <n v="71.2"/>
  </r>
  <r>
    <d v="2025-10-31T13:15:41"/>
    <x v="7"/>
    <s v="Plaquettes d'ébauches carrées"/>
    <s v="04551FC25C7780"/>
    <s v="CHEDRU VIANNEY"/>
    <n v="10"/>
    <x v="0"/>
    <x v="3"/>
    <s v="PLAQUETTES"/>
    <s v="356x26 RPI"/>
    <n v="71.2"/>
  </r>
  <r>
    <d v="2025-11-01T03:22:57"/>
    <x v="7"/>
    <s v="Plaquettes d'ébauches carrées"/>
    <s v="250425"/>
    <s v="CHANDAR ABDER"/>
    <n v="10"/>
    <x v="2"/>
    <x v="4"/>
    <s v="PLAQUETTES"/>
    <s v="302x26 RPI"/>
    <n v="71.2"/>
  </r>
  <r>
    <d v="2025-11-02T16:41:07"/>
    <x v="7"/>
    <s v="Plaquettes d'ébauches carrées"/>
    <s v="J529792"/>
    <s v="LEBRE CHRISTOPHE"/>
    <n v="10"/>
    <x v="2"/>
    <x v="3"/>
    <s v="PLAQUETTES"/>
    <s v="302x26 RPI"/>
    <n v="71.2"/>
  </r>
  <r>
    <d v="2025-11-02T16:41:28"/>
    <x v="7"/>
    <s v="Plaquettes d'ébauches carrées"/>
    <s v="J529792"/>
    <s v="LEBRE CHRISTOPHE"/>
    <n v="10"/>
    <x v="2"/>
    <x v="3"/>
    <s v="PLAQUETTES"/>
    <s v="302x26 RPI"/>
    <n v="71.2"/>
  </r>
  <r>
    <d v="2025-11-03T09:10:00"/>
    <x v="7"/>
    <s v="Plaquettes d'ébauches carrées"/>
    <s v="045F69CAA77080"/>
    <s v="TEIXEIRA FLORIAN"/>
    <n v="10"/>
    <x v="2"/>
    <x v="3"/>
    <s v="PLAQUETTES"/>
    <s v="302x26 RPI"/>
    <n v="71.2"/>
  </r>
  <r>
    <d v="2025-11-03T13:19:34"/>
    <x v="7"/>
    <s v="Plaquettes d'ébauches carrées"/>
    <s v="u636817"/>
    <s v="MOCQUEREAU LYDIE"/>
    <n v="10"/>
    <x v="2"/>
    <x v="2"/>
    <s v="PLAQUETTES"/>
    <s v="302x26 RPI"/>
    <n v="71.2"/>
  </r>
  <r>
    <d v="2025-11-03T13:21:44"/>
    <x v="7"/>
    <s v="Plaquettes d'ébauches carrées"/>
    <s v="u636817"/>
    <s v="MOCQUEREAU LYDIE"/>
    <n v="10"/>
    <x v="2"/>
    <x v="4"/>
    <s v="PLAQUETTES"/>
    <s v="302x26 RPI"/>
    <n v="71.2"/>
  </r>
  <r>
    <d v="2025-11-04T14:12:36"/>
    <x v="7"/>
    <s v="Plaquettes d'ébauches carrées"/>
    <s v="SD75051"/>
    <s v="COMBALUZIER LUCAS"/>
    <n v="10"/>
    <x v="1"/>
    <x v="3"/>
    <s v="PLAQUETTES"/>
    <s v="304x28 RPE"/>
    <n v="71.2"/>
  </r>
  <r>
    <d v="2025-11-04T15:37:39"/>
    <x v="7"/>
    <s v="Plaquettes d'ébauches carrées"/>
    <s v="u636817"/>
    <s v="MOCQUEREAU LYDIE"/>
    <n v="10"/>
    <x v="2"/>
    <x v="4"/>
    <s v="PLAQUETTES"/>
    <s v="302x26 RPI"/>
    <n v="71.2"/>
  </r>
  <r>
    <d v="2025-11-04T21:19:05"/>
    <x v="7"/>
    <s v="Plaquettes d'ébauches carrées"/>
    <s v="250425"/>
    <s v="CHANDAR ABDER"/>
    <n v="10"/>
    <x v="2"/>
    <x v="4"/>
    <s v="PLAQUETTES"/>
    <s v="302x26 RPI"/>
    <n v="71.2"/>
  </r>
  <r>
    <d v="2025-11-05T05:01:56"/>
    <x v="7"/>
    <s v="Plaquettes d'ébauches carrées"/>
    <s v="045F69CAA77080"/>
    <s v="TEIXEIRA FLORIAN"/>
    <n v="10"/>
    <x v="2"/>
    <x v="3"/>
    <s v="PLAQUETTES"/>
    <s v="302x26 RPI"/>
    <n v="71.2"/>
  </r>
  <r>
    <d v="2025-11-05T13:07:55"/>
    <x v="7"/>
    <s v="Plaquettes d'ébauches carrées"/>
    <s v="140325"/>
    <s v="BOUCLIER JONATHAN"/>
    <n v="10"/>
    <x v="2"/>
    <x v="2"/>
    <s v="PLAQUETTES"/>
    <s v="302x26 RPI"/>
    <n v="71.2"/>
  </r>
  <r>
    <d v="2025-11-05T13:08:48"/>
    <x v="7"/>
    <s v="Plaquettes d'ébauches carrées"/>
    <s v="140325"/>
    <s v="BOUCLIER JONATHAN"/>
    <n v="10"/>
    <x v="2"/>
    <x v="4"/>
    <s v="PLAQUETTES"/>
    <s v="302x26 RPI"/>
    <n v="71.2"/>
  </r>
  <r>
    <d v="2025-11-05T13:09:06"/>
    <x v="7"/>
    <s v="Plaquettes d'ébauches carrées"/>
    <s v="140325"/>
    <s v="BOUCLIER JONATHAN"/>
    <n v="10"/>
    <x v="2"/>
    <x v="3"/>
    <s v="PLAQUETTES"/>
    <s v="302x26 RPI"/>
    <n v="71.2"/>
  </r>
  <r>
    <d v="2025-11-05T13:40:58"/>
    <x v="7"/>
    <s v="Plaquettes d'ébauches carrées"/>
    <s v="040725"/>
    <s v="BARGEOT LUCAS"/>
    <n v="10"/>
    <x v="3"/>
    <x v="2"/>
    <s v="PLAQUETTES"/>
    <s v="330x28 RPE KO"/>
    <n v="71.2"/>
  </r>
  <r>
    <d v="2025-11-06T05:04:51"/>
    <x v="7"/>
    <s v="Plaquettes d'ébauches carrées"/>
    <s v="045F69CAA77080"/>
    <s v="TEIXEIRA FLORIAN"/>
    <n v="10"/>
    <x v="2"/>
    <x v="3"/>
    <s v="PLAQUETTES"/>
    <s v="302x26 RPI"/>
    <n v="71.2"/>
  </r>
  <r>
    <d v="2025-11-07T05:59:31"/>
    <x v="7"/>
    <s v="Plaquettes d'ébauches carrées"/>
    <s v="j534699"/>
    <s v="FABIAN CHARTON"/>
    <n v="10"/>
    <x v="2"/>
    <x v="2"/>
    <s v="PLAQUETTES"/>
    <s v="302x26 RPI"/>
    <n v="71.2"/>
  </r>
  <r>
    <d v="2025-11-07T06:01:05"/>
    <x v="7"/>
    <s v="Plaquettes d'ébauches carrées"/>
    <s v="j534699"/>
    <s v="FABIAN CHARTON"/>
    <n v="10"/>
    <x v="2"/>
    <x v="4"/>
    <s v="PLAQUETTES"/>
    <s v="302x26 RPI"/>
    <n v="71.2"/>
  </r>
  <r>
    <d v="2025-11-07T23:15:27"/>
    <x v="7"/>
    <s v="Plaquettes d'ébauches carrées"/>
    <s v="U037238"/>
    <s v="PRIEUR OLIVIER"/>
    <n v="10"/>
    <x v="2"/>
    <x v="3"/>
    <s v="PLAQUETTES"/>
    <s v="302x26 RPI"/>
    <n v="71.2"/>
  </r>
  <r>
    <d v="2025-11-08T05:39:12"/>
    <x v="7"/>
    <s v="Plaquettes d'ébauches carrées"/>
    <s v="J529792"/>
    <s v="LEBRE CHRISTOPHE"/>
    <n v="10"/>
    <x v="2"/>
    <x v="3"/>
    <s v="PLAQUETTES"/>
    <s v="302x26 RPI"/>
    <n v="71.2"/>
  </r>
  <r>
    <d v="2025-11-08T05:39:29"/>
    <x v="7"/>
    <s v="Plaquettes d'ébauches carrées"/>
    <s v="J529792"/>
    <s v="LEBRE CHRISTOPHE"/>
    <n v="10"/>
    <x v="2"/>
    <x v="3"/>
    <s v="PLAQUETTES"/>
    <s v="302x26 RPI"/>
    <n v="71.2"/>
  </r>
  <r>
    <d v="2025-11-09T06:54:45"/>
    <x v="7"/>
    <s v="Plaquettes d'ébauches carrées"/>
    <s v="U080365"/>
    <s v="ALAVOINE SAMUEL"/>
    <n v="10"/>
    <x v="0"/>
    <x v="3"/>
    <s v="PLAQUETTES"/>
    <s v="356x26 RPI"/>
    <n v="71.2"/>
  </r>
  <r>
    <d v="2025-11-09T06:56:22"/>
    <x v="7"/>
    <s v="Plaquettes d'ébauches carrées"/>
    <s v="U080365"/>
    <s v="ALAVOINE SAMUEL"/>
    <n v="10"/>
    <x v="3"/>
    <x v="3"/>
    <s v="PLAQUETTES"/>
    <s v="330x14"/>
    <n v="71.2"/>
  </r>
  <r>
    <d v="2025-11-12T05:50:41"/>
    <x v="7"/>
    <s v="Plaquettes d'ébauches carrées"/>
    <s v="SD75051"/>
    <s v="COMBALUZIER LUCAS"/>
    <n v="10"/>
    <x v="1"/>
    <x v="3"/>
    <s v="PLAQUETTES"/>
    <s v="304x28 RPE"/>
    <n v="71.2"/>
  </r>
  <r>
    <d v="2025-11-12T10:21:59"/>
    <x v="7"/>
    <s v="Plaquettes d'ébauches carrées"/>
    <s v="020824"/>
    <s v="DA SILVA RENAUD"/>
    <n v="10"/>
    <x v="0"/>
    <x v="3"/>
    <s v="PLAQUETTES"/>
    <s v="TOUT DISQUES"/>
    <n v="71.2"/>
  </r>
  <r>
    <d v="2025-11-13T23:00:10"/>
    <x v="7"/>
    <s v="Plaquettes d'ébauches carrées"/>
    <s v="130325"/>
    <s v="PAPONNEAU JULIEN"/>
    <n v="10"/>
    <x v="1"/>
    <x v="2"/>
    <s v="PLAQUETTES"/>
    <s v="304x28 RPE"/>
    <n v="71.2"/>
  </r>
  <r>
    <d v="2025-11-14T15:57:28"/>
    <x v="7"/>
    <s v="Plaquettes d'ébauches carrées"/>
    <s v="04551FC25C7780"/>
    <s v="CHEDRU VIANNEY"/>
    <n v="10"/>
    <x v="0"/>
    <x v="3"/>
    <s v="PLAQUETTES"/>
    <s v="356x26 RPI"/>
    <n v="71.2"/>
  </r>
  <r>
    <d v="2025-11-14T16:07:43"/>
    <x v="7"/>
    <s v="Plaquettes d'ébauches carrées"/>
    <s v="045F69CAA77080"/>
    <s v="TEIXEIRA FLORIAN"/>
    <n v="10"/>
    <x v="2"/>
    <x v="3"/>
    <s v="PLAQUETTES"/>
    <s v="302x26 RPI"/>
    <n v="71.2"/>
  </r>
  <r>
    <d v="2025-11-14T17:28:29"/>
    <x v="7"/>
    <s v="Plaquettes d'ébauches carrées"/>
    <s v="04551FC25C7780"/>
    <s v="CHEDRU VIANNEY"/>
    <n v="10"/>
    <x v="3"/>
    <x v="3"/>
    <s v="PLAQUETTES"/>
    <s v="330x28 RPE KO"/>
    <n v="71.2"/>
  </r>
  <r>
    <d v="2025-11-14T18:49:09"/>
    <x v="7"/>
    <s v="Plaquettes d'ébauches carrées"/>
    <s v="210325"/>
    <s v="DAUTUN ALLAN"/>
    <n v="10"/>
    <x v="2"/>
    <x v="2"/>
    <s v="PLAQUETTES"/>
    <s v="302x26 RPI"/>
    <n v="71.2"/>
  </r>
  <r>
    <d v="2025-11-14T18:49:41"/>
    <x v="7"/>
    <s v="Plaquettes d'ébauches carrées"/>
    <s v="210325"/>
    <s v="DAUTUN ALLAN"/>
    <n v="10"/>
    <x v="2"/>
    <x v="4"/>
    <s v="PLAQUETTES"/>
    <s v="302x26 RPI"/>
    <n v="71.2"/>
  </r>
  <r>
    <d v="2025-11-15T06:12:51"/>
    <x v="7"/>
    <s v="Plaquettes d'ébauches carrées"/>
    <s v="DELIAT C"/>
    <s v="DELIAT CHRISTOPHE"/>
    <n v="10"/>
    <x v="2"/>
    <x v="2"/>
    <s v="PLAQUETTES"/>
    <s v="302x26 RPI"/>
    <n v="71.2"/>
  </r>
  <r>
    <d v="2025-11-16T03:02:15"/>
    <x v="7"/>
    <s v="Plaquettes d'ébauches carrées"/>
    <s v="U080365"/>
    <s v="ALAVOINE SAMUEL"/>
    <n v="10"/>
    <x v="0"/>
    <x v="3"/>
    <s v="PLAQUETTES"/>
    <s v="356x26 RPI"/>
    <n v="71.2"/>
  </r>
  <r>
    <d v="2025-11-16T03:02:36"/>
    <x v="7"/>
    <s v="Plaquettes d'ébauches carrées"/>
    <s v="U080365"/>
    <s v="ALAVOINE SAMUEL"/>
    <n v="10"/>
    <x v="3"/>
    <x v="3"/>
    <s v="PLAQUETTES"/>
    <s v="330x28 RPE KO"/>
    <n v="71.2"/>
  </r>
  <r>
    <d v="2025-11-17T13:09:16"/>
    <x v="7"/>
    <s v="Plaquettes d'ébauches carrées"/>
    <s v="SD75051"/>
    <s v="COMBALUZIER LUCAS"/>
    <n v="10"/>
    <x v="1"/>
    <x v="3"/>
    <s v="PLAQUETTES"/>
    <s v="304x28 RPE"/>
    <n v="71.2"/>
  </r>
  <r>
    <d v="2025-11-19T01:02:46"/>
    <x v="7"/>
    <s v="Plaquettes d'ébauches carrées"/>
    <s v="250425"/>
    <s v="CHANDAR ABDER"/>
    <n v="10"/>
    <x v="2"/>
    <x v="4"/>
    <s v="PLAQUETTES"/>
    <s v="302x26 RPI"/>
    <n v="71.2"/>
  </r>
  <r>
    <d v="2025-11-19T05:18:00"/>
    <x v="7"/>
    <s v="Plaquettes d'ébauches carrées"/>
    <s v="045F69CAA77080"/>
    <s v="TEIXEIRA FLORIAN"/>
    <n v="10"/>
    <x v="2"/>
    <x v="3"/>
    <s v="PLAQUETTES"/>
    <s v="302x26 RPI"/>
    <n v="71.2"/>
  </r>
  <r>
    <d v="2025-11-19T09:54:20"/>
    <x v="7"/>
    <s v="Plaquettes d'ébauches carrées"/>
    <s v="045F69CAA77080"/>
    <s v="TEIXEIRA FLORIAN"/>
    <n v="10"/>
    <x v="2"/>
    <x v="3"/>
    <s v="PLAQUETTES"/>
    <s v="302x26 RPI"/>
    <n v="71.2"/>
  </r>
  <r>
    <d v="2025-11-19T13:28:49"/>
    <x v="7"/>
    <s v="Plaquettes d'ébauches carrées"/>
    <s v="SD75051"/>
    <s v="COMBALUZIER LUCAS"/>
    <n v="10"/>
    <x v="1"/>
    <x v="3"/>
    <s v="PLAQUETTES"/>
    <s v="304x28 RPE"/>
    <n v="71.2"/>
  </r>
  <r>
    <d v="2025-11-20T09:41:50"/>
    <x v="7"/>
    <s v="Plaquettes d'ébauches carrées"/>
    <s v="045F69CAA77080"/>
    <s v="TEIXEIRA FLORIAN"/>
    <n v="10"/>
    <x v="2"/>
    <x v="3"/>
    <s v="PLAQUETTES"/>
    <s v="302x26 RPI"/>
    <n v="71.2"/>
  </r>
  <r>
    <d v="2025-11-21T00:10:51"/>
    <x v="7"/>
    <s v="Plaquettes d'ébauches carrées"/>
    <s v="250425"/>
    <s v="CHANDAR ABDER"/>
    <n v="10"/>
    <x v="2"/>
    <x v="4"/>
    <s v="PLAQUETTES"/>
    <s v="302x26 RPI"/>
    <n v="71.2"/>
  </r>
  <r>
    <d v="2025-11-21T06:49:40"/>
    <x v="7"/>
    <s v="Plaquettes d'ébauches carrées"/>
    <s v="DELIAT C"/>
    <s v="DELIAT CHRISTOPHE"/>
    <n v="10"/>
    <x v="2"/>
    <x v="4"/>
    <s v="PLAQUETTES"/>
    <s v="302x26 RPI"/>
    <n v="71.2"/>
  </r>
  <r>
    <d v="2025-11-22T05:02:45"/>
    <x v="7"/>
    <s v="Plaquettes d'ébauches carrées"/>
    <s v="DELIAT C"/>
    <s v="DELIAT CHRISTOPHE"/>
    <n v="10"/>
    <x v="2"/>
    <x v="2"/>
    <s v="PLAQUETTES"/>
    <s v="302x26 RPI"/>
    <n v="71.2"/>
  </r>
  <r>
    <d v="2025-11-23T17:18:10"/>
    <x v="7"/>
    <s v="Plaquettes d'ébauches carrées"/>
    <s v="150725"/>
    <s v="ADOUL WASSIM"/>
    <n v="10"/>
    <x v="0"/>
    <x v="3"/>
    <s v="PLAQUETTES"/>
    <s v="356x26 RPI"/>
    <n v="71.2"/>
  </r>
  <r>
    <d v="2025-11-24T05:02:42"/>
    <x v="7"/>
    <s v="Plaquettes d'ébauches carrées"/>
    <s v="140325"/>
    <s v="BOUCLIER JONATHAN"/>
    <n v="10"/>
    <x v="2"/>
    <x v="2"/>
    <s v="PLAQUETTES"/>
    <s v="302x26 RPI"/>
    <n v="71.2"/>
  </r>
  <r>
    <d v="2025-11-24T05:03:21"/>
    <x v="7"/>
    <s v="Plaquettes d'ébauches carrées"/>
    <s v="140325"/>
    <s v="BOUCLIER JONATHAN"/>
    <n v="10"/>
    <x v="2"/>
    <x v="4"/>
    <s v="PLAQUETTES"/>
    <s v="302x26 RPI"/>
    <n v="71.2"/>
  </r>
  <r>
    <d v="2025-11-24T05:05:46"/>
    <x v="7"/>
    <s v="Plaquettes d'ébauches carrées"/>
    <s v="SD75051"/>
    <s v="COMBALUZIER LUCAS"/>
    <n v="10"/>
    <x v="0"/>
    <x v="3"/>
    <s v="PLAQUETTES"/>
    <s v="304x28 RPE"/>
    <n v="71.2"/>
  </r>
  <r>
    <d v="2025-11-24T06:39:24"/>
    <x v="7"/>
    <s v="Plaquettes d'ébauches carrées"/>
    <s v="u636817"/>
    <s v="MOCQUEREAU LYDIE"/>
    <n v="10"/>
    <x v="2"/>
    <x v="3"/>
    <s v="PLAQUETTES"/>
    <s v="302x26 RPI"/>
    <n v="71.2"/>
  </r>
  <r>
    <d v="2025-11-24T06:39:48"/>
    <x v="7"/>
    <s v="Plaquettes d'ébauches carrées"/>
    <s v="u636817"/>
    <s v="MOCQUEREAU LYDIE"/>
    <n v="10"/>
    <x v="2"/>
    <x v="3"/>
    <s v="PLAQUETTES"/>
    <s v="302x26 RPI"/>
    <n v="71.2"/>
  </r>
  <r>
    <d v="2025-11-24T07:02:26"/>
    <x v="7"/>
    <s v="Plaquettes d'ébauches carrées"/>
    <s v="040725"/>
    <s v="BARGEOT LUCAS"/>
    <n v="10"/>
    <x v="3"/>
    <x v="3"/>
    <s v="PLAQUETTES"/>
    <s v="330x28 RPE KO"/>
    <n v="71.2"/>
  </r>
  <r>
    <d v="2025-11-24T21:49:02"/>
    <x v="7"/>
    <s v="Plaquettes d'ébauches carrées"/>
    <s v="250425"/>
    <s v="CHANDAR ABDER"/>
    <n v="10"/>
    <x v="2"/>
    <x v="4"/>
    <s v="PLAQUETTES"/>
    <s v="302x26 RPI"/>
    <n v="71.2"/>
  </r>
  <r>
    <d v="2025-11-25T05:21:16"/>
    <x v="7"/>
    <s v="Plaquettes d'ébauches carrées"/>
    <s v="040725"/>
    <s v="BARGEOT LUCAS"/>
    <n v="10"/>
    <x v="0"/>
    <x v="3"/>
    <s v="PLAQUETTES"/>
    <s v="356x26 RPI"/>
    <n v="71.2"/>
  </r>
  <r>
    <d v="2025-11-25T05:44:49"/>
    <x v="7"/>
    <s v="Plaquettes d'ébauches carrées"/>
    <s v="040725"/>
    <s v="BARGEOT LUCAS"/>
    <n v="10"/>
    <x v="3"/>
    <x v="3"/>
    <s v="PLAQUETTES"/>
    <s v="330x28 RPE KO"/>
    <n v="71.2"/>
  </r>
  <r>
    <d v="2025-11-25T09:02:54"/>
    <x v="7"/>
    <s v="Plaquettes d'ébauches carrées"/>
    <s v="12824586"/>
    <s v="DA SILVA FERNANDO"/>
    <n v="10"/>
    <x v="2"/>
    <x v="2"/>
    <s v="PLAQUETTES"/>
    <s v="TOUT DISQUES"/>
    <n v="71.2"/>
  </r>
  <r>
    <d v="2025-11-26T05:06:40"/>
    <x v="7"/>
    <s v="Plaquettes d'ébauches carrées"/>
    <s v="SD75051"/>
    <s v="COMBALUZIER LUCAS"/>
    <n v="10"/>
    <x v="1"/>
    <x v="3"/>
    <s v="PLAQUETTES"/>
    <s v="304x28 RPE"/>
    <n v="71.2"/>
  </r>
  <r>
    <d v="2025-11-26T22:01:19"/>
    <x v="7"/>
    <s v="Plaquettes d'ébauches carrées"/>
    <s v="U037238"/>
    <s v="PRIEUR OLIVIER"/>
    <n v="10"/>
    <x v="2"/>
    <x v="3"/>
    <s v="PLAQUETTES"/>
    <s v="302x26 RPI"/>
    <n v="71.2"/>
  </r>
  <r>
    <d v="2025-11-26T23:54:23"/>
    <x v="7"/>
    <s v="Plaquettes d'ébauches carrées"/>
    <s v="250425"/>
    <s v="CHANDAR ABDER"/>
    <n v="10"/>
    <x v="2"/>
    <x v="4"/>
    <s v="PLAQUETTES"/>
    <s v="302x26 RPI"/>
    <n v="71.2"/>
  </r>
  <r>
    <d v="2025-11-27T08:54:57"/>
    <x v="7"/>
    <s v="Plaquettes d'ébauches carrées"/>
    <s v="12824586"/>
    <s v="DA SILVA FERNANDO"/>
    <n v="10"/>
    <x v="2"/>
    <x v="2"/>
    <s v="PLAQUETTES"/>
    <s v="TOUT DISQUES"/>
    <n v="71.2"/>
  </r>
  <r>
    <d v="2025-11-27T21:22:41"/>
    <x v="7"/>
    <s v="Plaquettes d'ébauches carrées"/>
    <s v="250425"/>
    <s v="CHANDAR ABDER"/>
    <n v="10"/>
    <x v="2"/>
    <x v="4"/>
    <s v="PLAQUETTES"/>
    <s v="302x26 RPI"/>
    <n v="71.2"/>
  </r>
  <r>
    <d v="2025-11-28T13:00:10"/>
    <x v="7"/>
    <s v="Plaquettes d'ébauches carrées"/>
    <s v="04551FC25C7780"/>
    <s v="CHEDRU VIANNEY"/>
    <n v="10"/>
    <x v="3"/>
    <x v="3"/>
    <s v="PLAQUETTES"/>
    <s v="330x28 RPE KO"/>
    <n v="71.2"/>
  </r>
  <r>
    <d v="2025-11-28T13:45:31"/>
    <x v="7"/>
    <s v="Plaquettes d'ébauches carrées"/>
    <s v="045C6ECAA77080"/>
    <s v="PERREIRA KEVIN"/>
    <n v="10"/>
    <x v="1"/>
    <x v="3"/>
    <s v="PLAQUETTES"/>
    <s v="304x28 RPE"/>
    <n v="71.2"/>
  </r>
  <r>
    <d v="2025-11-28T14:25:06"/>
    <x v="7"/>
    <s v="Plaquettes d'ébauches carrées"/>
    <s v="04551FC25C7780"/>
    <s v="CHEDRU VIANNEY"/>
    <n v="10"/>
    <x v="0"/>
    <x v="3"/>
    <s v="PLAQUETTES"/>
    <s v="356x26 RPI"/>
    <n v="71.2"/>
  </r>
  <r>
    <d v="2025-11-29T05:08:53"/>
    <x v="7"/>
    <s v="Plaquettes d'ébauches carrées"/>
    <s v="DELIAT C"/>
    <s v="DELIAT CHRISTOPHE"/>
    <n v="10"/>
    <x v="2"/>
    <x v="4"/>
    <s v="PLAQUETTES"/>
    <s v="302x26 RPI"/>
    <n v="71.2"/>
  </r>
  <r>
    <d v="2025-11-30T10:09:58"/>
    <x v="7"/>
    <s v="Plaquettes d'ébauches carrées"/>
    <s v="U080365"/>
    <s v="ALAVOINE SAMUEL"/>
    <n v="10"/>
    <x v="3"/>
    <x v="3"/>
    <s v="PLAQUETTES"/>
    <s v="330x28 RPE KO"/>
    <n v="71.2"/>
  </r>
  <r>
    <d v="2025-11-30T10:10:31"/>
    <x v="7"/>
    <s v="Plaquettes d'ébauches carrées"/>
    <s v="U080365"/>
    <s v="ALAVOINE SAMUEL"/>
    <n v="10"/>
    <x v="0"/>
    <x v="3"/>
    <s v="PLAQUETTES"/>
    <s v="356x26 RPI"/>
    <n v="71.2"/>
  </r>
  <r>
    <d v="2025-12-01T01:01:05"/>
    <x v="7"/>
    <s v="Plaquettes d'ébauches carrées"/>
    <s v="DELIAT C"/>
    <s v="DELIAT CHRISTOPHE"/>
    <n v="10"/>
    <x v="2"/>
    <x v="2"/>
    <s v="PLAQUETTES"/>
    <s v="302x26 RPI"/>
    <n v="71.2"/>
  </r>
  <r>
    <d v="2025-12-01T05:15:38"/>
    <x v="7"/>
    <s v="Plaquettes d'ébauches carrées"/>
    <s v="045C6ECAA77080"/>
    <s v="PERREIRA KEVIN"/>
    <n v="10"/>
    <x v="1"/>
    <x v="3"/>
    <s v="PLAQUETTES"/>
    <s v="304x28 RPE"/>
    <n v="71.2"/>
  </r>
  <r>
    <d v="2025-12-01T21:54:40"/>
    <x v="7"/>
    <s v="Plaquettes d'ébauches carrées"/>
    <s v="250425"/>
    <s v="CHANDAR ABDER"/>
    <n v="10"/>
    <x v="2"/>
    <x v="4"/>
    <s v="PLAQUETTES"/>
    <s v="302x26 RPI"/>
    <n v="71.2"/>
  </r>
  <r>
    <d v="2025-12-02T15:27:05"/>
    <x v="7"/>
    <s v="Plaquettes d'ébauches carrées"/>
    <s v="140325"/>
    <s v="BOUCLIER JONATHAN"/>
    <n v="10"/>
    <x v="2"/>
    <x v="3"/>
    <s v="PLAQUETTES"/>
    <s v="302x26 RPI"/>
    <n v="71.2"/>
  </r>
  <r>
    <d v="2025-12-02T20:00:03"/>
    <x v="7"/>
    <s v="Plaquettes d'ébauches carrées"/>
    <s v="u636817"/>
    <s v="MOCQUEREAU LYDIE"/>
    <n v="10"/>
    <x v="2"/>
    <x v="2"/>
    <s v="PLAQUETTES"/>
    <s v="302x26 RPI"/>
    <n v="71.2"/>
  </r>
  <r>
    <d v="2025-12-02T20:00:27"/>
    <x v="7"/>
    <s v="Plaquettes d'ébauches carrées"/>
    <s v="u636817"/>
    <s v="MOCQUEREAU LYDIE"/>
    <n v="10"/>
    <x v="2"/>
    <x v="4"/>
    <s v="PLAQUETTES"/>
    <s v="302x26 RPI"/>
    <n v="71.2"/>
  </r>
  <r>
    <d v="2025-12-02T21:58:37"/>
    <x v="7"/>
    <s v="Plaquettes d'ébauches carrées"/>
    <s v="250425"/>
    <s v="CHANDAR ABDER"/>
    <n v="10"/>
    <x v="2"/>
    <x v="4"/>
    <s v="PLAQUETTES"/>
    <s v="302x26 RPI"/>
    <n v="71.2"/>
  </r>
  <r>
    <d v="2025-12-03T06:59:00"/>
    <x v="7"/>
    <s v="Plaquettes d'ébauches carrées"/>
    <s v="04551FC25C7780"/>
    <s v="CHEDRU VIANNEY"/>
    <n v="10"/>
    <x v="3"/>
    <x v="3"/>
    <s v="PLAQUETTES"/>
    <s v="330x28 RPE KO"/>
    <n v="71.2"/>
  </r>
  <r>
    <d v="2025-12-03T12:24:10"/>
    <x v="7"/>
    <s v="Plaquettes d'ébauches carrées"/>
    <s v="210325"/>
    <s v="DAUTUN ALLAN"/>
    <n v="10"/>
    <x v="2"/>
    <x v="4"/>
    <s v="PLAQUETTES"/>
    <s v="302x26 RPI"/>
    <n v="71.2"/>
  </r>
  <r>
    <d v="2025-12-03T12:24:25"/>
    <x v="7"/>
    <s v="Plaquettes d'ébauches carrées"/>
    <s v="210325"/>
    <s v="DAUTUN ALLAN"/>
    <n v="10"/>
    <x v="2"/>
    <x v="4"/>
    <s v="PLAQUETTES"/>
    <s v="302x26 RPI"/>
    <n v="71.2"/>
  </r>
  <r>
    <d v="2025-12-04T05:04:59"/>
    <x v="7"/>
    <s v="Plaquettes d'ébauches carrées"/>
    <s v="045F69CAA77080"/>
    <s v="TEIXEIRA FLORIAN"/>
    <n v="10"/>
    <x v="2"/>
    <x v="3"/>
    <s v="PLAQUETTES"/>
    <s v="302x26 RPI"/>
    <n v="71.2"/>
  </r>
  <r>
    <d v="2025-12-04T06:39:48"/>
    <x v="7"/>
    <s v="Plaquettes d'ébauches carrées"/>
    <s v="04551FC25C7780"/>
    <s v="CHEDRU VIANNEY"/>
    <n v="10"/>
    <x v="3"/>
    <x v="3"/>
    <s v="PLAQUETTES"/>
    <s v="330x28 RPE KO"/>
    <n v="71.2"/>
  </r>
  <r>
    <d v="2025-12-05T05:30:20"/>
    <x v="7"/>
    <s v="Plaquettes d'ébauches carrées"/>
    <s v="J529792"/>
    <s v="LEBRE CHRISTOPHE"/>
    <n v="10"/>
    <x v="2"/>
    <x v="3"/>
    <s v="PLAQUETTES"/>
    <s v="302x26 RPI"/>
    <n v="71.2"/>
  </r>
  <r>
    <d v="2025-12-05T05:30:49"/>
    <x v="7"/>
    <s v="Plaquettes d'ébauches carrées"/>
    <s v="J529792"/>
    <s v="LEBRE CHRISTOPHE"/>
    <n v="10"/>
    <x v="2"/>
    <x v="3"/>
    <s v="PLAQUETTES"/>
    <s v="302x26 RPI"/>
    <n v="71.2"/>
  </r>
  <r>
    <d v="2025-12-06T05:12:07"/>
    <x v="7"/>
    <s v="Plaquettes d'ébauches carrées"/>
    <s v="U080365"/>
    <s v="ALAVOINE SAMUEL"/>
    <n v="10"/>
    <x v="0"/>
    <x v="3"/>
    <s v="PLAQUETTES"/>
    <s v="356x26 RPI"/>
    <n v="71.2"/>
  </r>
  <r>
    <d v="2025-12-06T05:50:59"/>
    <x v="7"/>
    <s v="Plaquettes d'ébauches carrées"/>
    <s v="DELIAT C"/>
    <s v="DELIAT CHRISTOPHE"/>
    <n v="10"/>
    <x v="1"/>
    <x v="3"/>
    <s v="PLAQUETTES"/>
    <s v="304x28 RPE"/>
    <n v="71.2"/>
  </r>
  <r>
    <d v="2025-12-06T05:56:18"/>
    <x v="7"/>
    <s v="Plaquettes d'ébauches carrées"/>
    <s v="DELIAT C"/>
    <s v="DELIAT CHRISTOPHE"/>
    <n v="10"/>
    <x v="2"/>
    <x v="2"/>
    <s v="PLAQUETTES"/>
    <s v="302x26 RPI"/>
    <n v="71.2"/>
  </r>
  <r>
    <d v="2025-12-08T05:00:04"/>
    <x v="7"/>
    <s v="Plaquettes d'ébauches carrées"/>
    <s v="140325"/>
    <s v="BOUCLIER JONATHAN"/>
    <n v="10"/>
    <x v="2"/>
    <x v="3"/>
    <s v="PLAQUETTES"/>
    <s v="302x26 RPI"/>
    <n v="71.2"/>
  </r>
  <r>
    <d v="2025-12-08T15:59:23"/>
    <x v="7"/>
    <s v="Plaquettes d'ébauches carrées"/>
    <s v="04551FC25C7780"/>
    <s v="CHEDRU VIANNEY"/>
    <n v="10"/>
    <x v="3"/>
    <x v="3"/>
    <s v="PLAQUETTES"/>
    <s v="330x28 RPE KO"/>
    <n v="71.2"/>
  </r>
  <r>
    <d v="2025-12-08T23:29:39"/>
    <x v="7"/>
    <s v="Plaquettes d'ébauches carrées"/>
    <s v="130325"/>
    <s v="PAPONNEAU JULIEN"/>
    <n v="10"/>
    <x v="1"/>
    <x v="3"/>
    <s v="PLAQUETTES"/>
    <s v="304x28 RPE"/>
    <n v="71.2"/>
  </r>
  <r>
    <d v="2025-12-09T05:21:55"/>
    <x v="7"/>
    <s v="Plaquettes d'ébauches carrées"/>
    <s v="u636817"/>
    <s v="MOCQUEREAU LYDIE"/>
    <n v="10"/>
    <x v="2"/>
    <x v="4"/>
    <s v="PLAQUETTES"/>
    <s v="302x26 RPI"/>
    <n v="71.2"/>
  </r>
  <r>
    <d v="2025-12-09T06:11:25"/>
    <x v="7"/>
    <s v="Plaquettes d'ébauches carrées"/>
    <s v="140325"/>
    <s v="BOUCLIER JONATHAN"/>
    <n v="10"/>
    <x v="2"/>
    <x v="3"/>
    <s v="PLAQUETTES"/>
    <s v="302x26 RPI"/>
    <n v="71.2"/>
  </r>
  <r>
    <d v="2025-12-09T14:35:21"/>
    <x v="7"/>
    <s v="Plaquettes d'ébauches carrées"/>
    <s v="04551FC25C7780"/>
    <s v="CHEDRU VIANNEY"/>
    <n v="10"/>
    <x v="0"/>
    <x v="3"/>
    <s v="PLAQUETTES"/>
    <s v="356x26 RPI"/>
    <n v="71.2"/>
  </r>
  <r>
    <d v="2025-12-10T01:10:35"/>
    <x v="7"/>
    <s v="Plaquettes d'ébauches carrées"/>
    <s v="250425"/>
    <s v="CHANDAR ABDER"/>
    <n v="10"/>
    <x v="2"/>
    <x v="4"/>
    <s v="PLAQUETTES"/>
    <s v="302x26 RPI"/>
    <n v="71.2"/>
  </r>
  <r>
    <d v="2025-12-10T05:12:04"/>
    <x v="7"/>
    <s v="Plaquettes d'ébauches carrées"/>
    <s v="140325"/>
    <s v="BOUCLIER JONATHAN"/>
    <n v="10"/>
    <x v="2"/>
    <x v="3"/>
    <s v="PLAQUETTES"/>
    <s v="302x26 RPI"/>
    <n v="71.2"/>
  </r>
  <r>
    <d v="2025-12-10T18:13:10"/>
    <x v="7"/>
    <s v="Plaquettes d'ébauches carrées"/>
    <s v="04551FC25C7780"/>
    <s v="CHEDRU VIANNEY"/>
    <n v="10"/>
    <x v="3"/>
    <x v="3"/>
    <s v="PLAQUETTES"/>
    <s v="330x14"/>
    <n v="71.2"/>
  </r>
  <r>
    <d v="2025-12-11T01:48:51"/>
    <x v="7"/>
    <s v="Plaquettes d'ébauches carrées"/>
    <s v="250425"/>
    <s v="CHANDAR ABDER"/>
    <n v="10"/>
    <x v="2"/>
    <x v="4"/>
    <s v="PLAQUETTES"/>
    <s v="302x26 RPI"/>
    <n v="71.2"/>
  </r>
  <r>
    <d v="2025-12-11T05:28:48"/>
    <x v="7"/>
    <s v="Plaquettes d'ébauches carrées"/>
    <s v="140325"/>
    <s v="BOUCLIER JONATHAN"/>
    <n v="10"/>
    <x v="2"/>
    <x v="3"/>
    <s v="PLAQUETTES"/>
    <s v="302x26 RPI"/>
    <n v="71.2"/>
  </r>
  <r>
    <d v="2025-12-11T19:44:30"/>
    <x v="7"/>
    <s v="Plaquettes d'ébauches carrées"/>
    <s v="045C6ECAA77080"/>
    <s v="PERREIRA KEVIN"/>
    <n v="10"/>
    <x v="1"/>
    <x v="3"/>
    <s v="PLAQUETTES"/>
    <s v="356x26 RPI"/>
    <n v="71.2"/>
  </r>
  <r>
    <d v="2025-12-12T16:54:10"/>
    <x v="7"/>
    <s v="Plaquettes d'ébauches carrées"/>
    <s v="04551FC25C7780"/>
    <s v="CHEDRU VIANNEY"/>
    <n v="10"/>
    <x v="0"/>
    <x v="3"/>
    <s v="PLAQUETTES"/>
    <s v="356x26 RPI"/>
    <n v="71.2"/>
  </r>
  <r>
    <d v="2025-12-12T16:59:31"/>
    <x v="7"/>
    <s v="Plaquettes d'ébauches carrées"/>
    <s v="04551FC25C7780"/>
    <s v="CHEDRU VIANNEY"/>
    <n v="10"/>
    <x v="3"/>
    <x v="3"/>
    <s v="PLAQUETTES"/>
    <s v="330x28 RPE KO"/>
    <n v="71.2"/>
  </r>
  <r>
    <d v="2025-12-13T00:36:29"/>
    <x v="7"/>
    <s v="Plaquettes d'ébauches carrées"/>
    <s v="250425"/>
    <s v="CHANDAR ABDER"/>
    <n v="10"/>
    <x v="2"/>
    <x v="4"/>
    <s v="PLAQUETTES"/>
    <s v="302x26 RPI"/>
    <n v="71.2"/>
  </r>
  <r>
    <d v="2025-12-13T19:34:47"/>
    <x v="7"/>
    <s v="Plaquettes d'ébauches carrées"/>
    <s v="U080365"/>
    <s v="ALAVOINE SAMUEL"/>
    <n v="10"/>
    <x v="3"/>
    <x v="2"/>
    <s v="PLAQUETTES"/>
    <s v="330x28 RPE KO"/>
    <n v="71.2"/>
  </r>
  <r>
    <d v="2025-12-13T19:35:01"/>
    <x v="7"/>
    <s v="Plaquettes d'ébauches carrées"/>
    <s v="U080365"/>
    <s v="ALAVOINE SAMUEL"/>
    <n v="10"/>
    <x v="0"/>
    <x v="3"/>
    <s v="PLAQUETTES"/>
    <s v="356x26 RPI"/>
    <n v="71.2"/>
  </r>
  <r>
    <d v="2025-12-14T17:06:13"/>
    <x v="7"/>
    <s v="Plaquettes d'ébauches carrées"/>
    <s v="DELIAT C"/>
    <s v="DELIAT CHRISTOPHE"/>
    <n v="10"/>
    <x v="2"/>
    <x v="3"/>
    <s v="PLAQUETTES"/>
    <s v="302x26 RPI"/>
    <n v="71.2"/>
  </r>
  <r>
    <d v="2025-12-15T12:18:37"/>
    <x v="7"/>
    <s v="Plaquettes d'ébauches carrées"/>
    <s v="210325"/>
    <s v="DAUTUN ALLAN"/>
    <n v="10"/>
    <x v="2"/>
    <x v="2"/>
    <s v="PLAQUETTES"/>
    <s v="302x26 RPI"/>
    <n v="71.2"/>
  </r>
  <r>
    <d v="2025-12-15T12:19:08"/>
    <x v="7"/>
    <s v="Plaquettes d'ébauches carrées"/>
    <s v="210325"/>
    <s v="DAUTUN ALLAN"/>
    <n v="10"/>
    <x v="2"/>
    <x v="4"/>
    <s v="PLAQUETTES"/>
    <s v="302x26 RPI"/>
    <n v="71.2"/>
  </r>
  <r>
    <d v="2025-12-16T12:58:56"/>
    <x v="7"/>
    <s v="Plaquettes d'ébauches carrées"/>
    <s v="140325"/>
    <s v="BOUCLIER JONATHAN"/>
    <n v="10"/>
    <x v="2"/>
    <x v="2"/>
    <s v="PLAQUETTES"/>
    <s v="302x26 RPI"/>
    <n v="71.2"/>
  </r>
  <r>
    <d v="2025-12-16T12:59:16"/>
    <x v="7"/>
    <s v="Plaquettes d'ébauches carrées"/>
    <s v="140325"/>
    <s v="BOUCLIER JONATHAN"/>
    <n v="10"/>
    <x v="2"/>
    <x v="2"/>
    <s v="PLAQUETTES"/>
    <s v="302x26 RPI"/>
    <n v="71.2"/>
  </r>
  <r>
    <d v="2025-12-16T13:11:46"/>
    <x v="7"/>
    <s v="Plaquettes d'ébauches carrées"/>
    <s v="u636817"/>
    <s v="MOCQUEREAU LYDIE"/>
    <n v="10"/>
    <x v="2"/>
    <x v="3"/>
    <s v="PLAQUETTES"/>
    <s v="302x26 RPI"/>
    <n v="71.2"/>
  </r>
  <r>
    <d v="2025-12-16T13:12:32"/>
    <x v="7"/>
    <s v="Plaquettes d'ébauches carrées"/>
    <s v="u636817"/>
    <s v="MOCQUEREAU LYDIE"/>
    <n v="10"/>
    <x v="2"/>
    <x v="3"/>
    <s v="PLAQUETTES"/>
    <s v="302x26 RPI"/>
    <n v="71.2"/>
  </r>
  <r>
    <d v="2025-12-16T23:50:38"/>
    <x v="7"/>
    <s v="Plaquettes d'ébauches carrées"/>
    <s v="250425"/>
    <s v="CHANDAR ABDER"/>
    <n v="10"/>
    <x v="2"/>
    <x v="4"/>
    <s v="PLAQUETTES"/>
    <s v="302x26 RPI"/>
    <n v="71.2"/>
  </r>
  <r>
    <d v="2025-12-18T08:39:03"/>
    <x v="7"/>
    <s v="Plaquettes d'ébauches carrées"/>
    <s v="045F69CAA77080"/>
    <s v="TEIXEIRA FLORIAN"/>
    <n v="10"/>
    <x v="2"/>
    <x v="3"/>
    <s v="PLAQUETTES"/>
    <s v="302x26 RPI"/>
    <n v="71.2"/>
  </r>
  <r>
    <d v="2025-12-18T11:17:52"/>
    <x v="7"/>
    <s v="Plaquettes d'ébauches carrées"/>
    <s v="210325"/>
    <s v="DAUTUN ALLAN"/>
    <n v="10"/>
    <x v="2"/>
    <x v="4"/>
    <s v="PLAQUETTES"/>
    <s v="302x26 RPI"/>
    <n v="71.2"/>
  </r>
  <r>
    <d v="2025-12-18T19:41:55"/>
    <x v="7"/>
    <s v="Plaquettes d'ébauches carrées"/>
    <s v="SE08251"/>
    <s v="FAYET AYMERIC"/>
    <n v="10"/>
    <x v="1"/>
    <x v="3"/>
    <s v="PLAQUETTES"/>
    <s v="356x26 RPI"/>
    <n v="71.2"/>
  </r>
  <r>
    <d v="2025-12-19T13:43:41"/>
    <x v="7"/>
    <s v="Plaquettes d'ébauches carrées"/>
    <s v="040725"/>
    <s v="BARGEOT LUCAS"/>
    <n v="10"/>
    <x v="3"/>
    <x v="2"/>
    <s v="PLAQUETTES"/>
    <s v="330x28 RPE KO"/>
    <n v="71.2"/>
  </r>
  <r>
    <d v="2025-12-20T00:32:09"/>
    <x v="7"/>
    <s v="Plaquettes d'ébauches carrées"/>
    <s v="250425"/>
    <s v="CHANDAR ABDER"/>
    <n v="10"/>
    <x v="2"/>
    <x v="4"/>
    <s v="PLAQUETTES"/>
    <s v="302x26 RPI"/>
    <n v="71.2"/>
  </r>
  <r>
    <d v="2025-12-22T05:37:44"/>
    <x v="7"/>
    <s v="Plaquettes d'ébauches carrées"/>
    <s v="SE08251"/>
    <s v="FAYET AYMERIC"/>
    <n v="10"/>
    <x v="1"/>
    <x v="3"/>
    <s v="PLAQUETTES"/>
    <s v="356x26 RPI"/>
    <n v="71.2"/>
  </r>
  <r>
    <d v="2025-12-22T21:35:44"/>
    <x v="7"/>
    <s v="Plaquettes d'ébauches carrées"/>
    <s v="250425"/>
    <s v="CHANDAR ABDER"/>
    <n v="10"/>
    <x v="2"/>
    <x v="4"/>
    <s v="PLAQUETTES"/>
    <s v="302x26 RPI"/>
    <n v="71.2"/>
  </r>
  <r>
    <d v="2025-01-02T14:36:00"/>
    <x v="8"/>
    <s v="Plaquettes d'ébauches rhombiques"/>
    <s v="101224"/>
    <s v="CHAZEAU KYLIAN"/>
    <n v="20"/>
    <x v="3"/>
    <x v="2"/>
    <s v="PLAQUETTES"/>
    <s v="290x12"/>
    <n v="140"/>
  </r>
  <r>
    <d v="2025-01-02T16:05:39"/>
    <x v="8"/>
    <s v="Plaquettes d'ébauches rhombiques"/>
    <s v="101123"/>
    <s v="BRUNET ANDREA"/>
    <n v="10"/>
    <x v="2"/>
    <x v="4"/>
    <s v="PLAQUETTES"/>
    <s v="302x26 RPI"/>
    <n v="70"/>
  </r>
  <r>
    <d v="2025-01-02T16:42:32"/>
    <x v="8"/>
    <s v="Plaquettes d'ébauches rhombiques"/>
    <s v="130124"/>
    <s v="MOHAMED ILDIRAY"/>
    <n v="10"/>
    <x v="1"/>
    <x v="2"/>
    <s v="PLAQUETTES"/>
    <s v="356x26 RPI"/>
    <n v="70"/>
  </r>
  <r>
    <d v="2025-01-02T16:42:56"/>
    <x v="8"/>
    <s v="Plaquettes d'ébauches rhombiques"/>
    <s v="130124"/>
    <s v="MOHAMED ILDIRAY"/>
    <n v="10"/>
    <x v="1"/>
    <x v="2"/>
    <s v="PLAQUETTES"/>
    <s v="356x26 RPI"/>
    <n v="70"/>
  </r>
  <r>
    <d v="2025-01-03T17:11:14"/>
    <x v="8"/>
    <s v="Plaquettes d'ébauches rhombiques"/>
    <s v="101224"/>
    <s v="CHAZEAU KYLIAN"/>
    <n v="10"/>
    <x v="3"/>
    <x v="2"/>
    <s v="PLAQUETTES"/>
    <s v="290x12"/>
    <n v="70"/>
  </r>
  <r>
    <d v="2025-01-04T06:50:32"/>
    <x v="8"/>
    <s v="Plaquettes d'ébauches rhombiques"/>
    <s v="U080365"/>
    <s v="ALAVOINE SAMUEL"/>
    <n v="20"/>
    <x v="2"/>
    <x v="2"/>
    <s v="PLAQUETTES"/>
    <s v="283x26 RPI"/>
    <n v="140"/>
  </r>
  <r>
    <d v="2025-01-05T19:56:12"/>
    <x v="8"/>
    <s v="Plaquettes d'ébauches rhombiques"/>
    <s v="U080365"/>
    <s v="ALAVOINE SAMUEL"/>
    <n v="20"/>
    <x v="3"/>
    <x v="2"/>
    <s v="PLAQUETTES"/>
    <s v="290x12"/>
    <n v="140"/>
  </r>
  <r>
    <d v="2025-01-05T19:56:34"/>
    <x v="8"/>
    <s v="Plaquettes d'ébauches rhombiques"/>
    <s v="U080365"/>
    <s v="ALAVOINE SAMUEL"/>
    <n v="20"/>
    <x v="0"/>
    <x v="2"/>
    <s v="PLAQUETTES"/>
    <s v="290x12"/>
    <n v="140"/>
  </r>
  <r>
    <d v="2025-01-06T19:56:01"/>
    <x v="8"/>
    <s v="Plaquettes d'ébauches rhombiques"/>
    <s v="SE08251"/>
    <s v="FAYET AYMERIC"/>
    <n v="20"/>
    <x v="0"/>
    <x v="2"/>
    <s v="PLAQUETTES"/>
    <s v="290x12"/>
    <n v="140"/>
  </r>
  <r>
    <d v="2025-01-07T03:41:02"/>
    <x v="8"/>
    <s v="Plaquettes d'ébauches rhombiques"/>
    <s v="u636817"/>
    <s v="MOCQUEREAU LYDIE"/>
    <n v="10"/>
    <x v="2"/>
    <x v="2"/>
    <s v="PLAQUETTES"/>
    <s v="302x26 RPI"/>
    <n v="70"/>
  </r>
  <r>
    <d v="2025-01-07T14:06:17"/>
    <x v="8"/>
    <s v="Plaquettes d'ébauches rhombiques"/>
    <s v="SE08251"/>
    <s v="FAYET AYMERIC"/>
    <n v="10"/>
    <x v="0"/>
    <x v="2"/>
    <s v="PLAQUETTES"/>
    <s v="290x12"/>
    <n v="70"/>
  </r>
  <r>
    <d v="2025-01-08T06:30:16"/>
    <x v="8"/>
    <s v="Plaquettes d'ébauches rhombiques"/>
    <s v="101224"/>
    <s v="CHAZEAU KYLIAN"/>
    <n v="20"/>
    <x v="0"/>
    <x v="2"/>
    <s v="PLAQUETTES"/>
    <s v="290x12"/>
    <n v="140"/>
  </r>
  <r>
    <d v="2025-01-08T14:59:54"/>
    <x v="8"/>
    <s v="Plaquettes d'ébauches rhombiques"/>
    <s v="SE08251"/>
    <s v="FAYET AYMERIC"/>
    <n v="10"/>
    <x v="0"/>
    <x v="3"/>
    <s v="PLAQUETTES"/>
    <s v="290x12"/>
    <n v="70"/>
  </r>
  <r>
    <d v="2025-01-09T07:32:54"/>
    <x v="8"/>
    <s v="Plaquettes d'ébauches rhombiques"/>
    <s v="101224"/>
    <s v="CHAZEAU KYLIAN"/>
    <n v="20"/>
    <x v="0"/>
    <x v="2"/>
    <s v="PLAQUETTES"/>
    <s v="330x14"/>
    <n v="140"/>
  </r>
  <r>
    <d v="2025-01-09T13:35:15"/>
    <x v="8"/>
    <s v="Plaquettes d'ébauches rhombiques"/>
    <s v="SE08251"/>
    <s v="FAYET AYMERIC"/>
    <n v="10"/>
    <x v="0"/>
    <x v="2"/>
    <s v="PLAQUETTES"/>
    <s v="290x12"/>
    <n v="70"/>
  </r>
  <r>
    <d v="2025-01-09T21:16:33"/>
    <x v="8"/>
    <s v="Plaquettes d'ébauches rhombiques"/>
    <s v="SD75051"/>
    <s v="COMBALUZIER LUCAS"/>
    <n v="10"/>
    <x v="1"/>
    <x v="2"/>
    <s v="PLAQUETTES"/>
    <s v="356x26 RPI"/>
    <n v="70"/>
  </r>
  <r>
    <d v="2025-01-10T05:34:09"/>
    <x v="8"/>
    <s v="Plaquettes d'ébauches rhombiques"/>
    <s v="U109136"/>
    <s v="WIPLIE FREDERIC"/>
    <n v="20"/>
    <x v="0"/>
    <x v="3"/>
    <s v="PLAQUETTES"/>
    <s v="290x12"/>
    <n v="140"/>
  </r>
  <r>
    <d v="2025-01-10T07:09:45"/>
    <x v="8"/>
    <s v="Plaquettes d'ébauches rhombiques"/>
    <s v="U080365"/>
    <s v="ALAVOINE SAMUEL"/>
    <n v="30"/>
    <x v="1"/>
    <x v="2"/>
    <s v="PLAQUETTES"/>
    <s v="356x26 RPI"/>
    <n v="210"/>
  </r>
  <r>
    <d v="2025-01-10T14:00:09"/>
    <x v="8"/>
    <s v="Plaquettes d'ébauches rhombiques"/>
    <s v="SE08251"/>
    <s v="FAYET AYMERIC"/>
    <n v="10"/>
    <x v="0"/>
    <x v="3"/>
    <s v="PLAQUETTES"/>
    <s v="330x14"/>
    <n v="70"/>
  </r>
  <r>
    <d v="2025-01-11T04:40:16"/>
    <x v="8"/>
    <s v="Plaquettes d'ébauches rhombiques"/>
    <s v="u636817"/>
    <s v="MOCQUEREAU LYDIE"/>
    <n v="10"/>
    <x v="2"/>
    <x v="2"/>
    <s v="PLAQUETTES"/>
    <s v="302x26 RPI"/>
    <n v="70"/>
  </r>
  <r>
    <d v="2025-01-11T10:19:06"/>
    <x v="8"/>
    <s v="Plaquettes d'ébauches rhombiques"/>
    <s v="U109136"/>
    <s v="WIPLIE FREDERIC"/>
    <n v="20"/>
    <x v="3"/>
    <x v="3"/>
    <s v="PLAQUETTES"/>
    <s v="290x12"/>
    <n v="140"/>
  </r>
  <r>
    <d v="2025-01-12T23:16:42"/>
    <x v="8"/>
    <s v="Plaquettes d'ébauches rhombiques"/>
    <s v="U109136"/>
    <s v="WIPLIE FREDERIC"/>
    <n v="10"/>
    <x v="0"/>
    <x v="3"/>
    <s v="PLAQUETTES"/>
    <s v="290x12"/>
    <n v="70"/>
  </r>
  <r>
    <d v="2025-01-13T15:54:54"/>
    <x v="8"/>
    <s v="Plaquettes d'ébauches rhombiques"/>
    <s v="SD75051"/>
    <s v="COMBALUZIER LUCAS"/>
    <n v="10"/>
    <x v="1"/>
    <x v="2"/>
    <s v="PLAQUETTES"/>
    <s v="304x28 RPE"/>
    <n v="70"/>
  </r>
  <r>
    <d v="2025-01-13T22:34:11"/>
    <x v="8"/>
    <s v="Plaquettes d'ébauches rhombiques"/>
    <s v="130124"/>
    <s v="MOHAMED ILDIRAY"/>
    <n v="10"/>
    <x v="1"/>
    <x v="2"/>
    <s v="PLAQUETTES"/>
    <s v="304x28 RPE"/>
    <n v="70"/>
  </r>
  <r>
    <d v="2025-01-14T04:04:13"/>
    <x v="8"/>
    <s v="Plaquettes d'ébauches rhombiques"/>
    <s v="101224"/>
    <s v="CHAZEAU KYLIAN"/>
    <n v="20"/>
    <x v="0"/>
    <x v="2"/>
    <s v="PLAQUETTES"/>
    <s v="290x12"/>
    <n v="140"/>
  </r>
  <r>
    <d v="2025-01-14T20:21:57"/>
    <x v="8"/>
    <s v="Plaquettes d'ébauches rhombiques"/>
    <s v="u636817"/>
    <s v="MOCQUEREAU LYDIE"/>
    <n v="20"/>
    <x v="2"/>
    <x v="1"/>
    <s v="PLAQUETTES"/>
    <s v="302x26 RPI"/>
    <n v="140"/>
  </r>
  <r>
    <d v="2025-01-14T21:09:34"/>
    <x v="8"/>
    <s v="Plaquettes d'ébauches rhombiques"/>
    <s v="130124"/>
    <s v="MOHAMED ILDIRAY"/>
    <n v="10"/>
    <x v="1"/>
    <x v="2"/>
    <s v="PLAQUETTES"/>
    <s v="304x28 RPE"/>
    <n v="70"/>
  </r>
  <r>
    <d v="2025-01-15T11:00:28"/>
    <x v="8"/>
    <s v="Plaquettes d'ébauches rhombiques"/>
    <s v="SE08251"/>
    <s v="FAYET AYMERIC"/>
    <n v="10"/>
    <x v="0"/>
    <x v="2"/>
    <s v="PLAQUETTES"/>
    <s v="290x12"/>
    <n v="70"/>
  </r>
  <r>
    <d v="2025-01-15T21:15:56"/>
    <x v="8"/>
    <s v="Plaquettes d'ébauches rhombiques"/>
    <s v="101123"/>
    <s v="BRUNET ANDREA"/>
    <n v="20"/>
    <x v="2"/>
    <x v="4"/>
    <s v="PLAQUETTES"/>
    <s v="302x26 RPI"/>
    <n v="140"/>
  </r>
  <r>
    <d v="2025-01-16T06:59:55"/>
    <x v="8"/>
    <s v="Plaquettes d'ébauches rhombiques"/>
    <s v="SE08251"/>
    <s v="FAYET AYMERIC"/>
    <n v="20"/>
    <x v="0"/>
    <x v="2"/>
    <s v="PLAQUETTES"/>
    <s v="290x12"/>
    <n v="140"/>
  </r>
  <r>
    <d v="2025-01-16T13:59:26"/>
    <x v="8"/>
    <s v="Plaquettes d'ébauches rhombiques"/>
    <s v="SC95213"/>
    <s v="RABET PAULINE"/>
    <n v="10"/>
    <x v="1"/>
    <x v="2"/>
    <s v="PLAQUETTES"/>
    <s v="304x28 RPE"/>
    <n v="70"/>
  </r>
  <r>
    <d v="2025-01-16T13:59:57"/>
    <x v="8"/>
    <s v="Plaquettes d'ébauches rhombiques"/>
    <s v="SC95213"/>
    <s v="RABET PAULINE"/>
    <n v="10"/>
    <x v="1"/>
    <x v="3"/>
    <s v="PLAQUETTES"/>
    <s v="304x28 RPE"/>
    <n v="70"/>
  </r>
  <r>
    <d v="2025-01-16T21:04:26"/>
    <x v="8"/>
    <s v="Plaquettes d'ébauches rhombiques"/>
    <s v="130124"/>
    <s v="MOHAMED ILDIRAY"/>
    <n v="10"/>
    <x v="1"/>
    <x v="3"/>
    <s v="PLAQUETTES"/>
    <s v="304x28 RPE"/>
    <n v="70"/>
  </r>
  <r>
    <d v="2025-01-16T23:24:28"/>
    <x v="8"/>
    <s v="Plaquettes d'ébauches rhombiques"/>
    <s v="101224"/>
    <s v="CHAZEAU KYLIAN"/>
    <n v="20"/>
    <x v="3"/>
    <x v="2"/>
    <s v="PLAQUETTES"/>
    <s v="290x12"/>
    <n v="140"/>
  </r>
  <r>
    <d v="2025-01-17T13:18:34"/>
    <x v="8"/>
    <s v="Plaquettes d'ébauches rhombiques"/>
    <s v="SD75051"/>
    <s v="COMBALUZIER LUCAS"/>
    <n v="10"/>
    <x v="0"/>
    <x v="2"/>
    <s v="PLAQUETTES"/>
    <s v="290x12"/>
    <n v="70"/>
  </r>
  <r>
    <d v="2025-01-18T11:25:01"/>
    <x v="8"/>
    <s v="Plaquettes d'ébauches rhombiques"/>
    <s v="U080365"/>
    <s v="ALAVOINE SAMUEL"/>
    <n v="10"/>
    <x v="0"/>
    <x v="2"/>
    <s v="PLAQUETTES"/>
    <s v="290x12"/>
    <n v="70"/>
  </r>
  <r>
    <d v="2025-01-18T11:25:37"/>
    <x v="8"/>
    <s v="Plaquettes d'ébauches rhombiques"/>
    <s v="U080365"/>
    <s v="ALAVOINE SAMUEL"/>
    <n v="10"/>
    <x v="3"/>
    <x v="2"/>
    <s v="PLAQUETTES"/>
    <s v="290x12"/>
    <n v="70"/>
  </r>
  <r>
    <d v="2025-01-19T17:09:15"/>
    <x v="8"/>
    <s v="Plaquettes d'ébauches rhombiques"/>
    <s v="U109136"/>
    <s v="WIPLIE FREDERIC"/>
    <n v="10"/>
    <x v="1"/>
    <x v="3"/>
    <s v="PLAQUETTES"/>
    <s v="304x28 RPE"/>
    <n v="70"/>
  </r>
  <r>
    <d v="2025-01-20T05:12:58"/>
    <x v="8"/>
    <s v="Plaquettes d'ébauches rhombiques"/>
    <s v="SD75051"/>
    <s v="COMBALUZIER LUCAS"/>
    <n v="10"/>
    <x v="1"/>
    <x v="3"/>
    <s v="PLAQUETTES"/>
    <s v="304x28 RPE"/>
    <n v="70"/>
  </r>
  <r>
    <d v="2025-01-20T15:08:51"/>
    <x v="8"/>
    <s v="Plaquettes d'ébauches rhombiques"/>
    <s v="101224"/>
    <s v="CHAZEAU KYLIAN"/>
    <n v="20"/>
    <x v="0"/>
    <x v="2"/>
    <s v="PLAQUETTES"/>
    <s v="290x12"/>
    <n v="140"/>
  </r>
  <r>
    <d v="2025-01-21T05:12:06"/>
    <x v="8"/>
    <s v="Plaquettes d'ébauches rhombiques"/>
    <s v="SD75051"/>
    <s v="COMBALUZIER LUCAS"/>
    <n v="10"/>
    <x v="1"/>
    <x v="2"/>
    <s v="PLAQUETTES"/>
    <s v="304x28 RPE"/>
    <n v="70"/>
  </r>
  <r>
    <d v="2025-01-21T21:53:19"/>
    <x v="8"/>
    <s v="Plaquettes d'ébauches rhombiques"/>
    <s v="SE08251"/>
    <s v="FAYET AYMERIC"/>
    <n v="10"/>
    <x v="0"/>
    <x v="2"/>
    <s v="PLAQUETTES"/>
    <s v="290x12"/>
    <n v="70"/>
  </r>
  <r>
    <d v="2025-01-22T05:29:17"/>
    <x v="8"/>
    <s v="Plaquettes d'ébauches rhombiques"/>
    <s v="SD75051"/>
    <s v="COMBALUZIER LUCAS"/>
    <n v="20"/>
    <x v="1"/>
    <x v="2"/>
    <s v="PLAQUETTES"/>
    <s v="304x28 RPE"/>
    <n v="140"/>
  </r>
  <r>
    <d v="2025-01-22T13:07:57"/>
    <x v="8"/>
    <s v="Plaquettes d'ébauches rhombiques"/>
    <s v="101224"/>
    <s v="CHAZEAU KYLIAN"/>
    <n v="10"/>
    <x v="0"/>
    <x v="2"/>
    <s v="PLAQUETTES"/>
    <s v="290x12"/>
    <n v="70"/>
  </r>
  <r>
    <d v="2025-01-23T05:10:49"/>
    <x v="8"/>
    <s v="Plaquettes d'ébauches rhombiques"/>
    <s v="SD75051"/>
    <s v="COMBALUZIER LUCAS"/>
    <n v="10"/>
    <x v="1"/>
    <x v="2"/>
    <s v="PLAQUETTES"/>
    <s v="304x28 RPE"/>
    <n v="70"/>
  </r>
  <r>
    <d v="2025-01-23T16:11:50"/>
    <x v="8"/>
    <s v="Plaquettes d'ébauches rhombiques"/>
    <s v="101224"/>
    <s v="CHAZEAU KYLIAN"/>
    <n v="20"/>
    <x v="0"/>
    <x v="2"/>
    <s v="PLAQUETTES"/>
    <s v="290x12"/>
    <n v="140"/>
  </r>
  <r>
    <d v="2025-01-23T16:21:53"/>
    <x v="8"/>
    <s v="Plaquettes d'ébauches rhombiques"/>
    <s v="101123"/>
    <s v="BRUNET ANDREA"/>
    <n v="10"/>
    <x v="2"/>
    <x v="4"/>
    <s v="PLAQUETTES"/>
    <s v="302x26 RPI"/>
    <n v="70"/>
  </r>
  <r>
    <d v="2025-01-24T17:18:49"/>
    <x v="8"/>
    <s v="Plaquettes d'ébauches rhombiques"/>
    <s v="101224"/>
    <s v="CHAZEAU KYLIAN"/>
    <n v="20"/>
    <x v="3"/>
    <x v="2"/>
    <s v="PLAQUETTES"/>
    <s v="290x12"/>
    <n v="140"/>
  </r>
  <r>
    <d v="2025-01-25T05:38:45"/>
    <x v="8"/>
    <s v="Plaquettes d'ébauches rhombiques"/>
    <s v="U080365"/>
    <s v="ALAVOINE SAMUEL"/>
    <n v="20"/>
    <x v="3"/>
    <x v="2"/>
    <s v="PLAQUETTES"/>
    <s v="290x12"/>
    <n v="140"/>
  </r>
  <r>
    <d v="2025-01-27T05:19:21"/>
    <x v="8"/>
    <s v="Plaquettes d'ébauches rhombiques"/>
    <s v="130124"/>
    <s v="MOHAMED ILDIRAY"/>
    <n v="10"/>
    <x v="1"/>
    <x v="2"/>
    <s v="PLAQUETTES"/>
    <s v="356x26 RPI"/>
    <n v="70"/>
  </r>
  <r>
    <d v="2025-01-28T00:37:40"/>
    <x v="8"/>
    <s v="Plaquettes d'ébauches rhombiques"/>
    <s v="u636817"/>
    <s v="MOCQUEREAU LYDIE"/>
    <n v="20"/>
    <x v="2"/>
    <x v="2"/>
    <s v="PLAQUETTES"/>
    <s v="302x26 RPI"/>
    <n v="140"/>
  </r>
  <r>
    <d v="2025-01-28T00:39:26"/>
    <x v="8"/>
    <s v="Plaquettes d'ébauches rhombiques"/>
    <s v="u636817"/>
    <s v="MOCQUEREAU LYDIE"/>
    <n v="10"/>
    <x v="2"/>
    <x v="1"/>
    <s v="PLAQUETTES"/>
    <s v="302x26 RPI"/>
    <n v="70"/>
  </r>
  <r>
    <d v="2025-01-28T05:09:59"/>
    <x v="8"/>
    <s v="Plaquettes d'ébauches rhombiques"/>
    <s v="101224"/>
    <s v="CHAZEAU KYLIAN"/>
    <n v="20"/>
    <x v="3"/>
    <x v="2"/>
    <s v="PLAQUETTES"/>
    <s v="290x12"/>
    <n v="140"/>
  </r>
  <r>
    <d v="2025-01-28T19:46:04"/>
    <x v="8"/>
    <s v="Plaquettes d'ébauches rhombiques"/>
    <s v="SE08251"/>
    <s v="FAYET AYMERIC"/>
    <n v="10"/>
    <x v="0"/>
    <x v="2"/>
    <s v="PLAQUETTES"/>
    <s v="290x12"/>
    <n v="70"/>
  </r>
  <r>
    <d v="2025-01-29T05:16:25"/>
    <x v="8"/>
    <s v="Plaquettes d'ébauches rhombiques"/>
    <s v="101123"/>
    <s v="BRUNET ANDREA"/>
    <n v="10"/>
    <x v="2"/>
    <x v="4"/>
    <s v="PLAQUETTES"/>
    <s v="302x26 RPI"/>
    <n v="70"/>
  </r>
  <r>
    <d v="2025-01-29T06:37:39"/>
    <x v="8"/>
    <s v="Plaquettes d'ébauches rhombiques"/>
    <s v="130124"/>
    <s v="MOHAMED ILDIRAY"/>
    <n v="10"/>
    <x v="1"/>
    <x v="2"/>
    <s v="PLAQUETTES"/>
    <s v="356x26 RPI"/>
    <n v="70"/>
  </r>
  <r>
    <d v="2025-01-29T17:15:46"/>
    <x v="8"/>
    <s v="Plaquettes d'ébauches rhombiques"/>
    <s v="SE08251"/>
    <s v="FAYET AYMERIC"/>
    <n v="20"/>
    <x v="3"/>
    <x v="3"/>
    <s v="PLAQUETTES"/>
    <s v="290x12"/>
    <n v="140"/>
  </r>
  <r>
    <d v="2025-01-31T13:51:40"/>
    <x v="8"/>
    <s v="Plaquettes d'ébauches rhombiques"/>
    <s v="3224"/>
    <s v="BIDOT MURIEL"/>
    <n v="20"/>
    <x v="1"/>
    <x v="2"/>
    <s v="PLAQUETTES"/>
    <s v="356x26 RPI"/>
    <n v="140"/>
  </r>
  <r>
    <d v="2025-01-31T13:52:18"/>
    <x v="8"/>
    <s v="Plaquettes d'ébauches rhombiques"/>
    <s v="3224"/>
    <s v="BIDOT MURIEL"/>
    <n v="-20"/>
    <x v="1"/>
    <x v="2"/>
    <s v="PLAQUETTES"/>
    <s v="356x26 RPI"/>
    <n v="-140"/>
  </r>
  <r>
    <d v="2025-01-31T20:15:43"/>
    <x v="8"/>
    <s v="Plaquettes d'ébauches rhombiques"/>
    <s v="SE08251"/>
    <s v="FAYET AYMERIC"/>
    <n v="20"/>
    <x v="0"/>
    <x v="3"/>
    <s v="PLAQUETTES"/>
    <s v="290x12"/>
    <n v="140"/>
  </r>
  <r>
    <d v="2025-02-01T03:45:24"/>
    <x v="8"/>
    <s v="Plaquettes d'ébauches rhombiques"/>
    <s v="u636817"/>
    <s v="MOCQUEREAU LYDIE"/>
    <n v="20"/>
    <x v="2"/>
    <x v="4"/>
    <s v="PLAQUETTES"/>
    <s v="302x26 RPI"/>
    <n v="140"/>
  </r>
  <r>
    <d v="2025-02-03T05:15:17"/>
    <x v="8"/>
    <s v="Plaquettes d'ébauches rhombiques"/>
    <s v="3224"/>
    <s v="BIDOT MURIEL"/>
    <n v="20"/>
    <x v="1"/>
    <x v="2"/>
    <s v="PLAQUETTES"/>
    <s v="356x26 RPI"/>
    <n v="140"/>
  </r>
  <r>
    <d v="2025-02-03T05:49:15"/>
    <x v="8"/>
    <s v="Plaquettes d'ébauches rhombiques"/>
    <s v="3224"/>
    <s v="BIDOT MURIEL"/>
    <n v="20"/>
    <x v="0"/>
    <x v="2"/>
    <s v="PLAQUETTES"/>
    <s v="290x12"/>
    <n v="140"/>
  </r>
  <r>
    <d v="2025-02-03T23:03:40"/>
    <x v="8"/>
    <s v="Plaquettes d'ébauches rhombiques"/>
    <s v="130124"/>
    <s v="MOHAMED ILDIRAY"/>
    <n v="20"/>
    <x v="0"/>
    <x v="2"/>
    <s v="PLAQUETTES"/>
    <s v="330x14"/>
    <n v="140"/>
  </r>
  <r>
    <d v="2025-02-04T00:31:03"/>
    <x v="8"/>
    <s v="Plaquettes d'ébauches rhombiques"/>
    <s v="U037238"/>
    <s v="PRIEUR OLIVIER"/>
    <n v="10"/>
    <x v="2"/>
    <x v="1"/>
    <s v="PLAQUETTES"/>
    <s v="302x26 RPI"/>
    <n v="70"/>
  </r>
  <r>
    <d v="2025-02-04T05:19:13"/>
    <x v="8"/>
    <s v="Plaquettes d'ébauches rhombiques"/>
    <s v="U532976"/>
    <s v="LEFORT XAVIER"/>
    <n v="10"/>
    <x v="2"/>
    <x v="1"/>
    <s v="PLAQUETTES"/>
    <s v="302x26 RPI"/>
    <n v="70"/>
  </r>
  <r>
    <d v="2025-02-04T20:16:35"/>
    <x v="8"/>
    <s v="Plaquettes d'ébauches rhombiques"/>
    <s v="SC95213"/>
    <s v="RABET PAULINE"/>
    <n v="20"/>
    <x v="1"/>
    <x v="2"/>
    <s v="PLAQUETTES"/>
    <s v="356x26 RPI"/>
    <n v="140"/>
  </r>
  <r>
    <d v="2025-02-05T07:52:52"/>
    <x v="8"/>
    <s v="Plaquettes d'ébauches rhombiques"/>
    <s v="SE08251"/>
    <s v="FAYET AYMERIC"/>
    <n v="10"/>
    <x v="0"/>
    <x v="3"/>
    <s v="PLAQUETTES"/>
    <s v="330x14"/>
    <n v="70"/>
  </r>
  <r>
    <d v="2025-02-05T21:25:33"/>
    <x v="8"/>
    <s v="Plaquettes d'ébauches rhombiques"/>
    <s v="101224"/>
    <s v="CHAZEAU KYLIAN"/>
    <n v="20"/>
    <x v="0"/>
    <x v="2"/>
    <s v="PLAQUETTES"/>
    <s v="290x12"/>
    <n v="140"/>
  </r>
  <r>
    <d v="2025-02-06T17:06:17"/>
    <x v="8"/>
    <s v="Plaquettes d'ébauches rhombiques"/>
    <s v="SD75051"/>
    <s v="COMBALUZIER LUCAS"/>
    <n v="10"/>
    <x v="1"/>
    <x v="2"/>
    <s v="PLAQUETTES"/>
    <s v="356x26 RPI"/>
    <n v="70"/>
  </r>
  <r>
    <d v="2025-02-06T22:57:02"/>
    <x v="8"/>
    <s v="Plaquettes d'ébauches rhombiques"/>
    <s v="101224"/>
    <s v="CHAZEAU KYLIAN"/>
    <n v="10"/>
    <x v="3"/>
    <x v="2"/>
    <s v="PLAQUETTES"/>
    <s v="290x12"/>
    <n v="70"/>
  </r>
  <r>
    <d v="2025-02-07T07:15:57"/>
    <x v="8"/>
    <s v="Plaquettes d'ébauches rhombiques"/>
    <s v="U080365"/>
    <s v="ALAVOINE SAMUEL"/>
    <n v="10"/>
    <x v="1"/>
    <x v="0"/>
    <s v="PLAQUETTES"/>
    <s v="356x26 RPI"/>
    <n v="70"/>
  </r>
  <r>
    <d v="2025-02-07T13:23:42"/>
    <x v="8"/>
    <s v="Plaquettes d'ébauches rhombiques"/>
    <s v="7236310"/>
    <s v="BRANDALY JEREMY"/>
    <n v="20"/>
    <x v="0"/>
    <x v="3"/>
    <s v="PLAQUETTES"/>
    <s v="290x12"/>
    <n v="140"/>
  </r>
  <r>
    <d v="2025-02-07T13:39:24"/>
    <x v="8"/>
    <s v="Plaquettes d'ébauches rhombiques"/>
    <s v="SD75051"/>
    <s v="COMBALUZIER LUCAS"/>
    <n v="10"/>
    <x v="1"/>
    <x v="2"/>
    <s v="PLAQUETTES"/>
    <s v="356x26 RPI"/>
    <n v="70"/>
  </r>
  <r>
    <d v="2025-02-08T07:03:39"/>
    <x v="8"/>
    <s v="Plaquettes d'ébauches rhombiques"/>
    <s v="U109136"/>
    <s v="WIPLIE FREDERIC"/>
    <n v="20"/>
    <x v="0"/>
    <x v="3"/>
    <s v="PLAQUETTES"/>
    <s v="290x12"/>
    <n v="140"/>
  </r>
  <r>
    <d v="2025-02-10T10:42:08"/>
    <x v="8"/>
    <s v="Plaquettes d'ébauches rhombiques"/>
    <s v="7236310"/>
    <s v="BRANDALY JEREMY"/>
    <n v="20"/>
    <x v="0"/>
    <x v="3"/>
    <s v="PLAQUETTES"/>
    <s v="290x12"/>
    <n v="140"/>
  </r>
  <r>
    <d v="2025-02-10T14:30:52"/>
    <x v="8"/>
    <s v="Plaquettes d'ébauches rhombiques"/>
    <s v="130124"/>
    <s v="MOHAMED ILDIRAY"/>
    <n v="10"/>
    <x v="1"/>
    <x v="2"/>
    <s v="PLAQUETTES"/>
    <s v="356x26 RPI"/>
    <n v="70"/>
  </r>
  <r>
    <d v="2025-02-10T18:28:12"/>
    <x v="8"/>
    <s v="Plaquettes d'ébauches rhombiques"/>
    <s v="130124"/>
    <s v="MOHAMED ILDIRAY"/>
    <n v="10"/>
    <x v="1"/>
    <x v="3"/>
    <s v="PLAQUETTES"/>
    <s v="356x26 RPI"/>
    <n v="70"/>
  </r>
  <r>
    <d v="2025-02-10T22:55:26"/>
    <x v="8"/>
    <s v="Plaquettes d'ébauches rhombiques"/>
    <s v="SE08251"/>
    <s v="FAYET AYMERIC"/>
    <n v="20"/>
    <x v="3"/>
    <x v="2"/>
    <s v="PLAQUETTES"/>
    <s v="290x12"/>
    <n v="140"/>
  </r>
  <r>
    <d v="2025-02-11T05:20:52"/>
    <x v="8"/>
    <s v="Plaquettes d'ébauches rhombiques"/>
    <s v="SD75051"/>
    <s v="COMBALUZIER LUCAS"/>
    <n v="10"/>
    <x v="1"/>
    <x v="2"/>
    <s v="PLAQUETTES"/>
    <s v="356x26 RPI"/>
    <n v="70"/>
  </r>
  <r>
    <d v="2025-02-11T05:21:22"/>
    <x v="8"/>
    <s v="Plaquettes d'ébauches rhombiques"/>
    <s v="SD75051"/>
    <s v="COMBALUZIER LUCAS"/>
    <n v="10"/>
    <x v="1"/>
    <x v="2"/>
    <s v="PLAQUETTES"/>
    <s v="356x26 RPI"/>
    <n v="70"/>
  </r>
  <r>
    <d v="2025-02-11T06:25:53"/>
    <x v="8"/>
    <s v="Plaquettes d'ébauches rhombiques"/>
    <s v="140325"/>
    <s v="BOUCLIER JONATHAN"/>
    <n v="10"/>
    <x v="2"/>
    <x v="2"/>
    <s v="PLAQUETTES"/>
    <s v="302x26 RPI"/>
    <n v="70"/>
  </r>
  <r>
    <d v="2025-02-11T13:28:12"/>
    <x v="8"/>
    <s v="Plaquettes d'ébauches rhombiques"/>
    <s v="U037238"/>
    <s v="PRIEUR OLIVIER"/>
    <n v="10"/>
    <x v="2"/>
    <x v="1"/>
    <s v="PLAQUETTES"/>
    <s v="302x26 RPI"/>
    <n v="70"/>
  </r>
  <r>
    <d v="2025-02-12T04:25:44"/>
    <x v="8"/>
    <s v="Plaquettes d'ébauches rhombiques"/>
    <s v="SE08251"/>
    <s v="FAYET AYMERIC"/>
    <n v="10"/>
    <x v="0"/>
    <x v="2"/>
    <s v="PLAQUETTES"/>
    <s v="290x12"/>
    <n v="70"/>
  </r>
  <r>
    <d v="2025-02-12T04:34:23"/>
    <x v="8"/>
    <s v="Plaquettes d'ébauches rhombiques"/>
    <s v="SE08251"/>
    <s v="FAYET AYMERIC"/>
    <n v="10"/>
    <x v="3"/>
    <x v="2"/>
    <s v="PLAQUETTES"/>
    <s v="290x12"/>
    <n v="70"/>
  </r>
  <r>
    <d v="2025-02-12T14:35:35"/>
    <x v="8"/>
    <s v="Plaquettes d'ébauches rhombiques"/>
    <s v="1234SECOURS"/>
    <s v="SECOURS"/>
    <n v="10"/>
    <x v="1"/>
    <x v="2"/>
    <s v="PLAQUETTES"/>
    <s v="302x26 RPI"/>
    <n v="70"/>
  </r>
  <r>
    <d v="2025-02-12T14:35:52"/>
    <x v="8"/>
    <s v="Plaquettes d'ébauches rhombiques"/>
    <s v="1234SECOURS"/>
    <s v="SECOURS"/>
    <n v="-10"/>
    <x v="1"/>
    <x v="2"/>
    <s v="PLAQUETTES"/>
    <s v="302x26 RPI"/>
    <n v="-70"/>
  </r>
  <r>
    <d v="2025-02-13T08:22:44"/>
    <x v="8"/>
    <s v="Plaquettes d'ébauches rhombiques"/>
    <s v="SD75051"/>
    <s v="COMBALUZIER LUCAS"/>
    <n v="10"/>
    <x v="1"/>
    <x v="2"/>
    <s v="PLAQUETTES"/>
    <s v="356x26 RPI"/>
    <n v="70"/>
  </r>
  <r>
    <d v="2025-02-13T08:40:52"/>
    <x v="8"/>
    <s v="Plaquettes d'ébauches rhombiques"/>
    <s v="7236310"/>
    <s v="BRANDALY JEREMY"/>
    <n v="10"/>
    <x v="0"/>
    <x v="3"/>
    <s v="PLAQUETTES"/>
    <s v="330x14"/>
    <n v="70"/>
  </r>
  <r>
    <d v="2025-02-13T22:29:13"/>
    <x v="8"/>
    <s v="Plaquettes d'ébauches rhombiques"/>
    <s v="SE08251"/>
    <s v="FAYET AYMERIC"/>
    <n v="10"/>
    <x v="0"/>
    <x v="2"/>
    <s v="PLAQUETTES"/>
    <s v="330x14"/>
    <n v="70"/>
  </r>
  <r>
    <d v="2025-02-13T22:29:36"/>
    <x v="8"/>
    <s v="Plaquettes d'ébauches rhombiques"/>
    <s v="SE08251"/>
    <s v="FAYET AYMERIC"/>
    <n v="10"/>
    <x v="3"/>
    <x v="2"/>
    <s v="PLAQUETTES"/>
    <s v="290x12"/>
    <n v="70"/>
  </r>
  <r>
    <d v="2025-02-14T19:40:43"/>
    <x v="8"/>
    <s v="Plaquettes d'ébauches rhombiques"/>
    <s v="101123"/>
    <s v="BRUNET ANDREA"/>
    <n v="10"/>
    <x v="2"/>
    <x v="2"/>
    <s v="PLAQUETTES"/>
    <s v="302x26 RPI"/>
    <n v="70"/>
  </r>
  <r>
    <d v="2025-02-14T19:41:50"/>
    <x v="8"/>
    <s v="Plaquettes d'ébauches rhombiques"/>
    <s v="101123"/>
    <s v="BRUNET ANDREA"/>
    <n v="10"/>
    <x v="2"/>
    <x v="4"/>
    <s v="PLAQUETTES"/>
    <s v="302x26 RPI"/>
    <n v="70"/>
  </r>
  <r>
    <d v="2025-02-15T05:35:45"/>
    <x v="8"/>
    <s v="Plaquettes d'ébauches rhombiques"/>
    <s v="U080365"/>
    <s v="ALAVOINE SAMUEL"/>
    <n v="10"/>
    <x v="3"/>
    <x v="3"/>
    <s v="PLAQUETTES"/>
    <s v="290x12"/>
    <n v="70"/>
  </r>
  <r>
    <d v="2025-02-15T05:36:06"/>
    <x v="8"/>
    <s v="Plaquettes d'ébauches rhombiques"/>
    <s v="U080365"/>
    <s v="ALAVOINE SAMUEL"/>
    <n v="10"/>
    <x v="0"/>
    <x v="3"/>
    <s v="PLAQUETTES"/>
    <s v="330x14"/>
    <n v="70"/>
  </r>
  <r>
    <d v="2025-02-16T20:34:54"/>
    <x v="8"/>
    <s v="Plaquettes d'ébauches rhombiques"/>
    <s v="U109136"/>
    <s v="WIPLIE FREDERIC"/>
    <n v="10"/>
    <x v="1"/>
    <x v="2"/>
    <s v="PLAQUETTES"/>
    <s v="304x28 RPE"/>
    <n v="70"/>
  </r>
  <r>
    <d v="2025-02-16T23:03:18"/>
    <x v="8"/>
    <s v="Plaquettes d'ébauches rhombiques"/>
    <s v="U080365"/>
    <s v="ALAVOINE SAMUEL"/>
    <n v="10"/>
    <x v="0"/>
    <x v="3"/>
    <s v="PLAQUETTES"/>
    <s v="330x14"/>
    <n v="70"/>
  </r>
  <r>
    <d v="2025-02-17T05:09:38"/>
    <x v="8"/>
    <s v="Plaquettes d'ébauches rhombiques"/>
    <s v="100225"/>
    <s v="PRUNEAU WILLIAM"/>
    <n v="10"/>
    <x v="1"/>
    <x v="3"/>
    <s v="PLAQUETTES"/>
    <s v="304x28 RPE"/>
    <n v="70"/>
  </r>
  <r>
    <d v="2025-02-17T05:12:52"/>
    <x v="8"/>
    <s v="Plaquettes d'ébauches rhombiques"/>
    <s v="130124"/>
    <s v="MOHAMED ILDIRAY"/>
    <n v="10"/>
    <x v="1"/>
    <x v="2"/>
    <s v="PLAQUETTES"/>
    <s v="304x28 RPE"/>
    <n v="70"/>
  </r>
  <r>
    <d v="2025-02-17T10:16:46"/>
    <x v="8"/>
    <s v="Plaquettes d'ébauches rhombiques"/>
    <s v="101224"/>
    <s v="CHAZEAU KYLIAN"/>
    <n v="10"/>
    <x v="0"/>
    <x v="2"/>
    <s v="PLAQUETTES"/>
    <s v="290x12"/>
    <n v="70"/>
  </r>
  <r>
    <d v="2025-02-17T10:17:00"/>
    <x v="8"/>
    <s v="Plaquettes d'ébauches rhombiques"/>
    <s v="101224"/>
    <s v="CHAZEAU KYLIAN"/>
    <n v="10"/>
    <x v="0"/>
    <x v="2"/>
    <s v="PLAQUETTES"/>
    <s v="290x12"/>
    <n v="70"/>
  </r>
  <r>
    <d v="2025-02-17T21:14:44"/>
    <x v="8"/>
    <s v="Plaquettes d'ébauches rhombiques"/>
    <s v="SD75051"/>
    <s v="COMBALUZIER LUCAS"/>
    <n v="10"/>
    <x v="1"/>
    <x v="3"/>
    <s v="PLAQUETTES"/>
    <s v="304x28 RPE"/>
    <n v="70"/>
  </r>
  <r>
    <d v="2025-02-18T02:53:17"/>
    <x v="8"/>
    <s v="Plaquettes d'ébauches rhombiques"/>
    <s v="140325"/>
    <s v="BOUCLIER JONATHAN"/>
    <n v="10"/>
    <x v="2"/>
    <x v="2"/>
    <s v="PLAQUETTES"/>
    <s v="302x26 RPI"/>
    <n v="70"/>
  </r>
  <r>
    <d v="2025-02-18T03:12:59"/>
    <x v="8"/>
    <s v="Plaquettes d'ébauches rhombiques"/>
    <s v="7236310"/>
    <s v="BRANDALY JEREMY"/>
    <n v="10"/>
    <x v="0"/>
    <x v="3"/>
    <s v="PLAQUETTES"/>
    <s v="330x14"/>
    <n v="70"/>
  </r>
  <r>
    <d v="2025-02-18T05:13:38"/>
    <x v="8"/>
    <s v="Plaquettes d'ébauches rhombiques"/>
    <s v="101224"/>
    <s v="CHAZEAU KYLIAN"/>
    <n v="10"/>
    <x v="0"/>
    <x v="2"/>
    <s v="PLAQUETTES"/>
    <s v="330x14"/>
    <n v="70"/>
  </r>
  <r>
    <d v="2025-02-18T05:14:00"/>
    <x v="8"/>
    <s v="Plaquettes d'ébauches rhombiques"/>
    <s v="101224"/>
    <s v="CHAZEAU KYLIAN"/>
    <n v="10"/>
    <x v="3"/>
    <x v="2"/>
    <s v="PLAQUETTES"/>
    <s v="290x12"/>
    <n v="70"/>
  </r>
  <r>
    <d v="2025-02-18T14:19:29"/>
    <x v="8"/>
    <s v="Plaquettes d'ébauches rhombiques"/>
    <s v="3224"/>
    <s v="BIDOT MURIEL"/>
    <n v="10"/>
    <x v="1"/>
    <x v="2"/>
    <s v="PLAQUETTES"/>
    <s v="304x28 RPE"/>
    <n v="70"/>
  </r>
  <r>
    <d v="2025-02-18T14:19:50"/>
    <x v="8"/>
    <s v="Plaquettes d'ébauches rhombiques"/>
    <s v="3224"/>
    <s v="BIDOT MURIEL"/>
    <n v="10"/>
    <x v="1"/>
    <x v="2"/>
    <s v="PLAQUETTES"/>
    <s v="304x28 RPE"/>
    <n v="70"/>
  </r>
  <r>
    <d v="2025-02-18T23:10:52"/>
    <x v="8"/>
    <s v="Plaquettes d'ébauches rhombiques"/>
    <s v="7236310"/>
    <s v="BRANDALY JEREMY"/>
    <n v="10"/>
    <x v="0"/>
    <x v="3"/>
    <s v="PLAQUETTES"/>
    <s v="330x14"/>
    <n v="70"/>
  </r>
  <r>
    <d v="2025-02-19T08:22:11"/>
    <x v="8"/>
    <s v="Plaquettes d'ébauches rhombiques"/>
    <s v="101224"/>
    <s v="CHAZEAU KYLIAN"/>
    <n v="10"/>
    <x v="0"/>
    <x v="2"/>
    <s v="PLAQUETTES"/>
    <s v="330x14"/>
    <n v="70"/>
  </r>
  <r>
    <d v="2025-02-19T08:23:10"/>
    <x v="8"/>
    <s v="Plaquettes d'ébauches rhombiques"/>
    <s v="101224"/>
    <s v="CHAZEAU KYLIAN"/>
    <n v="10"/>
    <x v="3"/>
    <x v="2"/>
    <s v="PLAQUETTES"/>
    <s v="290x12"/>
    <n v="70"/>
  </r>
  <r>
    <d v="2025-02-19T21:31:40"/>
    <x v="8"/>
    <s v="Plaquettes d'ébauches rhombiques"/>
    <s v="SD75051"/>
    <s v="COMBALUZIER LUCAS"/>
    <n v="10"/>
    <x v="1"/>
    <x v="2"/>
    <s v="PLAQUETTES"/>
    <s v="304x28 RPE"/>
    <n v="70"/>
  </r>
  <r>
    <d v="2025-02-19T21:32:21"/>
    <x v="8"/>
    <s v="Plaquettes d'ébauches rhombiques"/>
    <s v="SD75051"/>
    <s v="COMBALUZIER LUCAS"/>
    <n v="10"/>
    <x v="1"/>
    <x v="3"/>
    <s v="PLAQUETTES"/>
    <s v="304x28 RPE"/>
    <n v="70"/>
  </r>
  <r>
    <d v="2025-02-20T05:09:29"/>
    <x v="8"/>
    <s v="Plaquettes d'ébauches rhombiques"/>
    <s v="101224"/>
    <s v="CHAZEAU KYLIAN"/>
    <n v="10"/>
    <x v="3"/>
    <x v="2"/>
    <s v="PLAQUETTES"/>
    <s v="290x12"/>
    <n v="70"/>
  </r>
  <r>
    <d v="2025-02-20T05:09:48"/>
    <x v="8"/>
    <s v="Plaquettes d'ébauches rhombiques"/>
    <s v="101224"/>
    <s v="CHAZEAU KYLIAN"/>
    <n v="10"/>
    <x v="0"/>
    <x v="2"/>
    <s v="PLAQUETTES"/>
    <s v="330x14"/>
    <n v="70"/>
  </r>
  <r>
    <d v="2025-02-20T19:03:07"/>
    <x v="8"/>
    <s v="Plaquettes d'ébauches rhombiques"/>
    <s v="280225"/>
    <s v="FERNANDES DOS SANTOS REMY"/>
    <n v="10"/>
    <x v="1"/>
    <x v="0"/>
    <s v="PLAQUETTES"/>
    <s v="304x28 RPE"/>
    <n v="70"/>
  </r>
  <r>
    <d v="2025-02-21T14:10:07"/>
    <x v="8"/>
    <s v="Plaquettes d'ébauches rhombiques"/>
    <s v="280225"/>
    <s v="FERNANDES DOS SANTOS REMY"/>
    <n v="10"/>
    <x v="3"/>
    <x v="0"/>
    <s v="PLAQUETTES"/>
    <s v="290x12"/>
    <n v="70"/>
  </r>
  <r>
    <d v="2025-02-21T17:53:22"/>
    <x v="8"/>
    <s v="Plaquettes d'ébauches rhombiques"/>
    <s v="280225"/>
    <s v="FERNANDES DOS SANTOS REMY"/>
    <n v="10"/>
    <x v="0"/>
    <x v="3"/>
    <s v="PLAQUETTES"/>
    <s v="290x12"/>
    <n v="70"/>
  </r>
  <r>
    <d v="2025-02-21T22:32:55"/>
    <x v="8"/>
    <s v="Plaquettes d'ébauches rhombiques"/>
    <s v="SD75051"/>
    <s v="COMBALUZIER LUCAS"/>
    <n v="10"/>
    <x v="1"/>
    <x v="2"/>
    <s v="PLAQUETTES"/>
    <s v="304x28 RPE"/>
    <n v="70"/>
  </r>
  <r>
    <d v="2025-02-21T22:33:18"/>
    <x v="8"/>
    <s v="Plaquettes d'ébauches rhombiques"/>
    <s v="SD75051"/>
    <s v="COMBALUZIER LUCAS"/>
    <n v="10"/>
    <x v="1"/>
    <x v="3"/>
    <s v="PLAQUETTES"/>
    <s v="304x28 RPE"/>
    <n v="70"/>
  </r>
  <r>
    <d v="2025-02-22T05:24:35"/>
    <x v="8"/>
    <s v="Plaquettes d'ébauches rhombiques"/>
    <s v="U109136"/>
    <s v="WIPLIE FREDERIC"/>
    <n v="10"/>
    <x v="0"/>
    <x v="2"/>
    <s v="PLAQUETTES"/>
    <s v="330x14"/>
    <n v="70"/>
  </r>
  <r>
    <d v="2025-02-24T06:17:24"/>
    <x v="8"/>
    <s v="Plaquettes d'ébauches rhombiques"/>
    <s v="280225"/>
    <s v="FERNANDES DOS SANTOS REMY"/>
    <n v="10"/>
    <x v="3"/>
    <x v="3"/>
    <s v="PLAQUETTES"/>
    <s v="330x28 RPE KO"/>
    <n v="70"/>
  </r>
  <r>
    <d v="2025-02-24T06:58:59"/>
    <x v="8"/>
    <s v="Plaquettes d'ébauches rhombiques"/>
    <s v="280225"/>
    <s v="FERNANDES DOS SANTOS REMY"/>
    <n v="10"/>
    <x v="1"/>
    <x v="3"/>
    <s v="PLAQUETTES"/>
    <s v="304x28 RPE"/>
    <n v="70"/>
  </r>
  <r>
    <d v="2025-02-24T13:39:59"/>
    <x v="8"/>
    <s v="Plaquettes d'ébauches rhombiques"/>
    <s v="SD75051"/>
    <s v="COMBALUZIER LUCAS"/>
    <n v="10"/>
    <x v="0"/>
    <x v="2"/>
    <s v="PLAQUETTES"/>
    <s v="330x14"/>
    <n v="70"/>
  </r>
  <r>
    <d v="2025-02-24T13:40:39"/>
    <x v="8"/>
    <s v="Plaquettes d'ébauches rhombiques"/>
    <s v="SD75051"/>
    <s v="COMBALUZIER LUCAS"/>
    <n v="10"/>
    <x v="3"/>
    <x v="2"/>
    <s v="PLAQUETTES"/>
    <s v="290x12"/>
    <n v="70"/>
  </r>
  <r>
    <d v="2025-02-25T04:38:19"/>
    <x v="8"/>
    <s v="Plaquettes d'ébauches rhombiques"/>
    <s v="101224"/>
    <s v="CHAZEAU KYLIAN"/>
    <n v="10"/>
    <x v="0"/>
    <x v="3"/>
    <s v="PLAQUETTES"/>
    <s v="330x14"/>
    <n v="70"/>
  </r>
  <r>
    <d v="2025-02-25T06:14:49"/>
    <x v="8"/>
    <s v="Plaquettes d'ébauches rhombiques"/>
    <s v="280225"/>
    <s v="FERNANDES DOS SANTOS REMY"/>
    <n v="10"/>
    <x v="1"/>
    <x v="3"/>
    <s v="PLAQUETTES"/>
    <s v="304x28 RPE"/>
    <n v="70"/>
  </r>
  <r>
    <d v="2025-02-25T06:26:17"/>
    <x v="8"/>
    <s v="Plaquettes d'ébauches rhombiques"/>
    <s v="SE08251"/>
    <s v="FAYET AYMERIC"/>
    <n v="10"/>
    <x v="3"/>
    <x v="2"/>
    <s v="PLAQUETTES"/>
    <s v="290x12"/>
    <n v="70"/>
  </r>
  <r>
    <d v="2025-02-25T21:15:16"/>
    <x v="8"/>
    <s v="Plaquettes d'ébauches rhombiques"/>
    <s v="101224"/>
    <s v="CHAZEAU KYLIAN"/>
    <n v="10"/>
    <x v="0"/>
    <x v="3"/>
    <s v="PLAQUETTES"/>
    <s v="330x14"/>
    <n v="70"/>
  </r>
  <r>
    <d v="2025-02-25T21:15:42"/>
    <x v="8"/>
    <s v="Plaquettes d'ébauches rhombiques"/>
    <s v="101224"/>
    <s v="CHAZEAU KYLIAN"/>
    <n v="10"/>
    <x v="0"/>
    <x v="3"/>
    <s v="PLAQUETTES"/>
    <s v="330x14"/>
    <n v="70"/>
  </r>
  <r>
    <d v="2025-02-26T05:52:46"/>
    <x v="8"/>
    <s v="Plaquettes d'ébauches rhombiques"/>
    <s v="280225"/>
    <s v="FERNANDES DOS SANTOS REMY"/>
    <n v="10"/>
    <x v="1"/>
    <x v="2"/>
    <s v="PLAQUETTES"/>
    <s v="304x28 RPE"/>
    <n v="70"/>
  </r>
  <r>
    <d v="2025-02-26T14:06:06"/>
    <x v="8"/>
    <s v="Plaquettes d'ébauches rhombiques"/>
    <s v="SD75051"/>
    <s v="COMBALUZIER LUCAS"/>
    <n v="10"/>
    <x v="1"/>
    <x v="3"/>
    <s v="PLAQUETTES"/>
    <s v="304x28 RPE"/>
    <n v="70"/>
  </r>
  <r>
    <d v="2025-02-26T22:14:06"/>
    <x v="8"/>
    <s v="Plaquettes d'ébauches rhombiques"/>
    <s v="101224"/>
    <s v="CHAZEAU KYLIAN"/>
    <n v="10"/>
    <x v="3"/>
    <x v="2"/>
    <s v="PLAQUETTES"/>
    <s v="290x12"/>
    <n v="70"/>
  </r>
  <r>
    <d v="2025-02-27T12:46:24"/>
    <x v="8"/>
    <s v="Plaquettes d'ébauches rhombiques"/>
    <s v="SE08251"/>
    <s v="FAYET AYMERIC"/>
    <n v="10"/>
    <x v="0"/>
    <x v="3"/>
    <s v="PLAQUETTES"/>
    <s v="356x26 RPI"/>
    <n v="70"/>
  </r>
  <r>
    <d v="2025-02-27T13:17:58"/>
    <x v="8"/>
    <s v="Plaquettes d'ébauches rhombiques"/>
    <s v="140325"/>
    <s v="BOUCLIER JONATHAN"/>
    <n v="10"/>
    <x v="2"/>
    <x v="2"/>
    <s v="PLAQUETTES"/>
    <s v="302x26 RPI"/>
    <n v="70"/>
  </r>
  <r>
    <d v="2025-02-28T03:09:00"/>
    <x v="8"/>
    <s v="Plaquettes d'ébauches rhombiques"/>
    <s v="101224"/>
    <s v="CHAZEAU KYLIAN"/>
    <n v="10"/>
    <x v="3"/>
    <x v="2"/>
    <s v="PLAQUETTES"/>
    <s v="290x12"/>
    <n v="70"/>
  </r>
  <r>
    <d v="2025-02-28T03:09:34"/>
    <x v="8"/>
    <s v="Plaquettes d'ébauches rhombiques"/>
    <s v="101224"/>
    <s v="CHAZEAU KYLIAN"/>
    <n v="10"/>
    <x v="0"/>
    <x v="2"/>
    <s v="PLAQUETTES"/>
    <s v="356x26 RPI"/>
    <n v="70"/>
  </r>
  <r>
    <d v="2025-02-28T13:53:45"/>
    <x v="8"/>
    <s v="Plaquettes d'ébauches rhombiques"/>
    <s v="SD75051"/>
    <s v="COMBALUZIER LUCAS"/>
    <n v="10"/>
    <x v="1"/>
    <x v="3"/>
    <s v="PLAQUETTES"/>
    <s v="304x28 RPE"/>
    <n v="70"/>
  </r>
  <r>
    <d v="2025-02-28T21:10:31"/>
    <x v="8"/>
    <s v="Plaquettes d'ébauches rhombiques"/>
    <s v="130124"/>
    <s v="MOHAMED ILDIRAY"/>
    <n v="10"/>
    <x v="1"/>
    <x v="2"/>
    <s v="PLAQUETTES"/>
    <s v="304x28 RPE"/>
    <n v="70"/>
  </r>
  <r>
    <d v="2025-02-28T21:11:25"/>
    <x v="8"/>
    <s v="Plaquettes d'ébauches rhombiques"/>
    <s v="130124"/>
    <s v="MOHAMED ILDIRAY"/>
    <n v="10"/>
    <x v="1"/>
    <x v="3"/>
    <s v="PLAQUETTES"/>
    <s v="304x28 RPE"/>
    <n v="70"/>
  </r>
  <r>
    <d v="2025-03-02T10:58:12"/>
    <x v="8"/>
    <s v="Plaquettes d'ébauches rhombiques"/>
    <s v="SE08251"/>
    <s v="FAYET AYMERIC"/>
    <n v="10"/>
    <x v="0"/>
    <x v="2"/>
    <s v="PLAQUETTES"/>
    <s v="356x26 RPI"/>
    <n v="70"/>
  </r>
  <r>
    <d v="2025-03-02T19:21:29"/>
    <x v="8"/>
    <s v="Plaquettes d'ébauches rhombiques"/>
    <s v="U109136"/>
    <s v="WIPLIE FREDERIC"/>
    <n v="10"/>
    <x v="0"/>
    <x v="3"/>
    <s v="PLAQUETTES"/>
    <s v="290x12"/>
    <n v="70"/>
  </r>
  <r>
    <d v="2025-03-03T06:24:52"/>
    <x v="8"/>
    <s v="Plaquettes d'ébauches rhombiques"/>
    <s v="140325"/>
    <s v="BOUCLIER JONATHAN"/>
    <n v="10"/>
    <x v="2"/>
    <x v="4"/>
    <s v="PLAQUETTES"/>
    <s v="302x26 RPI"/>
    <n v="70"/>
  </r>
  <r>
    <d v="2025-03-03T08:19:23"/>
    <x v="8"/>
    <s v="Plaquettes d'ébauches rhombiques"/>
    <s v="7236310"/>
    <s v="BRANDALY JEREMY"/>
    <n v="10"/>
    <x v="0"/>
    <x v="3"/>
    <s v="PLAQUETTES"/>
    <s v="290x12"/>
    <n v="70"/>
  </r>
  <r>
    <d v="2025-03-03T08:19:51"/>
    <x v="8"/>
    <s v="Plaquettes d'ébauches rhombiques"/>
    <s v="7236310"/>
    <s v="BRANDALY JEREMY"/>
    <n v="10"/>
    <x v="3"/>
    <x v="3"/>
    <s v="PLAQUETTES"/>
    <s v="290x12"/>
    <n v="70"/>
  </r>
  <r>
    <d v="2025-03-03T13:07:49"/>
    <x v="8"/>
    <s v="Plaquettes d'ébauches rhombiques"/>
    <s v="101224"/>
    <s v="CHAZEAU KYLIAN"/>
    <n v="10"/>
    <x v="0"/>
    <x v="3"/>
    <s v="PLAQUETTES"/>
    <s v="356x26 RPI"/>
    <n v="70"/>
  </r>
  <r>
    <d v="2025-03-04T07:20:11"/>
    <x v="8"/>
    <s v="Plaquettes d'ébauches rhombiques"/>
    <s v="130325"/>
    <s v="PAPONNEAU JULIEN"/>
    <n v="10"/>
    <x v="1"/>
    <x v="3"/>
    <s v="PLAQUETTES"/>
    <s v="304x28 RPE"/>
    <n v="70"/>
  </r>
  <r>
    <d v="2025-03-04T13:14:49"/>
    <x v="8"/>
    <s v="Plaquettes d'ébauches rhombiques"/>
    <s v="101123"/>
    <s v="BRUNET ANDREA"/>
    <n v="10"/>
    <x v="2"/>
    <x v="4"/>
    <s v="PLAQUETTES"/>
    <s v="302x26 RPI"/>
    <n v="70"/>
  </r>
  <r>
    <d v="2025-03-04T19:59:11"/>
    <x v="8"/>
    <s v="Plaquettes d'ébauches rhombiques"/>
    <s v="101224"/>
    <s v="CHAZEAU KYLIAN"/>
    <n v="10"/>
    <x v="0"/>
    <x v="2"/>
    <s v="PLAQUETTES"/>
    <s v="356x26 RPI"/>
    <n v="70"/>
  </r>
  <r>
    <d v="2025-03-04T19:59:25"/>
    <x v="8"/>
    <s v="Plaquettes d'ébauches rhombiques"/>
    <s v="101224"/>
    <s v="CHAZEAU KYLIAN"/>
    <n v="10"/>
    <x v="3"/>
    <x v="2"/>
    <s v="PLAQUETTES"/>
    <s v="290x12"/>
    <n v="70"/>
  </r>
  <r>
    <d v="2025-03-05T05:52:54"/>
    <x v="8"/>
    <s v="Plaquettes d'ébauches rhombiques"/>
    <s v="130325"/>
    <s v="PAPONNEAU JULIEN"/>
    <n v="10"/>
    <x v="1"/>
    <x v="3"/>
    <s v="PLAQUETTES"/>
    <s v="304x28 RPE"/>
    <n v="70"/>
  </r>
  <r>
    <d v="2025-03-05T05:54:00"/>
    <x v="8"/>
    <s v="Plaquettes d'ébauches rhombiques"/>
    <s v="140325"/>
    <s v="BOUCLIER JONATHAN"/>
    <n v="10"/>
    <x v="2"/>
    <x v="2"/>
    <s v="PLAQUETTES"/>
    <s v="302x26 RPI"/>
    <n v="70"/>
  </r>
  <r>
    <d v="2025-03-05T05:54:23"/>
    <x v="8"/>
    <s v="Plaquettes d'ébauches rhombiques"/>
    <s v="140325"/>
    <s v="BOUCLIER JONATHAN"/>
    <n v="10"/>
    <x v="2"/>
    <x v="4"/>
    <s v="PLAQUETTES"/>
    <s v="302x26 RPI"/>
    <n v="70"/>
  </r>
  <r>
    <d v="2025-03-05T15:31:00"/>
    <x v="8"/>
    <s v="Plaquettes d'ébauches rhombiques"/>
    <s v="101224"/>
    <s v="CHAZEAU KYLIAN"/>
    <n v="10"/>
    <x v="3"/>
    <x v="2"/>
    <s v="PLAQUETTES"/>
    <s v="290x12"/>
    <n v="70"/>
  </r>
  <r>
    <d v="2025-03-05T15:31:17"/>
    <x v="8"/>
    <s v="Plaquettes d'ébauches rhombiques"/>
    <s v="101224"/>
    <s v="CHAZEAU KYLIAN"/>
    <n v="10"/>
    <x v="0"/>
    <x v="2"/>
    <s v="PLAQUETTES"/>
    <s v="356x26 RPI"/>
    <n v="70"/>
  </r>
  <r>
    <d v="2025-03-06T05:37:47"/>
    <x v="8"/>
    <s v="Plaquettes d'ébauches rhombiques"/>
    <s v="7236310"/>
    <s v="BRANDALY JEREMY"/>
    <n v="10"/>
    <x v="0"/>
    <x v="3"/>
    <s v="PLAQUETTES"/>
    <s v="290x12"/>
    <n v="70"/>
  </r>
  <r>
    <d v="2025-03-06T13:25:23"/>
    <x v="8"/>
    <s v="Plaquettes d'ébauches rhombiques"/>
    <s v="101224"/>
    <s v="CHAZEAU KYLIAN"/>
    <n v="10"/>
    <x v="3"/>
    <x v="2"/>
    <s v="PLAQUETTES"/>
    <s v="290x12"/>
    <n v="70"/>
  </r>
  <r>
    <d v="2025-03-06T13:45:44"/>
    <x v="8"/>
    <s v="Plaquettes d'ébauches rhombiques"/>
    <s v="130124"/>
    <s v="MOHAMED ILDIRAY"/>
    <n v="10"/>
    <x v="1"/>
    <x v="3"/>
    <s v="PLAQUETTES"/>
    <s v="304x28 RPE"/>
    <n v="70"/>
  </r>
  <r>
    <d v="2025-03-07T01:11:28"/>
    <x v="8"/>
    <s v="Plaquettes d'ébauches rhombiques"/>
    <s v="SE08251"/>
    <s v="FAYET AYMERIC"/>
    <n v="10"/>
    <x v="0"/>
    <x v="2"/>
    <s v="PLAQUETTES"/>
    <s v="330x14"/>
    <n v="70"/>
  </r>
  <r>
    <d v="2025-03-07T05:10:42"/>
    <x v="8"/>
    <s v="Plaquettes d'ébauches rhombiques"/>
    <s v="J534699"/>
    <s v="FABIAN CHARTON"/>
    <n v="10"/>
    <x v="2"/>
    <x v="2"/>
    <s v="PLAQUETTES"/>
    <s v="302x26 RPI"/>
    <n v="70"/>
  </r>
  <r>
    <d v="2025-03-07T16:12:41"/>
    <x v="8"/>
    <s v="Plaquettes d'ébauches rhombiques"/>
    <s v="101123"/>
    <s v="BRUNET ANDREA"/>
    <n v="10"/>
    <x v="2"/>
    <x v="2"/>
    <s v="PLAQUETTES"/>
    <s v="302x26 RPI"/>
    <n v="70"/>
  </r>
  <r>
    <d v="2025-03-07T22:33:01"/>
    <x v="8"/>
    <s v="Plaquettes d'ébauches rhombiques"/>
    <s v="SE08251"/>
    <s v="FAYET AYMERIC"/>
    <n v="10"/>
    <x v="0"/>
    <x v="2"/>
    <s v="PLAQUETTES"/>
    <s v="290x12"/>
    <n v="70"/>
  </r>
  <r>
    <d v="2025-03-08T01:25:16"/>
    <x v="8"/>
    <s v="Plaquettes d'ébauches rhombiques"/>
    <s v="280225"/>
    <s v="FERNANDES DOS SANTOS REMY"/>
    <n v="10"/>
    <x v="1"/>
    <x v="3"/>
    <s v="PLAQUETTES"/>
    <s v="304x28 RPE"/>
    <n v="70"/>
  </r>
  <r>
    <d v="2025-03-10T13:25:23"/>
    <x v="8"/>
    <s v="Plaquettes d'ébauches rhombiques"/>
    <s v="SE08251"/>
    <s v="FAYET AYMERIC"/>
    <n v="10"/>
    <x v="0"/>
    <x v="2"/>
    <s v="PLAQUETTES"/>
    <s v="330x14"/>
    <n v="70"/>
  </r>
  <r>
    <d v="2025-03-10T13:26:25"/>
    <x v="8"/>
    <s v="Plaquettes d'ébauches rhombiques"/>
    <s v="SE08251"/>
    <s v="FAYET AYMERIC"/>
    <n v="10"/>
    <x v="3"/>
    <x v="2"/>
    <s v="PLAQUETTES"/>
    <s v="290x12"/>
    <n v="70"/>
  </r>
  <r>
    <d v="2025-03-10T17:14:47"/>
    <x v="8"/>
    <s v="Plaquettes d'ébauches rhombiques"/>
    <s v="280225"/>
    <s v="FERNANDES DOS SANTOS REMY"/>
    <n v="10"/>
    <x v="1"/>
    <x v="3"/>
    <s v="PLAQUETTES"/>
    <s v="304x28 RPE"/>
    <n v="70"/>
  </r>
  <r>
    <d v="2025-03-10T21:33:19"/>
    <x v="8"/>
    <s v="Plaquettes d'ébauches rhombiques"/>
    <s v="140325"/>
    <s v="BOUCLIER JONATHAN"/>
    <n v="10"/>
    <x v="2"/>
    <x v="2"/>
    <s v="PLAQUETTES"/>
    <s v="302x26 RPI"/>
    <n v="70"/>
  </r>
  <r>
    <d v="2025-03-10T21:34:16"/>
    <x v="8"/>
    <s v="Plaquettes d'ébauches rhombiques"/>
    <s v="140325"/>
    <s v="BOUCLIER JONATHAN"/>
    <n v="10"/>
    <x v="2"/>
    <x v="4"/>
    <s v="PLAQUETTES"/>
    <s v="302x26 RPI"/>
    <n v="70"/>
  </r>
  <r>
    <d v="2025-03-11T05:07:42"/>
    <x v="8"/>
    <s v="Plaquettes d'ébauches rhombiques"/>
    <s v="101224"/>
    <s v="CHAZEAU KYLIAN"/>
    <n v="10"/>
    <x v="3"/>
    <x v="2"/>
    <s v="PLAQUETTES"/>
    <s v="290x12"/>
    <n v="70"/>
  </r>
  <r>
    <d v="2025-03-11T05:08:02"/>
    <x v="8"/>
    <s v="Plaquettes d'ébauches rhombiques"/>
    <s v="101224"/>
    <s v="CHAZEAU KYLIAN"/>
    <n v="10"/>
    <x v="0"/>
    <x v="2"/>
    <s v="PLAQUETTES"/>
    <s v="330x14"/>
    <n v="70"/>
  </r>
  <r>
    <d v="2025-03-11T05:19:49"/>
    <x v="8"/>
    <s v="Plaquettes d'ébauches rhombiques"/>
    <s v="130124"/>
    <s v="MOHAMED ILDIRAY"/>
    <n v="10"/>
    <x v="1"/>
    <x v="3"/>
    <s v="PLAQUETTES"/>
    <s v="304x28 RPE"/>
    <n v="70"/>
  </r>
  <r>
    <d v="2025-03-11T18:29:28"/>
    <x v="8"/>
    <s v="Plaquettes d'ébauches rhombiques"/>
    <s v="280225"/>
    <s v="FERNANDES DOS SANTOS REMY"/>
    <n v="10"/>
    <x v="3"/>
    <x v="2"/>
    <s v="PLAQUETTES"/>
    <s v="290x12"/>
    <n v="70"/>
  </r>
  <r>
    <d v="2025-03-12T05:16:01"/>
    <x v="8"/>
    <s v="Plaquettes d'ébauches rhombiques"/>
    <s v="101224"/>
    <s v="CHAZEAU KYLIAN"/>
    <n v="10"/>
    <x v="0"/>
    <x v="3"/>
    <s v="PLAQUETTES"/>
    <s v="330x14"/>
    <n v="70"/>
  </r>
  <r>
    <d v="2025-03-12T13:48:52"/>
    <x v="8"/>
    <s v="Plaquettes d'ébauches rhombiques"/>
    <s v="SE08251"/>
    <s v="FAYET AYMERIC"/>
    <n v="10"/>
    <x v="3"/>
    <x v="2"/>
    <s v="PLAQUETTES"/>
    <s v="290x12"/>
    <n v="70"/>
  </r>
  <r>
    <d v="2025-03-12T14:35:21"/>
    <x v="8"/>
    <s v="Plaquettes d'ébauches rhombiques"/>
    <s v="280225"/>
    <s v="FERNANDES DOS SANTOS REMY"/>
    <n v="10"/>
    <x v="1"/>
    <x v="3"/>
    <s v="PLAQUETTES"/>
    <s v="304x28 RPE"/>
    <n v="70"/>
  </r>
  <r>
    <d v="2025-03-13T07:20:57"/>
    <x v="8"/>
    <s v="Plaquettes d'ébauches rhombiques"/>
    <s v="101123"/>
    <s v="BRUNET ANDREA"/>
    <n v="10"/>
    <x v="2"/>
    <x v="2"/>
    <s v="PLAQUETTES"/>
    <s v="302x26 RPI"/>
    <n v="70"/>
  </r>
  <r>
    <d v="2025-03-13T07:22:01"/>
    <x v="8"/>
    <s v="Plaquettes d'ébauches rhombiques"/>
    <s v="101123"/>
    <s v="BRUNET ANDREA"/>
    <n v="10"/>
    <x v="2"/>
    <x v="4"/>
    <s v="PLAQUETTES"/>
    <s v="302x26 RPI"/>
    <n v="70"/>
  </r>
  <r>
    <d v="2025-03-13T11:44:43"/>
    <x v="8"/>
    <s v="Plaquettes d'ébauches rhombiques"/>
    <s v="101224"/>
    <s v="CHAZEAU KYLIAN"/>
    <n v="10"/>
    <x v="0"/>
    <x v="2"/>
    <s v="PLAQUETTES"/>
    <s v="330x14"/>
    <n v="70"/>
  </r>
  <r>
    <d v="2025-03-13T11:44:59"/>
    <x v="8"/>
    <s v="Plaquettes d'ébauches rhombiques"/>
    <s v="101224"/>
    <s v="CHAZEAU KYLIAN"/>
    <n v="10"/>
    <x v="3"/>
    <x v="2"/>
    <s v="PLAQUETTES"/>
    <s v="290x12"/>
    <n v="70"/>
  </r>
  <r>
    <d v="2025-03-13T23:13:26"/>
    <x v="8"/>
    <s v="Plaquettes d'ébauches rhombiques"/>
    <s v="SD75051"/>
    <s v="COMBALUZIER LUCAS"/>
    <n v="10"/>
    <x v="0"/>
    <x v="2"/>
    <s v="PLAQUETTES"/>
    <s v="330x14"/>
    <n v="70"/>
  </r>
  <r>
    <d v="2025-03-13T23:49:04"/>
    <x v="8"/>
    <s v="Plaquettes d'ébauches rhombiques"/>
    <s v="130325"/>
    <s v="PAPONNEAU JULIEN"/>
    <n v="10"/>
    <x v="1"/>
    <x v="3"/>
    <s v="PLAQUETTES"/>
    <s v="304x28 RPE"/>
    <n v="70"/>
  </r>
  <r>
    <d v="2025-03-14T15:54:19"/>
    <x v="8"/>
    <s v="Plaquettes d'ébauches rhombiques"/>
    <s v="SE08251"/>
    <s v="FAYET AYMERIC"/>
    <n v="10"/>
    <x v="0"/>
    <x v="3"/>
    <s v="PLAQUETTES"/>
    <s v="290x12"/>
    <n v="70"/>
  </r>
  <r>
    <d v="2025-03-14T15:54:37"/>
    <x v="8"/>
    <s v="Plaquettes d'ébauches rhombiques"/>
    <s v="SE08251"/>
    <s v="FAYET AYMERIC"/>
    <n v="10"/>
    <x v="3"/>
    <x v="3"/>
    <s v="PLAQUETTES"/>
    <s v="290x12"/>
    <n v="70"/>
  </r>
  <r>
    <d v="2025-03-14T21:07:29"/>
    <x v="8"/>
    <s v="Plaquettes d'ébauches rhombiques"/>
    <s v="140325"/>
    <s v="BOUCLIER JONATHAN"/>
    <n v="10"/>
    <x v="2"/>
    <x v="2"/>
    <s v="PLAQUETTES"/>
    <s v="302x26 RPI"/>
    <n v="70"/>
  </r>
  <r>
    <d v="2025-03-15T05:05:41"/>
    <x v="8"/>
    <s v="Plaquettes d'ébauches rhombiques"/>
    <s v="J529792"/>
    <s v="LEBRE CHRISTOPHE"/>
    <n v="10"/>
    <x v="2"/>
    <x v="1"/>
    <s v="PLAQUETTES"/>
    <s v="302x26 RPI"/>
    <n v="70"/>
  </r>
  <r>
    <d v="2025-03-15T05:07:10"/>
    <x v="8"/>
    <s v="Plaquettes d'ébauches rhombiques"/>
    <s v="J529792"/>
    <s v="LEBRE CHRISTOPHE"/>
    <n v="10"/>
    <x v="2"/>
    <x v="2"/>
    <s v="PLAQUETTES"/>
    <s v="302x26 RPI"/>
    <n v="70"/>
  </r>
  <r>
    <d v="2025-03-16T18:00:51"/>
    <x v="8"/>
    <s v="Plaquettes d'ébauches rhombiques"/>
    <s v="U109136"/>
    <s v="WIPLIE FREDERIC"/>
    <n v="10"/>
    <x v="3"/>
    <x v="2"/>
    <s v="PLAQUETTES"/>
    <s v="290x12"/>
    <n v="70"/>
  </r>
  <r>
    <d v="2025-03-17T05:20:13"/>
    <x v="8"/>
    <s v="Plaquettes d'ébauches rhombiques"/>
    <s v="SE08251"/>
    <s v="FAYET AYMERIC"/>
    <n v="10"/>
    <x v="3"/>
    <x v="3"/>
    <s v="PLAQUETTES"/>
    <s v="290x12"/>
    <n v="70"/>
  </r>
  <r>
    <d v="2025-03-17T05:20:38"/>
    <x v="8"/>
    <s v="Plaquettes d'ébauches rhombiques"/>
    <s v="SE08251"/>
    <s v="FAYET AYMERIC"/>
    <n v="10"/>
    <x v="0"/>
    <x v="3"/>
    <s v="PLAQUETTES"/>
    <s v="356x26 RPI"/>
    <n v="70"/>
  </r>
  <r>
    <d v="2025-03-17T16:00:27"/>
    <x v="8"/>
    <s v="Plaquettes d'ébauches rhombiques"/>
    <s v="130325"/>
    <s v="PAPONNEAU JULIEN"/>
    <n v="10"/>
    <x v="1"/>
    <x v="3"/>
    <s v="PLAQUETTES"/>
    <s v="304x28 RPE"/>
    <n v="70"/>
  </r>
  <r>
    <d v="2025-03-17T17:07:54"/>
    <x v="8"/>
    <s v="Plaquettes d'ébauches rhombiques"/>
    <s v="140325"/>
    <s v="BOUCLIER JONATHAN"/>
    <n v="10"/>
    <x v="2"/>
    <x v="4"/>
    <s v="PLAQUETTES"/>
    <s v="302x26 RPI"/>
    <n v="70"/>
  </r>
  <r>
    <d v="2025-03-18T01:55:37"/>
    <x v="8"/>
    <s v="Plaquettes d'ébauches rhombiques"/>
    <s v="101224"/>
    <s v="CHAZEAU KYLIAN"/>
    <n v="10"/>
    <x v="0"/>
    <x v="3"/>
    <s v="PLAQUETTES"/>
    <s v="356x26 RPI"/>
    <n v="70"/>
  </r>
  <r>
    <d v="2025-03-18T01:55:52"/>
    <x v="8"/>
    <s v="Plaquettes d'ébauches rhombiques"/>
    <s v="101224"/>
    <s v="CHAZEAU KYLIAN"/>
    <n v="10"/>
    <x v="3"/>
    <x v="3"/>
    <s v="PLAQUETTES"/>
    <s v="290x12"/>
    <n v="70"/>
  </r>
  <r>
    <d v="2025-03-18T05:20:25"/>
    <x v="8"/>
    <s v="Plaquettes d'ébauches rhombiques"/>
    <s v="280225"/>
    <s v="FERNANDES DOS SANTOS REMY"/>
    <n v="10"/>
    <x v="1"/>
    <x v="3"/>
    <s v="PLAQUETTES"/>
    <s v="304x28 RPE"/>
    <n v="70"/>
  </r>
  <r>
    <d v="2025-03-18T14:30:49"/>
    <x v="8"/>
    <s v="Plaquettes d'ébauches rhombiques"/>
    <s v="140325"/>
    <s v="BOUCLIER JONATHAN"/>
    <n v="10"/>
    <x v="2"/>
    <x v="2"/>
    <s v="PLAQUETTES"/>
    <s v="302x26 RPI"/>
    <n v="70"/>
  </r>
  <r>
    <d v="2025-03-18T22:03:54"/>
    <x v="8"/>
    <s v="Plaquettes d'ébauches rhombiques"/>
    <s v="101224"/>
    <s v="CHAZEAU KYLIAN"/>
    <n v="10"/>
    <x v="3"/>
    <x v="2"/>
    <s v="PLAQUETTES"/>
    <s v="290x12"/>
    <n v="70"/>
  </r>
  <r>
    <d v="2025-03-19T21:47:55"/>
    <x v="8"/>
    <s v="Plaquettes d'ébauches rhombiques"/>
    <s v="101224"/>
    <s v="CHAZEAU KYLIAN"/>
    <n v="10"/>
    <x v="3"/>
    <x v="3"/>
    <s v="PLAQUETTES"/>
    <s v="290x12"/>
    <n v="70"/>
  </r>
  <r>
    <d v="2025-03-19T21:48:24"/>
    <x v="8"/>
    <s v="Plaquettes d'ébauches rhombiques"/>
    <s v="101224"/>
    <s v="CHAZEAU KYLIAN"/>
    <n v="10"/>
    <x v="0"/>
    <x v="3"/>
    <s v="PLAQUETTES"/>
    <s v="356x26 RPI"/>
    <n v="70"/>
  </r>
  <r>
    <d v="2025-03-20T14:39:45"/>
    <x v="8"/>
    <s v="Plaquettes d'ébauches rhombiques"/>
    <s v="130325"/>
    <s v="PAPONNEAU JULIEN"/>
    <n v="10"/>
    <x v="1"/>
    <x v="3"/>
    <s v="PLAQUETTES"/>
    <s v="304x28 RPE"/>
    <n v="70"/>
  </r>
  <r>
    <d v="2025-03-20T18:40:22"/>
    <x v="8"/>
    <s v="Plaquettes d'ébauches rhombiques"/>
    <s v="140325"/>
    <s v="BOUCLIER JONATHAN"/>
    <n v="10"/>
    <x v="2"/>
    <x v="2"/>
    <s v="PLAQUETTES"/>
    <s v="302x26 RPI"/>
    <n v="70"/>
  </r>
  <r>
    <d v="2025-03-20T18:40:38"/>
    <x v="8"/>
    <s v="Plaquettes d'ébauches rhombiques"/>
    <s v="140325"/>
    <s v="BOUCLIER JONATHAN"/>
    <n v="10"/>
    <x v="2"/>
    <x v="4"/>
    <s v="PLAQUETTES"/>
    <s v="302x26 RPI"/>
    <n v="70"/>
  </r>
  <r>
    <d v="2025-03-21T13:13:22"/>
    <x v="8"/>
    <s v="Plaquettes d'ébauches rhombiques"/>
    <s v="130325"/>
    <s v="PAPONNEAU JULIEN"/>
    <n v="10"/>
    <x v="1"/>
    <x v="0"/>
    <s v="PLAQUETTES"/>
    <s v="304x28 RPE"/>
    <n v="70"/>
  </r>
  <r>
    <d v="2025-03-21T14:31:43"/>
    <x v="8"/>
    <s v="Plaquettes d'ébauches rhombiques"/>
    <s v="7236310"/>
    <s v="BRANDALY JEREMY"/>
    <n v="10"/>
    <x v="0"/>
    <x v="3"/>
    <s v="PLAQUETTES"/>
    <s v="356x26 RPI"/>
    <n v="70"/>
  </r>
  <r>
    <d v="2025-03-24T05:09:29"/>
    <x v="8"/>
    <s v="Plaquettes d'ébauches rhombiques"/>
    <s v="7236310"/>
    <s v="BRANDALY JEREMY"/>
    <n v="10"/>
    <x v="0"/>
    <x v="3"/>
    <s v="PLAQUETTES"/>
    <s v="330x14"/>
    <n v="70"/>
  </r>
  <r>
    <d v="2025-03-24T05:10:05"/>
    <x v="8"/>
    <s v="Plaquettes d'ébauches rhombiques"/>
    <s v="7236310"/>
    <s v="BRANDALY JEREMY"/>
    <n v="10"/>
    <x v="3"/>
    <x v="3"/>
    <s v="PLAQUETTES"/>
    <s v="290x12"/>
    <n v="70"/>
  </r>
  <r>
    <d v="2025-03-24T05:23:20"/>
    <x v="8"/>
    <s v="Plaquettes d'ébauches rhombiques"/>
    <s v="130325"/>
    <s v="PAPONNEAU JULIEN"/>
    <n v="10"/>
    <x v="1"/>
    <x v="3"/>
    <s v="PLAQUETTES"/>
    <s v="304x28 RPE"/>
    <n v="70"/>
  </r>
  <r>
    <d v="2025-03-24T13:24:49"/>
    <x v="8"/>
    <s v="Plaquettes d'ébauches rhombiques"/>
    <s v="101224"/>
    <s v="CHAZEAU KYLIAN"/>
    <n v="10"/>
    <x v="0"/>
    <x v="2"/>
    <s v="PLAQUETTES"/>
    <s v="330x14"/>
    <n v="70"/>
  </r>
  <r>
    <d v="2025-03-24T13:25:06"/>
    <x v="8"/>
    <s v="Plaquettes d'ébauches rhombiques"/>
    <s v="101224"/>
    <s v="CHAZEAU KYLIAN"/>
    <n v="10"/>
    <x v="3"/>
    <x v="2"/>
    <s v="PLAQUETTES"/>
    <s v="290x12"/>
    <n v="70"/>
  </r>
  <r>
    <d v="2025-03-25T06:41:45"/>
    <x v="8"/>
    <s v="Plaquettes d'ébauches rhombiques"/>
    <s v="130325"/>
    <s v="PAPONNEAU JULIEN"/>
    <n v="10"/>
    <x v="1"/>
    <x v="3"/>
    <s v="PLAQUETTES"/>
    <s v="304x28 RPE"/>
    <n v="70"/>
  </r>
  <r>
    <d v="2025-03-25T18:20:10"/>
    <x v="8"/>
    <s v="Plaquettes d'ébauches rhombiques"/>
    <s v="130124"/>
    <s v="MOHAMED ILDIRAY"/>
    <n v="10"/>
    <x v="1"/>
    <x v="3"/>
    <s v="PLAQUETTES"/>
    <s v="304x28 RPE"/>
    <n v="70"/>
  </r>
  <r>
    <d v="2025-03-26T00:36:32"/>
    <x v="8"/>
    <s v="Plaquettes d'ébauches rhombiques"/>
    <s v="U109136"/>
    <s v="WIPLIE FREDERIC"/>
    <n v="10"/>
    <x v="0"/>
    <x v="3"/>
    <s v="PLAQUETTES"/>
    <s v="330x14"/>
    <n v="70"/>
  </r>
  <r>
    <d v="2025-03-26T05:39:35"/>
    <x v="8"/>
    <s v="Plaquettes d'ébauches rhombiques"/>
    <s v="7236310"/>
    <s v="BRANDALY JEREMY"/>
    <n v="10"/>
    <x v="0"/>
    <x v="3"/>
    <s v="PLAQUETTES"/>
    <s v="330x14"/>
    <n v="70"/>
  </r>
  <r>
    <d v="2025-03-26T05:40:29"/>
    <x v="8"/>
    <s v="Plaquettes d'ébauches rhombiques"/>
    <s v="7236310"/>
    <s v="BRANDALY JEREMY"/>
    <n v="10"/>
    <x v="3"/>
    <x v="3"/>
    <s v="PLAQUETTES"/>
    <s v="290x12"/>
    <n v="70"/>
  </r>
  <r>
    <d v="2025-03-26T13:14:38"/>
    <x v="8"/>
    <s v="Plaquettes d'ébauches rhombiques"/>
    <s v="130124"/>
    <s v="MOHAMED ILDIRAY"/>
    <n v="10"/>
    <x v="1"/>
    <x v="3"/>
    <s v="PLAQUETTES"/>
    <s v="304x28 RPE"/>
    <n v="70"/>
  </r>
  <r>
    <d v="2025-03-27T01:03:33"/>
    <x v="8"/>
    <s v="Plaquettes d'ébauches rhombiques"/>
    <s v="U109136"/>
    <s v="WIPLIE FREDERIC"/>
    <n v="10"/>
    <x v="3"/>
    <x v="2"/>
    <s v="PLAQUETTES"/>
    <s v="290x12"/>
    <n v="70"/>
  </r>
  <r>
    <d v="2025-03-27T06:26:54"/>
    <x v="8"/>
    <s v="Plaquettes d'ébauches rhombiques"/>
    <s v="140325"/>
    <s v="BOUCLIER JONATHAN"/>
    <n v="10"/>
    <x v="2"/>
    <x v="2"/>
    <s v="PLAQUETTES"/>
    <s v="302x26 RPI"/>
    <n v="70"/>
  </r>
  <r>
    <d v="2025-03-27T06:27:09"/>
    <x v="8"/>
    <s v="Plaquettes d'ébauches rhombiques"/>
    <s v="140325"/>
    <s v="BOUCLIER JONATHAN"/>
    <n v="10"/>
    <x v="2"/>
    <x v="4"/>
    <s v="PLAQUETTES"/>
    <s v="302x26 RPI"/>
    <n v="70"/>
  </r>
  <r>
    <d v="2025-03-27T13:13:33"/>
    <x v="8"/>
    <s v="Plaquettes d'ébauches rhombiques"/>
    <s v="130124"/>
    <s v="MOHAMED ILDIRAY"/>
    <n v="10"/>
    <x v="1"/>
    <x v="3"/>
    <s v="PLAQUETTES"/>
    <s v="304x28 RPE"/>
    <n v="70"/>
  </r>
  <r>
    <d v="2025-03-27T13:40:36"/>
    <x v="8"/>
    <s v="Plaquettes d'ébauches rhombiques"/>
    <s v="101123"/>
    <s v="BRUNET ANDREA"/>
    <n v="10"/>
    <x v="2"/>
    <x v="2"/>
    <s v="PLAQUETTES"/>
    <s v="302x26 RPI"/>
    <n v="70"/>
  </r>
  <r>
    <d v="2025-03-28T14:11:21"/>
    <x v="8"/>
    <s v="Plaquettes d'ébauches rhombiques"/>
    <s v="101224"/>
    <s v="CHAZEAU KYLIAN"/>
    <n v="10"/>
    <x v="3"/>
    <x v="2"/>
    <s v="PLAQUETTES"/>
    <s v="290x12"/>
    <n v="70"/>
  </r>
  <r>
    <d v="2025-03-28T15:30:44"/>
    <x v="8"/>
    <s v="Plaquettes d'ébauches rhombiques"/>
    <s v="130124"/>
    <s v="MOHAMED ILDIRAY"/>
    <n v="10"/>
    <x v="1"/>
    <x v="3"/>
    <s v="PLAQUETTES"/>
    <s v="304x28 RPE"/>
    <n v="70"/>
  </r>
  <r>
    <d v="2025-03-29T00:44:28"/>
    <x v="8"/>
    <s v="Plaquettes d'ébauches rhombiques"/>
    <s v="SE08251"/>
    <s v="FAYET AYMERIC"/>
    <n v="10"/>
    <x v="3"/>
    <x v="3"/>
    <s v="PLAQUETTES"/>
    <s v="290x12"/>
    <n v="70"/>
  </r>
  <r>
    <d v="2025-03-30T17:11:27"/>
    <x v="8"/>
    <s v="Plaquettes d'ébauches rhombiques"/>
    <s v="J534699"/>
    <s v="FABIAN CHARTON"/>
    <n v="10"/>
    <x v="2"/>
    <x v="2"/>
    <s v="PLAQUETTES"/>
    <s v="302x26 RPI"/>
    <n v="70"/>
  </r>
  <r>
    <d v="2025-03-30T17:13:17"/>
    <x v="8"/>
    <s v="Plaquettes d'ébauches rhombiques"/>
    <s v="J534699"/>
    <s v="FABIAN CHARTON"/>
    <n v="10"/>
    <x v="2"/>
    <x v="4"/>
    <s v="PLAQUETTES"/>
    <s v="302x26 RPI"/>
    <n v="70"/>
  </r>
  <r>
    <d v="2025-03-30T17:20:32"/>
    <x v="8"/>
    <s v="Plaquettes d'ébauches rhombiques"/>
    <s v="u109136"/>
    <s v="WIPLIE FREDERIC"/>
    <n v="10"/>
    <x v="0"/>
    <x v="2"/>
    <s v="PLAQUETTES"/>
    <s v="290x12"/>
    <n v="70"/>
  </r>
  <r>
    <d v="2025-03-30T21:10:09"/>
    <x v="8"/>
    <s v="Plaquettes d'ébauches rhombiques"/>
    <s v="U515988"/>
    <s v="BLAHA"/>
    <n v="10"/>
    <x v="1"/>
    <x v="3"/>
    <s v="PLAQUETTES"/>
    <s v="304x28 RPE"/>
    <n v="70"/>
  </r>
  <r>
    <d v="2025-03-31T05:05:06"/>
    <x v="8"/>
    <s v="Plaquettes d'ébauches rhombiques"/>
    <s v="101123"/>
    <s v="BRUNET ANDREA"/>
    <n v="10"/>
    <x v="2"/>
    <x v="1"/>
    <s v="PLAQUETTES"/>
    <s v="302x26 RPI"/>
    <n v="70"/>
  </r>
  <r>
    <d v="2025-03-31T13:26:29"/>
    <x v="8"/>
    <s v="Plaquettes d'ébauches rhombiques"/>
    <s v="SE08251"/>
    <s v="FAYET AYMERIC"/>
    <n v="10"/>
    <x v="0"/>
    <x v="2"/>
    <s v="PLAQUETTES"/>
    <s v="356x26 RPI"/>
    <n v="70"/>
  </r>
  <r>
    <d v="2025-03-31T13:26:54"/>
    <x v="8"/>
    <s v="Plaquettes d'ébauches rhombiques"/>
    <s v="SE08251"/>
    <s v="FAYET AYMERIC"/>
    <n v="10"/>
    <x v="3"/>
    <x v="2"/>
    <s v="PLAQUETTES"/>
    <s v="290x12"/>
    <n v="70"/>
  </r>
  <r>
    <d v="2025-03-31T22:46:29"/>
    <x v="8"/>
    <s v="Plaquettes d'ébauches rhombiques"/>
    <s v="u636817"/>
    <s v="MOCQUEREAU LYDIE"/>
    <n v="10"/>
    <x v="2"/>
    <x v="1"/>
    <s v="PLAQUETTES"/>
    <s v="302x26 RPI"/>
    <n v="70"/>
  </r>
  <r>
    <d v="2025-04-01T14:10:51"/>
    <x v="8"/>
    <s v="Plaquettes d'ébauches rhombiques"/>
    <s v="SD88834"/>
    <s v="PEJOUX MELANIE"/>
    <n v="10"/>
    <x v="0"/>
    <x v="2"/>
    <s v="PLAQUETTES"/>
    <s v="330x14"/>
    <n v="70"/>
  </r>
  <r>
    <d v="2025-04-01T14:11:09"/>
    <x v="8"/>
    <s v="Plaquettes d'ébauches rhombiques"/>
    <s v="SD88834"/>
    <s v="PEJOUX MELANIE"/>
    <n v="10"/>
    <x v="3"/>
    <x v="2"/>
    <s v="PLAQUETTES"/>
    <s v="290x12"/>
    <n v="70"/>
  </r>
  <r>
    <d v="2025-04-02T04:01:54"/>
    <x v="8"/>
    <s v="Plaquettes d'ébauches rhombiques"/>
    <s v="140325"/>
    <s v="BOUCLIER JONATHAN"/>
    <n v="10"/>
    <x v="2"/>
    <x v="2"/>
    <s v="PLAQUETTES"/>
    <s v="302x26 RPI"/>
    <n v="70"/>
  </r>
  <r>
    <d v="2025-04-02T06:40:12"/>
    <x v="8"/>
    <s v="Plaquettes d'ébauches rhombiques"/>
    <s v="130124"/>
    <s v="MOHAMED ILDIRAY"/>
    <n v="10"/>
    <x v="1"/>
    <x v="3"/>
    <s v="PLAQUETTES"/>
    <s v="304x28 RPE"/>
    <n v="70"/>
  </r>
  <r>
    <d v="2025-04-02T14:12:09"/>
    <x v="8"/>
    <s v="Plaquettes d'ébauches rhombiques"/>
    <s v="SE08251"/>
    <s v="FAYET AYMERIC"/>
    <n v="10"/>
    <x v="0"/>
    <x v="2"/>
    <s v="PLAQUETTES"/>
    <s v="330x14"/>
    <n v="70"/>
  </r>
  <r>
    <d v="2025-04-02T14:22:06"/>
    <x v="8"/>
    <s v="Plaquettes d'ébauches rhombiques"/>
    <s v="SE08251"/>
    <s v="FAYET AYMERIC"/>
    <n v="10"/>
    <x v="3"/>
    <x v="3"/>
    <s v="PLAQUETTES"/>
    <s v="290x12"/>
    <n v="70"/>
  </r>
  <r>
    <d v="2025-04-02T19:05:23"/>
    <x v="8"/>
    <s v="Plaquettes d'ébauches rhombiques"/>
    <s v="11737592"/>
    <s v="BLOCQUET DAVID"/>
    <n v="10"/>
    <x v="2"/>
    <x v="1"/>
    <s v="PLAQUETTES"/>
    <s v="302x26 RPI"/>
    <n v="70"/>
  </r>
  <r>
    <d v="2025-04-02T22:04:53"/>
    <x v="8"/>
    <s v="Plaquettes d'ébauches rhombiques"/>
    <s v="7236310"/>
    <s v="BRANDALY JEREMY"/>
    <n v="10"/>
    <x v="0"/>
    <x v="3"/>
    <s v="PLAQUETTES"/>
    <s v="330x14"/>
    <n v="70"/>
  </r>
  <r>
    <d v="2025-04-02T22:05:07"/>
    <x v="8"/>
    <s v="Plaquettes d'ébauches rhombiques"/>
    <s v="7236310"/>
    <s v="BRANDALY JEREMY"/>
    <n v="10"/>
    <x v="3"/>
    <x v="3"/>
    <s v="PLAQUETTES"/>
    <s v="290x12"/>
    <n v="70"/>
  </r>
  <r>
    <d v="2025-04-02T23:53:15"/>
    <x v="8"/>
    <s v="Plaquettes d'ébauches rhombiques"/>
    <s v="140325"/>
    <s v="BOUCLIER JONATHAN"/>
    <n v="10"/>
    <x v="2"/>
    <x v="4"/>
    <s v="PLAQUETTES"/>
    <s v="302x26 RPI"/>
    <n v="70"/>
  </r>
  <r>
    <d v="2025-04-03T05:10:58"/>
    <x v="8"/>
    <s v="Plaquettes d'ébauches rhombiques"/>
    <s v="130124"/>
    <s v="MOHAMED ILDIRAY"/>
    <n v="10"/>
    <x v="1"/>
    <x v="3"/>
    <s v="PLAQUETTES"/>
    <s v="304x28 RPE"/>
    <n v="70"/>
  </r>
  <r>
    <d v="2025-04-03T13:16:06"/>
    <x v="8"/>
    <s v="Plaquettes d'ébauches rhombiques"/>
    <s v="280225"/>
    <s v="FERNANDES DOS SANTOS REMY"/>
    <n v="10"/>
    <x v="0"/>
    <x v="3"/>
    <s v="PLAQUETTES"/>
    <s v="330x14"/>
    <n v="70"/>
  </r>
  <r>
    <d v="2025-04-03T20:13:34"/>
    <x v="8"/>
    <s v="Plaquettes d'ébauches rhombiques"/>
    <s v="SE08251"/>
    <s v="FAYET AYMERIC"/>
    <n v="10"/>
    <x v="0"/>
    <x v="3"/>
    <s v="PLAQUETTES"/>
    <s v="290x12"/>
    <n v="70"/>
  </r>
  <r>
    <d v="2025-04-03T20:13:57"/>
    <x v="8"/>
    <s v="Plaquettes d'ébauches rhombiques"/>
    <s v="SE08251"/>
    <s v="FAYET AYMERIC"/>
    <n v="10"/>
    <x v="0"/>
    <x v="3"/>
    <s v="PLAQUETTES"/>
    <s v="330x14"/>
    <n v="70"/>
  </r>
  <r>
    <d v="2025-04-03T22:24:07"/>
    <x v="8"/>
    <s v="Plaquettes d'ébauches rhombiques"/>
    <s v="130325"/>
    <s v="PAPONNEAU JULIEN"/>
    <n v="10"/>
    <x v="1"/>
    <x v="3"/>
    <s v="PLAQUETTES"/>
    <s v="304x28 RPE"/>
    <n v="70"/>
  </r>
  <r>
    <d v="2025-04-04T18:50:35"/>
    <x v="8"/>
    <s v="Plaquettes d'ébauches rhombiques"/>
    <s v="SE08251"/>
    <s v="FAYET AYMERIC"/>
    <n v="10"/>
    <x v="0"/>
    <x v="2"/>
    <s v="PLAQUETTES"/>
    <s v="290x12"/>
    <n v="70"/>
  </r>
  <r>
    <d v="2025-04-04T20:49:24"/>
    <x v="8"/>
    <s v="Plaquettes d'ébauches rhombiques"/>
    <s v="SE08251"/>
    <s v="FAYET AYMERIC"/>
    <n v="10"/>
    <x v="3"/>
    <x v="3"/>
    <s v="PLAQUETTES"/>
    <s v="290x12"/>
    <n v="70"/>
  </r>
  <r>
    <d v="2025-04-04T21:09:51"/>
    <x v="8"/>
    <s v="Plaquettes d'ébauches rhombiques"/>
    <s v="140325"/>
    <s v="BOUCLIER JONATHAN"/>
    <n v="10"/>
    <x v="2"/>
    <x v="2"/>
    <s v="PLAQUETTES"/>
    <s v="302x26 RPI"/>
    <n v="70"/>
  </r>
  <r>
    <d v="2025-04-07T05:12:39"/>
    <x v="8"/>
    <s v="Plaquettes d'ébauches rhombiques"/>
    <s v="SE08251"/>
    <s v="FAYET AYMERIC"/>
    <n v="10"/>
    <x v="0"/>
    <x v="2"/>
    <s v="PLAQUETTES"/>
    <s v="330x14"/>
    <n v="70"/>
  </r>
  <r>
    <d v="2025-04-07T05:13:32"/>
    <x v="8"/>
    <s v="Plaquettes d'ébauches rhombiques"/>
    <s v="SE08251"/>
    <s v="FAYET AYMERIC"/>
    <n v="10"/>
    <x v="3"/>
    <x v="2"/>
    <s v="PLAQUETTES"/>
    <s v="290x12"/>
    <n v="70"/>
  </r>
  <r>
    <d v="2025-04-07T13:04:19"/>
    <x v="8"/>
    <s v="Plaquettes d'ébauches rhombiques"/>
    <s v="140325"/>
    <s v="BOUCLIER JONATHAN"/>
    <n v="10"/>
    <x v="2"/>
    <x v="2"/>
    <s v="PLAQUETTES"/>
    <s v="302x26 RPI"/>
    <n v="70"/>
  </r>
  <r>
    <d v="2025-04-07T21:19:05"/>
    <x v="8"/>
    <s v="Plaquettes d'ébauches rhombiques"/>
    <s v="130124"/>
    <s v="MOHAMED ILDIRAY"/>
    <n v="10"/>
    <x v="1"/>
    <x v="3"/>
    <s v="PLAQUETTES"/>
    <s v="304x28 RPE"/>
    <n v="70"/>
  </r>
  <r>
    <d v="2025-04-08T05:50:29"/>
    <x v="8"/>
    <s v="Plaquettes d'ébauches rhombiques"/>
    <s v="SE08251"/>
    <s v="FAYET AYMERIC"/>
    <n v="10"/>
    <x v="0"/>
    <x v="2"/>
    <s v="PLAQUETTES"/>
    <s v="330x14"/>
    <n v="70"/>
  </r>
  <r>
    <d v="2025-04-08T05:51:41"/>
    <x v="8"/>
    <s v="Plaquettes d'ébauches rhombiques"/>
    <s v="SE08251"/>
    <s v="FAYET AYMERIC"/>
    <n v="10"/>
    <x v="0"/>
    <x v="2"/>
    <s v="PLAQUETTES"/>
    <s v="330x14"/>
    <n v="70"/>
  </r>
  <r>
    <d v="2025-04-08T23:12:45"/>
    <x v="8"/>
    <s v="Plaquettes d'ébauches rhombiques"/>
    <s v="130124"/>
    <s v="MOHAMED ILDIRAY"/>
    <n v="10"/>
    <x v="1"/>
    <x v="3"/>
    <s v="PLAQUETTES"/>
    <s v="304x28 RPE"/>
    <n v="70"/>
  </r>
  <r>
    <d v="2025-04-09T08:37:21"/>
    <x v="8"/>
    <s v="Plaquettes d'ébauches rhombiques"/>
    <s v="SE08251"/>
    <s v="FAYET AYMERIC"/>
    <n v="10"/>
    <x v="3"/>
    <x v="2"/>
    <s v="PLAQUETTES"/>
    <s v="290x12"/>
    <n v="70"/>
  </r>
  <r>
    <d v="2025-04-09T09:46:07"/>
    <x v="8"/>
    <s v="Plaquettes d'ébauches rhombiques"/>
    <s v="SE08251"/>
    <s v="FAYET AYMERIC"/>
    <n v="10"/>
    <x v="0"/>
    <x v="2"/>
    <s v="PLAQUETTES"/>
    <s v="330x14"/>
    <n v="70"/>
  </r>
  <r>
    <d v="2025-04-09T13:17:56"/>
    <x v="8"/>
    <s v="Plaquettes d'ébauches rhombiques"/>
    <s v="140325"/>
    <s v="BOUCLIER JONATHAN"/>
    <n v="10"/>
    <x v="2"/>
    <x v="2"/>
    <s v="PLAQUETTES"/>
    <s v="302x26 RPI"/>
    <n v="70"/>
  </r>
  <r>
    <d v="2025-04-09T13:18:20"/>
    <x v="8"/>
    <s v="Plaquettes d'ébauches rhombiques"/>
    <s v="140325"/>
    <s v="BOUCLIER JONATHAN"/>
    <n v="10"/>
    <x v="2"/>
    <x v="4"/>
    <s v="PLAQUETTES"/>
    <s v="302x26 RPI"/>
    <n v="70"/>
  </r>
  <r>
    <d v="2025-04-10T14:44:12"/>
    <x v="8"/>
    <s v="Plaquettes d'ébauches rhombiques"/>
    <s v="SD75051"/>
    <s v="COMBALUZIER LUCAS"/>
    <n v="10"/>
    <x v="0"/>
    <x v="2"/>
    <s v="PLAQUETTES"/>
    <s v="356x26 RPI"/>
    <n v="70"/>
  </r>
  <r>
    <d v="2025-04-10T14:44:32"/>
    <x v="8"/>
    <s v="Plaquettes d'ébauches rhombiques"/>
    <s v="SD75051"/>
    <s v="COMBALUZIER LUCAS"/>
    <n v="10"/>
    <x v="3"/>
    <x v="2"/>
    <s v="PLAQUETTES"/>
    <s v="290x12"/>
    <n v="70"/>
  </r>
  <r>
    <d v="2025-04-10T21:53:49"/>
    <x v="8"/>
    <s v="Plaquettes d'ébauches rhombiques"/>
    <s v="130124"/>
    <s v="MOHAMED ILDIRAY"/>
    <n v="10"/>
    <x v="1"/>
    <x v="3"/>
    <s v="PLAQUETTES"/>
    <s v="304x28 RPE"/>
    <n v="70"/>
  </r>
  <r>
    <d v="2025-04-11T04:27:36"/>
    <x v="8"/>
    <s v="Plaquettes d'ébauches rhombiques"/>
    <s v="J609988"/>
    <s v="AMALRIC VINCENT"/>
    <n v="10"/>
    <x v="2"/>
    <x v="2"/>
    <s v="PLAQUETTES"/>
    <s v="302x26 RPI"/>
    <n v="70"/>
  </r>
  <r>
    <d v="2025-04-11T13:54:29"/>
    <x v="8"/>
    <s v="Plaquettes d'ébauches rhombiques"/>
    <s v="SD75051"/>
    <s v="COMBALUZIER LUCAS"/>
    <n v="10"/>
    <x v="0"/>
    <x v="2"/>
    <s v="PLAQUETTES"/>
    <s v="356x26 RPI"/>
    <n v="70"/>
  </r>
  <r>
    <d v="2025-04-11T16:03:53"/>
    <x v="8"/>
    <s v="Plaquettes d'ébauches rhombiques"/>
    <s v="130325"/>
    <s v="PAPONNEAU JULIEN"/>
    <n v="10"/>
    <x v="1"/>
    <x v="3"/>
    <s v="PLAQUETTES"/>
    <s v="304x28 RPE"/>
    <n v="70"/>
  </r>
  <r>
    <d v="2025-04-13T21:25:34"/>
    <x v="8"/>
    <s v="Plaquettes d'ébauches rhombiques"/>
    <s v="U109136"/>
    <s v="WIPLIE FREDERIC"/>
    <n v="10"/>
    <x v="3"/>
    <x v="2"/>
    <s v="PLAQUETTES"/>
    <s v="290x12"/>
    <n v="70"/>
  </r>
  <r>
    <d v="2025-04-14T05:02:03"/>
    <x v="8"/>
    <s v="Plaquettes d'ébauches rhombiques"/>
    <s v="140325"/>
    <s v="BOUCLIER JONATHAN"/>
    <n v="10"/>
    <x v="2"/>
    <x v="2"/>
    <s v="PLAQUETTES"/>
    <s v="302x26 RPI"/>
    <n v="70"/>
  </r>
  <r>
    <d v="2025-04-14T05:08:09"/>
    <x v="8"/>
    <s v="Plaquettes d'ébauches rhombiques"/>
    <s v="SD75051"/>
    <s v="COMBALUZIER LUCAS"/>
    <n v="10"/>
    <x v="0"/>
    <x v="2"/>
    <s v="PLAQUETTES"/>
    <s v="356x26 RPI"/>
    <n v="70"/>
  </r>
  <r>
    <d v="2025-04-14T05:08:29"/>
    <x v="8"/>
    <s v="Plaquettes d'ébauches rhombiques"/>
    <s v="SD75051"/>
    <s v="COMBALUZIER LUCAS"/>
    <n v="10"/>
    <x v="3"/>
    <x v="2"/>
    <s v="PLAQUETTES"/>
    <s v="290x12"/>
    <n v="70"/>
  </r>
  <r>
    <d v="2025-04-14T12:22:09"/>
    <x v="8"/>
    <s v="Plaquettes d'ébauches rhombiques"/>
    <s v="130325"/>
    <s v="PAPONNEAU JULIEN"/>
    <n v="10"/>
    <x v="1"/>
    <x v="3"/>
    <s v="PLAQUETTES"/>
    <s v="304x28 RPE"/>
    <n v="70"/>
  </r>
  <r>
    <d v="2025-04-14T13:27:39"/>
    <x v="8"/>
    <s v="Plaquettes d'ébauches rhombiques"/>
    <s v="130124"/>
    <s v="MOHAMED ILDIRAY"/>
    <n v="10"/>
    <x v="1"/>
    <x v="3"/>
    <s v="PLAQUETTES"/>
    <s v="304x28 RPE"/>
    <n v="70"/>
  </r>
  <r>
    <d v="2025-04-15T07:31:48"/>
    <x v="8"/>
    <s v="Plaquettes d'ébauches rhombiques"/>
    <s v="u636817"/>
    <s v="MOCQUEREAU LYDIE"/>
    <n v="10"/>
    <x v="2"/>
    <x v="1"/>
    <s v="PLAQUETTES"/>
    <s v="302x26 RPI"/>
    <n v="70"/>
  </r>
  <r>
    <d v="2025-04-15T14:28:06"/>
    <x v="8"/>
    <s v="Plaquettes d'ébauches rhombiques"/>
    <s v="101224"/>
    <s v="CHAZEAU KYLIAN"/>
    <n v="10"/>
    <x v="0"/>
    <x v="3"/>
    <s v="PLAQUETTES"/>
    <s v="330x14"/>
    <n v="70"/>
  </r>
  <r>
    <d v="2025-04-15T14:28:21"/>
    <x v="8"/>
    <s v="Plaquettes d'ébauches rhombiques"/>
    <s v="101224"/>
    <s v="CHAZEAU KYLIAN"/>
    <n v="10"/>
    <x v="0"/>
    <x v="3"/>
    <s v="PLAQUETTES"/>
    <s v="330x14"/>
    <n v="70"/>
  </r>
  <r>
    <d v="2025-04-15T22:40:25"/>
    <x v="8"/>
    <s v="Plaquettes d'ébauches rhombiques"/>
    <s v="280225"/>
    <s v="FERNANDES DOS SANTOS REMY"/>
    <n v="10"/>
    <x v="1"/>
    <x v="3"/>
    <s v="PLAQUETTES"/>
    <s v="356x26 RPI"/>
    <n v="70"/>
  </r>
  <r>
    <d v="2025-04-16T06:32:38"/>
    <x v="8"/>
    <s v="Plaquettes d'ébauches rhombiques"/>
    <s v="SD75051"/>
    <s v="COMBALUZIER LUCAS"/>
    <n v="10"/>
    <x v="0"/>
    <x v="2"/>
    <s v="PLAQUETTES"/>
    <s v="330x14"/>
    <n v="70"/>
  </r>
  <r>
    <d v="2025-04-16T06:59:18"/>
    <x v="8"/>
    <s v="Plaquettes d'ébauches rhombiques"/>
    <s v="140325"/>
    <s v="BOUCLIER JONATHAN"/>
    <n v="10"/>
    <x v="2"/>
    <x v="2"/>
    <s v="PLAQUETTES"/>
    <s v="302x26 RPI"/>
    <n v="70"/>
  </r>
  <r>
    <d v="2025-04-16T07:00:39"/>
    <x v="8"/>
    <s v="Plaquettes d'ébauches rhombiques"/>
    <s v="140325"/>
    <s v="BOUCLIER JONATHAN"/>
    <n v="10"/>
    <x v="2"/>
    <x v="4"/>
    <s v="PLAQUETTES"/>
    <s v="302x26 RPI"/>
    <n v="70"/>
  </r>
  <r>
    <d v="2025-04-16T15:28:47"/>
    <x v="8"/>
    <s v="Plaquettes d'ébauches rhombiques"/>
    <s v="210325"/>
    <s v="DAUTUN ALLAN"/>
    <n v="10"/>
    <x v="2"/>
    <x v="2"/>
    <s v="PLAQUETTES"/>
    <s v="302x26 RPI"/>
    <n v="70"/>
  </r>
  <r>
    <d v="2025-04-16T15:29:14"/>
    <x v="8"/>
    <s v="Plaquettes d'ébauches rhombiques"/>
    <s v="210325"/>
    <s v="DAUTUN ALLAN"/>
    <n v="10"/>
    <x v="2"/>
    <x v="4"/>
    <s v="PLAQUETTES"/>
    <s v="302x26 RPI"/>
    <n v="70"/>
  </r>
  <r>
    <d v="2025-04-17T06:06:37"/>
    <x v="8"/>
    <s v="Plaquettes d'ébauches rhombiques"/>
    <s v="SD75051"/>
    <s v="COMBALUZIER LUCAS"/>
    <n v="10"/>
    <x v="0"/>
    <x v="2"/>
    <s v="PLAQUETTES"/>
    <s v="330x14"/>
    <n v="70"/>
  </r>
  <r>
    <d v="2025-04-17T06:07:34"/>
    <x v="8"/>
    <s v="Plaquettes d'ébauches rhombiques"/>
    <s v="SD75051"/>
    <s v="COMBALUZIER LUCAS"/>
    <n v="10"/>
    <x v="3"/>
    <x v="2"/>
    <s v="PLAQUETTES"/>
    <s v="290x12"/>
    <n v="70"/>
  </r>
  <r>
    <d v="2025-04-18T03:43:19"/>
    <x v="8"/>
    <s v="Plaquettes d'ébauches rhombiques"/>
    <s v="280225"/>
    <s v="FERNANDES DOS SANTOS REMY"/>
    <n v="10"/>
    <x v="1"/>
    <x v="3"/>
    <s v="PLAQUETTES"/>
    <s v="356x26 RPI"/>
    <n v="70"/>
  </r>
  <r>
    <d v="2025-04-20T21:19:33"/>
    <x v="8"/>
    <s v="Plaquettes d'ébauches rhombiques"/>
    <s v="U109136"/>
    <s v="WIPLIE FREDERIC"/>
    <n v="10"/>
    <x v="1"/>
    <x v="3"/>
    <s v="PLAQUETTES"/>
    <s v="304x28 RPE"/>
    <n v="70"/>
  </r>
  <r>
    <d v="2025-04-21T05:08:22"/>
    <x v="8"/>
    <s v="Plaquettes d'ébauches rhombiques"/>
    <s v="101123"/>
    <s v="BRUNET ANDREA"/>
    <n v="10"/>
    <x v="2"/>
    <x v="1"/>
    <s v="PLAQUETTES"/>
    <s v="302x26 RPI"/>
    <n v="70"/>
  </r>
  <r>
    <d v="2025-04-21T06:27:52"/>
    <x v="8"/>
    <s v="Plaquettes d'ébauches rhombiques"/>
    <s v="130124"/>
    <s v="MOHAMED ILDIRAY"/>
    <n v="10"/>
    <x v="1"/>
    <x v="3"/>
    <s v="PLAQUETTES"/>
    <s v="304x28 RPE"/>
    <n v="70"/>
  </r>
  <r>
    <d v="2025-04-22T05:53:18"/>
    <x v="8"/>
    <s v="Plaquettes d'ébauches rhombiques"/>
    <s v="130124"/>
    <s v="MOHAMED ILDIRAY"/>
    <n v="10"/>
    <x v="1"/>
    <x v="3"/>
    <s v="PLAQUETTES"/>
    <s v="304x28 RPE"/>
    <n v="70"/>
  </r>
  <r>
    <d v="2025-04-22T14:28:29"/>
    <x v="8"/>
    <s v="Plaquettes d'ébauches rhombiques"/>
    <s v="SE08251"/>
    <s v="FAYET AYMERIC"/>
    <n v="10"/>
    <x v="3"/>
    <x v="2"/>
    <s v="PLAQUETTES"/>
    <s v="290x12"/>
    <n v="70"/>
  </r>
  <r>
    <d v="2025-04-22T21:19:48"/>
    <x v="8"/>
    <s v="Plaquettes d'ébauches rhombiques"/>
    <s v="SD75051"/>
    <s v="COMBALUZIER LUCAS"/>
    <n v="10"/>
    <x v="0"/>
    <x v="2"/>
    <s v="PLAQUETTES"/>
    <s v="330x14"/>
    <n v="70"/>
  </r>
  <r>
    <d v="2025-04-22T23:36:22"/>
    <x v="8"/>
    <s v="Plaquettes d'ébauches rhombiques"/>
    <s v="130325"/>
    <s v="PAPONNEAU JULIEN"/>
    <n v="10"/>
    <x v="1"/>
    <x v="3"/>
    <s v="PLAQUETTES"/>
    <s v="304x28 RPE"/>
    <n v="70"/>
  </r>
  <r>
    <d v="2025-04-23T21:25:45"/>
    <x v="8"/>
    <s v="Plaquettes d'ébauches rhombiques"/>
    <s v="SD75051"/>
    <s v="COMBALUZIER LUCAS"/>
    <n v="10"/>
    <x v="3"/>
    <x v="2"/>
    <s v="PLAQUETTES"/>
    <s v="290x12"/>
    <n v="70"/>
  </r>
  <r>
    <d v="2025-04-24T05:49:23"/>
    <x v="8"/>
    <s v="Plaquettes d'ébauches rhombiques"/>
    <s v="130124"/>
    <s v="MOHAMED ILDIRAY"/>
    <n v="10"/>
    <x v="1"/>
    <x v="3"/>
    <s v="PLAQUETTES"/>
    <s v="304x28 RPE"/>
    <n v="70"/>
  </r>
  <r>
    <d v="2025-04-24T18:27:14"/>
    <x v="8"/>
    <s v="Plaquettes d'ébauches rhombiques"/>
    <s v="250425"/>
    <s v="CHANDAR ABDER"/>
    <n v="10"/>
    <x v="2"/>
    <x v="4"/>
    <s v="PLAQUETTES"/>
    <s v="302x26 RPI"/>
    <n v="70"/>
  </r>
  <r>
    <d v="2025-04-24T18:55:09"/>
    <x v="8"/>
    <s v="Plaquettes d'ébauches rhombiques"/>
    <s v="280225"/>
    <s v="FERNANDES DOS SANTOS REMY"/>
    <n v="10"/>
    <x v="1"/>
    <x v="3"/>
    <s v="PLAQUETTES"/>
    <s v="304x28 RPE"/>
    <n v="70"/>
  </r>
  <r>
    <d v="2025-04-24T20:51:51"/>
    <x v="8"/>
    <s v="Plaquettes d'ébauches rhombiques"/>
    <s v="SE08251"/>
    <s v="FAYET AYMERIC"/>
    <n v="10"/>
    <x v="0"/>
    <x v="2"/>
    <s v="PLAQUETTES"/>
    <s v="290x12"/>
    <n v="70"/>
  </r>
  <r>
    <d v="2025-04-24T20:52:26"/>
    <x v="8"/>
    <s v="Plaquettes d'ébauches rhombiques"/>
    <s v="SE08251"/>
    <s v="FAYET AYMERIC"/>
    <n v="10"/>
    <x v="3"/>
    <x v="2"/>
    <s v="PLAQUETTES"/>
    <s v="290x12"/>
    <n v="70"/>
  </r>
  <r>
    <d v="2025-04-24T22:20:34"/>
    <x v="8"/>
    <s v="Plaquettes d'ébauches rhombiques"/>
    <s v="140325"/>
    <s v="BOUCLIER JONATHAN"/>
    <n v="10"/>
    <x v="2"/>
    <x v="4"/>
    <s v="PLAQUETTES"/>
    <s v="302x26 RPI"/>
    <n v="70"/>
  </r>
  <r>
    <d v="2025-04-25T17:58:40"/>
    <x v="8"/>
    <s v="Plaquettes d'ébauches rhombiques"/>
    <s v="SE08251"/>
    <s v="FAYET AYMERIC"/>
    <n v="10"/>
    <x v="0"/>
    <x v="3"/>
    <s v="PLAQUETTES"/>
    <s v="356x26 RPI"/>
    <n v="70"/>
  </r>
  <r>
    <d v="2025-04-25T17:59:00"/>
    <x v="8"/>
    <s v="Plaquettes d'ébauches rhombiques"/>
    <s v="SE08251"/>
    <s v="FAYET AYMERIC"/>
    <n v="10"/>
    <x v="3"/>
    <x v="3"/>
    <s v="PLAQUETTES"/>
    <s v="290x12"/>
    <n v="70"/>
  </r>
  <r>
    <d v="2025-04-25T18:04:11"/>
    <x v="8"/>
    <s v="Plaquettes d'ébauches rhombiques"/>
    <s v="280225"/>
    <s v="FERNANDES DOS SANTOS REMY"/>
    <n v="10"/>
    <x v="1"/>
    <x v="3"/>
    <s v="PLAQUETTES"/>
    <s v="304x28 RPE"/>
    <n v="70"/>
  </r>
  <r>
    <d v="2025-04-27T17:50:44"/>
    <x v="8"/>
    <s v="Plaquettes d'ébauches rhombiques"/>
    <s v="j534699"/>
    <s v="FABIAN CHARTON"/>
    <n v="10"/>
    <x v="2"/>
    <x v="1"/>
    <s v="PLAQUETTES"/>
    <s v="302x26 RPI"/>
    <n v="70"/>
  </r>
  <r>
    <d v="2025-04-27T17:54:32"/>
    <x v="8"/>
    <s v="Plaquettes d'ébauches rhombiques"/>
    <s v="j534699"/>
    <s v="FABIAN CHARTON"/>
    <n v="10"/>
    <x v="2"/>
    <x v="4"/>
    <s v="PLAQUETTES"/>
    <s v="302x26 RPI"/>
    <n v="70"/>
  </r>
  <r>
    <d v="2025-04-27T17:57:02"/>
    <x v="8"/>
    <s v="Plaquettes d'ébauches rhombiques"/>
    <s v="j534699"/>
    <s v="FABIAN CHARTON"/>
    <n v="10"/>
    <x v="2"/>
    <x v="2"/>
    <s v="PLAQUETTES"/>
    <s v="302x26 RPI"/>
    <n v="70"/>
  </r>
  <r>
    <d v="2025-04-28T05:07:01"/>
    <x v="8"/>
    <s v="Plaquettes d'ébauches rhombiques"/>
    <s v="280225"/>
    <s v="FERNANDES DOS SANTOS REMY"/>
    <n v="10"/>
    <x v="1"/>
    <x v="3"/>
    <s v="PLAQUETTES"/>
    <s v="304x28 RPE"/>
    <n v="70"/>
  </r>
  <r>
    <d v="2025-04-28T05:15:57"/>
    <x v="8"/>
    <s v="Plaquettes d'ébauches rhombiques"/>
    <s v="SE08251"/>
    <s v="FAYET AYMERIC"/>
    <n v="10"/>
    <x v="3"/>
    <x v="2"/>
    <s v="PLAQUETTES"/>
    <s v="290x12"/>
    <n v="70"/>
  </r>
  <r>
    <d v="2025-04-28T08:10:20"/>
    <x v="8"/>
    <s v="Plaquettes d'ébauches rhombiques"/>
    <s v="SE08251"/>
    <s v="FAYET AYMERIC"/>
    <n v="10"/>
    <x v="0"/>
    <x v="2"/>
    <s v="PLAQUETTES"/>
    <s v="356x26 RPI"/>
    <n v="70"/>
  </r>
  <r>
    <d v="2025-04-28T15:01:05"/>
    <x v="8"/>
    <s v="Plaquettes d'ébauches rhombiques"/>
    <s v="140325"/>
    <s v="BOUCLIER JONATHAN"/>
    <n v="10"/>
    <x v="2"/>
    <x v="2"/>
    <s v="PLAQUETTES"/>
    <s v="302x26 RPI"/>
    <n v="70"/>
  </r>
  <r>
    <d v="2025-04-28T15:02:17"/>
    <x v="8"/>
    <s v="Plaquettes d'ébauches rhombiques"/>
    <s v="140325"/>
    <s v="BOUCLIER JONATHAN"/>
    <n v="10"/>
    <x v="2"/>
    <x v="4"/>
    <s v="PLAQUETTES"/>
    <s v="302x26 RPI"/>
    <n v="70"/>
  </r>
  <r>
    <d v="2025-04-29T05:15:20"/>
    <x v="8"/>
    <s v="Plaquettes d'ébauches rhombiques"/>
    <s v="171124"/>
    <s v="GONIN AGNES"/>
    <n v="10"/>
    <x v="2"/>
    <x v="4"/>
    <s v="PLAQUETTES"/>
    <s v="302x26 RPI"/>
    <n v="70"/>
  </r>
  <r>
    <d v="2025-04-29T18:58:14"/>
    <x v="8"/>
    <s v="Plaquettes d'ébauches rhombiques"/>
    <s v="130325"/>
    <s v="PAPONNEAU JULIEN"/>
    <n v="10"/>
    <x v="1"/>
    <x v="3"/>
    <s v="PLAQUETTES"/>
    <s v="304x28 RPE"/>
    <n v="70"/>
  </r>
  <r>
    <d v="2025-04-29T18:58:42"/>
    <x v="8"/>
    <s v="Plaquettes d'ébauches rhombiques"/>
    <s v="130325"/>
    <s v="PAPONNEAU JULIEN"/>
    <n v="10"/>
    <x v="1"/>
    <x v="3"/>
    <s v="PLAQUETTES"/>
    <s v="304x28 RPE"/>
    <n v="70"/>
  </r>
  <r>
    <d v="2025-04-29T20:05:37"/>
    <x v="8"/>
    <s v="Plaquettes d'ébauches rhombiques"/>
    <s v="7236310"/>
    <s v="BRANDALY JEREMY"/>
    <n v="10"/>
    <x v="3"/>
    <x v="3"/>
    <s v="PLAQUETTES"/>
    <s v="290x12"/>
    <n v="70"/>
  </r>
  <r>
    <d v="2025-04-30T05:21:48"/>
    <x v="8"/>
    <s v="Plaquettes d'ébauches rhombiques"/>
    <s v="SE08251"/>
    <s v="FAYET AYMERIC"/>
    <n v="10"/>
    <x v="0"/>
    <x v="2"/>
    <s v="PLAQUETTES"/>
    <s v="290x12"/>
    <n v="70"/>
  </r>
  <r>
    <d v="2025-04-30T05:22:06"/>
    <x v="8"/>
    <s v="Plaquettes d'ébauches rhombiques"/>
    <s v="SE08251"/>
    <s v="FAYET AYMERIC"/>
    <n v="10"/>
    <x v="0"/>
    <x v="2"/>
    <s v="PLAQUETTES"/>
    <s v="290x12"/>
    <n v="70"/>
  </r>
  <r>
    <d v="2025-04-30T05:22:45"/>
    <x v="8"/>
    <s v="Plaquettes d'ébauches rhombiques"/>
    <s v="SE08251"/>
    <s v="FAYET AYMERIC"/>
    <n v="10"/>
    <x v="0"/>
    <x v="3"/>
    <s v="PLAQUETTES"/>
    <s v="330x14"/>
    <n v="70"/>
  </r>
  <r>
    <d v="2025-04-30T05:24:02"/>
    <x v="8"/>
    <s v="Plaquettes d'ébauches rhombiques"/>
    <s v="SE08251"/>
    <s v="FAYET AYMERIC"/>
    <n v="10"/>
    <x v="3"/>
    <x v="3"/>
    <s v="PLAQUETTES"/>
    <s v="290x12"/>
    <n v="70"/>
  </r>
  <r>
    <d v="2025-04-30T17:20:14"/>
    <x v="8"/>
    <s v="Plaquettes d'ébauches rhombiques"/>
    <s v="140325"/>
    <s v="BOUCLIER JONATHAN"/>
    <n v="10"/>
    <x v="2"/>
    <x v="4"/>
    <s v="PLAQUETTES"/>
    <s v="302x26 RPI"/>
    <n v="70"/>
  </r>
  <r>
    <d v="2025-04-30T21:26:50"/>
    <x v="8"/>
    <s v="Plaquettes d'ébauches rhombiques"/>
    <s v="130124"/>
    <s v="MOHAMED ILDIRAY"/>
    <n v="10"/>
    <x v="1"/>
    <x v="3"/>
    <s v="PLAQUETTES"/>
    <s v="304x28 RPE"/>
    <n v="70"/>
  </r>
  <r>
    <d v="2025-05-02T09:52:16"/>
    <x v="8"/>
    <s v="Plaquettes d'ébauches rhombiques"/>
    <s v="J534699"/>
    <s v="FABIAN CHARTON"/>
    <n v="10"/>
    <x v="2"/>
    <x v="2"/>
    <s v="PLAQUETTES"/>
    <s v="302x26 RPI"/>
    <n v="70"/>
  </r>
  <r>
    <d v="2025-05-02T09:53:35"/>
    <x v="8"/>
    <s v="Plaquettes d'ébauches rhombiques"/>
    <s v="J534699"/>
    <s v="FABIAN CHARTON"/>
    <n v="10"/>
    <x v="2"/>
    <x v="1"/>
    <s v="PLAQUETTES"/>
    <s v="302x26 RPI"/>
    <n v="70"/>
  </r>
  <r>
    <d v="2025-05-02T21:32:59"/>
    <x v="8"/>
    <s v="Plaquettes d'ébauches rhombiques"/>
    <s v="130124"/>
    <s v="MOHAMED ILDIRAY"/>
    <n v="10"/>
    <x v="1"/>
    <x v="3"/>
    <s v="PLAQUETTES"/>
    <s v="304x28 RPE"/>
    <n v="70"/>
  </r>
  <r>
    <d v="2025-05-03T04:53:59"/>
    <x v="8"/>
    <s v="Plaquettes d'ébauches rhombiques"/>
    <s v="210325"/>
    <s v="DAUTUN ALLAN"/>
    <n v="10"/>
    <x v="2"/>
    <x v="2"/>
    <s v="PLAQUETTES"/>
    <s v="302x26 RPI"/>
    <n v="70"/>
  </r>
  <r>
    <d v="2025-05-05T13:20:29"/>
    <x v="8"/>
    <s v="Plaquettes d'ébauches rhombiques"/>
    <s v="130124"/>
    <s v="MOHAMED ILDIRAY"/>
    <n v="10"/>
    <x v="1"/>
    <x v="3"/>
    <s v="PLAQUETTES"/>
    <s v="304x28 RPE"/>
    <n v="70"/>
  </r>
  <r>
    <d v="2025-05-05T22:12:49"/>
    <x v="8"/>
    <s v="Plaquettes d'ébauches rhombiques"/>
    <s v="SE08251"/>
    <s v="FAYET AYMERIC"/>
    <n v="10"/>
    <x v="0"/>
    <x v="3"/>
    <s v="PLAQUETTES"/>
    <s v="330x14"/>
    <n v="70"/>
  </r>
  <r>
    <d v="2025-05-05T22:13:28"/>
    <x v="8"/>
    <s v="Plaquettes d'ébauches rhombiques"/>
    <s v="SE08251"/>
    <s v="FAYET AYMERIC"/>
    <n v="10"/>
    <x v="3"/>
    <x v="3"/>
    <s v="PLAQUETTES"/>
    <s v="290x12"/>
    <n v="70"/>
  </r>
  <r>
    <d v="2025-05-06T02:20:54"/>
    <x v="8"/>
    <s v="Plaquettes d'ébauches rhombiques"/>
    <s v="280225"/>
    <s v="FERNANDES DOS SANTOS REMY"/>
    <n v="10"/>
    <x v="1"/>
    <x v="3"/>
    <s v="PLAQUETTES"/>
    <s v="304x28 RPE"/>
    <n v="70"/>
  </r>
  <r>
    <d v="2025-05-06T21:21:22"/>
    <x v="8"/>
    <s v="Plaquettes d'ébauches rhombiques"/>
    <s v="SE08251"/>
    <s v="FAYET AYMERIC"/>
    <n v="10"/>
    <x v="3"/>
    <x v="3"/>
    <s v="PLAQUETTES"/>
    <s v="290x12"/>
    <n v="70"/>
  </r>
  <r>
    <d v="2025-05-07T00:59:28"/>
    <x v="8"/>
    <s v="Plaquettes d'ébauches rhombiques"/>
    <s v="250425"/>
    <s v="CHANDAR ABDER"/>
    <n v="10"/>
    <x v="2"/>
    <x v="2"/>
    <s v="PLAQUETTES"/>
    <s v="302x26 RPI"/>
    <n v="70"/>
  </r>
  <r>
    <d v="2025-05-07T09:06:43"/>
    <x v="8"/>
    <s v="Plaquettes d'ébauches rhombiques"/>
    <s v="130325"/>
    <s v="PAPONNEAU JULIEN"/>
    <n v="10"/>
    <x v="3"/>
    <x v="0"/>
    <s v="PLAQUETTES"/>
    <s v="290x12"/>
    <n v="70"/>
  </r>
  <r>
    <d v="2025-05-07T21:47:02"/>
    <x v="8"/>
    <s v="Plaquettes d'ébauches rhombiques"/>
    <s v="SE08251"/>
    <s v="FAYET AYMERIC"/>
    <n v="10"/>
    <x v="0"/>
    <x v="3"/>
    <s v="PLAQUETTES"/>
    <s v="330x14"/>
    <n v="70"/>
  </r>
  <r>
    <d v="2025-05-07T21:47:27"/>
    <x v="8"/>
    <s v="Plaquettes d'ébauches rhombiques"/>
    <s v="SE08251"/>
    <s v="FAYET AYMERIC"/>
    <n v="10"/>
    <x v="0"/>
    <x v="3"/>
    <s v="PLAQUETTES"/>
    <s v="330x14"/>
    <n v="70"/>
  </r>
  <r>
    <d v="2025-05-08T03:27:29"/>
    <x v="8"/>
    <s v="Plaquettes d'ébauches rhombiques"/>
    <s v="280225"/>
    <s v="FERNANDES DOS SANTOS REMY"/>
    <n v="10"/>
    <x v="1"/>
    <x v="3"/>
    <s v="PLAQUETTES"/>
    <s v="356x26 RPI"/>
    <n v="70"/>
  </r>
  <r>
    <d v="2025-05-08T09:08:46"/>
    <x v="8"/>
    <s v="Plaquettes d'ébauches rhombiques"/>
    <s v="140325"/>
    <s v="BOUCLIER JONATHAN"/>
    <n v="10"/>
    <x v="2"/>
    <x v="2"/>
    <s v="PLAQUETTES"/>
    <s v="302x26 RPI"/>
    <n v="70"/>
  </r>
  <r>
    <d v="2025-05-08T09:10:37"/>
    <x v="8"/>
    <s v="Plaquettes d'ébauches rhombiques"/>
    <s v="140325"/>
    <s v="BOUCLIER JONATHAN"/>
    <n v="10"/>
    <x v="2"/>
    <x v="4"/>
    <s v="PLAQUETTES"/>
    <s v="302x26 RPI"/>
    <n v="70"/>
  </r>
  <r>
    <d v="2025-05-08T10:52:55"/>
    <x v="8"/>
    <s v="Plaquettes d'ébauches rhombiques"/>
    <s v="U080365"/>
    <s v="ALAVOINE SAMUEL"/>
    <n v="10"/>
    <x v="2"/>
    <x v="1"/>
    <s v="PLAQUETTES"/>
    <s v="302x26 RPI"/>
    <n v="70"/>
  </r>
  <r>
    <d v="2025-05-08T17:12:44"/>
    <x v="8"/>
    <s v="Plaquettes d'ébauches rhombiques"/>
    <s v="130124"/>
    <s v="MOHAMED ILDIRAY"/>
    <n v="10"/>
    <x v="0"/>
    <x v="3"/>
    <s v="PLAQUETTES"/>
    <s v="290x12"/>
    <n v="70"/>
  </r>
  <r>
    <d v="2025-05-09T08:44:16"/>
    <x v="8"/>
    <s v="Plaquettes d'ébauches rhombiques"/>
    <s v="U109136"/>
    <s v="WIPLIE FREDERIC"/>
    <n v="10"/>
    <x v="0"/>
    <x v="3"/>
    <s v="PLAQUETTES"/>
    <s v="330x14"/>
    <n v="70"/>
  </r>
  <r>
    <d v="2025-05-09T16:54:45"/>
    <x v="8"/>
    <s v="Plaquettes d'ébauches rhombiques"/>
    <s v="130124"/>
    <s v="MOHAMED ILDIRAY"/>
    <n v="10"/>
    <x v="1"/>
    <x v="3"/>
    <s v="PLAQUETTES"/>
    <s v="304x28 RPE"/>
    <n v="70"/>
  </r>
  <r>
    <d v="2025-05-09T21:17:24"/>
    <x v="8"/>
    <s v="Plaquettes d'ébauches rhombiques"/>
    <s v="SE08251"/>
    <s v="FAYET AYMERIC"/>
    <n v="10"/>
    <x v="3"/>
    <x v="3"/>
    <s v="PLAQUETTES"/>
    <s v="290x12"/>
    <n v="70"/>
  </r>
  <r>
    <d v="2025-05-12T05:20:52"/>
    <x v="8"/>
    <s v="Plaquettes d'ébauches rhombiques"/>
    <s v="130124"/>
    <s v="MOHAMED ILDIRAY"/>
    <n v="10"/>
    <x v="1"/>
    <x v="3"/>
    <s v="PLAQUETTES"/>
    <s v="304x28 RPE"/>
    <n v="70"/>
  </r>
  <r>
    <d v="2025-05-12T11:21:19"/>
    <x v="8"/>
    <s v="Plaquettes d'ébauches rhombiques"/>
    <s v="101224"/>
    <s v="CHAZEAU KYLIAN"/>
    <n v="10"/>
    <x v="0"/>
    <x v="3"/>
    <s v="PLAQUETTES"/>
    <s v="330x14"/>
    <n v="70"/>
  </r>
  <r>
    <d v="2025-05-12T11:21:37"/>
    <x v="8"/>
    <s v="Plaquettes d'ébauches rhombiques"/>
    <s v="101224"/>
    <s v="CHAZEAU KYLIAN"/>
    <n v="10"/>
    <x v="3"/>
    <x v="3"/>
    <s v="PLAQUETTES"/>
    <s v="290x12"/>
    <n v="70"/>
  </r>
  <r>
    <d v="2025-05-12T12:51:15"/>
    <x v="8"/>
    <s v="Plaquettes d'ébauches rhombiques"/>
    <s v="210325"/>
    <s v="DAUTUN ALLAN"/>
    <n v="10"/>
    <x v="2"/>
    <x v="2"/>
    <s v="PLAQUETTES"/>
    <s v="302x26 RPI"/>
    <n v="70"/>
  </r>
  <r>
    <d v="2025-05-12T12:51:31"/>
    <x v="8"/>
    <s v="Plaquettes d'ébauches rhombiques"/>
    <s v="210325"/>
    <s v="DAUTUN ALLAN"/>
    <n v="10"/>
    <x v="2"/>
    <x v="4"/>
    <s v="PLAQUETTES"/>
    <s v="302x26 RPI"/>
    <n v="70"/>
  </r>
  <r>
    <d v="2025-05-13T19:42:28"/>
    <x v="8"/>
    <s v="Plaquettes d'ébauches rhombiques"/>
    <s v="SE08251"/>
    <s v="FAYET AYMERIC"/>
    <n v="10"/>
    <x v="0"/>
    <x v="2"/>
    <s v="PLAQUETTES"/>
    <s v="356x26 RPI"/>
    <n v="70"/>
  </r>
  <r>
    <d v="2025-05-14T05:14:30"/>
    <x v="8"/>
    <s v="Plaquettes d'ébauches rhombiques"/>
    <s v="130124"/>
    <s v="MOHAMED ILDIRAY"/>
    <n v="10"/>
    <x v="1"/>
    <x v="3"/>
    <s v="PLAQUETTES"/>
    <s v="304x28 RPE"/>
    <n v="70"/>
  </r>
  <r>
    <d v="2025-05-14T13:20:16"/>
    <x v="8"/>
    <s v="Plaquettes d'ébauches rhombiques"/>
    <s v="SE08251"/>
    <s v="FAYET AYMERIC"/>
    <n v="10"/>
    <x v="3"/>
    <x v="3"/>
    <s v="PLAQUETTES"/>
    <s v="290x12"/>
    <n v="70"/>
  </r>
  <r>
    <d v="2025-05-15T13:37:47"/>
    <x v="8"/>
    <s v="Plaquettes d'ébauches rhombiques"/>
    <s v="SE08251"/>
    <s v="FAYET AYMERIC"/>
    <n v="10"/>
    <x v="0"/>
    <x v="2"/>
    <s v="PLAQUETTES"/>
    <s v="356x26 RPI"/>
    <n v="70"/>
  </r>
  <r>
    <d v="2025-05-15T13:38:07"/>
    <x v="8"/>
    <s v="Plaquettes d'ébauches rhombiques"/>
    <s v="SE08251"/>
    <s v="FAYET AYMERIC"/>
    <n v="10"/>
    <x v="3"/>
    <x v="3"/>
    <s v="PLAQUETTES"/>
    <s v="290x12"/>
    <n v="70"/>
  </r>
  <r>
    <d v="2025-05-15T15:00:46"/>
    <x v="8"/>
    <s v="Plaquettes d'ébauches rhombiques"/>
    <s v="250425"/>
    <s v="CHANDAR ABDER"/>
    <n v="10"/>
    <x v="2"/>
    <x v="4"/>
    <s v="PLAQUETTES"/>
    <s v="302x26 RPI"/>
    <n v="70"/>
  </r>
  <r>
    <d v="2025-05-15T23:14:19"/>
    <x v="8"/>
    <s v="Plaquettes d'ébauches rhombiques"/>
    <s v="130325"/>
    <s v="PAPONNEAU JULIEN"/>
    <n v="10"/>
    <x v="3"/>
    <x v="3"/>
    <s v="PLAQUETTES"/>
    <s v="290x12"/>
    <n v="70"/>
  </r>
  <r>
    <d v="2025-05-16T03:55:12"/>
    <x v="8"/>
    <s v="Plaquettes d'ébauches rhombiques"/>
    <s v="140325"/>
    <s v="BOUCLIER JONATHAN"/>
    <n v="10"/>
    <x v="2"/>
    <x v="4"/>
    <s v="PLAQUETTES"/>
    <s v="302x26 RPI"/>
    <n v="70"/>
  </r>
  <r>
    <d v="2025-05-16T03:55:43"/>
    <x v="8"/>
    <s v="Plaquettes d'ébauches rhombiques"/>
    <s v="140325"/>
    <s v="BOUCLIER JONATHAN"/>
    <n v="10"/>
    <x v="2"/>
    <x v="2"/>
    <s v="PLAQUETTES"/>
    <s v="302x26 RPI"/>
    <n v="70"/>
  </r>
  <r>
    <d v="2025-05-16T08:39:08"/>
    <x v="8"/>
    <s v="Plaquettes d'ébauches rhombiques"/>
    <s v="J534699"/>
    <s v="FABIAN CHARTON"/>
    <n v="10"/>
    <x v="2"/>
    <x v="4"/>
    <s v="PLAQUETTES"/>
    <s v="302x26 RPI"/>
    <n v="70"/>
  </r>
  <r>
    <d v="2025-05-16T08:40:32"/>
    <x v="8"/>
    <s v="Plaquettes d'ébauches rhombiques"/>
    <s v="J534699"/>
    <s v="FABIAN CHARTON"/>
    <n v="10"/>
    <x v="2"/>
    <x v="2"/>
    <s v="PLAQUETTES"/>
    <s v="302x26 RPI"/>
    <n v="70"/>
  </r>
  <r>
    <d v="2025-05-16T11:23:20"/>
    <x v="8"/>
    <s v="Plaquettes d'ébauches rhombiques"/>
    <s v="12824586"/>
    <s v="DA SILVA FERNANDO"/>
    <n v="10"/>
    <x v="1"/>
    <x v="2"/>
    <s v="PLAQUETTES"/>
    <s v="TOUT DISQUES"/>
    <n v="70"/>
  </r>
  <r>
    <d v="2025-05-16T13:12:46"/>
    <x v="8"/>
    <s v="Plaquettes d'ébauches rhombiques"/>
    <s v="280225"/>
    <s v="FERNANDES DOS SANTOS REMY"/>
    <n v="10"/>
    <x v="1"/>
    <x v="3"/>
    <s v="PLAQUETTES"/>
    <s v="304x28 RPE"/>
    <n v="70"/>
  </r>
  <r>
    <d v="2025-05-17T05:27:27"/>
    <x v="8"/>
    <s v="Plaquettes d'ébauches rhombiques"/>
    <s v="U109136"/>
    <s v="WIPLIE FREDERIC"/>
    <n v="10"/>
    <x v="1"/>
    <x v="3"/>
    <s v="PLAQUETTES"/>
    <s v="304x28 RPE"/>
    <n v="70"/>
  </r>
  <r>
    <d v="2025-05-19T04:14:05"/>
    <x v="8"/>
    <s v="Plaquettes d'ébauches rhombiques"/>
    <s v="101224"/>
    <s v="CHAZEAU KYLIAN"/>
    <n v="10"/>
    <x v="3"/>
    <x v="3"/>
    <s v="PLAQUETTES"/>
    <s v="290x12"/>
    <n v="70"/>
  </r>
  <r>
    <d v="2025-05-19T05:46:03"/>
    <x v="8"/>
    <s v="Plaquettes d'ébauches rhombiques"/>
    <s v="SE08251"/>
    <s v="FAYET AYMERIC"/>
    <n v="10"/>
    <x v="3"/>
    <x v="2"/>
    <s v="PLAQUETTES"/>
    <s v="290x12"/>
    <n v="70"/>
  </r>
  <r>
    <d v="2025-05-19T13:19:12"/>
    <x v="8"/>
    <s v="Plaquettes d'ébauches rhombiques"/>
    <s v="SD75051"/>
    <s v="COMBALUZIER LUCAS"/>
    <n v="10"/>
    <x v="0"/>
    <x v="2"/>
    <s v="PLAQUETTES"/>
    <s v="330x14"/>
    <n v="70"/>
  </r>
  <r>
    <d v="2025-05-19T13:29:21"/>
    <x v="8"/>
    <s v="Plaquettes d'ébauches rhombiques"/>
    <s v="u636817"/>
    <s v="MOCQUEREAU LYDIE"/>
    <n v="10"/>
    <x v="2"/>
    <x v="2"/>
    <s v="PLAQUETTES"/>
    <s v="302x26 RPI"/>
    <n v="70"/>
  </r>
  <r>
    <d v="2025-05-19T13:30:01"/>
    <x v="8"/>
    <s v="Plaquettes d'ébauches rhombiques"/>
    <s v="u636817"/>
    <s v="MOCQUEREAU LYDIE"/>
    <n v="10"/>
    <x v="2"/>
    <x v="4"/>
    <s v="PLAQUETTES"/>
    <s v="302x26 RPI"/>
    <n v="70"/>
  </r>
  <r>
    <d v="2025-05-20T02:17:15"/>
    <x v="8"/>
    <s v="Plaquettes d'ébauches rhombiques"/>
    <s v="130124"/>
    <s v="MOHAMED ILDIRAY"/>
    <n v="10"/>
    <x v="1"/>
    <x v="3"/>
    <s v="PLAQUETTES"/>
    <s v="304x28 RPE"/>
    <n v="70"/>
  </r>
  <r>
    <d v="2025-05-20T05:21:25"/>
    <x v="8"/>
    <s v="Plaquettes d'ébauches rhombiques"/>
    <s v="SE08251"/>
    <s v="FAYET AYMERIC"/>
    <n v="10"/>
    <x v="0"/>
    <x v="3"/>
    <s v="PLAQUETTES"/>
    <s v="330x14"/>
    <n v="70"/>
  </r>
  <r>
    <d v="2025-05-20T12:25:03"/>
    <x v="8"/>
    <s v="Plaquettes d'ébauches rhombiques"/>
    <s v="SE08251"/>
    <s v="FAYET AYMERIC"/>
    <n v="10"/>
    <x v="3"/>
    <x v="2"/>
    <s v="PLAQUETTES"/>
    <s v="290x12"/>
    <n v="70"/>
  </r>
  <r>
    <d v="2025-05-20T21:08:08"/>
    <x v="8"/>
    <s v="Plaquettes d'ébauches rhombiques"/>
    <s v="101123"/>
    <s v="BRUNET ANDREA"/>
    <n v="10"/>
    <x v="2"/>
    <x v="1"/>
    <s v="PLAQUETTES"/>
    <s v="302x26 RPI"/>
    <n v="70"/>
  </r>
  <r>
    <d v="2025-05-21T05:55:48"/>
    <x v="8"/>
    <s v="Plaquettes d'ébauches rhombiques"/>
    <s v="SE08251"/>
    <s v="FAYET AYMERIC"/>
    <n v="10"/>
    <x v="0"/>
    <x v="2"/>
    <s v="PLAQUETTES"/>
    <s v="330x14"/>
    <n v="70"/>
  </r>
  <r>
    <d v="2025-05-21T05:56:14"/>
    <x v="8"/>
    <s v="Plaquettes d'ébauches rhombiques"/>
    <s v="SE08251"/>
    <s v="FAYET AYMERIC"/>
    <n v="10"/>
    <x v="3"/>
    <x v="2"/>
    <s v="PLAQUETTES"/>
    <s v="290x12"/>
    <n v="70"/>
  </r>
  <r>
    <d v="2025-05-21T14:30:19"/>
    <x v="8"/>
    <s v="Plaquettes d'ébauches rhombiques"/>
    <s v="130325"/>
    <s v="PAPONNEAU JULIEN"/>
    <n v="10"/>
    <x v="1"/>
    <x v="3"/>
    <s v="PLAQUETTES"/>
    <s v="356x26 RPI"/>
    <n v="70"/>
  </r>
  <r>
    <d v="2025-05-22T13:51:33"/>
    <x v="8"/>
    <s v="Plaquettes d'ébauches rhombiques"/>
    <s v="140325"/>
    <s v="BOUCLIER JONATHAN"/>
    <n v="10"/>
    <x v="2"/>
    <x v="4"/>
    <s v="PLAQUETTES"/>
    <s v="302x26 RPI"/>
    <n v="70"/>
  </r>
  <r>
    <d v="2025-05-22T21:49:28"/>
    <x v="8"/>
    <s v="Plaquettes d'ébauches rhombiques"/>
    <s v="130124"/>
    <s v="MOHAMED ILDIRAY"/>
    <n v="10"/>
    <x v="1"/>
    <x v="3"/>
    <s v="PLAQUETTES"/>
    <s v="356x26 RPI"/>
    <n v="70"/>
  </r>
  <r>
    <d v="2025-05-23T04:53:45"/>
    <x v="8"/>
    <s v="Plaquettes d'ébauches rhombiques"/>
    <s v="210325"/>
    <s v="DAUTUN ALLAN"/>
    <n v="10"/>
    <x v="2"/>
    <x v="4"/>
    <s v="PLAQUETTES"/>
    <s v="302x26 RPI"/>
    <n v="70"/>
  </r>
  <r>
    <d v="2025-05-23T13:13:33"/>
    <x v="8"/>
    <s v="Plaquettes d'ébauches rhombiques"/>
    <s v="SD75051"/>
    <s v="COMBALUZIER LUCAS"/>
    <n v="10"/>
    <x v="0"/>
    <x v="2"/>
    <s v="PLAQUETTES"/>
    <s v="330x14"/>
    <n v="70"/>
  </r>
  <r>
    <d v="2025-05-26T05:34:31"/>
    <x v="8"/>
    <s v="Plaquettes d'ébauches rhombiques"/>
    <s v="U080365"/>
    <s v="ALAVOINE SAMUEL"/>
    <n v="10"/>
    <x v="0"/>
    <x v="3"/>
    <s v="PLAQUETTES"/>
    <s v="330x14"/>
    <n v="70"/>
  </r>
  <r>
    <d v="2025-05-26T06:32:22"/>
    <x v="8"/>
    <s v="Plaquettes d'ébauches rhombiques"/>
    <s v="140325"/>
    <s v="BOUCLIER JONATHAN"/>
    <n v="10"/>
    <x v="2"/>
    <x v="4"/>
    <s v="PLAQUETTES"/>
    <s v="302x26 RPI"/>
    <n v="70"/>
  </r>
  <r>
    <d v="2025-05-26T08:07:20"/>
    <x v="8"/>
    <s v="Plaquettes d'ébauches rhombiques"/>
    <s v="U080365"/>
    <s v="ALAVOINE SAMUEL"/>
    <n v="10"/>
    <x v="0"/>
    <x v="3"/>
    <s v="PLAQUETTES"/>
    <s v="330x14"/>
    <n v="70"/>
  </r>
  <r>
    <d v="2025-05-26T09:15:46"/>
    <x v="8"/>
    <s v="Plaquettes d'ébauches rhombiques"/>
    <s v="130325"/>
    <s v="PAPONNEAU JULIEN"/>
    <n v="10"/>
    <x v="1"/>
    <x v="3"/>
    <s v="PLAQUETTES"/>
    <s v="356x26 RPI"/>
    <n v="70"/>
  </r>
  <r>
    <d v="2025-05-26T11:20:47"/>
    <x v="8"/>
    <s v="Plaquettes d'ébauches rhombiques"/>
    <s v="u080365"/>
    <s v="ALAVOINE SAMUEL"/>
    <n v="10"/>
    <x v="0"/>
    <x v="3"/>
    <s v="PLAQUETTES"/>
    <s v="330x14"/>
    <n v="70"/>
  </r>
  <r>
    <d v="2025-05-27T22:12:22"/>
    <x v="8"/>
    <s v="Plaquettes d'ébauches rhombiques"/>
    <s v="SE08251"/>
    <s v="FAYET AYMERIC"/>
    <n v="10"/>
    <x v="0"/>
    <x v="3"/>
    <s v="PLAQUETTES"/>
    <s v="356x26 RPI"/>
    <n v="70"/>
  </r>
  <r>
    <d v="2025-05-27T22:12:52"/>
    <x v="8"/>
    <s v="Plaquettes d'ébauches rhombiques"/>
    <s v="SE08251"/>
    <s v="FAYET AYMERIC"/>
    <n v="10"/>
    <x v="3"/>
    <x v="3"/>
    <s v="PLAQUETTES"/>
    <s v="290x12"/>
    <n v="70"/>
  </r>
  <r>
    <d v="2025-05-28T01:43:42"/>
    <x v="8"/>
    <s v="Plaquettes d'ébauches rhombiques"/>
    <s v="280225"/>
    <s v="FERNANDES DOS SANTOS REMY"/>
    <n v="10"/>
    <x v="1"/>
    <x v="3"/>
    <s v="PLAQUETTES"/>
    <s v="304x28 RPE"/>
    <n v="70"/>
  </r>
  <r>
    <d v="2025-05-28T06:10:50"/>
    <x v="8"/>
    <s v="Plaquettes d'ébauches rhombiques"/>
    <s v="140325"/>
    <s v="BOUCLIER JONATHAN"/>
    <n v="10"/>
    <x v="2"/>
    <x v="4"/>
    <s v="PLAQUETTES"/>
    <s v="302x26 RPI"/>
    <n v="70"/>
  </r>
  <r>
    <d v="2025-05-28T21:19:59"/>
    <x v="8"/>
    <s v="Plaquettes d'ébauches rhombiques"/>
    <s v="280225"/>
    <s v="FERNANDES DOS SANTOS REMY"/>
    <n v="10"/>
    <x v="1"/>
    <x v="3"/>
    <s v="PLAQUETTES"/>
    <s v="304x28 RPE"/>
    <n v="70"/>
  </r>
  <r>
    <d v="2025-05-28T21:46:20"/>
    <x v="8"/>
    <s v="Plaquettes d'ébauches rhombiques"/>
    <s v="280225"/>
    <s v="FERNANDES DOS SANTOS REMY"/>
    <n v="10"/>
    <x v="2"/>
    <x v="4"/>
    <s v="PLAQUETTES"/>
    <s v="302x26 RPI"/>
    <n v="70"/>
  </r>
  <r>
    <d v="2025-05-29T05:41:51"/>
    <x v="8"/>
    <s v="Plaquettes d'ébauches rhombiques"/>
    <s v="U515988"/>
    <s v="BLAHA"/>
    <n v="10"/>
    <x v="2"/>
    <x v="1"/>
    <s v="PLAQUETTES"/>
    <s v="302x26 RPI"/>
    <n v="70"/>
  </r>
  <r>
    <d v="2025-05-29T12:37:47"/>
    <x v="8"/>
    <s v="Plaquettes d'ébauches rhombiques"/>
    <s v="210325"/>
    <s v="DAUTUN ALLAN"/>
    <n v="10"/>
    <x v="2"/>
    <x v="2"/>
    <s v="PLAQUETTES"/>
    <s v="302x26 RPI"/>
    <n v="70"/>
  </r>
  <r>
    <d v="2025-05-29T12:38:07"/>
    <x v="8"/>
    <s v="Plaquettes d'ébauches rhombiques"/>
    <s v="210325"/>
    <s v="DAUTUN ALLAN"/>
    <n v="10"/>
    <x v="2"/>
    <x v="4"/>
    <s v="PLAQUETTES"/>
    <s v="302x26 RPI"/>
    <n v="70"/>
  </r>
  <r>
    <d v="2025-05-29T15:42:58"/>
    <x v="8"/>
    <s v="Plaquettes d'ébauches rhombiques"/>
    <s v="U561365"/>
    <s v="BALLY BENOIT"/>
    <n v="10"/>
    <x v="2"/>
    <x v="1"/>
    <s v="PLAQUETTES"/>
    <s v="302x26 RPI"/>
    <n v="70"/>
  </r>
  <r>
    <d v="2025-05-29T21:23:09"/>
    <x v="8"/>
    <s v="Plaquettes d'ébauches rhombiques"/>
    <s v="SE08251"/>
    <s v="FAYET AYMERIC"/>
    <n v="10"/>
    <x v="3"/>
    <x v="2"/>
    <s v="PLAQUETTES"/>
    <s v="290x12"/>
    <n v="70"/>
  </r>
  <r>
    <d v="2025-05-30T16:10:19"/>
    <x v="8"/>
    <s v="Plaquettes d'ébauches rhombiques"/>
    <s v="130124"/>
    <s v="MOHAMED ILDIRAY"/>
    <n v="10"/>
    <x v="1"/>
    <x v="3"/>
    <s v="PLAQUETTES"/>
    <s v="304x28 RPE"/>
    <n v="70"/>
  </r>
  <r>
    <d v="2025-05-30T20:18:33"/>
    <x v="8"/>
    <s v="Plaquettes d'ébauches rhombiques"/>
    <s v="101224"/>
    <s v="CHAZEAU KYLIAN"/>
    <n v="10"/>
    <x v="3"/>
    <x v="2"/>
    <s v="PLAQUETTES"/>
    <s v="290x12"/>
    <n v="70"/>
  </r>
  <r>
    <d v="2025-06-02T05:42:17"/>
    <x v="8"/>
    <s v="Plaquettes d'ébauches rhombiques"/>
    <s v="130124"/>
    <s v="MOHAMED ILDIRAY"/>
    <n v="10"/>
    <x v="1"/>
    <x v="3"/>
    <s v="PLAQUETTES"/>
    <s v="304x28 RPE"/>
    <n v="70"/>
  </r>
  <r>
    <d v="2025-06-02T11:49:51"/>
    <x v="8"/>
    <s v="Plaquettes d'ébauches rhombiques"/>
    <s v="210325"/>
    <s v="DAUTUN ALLAN"/>
    <n v="10"/>
    <x v="2"/>
    <x v="2"/>
    <s v="PLAQUETTES"/>
    <s v="302x26 RPI"/>
    <n v="70"/>
  </r>
  <r>
    <d v="2025-06-02T11:50:53"/>
    <x v="8"/>
    <s v="Plaquettes d'ébauches rhombiques"/>
    <s v="210325"/>
    <s v="DAUTUN ALLAN"/>
    <n v="10"/>
    <x v="2"/>
    <x v="4"/>
    <s v="PLAQUETTES"/>
    <s v="302x26 RPI"/>
    <n v="70"/>
  </r>
  <r>
    <d v="2025-06-02T13:28:29"/>
    <x v="8"/>
    <s v="Plaquettes d'ébauches rhombiques"/>
    <s v="SE08251"/>
    <s v="FAYET AYMERIC"/>
    <n v="10"/>
    <x v="0"/>
    <x v="3"/>
    <s v="PLAQUETTES"/>
    <s v="330x14"/>
    <n v="70"/>
  </r>
  <r>
    <d v="2025-06-02T13:28:54"/>
    <x v="8"/>
    <s v="Plaquettes d'ébauches rhombiques"/>
    <s v="SE08251"/>
    <s v="FAYET AYMERIC"/>
    <n v="10"/>
    <x v="3"/>
    <x v="3"/>
    <s v="PLAQUETTES"/>
    <s v="290x12"/>
    <n v="70"/>
  </r>
  <r>
    <d v="2025-06-03T13:27:19"/>
    <x v="8"/>
    <s v="Plaquettes d'ébauches rhombiques"/>
    <s v="280225"/>
    <s v="FERNANDES DOS SANTOS REMY"/>
    <n v="10"/>
    <x v="1"/>
    <x v="3"/>
    <s v="PLAQUETTES"/>
    <s v="304x28 RPE"/>
    <n v="70"/>
  </r>
  <r>
    <d v="2025-06-03T16:33:29"/>
    <x v="8"/>
    <s v="Plaquettes d'ébauches rhombiques"/>
    <s v="SE08251"/>
    <s v="FAYET AYMERIC"/>
    <n v="10"/>
    <x v="3"/>
    <x v="2"/>
    <s v="PLAQUETTES"/>
    <s v="290x12"/>
    <n v="70"/>
  </r>
  <r>
    <d v="2025-06-04T03:13:27"/>
    <x v="8"/>
    <s v="Plaquettes d'ébauches rhombiques"/>
    <s v="140325"/>
    <s v="BOUCLIER JONATHAN"/>
    <n v="10"/>
    <x v="2"/>
    <x v="4"/>
    <s v="PLAQUETTES"/>
    <s v="302x26 RPI"/>
    <n v="70"/>
  </r>
  <r>
    <d v="2025-06-04T21:47:59"/>
    <x v="8"/>
    <s v="Plaquettes d'ébauches rhombiques"/>
    <s v="SD75051"/>
    <s v="COMBALUZIER LUCAS"/>
    <n v="10"/>
    <x v="0"/>
    <x v="2"/>
    <s v="PLAQUETTES"/>
    <s v="330x14"/>
    <n v="70"/>
  </r>
  <r>
    <d v="2025-06-05T13:56:14"/>
    <x v="8"/>
    <s v="Plaquettes d'ébauches rhombiques"/>
    <s v="280225"/>
    <s v="FERNANDES DOS SANTOS REMY"/>
    <n v="10"/>
    <x v="1"/>
    <x v="3"/>
    <s v="PLAQUETTES"/>
    <s v="356x26 RPI"/>
    <n v="70"/>
  </r>
  <r>
    <d v="2025-06-05T21:12:37"/>
    <x v="8"/>
    <s v="Plaquettes d'ébauches rhombiques"/>
    <s v="SD75051"/>
    <s v="COMBALUZIER LUCAS"/>
    <n v="10"/>
    <x v="0"/>
    <x v="2"/>
    <s v="PLAQUETTES"/>
    <s v="330x14"/>
    <n v="70"/>
  </r>
  <r>
    <d v="2025-06-06T03:51:05"/>
    <x v="8"/>
    <s v="Plaquettes d'ébauches rhombiques"/>
    <s v="140325"/>
    <s v="BOUCLIER JONATHAN"/>
    <n v="10"/>
    <x v="2"/>
    <x v="2"/>
    <s v="PLAQUETTES"/>
    <s v="302x26 RPI"/>
    <n v="70"/>
  </r>
  <r>
    <d v="2025-06-06T14:19:22"/>
    <x v="8"/>
    <s v="Plaquettes d'ébauches rhombiques"/>
    <s v="280225"/>
    <s v="FERNANDES DOS SANTOS REMY"/>
    <n v="10"/>
    <x v="1"/>
    <x v="3"/>
    <s v="PLAQUETTES"/>
    <s v="356x26 RPI"/>
    <n v="70"/>
  </r>
  <r>
    <d v="2025-06-06T14:43:57"/>
    <x v="8"/>
    <s v="Plaquettes d'ébauches rhombiques"/>
    <s v="U561365"/>
    <s v="BALLY BENOIT"/>
    <n v="10"/>
    <x v="2"/>
    <x v="1"/>
    <s v="PLAQUETTES"/>
    <s v="302x26 RPI"/>
    <n v="70"/>
  </r>
  <r>
    <d v="2025-06-06T15:34:34"/>
    <x v="8"/>
    <s v="Plaquettes d'ébauches rhombiques"/>
    <s v="SE08251"/>
    <s v="FAYET AYMERIC"/>
    <n v="10"/>
    <x v="0"/>
    <x v="2"/>
    <s v="PLAQUETTES"/>
    <s v="330x14"/>
    <n v="70"/>
  </r>
  <r>
    <d v="2025-06-06T15:34:52"/>
    <x v="8"/>
    <s v="Plaquettes d'ébauches rhombiques"/>
    <s v="SE08251"/>
    <s v="FAYET AYMERIC"/>
    <n v="10"/>
    <x v="3"/>
    <x v="3"/>
    <s v="PLAQUETTES"/>
    <s v="302x26 RPI"/>
    <n v="70"/>
  </r>
  <r>
    <d v="2025-06-06T21:37:17"/>
    <x v="8"/>
    <s v="Plaquettes d'ébauches rhombiques"/>
    <s v="140325"/>
    <s v="BOUCLIER JONATHAN"/>
    <n v="10"/>
    <x v="2"/>
    <x v="4"/>
    <s v="PLAQUETTES"/>
    <s v="302x26 RPI"/>
    <n v="70"/>
  </r>
  <r>
    <d v="2025-06-07T16:58:34"/>
    <x v="8"/>
    <s v="Plaquettes d'ébauches rhombiques"/>
    <s v="J534699"/>
    <s v="FABIAN CHARTON"/>
    <n v="10"/>
    <x v="2"/>
    <x v="2"/>
    <s v="PLAQUETTES"/>
    <s v="302x26 RPI"/>
    <n v="70"/>
  </r>
  <r>
    <d v="2025-06-07T16:59:48"/>
    <x v="8"/>
    <s v="Plaquettes d'ébauches rhombiques"/>
    <s v="J534699"/>
    <s v="FABIAN CHARTON"/>
    <n v="10"/>
    <x v="2"/>
    <x v="4"/>
    <s v="PLAQUETTES"/>
    <s v="302x26 RPI"/>
    <n v="70"/>
  </r>
  <r>
    <d v="2025-06-07T17:01:24"/>
    <x v="8"/>
    <s v="Plaquettes d'ébauches rhombiques"/>
    <s v="J534699"/>
    <s v="FABIAN CHARTON"/>
    <n v="10"/>
    <x v="2"/>
    <x v="1"/>
    <s v="PLAQUETTES"/>
    <s v="302x26 RPI"/>
    <n v="70"/>
  </r>
  <r>
    <d v="2025-06-09T05:43:34"/>
    <x v="8"/>
    <s v="Plaquettes d'ébauches rhombiques"/>
    <s v="U532976"/>
    <s v="LEFORT XAVIER"/>
    <n v="10"/>
    <x v="2"/>
    <x v="2"/>
    <s v="PLAQUETTES"/>
    <s v="302x26 RPI"/>
    <n v="70"/>
  </r>
  <r>
    <d v="2025-06-09T06:26:00"/>
    <x v="8"/>
    <s v="Plaquettes d'ébauches rhombiques"/>
    <s v="SE08251"/>
    <s v="FAYET AYMERIC"/>
    <n v="10"/>
    <x v="3"/>
    <x v="3"/>
    <s v="PLAQUETTES"/>
    <s v="302x26 RPI"/>
    <n v="70"/>
  </r>
  <r>
    <d v="2025-06-09T13:35:01"/>
    <x v="8"/>
    <s v="Plaquettes d'ébauches rhombiques"/>
    <s v="SD75051"/>
    <s v="COMBALUZIER LUCAS"/>
    <n v="10"/>
    <x v="0"/>
    <x v="3"/>
    <s v="PLAQUETTES"/>
    <s v="330x14"/>
    <n v="70"/>
  </r>
  <r>
    <d v="2025-06-10T02:19:35"/>
    <x v="8"/>
    <s v="Plaquettes d'ébauches rhombiques"/>
    <s v="U109136"/>
    <s v="WIPLIE FREDERIC"/>
    <n v="10"/>
    <x v="0"/>
    <x v="3"/>
    <s v="PLAQUETTES"/>
    <s v="356x26 RPI"/>
    <n v="70"/>
  </r>
  <r>
    <d v="2025-06-10T08:10:19"/>
    <x v="8"/>
    <s v="Plaquettes d'ébauches rhombiques"/>
    <s v="12824586"/>
    <s v="DA SILVA FERNANDO"/>
    <n v="10"/>
    <x v="2"/>
    <x v="2"/>
    <s v="PLAQUETTES"/>
    <s v="TOUT DISQUES"/>
    <n v="70"/>
  </r>
  <r>
    <d v="2025-06-10T23:30:27"/>
    <x v="8"/>
    <s v="Plaquettes d'ébauches rhombiques"/>
    <s v="130124"/>
    <s v="MOHAMED ILDIRAY"/>
    <n v="10"/>
    <x v="1"/>
    <x v="3"/>
    <s v="PLAQUETTES"/>
    <s v="304x28 RPE"/>
    <n v="70"/>
  </r>
  <r>
    <d v="2025-06-11T13:27:11"/>
    <x v="8"/>
    <s v="Plaquettes d'ébauches rhombiques"/>
    <s v="SD75051"/>
    <s v="COMBALUZIER LUCAS"/>
    <n v="10"/>
    <x v="3"/>
    <x v="2"/>
    <s v="PLAQUETTES"/>
    <s v="330x28 RPE KO"/>
    <n v="70"/>
  </r>
  <r>
    <d v="2025-06-12T05:14:43"/>
    <x v="8"/>
    <s v="Plaquettes d'ébauches rhombiques"/>
    <s v="280225"/>
    <s v="FERNANDES DOS SANTOS REMY"/>
    <n v="10"/>
    <x v="1"/>
    <x v="3"/>
    <s v="PLAQUETTES"/>
    <s v="304x28 RPE"/>
    <n v="70"/>
  </r>
  <r>
    <d v="2025-06-12T06:12:02"/>
    <x v="8"/>
    <s v="Plaquettes d'ébauches rhombiques"/>
    <s v="SE08251"/>
    <s v="FAYET AYMERIC"/>
    <n v="10"/>
    <x v="0"/>
    <x v="3"/>
    <s v="PLAQUETTES"/>
    <s v="356x26 RPI"/>
    <n v="70"/>
  </r>
  <r>
    <d v="2025-06-12T13:47:16"/>
    <x v="8"/>
    <s v="Plaquettes d'ébauches rhombiques"/>
    <s v="140325"/>
    <s v="BOUCLIER JONATHAN"/>
    <n v="10"/>
    <x v="2"/>
    <x v="2"/>
    <s v="PLAQUETTES"/>
    <s v="302x26 RPI"/>
    <n v="70"/>
  </r>
  <r>
    <d v="2025-06-13T05:21:32"/>
    <x v="8"/>
    <s v="Plaquettes d'ébauches rhombiques"/>
    <s v="DELIAT C"/>
    <s v="DELIAT CHRISTOPHE"/>
    <n v="10"/>
    <x v="2"/>
    <x v="4"/>
    <s v="PLAQUETTES"/>
    <s v="302x26 RPI"/>
    <n v="70"/>
  </r>
  <r>
    <d v="2025-06-13T16:17:45"/>
    <x v="8"/>
    <s v="Plaquettes d'ébauches rhombiques"/>
    <s v="SD75051"/>
    <s v="COMBALUZIER LUCAS"/>
    <n v="10"/>
    <x v="3"/>
    <x v="2"/>
    <s v="PLAQUETTES"/>
    <s v="302x26 RPI"/>
    <n v="70"/>
  </r>
  <r>
    <d v="2025-06-16T00:33:07"/>
    <x v="8"/>
    <s v="Plaquettes d'ébauches rhombiques"/>
    <s v="u080365"/>
    <s v="ALAVOINE SAMUEL"/>
    <n v="10"/>
    <x v="2"/>
    <x v="2"/>
    <s v="PLAQUETTES"/>
    <s v="302x26 RPI"/>
    <n v="70"/>
  </r>
  <r>
    <d v="2025-06-16T06:23:17"/>
    <x v="8"/>
    <s v="Plaquettes d'ébauches rhombiques"/>
    <s v="SD75051"/>
    <s v="COMBALUZIER LUCAS"/>
    <n v="10"/>
    <x v="3"/>
    <x v="3"/>
    <s v="PLAQUETTES"/>
    <s v="302x26 RPI"/>
    <n v="70"/>
  </r>
  <r>
    <d v="2025-06-16T16:23:19"/>
    <x v="8"/>
    <s v="Plaquettes d'ébauches rhombiques"/>
    <s v="210325"/>
    <s v="DAUTUN ALLAN"/>
    <n v="10"/>
    <x v="2"/>
    <x v="4"/>
    <s v="PLAQUETTES"/>
    <s v="302x26 RPI"/>
    <n v="70"/>
  </r>
  <r>
    <d v="2025-06-16T16:23:32"/>
    <x v="8"/>
    <s v="Plaquettes d'ébauches rhombiques"/>
    <s v="210325"/>
    <s v="DAUTUN ALLAN"/>
    <n v="10"/>
    <x v="2"/>
    <x v="4"/>
    <s v="PLAQUETTES"/>
    <s v="302x26 RPI"/>
    <n v="70"/>
  </r>
  <r>
    <d v="2025-06-16T22:03:17"/>
    <x v="8"/>
    <s v="Plaquettes d'ébauches rhombiques"/>
    <s v="280225"/>
    <s v="FERNANDES DOS SANTOS REMY"/>
    <n v="10"/>
    <x v="1"/>
    <x v="3"/>
    <s v="PLAQUETTES"/>
    <s v="304x28 RPE"/>
    <n v="70"/>
  </r>
  <r>
    <d v="2025-06-16T23:34:22"/>
    <x v="8"/>
    <s v="Plaquettes d'ébauches rhombiques"/>
    <s v="SE08251"/>
    <s v="FAYET AYMERIC"/>
    <n v="10"/>
    <x v="0"/>
    <x v="2"/>
    <s v="PLAQUETTES"/>
    <s v="356x26 RPI"/>
    <n v="70"/>
  </r>
  <r>
    <d v="2025-06-17T05:22:00"/>
    <x v="8"/>
    <s v="Plaquettes d'ébauches rhombiques"/>
    <s v="140325"/>
    <s v="BOUCLIER JONATHAN"/>
    <n v="10"/>
    <x v="2"/>
    <x v="2"/>
    <s v="PLAQUETTES"/>
    <s v="302x26 RPI"/>
    <n v="70"/>
  </r>
  <r>
    <d v="2025-06-17T21:19:02"/>
    <x v="8"/>
    <s v="Plaquettes d'ébauches rhombiques"/>
    <s v="280225"/>
    <s v="FERNANDES DOS SANTOS REMY"/>
    <n v="10"/>
    <x v="1"/>
    <x v="3"/>
    <s v="PLAQUETTES"/>
    <s v="304x28 RPE"/>
    <n v="70"/>
  </r>
  <r>
    <d v="2025-06-18T05:35:30"/>
    <x v="8"/>
    <s v="Plaquettes d'ébauches rhombiques"/>
    <s v="140325"/>
    <s v="BOUCLIER JONATHAN"/>
    <n v="10"/>
    <x v="2"/>
    <x v="2"/>
    <s v="PLAQUETTES"/>
    <s v="302x26 RPI"/>
    <n v="70"/>
  </r>
  <r>
    <d v="2025-06-19T07:32:49"/>
    <x v="8"/>
    <s v="Plaquettes d'ébauches rhombiques"/>
    <s v="SD75051"/>
    <s v="COMBALUZIER LUCAS"/>
    <n v="10"/>
    <x v="0"/>
    <x v="2"/>
    <s v="PLAQUETTES"/>
    <s v="330x14"/>
    <n v="70"/>
  </r>
  <r>
    <d v="2025-06-19T09:28:45"/>
    <x v="8"/>
    <s v="Plaquettes d'ébauches rhombiques"/>
    <s v="140325"/>
    <s v="BOUCLIER JONATHAN"/>
    <n v="10"/>
    <x v="2"/>
    <x v="4"/>
    <s v="PLAQUETTES"/>
    <s v="302x26 RPI"/>
    <n v="70"/>
  </r>
  <r>
    <d v="2025-06-19T22:14:05"/>
    <x v="8"/>
    <s v="Plaquettes d'ébauches rhombiques"/>
    <s v="SE08251"/>
    <s v="FAYET AYMERIC"/>
    <n v="10"/>
    <x v="3"/>
    <x v="2"/>
    <s v="PLAQUETTES"/>
    <s v="302x26 RPI"/>
    <n v="70"/>
  </r>
  <r>
    <d v="2025-06-19T22:14:30"/>
    <x v="8"/>
    <s v="Plaquettes d'ébauches rhombiques"/>
    <s v="SE08251"/>
    <s v="FAYET AYMERIC"/>
    <n v="10"/>
    <x v="0"/>
    <x v="2"/>
    <s v="PLAQUETTES"/>
    <s v="330x14"/>
    <n v="70"/>
  </r>
  <r>
    <d v="2025-06-20T17:35:33"/>
    <x v="8"/>
    <s v="Plaquettes d'ébauches rhombiques"/>
    <s v="130124"/>
    <s v="MOHAMED ILDIRAY"/>
    <n v="10"/>
    <x v="1"/>
    <x v="3"/>
    <s v="PLAQUETTES"/>
    <s v="356x26 RPI"/>
    <n v="70"/>
  </r>
  <r>
    <d v="2025-06-22T23:28:57"/>
    <x v="8"/>
    <s v="Plaquettes d'ébauches rhombiques"/>
    <s v="U109136"/>
    <s v="WIPLIE FREDERIC"/>
    <n v="10"/>
    <x v="0"/>
    <x v="3"/>
    <s v="PLAQUETTES"/>
    <s v="330x14"/>
    <n v="70"/>
  </r>
  <r>
    <d v="2025-06-23T14:38:08"/>
    <x v="8"/>
    <s v="Plaquettes d'ébauches rhombiques"/>
    <s v="SE08251"/>
    <s v="FAYET AYMERIC"/>
    <n v="10"/>
    <x v="0"/>
    <x v="2"/>
    <s v="PLAQUETTES"/>
    <s v="330x14"/>
    <n v="70"/>
  </r>
  <r>
    <d v="2025-06-23T14:38:24"/>
    <x v="8"/>
    <s v="Plaquettes d'ébauches rhombiques"/>
    <s v="SE08251"/>
    <s v="FAYET AYMERIC"/>
    <n v="10"/>
    <x v="3"/>
    <x v="2"/>
    <s v="PLAQUETTES"/>
    <s v="290x12"/>
    <n v="70"/>
  </r>
  <r>
    <d v="2025-06-25T05:55:28"/>
    <x v="8"/>
    <s v="Plaquettes d'ébauches rhombiques"/>
    <s v="130124"/>
    <s v="MOHAMED ILDIRAY"/>
    <n v="10"/>
    <x v="1"/>
    <x v="3"/>
    <s v="PLAQUETTES"/>
    <s v="356x26 RPI"/>
    <n v="70"/>
  </r>
  <r>
    <d v="2025-06-25T06:16:32"/>
    <x v="8"/>
    <s v="Plaquettes d'ébauches rhombiques"/>
    <s v="U561365"/>
    <s v="BALLY BENOIT"/>
    <n v="10"/>
    <x v="3"/>
    <x v="3"/>
    <s v="PLAQUETTES"/>
    <s v="304x28 RPE"/>
    <n v="70"/>
  </r>
  <r>
    <d v="2025-06-25T07:57:45"/>
    <x v="8"/>
    <s v="Plaquettes d'ébauches rhombiques"/>
    <s v="210325"/>
    <s v="DAUTUN ALLAN"/>
    <n v="10"/>
    <x v="2"/>
    <x v="2"/>
    <s v="PLAQUETTES"/>
    <s v="302x26 RPI"/>
    <n v="70"/>
  </r>
  <r>
    <d v="2025-06-25T07:57:58"/>
    <x v="8"/>
    <s v="Plaquettes d'ébauches rhombiques"/>
    <s v="210325"/>
    <s v="DAUTUN ALLAN"/>
    <n v="10"/>
    <x v="2"/>
    <x v="4"/>
    <s v="PLAQUETTES"/>
    <s v="302x26 RPI"/>
    <n v="70"/>
  </r>
  <r>
    <d v="2025-06-25T15:34:51"/>
    <x v="8"/>
    <s v="Plaquettes d'ébauches rhombiques"/>
    <s v="SE08251"/>
    <s v="FAYET AYMERIC"/>
    <n v="10"/>
    <x v="0"/>
    <x v="2"/>
    <s v="PLAQUETTES"/>
    <s v="330x14"/>
    <n v="70"/>
  </r>
  <r>
    <d v="2025-06-25T21:32:35"/>
    <x v="8"/>
    <s v="Plaquettes d'ébauches rhombiques"/>
    <s v="140325"/>
    <s v="BOUCLIER JONATHAN"/>
    <n v="10"/>
    <x v="2"/>
    <x v="4"/>
    <s v="PLAQUETTES"/>
    <s v="302x26 RPI"/>
    <n v="70"/>
  </r>
  <r>
    <d v="2025-06-27T10:12:27"/>
    <x v="8"/>
    <s v="Plaquettes d'ébauches rhombiques"/>
    <s v="U109136"/>
    <s v="WIPLIE FREDERIC"/>
    <n v="10"/>
    <x v="1"/>
    <x v="3"/>
    <s v="PLAQUETTES"/>
    <s v="356x26 RPI"/>
    <n v="70"/>
  </r>
  <r>
    <d v="2025-06-27T21:20:54"/>
    <x v="8"/>
    <s v="Plaquettes d'ébauches rhombiques"/>
    <s v="SD75051"/>
    <s v="COMBALUZIER LUCAS"/>
    <n v="10"/>
    <x v="0"/>
    <x v="3"/>
    <s v="PLAQUETTES"/>
    <s v="330x14"/>
    <n v="70"/>
  </r>
  <r>
    <d v="2025-06-29T17:53:39"/>
    <x v="8"/>
    <s v="Plaquettes d'ébauches rhombiques"/>
    <s v="U109136"/>
    <s v="WIPLIE FREDERIC"/>
    <n v="10"/>
    <x v="1"/>
    <x v="3"/>
    <s v="PLAQUETTES"/>
    <s v="356x26 RPI"/>
    <n v="70"/>
  </r>
  <r>
    <d v="2025-06-30T06:40:37"/>
    <x v="8"/>
    <s v="Plaquettes d'ébauches rhombiques"/>
    <s v="SE08251"/>
    <s v="FAYET AYMERIC"/>
    <n v="10"/>
    <x v="0"/>
    <x v="2"/>
    <s v="PLAQUETTES"/>
    <s v="290x12"/>
    <n v="70"/>
  </r>
  <r>
    <d v="2025-06-30T06:41:17"/>
    <x v="8"/>
    <s v="Plaquettes d'ébauches rhombiques"/>
    <s v="SE08251"/>
    <s v="FAYET AYMERIC"/>
    <n v="10"/>
    <x v="3"/>
    <x v="2"/>
    <s v="PLAQUETTES"/>
    <s v="304x28 RPE"/>
    <n v="70"/>
  </r>
  <r>
    <d v="2025-06-30T07:16:45"/>
    <x v="8"/>
    <s v="Plaquettes d'ébauches rhombiques"/>
    <s v="250425"/>
    <s v="CHANDAR ABDER"/>
    <n v="10"/>
    <x v="2"/>
    <x v="2"/>
    <s v="PLAQUETTES"/>
    <s v="302x26 RPI"/>
    <n v="70"/>
  </r>
  <r>
    <d v="2025-06-30T07:17:16"/>
    <x v="8"/>
    <s v="Plaquettes d'ébauches rhombiques"/>
    <s v="250425"/>
    <s v="CHANDAR ABDER"/>
    <n v="10"/>
    <x v="2"/>
    <x v="2"/>
    <s v="PLAQUETTES"/>
    <s v="302x26 RPI"/>
    <n v="70"/>
  </r>
  <r>
    <d v="2025-06-30T19:29:04"/>
    <x v="8"/>
    <s v="Plaquettes d'ébauches rhombiques"/>
    <s v="140325"/>
    <s v="BOUCLIER JONATHAN"/>
    <n v="10"/>
    <x v="2"/>
    <x v="2"/>
    <s v="PLAQUETTES"/>
    <s v="302x26 RPI"/>
    <n v="70"/>
  </r>
  <r>
    <d v="2025-06-30T19:30:09"/>
    <x v="8"/>
    <s v="Plaquettes d'ébauches rhombiques"/>
    <s v="140325"/>
    <s v="BOUCLIER JONATHAN"/>
    <n v="10"/>
    <x v="2"/>
    <x v="4"/>
    <s v="PLAQUETTES"/>
    <s v="302x26 RPI"/>
    <n v="70"/>
  </r>
  <r>
    <d v="2025-07-01T08:57:17"/>
    <x v="8"/>
    <s v="Plaquettes d'ébauches rhombiques"/>
    <s v="SE08251"/>
    <s v="FAYET AYMERIC"/>
    <n v="10"/>
    <x v="0"/>
    <x v="3"/>
    <s v="PLAQUETTES"/>
    <s v="290x12"/>
    <n v="70"/>
  </r>
  <r>
    <d v="2025-07-02T08:00:10"/>
    <x v="8"/>
    <s v="Plaquettes d'ébauches rhombiques"/>
    <s v="250425"/>
    <s v="CHANDAR ABDER"/>
    <n v="10"/>
    <x v="2"/>
    <x v="2"/>
    <s v="PLAQUETTES"/>
    <s v="302x26 RPI"/>
    <n v="70"/>
  </r>
  <r>
    <d v="2025-07-02T08:47:26"/>
    <x v="8"/>
    <s v="Plaquettes d'ébauches rhombiques"/>
    <s v="270725"/>
    <s v="GUIBERT EMERIC"/>
    <n v="10"/>
    <x v="2"/>
    <x v="1"/>
    <s v="PLAQUETTES"/>
    <s v="302x26 RPI"/>
    <n v="70"/>
  </r>
  <r>
    <d v="2025-07-03T01:33:07"/>
    <x v="8"/>
    <s v="Plaquettes d'ébauches rhombiques"/>
    <s v="130124"/>
    <s v="MOHAMED ILDIRAY"/>
    <n v="10"/>
    <x v="1"/>
    <x v="3"/>
    <s v="PLAQUETTES"/>
    <s v="356x26 RPI"/>
    <n v="70"/>
  </r>
  <r>
    <d v="2025-07-03T15:44:13"/>
    <x v="8"/>
    <s v="Plaquettes d'ébauches rhombiques"/>
    <s v="SD75051"/>
    <s v="COMBALUZIER LUCAS"/>
    <n v="10"/>
    <x v="0"/>
    <x v="3"/>
    <s v="PLAQUETTES"/>
    <s v="290x12"/>
    <n v="70"/>
  </r>
  <r>
    <d v="2025-07-04T15:02:15"/>
    <x v="8"/>
    <s v="Plaquettes d'ébauches rhombiques"/>
    <s v="SD75051"/>
    <s v="COMBALUZIER LUCAS"/>
    <n v="10"/>
    <x v="0"/>
    <x v="3"/>
    <s v="PLAQUETTES"/>
    <s v="290x12"/>
    <n v="70"/>
  </r>
  <r>
    <d v="2025-07-04T15:03:01"/>
    <x v="8"/>
    <s v="Plaquettes d'ébauches rhombiques"/>
    <s v="SD75051"/>
    <s v="COMBALUZIER LUCAS"/>
    <n v="10"/>
    <x v="3"/>
    <x v="3"/>
    <s v="PLAQUETTES"/>
    <s v="330x14"/>
    <n v="70"/>
  </r>
  <r>
    <d v="2025-07-04T15:44:27"/>
    <x v="8"/>
    <s v="Plaquettes d'ébauches rhombiques"/>
    <s v="SD75051"/>
    <s v="COMBALUZIER LUCAS"/>
    <n v="10"/>
    <x v="3"/>
    <x v="3"/>
    <s v="PLAQUETTES"/>
    <s v="330x14"/>
    <n v="70"/>
  </r>
  <r>
    <d v="2025-07-04T15:44:58"/>
    <x v="8"/>
    <s v="Plaquettes d'ébauches rhombiques"/>
    <s v="SD75051"/>
    <s v="COMBALUZIER LUCAS"/>
    <n v="10"/>
    <x v="0"/>
    <x v="3"/>
    <s v="PLAQUETTES"/>
    <s v="290x12"/>
    <n v="70"/>
  </r>
  <r>
    <d v="2025-07-04T21:04:04"/>
    <x v="8"/>
    <s v="Plaquettes d'ébauches rhombiques"/>
    <s v="130124"/>
    <s v="MOHAMED ILDIRAY"/>
    <n v="10"/>
    <x v="1"/>
    <x v="3"/>
    <s v="PLAQUETTES"/>
    <s v="356x26 RPI"/>
    <n v="70"/>
  </r>
  <r>
    <d v="2025-07-07T05:12:33"/>
    <x v="8"/>
    <s v="Plaquettes d'ébauches rhombiques"/>
    <s v="140325"/>
    <s v="BOUCLIER JONATHAN"/>
    <n v="10"/>
    <x v="2"/>
    <x v="4"/>
    <s v="PLAQUETTES"/>
    <s v="302x26 RPI"/>
    <n v="70"/>
  </r>
  <r>
    <d v="2025-07-07T06:33:40"/>
    <x v="8"/>
    <s v="Plaquettes d'ébauches rhombiques"/>
    <s v="270725"/>
    <s v="GUIBERT EMERIC"/>
    <n v="10"/>
    <x v="2"/>
    <x v="1"/>
    <s v="PLAQUETTES"/>
    <s v="302x26 RPI"/>
    <n v="70"/>
  </r>
  <r>
    <d v="2025-07-07T15:56:35"/>
    <x v="8"/>
    <s v="Plaquettes d'ébauches rhombiques"/>
    <s v="210325"/>
    <s v="DAUTUN ALLAN"/>
    <n v="10"/>
    <x v="2"/>
    <x v="2"/>
    <s v="PLAQUETTES"/>
    <s v="302x26 RPI"/>
    <n v="70"/>
  </r>
  <r>
    <d v="2025-07-07T15:57:05"/>
    <x v="8"/>
    <s v="Plaquettes d'ébauches rhombiques"/>
    <s v="210325"/>
    <s v="DAUTUN ALLAN"/>
    <n v="10"/>
    <x v="2"/>
    <x v="4"/>
    <s v="PLAQUETTES"/>
    <s v="302x26 RPI"/>
    <n v="70"/>
  </r>
  <r>
    <d v="2025-07-08T12:06:50"/>
    <x v="8"/>
    <s v="Plaquettes d'ébauches rhombiques"/>
    <s v="140325"/>
    <s v="BOUCLIER JONATHAN"/>
    <n v="10"/>
    <x v="2"/>
    <x v="2"/>
    <s v="PLAQUETTES"/>
    <s v="302x26 RPI"/>
    <n v="70"/>
  </r>
  <r>
    <d v="2025-07-08T12:07:40"/>
    <x v="8"/>
    <s v="Plaquettes d'ébauches rhombiques"/>
    <s v="140325"/>
    <s v="BOUCLIER JONATHAN"/>
    <n v="10"/>
    <x v="2"/>
    <x v="4"/>
    <s v="PLAQUETTES"/>
    <s v="302x26 RPI"/>
    <n v="70"/>
  </r>
  <r>
    <d v="2025-07-08T22:31:35"/>
    <x v="8"/>
    <s v="Plaquettes d'ébauches rhombiques"/>
    <s v="250425"/>
    <s v="CHANDAR ABDER"/>
    <n v="10"/>
    <x v="2"/>
    <x v="4"/>
    <s v="PLAQUETTES"/>
    <s v="302x26 RPI"/>
    <n v="70"/>
  </r>
  <r>
    <d v="2025-07-09T13:15:25"/>
    <x v="8"/>
    <s v="Plaquettes d'ébauches rhombiques"/>
    <s v="130124"/>
    <s v="MOHAMED ILDIRAY"/>
    <n v="10"/>
    <x v="1"/>
    <x v="3"/>
    <s v="PLAQUETTES"/>
    <s v="304x28 RPE"/>
    <n v="70"/>
  </r>
  <r>
    <d v="2025-07-10T05:19:13"/>
    <x v="8"/>
    <s v="Plaquettes d'ébauches rhombiques"/>
    <s v="SD75051"/>
    <s v="COMBALUZIER LUCAS"/>
    <n v="10"/>
    <x v="0"/>
    <x v="3"/>
    <s v="PLAQUETTES"/>
    <s v="356x26 RPI"/>
    <n v="70"/>
  </r>
  <r>
    <d v="2025-07-10T20:29:24"/>
    <x v="8"/>
    <s v="Plaquettes d'ébauches rhombiques"/>
    <s v="210325"/>
    <s v="DAUTUN ALLAN"/>
    <n v="10"/>
    <x v="2"/>
    <x v="2"/>
    <s v="PLAQUETTES"/>
    <s v="302x26 RPI"/>
    <n v="70"/>
  </r>
  <r>
    <d v="2025-07-10T20:29:40"/>
    <x v="8"/>
    <s v="Plaquettes d'ébauches rhombiques"/>
    <s v="210325"/>
    <s v="DAUTUN ALLAN"/>
    <n v="10"/>
    <x v="2"/>
    <x v="4"/>
    <s v="PLAQUETTES"/>
    <s v="302x26 RPI"/>
    <n v="70"/>
  </r>
  <r>
    <d v="2025-07-11T05:14:17"/>
    <x v="8"/>
    <s v="Plaquettes d'ébauches rhombiques"/>
    <s v="J534699"/>
    <s v="FABIAN CHARTON"/>
    <n v="10"/>
    <x v="2"/>
    <x v="1"/>
    <s v="PLAQUETTES"/>
    <s v="302x26 RPI"/>
    <n v="70"/>
  </r>
  <r>
    <d v="2025-07-11T05:15:13"/>
    <x v="8"/>
    <s v="Plaquettes d'ébauches rhombiques"/>
    <s v="J534699"/>
    <s v="FABIAN CHARTON"/>
    <n v="10"/>
    <x v="2"/>
    <x v="4"/>
    <s v="PLAQUETTES"/>
    <s v="302x26 RPI"/>
    <n v="70"/>
  </r>
  <r>
    <d v="2025-07-11T13:13:08"/>
    <x v="8"/>
    <s v="Plaquettes d'ébauches rhombiques"/>
    <s v="130124"/>
    <s v="MOHAMED ILDIRAY"/>
    <n v="10"/>
    <x v="1"/>
    <x v="3"/>
    <s v="PLAQUETTES"/>
    <s v="304x28 RPE"/>
    <n v="70"/>
  </r>
  <r>
    <d v="2025-07-13T17:48:22"/>
    <x v="8"/>
    <s v="Plaquettes d'ébauches rhombiques"/>
    <s v="J534699"/>
    <s v="FABIAN CHARTON"/>
    <n v="10"/>
    <x v="2"/>
    <x v="2"/>
    <s v="PLAQUETTES"/>
    <s v="302x26 RPI"/>
    <n v="70"/>
  </r>
  <r>
    <d v="2025-07-13T17:49:39"/>
    <x v="8"/>
    <s v="Plaquettes d'ébauches rhombiques"/>
    <s v="J534699"/>
    <s v="FABIAN CHARTON"/>
    <n v="10"/>
    <x v="2"/>
    <x v="4"/>
    <s v="PLAQUETTES"/>
    <s v="302x26 RPI"/>
    <n v="70"/>
  </r>
  <r>
    <d v="2025-07-13T19:45:37"/>
    <x v="8"/>
    <s v="Plaquettes d'ébauches rhombiques"/>
    <s v="u080365"/>
    <s v="ALAVOINE SAMUEL"/>
    <n v="10"/>
    <x v="0"/>
    <x v="3"/>
    <s v="PLAQUETTES"/>
    <s v="356x26 RPI"/>
    <n v="70"/>
  </r>
  <r>
    <d v="2025-07-13T22:21:04"/>
    <x v="8"/>
    <s v="Plaquettes d'ébauches rhombiques"/>
    <s v="U109136"/>
    <s v="WIPLIE FREDERIC"/>
    <n v="10"/>
    <x v="1"/>
    <x v="3"/>
    <s v="PLAQUETTES"/>
    <s v="304x28 RPE"/>
    <n v="70"/>
  </r>
  <r>
    <d v="2025-07-14T23:58:44"/>
    <x v="8"/>
    <s v="Plaquettes d'ébauches rhombiques"/>
    <s v="270725"/>
    <s v="GUIBERT EMERIC"/>
    <n v="10"/>
    <x v="2"/>
    <x v="1"/>
    <s v="PLAQUETTES"/>
    <s v="302x26 RPI"/>
    <n v="70"/>
  </r>
  <r>
    <d v="2025-07-15T05:04:00"/>
    <x v="8"/>
    <s v="Plaquettes d'ébauches rhombiques"/>
    <s v="130124"/>
    <s v="MOHAMED ILDIRAY"/>
    <n v="10"/>
    <x v="1"/>
    <x v="3"/>
    <s v="PLAQUETTES"/>
    <s v="304x28 RPE"/>
    <n v="70"/>
  </r>
  <r>
    <d v="2025-07-15T12:24:09"/>
    <x v="8"/>
    <s v="Plaquettes d'ébauches rhombiques"/>
    <s v="210325"/>
    <s v="DAUTUN ALLAN"/>
    <n v="10"/>
    <x v="2"/>
    <x v="4"/>
    <s v="PLAQUETTES"/>
    <s v="302x26 RPI"/>
    <n v="70"/>
  </r>
  <r>
    <d v="2025-07-15T13:25:43"/>
    <x v="8"/>
    <s v="Plaquettes d'ébauches rhombiques"/>
    <s v="SE08251"/>
    <s v="FAYET AYMERIC"/>
    <n v="10"/>
    <x v="3"/>
    <x v="2"/>
    <s v="PLAQUETTES"/>
    <s v="290x12"/>
    <n v="70"/>
  </r>
  <r>
    <d v="2025-07-16T04:23:40"/>
    <x v="8"/>
    <s v="Plaquettes d'ébauches rhombiques"/>
    <s v="140325"/>
    <s v="BOUCLIER JONATHAN"/>
    <n v="10"/>
    <x v="2"/>
    <x v="2"/>
    <s v="PLAQUETTES"/>
    <s v="302x26 RPI"/>
    <n v="70"/>
  </r>
  <r>
    <d v="2025-07-16T04:24:37"/>
    <x v="8"/>
    <s v="Plaquettes d'ébauches rhombiques"/>
    <s v="140325"/>
    <s v="BOUCLIER JONATHAN"/>
    <n v="10"/>
    <x v="2"/>
    <x v="4"/>
    <s v="PLAQUETTES"/>
    <s v="302x26 RPI"/>
    <n v="70"/>
  </r>
  <r>
    <d v="2025-07-16T04:37:10"/>
    <x v="8"/>
    <s v="Plaquettes d'ébauches rhombiques"/>
    <s v="130325"/>
    <s v="PAPONNEAU JULIEN"/>
    <n v="10"/>
    <x v="1"/>
    <x v="3"/>
    <s v="PLAQUETTES"/>
    <s v="304x28 RPE"/>
    <n v="70"/>
  </r>
  <r>
    <d v="2025-07-16T11:39:06"/>
    <x v="8"/>
    <s v="Plaquettes d'ébauches rhombiques"/>
    <s v="12824586"/>
    <s v="DA SILVA FERNANDO"/>
    <n v="10"/>
    <x v="1"/>
    <x v="2"/>
    <s v="PLAQUETTES"/>
    <s v="TOUT DISQUES"/>
    <n v="70"/>
  </r>
  <r>
    <d v="2025-07-16T19:53:43"/>
    <x v="8"/>
    <s v="Plaquettes d'ébauches rhombiques"/>
    <s v="SE08251"/>
    <s v="FAYET AYMERIC"/>
    <n v="10"/>
    <x v="3"/>
    <x v="2"/>
    <s v="PLAQUETTES"/>
    <s v="290x12"/>
    <n v="70"/>
  </r>
  <r>
    <d v="2025-07-17T05:07:46"/>
    <x v="8"/>
    <s v="Plaquettes d'ébauches rhombiques"/>
    <s v="130124"/>
    <s v="MOHAMED ILDIRAY"/>
    <n v="10"/>
    <x v="1"/>
    <x v="3"/>
    <s v="PLAQUETTES"/>
    <s v="304x28 RPE"/>
    <n v="70"/>
  </r>
  <r>
    <d v="2025-07-17T08:15:15"/>
    <x v="8"/>
    <s v="Plaquettes d'ébauches rhombiques"/>
    <s v="SD13196"/>
    <s v="FRADIN MAXIME"/>
    <n v="10"/>
    <x v="3"/>
    <x v="2"/>
    <s v="PLAQUETTES"/>
    <s v="290x12"/>
    <n v="70"/>
  </r>
  <r>
    <d v="2025-07-18T05:29:52"/>
    <x v="8"/>
    <s v="Plaquettes d'ébauches rhombiques"/>
    <s v="J534699"/>
    <s v="FABIAN CHARTON"/>
    <n v="10"/>
    <x v="2"/>
    <x v="2"/>
    <s v="PLAQUETTES"/>
    <s v="302x26 RPI"/>
    <n v="70"/>
  </r>
  <r>
    <d v="2025-07-18T05:31:19"/>
    <x v="8"/>
    <s v="Plaquettes d'ébauches rhombiques"/>
    <s v="J534699"/>
    <s v="FABIAN CHARTON"/>
    <n v="10"/>
    <x v="2"/>
    <x v="4"/>
    <s v="PLAQUETTES"/>
    <s v="302x26 RPI"/>
    <n v="70"/>
  </r>
  <r>
    <d v="2025-07-18T21:59:04"/>
    <x v="8"/>
    <s v="Plaquettes d'ébauches rhombiques"/>
    <s v="sc95213"/>
    <s v="RABET PAULINE"/>
    <n v="10"/>
    <x v="1"/>
    <x v="3"/>
    <s v="PLAQUETTES"/>
    <s v="302x26 RPI"/>
    <n v="70"/>
  </r>
  <r>
    <d v="2025-07-20T18:11:15"/>
    <x v="8"/>
    <s v="Plaquettes d'ébauches rhombiques"/>
    <s v="u080365"/>
    <s v="ALAVOINE SAMUEL"/>
    <n v="10"/>
    <x v="1"/>
    <x v="3"/>
    <s v="PLAQUETTES"/>
    <s v="304x28 RPE"/>
    <n v="70"/>
  </r>
  <r>
    <d v="2025-07-21T03:35:11"/>
    <x v="8"/>
    <s v="Plaquettes d'ébauches rhombiques"/>
    <s v="U109136"/>
    <s v="WIPLIE FREDERIC"/>
    <n v="10"/>
    <x v="3"/>
    <x v="3"/>
    <s v="PLAQUETTES"/>
    <s v="330x14"/>
    <n v="70"/>
  </r>
  <r>
    <d v="2025-07-21T12:40:25"/>
    <x v="8"/>
    <s v="Plaquettes d'ébauches rhombiques"/>
    <s v="SE08251"/>
    <s v="FAYET AYMERIC"/>
    <n v="10"/>
    <x v="0"/>
    <x v="3"/>
    <s v="PLAQUETTES"/>
    <s v="356x26 RPI"/>
    <n v="70"/>
  </r>
  <r>
    <d v="2025-07-21T17:53:22"/>
    <x v="8"/>
    <s v="Plaquettes d'ébauches rhombiques"/>
    <s v="270725"/>
    <s v="GUIBERT EMERIC"/>
    <n v="10"/>
    <x v="2"/>
    <x v="1"/>
    <s v="PLAQUETTES"/>
    <s v="302x26 RPI"/>
    <n v="70"/>
  </r>
  <r>
    <d v="2025-07-21T21:54:20"/>
    <x v="8"/>
    <s v="Plaquettes d'ébauches rhombiques"/>
    <s v="101123"/>
    <s v="BRUNET ANDREA"/>
    <n v="10"/>
    <x v="1"/>
    <x v="3"/>
    <s v="PLAQUETTES"/>
    <s v="304x28 RPE"/>
    <n v="70"/>
  </r>
  <r>
    <d v="2025-07-22T05:37:20"/>
    <x v="8"/>
    <s v="Plaquettes d'ébauches rhombiques"/>
    <s v="SE08251"/>
    <s v="FAYET AYMERIC"/>
    <n v="10"/>
    <x v="3"/>
    <x v="2"/>
    <s v="PLAQUETTES"/>
    <s v="290x12"/>
    <n v="70"/>
  </r>
  <r>
    <d v="2025-07-23T04:27:35"/>
    <x v="8"/>
    <s v="Plaquettes d'ébauches rhombiques"/>
    <s v="210325"/>
    <s v="DAUTUN ALLAN"/>
    <n v="10"/>
    <x v="2"/>
    <x v="2"/>
    <s v="PLAQUETTES"/>
    <s v="302x26 RPI"/>
    <n v="70"/>
  </r>
  <r>
    <d v="2025-07-23T04:27:59"/>
    <x v="8"/>
    <s v="Plaquettes d'ébauches rhombiques"/>
    <s v="210325"/>
    <s v="DAUTUN ALLAN"/>
    <n v="10"/>
    <x v="2"/>
    <x v="2"/>
    <s v="PLAQUETTES"/>
    <s v="302x26 RPI"/>
    <n v="70"/>
  </r>
  <r>
    <d v="2025-07-23T04:28:24"/>
    <x v="8"/>
    <s v="Plaquettes d'ébauches rhombiques"/>
    <s v="210325"/>
    <s v="DAUTUN ALLAN"/>
    <n v="10"/>
    <x v="2"/>
    <x v="4"/>
    <s v="PLAQUETTES"/>
    <s v="302x26 RPI"/>
    <n v="70"/>
  </r>
  <r>
    <d v="2025-07-23T20:22:10"/>
    <x v="8"/>
    <s v="Plaquettes d'ébauches rhombiques"/>
    <s v="130325"/>
    <s v="PAPONNEAU JULIEN"/>
    <n v="10"/>
    <x v="1"/>
    <x v="3"/>
    <s v="PLAQUETTES"/>
    <s v="304x28 RPE"/>
    <n v="70"/>
  </r>
  <r>
    <d v="2025-07-23T20:22:24"/>
    <x v="8"/>
    <s v="Plaquettes d'ébauches rhombiques"/>
    <s v="130325"/>
    <s v="PAPONNEAU JULIEN"/>
    <n v="10"/>
    <x v="1"/>
    <x v="3"/>
    <s v="PLAQUETTES"/>
    <s v="304x28 RPE"/>
    <n v="70"/>
  </r>
  <r>
    <d v="2025-07-23T20:24:03"/>
    <x v="8"/>
    <s v="Plaquettes d'ébauches rhombiques"/>
    <s v="140325"/>
    <s v="BOUCLIER JONATHAN"/>
    <n v="10"/>
    <x v="2"/>
    <x v="2"/>
    <s v="PLAQUETTES"/>
    <s v="302x26 RPI"/>
    <n v="70"/>
  </r>
  <r>
    <d v="2025-07-23T21:05:26"/>
    <x v="8"/>
    <s v="Plaquettes d'ébauches rhombiques"/>
    <s v="130124"/>
    <s v="MOHAMED ILDIRAY"/>
    <n v="10"/>
    <x v="1"/>
    <x v="3"/>
    <s v="PLAQUETTES"/>
    <s v="304x28 RPE"/>
    <n v="70"/>
  </r>
  <r>
    <d v="2025-07-24T05:45:16"/>
    <x v="8"/>
    <s v="Plaquettes d'ébauches rhombiques"/>
    <s v="j529800"/>
    <s v="MONTCHARMONT BAPTISTE"/>
    <n v="10"/>
    <x v="0"/>
    <x v="3"/>
    <s v="PLAQUETTES"/>
    <s v="356x26 RPI"/>
    <n v="70"/>
  </r>
  <r>
    <d v="2025-07-24T13:39:43"/>
    <x v="8"/>
    <s v="Plaquettes d'ébauches rhombiques"/>
    <s v="270725"/>
    <s v="GUIBERT EMERIC"/>
    <n v="10"/>
    <x v="2"/>
    <x v="1"/>
    <s v="PLAQUETTES"/>
    <s v="302x26 RPI"/>
    <n v="70"/>
  </r>
  <r>
    <d v="2025-07-24T15:43:53"/>
    <x v="8"/>
    <s v="Plaquettes d'ébauches rhombiques"/>
    <s v="140325"/>
    <s v="BOUCLIER JONATHAN"/>
    <n v="10"/>
    <x v="2"/>
    <x v="2"/>
    <s v="PLAQUETTES"/>
    <s v="302x26 RPI"/>
    <n v="70"/>
  </r>
  <r>
    <d v="2025-07-24T17:52:17"/>
    <x v="8"/>
    <s v="Plaquettes d'ébauches rhombiques"/>
    <s v="040725"/>
    <s v="BARGEOT LUCAS"/>
    <n v="10"/>
    <x v="3"/>
    <x v="3"/>
    <s v="PLAQUETTES"/>
    <s v="330x14"/>
    <n v="70"/>
  </r>
  <r>
    <d v="2025-07-25T08:13:41"/>
    <x v="8"/>
    <s v="Plaquettes d'ébauches rhombiques"/>
    <s v="U080365"/>
    <s v="ALAVOINE SAMUEL"/>
    <n v="10"/>
    <x v="0"/>
    <x v="3"/>
    <s v="PLAQUETTES"/>
    <s v="290x12"/>
    <n v="70"/>
  </r>
  <r>
    <d v="2025-07-25T21:52:48"/>
    <x v="8"/>
    <s v="Plaquettes d'ébauches rhombiques"/>
    <s v="130124"/>
    <s v="MOHAMED ILDIRAY"/>
    <n v="10"/>
    <x v="1"/>
    <x v="3"/>
    <s v="PLAQUETTES"/>
    <s v="304x28 RPE"/>
    <n v="70"/>
  </r>
  <r>
    <d v="2025-07-26T05:04:47"/>
    <x v="8"/>
    <s v="Plaquettes d'ébauches rhombiques"/>
    <s v="DELIAT C"/>
    <s v="DELIAT CHRISTOPHE"/>
    <n v="10"/>
    <x v="2"/>
    <x v="4"/>
    <s v="PLAQUETTES"/>
    <s v="302x26 RPI"/>
    <n v="70"/>
  </r>
  <r>
    <d v="2025-07-28T13:53:11"/>
    <x v="8"/>
    <s v="Plaquettes d'ébauches rhombiques"/>
    <s v="140325"/>
    <s v="BOUCLIER JONATHAN"/>
    <n v="10"/>
    <x v="2"/>
    <x v="1"/>
    <s v="PLAQUETTES"/>
    <s v="302x26 RPI"/>
    <n v="70"/>
  </r>
  <r>
    <d v="2025-07-28T19:00:21"/>
    <x v="8"/>
    <s v="Plaquettes d'ébauches rhombiques"/>
    <s v="U109136"/>
    <s v="WIPLIE FREDERIC"/>
    <n v="10"/>
    <x v="0"/>
    <x v="3"/>
    <s v="PLAQUETTES"/>
    <s v="290x12"/>
    <n v="70"/>
  </r>
  <r>
    <d v="2025-07-29T05:54:54"/>
    <x v="8"/>
    <s v="Plaquettes d'ébauches rhombiques"/>
    <s v="u636817"/>
    <s v="MOCQUEREAU LYDIE"/>
    <n v="10"/>
    <x v="2"/>
    <x v="1"/>
    <s v="PLAQUETTES"/>
    <s v="302x26 RPI"/>
    <n v="70"/>
  </r>
  <r>
    <d v="2025-07-29T08:25:33"/>
    <x v="8"/>
    <s v="Plaquettes d'ébauches rhombiques"/>
    <s v="020824"/>
    <s v="DA SILVA RENAUD"/>
    <n v="10"/>
    <x v="1"/>
    <x v="2"/>
    <s v="PLAQUETTES"/>
    <s v="TOUT DISQUES"/>
    <n v="70"/>
  </r>
  <r>
    <d v="2025-07-29T17:44:42"/>
    <x v="8"/>
    <s v="Plaquettes d'ébauches rhombiques"/>
    <s v="140325"/>
    <s v="BOUCLIER JONATHAN"/>
    <n v="10"/>
    <x v="2"/>
    <x v="4"/>
    <s v="PLAQUETTES"/>
    <s v="302x26 RPI"/>
    <n v="70"/>
  </r>
  <r>
    <d v="2025-07-30T06:40:19"/>
    <x v="8"/>
    <s v="Plaquettes d'ébauches rhombiques"/>
    <s v="040725"/>
    <s v="BARGEOT LUCAS"/>
    <n v="10"/>
    <x v="0"/>
    <x v="3"/>
    <s v="PLAQUETTES"/>
    <s v="290x12"/>
    <n v="70"/>
  </r>
  <r>
    <d v="2025-07-31T05:19:51"/>
    <x v="8"/>
    <s v="Plaquettes d'ébauches rhombiques"/>
    <s v="u636817"/>
    <s v="MOCQUEREAU LYDIE"/>
    <n v="10"/>
    <x v="2"/>
    <x v="2"/>
    <s v="PLAQUETTES"/>
    <s v="302x26 RPI"/>
    <n v="70"/>
  </r>
  <r>
    <d v="2025-07-31T13:16:47"/>
    <x v="8"/>
    <s v="Plaquettes d'ébauches rhombiques"/>
    <s v="140325"/>
    <s v="BOUCLIER JONATHAN"/>
    <n v="10"/>
    <x v="2"/>
    <x v="4"/>
    <s v="PLAQUETTES"/>
    <s v="302x26 RPI"/>
    <n v="70"/>
  </r>
  <r>
    <d v="2025-08-14T09:40:31"/>
    <x v="8"/>
    <s v="Plaquettes d'ébauches rhombiques"/>
    <s v="u636817"/>
    <s v="MOCQUEREAU LYDIE"/>
    <n v="10"/>
    <x v="2"/>
    <x v="4"/>
    <s v="PLAQUETTES"/>
    <s v="302x26 RPI"/>
    <n v="70"/>
  </r>
  <r>
    <d v="2025-08-18T05:08:33"/>
    <x v="8"/>
    <s v="Plaquettes d'ébauches rhombiques"/>
    <s v="140325"/>
    <s v="BOUCLIER JONATHAN"/>
    <n v="10"/>
    <x v="2"/>
    <x v="2"/>
    <s v="PLAQUETTES"/>
    <s v="302x26 RPI"/>
    <n v="70"/>
  </r>
  <r>
    <d v="2025-08-18T05:09:53"/>
    <x v="8"/>
    <s v="Plaquettes d'ébauches rhombiques"/>
    <s v="140325"/>
    <s v="BOUCLIER JONATHAN"/>
    <n v="10"/>
    <x v="2"/>
    <x v="4"/>
    <s v="PLAQUETTES"/>
    <s v="302x26 RPI"/>
    <n v="70"/>
  </r>
  <r>
    <d v="2025-08-18T05:29:48"/>
    <x v="8"/>
    <s v="Plaquettes d'ébauches rhombiques"/>
    <s v="SD75051"/>
    <s v="COMBALUZIER LUCAS"/>
    <n v="10"/>
    <x v="1"/>
    <x v="0"/>
    <s v="PLAQUETTES"/>
    <s v="304x28 RPE"/>
    <n v="70"/>
  </r>
  <r>
    <d v="2025-08-18T13:25:58"/>
    <x v="8"/>
    <s v="Plaquettes d'ébauches rhombiques"/>
    <s v="210325"/>
    <s v="DAUTUN ALLAN"/>
    <n v="10"/>
    <x v="2"/>
    <x v="2"/>
    <s v="PLAQUETTES"/>
    <s v="302x26 RPI"/>
    <n v="70"/>
  </r>
  <r>
    <d v="2025-08-19T01:48:58"/>
    <x v="8"/>
    <s v="Plaquettes d'ébauches rhombiques"/>
    <s v="j529800"/>
    <s v="MONTCHARMONT BAPTISTE"/>
    <n v="10"/>
    <x v="3"/>
    <x v="3"/>
    <s v="PLAQUETTES"/>
    <s v="330x14"/>
    <n v="70"/>
  </r>
  <r>
    <d v="2025-08-19T16:45:10"/>
    <x v="8"/>
    <s v="Plaquettes d'ébauches rhombiques"/>
    <s v="U561365"/>
    <s v="BALLY BENOIT"/>
    <n v="10"/>
    <x v="2"/>
    <x v="1"/>
    <s v="PLAQUETTES"/>
    <s v="302x26 RPI"/>
    <n v="70"/>
  </r>
  <r>
    <d v="2025-08-19T17:19:59"/>
    <x v="8"/>
    <s v="Plaquettes d'ébauches rhombiques"/>
    <s v="3224"/>
    <s v="BIDOT MURIEL"/>
    <n v="10"/>
    <x v="1"/>
    <x v="3"/>
    <s v="PLAQUETTES"/>
    <s v="304x28 RPE"/>
    <n v="70"/>
  </r>
  <r>
    <d v="2025-08-20T00:34:58"/>
    <x v="8"/>
    <s v="Plaquettes d'ébauches rhombiques"/>
    <s v="j529800"/>
    <s v="MONTCHARMONT BAPTISTE"/>
    <n v="10"/>
    <x v="0"/>
    <x v="3"/>
    <s v="PLAQUETTES"/>
    <s v="356x26 RPI"/>
    <n v="70"/>
  </r>
  <r>
    <d v="2025-08-20T05:42:21"/>
    <x v="8"/>
    <s v="Plaquettes d'ébauches rhombiques"/>
    <s v="040725"/>
    <s v="BARGEOT LUCAS"/>
    <n v="10"/>
    <x v="3"/>
    <x v="3"/>
    <s v="PLAQUETTES"/>
    <s v="330x14"/>
    <n v="70"/>
  </r>
  <r>
    <d v="2025-08-21T06:26:47"/>
    <x v="8"/>
    <s v="Plaquettes d'ébauches rhombiques"/>
    <s v="SD75051"/>
    <s v="COMBALUZIER LUCAS"/>
    <n v="10"/>
    <x v="0"/>
    <x v="3"/>
    <s v="PLAQUETTES"/>
    <s v="304x28 RPE"/>
    <n v="70"/>
  </r>
  <r>
    <d v="2025-08-21T20:16:27"/>
    <x v="8"/>
    <s v="Plaquettes d'ébauches rhombiques"/>
    <s v="210325"/>
    <s v="DAUTUN ALLAN"/>
    <n v="10"/>
    <x v="2"/>
    <x v="4"/>
    <s v="PLAQUETTES"/>
    <s v="302x26 RPI"/>
    <n v="70"/>
  </r>
  <r>
    <d v="2025-08-21T21:42:00"/>
    <x v="8"/>
    <s v="Plaquettes d'ébauches rhombiques"/>
    <s v="280225"/>
    <s v="FERNANDES DOS SANTOS REMY"/>
    <n v="10"/>
    <x v="0"/>
    <x v="3"/>
    <s v="PLAQUETTES"/>
    <s v="356x26 RPI"/>
    <n v="70"/>
  </r>
  <r>
    <d v="2025-08-22T05:31:40"/>
    <x v="8"/>
    <s v="Plaquettes d'ébauches rhombiques"/>
    <s v="J534699"/>
    <s v="FABIAN CHARTON"/>
    <n v="10"/>
    <x v="2"/>
    <x v="2"/>
    <s v="PLAQUETTES"/>
    <s v="302x26 RPI"/>
    <n v="70"/>
  </r>
  <r>
    <d v="2025-08-22T05:33:23"/>
    <x v="8"/>
    <s v="Plaquettes d'ébauches rhombiques"/>
    <s v="J534699"/>
    <s v="FABIAN CHARTON"/>
    <n v="10"/>
    <x v="2"/>
    <x v="4"/>
    <s v="PLAQUETTES"/>
    <s v="302x26 RPI"/>
    <n v="70"/>
  </r>
  <r>
    <d v="2025-08-22T20:22:43"/>
    <x v="8"/>
    <s v="Plaquettes d'ébauches rhombiques"/>
    <s v="210325"/>
    <s v="DAUTUN ALLAN"/>
    <n v="10"/>
    <x v="2"/>
    <x v="4"/>
    <s v="PLAQUETTES"/>
    <s v="302x26 RPI"/>
    <n v="70"/>
  </r>
  <r>
    <d v="2025-08-22T23:46:41"/>
    <x v="8"/>
    <s v="Plaquettes d'ébauches rhombiques"/>
    <s v="130325"/>
    <s v="PAPONNEAU JULIEN"/>
    <n v="10"/>
    <x v="1"/>
    <x v="3"/>
    <s v="PLAQUETTES"/>
    <s v="304x28 RPE"/>
    <n v="70"/>
  </r>
  <r>
    <d v="2025-08-22T23:46:57"/>
    <x v="8"/>
    <s v="Plaquettes d'ébauches rhombiques"/>
    <s v="130325"/>
    <s v="PAPONNEAU JULIEN"/>
    <n v="10"/>
    <x v="1"/>
    <x v="3"/>
    <s v="PLAQUETTES"/>
    <s v="304x28 RPE"/>
    <n v="70"/>
  </r>
  <r>
    <d v="2025-08-22T23:47:46"/>
    <x v="8"/>
    <s v="Plaquettes d'ébauches rhombiques"/>
    <s v="j529800"/>
    <s v="MONTCHARMONT BAPTISTE"/>
    <n v="10"/>
    <x v="3"/>
    <x v="3"/>
    <s v="PLAQUETTES"/>
    <s v="330x14"/>
    <n v="70"/>
  </r>
  <r>
    <d v="2025-08-24T20:06:05"/>
    <x v="8"/>
    <s v="Plaquettes d'ébauches rhombiques"/>
    <s v="U080365"/>
    <s v="ALAVOINE SAMUEL"/>
    <n v="10"/>
    <x v="0"/>
    <x v="3"/>
    <s v="PLAQUETTES"/>
    <s v="356x26 RPI"/>
    <n v="70"/>
  </r>
  <r>
    <d v="2025-08-25T00:22:29"/>
    <x v="8"/>
    <s v="Plaquettes d'ébauches rhombiques"/>
    <s v="DELIAT C"/>
    <s v="DELIAT CHRISTOPHE"/>
    <n v="10"/>
    <x v="1"/>
    <x v="3"/>
    <s v="PLAQUETTES"/>
    <s v="304x28 RPE"/>
    <n v="70"/>
  </r>
  <r>
    <d v="2025-08-26T06:15:28"/>
    <x v="8"/>
    <s v="Plaquettes d'ébauches rhombiques"/>
    <s v="U505000"/>
    <s v="RECEVEUR BENOIT"/>
    <n v="10"/>
    <x v="3"/>
    <x v="3"/>
    <s v="PLAQUETTES"/>
    <s v="330x14"/>
    <n v="70"/>
  </r>
  <r>
    <d v="2025-08-26T13:06:18"/>
    <x v="8"/>
    <s v="Plaquettes d'ébauches rhombiques"/>
    <s v="140325"/>
    <s v="BOUCLIER JONATHAN"/>
    <n v="10"/>
    <x v="2"/>
    <x v="2"/>
    <s v="PLAQUETTES"/>
    <s v="302x26 RPI"/>
    <n v="70"/>
  </r>
  <r>
    <d v="2025-08-26T13:06:46"/>
    <x v="8"/>
    <s v="Plaquettes d'ébauches rhombiques"/>
    <s v="140325"/>
    <s v="BOUCLIER JONATHAN"/>
    <n v="10"/>
    <x v="2"/>
    <x v="4"/>
    <s v="PLAQUETTES"/>
    <s v="302x26 RPI"/>
    <n v="70"/>
  </r>
  <r>
    <d v="2025-08-26T14:06:13"/>
    <x v="8"/>
    <s v="Plaquettes d'ébauches rhombiques"/>
    <s v="040725"/>
    <s v="BARGEOT LUCAS"/>
    <n v="10"/>
    <x v="3"/>
    <x v="3"/>
    <s v="PLAQUETTES"/>
    <s v="330x14"/>
    <n v="70"/>
  </r>
  <r>
    <d v="2025-08-26T14:30:58"/>
    <x v="8"/>
    <s v="Plaquettes d'ébauches rhombiques"/>
    <s v="SD75051"/>
    <s v="COMBALUZIER LUCAS"/>
    <n v="10"/>
    <x v="1"/>
    <x v="3"/>
    <s v="PLAQUETTES"/>
    <s v="304x28 RPE"/>
    <n v="70"/>
  </r>
  <r>
    <d v="2025-08-27T05:07:31"/>
    <x v="8"/>
    <s v="Plaquettes d'ébauches rhombiques"/>
    <s v="101123"/>
    <s v="BRUNET ANDREA"/>
    <n v="10"/>
    <x v="1"/>
    <x v="3"/>
    <s v="PLAQUETTES"/>
    <s v="304x28 RPE"/>
    <n v="70"/>
  </r>
  <r>
    <d v="2025-08-28T13:11:41"/>
    <x v="8"/>
    <s v="Plaquettes d'ébauches rhombiques"/>
    <s v="140325"/>
    <s v="BOUCLIER JONATHAN"/>
    <n v="10"/>
    <x v="2"/>
    <x v="2"/>
    <s v="PLAQUETTES"/>
    <s v="302x26 RPI"/>
    <n v="70"/>
  </r>
  <r>
    <d v="2025-08-28T13:20:51"/>
    <x v="8"/>
    <s v="Plaquettes d'ébauches rhombiques"/>
    <s v="SD75051"/>
    <s v="COMBALUZIER LUCAS"/>
    <n v="10"/>
    <x v="1"/>
    <x v="3"/>
    <s v="PLAQUETTES"/>
    <s v="304x28 RPE"/>
    <n v="70"/>
  </r>
  <r>
    <d v="2025-08-29T05:16:10"/>
    <x v="8"/>
    <s v="Plaquettes d'ébauches rhombiques"/>
    <s v="U080365"/>
    <s v="ALAVOINE SAMUEL"/>
    <n v="10"/>
    <x v="0"/>
    <x v="3"/>
    <s v="PLAQUETTES"/>
    <s v="356x26 RPI"/>
    <n v="70"/>
  </r>
  <r>
    <d v="2025-08-29T05:16:39"/>
    <x v="8"/>
    <s v="Plaquettes d'ébauches rhombiques"/>
    <s v="U080365"/>
    <s v="ALAVOINE SAMUEL"/>
    <n v="10"/>
    <x v="0"/>
    <x v="3"/>
    <s v="PLAQUETTES"/>
    <s v="356x26 RPI"/>
    <n v="70"/>
  </r>
  <r>
    <d v="2025-08-29T05:27:32"/>
    <x v="8"/>
    <s v="Plaquettes d'ébauches rhombiques"/>
    <s v="DELIAT C"/>
    <s v="DELIAT CHRISTOPHE"/>
    <n v="10"/>
    <x v="1"/>
    <x v="3"/>
    <s v="PLAQUETTES"/>
    <s v="304x28 RPE"/>
    <n v="70"/>
  </r>
  <r>
    <d v="2025-08-29T05:29:18"/>
    <x v="8"/>
    <s v="Plaquettes d'ébauches rhombiques"/>
    <s v="DELIAT C"/>
    <s v="DELIAT CHRISTOPHE"/>
    <n v="10"/>
    <x v="1"/>
    <x v="0"/>
    <s v="PLAQUETTES"/>
    <s v="304x28 RPE"/>
    <n v="70"/>
  </r>
  <r>
    <d v="2025-08-29T13:26:40"/>
    <x v="8"/>
    <s v="Plaquettes d'ébauches rhombiques"/>
    <s v="140325"/>
    <s v="BOUCLIER JONATHAN"/>
    <n v="10"/>
    <x v="2"/>
    <x v="4"/>
    <s v="PLAQUETTES"/>
    <s v="302x26 RPI"/>
    <n v="70"/>
  </r>
  <r>
    <d v="2025-08-29T13:27:14"/>
    <x v="8"/>
    <s v="Plaquettes d'ébauches rhombiques"/>
    <s v="140325"/>
    <s v="BOUCLIER JONATHAN"/>
    <n v="10"/>
    <x v="2"/>
    <x v="2"/>
    <s v="PLAQUETTES"/>
    <s v="302x26 RPI"/>
    <n v="70"/>
  </r>
  <r>
    <d v="2025-08-30T05:40:33"/>
    <x v="8"/>
    <s v="Plaquettes d'ébauches rhombiques"/>
    <s v="DELIAT C"/>
    <s v="DELIAT CHRISTOPHE"/>
    <n v="10"/>
    <x v="2"/>
    <x v="4"/>
    <s v="PLAQUETTES"/>
    <s v="302x26 RPI"/>
    <n v="70"/>
  </r>
  <r>
    <d v="2025-08-31T09:02:36"/>
    <x v="8"/>
    <s v="Plaquettes d'ébauches rhombiques"/>
    <s v="140325"/>
    <s v="BOUCLIER JONATHAN"/>
    <n v="10"/>
    <x v="2"/>
    <x v="1"/>
    <s v="PLAQUETTES"/>
    <s v="302x26 RPI"/>
    <n v="70"/>
  </r>
  <r>
    <d v="2025-09-01T05:36:30"/>
    <x v="8"/>
    <s v="Plaquettes d'ébauches rhombiques"/>
    <s v="SD75051"/>
    <s v="COMBALUZIER LUCAS"/>
    <n v="10"/>
    <x v="1"/>
    <x v="3"/>
    <s v="PLAQUETTES"/>
    <s v="304x28 RPE"/>
    <n v="70"/>
  </r>
  <r>
    <d v="2025-09-01T06:40:27"/>
    <x v="8"/>
    <s v="Plaquettes d'ébauches rhombiques"/>
    <s v="J609988"/>
    <s v="AMALRIC VINCENT"/>
    <n v="10"/>
    <x v="0"/>
    <x v="2"/>
    <s v="PLAQUETTES"/>
    <s v="356x26 RPI"/>
    <n v="70"/>
  </r>
  <r>
    <d v="2025-09-01T13:13:09"/>
    <x v="8"/>
    <s v="Plaquettes d'ébauches rhombiques"/>
    <s v="U505000"/>
    <s v="RECEVEUR BENOIT"/>
    <n v="10"/>
    <x v="2"/>
    <x v="1"/>
    <s v="PLAQUETTES"/>
    <s v="302x26 RPI"/>
    <n v="70"/>
  </r>
  <r>
    <d v="2025-09-01T23:12:09"/>
    <x v="8"/>
    <s v="Plaquettes d'ébauches rhombiques"/>
    <s v="250425"/>
    <s v="CHANDAR ABDER"/>
    <n v="10"/>
    <x v="2"/>
    <x v="2"/>
    <s v="PLAQUETTES"/>
    <s v="302x26 RPI"/>
    <n v="70"/>
  </r>
  <r>
    <d v="2025-09-02T05:18:53"/>
    <x v="8"/>
    <s v="Plaquettes d'ébauches rhombiques"/>
    <s v="SD75051"/>
    <s v="COMBALUZIER LUCAS"/>
    <n v="10"/>
    <x v="0"/>
    <x v="3"/>
    <s v="PLAQUETTES"/>
    <s v="304x28 RPE"/>
    <n v="70"/>
  </r>
  <r>
    <d v="2025-09-02T20:44:59"/>
    <x v="8"/>
    <s v="Plaquettes d'ébauches rhombiques"/>
    <s v="210325"/>
    <s v="DAUTUN ALLAN"/>
    <n v="10"/>
    <x v="2"/>
    <x v="2"/>
    <s v="PLAQUETTES"/>
    <s v="302x26 RPI"/>
    <n v="70"/>
  </r>
  <r>
    <d v="2025-09-02T22:40:38"/>
    <x v="8"/>
    <s v="Plaquettes d'ébauches rhombiques"/>
    <s v="j529800"/>
    <s v="MONTCHARMONT BAPTISTE"/>
    <n v="10"/>
    <x v="3"/>
    <x v="3"/>
    <s v="PLAQUETTES"/>
    <s v="330x14"/>
    <n v="70"/>
  </r>
  <r>
    <d v="2025-09-03T05:52:26"/>
    <x v="8"/>
    <s v="Plaquettes d'ébauches rhombiques"/>
    <s v="140325"/>
    <s v="BOUCLIER JONATHAN"/>
    <n v="10"/>
    <x v="2"/>
    <x v="4"/>
    <s v="PLAQUETTES"/>
    <s v="302x26 RPI"/>
    <n v="70"/>
  </r>
  <r>
    <d v="2025-09-03T21:21:04"/>
    <x v="8"/>
    <s v="Plaquettes d'ébauches rhombiques"/>
    <s v="j529800"/>
    <s v="MONTCHARMONT BAPTISTE"/>
    <n v="10"/>
    <x v="3"/>
    <x v="3"/>
    <s v="PLAQUETTES"/>
    <s v="330x14"/>
    <n v="70"/>
  </r>
  <r>
    <d v="2025-09-03T22:21:16"/>
    <x v="8"/>
    <s v="Plaquettes d'ébauches rhombiques"/>
    <s v="130325"/>
    <s v="PAPONNEAU JULIEN"/>
    <n v="10"/>
    <x v="1"/>
    <x v="3"/>
    <s v="PLAQUETTES"/>
    <s v="304x28 RPE"/>
    <n v="70"/>
  </r>
  <r>
    <d v="2025-09-03T22:21:32"/>
    <x v="8"/>
    <s v="Plaquettes d'ébauches rhombiques"/>
    <s v="130325"/>
    <s v="PAPONNEAU JULIEN"/>
    <n v="10"/>
    <x v="1"/>
    <x v="3"/>
    <s v="PLAQUETTES"/>
    <s v="304x28 RPE"/>
    <n v="70"/>
  </r>
  <r>
    <d v="2025-09-03T22:21:48"/>
    <x v="8"/>
    <s v="Plaquettes d'ébauches rhombiques"/>
    <s v="130325"/>
    <s v="PAPONNEAU JULIEN"/>
    <n v="10"/>
    <x v="1"/>
    <x v="3"/>
    <s v="PLAQUETTES"/>
    <s v="304x28 RPE"/>
    <n v="70"/>
  </r>
  <r>
    <d v="2025-09-03T22:33:02"/>
    <x v="8"/>
    <s v="Plaquettes d'ébauches rhombiques"/>
    <s v="250425"/>
    <s v="CHANDAR ABDER"/>
    <n v="10"/>
    <x v="2"/>
    <x v="4"/>
    <s v="PLAQUETTES"/>
    <s v="302x26 RPI"/>
    <n v="70"/>
  </r>
  <r>
    <d v="2025-09-04T20:54:10"/>
    <x v="8"/>
    <s v="Plaquettes d'ébauches rhombiques"/>
    <s v="210325"/>
    <s v="DAUTUN ALLAN"/>
    <n v="10"/>
    <x v="2"/>
    <x v="2"/>
    <s v="PLAQUETTES"/>
    <s v="302x26 RPI"/>
    <n v="70"/>
  </r>
  <r>
    <d v="2025-09-04T21:46:32"/>
    <x v="8"/>
    <s v="Plaquettes d'ébauches rhombiques"/>
    <s v="j529800"/>
    <s v="MONTCHARMONT BAPTISTE"/>
    <n v="10"/>
    <x v="3"/>
    <x v="2"/>
    <s v="PLAQUETTES"/>
    <s v="330x28 RPE KO"/>
    <n v="70"/>
  </r>
  <r>
    <d v="2025-09-05T00:45:39"/>
    <x v="8"/>
    <s v="Plaquettes d'ébauches rhombiques"/>
    <s v="250425"/>
    <s v="CHANDAR ABDER"/>
    <n v="10"/>
    <x v="2"/>
    <x v="4"/>
    <s v="PLAQUETTES"/>
    <s v="302x26 RPI"/>
    <n v="70"/>
  </r>
  <r>
    <d v="2025-09-05T05:10:54"/>
    <x v="8"/>
    <s v="Plaquettes d'ébauches rhombiques"/>
    <s v="J534699"/>
    <s v="FABIAN CHARTON"/>
    <n v="10"/>
    <x v="2"/>
    <x v="2"/>
    <s v="PLAQUETTES"/>
    <s v="302x26 RPI"/>
    <n v="70"/>
  </r>
  <r>
    <d v="2025-09-05T05:12:26"/>
    <x v="8"/>
    <s v="Plaquettes d'ébauches rhombiques"/>
    <s v="J534699"/>
    <s v="FABIAN CHARTON"/>
    <n v="10"/>
    <x v="2"/>
    <x v="4"/>
    <s v="PLAQUETTES"/>
    <s v="302x26 RPI"/>
    <n v="70"/>
  </r>
  <r>
    <d v="2025-09-05T13:10:33"/>
    <x v="8"/>
    <s v="Plaquettes d'ébauches rhombiques"/>
    <s v="101123"/>
    <s v="BRUNET ANDREA"/>
    <n v="10"/>
    <x v="1"/>
    <x v="3"/>
    <s v="PLAQUETTES"/>
    <s v="304x28 RPE"/>
    <n v="70"/>
  </r>
  <r>
    <d v="2025-09-06T05:23:21"/>
    <x v="8"/>
    <s v="Plaquettes d'ébauches rhombiques"/>
    <s v="U080365"/>
    <s v="ALAVOINE SAMUEL"/>
    <n v="10"/>
    <x v="1"/>
    <x v="3"/>
    <s v="PLAQUETTES"/>
    <s v="304x28 RPE"/>
    <n v="70"/>
  </r>
  <r>
    <d v="2025-09-07T17:19:43"/>
    <x v="8"/>
    <s v="Plaquettes d'ébauches rhombiques"/>
    <s v="150725"/>
    <s v="ADOUL WASSIM"/>
    <n v="10"/>
    <x v="0"/>
    <x v="3"/>
    <s v="PLAQUETTES"/>
    <s v="356x26 RPI"/>
    <n v="70"/>
  </r>
  <r>
    <d v="2025-09-08T14:11:43"/>
    <x v="8"/>
    <s v="Plaquettes d'ébauches rhombiques"/>
    <s v="SD75051"/>
    <s v="COMBALUZIER LUCAS"/>
    <n v="10"/>
    <x v="1"/>
    <x v="3"/>
    <s v="PLAQUETTES"/>
    <s v="304x28 RPE"/>
    <n v="70"/>
  </r>
  <r>
    <d v="2025-09-08T14:13:57"/>
    <x v="8"/>
    <s v="Plaquettes d'ébauches rhombiques"/>
    <s v="040725"/>
    <s v="BARGEOT LUCAS"/>
    <n v="10"/>
    <x v="3"/>
    <x v="2"/>
    <s v="PLAQUETTES"/>
    <s v="330x28 RPE KO"/>
    <n v="70"/>
  </r>
  <r>
    <d v="2025-09-08T14:46:23"/>
    <x v="8"/>
    <s v="Plaquettes d'ébauches rhombiques"/>
    <s v="140325"/>
    <s v="BOUCLIER JONATHAN"/>
    <n v="10"/>
    <x v="2"/>
    <x v="2"/>
    <s v="PLAQUETTES"/>
    <s v="302x26 RPI"/>
    <n v="70"/>
  </r>
  <r>
    <d v="2025-09-08T17:31:55"/>
    <x v="8"/>
    <s v="Plaquettes d'ébauches rhombiques"/>
    <s v="140325"/>
    <s v="BOUCLIER JONATHAN"/>
    <n v="10"/>
    <x v="2"/>
    <x v="4"/>
    <s v="PLAQUETTES"/>
    <s v="302x26 RPI"/>
    <n v="70"/>
  </r>
  <r>
    <d v="2025-09-08T21:48:05"/>
    <x v="8"/>
    <s v="Plaquettes d'ébauches rhombiques"/>
    <s v="U037238"/>
    <s v="PRIEUR OLIVIER"/>
    <n v="10"/>
    <x v="2"/>
    <x v="1"/>
    <s v="PLAQUETTES"/>
    <s v="302x26 RPI"/>
    <n v="70"/>
  </r>
  <r>
    <d v="2025-09-09T12:48:37"/>
    <x v="8"/>
    <s v="Plaquettes d'ébauches rhombiques"/>
    <s v="210325"/>
    <s v="DAUTUN ALLAN"/>
    <n v="10"/>
    <x v="2"/>
    <x v="2"/>
    <s v="PLAQUETTES"/>
    <s v="302x26 RPI"/>
    <n v="70"/>
  </r>
  <r>
    <d v="2025-09-09T12:48:52"/>
    <x v="8"/>
    <s v="Plaquettes d'ébauches rhombiques"/>
    <s v="210325"/>
    <s v="DAUTUN ALLAN"/>
    <n v="10"/>
    <x v="2"/>
    <x v="4"/>
    <s v="PLAQUETTES"/>
    <s v="302x26 RPI"/>
    <n v="70"/>
  </r>
  <r>
    <d v="2025-09-09T13:34:47"/>
    <x v="8"/>
    <s v="Plaquettes d'ébauches rhombiques"/>
    <s v="SD75051"/>
    <s v="COMBALUZIER LUCAS"/>
    <n v="10"/>
    <x v="1"/>
    <x v="3"/>
    <s v="PLAQUETTES"/>
    <s v="304x28 RPE"/>
    <n v="70"/>
  </r>
  <r>
    <d v="2025-09-09T21:39:22"/>
    <x v="8"/>
    <s v="Plaquettes d'ébauches rhombiques"/>
    <s v="j529800"/>
    <s v="MONTCHARMONT BAPTISTE"/>
    <n v="10"/>
    <x v="0"/>
    <x v="3"/>
    <s v="PLAQUETTES"/>
    <s v="356x26 RPI"/>
    <n v="70"/>
  </r>
  <r>
    <d v="2025-09-10T01:47:26"/>
    <x v="8"/>
    <s v="Plaquettes d'ébauches rhombiques"/>
    <s v="U037238"/>
    <s v="PRIEUR OLIVIER"/>
    <n v="10"/>
    <x v="2"/>
    <x v="4"/>
    <s v="PLAQUETTES"/>
    <s v="302x26 RPI"/>
    <n v="70"/>
  </r>
  <r>
    <d v="2025-09-10T16:58:48"/>
    <x v="8"/>
    <s v="Plaquettes d'ébauches rhombiques"/>
    <s v="SD75051"/>
    <s v="COMBALUZIER LUCAS"/>
    <n v="10"/>
    <x v="1"/>
    <x v="3"/>
    <s v="PLAQUETTES"/>
    <s v="304x28 RPE"/>
    <n v="70"/>
  </r>
  <r>
    <d v="2025-09-10T21:21:28"/>
    <x v="8"/>
    <s v="Plaquettes d'ébauches rhombiques"/>
    <s v="j529800"/>
    <s v="MONTCHARMONT BAPTISTE"/>
    <n v="10"/>
    <x v="0"/>
    <x v="3"/>
    <s v="PLAQUETTES"/>
    <s v="356x26 RPI"/>
    <n v="70"/>
  </r>
  <r>
    <d v="2025-09-11T05:12:32"/>
    <x v="8"/>
    <s v="Plaquettes d'ébauches rhombiques"/>
    <s v="171124"/>
    <s v="GONIN AGNES"/>
    <n v="10"/>
    <x v="2"/>
    <x v="1"/>
    <s v="PLAQUETTES"/>
    <s v="302x26 RPI"/>
    <n v="70"/>
  </r>
  <r>
    <d v="2025-09-11T05:13:20"/>
    <x v="8"/>
    <s v="Plaquettes d'ébauches rhombiques"/>
    <s v="101123"/>
    <s v="BRUNET ANDREA"/>
    <n v="10"/>
    <x v="1"/>
    <x v="3"/>
    <s v="PLAQUETTES"/>
    <s v="304x28 RPE"/>
    <n v="70"/>
  </r>
  <r>
    <d v="2025-09-11T13:07:13"/>
    <x v="8"/>
    <s v="Plaquettes d'ébauches rhombiques"/>
    <s v="140325"/>
    <s v="BOUCLIER JONATHAN"/>
    <n v="10"/>
    <x v="2"/>
    <x v="2"/>
    <s v="PLAQUETTES"/>
    <s v="302x26 RPI"/>
    <n v="70"/>
  </r>
  <r>
    <d v="2025-09-11T13:07:57"/>
    <x v="8"/>
    <s v="Plaquettes d'ébauches rhombiques"/>
    <s v="140325"/>
    <s v="BOUCLIER JONATHAN"/>
    <n v="10"/>
    <x v="2"/>
    <x v="4"/>
    <s v="PLAQUETTES"/>
    <s v="302x26 RPI"/>
    <n v="70"/>
  </r>
  <r>
    <d v="2025-09-11T13:46:52"/>
    <x v="8"/>
    <s v="Plaquettes d'ébauches rhombiques"/>
    <s v="040725"/>
    <s v="BARGEOT LUCAS"/>
    <n v="10"/>
    <x v="0"/>
    <x v="3"/>
    <s v="PLAQUETTES"/>
    <s v="330x14"/>
    <n v="70"/>
  </r>
  <r>
    <d v="2025-09-11T21:26:39"/>
    <x v="8"/>
    <s v="Plaquettes d'ébauches rhombiques"/>
    <s v="j529800"/>
    <s v="MONTCHARMONT BAPTISTE"/>
    <n v="10"/>
    <x v="0"/>
    <x v="3"/>
    <s v="PLAQUETTES"/>
    <s v="356x26 RPI"/>
    <n v="70"/>
  </r>
  <r>
    <d v="2025-09-12T06:24:26"/>
    <x v="8"/>
    <s v="Plaquettes d'ébauches rhombiques"/>
    <s v="DELIAT C"/>
    <s v="DELIAT CHRISTOPHE"/>
    <n v="10"/>
    <x v="2"/>
    <x v="2"/>
    <s v="PLAQUETTES"/>
    <s v="302x26 RPI"/>
    <n v="70"/>
  </r>
  <r>
    <d v="2025-09-12T06:25:43"/>
    <x v="8"/>
    <s v="Plaquettes d'ébauches rhombiques"/>
    <s v="DELIAT C"/>
    <s v="DELIAT CHRISTOPHE"/>
    <n v="10"/>
    <x v="2"/>
    <x v="4"/>
    <s v="PLAQUETTES"/>
    <s v="302x26 RPI"/>
    <n v="70"/>
  </r>
  <r>
    <d v="2025-09-12T14:00:45"/>
    <x v="8"/>
    <s v="Plaquettes d'ébauches rhombiques"/>
    <s v="SD75051"/>
    <s v="COMBALUZIER LUCAS"/>
    <n v="10"/>
    <x v="1"/>
    <x v="3"/>
    <s v="PLAQUETTES"/>
    <s v="304x28 RPE"/>
    <n v="70"/>
  </r>
  <r>
    <d v="2025-09-15T08:36:56"/>
    <x v="8"/>
    <s v="Plaquettes d'ébauches rhombiques"/>
    <s v="040725"/>
    <s v="BARGEOT LUCAS"/>
    <n v="10"/>
    <x v="0"/>
    <x v="3"/>
    <s v="PLAQUETTES"/>
    <s v="356x26 RPI"/>
    <n v="70"/>
  </r>
  <r>
    <d v="2025-09-15T23:46:43"/>
    <x v="8"/>
    <s v="Plaquettes d'ébauches rhombiques"/>
    <s v="250425"/>
    <s v="CHANDAR ABDER"/>
    <n v="10"/>
    <x v="2"/>
    <x v="2"/>
    <s v="PLAQUETTES"/>
    <s v="302x26 RPI"/>
    <n v="70"/>
  </r>
  <r>
    <d v="2025-09-16T01:30:14"/>
    <x v="8"/>
    <s v="Plaquettes d'ébauches rhombiques"/>
    <s v="j529800"/>
    <s v="MONTCHARMONT BAPTISTE"/>
    <n v="10"/>
    <x v="0"/>
    <x v="3"/>
    <s v="PLAQUETTES"/>
    <s v="356x26 RPI"/>
    <n v="70"/>
  </r>
  <r>
    <d v="2025-09-16T05:28:02"/>
    <x v="8"/>
    <s v="Plaquettes d'ébauches rhombiques"/>
    <s v="u636817"/>
    <s v="MOCQUEREAU LYDIE"/>
    <n v="10"/>
    <x v="2"/>
    <x v="4"/>
    <s v="PLAQUETTES"/>
    <s v="302x26 RPI"/>
    <n v="70"/>
  </r>
  <r>
    <d v="2025-09-16T06:04:23"/>
    <x v="8"/>
    <s v="Plaquettes d'ébauches rhombiques"/>
    <s v="SD75051"/>
    <s v="COMBALUZIER LUCAS"/>
    <n v="10"/>
    <x v="1"/>
    <x v="3"/>
    <s v="PLAQUETTES"/>
    <s v="304x28 RPE"/>
    <n v="70"/>
  </r>
  <r>
    <d v="2025-09-17T01:31:34"/>
    <x v="8"/>
    <s v="Plaquettes d'ébauches rhombiques"/>
    <s v="250425"/>
    <s v="CHANDAR ABDER"/>
    <n v="10"/>
    <x v="2"/>
    <x v="4"/>
    <s v="PLAQUETTES"/>
    <s v="302x26 RPI"/>
    <n v="70"/>
  </r>
  <r>
    <d v="2025-09-17T02:23:09"/>
    <x v="8"/>
    <s v="Plaquettes d'ébauches rhombiques"/>
    <s v="j529800"/>
    <s v="MONTCHARMONT BAPTISTE"/>
    <n v="10"/>
    <x v="0"/>
    <x v="3"/>
    <s v="PLAQUETTES"/>
    <s v="356x26 RPI"/>
    <n v="70"/>
  </r>
  <r>
    <d v="2025-09-17T13:58:21"/>
    <x v="8"/>
    <s v="Plaquettes d'ébauches rhombiques"/>
    <s v="101123"/>
    <s v="BRUNET ANDREA"/>
    <n v="10"/>
    <x v="1"/>
    <x v="3"/>
    <s v="PLAQUETTES"/>
    <s v="304x28 RPE"/>
    <n v="70"/>
  </r>
  <r>
    <d v="2025-09-18T05:29:45"/>
    <x v="8"/>
    <s v="Plaquettes d'ébauches rhombiques"/>
    <s v="040725"/>
    <s v="BARGEOT LUCAS"/>
    <n v="10"/>
    <x v="3"/>
    <x v="3"/>
    <s v="PLAQUETTES"/>
    <s v="290x12"/>
    <n v="70"/>
  </r>
  <r>
    <d v="2025-09-18T05:30:04"/>
    <x v="8"/>
    <s v="Plaquettes d'ébauches rhombiques"/>
    <s v="040725"/>
    <s v="BARGEOT LUCAS"/>
    <n v="10"/>
    <x v="0"/>
    <x v="3"/>
    <s v="PLAQUETTES"/>
    <s v="356x26 RPI"/>
    <n v="70"/>
  </r>
  <r>
    <d v="2025-09-18T05:34:32"/>
    <x v="8"/>
    <s v="Plaquettes d'ébauches rhombiques"/>
    <s v="SD75051"/>
    <s v="COMBALUZIER LUCAS"/>
    <n v="10"/>
    <x v="1"/>
    <x v="3"/>
    <s v="PLAQUETTES"/>
    <s v="304x28 RPE"/>
    <n v="70"/>
  </r>
  <r>
    <d v="2025-09-19T05:08:08"/>
    <x v="8"/>
    <s v="Plaquettes d'ébauches rhombiques"/>
    <s v="DELIAT C"/>
    <s v="DELIAT CHRISTOPHE"/>
    <n v="10"/>
    <x v="2"/>
    <x v="2"/>
    <s v="PLAQUETTES"/>
    <s v="302x26 RPI"/>
    <n v="70"/>
  </r>
  <r>
    <d v="2025-09-19T05:50:44"/>
    <x v="8"/>
    <s v="Plaquettes d'ébauches rhombiques"/>
    <s v="150725"/>
    <s v="ADOUL WASSIM"/>
    <n v="10"/>
    <x v="3"/>
    <x v="3"/>
    <s v="PLAQUETTES"/>
    <s v="290x12"/>
    <n v="70"/>
  </r>
  <r>
    <d v="2025-09-19T13:00:49"/>
    <x v="8"/>
    <s v="Plaquettes d'ébauches rhombiques"/>
    <s v="101123"/>
    <s v="BRUNET ANDREA"/>
    <n v="10"/>
    <x v="0"/>
    <x v="3"/>
    <s v="PLAQUETTES"/>
    <s v="304x28 RPE"/>
    <n v="70"/>
  </r>
  <r>
    <d v="2025-09-19T17:42:57"/>
    <x v="8"/>
    <s v="Plaquettes d'ébauches rhombiques"/>
    <s v="101224"/>
    <s v="CHAZEAU KYLIAN"/>
    <n v="10"/>
    <x v="0"/>
    <x v="3"/>
    <s v="PLAQUETTES"/>
    <s v="356x26 RPI"/>
    <n v="70"/>
  </r>
  <r>
    <d v="2025-09-21T21:37:13"/>
    <x v="8"/>
    <s v="Plaquettes d'ébauches rhombiques"/>
    <s v="U109136"/>
    <s v="WIPLIE FREDERIC"/>
    <n v="10"/>
    <x v="1"/>
    <x v="3"/>
    <s v="PLAQUETTES"/>
    <s v="304x28 RPE"/>
    <n v="70"/>
  </r>
  <r>
    <d v="2025-09-22T05:32:07"/>
    <x v="8"/>
    <s v="Plaquettes d'ébauches rhombiques"/>
    <s v="U505000"/>
    <s v="RECEVEUR BENOIT"/>
    <n v="10"/>
    <x v="0"/>
    <x v="3"/>
    <s v="PLAQUETTES"/>
    <s v="356x26 RPI"/>
    <n v="70"/>
  </r>
  <r>
    <d v="2025-09-22T05:32:23"/>
    <x v="8"/>
    <s v="Plaquettes d'ébauches rhombiques"/>
    <s v="U505000"/>
    <s v="RECEVEUR BENOIT"/>
    <n v="10"/>
    <x v="3"/>
    <x v="3"/>
    <s v="PLAQUETTES"/>
    <s v="290x12"/>
    <n v="70"/>
  </r>
  <r>
    <d v="2025-09-22T13:21:49"/>
    <x v="8"/>
    <s v="Plaquettes d'ébauches rhombiques"/>
    <s v="SD75051"/>
    <s v="COMBALUZIER LUCAS"/>
    <n v="10"/>
    <x v="0"/>
    <x v="3"/>
    <s v="PLAQUETTES"/>
    <s v="304x28 RPE"/>
    <n v="70"/>
  </r>
  <r>
    <d v="2025-09-23T11:15:33"/>
    <x v="8"/>
    <s v="Plaquettes d'ébauches rhombiques"/>
    <s v="101224"/>
    <s v="CHAZEAU KYLIAN"/>
    <n v="10"/>
    <x v="0"/>
    <x v="3"/>
    <s v="PLAQUETTES"/>
    <s v="356x26 RPI"/>
    <n v="70"/>
  </r>
  <r>
    <d v="2025-09-23T11:15:45"/>
    <x v="8"/>
    <s v="Plaquettes d'ébauches rhombiques"/>
    <s v="101224"/>
    <s v="CHAZEAU KYLIAN"/>
    <n v="10"/>
    <x v="3"/>
    <x v="3"/>
    <s v="PLAQUETTES"/>
    <s v="290x12"/>
    <n v="70"/>
  </r>
  <r>
    <d v="2025-09-23T12:50:33"/>
    <x v="8"/>
    <s v="Plaquettes d'ébauches rhombiques"/>
    <s v="210325"/>
    <s v="DAUTUN ALLAN"/>
    <n v="10"/>
    <x v="2"/>
    <x v="2"/>
    <s v="PLAQUETTES"/>
    <s v="302x26 RPI"/>
    <n v="70"/>
  </r>
  <r>
    <d v="2025-09-23T12:51:01"/>
    <x v="8"/>
    <s v="Plaquettes d'ébauches rhombiques"/>
    <s v="210325"/>
    <s v="DAUTUN ALLAN"/>
    <n v="10"/>
    <x v="2"/>
    <x v="4"/>
    <s v="PLAQUETTES"/>
    <s v="302x26 RPI"/>
    <n v="70"/>
  </r>
  <r>
    <d v="2025-09-23T13:17:44"/>
    <x v="8"/>
    <s v="Plaquettes d'ébauches rhombiques"/>
    <s v="140325"/>
    <s v="BOUCLIER JONATHAN"/>
    <n v="10"/>
    <x v="2"/>
    <x v="2"/>
    <s v="PLAQUETTES"/>
    <s v="302x26 RPI"/>
    <n v="70"/>
  </r>
  <r>
    <d v="2025-09-23T16:18:26"/>
    <x v="8"/>
    <s v="Plaquettes d'ébauches rhombiques"/>
    <s v="u636817"/>
    <s v="MOCQUEREAU LYDIE"/>
    <n v="10"/>
    <x v="2"/>
    <x v="1"/>
    <s v="PLAQUETTES"/>
    <s v="302x26 RPI"/>
    <n v="70"/>
  </r>
  <r>
    <d v="2025-09-24T00:28:55"/>
    <x v="8"/>
    <s v="Plaquettes d'ébauches rhombiques"/>
    <s v="250425"/>
    <s v="CHANDAR ABDER"/>
    <n v="10"/>
    <x v="2"/>
    <x v="4"/>
    <s v="PLAQUETTES"/>
    <s v="302x26 RPI"/>
    <n v="70"/>
  </r>
  <r>
    <d v="2025-09-24T07:08:16"/>
    <x v="8"/>
    <s v="Plaquettes d'ébauches rhombiques"/>
    <s v="101224"/>
    <s v="CHAZEAU KYLIAN"/>
    <n v="10"/>
    <x v="0"/>
    <x v="3"/>
    <s v="PLAQUETTES"/>
    <s v="356x26 RPI"/>
    <n v="70"/>
  </r>
  <r>
    <d v="2025-09-24T13:35:59"/>
    <x v="8"/>
    <s v="Plaquettes d'ébauches rhombiques"/>
    <s v="SD75051"/>
    <s v="COMBALUZIER LUCAS"/>
    <n v="10"/>
    <x v="1"/>
    <x v="3"/>
    <s v="PLAQUETTES"/>
    <s v="304x28 RPE"/>
    <n v="70"/>
  </r>
  <r>
    <d v="2025-09-24T13:38:35"/>
    <x v="8"/>
    <s v="Plaquettes d'ébauches rhombiques"/>
    <s v="12824586"/>
    <s v="DA SILVA FERNANDO"/>
    <n v="10"/>
    <x v="1"/>
    <x v="2"/>
    <s v="PLAQUETTES"/>
    <s v="TOUT DISQUES"/>
    <n v="70"/>
  </r>
  <r>
    <d v="2025-09-24T14:05:33"/>
    <x v="8"/>
    <s v="Plaquettes d'ébauches rhombiques"/>
    <s v="140325"/>
    <s v="BOUCLIER JONATHAN"/>
    <n v="10"/>
    <x v="2"/>
    <x v="2"/>
    <s v="PLAQUETTES"/>
    <s v="302x26 RPI"/>
    <n v="70"/>
  </r>
  <r>
    <d v="2025-09-24T14:06:28"/>
    <x v="8"/>
    <s v="Plaquettes d'ébauches rhombiques"/>
    <s v="140325"/>
    <s v="BOUCLIER JONATHAN"/>
    <n v="10"/>
    <x v="2"/>
    <x v="1"/>
    <s v="PLAQUETTES"/>
    <s v="302x26 RPI"/>
    <n v="70"/>
  </r>
  <r>
    <d v="2025-09-25T05:16:39"/>
    <x v="8"/>
    <s v="Plaquettes d'ébauches rhombiques"/>
    <s v="101123"/>
    <s v="BRUNET ANDREA"/>
    <n v="10"/>
    <x v="1"/>
    <x v="3"/>
    <s v="PLAQUETTES"/>
    <s v="304x28 RPE"/>
    <n v="70"/>
  </r>
  <r>
    <d v="2025-09-25T10:02:17"/>
    <x v="8"/>
    <s v="Plaquettes d'ébauches rhombiques"/>
    <s v="101224"/>
    <s v="CHAZEAU KYLIAN"/>
    <n v="10"/>
    <x v="0"/>
    <x v="3"/>
    <s v="PLAQUETTES"/>
    <s v="356x26 RPI"/>
    <n v="70"/>
  </r>
  <r>
    <d v="2025-09-25T10:02:37"/>
    <x v="8"/>
    <s v="Plaquettes d'ébauches rhombiques"/>
    <s v="101224"/>
    <s v="CHAZEAU KYLIAN"/>
    <n v="10"/>
    <x v="3"/>
    <x v="3"/>
    <s v="PLAQUETTES"/>
    <s v="330x28 RPE KO"/>
    <n v="70"/>
  </r>
  <r>
    <d v="2025-09-25T14:04:02"/>
    <x v="8"/>
    <s v="Plaquettes d'ébauches rhombiques"/>
    <s v="12824586"/>
    <s v="DA SILVA FERNANDO"/>
    <n v="10"/>
    <x v="2"/>
    <x v="2"/>
    <s v="PLAQUETTES"/>
    <s v="TOUT DISQUES"/>
    <n v="70"/>
  </r>
  <r>
    <d v="2025-09-25T21:26:08"/>
    <x v="8"/>
    <s v="Plaquettes d'ébauches rhombiques"/>
    <s v="j529800"/>
    <s v="MONTCHARMONT BAPTISTE"/>
    <n v="10"/>
    <x v="0"/>
    <x v="3"/>
    <s v="PLAQUETTES"/>
    <s v="356x26 RPI"/>
    <n v="70"/>
  </r>
  <r>
    <d v="2025-09-26T01:08:58"/>
    <x v="8"/>
    <s v="Plaquettes d'ébauches rhombiques"/>
    <s v="250425"/>
    <s v="CHANDAR ABDER"/>
    <n v="10"/>
    <x v="2"/>
    <x v="4"/>
    <s v="PLAQUETTES"/>
    <s v="302x26 RPI"/>
    <n v="70"/>
  </r>
  <r>
    <d v="2025-09-26T13:05:08"/>
    <x v="8"/>
    <s v="Plaquettes d'ébauches rhombiques"/>
    <s v="SD75051"/>
    <s v="COMBALUZIER LUCAS"/>
    <n v="10"/>
    <x v="1"/>
    <x v="3"/>
    <s v="PLAQUETTES"/>
    <s v="304x28 RPE"/>
    <n v="70"/>
  </r>
  <r>
    <d v="2025-09-26T13:53:30"/>
    <x v="8"/>
    <s v="Plaquettes d'ébauches rhombiques"/>
    <s v="140325"/>
    <s v="BOUCLIER JONATHAN"/>
    <n v="10"/>
    <x v="2"/>
    <x v="4"/>
    <s v="PLAQUETTES"/>
    <s v="302x26 RPI"/>
    <n v="70"/>
  </r>
  <r>
    <d v="2025-09-26T21:17:49"/>
    <x v="8"/>
    <s v="Plaquettes d'ébauches rhombiques"/>
    <s v="j529800"/>
    <s v="MONTCHARMONT BAPTISTE"/>
    <n v="10"/>
    <x v="0"/>
    <x v="3"/>
    <s v="PLAQUETTES"/>
    <s v="356x26 RPI"/>
    <n v="70"/>
  </r>
  <r>
    <d v="2025-09-27T09:13:45"/>
    <x v="8"/>
    <s v="Plaquettes d'ébauches rhombiques"/>
    <s v="150725"/>
    <s v="ADOUL WASSIM"/>
    <n v="10"/>
    <x v="1"/>
    <x v="3"/>
    <s v="PLAQUETTES"/>
    <s v="304x28 RPE"/>
    <n v="70"/>
  </r>
  <r>
    <d v="2025-09-28T11:12:02"/>
    <x v="8"/>
    <s v="Plaquettes d'ébauches rhombiques"/>
    <s v="250425"/>
    <s v="CHANDAR ABDER"/>
    <n v="10"/>
    <x v="2"/>
    <x v="1"/>
    <s v="PLAQUETTES"/>
    <s v="302x26 RPI"/>
    <n v="70"/>
  </r>
  <r>
    <d v="2025-09-28T16:43:56"/>
    <x v="8"/>
    <s v="Plaquettes d'ébauches rhombiques"/>
    <s v="210325"/>
    <s v="DAUTUN ALLAN"/>
    <n v="10"/>
    <x v="2"/>
    <x v="2"/>
    <s v="PLAQUETTES"/>
    <s v="302x26 RPI"/>
    <n v="70"/>
  </r>
  <r>
    <d v="2025-09-28T16:44:39"/>
    <x v="8"/>
    <s v="Plaquettes d'ébauches rhombiques"/>
    <s v="210325"/>
    <s v="DAUTUN ALLAN"/>
    <n v="10"/>
    <x v="2"/>
    <x v="4"/>
    <s v="PLAQUETTES"/>
    <s v="302x26 RPI"/>
    <n v="70"/>
  </r>
  <r>
    <d v="2025-09-29T00:59:00"/>
    <x v="8"/>
    <s v="Plaquettes d'ébauches rhombiques"/>
    <s v="U109136"/>
    <s v="WIPLIE FREDERIC"/>
    <n v="10"/>
    <x v="3"/>
    <x v="3"/>
    <s v="PLAQUETTES"/>
    <s v="330x14"/>
    <n v="70"/>
  </r>
  <r>
    <d v="2025-09-29T06:54:34"/>
    <x v="8"/>
    <s v="Plaquettes d'ébauches rhombiques"/>
    <s v="SD75051"/>
    <s v="COMBALUZIER LUCAS"/>
    <n v="10"/>
    <x v="1"/>
    <x v="3"/>
    <s v="PLAQUETTES"/>
    <s v="304x28 RPE"/>
    <n v="70"/>
  </r>
  <r>
    <d v="2025-09-29T11:24:49"/>
    <x v="8"/>
    <s v="Plaquettes d'ébauches rhombiques"/>
    <s v="12824586"/>
    <s v="DA SILVA FERNANDO"/>
    <n v="10"/>
    <x v="1"/>
    <x v="2"/>
    <s v="PLAQUETTES"/>
    <s v="TOUT DISQUES"/>
    <n v="70"/>
  </r>
  <r>
    <d v="2025-09-29T13:26:47"/>
    <x v="8"/>
    <s v="Plaquettes d'ébauches rhombiques"/>
    <s v="045F69CAA77080"/>
    <s v="TEIXEIRA FLORIAN"/>
    <n v="10"/>
    <x v="2"/>
    <x v="1"/>
    <s v="PLAQUETTES"/>
    <s v="302x26 RPI"/>
    <n v="70"/>
  </r>
  <r>
    <d v="2025-09-30T06:10:20"/>
    <x v="8"/>
    <s v="Plaquettes d'ébauches rhombiques"/>
    <s v="SD75051"/>
    <s v="COMBALUZIER LUCAS"/>
    <n v="10"/>
    <x v="1"/>
    <x v="3"/>
    <s v="PLAQUETTES"/>
    <s v="304x28 RPE"/>
    <n v="70"/>
  </r>
  <r>
    <d v="2025-09-30T21:25:02"/>
    <x v="8"/>
    <s v="Plaquettes d'ébauches rhombiques"/>
    <s v="j529800"/>
    <s v="MONTCHARMONT BAPTISTE"/>
    <n v="10"/>
    <x v="0"/>
    <x v="3"/>
    <s v="PLAQUETTES"/>
    <s v="356x26 RPI"/>
    <n v="70"/>
  </r>
  <r>
    <d v="2025-10-01T11:18:31"/>
    <x v="8"/>
    <s v="Plaquettes d'ébauches rhombiques"/>
    <s v="140325"/>
    <s v="BOUCLIER JONATHAN"/>
    <n v="10"/>
    <x v="2"/>
    <x v="2"/>
    <s v="PLAQUETTES"/>
    <s v="302x26 RPI"/>
    <n v="70"/>
  </r>
  <r>
    <d v="2025-10-01T15:31:54"/>
    <x v="8"/>
    <s v="Plaquettes d'ébauches rhombiques"/>
    <s v="101224"/>
    <s v="CHAZEAU KYLIAN"/>
    <n v="10"/>
    <x v="3"/>
    <x v="3"/>
    <s v="PLAQUETTES"/>
    <s v="330x14"/>
    <n v="70"/>
  </r>
  <r>
    <d v="2025-10-01T15:32:23"/>
    <x v="8"/>
    <s v="Plaquettes d'ébauches rhombiques"/>
    <s v="101224"/>
    <s v="CHAZEAU KYLIAN"/>
    <n v="10"/>
    <x v="0"/>
    <x v="3"/>
    <s v="PLAQUETTES"/>
    <s v="356x26 RPI"/>
    <n v="70"/>
  </r>
  <r>
    <d v="2025-10-01T21:55:03"/>
    <x v="8"/>
    <s v="Plaquettes d'ébauches rhombiques"/>
    <s v="250425"/>
    <s v="CHANDAR ABDER"/>
    <n v="10"/>
    <x v="2"/>
    <x v="4"/>
    <s v="PLAQUETTES"/>
    <s v="302x26 RPI"/>
    <n v="70"/>
  </r>
  <r>
    <d v="2025-10-02T05:14:54"/>
    <x v="8"/>
    <s v="Plaquettes d'ébauches rhombiques"/>
    <s v="SD75051"/>
    <s v="COMBALUZIER LUCAS"/>
    <n v="10"/>
    <x v="1"/>
    <x v="3"/>
    <s v="PLAQUETTES"/>
    <s v="304x28 RPE"/>
    <n v="70"/>
  </r>
  <r>
    <d v="2025-10-02T20:49:41"/>
    <x v="8"/>
    <s v="Plaquettes d'ébauches rhombiques"/>
    <s v="210325"/>
    <s v="DAUTUN ALLAN"/>
    <n v="10"/>
    <x v="2"/>
    <x v="2"/>
    <s v="PLAQUETTES"/>
    <s v="302x26 RPI"/>
    <n v="70"/>
  </r>
  <r>
    <d v="2025-10-02T20:50:11"/>
    <x v="8"/>
    <s v="Plaquettes d'ébauches rhombiques"/>
    <s v="210325"/>
    <s v="DAUTUN ALLAN"/>
    <n v="10"/>
    <x v="2"/>
    <x v="4"/>
    <s v="PLAQUETTES"/>
    <s v="302x26 RPI"/>
    <n v="70"/>
  </r>
  <r>
    <d v="2025-10-02T21:45:42"/>
    <x v="8"/>
    <s v="Plaquettes d'ébauches rhombiques"/>
    <s v="j529800"/>
    <s v="MONTCHARMONT BAPTISTE"/>
    <n v="10"/>
    <x v="0"/>
    <x v="3"/>
    <s v="PLAQUETTES"/>
    <s v="356x26 RPI"/>
    <n v="70"/>
  </r>
  <r>
    <d v="2025-10-03T06:08:03"/>
    <x v="8"/>
    <s v="Plaquettes d'ébauches rhombiques"/>
    <s v="150725"/>
    <s v="ADOUL WASSIM"/>
    <n v="10"/>
    <x v="3"/>
    <x v="3"/>
    <s v="PLAQUETTES"/>
    <s v="330x14"/>
    <n v="70"/>
  </r>
  <r>
    <d v="2025-10-03T18:08:18"/>
    <x v="8"/>
    <s v="Plaquettes d'ébauches rhombiques"/>
    <s v="sc95213"/>
    <s v="RABET PAULINE"/>
    <n v="10"/>
    <x v="1"/>
    <x v="3"/>
    <s v="PLAQUETTES"/>
    <s v="304x28 RPE"/>
    <n v="70"/>
  </r>
  <r>
    <d v="2025-10-03T21:14:37"/>
    <x v="8"/>
    <s v="Plaquettes d'ébauches rhombiques"/>
    <s v="j529800"/>
    <s v="MONTCHARMONT BAPTISTE"/>
    <n v="10"/>
    <x v="0"/>
    <x v="3"/>
    <s v="PLAQUETTES"/>
    <s v="356x26 RPI"/>
    <n v="70"/>
  </r>
  <r>
    <d v="2025-10-03T21:30:27"/>
    <x v="8"/>
    <s v="Plaquettes d'ébauches rhombiques"/>
    <s v="130325"/>
    <s v="PAPONNEAU JULIEN"/>
    <n v="10"/>
    <x v="1"/>
    <x v="3"/>
    <s v="PLAQUETTES"/>
    <s v="304x28 RPE"/>
    <n v="70"/>
  </r>
  <r>
    <d v="2025-10-03T21:31:03"/>
    <x v="8"/>
    <s v="Plaquettes d'ébauches rhombiques"/>
    <s v="130325"/>
    <s v="PAPONNEAU JULIEN"/>
    <n v="10"/>
    <x v="1"/>
    <x v="3"/>
    <s v="PLAQUETTES"/>
    <s v="304x28 RPE"/>
    <n v="70"/>
  </r>
  <r>
    <d v="2025-10-04T03:14:17"/>
    <x v="8"/>
    <s v="Plaquettes d'ébauches rhombiques"/>
    <s v="250425"/>
    <s v="CHANDAR ABDER"/>
    <n v="10"/>
    <x v="2"/>
    <x v="4"/>
    <s v="PLAQUETTES"/>
    <s v="302x26 RPI"/>
    <n v="70"/>
  </r>
  <r>
    <d v="2025-10-04T05:34:14"/>
    <x v="8"/>
    <s v="Plaquettes d'ébauches rhombiques"/>
    <s v="150725"/>
    <s v="ADOUL WASSIM"/>
    <n v="10"/>
    <x v="0"/>
    <x v="0"/>
    <s v="PLAQUETTES"/>
    <s v="356x26 RPI"/>
    <n v="70"/>
  </r>
  <r>
    <d v="2025-10-04T08:27:09"/>
    <x v="8"/>
    <s v="Plaquettes d'ébauches rhombiques"/>
    <s v="DELIAT C"/>
    <s v="DELIAT CHRISTOPHE"/>
    <n v="10"/>
    <x v="2"/>
    <x v="4"/>
    <s v="PLAQUETTES"/>
    <s v="302x26 RPI"/>
    <n v="70"/>
  </r>
  <r>
    <d v="2025-10-05T17:29:55"/>
    <x v="8"/>
    <s v="Plaquettes d'ébauches rhombiques"/>
    <s v="150725"/>
    <s v="ADOUL WASSIM"/>
    <n v="10"/>
    <x v="0"/>
    <x v="3"/>
    <s v="PLAQUETTES"/>
    <s v="356x26 RPI"/>
    <n v="70"/>
  </r>
  <r>
    <d v="2025-10-05T22:49:47"/>
    <x v="8"/>
    <s v="Plaquettes d'ébauches rhombiques"/>
    <s v="150725"/>
    <s v="ADOUL WASSIM"/>
    <n v="10"/>
    <x v="1"/>
    <x v="3"/>
    <s v="PLAQUETTES"/>
    <s v="304x28 RPE"/>
    <n v="70"/>
  </r>
  <r>
    <d v="2025-10-06T05:09:50"/>
    <x v="8"/>
    <s v="Plaquettes d'ébauches rhombiques"/>
    <s v="U505000"/>
    <s v="RECEVEUR BENOIT"/>
    <n v="10"/>
    <x v="1"/>
    <x v="0"/>
    <s v="PLAQUETTES"/>
    <s v="304x28 RPE"/>
    <n v="70"/>
  </r>
  <r>
    <d v="2025-10-06T11:42:18"/>
    <x v="8"/>
    <s v="Plaquettes d'ébauches rhombiques"/>
    <s v="12824586"/>
    <s v="DA SILVA FERNANDO"/>
    <n v="10"/>
    <x v="0"/>
    <x v="2"/>
    <s v="PLAQUETTES"/>
    <s v="TOUT DISQUES"/>
    <n v="70"/>
  </r>
  <r>
    <d v="2025-10-06T12:49:03"/>
    <x v="8"/>
    <s v="Plaquettes d'ébauches rhombiques"/>
    <s v="210325"/>
    <s v="DAUTUN ALLAN"/>
    <n v="10"/>
    <x v="2"/>
    <x v="2"/>
    <s v="PLAQUETTES"/>
    <s v="302x26 RPI"/>
    <n v="70"/>
  </r>
  <r>
    <d v="2025-10-06T12:49:18"/>
    <x v="8"/>
    <s v="Plaquettes d'ébauches rhombiques"/>
    <s v="210325"/>
    <s v="DAUTUN ALLAN"/>
    <n v="10"/>
    <x v="2"/>
    <x v="2"/>
    <s v="PLAQUETTES"/>
    <s v="302x26 RPI"/>
    <n v="70"/>
  </r>
  <r>
    <d v="2025-10-06T13:30:48"/>
    <x v="8"/>
    <s v="Plaquettes d'ébauches rhombiques"/>
    <s v="SD75051"/>
    <s v="COMBALUZIER LUCAS"/>
    <n v="10"/>
    <x v="1"/>
    <x v="0"/>
    <s v="PLAQUETTES"/>
    <s v="304x28 RPE"/>
    <n v="70"/>
  </r>
  <r>
    <d v="2025-10-06T14:28:58"/>
    <x v="8"/>
    <s v="Plaquettes d'ébauches rhombiques"/>
    <s v="SD75051"/>
    <s v="COMBALUZIER LUCAS"/>
    <n v="10"/>
    <x v="1"/>
    <x v="3"/>
    <s v="PLAQUETTES"/>
    <s v="304x28 RPE"/>
    <n v="70"/>
  </r>
  <r>
    <d v="2025-10-06T17:21:18"/>
    <x v="8"/>
    <s v="Plaquettes d'ébauches rhombiques"/>
    <s v="140325"/>
    <s v="BOUCLIER JONATHAN"/>
    <n v="10"/>
    <x v="2"/>
    <x v="2"/>
    <s v="PLAQUETTES"/>
    <s v="302x26 RPI"/>
    <n v="70"/>
  </r>
  <r>
    <d v="2025-10-06T21:24:17"/>
    <x v="8"/>
    <s v="Plaquettes d'ébauches rhombiques"/>
    <s v="U037238"/>
    <s v="PRIEUR OLIVIER"/>
    <n v="10"/>
    <x v="2"/>
    <x v="1"/>
    <s v="PLAQUETTES"/>
    <s v="302x26 RPI"/>
    <n v="70"/>
  </r>
  <r>
    <d v="2025-10-06T22:01:25"/>
    <x v="8"/>
    <s v="Plaquettes d'ébauches rhombiques"/>
    <s v="j529800"/>
    <s v="MONTCHARMONT BAPTISTE"/>
    <n v="10"/>
    <x v="0"/>
    <x v="3"/>
    <s v="PLAQUETTES"/>
    <s v="356x26 RPI"/>
    <n v="70"/>
  </r>
  <r>
    <d v="2025-10-07T13:09:19"/>
    <x v="8"/>
    <s v="Plaquettes d'ébauches rhombiques"/>
    <s v="140325"/>
    <s v="BOUCLIER JONATHAN"/>
    <n v="10"/>
    <x v="2"/>
    <x v="4"/>
    <s v="PLAQUETTES"/>
    <s v="302x26 RPI"/>
    <n v="70"/>
  </r>
  <r>
    <d v="2025-10-07T15:09:45"/>
    <x v="8"/>
    <s v="Plaquettes d'ébauches rhombiques"/>
    <s v="J609988"/>
    <s v="AMALRIC VINCENT"/>
    <n v="10"/>
    <x v="0"/>
    <x v="2"/>
    <s v="PLAQUETTES"/>
    <s v="304x28 RPE"/>
    <n v="70"/>
  </r>
  <r>
    <d v="2025-10-09T05:05:31"/>
    <x v="8"/>
    <s v="Plaquettes d'ébauches rhombiques"/>
    <s v="045F69CAA77080"/>
    <s v="TEIXEIRA FLORIAN"/>
    <n v="10"/>
    <x v="2"/>
    <x v="1"/>
    <s v="PLAQUETTES"/>
    <s v="302x26 RPI"/>
    <n v="70"/>
  </r>
  <r>
    <d v="2025-10-09T13:31:34"/>
    <x v="8"/>
    <s v="Plaquettes d'ébauches rhombiques"/>
    <s v="u636817"/>
    <s v="MOCQUEREAU LYDIE"/>
    <n v="10"/>
    <x v="2"/>
    <x v="2"/>
    <s v="PLAQUETTES"/>
    <s v="302x26 RPI"/>
    <n v="70"/>
  </r>
  <r>
    <d v="2025-10-09T13:31:56"/>
    <x v="8"/>
    <s v="Plaquettes d'ébauches rhombiques"/>
    <s v="u636817"/>
    <s v="MOCQUEREAU LYDIE"/>
    <n v="10"/>
    <x v="2"/>
    <x v="2"/>
    <s v="PLAQUETTES"/>
    <s v="302x26 RPI"/>
    <n v="70"/>
  </r>
  <r>
    <d v="2025-10-09T13:44:02"/>
    <x v="8"/>
    <s v="Plaquettes d'ébauches rhombiques"/>
    <s v="J609988"/>
    <s v="AMALRIC VINCENT"/>
    <n v="10"/>
    <x v="1"/>
    <x v="3"/>
    <s v="PLAQUETTES"/>
    <s v="304x28 RPE"/>
    <n v="70"/>
  </r>
  <r>
    <d v="2025-10-09T19:35:08"/>
    <x v="8"/>
    <s v="Plaquettes d'ébauches rhombiques"/>
    <s v="J609988"/>
    <s v="AMALRIC VINCENT"/>
    <n v="10"/>
    <x v="1"/>
    <x v="0"/>
    <s v="PLAQUETTES"/>
    <s v="304x28 RPE"/>
    <n v="70"/>
  </r>
  <r>
    <d v="2025-10-09T21:18:19"/>
    <x v="8"/>
    <s v="Plaquettes d'ébauches rhombiques"/>
    <s v="j529800"/>
    <s v="MONTCHARMONT BAPTISTE"/>
    <n v="10"/>
    <x v="0"/>
    <x v="3"/>
    <s v="PLAQUETTES"/>
    <s v="356x26 RPI"/>
    <n v="70"/>
  </r>
  <r>
    <d v="2025-10-10T05:05:55"/>
    <x v="8"/>
    <s v="Plaquettes d'ébauches rhombiques"/>
    <s v="J529792"/>
    <s v="LEBRE CHRISTOPHE"/>
    <n v="10"/>
    <x v="2"/>
    <x v="1"/>
    <s v="PLAQUETTES"/>
    <s v="302x26 RPI"/>
    <n v="70"/>
  </r>
  <r>
    <d v="2025-10-10T13:28:27"/>
    <x v="8"/>
    <s v="Plaquettes d'ébauches rhombiques"/>
    <s v="040725"/>
    <s v="BARGEOT LUCAS"/>
    <n v="10"/>
    <x v="0"/>
    <x v="3"/>
    <s v="PLAQUETTES"/>
    <s v="356x26 RPI"/>
    <n v="70"/>
  </r>
  <r>
    <d v="2025-10-10T14:24:52"/>
    <x v="8"/>
    <s v="Plaquettes d'ébauches rhombiques"/>
    <s v="040725"/>
    <s v="BARGEOT LUCAS"/>
    <n v="10"/>
    <x v="3"/>
    <x v="3"/>
    <s v="PLAQUETTES"/>
    <s v="330x28 RPE KO"/>
    <n v="70"/>
  </r>
  <r>
    <d v="2025-10-11T07:04:54"/>
    <x v="8"/>
    <s v="Plaquettes d'ébauches rhombiques"/>
    <s v="150725"/>
    <s v="ADOUL WASSIM"/>
    <n v="10"/>
    <x v="1"/>
    <x v="0"/>
    <s v="PLAQUETTES"/>
    <s v="304x28 RPE"/>
    <n v="70"/>
  </r>
  <r>
    <d v="2025-10-11T12:35:24"/>
    <x v="8"/>
    <s v="Plaquettes d'ébauches rhombiques"/>
    <s v="150725"/>
    <s v="ADOUL WASSIM"/>
    <n v="10"/>
    <x v="0"/>
    <x v="2"/>
    <s v="PLAQUETTES"/>
    <s v="356x26 RPI"/>
    <n v="70"/>
  </r>
  <r>
    <d v="2025-10-12T17:04:04"/>
    <x v="8"/>
    <s v="Plaquettes d'ébauches rhombiques"/>
    <s v="DELIAT C"/>
    <s v="DELIAT CHRISTOPHE"/>
    <n v="10"/>
    <x v="2"/>
    <x v="2"/>
    <s v="PLAQUETTES"/>
    <s v="302x26 RPI"/>
    <n v="70"/>
  </r>
  <r>
    <d v="2025-10-12T17:04:42"/>
    <x v="8"/>
    <s v="Plaquettes d'ébauches rhombiques"/>
    <s v="DELIAT C"/>
    <s v="DELIAT CHRISTOPHE"/>
    <n v="10"/>
    <x v="2"/>
    <x v="4"/>
    <s v="PLAQUETTES"/>
    <s v="302x26 RPI"/>
    <n v="70"/>
  </r>
  <r>
    <d v="2025-10-13T05:07:20"/>
    <x v="8"/>
    <s v="Plaquettes d'ébauches rhombiques"/>
    <s v="140325"/>
    <s v="BOUCLIER JONATHAN"/>
    <n v="10"/>
    <x v="2"/>
    <x v="4"/>
    <s v="PLAQUETTES"/>
    <s v="302x26 RPI"/>
    <n v="70"/>
  </r>
  <r>
    <d v="2025-10-13T05:14:51"/>
    <x v="8"/>
    <s v="Plaquettes d'ébauches rhombiques"/>
    <s v="040725"/>
    <s v="BARGEOT LUCAS"/>
    <n v="10"/>
    <x v="0"/>
    <x v="3"/>
    <s v="PLAQUETTES"/>
    <s v="356x26 RPI"/>
    <n v="70"/>
  </r>
  <r>
    <d v="2025-10-13T05:22:45"/>
    <x v="8"/>
    <s v="Plaquettes d'ébauches rhombiques"/>
    <s v="140325"/>
    <s v="BOUCLIER JONATHAN"/>
    <n v="10"/>
    <x v="2"/>
    <x v="2"/>
    <s v="PLAQUETTES"/>
    <s v="302x26 RPI"/>
    <n v="70"/>
  </r>
  <r>
    <d v="2025-10-13T13:40:12"/>
    <x v="8"/>
    <s v="Plaquettes d'ébauches rhombiques"/>
    <s v="101123"/>
    <s v="BRUNET ANDREA"/>
    <n v="10"/>
    <x v="1"/>
    <x v="3"/>
    <s v="PLAQUETTES"/>
    <s v="304x28 RPE"/>
    <n v="70"/>
  </r>
  <r>
    <d v="2025-10-13T21:16:00"/>
    <x v="8"/>
    <s v="Plaquettes d'ébauches rhombiques"/>
    <s v="U037238"/>
    <s v="PRIEUR OLIVIER"/>
    <n v="10"/>
    <x v="2"/>
    <x v="1"/>
    <s v="PLAQUETTES"/>
    <s v="302x26 RPI"/>
    <n v="70"/>
  </r>
  <r>
    <d v="2025-10-13T21:31:17"/>
    <x v="8"/>
    <s v="Plaquettes d'ébauches rhombiques"/>
    <s v="130325"/>
    <s v="PAPONNEAU JULIEN"/>
    <n v="10"/>
    <x v="3"/>
    <x v="2"/>
    <s v="PLAQUETTES"/>
    <s v="290x12"/>
    <n v="70"/>
  </r>
  <r>
    <d v="2025-10-13T21:31:32"/>
    <x v="8"/>
    <s v="Plaquettes d'ébauches rhombiques"/>
    <s v="130325"/>
    <s v="PAPONNEAU JULIEN"/>
    <n v="10"/>
    <x v="0"/>
    <x v="2"/>
    <s v="PLAQUETTES"/>
    <s v="290x12"/>
    <n v="70"/>
  </r>
  <r>
    <d v="2025-10-13T21:53:04"/>
    <x v="8"/>
    <s v="Plaquettes d'ébauches rhombiques"/>
    <s v="j529800"/>
    <s v="MONTCHARMONT BAPTISTE"/>
    <n v="10"/>
    <x v="0"/>
    <x v="3"/>
    <s v="PLAQUETTES"/>
    <s v="356x26 RPI"/>
    <n v="70"/>
  </r>
  <r>
    <d v="2025-10-13T23:01:43"/>
    <x v="8"/>
    <s v="Plaquettes d'ébauches rhombiques"/>
    <s v="250425"/>
    <s v="CHANDAR ABDER"/>
    <n v="10"/>
    <x v="2"/>
    <x v="4"/>
    <s v="PLAQUETTES"/>
    <s v="302x26 RPI"/>
    <n v="70"/>
  </r>
  <r>
    <d v="2025-10-14T17:33:41"/>
    <x v="8"/>
    <s v="Plaquettes d'ébauches rhombiques"/>
    <s v="U505000"/>
    <s v="RECEVEUR BENOIT"/>
    <n v="10"/>
    <x v="1"/>
    <x v="0"/>
    <s v="PLAQUETTES"/>
    <s v="304x28 RPE"/>
    <n v="70"/>
  </r>
  <r>
    <d v="2025-10-14T19:58:04"/>
    <x v="8"/>
    <s v="Plaquettes d'ébauches rhombiques"/>
    <s v="101224"/>
    <s v="CHAZEAU KYLIAN"/>
    <n v="10"/>
    <x v="3"/>
    <x v="3"/>
    <s v="PLAQUETTES"/>
    <s v="330x28 RPE KO"/>
    <n v="70"/>
  </r>
  <r>
    <d v="2025-10-14T19:58:23"/>
    <x v="8"/>
    <s v="Plaquettes d'ébauches rhombiques"/>
    <s v="101224"/>
    <s v="CHAZEAU KYLIAN"/>
    <n v="10"/>
    <x v="0"/>
    <x v="3"/>
    <s v="PLAQUETTES"/>
    <s v="356x26 RPI"/>
    <n v="70"/>
  </r>
  <r>
    <d v="2025-10-14T20:35:51"/>
    <x v="8"/>
    <s v="Plaquettes d'ébauches rhombiques"/>
    <s v="210325"/>
    <s v="DAUTUN ALLAN"/>
    <n v="10"/>
    <x v="2"/>
    <x v="2"/>
    <s v="PLAQUETTES"/>
    <s v="302x26 RPI"/>
    <n v="70"/>
  </r>
  <r>
    <d v="2025-10-14T20:36:22"/>
    <x v="8"/>
    <s v="Plaquettes d'ébauches rhombiques"/>
    <s v="210325"/>
    <s v="DAUTUN ALLAN"/>
    <n v="10"/>
    <x v="2"/>
    <x v="4"/>
    <s v="PLAQUETTES"/>
    <s v="302x26 RPI"/>
    <n v="70"/>
  </r>
  <r>
    <d v="2025-10-14T21:16:10"/>
    <x v="8"/>
    <s v="Plaquettes d'ébauches rhombiques"/>
    <s v="j529800"/>
    <s v="MONTCHARMONT BAPTISTE"/>
    <n v="10"/>
    <x v="0"/>
    <x v="3"/>
    <s v="PLAQUETTES"/>
    <s v="356x26 RPI"/>
    <n v="70"/>
  </r>
  <r>
    <d v="2025-10-15T05:19:28"/>
    <x v="8"/>
    <s v="Plaquettes d'ébauches rhombiques"/>
    <s v="SD75051"/>
    <s v="COMBALUZIER LUCAS"/>
    <n v="10"/>
    <x v="1"/>
    <x v="3"/>
    <s v="PLAQUETTES"/>
    <s v="304x28 RPE"/>
    <n v="70"/>
  </r>
  <r>
    <d v="2025-10-15T22:20:57"/>
    <x v="8"/>
    <s v="Plaquettes d'ébauches rhombiques"/>
    <s v="j529800"/>
    <s v="MONTCHARMONT BAPTISTE"/>
    <n v="10"/>
    <x v="0"/>
    <x v="3"/>
    <s v="PLAQUETTES"/>
    <s v="356x26 RPI"/>
    <n v="70"/>
  </r>
  <r>
    <d v="2025-10-16T08:51:28"/>
    <x v="8"/>
    <s v="Plaquettes d'ébauches rhombiques"/>
    <s v="040725"/>
    <s v="BARGEOT LUCAS"/>
    <n v="10"/>
    <x v="3"/>
    <x v="3"/>
    <s v="PLAQUETTES"/>
    <s v="330x28 RPE KO"/>
    <n v="70"/>
  </r>
  <r>
    <d v="2025-10-16T21:19:13"/>
    <x v="8"/>
    <s v="Plaquettes d'ébauches rhombiques"/>
    <s v="j529800"/>
    <s v="MONTCHARMONT BAPTISTE"/>
    <n v="10"/>
    <x v="0"/>
    <x v="3"/>
    <s v="PLAQUETTES"/>
    <s v="356x26 RPI"/>
    <n v="70"/>
  </r>
  <r>
    <d v="2025-10-17T13:19:18"/>
    <x v="8"/>
    <s v="Plaquettes d'ébauches rhombiques"/>
    <s v="U505000"/>
    <s v="RECEVEUR BENOIT"/>
    <n v="10"/>
    <x v="1"/>
    <x v="3"/>
    <s v="PLAQUETTES"/>
    <s v="304x28 RPE"/>
    <n v="70"/>
  </r>
  <r>
    <d v="2025-10-17T15:57:23"/>
    <x v="8"/>
    <s v="Plaquettes d'ébauches rhombiques"/>
    <s v="U505000"/>
    <s v="RECEVEUR BENOIT"/>
    <n v="10"/>
    <x v="1"/>
    <x v="0"/>
    <s v="PLAQUETTES"/>
    <s v="304x28 RPE"/>
    <n v="70"/>
  </r>
  <r>
    <d v="2025-10-17T15:57:44"/>
    <x v="8"/>
    <s v="Plaquettes d'ébauches rhombiques"/>
    <s v="U505000"/>
    <s v="RECEVEUR BENOIT"/>
    <n v="10"/>
    <x v="1"/>
    <x v="0"/>
    <s v="PLAQUETTES"/>
    <s v="304x28 RPE"/>
    <n v="70"/>
  </r>
  <r>
    <d v="2025-10-17T21:25:08"/>
    <x v="8"/>
    <s v="Plaquettes d'ébauches rhombiques"/>
    <s v="j529800"/>
    <s v="MONTCHARMONT BAPTISTE"/>
    <n v="10"/>
    <x v="0"/>
    <x v="3"/>
    <s v="PLAQUETTES"/>
    <s v="356x26 RPI"/>
    <n v="70"/>
  </r>
  <r>
    <d v="2025-10-19T17:57:47"/>
    <x v="8"/>
    <s v="Plaquettes d'ébauches rhombiques"/>
    <s v="DELIAT C"/>
    <s v="DELIAT CHRISTOPHE"/>
    <n v="10"/>
    <x v="2"/>
    <x v="2"/>
    <s v="PLAQUETTES"/>
    <s v="302x26 RPI"/>
    <n v="70"/>
  </r>
  <r>
    <d v="2025-10-20T06:35:19"/>
    <x v="8"/>
    <s v="Plaquettes d'ébauches rhombiques"/>
    <s v="U505000"/>
    <s v="RECEVEUR BENOIT"/>
    <n v="10"/>
    <x v="1"/>
    <x v="3"/>
    <s v="PLAQUETTES"/>
    <s v="304x28 RPE"/>
    <n v="70"/>
  </r>
  <r>
    <d v="2025-10-20T09:08:24"/>
    <x v="8"/>
    <s v="Plaquettes d'ébauches rhombiques"/>
    <s v="12824586"/>
    <s v="DA SILVA FERNANDO"/>
    <n v="10"/>
    <x v="1"/>
    <x v="2"/>
    <s v="PLAQUETTES"/>
    <s v="TOUT DISQUES"/>
    <n v="70"/>
  </r>
  <r>
    <d v="2025-10-20T13:03:54"/>
    <x v="8"/>
    <s v="Plaquettes d'ébauches rhombiques"/>
    <s v="u636817"/>
    <s v="MOCQUEREAU LYDIE"/>
    <n v="10"/>
    <x v="2"/>
    <x v="4"/>
    <s v="PLAQUETTES"/>
    <s v="302x26 RPI"/>
    <n v="70"/>
  </r>
  <r>
    <d v="2025-10-20T19:20:10"/>
    <x v="8"/>
    <s v="Plaquettes d'ébauches rhombiques"/>
    <s v="040725"/>
    <s v="BARGEOT LUCAS"/>
    <n v="10"/>
    <x v="3"/>
    <x v="3"/>
    <s v="PLAQUETTES"/>
    <s v="330x14"/>
    <n v="70"/>
  </r>
  <r>
    <d v="2025-10-20T22:22:24"/>
    <x v="8"/>
    <s v="Plaquettes d'ébauches rhombiques"/>
    <s v="250425"/>
    <s v="CHANDAR ABDER"/>
    <n v="10"/>
    <x v="2"/>
    <x v="4"/>
    <s v="PLAQUETTES"/>
    <s v="302x26 RPI"/>
    <n v="70"/>
  </r>
  <r>
    <d v="2025-10-21T13:12:45"/>
    <x v="8"/>
    <s v="Plaquettes d'ébauches rhombiques"/>
    <s v="SD75051"/>
    <s v="COMBALUZIER LUCAS"/>
    <n v="10"/>
    <x v="1"/>
    <x v="3"/>
    <s v="PLAQUETTES"/>
    <s v="304x28 RPE"/>
    <n v="70"/>
  </r>
  <r>
    <d v="2025-10-21T21:15:48"/>
    <x v="8"/>
    <s v="Plaquettes d'ébauches rhombiques"/>
    <s v="j529800"/>
    <s v="MONTCHARMONT BAPTISTE"/>
    <n v="10"/>
    <x v="0"/>
    <x v="3"/>
    <s v="PLAQUETTES"/>
    <s v="356x26 RPI"/>
    <n v="70"/>
  </r>
  <r>
    <d v="2025-10-22T05:00:09"/>
    <x v="8"/>
    <s v="Plaquettes d'ébauches rhombiques"/>
    <s v="045F69CAA77080"/>
    <s v="TEIXEIRA FLORIAN"/>
    <n v="10"/>
    <x v="2"/>
    <x v="1"/>
    <s v="PLAQUETTES"/>
    <s v="302x26 RPI"/>
    <n v="70"/>
  </r>
  <r>
    <d v="2025-10-22T12:43:28"/>
    <x v="8"/>
    <s v="Plaquettes d'ébauches rhombiques"/>
    <s v="210325"/>
    <s v="DAUTUN ALLAN"/>
    <n v="10"/>
    <x v="2"/>
    <x v="2"/>
    <s v="PLAQUETTES"/>
    <s v="302x26 RPI"/>
    <n v="70"/>
  </r>
  <r>
    <d v="2025-10-22T12:43:57"/>
    <x v="8"/>
    <s v="Plaquettes d'ébauches rhombiques"/>
    <s v="210325"/>
    <s v="DAUTUN ALLAN"/>
    <n v="10"/>
    <x v="2"/>
    <x v="4"/>
    <s v="PLAQUETTES"/>
    <s v="302x26 RPI"/>
    <n v="70"/>
  </r>
  <r>
    <d v="2025-10-22T13:24:21"/>
    <x v="8"/>
    <s v="Plaquettes d'ébauches rhombiques"/>
    <s v="040725"/>
    <s v="BARGEOT LUCAS"/>
    <n v="10"/>
    <x v="0"/>
    <x v="3"/>
    <s v="PLAQUETTES"/>
    <s v="356x26 RPI"/>
    <n v="70"/>
  </r>
  <r>
    <d v="2025-10-22T16:03:57"/>
    <x v="8"/>
    <s v="Plaquettes d'ébauches rhombiques"/>
    <s v="140325"/>
    <s v="BOUCLIER JONATHAN"/>
    <n v="10"/>
    <x v="2"/>
    <x v="4"/>
    <s v="PLAQUETTES"/>
    <s v="302x26 RPI"/>
    <n v="70"/>
  </r>
  <r>
    <d v="2025-10-22T22:22:55"/>
    <x v="8"/>
    <s v="Plaquettes d'ébauches rhombiques"/>
    <s v="250425"/>
    <s v="CHANDAR ABDER"/>
    <n v="10"/>
    <x v="2"/>
    <x v="4"/>
    <s v="PLAQUETTES"/>
    <s v="302x26 RPI"/>
    <n v="70"/>
  </r>
  <r>
    <d v="2025-10-23T13:08:49"/>
    <x v="8"/>
    <s v="Plaquettes d'ébauches rhombiques"/>
    <s v="SD75051"/>
    <s v="COMBALUZIER LUCAS"/>
    <n v="10"/>
    <x v="1"/>
    <x v="3"/>
    <s v="PLAQUETTES"/>
    <s v="304x28 RPE"/>
    <n v="70"/>
  </r>
  <r>
    <d v="2025-10-23T21:40:58"/>
    <x v="8"/>
    <s v="Plaquettes d'ébauches rhombiques"/>
    <s v="j529800"/>
    <s v="MONTCHARMONT BAPTISTE"/>
    <n v="10"/>
    <x v="0"/>
    <x v="3"/>
    <s v="PLAQUETTES"/>
    <s v="356x26 RPI"/>
    <n v="70"/>
  </r>
  <r>
    <d v="2025-10-24T02:10:04"/>
    <x v="8"/>
    <s v="Plaquettes d'ébauches rhombiques"/>
    <s v="j529800"/>
    <s v="MONTCHARMONT BAPTISTE"/>
    <n v="10"/>
    <x v="0"/>
    <x v="3"/>
    <s v="PLAQUETTES"/>
    <s v="356x26 RPI"/>
    <n v="70"/>
  </r>
  <r>
    <d v="2025-10-24T13:08:52"/>
    <x v="8"/>
    <s v="Plaquettes d'ébauches rhombiques"/>
    <s v="SD75051"/>
    <s v="COMBALUZIER LUCAS"/>
    <n v="10"/>
    <x v="0"/>
    <x v="3"/>
    <s v="PLAQUETTES"/>
    <s v="304x28 RPE"/>
    <n v="70"/>
  </r>
  <r>
    <d v="2025-10-24T13:10:39"/>
    <x v="8"/>
    <s v="Plaquettes d'ébauches rhombiques"/>
    <s v="040725"/>
    <s v="BARGEOT LUCAS"/>
    <n v="10"/>
    <x v="0"/>
    <x v="3"/>
    <s v="PLAQUETTES"/>
    <s v="356x26 RPI"/>
    <n v="70"/>
  </r>
  <r>
    <d v="2025-10-24T21:30:47"/>
    <x v="8"/>
    <s v="Plaquettes d'ébauches rhombiques"/>
    <s v="j529800"/>
    <s v="MONTCHARMONT BAPTISTE"/>
    <n v="10"/>
    <x v="0"/>
    <x v="3"/>
    <s v="PLAQUETTES"/>
    <s v="356x26 RPI"/>
    <n v="70"/>
  </r>
  <r>
    <d v="2025-10-25T06:30:31"/>
    <x v="8"/>
    <s v="Plaquettes d'ébauches rhombiques"/>
    <s v="150725"/>
    <s v="ADOUL WASSIM"/>
    <n v="10"/>
    <x v="1"/>
    <x v="3"/>
    <s v="PLAQUETTES"/>
    <s v="304x28 RPE"/>
    <n v="70"/>
  </r>
  <r>
    <d v="2025-10-26T17:48:07"/>
    <x v="8"/>
    <s v="Plaquettes d'ébauches rhombiques"/>
    <s v="150725"/>
    <s v="ADOUL WASSIM"/>
    <n v="10"/>
    <x v="0"/>
    <x v="3"/>
    <s v="PLAQUETTES"/>
    <s v="356x26 RPI"/>
    <n v="70"/>
  </r>
  <r>
    <d v="2025-10-27T02:03:58"/>
    <x v="8"/>
    <s v="Plaquettes d'ébauches rhombiques"/>
    <s v="J529792"/>
    <s v="LEBRE CHRISTOPHE"/>
    <n v="10"/>
    <x v="2"/>
    <x v="4"/>
    <s v="PLAQUETTES"/>
    <s v="302x26 RPI"/>
    <n v="70"/>
  </r>
  <r>
    <d v="2025-10-27T05:03:11"/>
    <x v="8"/>
    <s v="Plaquettes d'ébauches rhombiques"/>
    <s v="SD75051"/>
    <s v="COMBALUZIER LUCAS"/>
    <n v="10"/>
    <x v="1"/>
    <x v="3"/>
    <s v="PLAQUETTES"/>
    <s v="304x28 RPE"/>
    <n v="70"/>
  </r>
  <r>
    <d v="2025-10-27T05:14:01"/>
    <x v="8"/>
    <s v="Plaquettes d'ébauches rhombiques"/>
    <s v="SD75051"/>
    <s v="COMBALUZIER LUCAS"/>
    <n v="10"/>
    <x v="1"/>
    <x v="0"/>
    <s v="PLAQUETTES"/>
    <s v="304x28 RPE"/>
    <n v="70"/>
  </r>
  <r>
    <d v="2025-10-27T21:30:22"/>
    <x v="8"/>
    <s v="Plaquettes d'ébauches rhombiques"/>
    <s v="j529800"/>
    <s v="MONTCHARMONT BAPTISTE"/>
    <n v="10"/>
    <x v="3"/>
    <x v="3"/>
    <s v="PLAQUETTES"/>
    <s v="330x28 RPE KO"/>
    <n v="70"/>
  </r>
  <r>
    <d v="2025-10-27T21:30:41"/>
    <x v="8"/>
    <s v="Plaquettes d'ébauches rhombiques"/>
    <s v="j529800"/>
    <s v="MONTCHARMONT BAPTISTE"/>
    <n v="10"/>
    <x v="0"/>
    <x v="3"/>
    <s v="PLAQUETTES"/>
    <s v="356x26 RPI"/>
    <n v="70"/>
  </r>
  <r>
    <d v="2025-10-28T05:02:09"/>
    <x v="8"/>
    <s v="Plaquettes d'ébauches rhombiques"/>
    <s v="140325"/>
    <s v="BOUCLIER JONATHAN"/>
    <n v="10"/>
    <x v="2"/>
    <x v="2"/>
    <s v="PLAQUETTES"/>
    <s v="302x26 RPI"/>
    <n v="70"/>
  </r>
  <r>
    <d v="2025-10-28T05:02:47"/>
    <x v="8"/>
    <s v="Plaquettes d'ébauches rhombiques"/>
    <s v="140325"/>
    <s v="BOUCLIER JONATHAN"/>
    <n v="10"/>
    <x v="2"/>
    <x v="4"/>
    <s v="PLAQUETTES"/>
    <s v="302x26 RPI"/>
    <n v="70"/>
  </r>
  <r>
    <d v="2025-10-28T05:16:49"/>
    <x v="8"/>
    <s v="Plaquettes d'ébauches rhombiques"/>
    <s v="SD75051"/>
    <s v="COMBALUZIER LUCAS"/>
    <n v="10"/>
    <x v="1"/>
    <x v="3"/>
    <s v="PLAQUETTES"/>
    <s v="304x28 RPE"/>
    <n v="70"/>
  </r>
  <r>
    <d v="2025-10-28T15:26:31"/>
    <x v="8"/>
    <s v="Plaquettes d'ébauches rhombiques"/>
    <s v="04551FC25C7780"/>
    <s v="CHEDRU VIANNEY"/>
    <n v="10"/>
    <x v="0"/>
    <x v="3"/>
    <s v="PLAQUETTES"/>
    <s v="356x26 RPI"/>
    <n v="70"/>
  </r>
  <r>
    <d v="2025-10-28T20:45:44"/>
    <x v="8"/>
    <s v="Plaquettes d'ébauches rhombiques"/>
    <s v="210325"/>
    <s v="DAUTUN ALLAN"/>
    <n v="10"/>
    <x v="2"/>
    <x v="2"/>
    <s v="PLAQUETTES"/>
    <s v="302x26 RPI"/>
    <n v="70"/>
  </r>
  <r>
    <d v="2025-10-28T20:46:24"/>
    <x v="8"/>
    <s v="Plaquettes d'ébauches rhombiques"/>
    <s v="210325"/>
    <s v="DAUTUN ALLAN"/>
    <n v="10"/>
    <x v="2"/>
    <x v="4"/>
    <s v="PLAQUETTES"/>
    <s v="302x26 RPI"/>
    <n v="70"/>
  </r>
  <r>
    <d v="2025-10-29T00:57:04"/>
    <x v="8"/>
    <s v="Plaquettes d'ébauches rhombiques"/>
    <s v="250425"/>
    <s v="CHANDAR ABDER"/>
    <n v="10"/>
    <x v="2"/>
    <x v="4"/>
    <s v="PLAQUETTES"/>
    <s v="302x26 RPI"/>
    <n v="70"/>
  </r>
  <r>
    <d v="2025-10-29T05:06:16"/>
    <x v="8"/>
    <s v="Plaquettes d'ébauches rhombiques"/>
    <s v="SD75051"/>
    <s v="COMBALUZIER LUCAS"/>
    <n v="10"/>
    <x v="1"/>
    <x v="3"/>
    <s v="PLAQUETTES"/>
    <s v="304x28 RPE"/>
    <n v="70"/>
  </r>
  <r>
    <d v="2025-10-29T14:04:14"/>
    <x v="8"/>
    <s v="Plaquettes d'ébauches rhombiques"/>
    <s v="04551FC25C7780"/>
    <s v="CHEDRU VIANNEY"/>
    <n v="10"/>
    <x v="0"/>
    <x v="3"/>
    <s v="PLAQUETTES"/>
    <s v="356x26 RPI"/>
    <n v="70"/>
  </r>
  <r>
    <d v="2025-10-29T21:45:47"/>
    <x v="8"/>
    <s v="Plaquettes d'ébauches rhombiques"/>
    <s v="U037238"/>
    <s v="PRIEUR OLIVIER"/>
    <n v="10"/>
    <x v="2"/>
    <x v="1"/>
    <s v="PLAQUETTES"/>
    <s v="302x26 RPI"/>
    <n v="70"/>
  </r>
  <r>
    <d v="2025-10-30T05:08:00"/>
    <x v="8"/>
    <s v="Plaquettes d'ébauches rhombiques"/>
    <s v="SD75051"/>
    <s v="COMBALUZIER LUCAS"/>
    <n v="10"/>
    <x v="1"/>
    <x v="3"/>
    <s v="PLAQUETTES"/>
    <s v="304x28 RPE"/>
    <n v="70"/>
  </r>
  <r>
    <d v="2025-10-30T22:48:05"/>
    <x v="8"/>
    <s v="Plaquettes d'ébauches rhombiques"/>
    <s v="j529800"/>
    <s v="MONTCHARMONT BAPTISTE"/>
    <n v="10"/>
    <x v="0"/>
    <x v="3"/>
    <s v="PLAQUETTES"/>
    <s v="356x26 RPI"/>
    <n v="70"/>
  </r>
  <r>
    <d v="2025-10-31T09:28:01"/>
    <x v="8"/>
    <s v="Plaquettes d'ébauches rhombiques"/>
    <s v="150725"/>
    <s v="ADOUL WASSIM"/>
    <n v="10"/>
    <x v="1"/>
    <x v="3"/>
    <s v="PLAQUETTES"/>
    <s v="304x28 RPE"/>
    <n v="70"/>
  </r>
  <r>
    <d v="2025-10-31T13:16:01"/>
    <x v="8"/>
    <s v="Plaquettes d'ébauches rhombiques"/>
    <s v="04551FC25C7780"/>
    <s v="CHEDRU VIANNEY"/>
    <n v="10"/>
    <x v="0"/>
    <x v="3"/>
    <s v="PLAQUETTES"/>
    <s v="356x26 RPI"/>
    <n v="70"/>
  </r>
  <r>
    <d v="2025-11-01T03:23:11"/>
    <x v="8"/>
    <s v="Plaquettes d'ébauches rhombiques"/>
    <s v="250425"/>
    <s v="CHANDAR ABDER"/>
    <n v="10"/>
    <x v="2"/>
    <x v="4"/>
    <s v="PLAQUETTES"/>
    <s v="302x26 RPI"/>
    <n v="70"/>
  </r>
  <r>
    <d v="2025-11-01T11:48:56"/>
    <x v="8"/>
    <s v="Plaquettes d'ébauches rhombiques"/>
    <s v="150725"/>
    <s v="ADOUL WASSIM"/>
    <n v="10"/>
    <x v="0"/>
    <x v="2"/>
    <s v="PLAQUETTES"/>
    <s v="304x28 RPE"/>
    <n v="70"/>
  </r>
  <r>
    <d v="2025-11-03T00:23:45"/>
    <x v="8"/>
    <s v="Plaquettes d'ébauches rhombiques"/>
    <s v="150725"/>
    <s v="ADOUL WASSIM"/>
    <n v="10"/>
    <x v="1"/>
    <x v="3"/>
    <s v="PLAQUETTES"/>
    <s v="304x28 RPE"/>
    <n v="70"/>
  </r>
  <r>
    <d v="2025-11-03T05:12:23"/>
    <x v="8"/>
    <s v="Plaquettes d'ébauches rhombiques"/>
    <s v="101224"/>
    <s v="CHAZEAU KYLIAN"/>
    <n v="10"/>
    <x v="1"/>
    <x v="0"/>
    <s v="PLAQUETTES"/>
    <s v="304x28 RPE"/>
    <n v="70"/>
  </r>
  <r>
    <d v="2025-11-03T12:43:19"/>
    <x v="8"/>
    <s v="Plaquettes d'ébauches rhombiques"/>
    <s v="04551FC25C7780"/>
    <s v="CHEDRU VIANNEY"/>
    <n v="10"/>
    <x v="0"/>
    <x v="0"/>
    <s v="PLAQUETTES"/>
    <s v="356x26 RPI"/>
    <n v="70"/>
  </r>
  <r>
    <d v="2025-11-03T13:20:14"/>
    <x v="8"/>
    <s v="Plaquettes d'ébauches rhombiques"/>
    <s v="u636817"/>
    <s v="MOCQUEREAU LYDIE"/>
    <n v="10"/>
    <x v="2"/>
    <x v="2"/>
    <s v="PLAQUETTES"/>
    <s v="302x26 RPI"/>
    <n v="70"/>
  </r>
  <r>
    <d v="2025-11-03T13:21:22"/>
    <x v="8"/>
    <s v="Plaquettes d'ébauches rhombiques"/>
    <s v="u636817"/>
    <s v="MOCQUEREAU LYDIE"/>
    <n v="10"/>
    <x v="2"/>
    <x v="4"/>
    <s v="PLAQUETTES"/>
    <s v="302x26 RPI"/>
    <n v="70"/>
  </r>
  <r>
    <d v="2025-11-03T13:55:20"/>
    <x v="8"/>
    <s v="Plaquettes d'ébauches rhombiques"/>
    <s v="SD75051"/>
    <s v="COMBALUZIER LUCAS"/>
    <n v="10"/>
    <x v="0"/>
    <x v="3"/>
    <s v="PLAQUETTES"/>
    <s v="304x28 RPE"/>
    <n v="70"/>
  </r>
  <r>
    <d v="2025-11-03T21:28:26"/>
    <x v="8"/>
    <s v="Plaquettes d'ébauches rhombiques"/>
    <s v="j529800"/>
    <s v="MONTCHARMONT BAPTISTE"/>
    <n v="10"/>
    <x v="0"/>
    <x v="3"/>
    <s v="PLAQUETTES"/>
    <s v="356x26 RPI"/>
    <n v="70"/>
  </r>
  <r>
    <d v="2025-11-04T14:12:58"/>
    <x v="8"/>
    <s v="Plaquettes d'ébauches rhombiques"/>
    <s v="SD75051"/>
    <s v="COMBALUZIER LUCAS"/>
    <n v="10"/>
    <x v="1"/>
    <x v="3"/>
    <s v="PLAQUETTES"/>
    <s v="304x28 RPE"/>
    <n v="70"/>
  </r>
  <r>
    <d v="2025-11-04T15:37:20"/>
    <x v="8"/>
    <s v="Plaquettes d'ébauches rhombiques"/>
    <s v="u636817"/>
    <s v="MOCQUEREAU LYDIE"/>
    <n v="10"/>
    <x v="2"/>
    <x v="4"/>
    <s v="PLAQUETTES"/>
    <s v="302x26 RPI"/>
    <n v="70"/>
  </r>
  <r>
    <d v="2025-11-04T21:20:04"/>
    <x v="8"/>
    <s v="Plaquettes d'ébauches rhombiques"/>
    <s v="j529800"/>
    <s v="MONTCHARMONT BAPTISTE"/>
    <n v="10"/>
    <x v="0"/>
    <x v="3"/>
    <s v="PLAQUETTES"/>
    <s v="356x26 RPI"/>
    <n v="70"/>
  </r>
  <r>
    <d v="2025-11-04T21:21:53"/>
    <x v="8"/>
    <s v="Plaquettes d'ébauches rhombiques"/>
    <s v="130325"/>
    <s v="PAPONNEAU JULIEN"/>
    <n v="10"/>
    <x v="1"/>
    <x v="3"/>
    <s v="PLAQUETTES"/>
    <s v="304x28 RPE"/>
    <n v="70"/>
  </r>
  <r>
    <d v="2025-11-04T21:22:09"/>
    <x v="8"/>
    <s v="Plaquettes d'ébauches rhombiques"/>
    <s v="130325"/>
    <s v="PAPONNEAU JULIEN"/>
    <n v="10"/>
    <x v="1"/>
    <x v="3"/>
    <s v="PLAQUETTES"/>
    <s v="304x28 RPE"/>
    <n v="70"/>
  </r>
  <r>
    <d v="2025-11-04T21:22:23"/>
    <x v="8"/>
    <s v="Plaquettes d'ébauches rhombiques"/>
    <s v="130325"/>
    <s v="PAPONNEAU JULIEN"/>
    <n v="10"/>
    <x v="1"/>
    <x v="3"/>
    <s v="PLAQUETTES"/>
    <s v="304x28 RPE"/>
    <n v="70"/>
  </r>
  <r>
    <d v="2025-11-04T21:25:32"/>
    <x v="8"/>
    <s v="Plaquettes d'ébauches rhombiques"/>
    <s v="130325"/>
    <s v="PAPONNEAU JULIEN"/>
    <n v="10"/>
    <x v="1"/>
    <x v="0"/>
    <s v="PLAQUETTES"/>
    <s v="304x28 RPE"/>
    <n v="70"/>
  </r>
  <r>
    <d v="2025-11-05T05:01:24"/>
    <x v="8"/>
    <s v="Plaquettes d'ébauches rhombiques"/>
    <s v="045F69CAA77080"/>
    <s v="TEIXEIRA FLORIAN"/>
    <n v="10"/>
    <x v="2"/>
    <x v="1"/>
    <s v="PLAQUETTES"/>
    <s v="302x26 RPI"/>
    <n v="70"/>
  </r>
  <r>
    <d v="2025-11-05T12:18:36"/>
    <x v="8"/>
    <s v="Plaquettes d'ébauches rhombiques"/>
    <s v="210325"/>
    <s v="DAUTUN ALLAN"/>
    <n v="10"/>
    <x v="2"/>
    <x v="2"/>
    <s v="PLAQUETTES"/>
    <s v="302x26 RPI"/>
    <n v="70"/>
  </r>
  <r>
    <d v="2025-11-05T12:18:49"/>
    <x v="8"/>
    <s v="Plaquettes d'ébauches rhombiques"/>
    <s v="210325"/>
    <s v="DAUTUN ALLAN"/>
    <n v="10"/>
    <x v="2"/>
    <x v="4"/>
    <s v="PLAQUETTES"/>
    <s v="302x26 RPI"/>
    <n v="70"/>
  </r>
  <r>
    <d v="2025-11-05T13:07:42"/>
    <x v="8"/>
    <s v="Plaquettes d'ébauches rhombiques"/>
    <s v="140325"/>
    <s v="BOUCLIER JONATHAN"/>
    <n v="10"/>
    <x v="2"/>
    <x v="2"/>
    <s v="PLAQUETTES"/>
    <s v="302x26 RPI"/>
    <n v="70"/>
  </r>
  <r>
    <d v="2025-11-05T13:08:32"/>
    <x v="8"/>
    <s v="Plaquettes d'ébauches rhombiques"/>
    <s v="140325"/>
    <s v="BOUCLIER JONATHAN"/>
    <n v="10"/>
    <x v="2"/>
    <x v="4"/>
    <s v="PLAQUETTES"/>
    <s v="302x26 RPI"/>
    <n v="70"/>
  </r>
  <r>
    <d v="2025-11-05T13:40:31"/>
    <x v="8"/>
    <s v="Plaquettes d'ébauches rhombiques"/>
    <s v="040725"/>
    <s v="BARGEOT LUCAS"/>
    <n v="10"/>
    <x v="3"/>
    <x v="2"/>
    <s v="PLAQUETTES"/>
    <s v="330x28 RPE KO"/>
    <n v="70"/>
  </r>
  <r>
    <d v="2025-11-05T21:17:39"/>
    <x v="8"/>
    <s v="Plaquettes d'ébauches rhombiques"/>
    <s v="j529800"/>
    <s v="MONTCHARMONT BAPTISTE"/>
    <n v="10"/>
    <x v="0"/>
    <x v="3"/>
    <s v="PLAQUETTES"/>
    <s v="356x26 RPI"/>
    <n v="70"/>
  </r>
  <r>
    <d v="2025-11-06T05:04:34"/>
    <x v="8"/>
    <s v="Plaquettes d'ébauches rhombiques"/>
    <s v="045F69CAA77080"/>
    <s v="TEIXEIRA FLORIAN"/>
    <n v="10"/>
    <x v="2"/>
    <x v="1"/>
    <s v="PLAQUETTES"/>
    <s v="302x26 RPI"/>
    <n v="70"/>
  </r>
  <r>
    <d v="2025-11-06T13:53:14"/>
    <x v="8"/>
    <s v="Plaquettes d'ébauches rhombiques"/>
    <s v="040725"/>
    <s v="BARGEOT LUCAS"/>
    <n v="10"/>
    <x v="0"/>
    <x v="3"/>
    <s v="PLAQUETTES"/>
    <s v="356x26 RPI"/>
    <n v="70"/>
  </r>
  <r>
    <d v="2025-11-06T13:53:35"/>
    <x v="8"/>
    <s v="Plaquettes d'ébauches rhombiques"/>
    <s v="040725"/>
    <s v="BARGEOT LUCAS"/>
    <n v="10"/>
    <x v="3"/>
    <x v="3"/>
    <s v="PLAQUETTES"/>
    <s v="330x14"/>
    <n v="70"/>
  </r>
  <r>
    <d v="2025-11-07T05:58:52"/>
    <x v="8"/>
    <s v="Plaquettes d'ébauches rhombiques"/>
    <s v="j534699"/>
    <s v="FABIAN CHARTON"/>
    <n v="10"/>
    <x v="2"/>
    <x v="2"/>
    <s v="PLAQUETTES"/>
    <s v="302x26 RPI"/>
    <n v="70"/>
  </r>
  <r>
    <d v="2025-11-07T06:00:38"/>
    <x v="8"/>
    <s v="Plaquettes d'ébauches rhombiques"/>
    <s v="j534699"/>
    <s v="FABIAN CHARTON"/>
    <n v="10"/>
    <x v="2"/>
    <x v="4"/>
    <s v="PLAQUETTES"/>
    <s v="302x26 RPI"/>
    <n v="70"/>
  </r>
  <r>
    <d v="2025-11-07T13:41:30"/>
    <x v="8"/>
    <s v="Plaquettes d'ébauches rhombiques"/>
    <s v="SD75051"/>
    <s v="COMBALUZIER LUCAS"/>
    <n v="10"/>
    <x v="1"/>
    <x v="0"/>
    <s v="PLAQUETTES"/>
    <s v="304x28 RPE"/>
    <n v="70"/>
  </r>
  <r>
    <d v="2025-11-07T21:21:45"/>
    <x v="8"/>
    <s v="Plaquettes d'ébauches rhombiques"/>
    <s v="j529800"/>
    <s v="MONTCHARMONT BAPTISTE"/>
    <n v="10"/>
    <x v="0"/>
    <x v="3"/>
    <s v="PLAQUETTES"/>
    <s v="356x26 RPI"/>
    <n v="70"/>
  </r>
  <r>
    <d v="2025-11-08T11:15:47"/>
    <x v="8"/>
    <s v="Plaquettes d'ébauches rhombiques"/>
    <s v="DELIAT C"/>
    <s v="DELIAT CHRISTOPHE"/>
    <n v="10"/>
    <x v="0"/>
    <x v="3"/>
    <s v="PLAQUETTES"/>
    <s v="356x26 RPI"/>
    <n v="70"/>
  </r>
  <r>
    <d v="2025-11-09T06:54:07"/>
    <x v="8"/>
    <s v="Plaquettes d'ébauches rhombiques"/>
    <s v="U080365"/>
    <s v="ALAVOINE SAMUEL"/>
    <n v="10"/>
    <x v="0"/>
    <x v="3"/>
    <s v="PLAQUETTES"/>
    <s v="356x26 RPI"/>
    <n v="70"/>
  </r>
  <r>
    <d v="2025-11-09T06:55:36"/>
    <x v="8"/>
    <s v="Plaquettes d'ébauches rhombiques"/>
    <s v="U080365"/>
    <s v="ALAVOINE SAMUEL"/>
    <n v="10"/>
    <x v="0"/>
    <x v="0"/>
    <s v="PLAQUETTES"/>
    <s v="356x26 RPI"/>
    <n v="70"/>
  </r>
  <r>
    <d v="2025-11-09T06:56:01"/>
    <x v="8"/>
    <s v="Plaquettes d'ébauches rhombiques"/>
    <s v="U080365"/>
    <s v="ALAVOINE SAMUEL"/>
    <n v="10"/>
    <x v="3"/>
    <x v="3"/>
    <s v="PLAQUETTES"/>
    <s v="330x14"/>
    <n v="70"/>
  </r>
  <r>
    <d v="2025-11-10T13:03:29"/>
    <x v="8"/>
    <s v="Plaquettes d'ébauches rhombiques"/>
    <s v="101224"/>
    <s v="CHAZEAU KYLIAN"/>
    <n v="10"/>
    <x v="1"/>
    <x v="3"/>
    <s v="PLAQUETTES"/>
    <s v="304x28 RPE"/>
    <n v="70"/>
  </r>
  <r>
    <d v="2025-11-10T21:03:46"/>
    <x v="8"/>
    <s v="Plaquettes d'ébauches rhombiques"/>
    <s v="j529800"/>
    <s v="MONTCHARMONT BAPTISTE"/>
    <n v="10"/>
    <x v="3"/>
    <x v="3"/>
    <s v="PLAQUETTES"/>
    <s v="330x14"/>
    <n v="70"/>
  </r>
  <r>
    <d v="2025-11-12T05:50:12"/>
    <x v="8"/>
    <s v="Plaquettes d'ébauches rhombiques"/>
    <s v="SD75051"/>
    <s v="COMBALUZIER LUCAS"/>
    <n v="10"/>
    <x v="1"/>
    <x v="3"/>
    <s v="PLAQUETTES"/>
    <s v="304x28 RPE"/>
    <n v="70"/>
  </r>
  <r>
    <d v="2025-11-12T20:07:57"/>
    <x v="8"/>
    <s v="Plaquettes d'ébauches rhombiques"/>
    <s v="04551FC25C7780"/>
    <s v="CHEDRU VIANNEY"/>
    <n v="10"/>
    <x v="0"/>
    <x v="3"/>
    <s v="PLAQUETTES"/>
    <s v="356x26 RPI"/>
    <n v="70"/>
  </r>
  <r>
    <d v="2025-11-12T20:30:24"/>
    <x v="8"/>
    <s v="Plaquettes d'ébauches rhombiques"/>
    <s v="101224"/>
    <s v="CHAZEAU KYLIAN"/>
    <n v="10"/>
    <x v="1"/>
    <x v="3"/>
    <s v="PLAQUETTES"/>
    <s v="304x28 RPE"/>
    <n v="70"/>
  </r>
  <r>
    <d v="2025-11-12T21:17:36"/>
    <x v="8"/>
    <s v="Plaquettes d'ébauches rhombiques"/>
    <s v="j529800"/>
    <s v="MONTCHARMONT BAPTISTE"/>
    <n v="10"/>
    <x v="3"/>
    <x v="3"/>
    <s v="PLAQUETTES"/>
    <s v="330x28 RPE KO"/>
    <n v="70"/>
  </r>
  <r>
    <d v="2025-11-13T03:59:13"/>
    <x v="8"/>
    <s v="Plaquettes d'ébauches rhombiques"/>
    <s v="j529800"/>
    <s v="MONTCHARMONT BAPTISTE"/>
    <n v="10"/>
    <x v="3"/>
    <x v="3"/>
    <s v="PLAQUETTES"/>
    <s v="330x28 RPE KO"/>
    <n v="70"/>
  </r>
  <r>
    <d v="2025-11-13T18:51:04"/>
    <x v="8"/>
    <s v="Plaquettes d'ébauches rhombiques"/>
    <s v="04551FC25C7780"/>
    <s v="CHEDRU VIANNEY"/>
    <n v="10"/>
    <x v="3"/>
    <x v="3"/>
    <s v="PLAQUETTES"/>
    <s v="330x28 RPE KO"/>
    <n v="70"/>
  </r>
  <r>
    <d v="2025-11-13T21:53:46"/>
    <x v="8"/>
    <s v="Plaquettes d'ébauches rhombiques"/>
    <s v="j529800"/>
    <s v="MONTCHARMONT BAPTISTE"/>
    <n v="10"/>
    <x v="0"/>
    <x v="3"/>
    <s v="PLAQUETTES"/>
    <s v="356x26 RPI"/>
    <n v="70"/>
  </r>
  <r>
    <d v="2025-11-13T23:01:12"/>
    <x v="8"/>
    <s v="Plaquettes d'ébauches rhombiques"/>
    <s v="130325"/>
    <s v="PAPONNEAU JULIEN"/>
    <n v="10"/>
    <x v="1"/>
    <x v="2"/>
    <s v="PLAQUETTES"/>
    <s v="304x28 RPE"/>
    <n v="70"/>
  </r>
  <r>
    <d v="2025-11-14T01:23:22"/>
    <x v="8"/>
    <s v="Plaquettes d'ébauches rhombiques"/>
    <s v="U037238"/>
    <s v="PRIEUR OLIVIER"/>
    <n v="10"/>
    <x v="2"/>
    <x v="1"/>
    <s v="PLAQUETTES"/>
    <s v="302x26 RPI"/>
    <n v="70"/>
  </r>
  <r>
    <d v="2025-11-14T05:25:54"/>
    <x v="8"/>
    <s v="Plaquettes d'ébauches rhombiques"/>
    <s v="150725"/>
    <s v="ADOUL WASSIM"/>
    <n v="10"/>
    <x v="1"/>
    <x v="3"/>
    <s v="PLAQUETTES"/>
    <s v="304x28 RPE"/>
    <n v="70"/>
  </r>
  <r>
    <d v="2025-11-14T18:48:57"/>
    <x v="8"/>
    <s v="Plaquettes d'ébauches rhombiques"/>
    <s v="210325"/>
    <s v="DAUTUN ALLAN"/>
    <n v="10"/>
    <x v="2"/>
    <x v="2"/>
    <s v="PLAQUETTES"/>
    <s v="302x26 RPI"/>
    <n v="70"/>
  </r>
  <r>
    <d v="2025-11-14T18:49:24"/>
    <x v="8"/>
    <s v="Plaquettes d'ébauches rhombiques"/>
    <s v="210325"/>
    <s v="DAUTUN ALLAN"/>
    <n v="10"/>
    <x v="2"/>
    <x v="4"/>
    <s v="PLAQUETTES"/>
    <s v="302x26 RPI"/>
    <n v="70"/>
  </r>
  <r>
    <d v="2025-11-14T20:11:12"/>
    <x v="8"/>
    <s v="Plaquettes d'ébauches rhombiques"/>
    <s v="04551FC25C7780"/>
    <s v="CHEDRU VIANNEY"/>
    <n v="10"/>
    <x v="3"/>
    <x v="3"/>
    <s v="PLAQUETTES"/>
    <s v="330x28 RPE KO"/>
    <n v="70"/>
  </r>
  <r>
    <d v="2025-11-15T03:50:53"/>
    <x v="8"/>
    <s v="Plaquettes d'ébauches rhombiques"/>
    <s v="j529800"/>
    <s v="MONTCHARMONT BAPTISTE"/>
    <n v="10"/>
    <x v="0"/>
    <x v="3"/>
    <s v="PLAQUETTES"/>
    <s v="356x26 RPI"/>
    <n v="70"/>
  </r>
  <r>
    <d v="2025-11-15T07:19:21"/>
    <x v="8"/>
    <s v="Plaquettes d'ébauches rhombiques"/>
    <s v="150725"/>
    <s v="ADOUL WASSIM"/>
    <n v="10"/>
    <x v="1"/>
    <x v="3"/>
    <s v="PLAQUETTES"/>
    <s v="304x28 RPE"/>
    <n v="70"/>
  </r>
  <r>
    <d v="2025-11-15T07:20:18"/>
    <x v="8"/>
    <s v="Plaquettes d'ébauches rhombiques"/>
    <s v="150725"/>
    <s v="ADOUL WASSIM"/>
    <n v="10"/>
    <x v="1"/>
    <x v="0"/>
    <s v="PLAQUETTES"/>
    <s v="304x28 RPE"/>
    <n v="70"/>
  </r>
  <r>
    <d v="2025-11-16T03:02:02"/>
    <x v="8"/>
    <s v="Plaquettes d'ébauches rhombiques"/>
    <s v="U080365"/>
    <s v="ALAVOINE SAMUEL"/>
    <n v="10"/>
    <x v="0"/>
    <x v="3"/>
    <s v="PLAQUETTES"/>
    <s v="356x26 RPI"/>
    <n v="70"/>
  </r>
  <r>
    <d v="2025-11-16T03:02:55"/>
    <x v="8"/>
    <s v="Plaquettes d'ébauches rhombiques"/>
    <s v="U080365"/>
    <s v="ALAVOINE SAMUEL"/>
    <n v="10"/>
    <x v="3"/>
    <x v="3"/>
    <s v="PLAQUETTES"/>
    <s v="330x28 RPE KO"/>
    <n v="70"/>
  </r>
  <r>
    <d v="2025-11-16T17:20:17"/>
    <x v="8"/>
    <s v="Plaquettes d'ébauches rhombiques"/>
    <s v="U080365"/>
    <s v="ALAVOINE SAMUEL"/>
    <n v="10"/>
    <x v="0"/>
    <x v="0"/>
    <s v="PLAQUETTES"/>
    <s v="356x26 RPI"/>
    <n v="70"/>
  </r>
  <r>
    <d v="2025-11-16T17:20:45"/>
    <x v="8"/>
    <s v="Plaquettes d'ébauches rhombiques"/>
    <s v="U080365"/>
    <s v="ALAVOINE SAMUEL"/>
    <n v="10"/>
    <x v="3"/>
    <x v="0"/>
    <s v="PLAQUETTES"/>
    <s v="304x28 RPE"/>
    <n v="70"/>
  </r>
  <r>
    <d v="2025-11-17T13:08:56"/>
    <x v="8"/>
    <s v="Plaquettes d'ébauches rhombiques"/>
    <s v="SD75051"/>
    <s v="COMBALUZIER LUCAS"/>
    <n v="10"/>
    <x v="1"/>
    <x v="3"/>
    <s v="PLAQUETTES"/>
    <s v="304x28 RPE"/>
    <n v="70"/>
  </r>
  <r>
    <d v="2025-11-17T21:25:45"/>
    <x v="8"/>
    <s v="Plaquettes d'ébauches rhombiques"/>
    <s v="j529800"/>
    <s v="MONTCHARMONT BAPTISTE"/>
    <n v="10"/>
    <x v="3"/>
    <x v="3"/>
    <s v="PLAQUETTES"/>
    <s v="330x28 RPE KO"/>
    <n v="70"/>
  </r>
  <r>
    <d v="2025-11-18T13:09:12"/>
    <x v="8"/>
    <s v="Plaquettes d'ébauches rhombiques"/>
    <s v="SD75051"/>
    <s v="COMBALUZIER LUCAS"/>
    <n v="10"/>
    <x v="1"/>
    <x v="3"/>
    <s v="PLAQUETTES"/>
    <s v="304x28 RPE"/>
    <n v="70"/>
  </r>
  <r>
    <d v="2025-11-19T00:00:48"/>
    <x v="8"/>
    <s v="Plaquettes d'ébauches rhombiques"/>
    <s v="j529800"/>
    <s v="MONTCHARMONT BAPTISTE"/>
    <n v="10"/>
    <x v="3"/>
    <x v="3"/>
    <s v="PLAQUETTES"/>
    <s v="330x14"/>
    <n v="70"/>
  </r>
  <r>
    <d v="2025-11-19T01:01:31"/>
    <x v="8"/>
    <s v="Plaquettes d'ébauches rhombiques"/>
    <s v="250425"/>
    <s v="CHANDAR ABDER"/>
    <n v="10"/>
    <x v="2"/>
    <x v="4"/>
    <s v="PLAQUETTES"/>
    <s v="302x26 RPI"/>
    <n v="70"/>
  </r>
  <r>
    <d v="2025-11-19T13:28:33"/>
    <x v="8"/>
    <s v="Plaquettes d'ébauches rhombiques"/>
    <s v="SD75051"/>
    <s v="COMBALUZIER LUCAS"/>
    <n v="10"/>
    <x v="1"/>
    <x v="3"/>
    <s v="PLAQUETTES"/>
    <s v="304x28 RPE"/>
    <n v="70"/>
  </r>
  <r>
    <d v="2025-11-19T14:49:00"/>
    <x v="8"/>
    <s v="Plaquettes d'ébauches rhombiques"/>
    <s v="140325"/>
    <s v="BOUCLIER JONATHAN"/>
    <n v="10"/>
    <x v="2"/>
    <x v="2"/>
    <s v="PLAQUETTES"/>
    <s v="302x26 RPI"/>
    <n v="70"/>
  </r>
  <r>
    <d v="2025-11-20T14:38:45"/>
    <x v="8"/>
    <s v="Plaquettes d'ébauches rhombiques"/>
    <s v="040725"/>
    <s v="BARGEOT LUCAS"/>
    <n v="10"/>
    <x v="0"/>
    <x v="3"/>
    <s v="PLAQUETTES"/>
    <s v="356x26 RPI"/>
    <n v="70"/>
  </r>
  <r>
    <d v="2025-11-20T23:52:20"/>
    <x v="8"/>
    <s v="Plaquettes d'ébauches rhombiques"/>
    <s v="j529800"/>
    <s v="MONTCHARMONT BAPTISTE"/>
    <n v="10"/>
    <x v="0"/>
    <x v="3"/>
    <s v="PLAQUETTES"/>
    <s v="356x26 RPI"/>
    <n v="70"/>
  </r>
  <r>
    <d v="2025-11-21T00:10:37"/>
    <x v="8"/>
    <s v="Plaquettes d'ébauches rhombiques"/>
    <s v="250425"/>
    <s v="CHANDAR ABDER"/>
    <n v="10"/>
    <x v="2"/>
    <x v="4"/>
    <s v="PLAQUETTES"/>
    <s v="302x26 RPI"/>
    <n v="70"/>
  </r>
  <r>
    <d v="2025-11-21T09:23:41"/>
    <x v="8"/>
    <s v="Plaquettes d'ébauches rhombiques"/>
    <s v="12824586"/>
    <s v="DA SILVA FERNANDO"/>
    <n v="10"/>
    <x v="1"/>
    <x v="2"/>
    <s v="PLAQUETTES"/>
    <s v="TOUT DISQUES"/>
    <n v="70"/>
  </r>
  <r>
    <d v="2025-11-21T13:15:37"/>
    <x v="8"/>
    <s v="Plaquettes d'ébauches rhombiques"/>
    <s v="040725"/>
    <s v="BARGEOT LUCAS"/>
    <n v="10"/>
    <x v="3"/>
    <x v="3"/>
    <s v="PLAQUETTES"/>
    <s v="330x28 RPE KO"/>
    <n v="70"/>
  </r>
  <r>
    <d v="2025-11-21T21:22:53"/>
    <x v="8"/>
    <s v="Plaquettes d'ébauches rhombiques"/>
    <s v="j529800"/>
    <s v="MONTCHARMONT BAPTISTE"/>
    <n v="10"/>
    <x v="0"/>
    <x v="3"/>
    <s v="PLAQUETTES"/>
    <s v="356x26 RPI"/>
    <n v="70"/>
  </r>
  <r>
    <d v="2025-11-21T23:39:00"/>
    <x v="8"/>
    <s v="Plaquettes d'ébauches rhombiques"/>
    <s v="250425"/>
    <s v="CHANDAR ABDER"/>
    <n v="10"/>
    <x v="2"/>
    <x v="4"/>
    <s v="PLAQUETTES"/>
    <s v="302x26 RPI"/>
    <n v="70"/>
  </r>
  <r>
    <d v="2025-11-23T11:45:41"/>
    <x v="8"/>
    <s v="Plaquettes d'ébauches rhombiques"/>
    <s v="U080365"/>
    <s v="ALAVOINE SAMUEL"/>
    <n v="10"/>
    <x v="0"/>
    <x v="0"/>
    <s v="PLAQUETTES"/>
    <s v="356x26 RPI"/>
    <n v="70"/>
  </r>
  <r>
    <d v="2025-11-23T19:10:06"/>
    <x v="8"/>
    <s v="Plaquettes d'ébauches rhombiques"/>
    <s v="150725"/>
    <s v="ADOUL WASSIM"/>
    <n v="10"/>
    <x v="1"/>
    <x v="3"/>
    <s v="PLAQUETTES"/>
    <s v="304x28 RPE"/>
    <n v="70"/>
  </r>
  <r>
    <d v="2025-11-24T05:02:24"/>
    <x v="8"/>
    <s v="Plaquettes d'ébauches rhombiques"/>
    <s v="140325"/>
    <s v="BOUCLIER JONATHAN"/>
    <n v="10"/>
    <x v="2"/>
    <x v="2"/>
    <s v="PLAQUETTES"/>
    <s v="302x26 RPI"/>
    <n v="70"/>
  </r>
  <r>
    <d v="2025-11-24T05:03:09"/>
    <x v="8"/>
    <s v="Plaquettes d'ébauches rhombiques"/>
    <s v="140325"/>
    <s v="BOUCLIER JONATHAN"/>
    <n v="10"/>
    <x v="2"/>
    <x v="4"/>
    <s v="PLAQUETTES"/>
    <s v="302x26 RPI"/>
    <n v="70"/>
  </r>
  <r>
    <d v="2025-11-24T05:05:25"/>
    <x v="8"/>
    <s v="Plaquettes d'ébauches rhombiques"/>
    <s v="SD75051"/>
    <s v="COMBALUZIER LUCAS"/>
    <n v="10"/>
    <x v="1"/>
    <x v="3"/>
    <s v="PLAQUETTES"/>
    <s v="304x28 RPE"/>
    <n v="70"/>
  </r>
  <r>
    <d v="2025-11-24T05:06:07"/>
    <x v="8"/>
    <s v="Plaquettes d'ébauches rhombiques"/>
    <s v="SD75051"/>
    <s v="COMBALUZIER LUCAS"/>
    <n v="10"/>
    <x v="0"/>
    <x v="0"/>
    <s v="PLAQUETTES"/>
    <s v="304x28 RPE"/>
    <n v="70"/>
  </r>
  <r>
    <d v="2025-11-24T05:12:35"/>
    <x v="8"/>
    <s v="Plaquettes d'ébauches rhombiques"/>
    <s v="040725"/>
    <s v="BARGEOT LUCAS"/>
    <n v="10"/>
    <x v="3"/>
    <x v="3"/>
    <s v="PLAQUETTES"/>
    <s v="330x28 RPE KO"/>
    <n v="70"/>
  </r>
  <r>
    <d v="2025-11-24T07:02:10"/>
    <x v="8"/>
    <s v="Plaquettes d'ébauches rhombiques"/>
    <s v="040725"/>
    <s v="BARGEOT LUCAS"/>
    <n v="10"/>
    <x v="0"/>
    <x v="3"/>
    <s v="PLAQUETTES"/>
    <s v="356x26 RPI"/>
    <n v="70"/>
  </r>
  <r>
    <d v="2025-11-24T07:02:43"/>
    <x v="8"/>
    <s v="Plaquettes d'ébauches rhombiques"/>
    <s v="040725"/>
    <s v="BARGEOT LUCAS"/>
    <n v="10"/>
    <x v="3"/>
    <x v="3"/>
    <s v="PLAQUETTES"/>
    <s v="330x28 RPE KO"/>
    <n v="70"/>
  </r>
  <r>
    <d v="2025-11-24T14:25:36"/>
    <x v="8"/>
    <s v="Plaquettes d'ébauches rhombiques"/>
    <s v="04551FC25C7780"/>
    <s v="CHEDRU VIANNEY"/>
    <n v="10"/>
    <x v="3"/>
    <x v="3"/>
    <s v="PLAQUETTES"/>
    <s v="330x28 RPE KO"/>
    <n v="70"/>
  </r>
  <r>
    <d v="2025-11-24T14:25:55"/>
    <x v="8"/>
    <s v="Plaquettes d'ébauches rhombiques"/>
    <s v="04551FC25C7780"/>
    <s v="CHEDRU VIANNEY"/>
    <n v="10"/>
    <x v="0"/>
    <x v="3"/>
    <s v="PLAQUETTES"/>
    <s v="356x26 RPI"/>
    <n v="70"/>
  </r>
  <r>
    <d v="2025-11-24T21:12:53"/>
    <x v="8"/>
    <s v="Plaquettes d'ébauches rhombiques"/>
    <s v="j529800"/>
    <s v="MONTCHARMONT BAPTISTE"/>
    <n v="10"/>
    <x v="0"/>
    <x v="3"/>
    <s v="PLAQUETTES"/>
    <s v="356x26 RPI"/>
    <n v="70"/>
  </r>
  <r>
    <d v="2025-11-24T21:48:09"/>
    <x v="8"/>
    <s v="Plaquettes d'ébauches rhombiques"/>
    <s v="250425"/>
    <s v="CHANDAR ABDER"/>
    <n v="10"/>
    <x v="2"/>
    <x v="4"/>
    <s v="PLAQUETTES"/>
    <s v="302x26 RPI"/>
    <n v="70"/>
  </r>
  <r>
    <d v="2025-11-25T05:21:03"/>
    <x v="8"/>
    <s v="Plaquettes d'ébauches rhombiques"/>
    <s v="040725"/>
    <s v="BARGEOT LUCAS"/>
    <n v="10"/>
    <x v="0"/>
    <x v="3"/>
    <s v="PLAQUETTES"/>
    <s v="356x26 RPI"/>
    <n v="70"/>
  </r>
  <r>
    <d v="2025-11-25T05:44:37"/>
    <x v="8"/>
    <s v="Plaquettes d'ébauches rhombiques"/>
    <s v="040725"/>
    <s v="BARGEOT LUCAS"/>
    <n v="10"/>
    <x v="3"/>
    <x v="3"/>
    <s v="PLAQUETTES"/>
    <s v="330x28 RPE KO"/>
    <n v="70"/>
  </r>
  <r>
    <d v="2025-11-25T13:16:53"/>
    <x v="8"/>
    <s v="Plaquettes d'ébauches rhombiques"/>
    <s v="210325"/>
    <s v="DAUTUN ALLAN"/>
    <n v="10"/>
    <x v="2"/>
    <x v="2"/>
    <s v="PLAQUETTES"/>
    <s v="302x26 RPI"/>
    <n v="70"/>
  </r>
  <r>
    <d v="2025-11-25T13:17:10"/>
    <x v="8"/>
    <s v="Plaquettes d'ébauches rhombiques"/>
    <s v="210325"/>
    <s v="DAUTUN ALLAN"/>
    <n v="10"/>
    <x v="2"/>
    <x v="4"/>
    <s v="PLAQUETTES"/>
    <s v="302x26 RPI"/>
    <n v="70"/>
  </r>
  <r>
    <d v="2025-11-25T21:25:03"/>
    <x v="8"/>
    <s v="Plaquettes d'ébauches rhombiques"/>
    <s v="j529800"/>
    <s v="MONTCHARMONT BAPTISTE"/>
    <n v="10"/>
    <x v="0"/>
    <x v="3"/>
    <s v="PLAQUETTES"/>
    <s v="356x26 RPI"/>
    <n v="70"/>
  </r>
  <r>
    <d v="2025-11-26T05:06:20"/>
    <x v="8"/>
    <s v="Plaquettes d'ébauches rhombiques"/>
    <s v="SD75051"/>
    <s v="COMBALUZIER LUCAS"/>
    <n v="10"/>
    <x v="1"/>
    <x v="3"/>
    <s v="PLAQUETTES"/>
    <s v="304x28 RPE"/>
    <n v="70"/>
  </r>
  <r>
    <d v="2025-11-26T07:14:28"/>
    <x v="8"/>
    <s v="Plaquettes d'ébauches rhombiques"/>
    <s v="140325"/>
    <s v="BOUCLIER JONATHAN"/>
    <n v="10"/>
    <x v="2"/>
    <x v="4"/>
    <s v="PLAQUETTES"/>
    <s v="302x26 RPI"/>
    <n v="70"/>
  </r>
  <r>
    <d v="2025-11-26T13:11:22"/>
    <x v="8"/>
    <s v="Plaquettes d'ébauches rhombiques"/>
    <s v="04551FC25C7780"/>
    <s v="CHEDRU VIANNEY"/>
    <n v="10"/>
    <x v="0"/>
    <x v="3"/>
    <s v="PLAQUETTES"/>
    <s v="356x26 RPI"/>
    <n v="70"/>
  </r>
  <r>
    <d v="2025-11-26T13:12:50"/>
    <x v="8"/>
    <s v="Plaquettes d'ébauches rhombiques"/>
    <s v="04551FC25C7780"/>
    <s v="CHEDRU VIANNEY"/>
    <n v="10"/>
    <x v="3"/>
    <x v="3"/>
    <s v="PLAQUETTES"/>
    <s v="330x28 RPE KO"/>
    <n v="70"/>
  </r>
  <r>
    <d v="2025-11-26T13:42:47"/>
    <x v="8"/>
    <s v="Plaquettes d'ébauches rhombiques"/>
    <s v="101224"/>
    <s v="CHAZEAU KYLIAN"/>
    <n v="10"/>
    <x v="1"/>
    <x v="3"/>
    <s v="PLAQUETTES"/>
    <s v="304x28 RPE"/>
    <n v="70"/>
  </r>
  <r>
    <d v="2025-11-27T00:35:38"/>
    <x v="8"/>
    <s v="Plaquettes d'ébauches rhombiques"/>
    <s v="j529800"/>
    <s v="MONTCHARMONT BAPTISTE"/>
    <n v="10"/>
    <x v="3"/>
    <x v="3"/>
    <s v="PLAQUETTES"/>
    <s v="330x28 RPE KO"/>
    <n v="70"/>
  </r>
  <r>
    <d v="2025-11-27T08:54:37"/>
    <x v="8"/>
    <s v="Plaquettes d'ébauches rhombiques"/>
    <s v="12824586"/>
    <s v="DA SILVA FERNANDO"/>
    <n v="10"/>
    <x v="2"/>
    <x v="2"/>
    <s v="PLAQUETTES"/>
    <s v="TOUT DISQUES"/>
    <n v="70"/>
  </r>
  <r>
    <d v="2025-11-27T21:12:56"/>
    <x v="8"/>
    <s v="Plaquettes d'ébauches rhombiques"/>
    <s v="j529800"/>
    <s v="MONTCHARMONT BAPTISTE"/>
    <n v="10"/>
    <x v="0"/>
    <x v="3"/>
    <s v="PLAQUETTES"/>
    <s v="356x26 RPI"/>
    <n v="70"/>
  </r>
  <r>
    <d v="2025-11-27T21:23:01"/>
    <x v="8"/>
    <s v="Plaquettes d'ébauches rhombiques"/>
    <s v="250425"/>
    <s v="CHANDAR ABDER"/>
    <n v="10"/>
    <x v="2"/>
    <x v="4"/>
    <s v="PLAQUETTES"/>
    <s v="302x26 RPI"/>
    <n v="70"/>
  </r>
  <r>
    <d v="2025-11-28T06:25:08"/>
    <x v="8"/>
    <s v="Plaquettes d'ébauches rhombiques"/>
    <s v="150725"/>
    <s v="ADOUL WASSIM"/>
    <n v="10"/>
    <x v="1"/>
    <x v="3"/>
    <s v="PLAQUETTES"/>
    <s v="304x28 RPE"/>
    <n v="70"/>
  </r>
  <r>
    <d v="2025-11-28T12:59:38"/>
    <x v="8"/>
    <s v="Plaquettes d'ébauches rhombiques"/>
    <s v="04551FC25C7780"/>
    <s v="CHEDRU VIANNEY"/>
    <n v="10"/>
    <x v="3"/>
    <x v="3"/>
    <s v="PLAQUETTES"/>
    <s v="330x28 RPE KO"/>
    <n v="70"/>
  </r>
  <r>
    <d v="2025-11-28T13:01:10"/>
    <x v="8"/>
    <s v="Plaquettes d'ébauches rhombiques"/>
    <s v="04551FC25C7780"/>
    <s v="CHEDRU VIANNEY"/>
    <n v="10"/>
    <x v="3"/>
    <x v="3"/>
    <s v="PLAQUETTES"/>
    <s v="330x28 RPE KO"/>
    <n v="70"/>
  </r>
  <r>
    <d v="2025-11-28T13:07:34"/>
    <x v="8"/>
    <s v="Plaquettes d'ébauches rhombiques"/>
    <s v="04551FC25C7780"/>
    <s v="CHEDRU VIANNEY"/>
    <n v="10"/>
    <x v="0"/>
    <x v="0"/>
    <s v="PLAQUETTES"/>
    <s v="356x26 RPI"/>
    <n v="70"/>
  </r>
  <r>
    <d v="2025-11-28T13:44:52"/>
    <x v="8"/>
    <s v="Plaquettes d'ébauches rhombiques"/>
    <s v="045C6ECAA77080"/>
    <s v="PERREIRA KEVIN"/>
    <n v="10"/>
    <x v="1"/>
    <x v="0"/>
    <s v="PLAQUETTES"/>
    <s v="304x28 RPE"/>
    <n v="70"/>
  </r>
  <r>
    <d v="2025-11-28T14:25:29"/>
    <x v="8"/>
    <s v="Plaquettes d'ébauches rhombiques"/>
    <s v="04551FC25C7780"/>
    <s v="CHEDRU VIANNEY"/>
    <n v="10"/>
    <x v="0"/>
    <x v="3"/>
    <s v="PLAQUETTES"/>
    <s v="356x26 RPI"/>
    <n v="70"/>
  </r>
  <r>
    <d v="2025-11-30T10:09:43"/>
    <x v="8"/>
    <s v="Plaquettes d'ébauches rhombiques"/>
    <s v="U080365"/>
    <s v="ALAVOINE SAMUEL"/>
    <n v="10"/>
    <x v="3"/>
    <x v="3"/>
    <s v="PLAQUETTES"/>
    <s v="330x28 RPE KO"/>
    <n v="70"/>
  </r>
  <r>
    <d v="2025-11-30T10:10:19"/>
    <x v="8"/>
    <s v="Plaquettes d'ébauches rhombiques"/>
    <s v="U080365"/>
    <s v="ALAVOINE SAMUEL"/>
    <n v="10"/>
    <x v="0"/>
    <x v="3"/>
    <s v="PLAQUETTES"/>
    <s v="356x26 RPI"/>
    <n v="70"/>
  </r>
  <r>
    <d v="2025-12-01T06:30:15"/>
    <x v="8"/>
    <s v="Plaquettes d'ébauches rhombiques"/>
    <s v="045C6ECAA77080"/>
    <s v="PERREIRA KEVIN"/>
    <n v="10"/>
    <x v="1"/>
    <x v="3"/>
    <s v="PLAQUETTES"/>
    <s v="304x28 RPE"/>
    <n v="70"/>
  </r>
  <r>
    <d v="2025-12-01T12:07:51"/>
    <x v="8"/>
    <s v="Plaquettes d'ébauches rhombiques"/>
    <s v="045C6ECAA77080"/>
    <s v="PERREIRA KEVIN"/>
    <n v="10"/>
    <x v="1"/>
    <x v="0"/>
    <s v="PLAQUETTES"/>
    <s v="304x28 RPE"/>
    <n v="70"/>
  </r>
  <r>
    <d v="2025-12-01T13:12:14"/>
    <x v="8"/>
    <s v="Plaquettes d'ébauches rhombiques"/>
    <s v="SD75051"/>
    <s v="COMBALUZIER LUCAS"/>
    <n v="10"/>
    <x v="1"/>
    <x v="0"/>
    <s v="PLAQUETTES"/>
    <s v="304x28 RPE"/>
    <n v="70"/>
  </r>
  <r>
    <d v="2025-12-01T20:22:00"/>
    <x v="8"/>
    <s v="Plaquettes d'ébauches rhombiques"/>
    <s v="SE08251"/>
    <s v="FAYET AYMERIC"/>
    <n v="10"/>
    <x v="0"/>
    <x v="0"/>
    <s v="PLAQUETTES"/>
    <s v="290x12"/>
    <n v="70"/>
  </r>
  <r>
    <d v="2025-12-02T00:55:31"/>
    <x v="8"/>
    <s v="Plaquettes d'ébauches rhombiques"/>
    <s v="j529800"/>
    <s v="MONTCHARMONT BAPTISTE"/>
    <n v="10"/>
    <x v="0"/>
    <x v="3"/>
    <s v="PLAQUETTES"/>
    <s v="356x26 RPI"/>
    <n v="70"/>
  </r>
  <r>
    <d v="2025-12-02T05:34:36"/>
    <x v="8"/>
    <s v="Plaquettes d'ébauches rhombiques"/>
    <s v="045C6ECAA77080"/>
    <s v="PERREIRA KEVIN"/>
    <n v="10"/>
    <x v="1"/>
    <x v="0"/>
    <s v="PLAQUETTES"/>
    <s v="304x28 RPE"/>
    <n v="70"/>
  </r>
  <r>
    <d v="2025-12-02T07:17:52"/>
    <x v="8"/>
    <s v="Plaquettes d'ébauches rhombiques"/>
    <s v="04551FC25C7780"/>
    <s v="CHEDRU VIANNEY"/>
    <n v="10"/>
    <x v="3"/>
    <x v="3"/>
    <s v="PLAQUETTES"/>
    <s v="330x28 RPE KO"/>
    <n v="70"/>
  </r>
  <r>
    <d v="2025-12-02T19:59:40"/>
    <x v="8"/>
    <s v="Plaquettes d'ébauches rhombiques"/>
    <s v="u636817"/>
    <s v="MOCQUEREAU LYDIE"/>
    <n v="10"/>
    <x v="2"/>
    <x v="2"/>
    <s v="PLAQUETTES"/>
    <s v="302x26 RPI"/>
    <n v="70"/>
  </r>
  <r>
    <d v="2025-12-02T20:00:51"/>
    <x v="8"/>
    <s v="Plaquettes d'ébauches rhombiques"/>
    <s v="u636817"/>
    <s v="MOCQUEREAU LYDIE"/>
    <n v="10"/>
    <x v="2"/>
    <x v="4"/>
    <s v="PLAQUETTES"/>
    <s v="302x26 RPI"/>
    <n v="70"/>
  </r>
  <r>
    <d v="2025-12-02T21:27:49"/>
    <x v="8"/>
    <s v="Plaquettes d'ébauches rhombiques"/>
    <s v="j529800"/>
    <s v="MONTCHARMONT BAPTISTE"/>
    <n v="10"/>
    <x v="0"/>
    <x v="3"/>
    <s v="PLAQUETTES"/>
    <s v="356x26 RPI"/>
    <n v="70"/>
  </r>
  <r>
    <d v="2025-12-02T21:59:22"/>
    <x v="8"/>
    <s v="Plaquettes d'ébauches rhombiques"/>
    <s v="250425"/>
    <s v="CHANDAR ABDER"/>
    <n v="10"/>
    <x v="2"/>
    <x v="4"/>
    <s v="PLAQUETTES"/>
    <s v="302x26 RPI"/>
    <n v="70"/>
  </r>
  <r>
    <d v="2025-12-02T23:38:19"/>
    <x v="8"/>
    <s v="Plaquettes d'ébauches rhombiques"/>
    <s v="130325"/>
    <s v="PAPONNEAU JULIEN"/>
    <n v="10"/>
    <x v="1"/>
    <x v="3"/>
    <s v="PLAQUETTES"/>
    <s v="304x28 RPE"/>
    <n v="70"/>
  </r>
  <r>
    <d v="2025-12-03T00:40:29"/>
    <x v="8"/>
    <s v="Plaquettes d'ébauches rhombiques"/>
    <s v="u532976"/>
    <s v="LEFORT XAVIER"/>
    <n v="10"/>
    <x v="0"/>
    <x v="3"/>
    <s v="PLAQUETTES"/>
    <s v="356x26 RPI"/>
    <n v="70"/>
  </r>
  <r>
    <d v="2025-12-03T01:25:36"/>
    <x v="8"/>
    <s v="Plaquettes d'ébauches rhombiques"/>
    <s v="130325"/>
    <s v="PAPONNEAU JULIEN"/>
    <n v="10"/>
    <x v="1"/>
    <x v="3"/>
    <s v="PLAQUETTES"/>
    <s v="304x28 RPE"/>
    <n v="70"/>
  </r>
  <r>
    <d v="2025-12-03T01:25:47"/>
    <x v="8"/>
    <s v="Plaquettes d'ébauches rhombiques"/>
    <s v="130325"/>
    <s v="PAPONNEAU JULIEN"/>
    <n v="10"/>
    <x v="1"/>
    <x v="3"/>
    <s v="PLAQUETTES"/>
    <s v="304x28 RPE"/>
    <n v="70"/>
  </r>
  <r>
    <d v="2025-12-03T01:25:57"/>
    <x v="8"/>
    <s v="Plaquettes d'ébauches rhombiques"/>
    <s v="130325"/>
    <s v="PAPONNEAU JULIEN"/>
    <n v="10"/>
    <x v="1"/>
    <x v="3"/>
    <s v="PLAQUETTES"/>
    <s v="304x28 RPE"/>
    <n v="70"/>
  </r>
  <r>
    <d v="2025-12-03T06:25:22"/>
    <x v="8"/>
    <s v="Plaquettes d'ébauches rhombiques"/>
    <s v="045F69CAA77080"/>
    <s v="TEIXEIRA FLORIAN"/>
    <n v="10"/>
    <x v="2"/>
    <x v="1"/>
    <s v="PLAQUETTES"/>
    <s v="302x26 RPI"/>
    <n v="70"/>
  </r>
  <r>
    <d v="2025-12-03T06:59:42"/>
    <x v="8"/>
    <s v="Plaquettes d'ébauches rhombiques"/>
    <s v="04551FC25C7780"/>
    <s v="CHEDRU VIANNEY"/>
    <n v="10"/>
    <x v="0"/>
    <x v="0"/>
    <s v="PLAQUETTES"/>
    <s v="356x26 RPI"/>
    <n v="70"/>
  </r>
  <r>
    <d v="2025-12-03T07:00:49"/>
    <x v="8"/>
    <s v="Plaquettes d'ébauches rhombiques"/>
    <s v="04551FC25C7780"/>
    <s v="CHEDRU VIANNEY"/>
    <n v="10"/>
    <x v="0"/>
    <x v="0"/>
    <s v="PLAQUETTES"/>
    <s v="356x26 RPI"/>
    <n v="70"/>
  </r>
  <r>
    <d v="2025-12-03T12:23:38"/>
    <x v="8"/>
    <s v="Plaquettes d'ébauches rhombiques"/>
    <s v="210325"/>
    <s v="DAUTUN ALLAN"/>
    <n v="10"/>
    <x v="2"/>
    <x v="2"/>
    <s v="PLAQUETTES"/>
    <s v="302x26 RPI"/>
    <n v="70"/>
  </r>
  <r>
    <d v="2025-12-03T12:23:57"/>
    <x v="8"/>
    <s v="Plaquettes d'ébauches rhombiques"/>
    <s v="210325"/>
    <s v="DAUTUN ALLAN"/>
    <n v="10"/>
    <x v="2"/>
    <x v="2"/>
    <s v="PLAQUETTES"/>
    <s v="302x26 RPI"/>
    <n v="70"/>
  </r>
  <r>
    <d v="2025-12-03T21:12:48"/>
    <x v="8"/>
    <s v="Plaquettes d'ébauches rhombiques"/>
    <s v="j529800"/>
    <s v="MONTCHARMONT BAPTISTE"/>
    <n v="10"/>
    <x v="0"/>
    <x v="3"/>
    <s v="PLAQUETTES"/>
    <s v="356x26 RPI"/>
    <n v="70"/>
  </r>
  <r>
    <d v="2025-12-04T06:40:14"/>
    <x v="8"/>
    <s v="Plaquettes d'ébauches rhombiques"/>
    <s v="04551FC25C7780"/>
    <s v="CHEDRU VIANNEY"/>
    <n v="10"/>
    <x v="3"/>
    <x v="3"/>
    <s v="PLAQUETTES"/>
    <s v="330x28 RPE KO"/>
    <n v="70"/>
  </r>
  <r>
    <d v="2025-12-04T07:12:26"/>
    <x v="8"/>
    <s v="Plaquettes d'ébauches rhombiques"/>
    <s v="045C6ECAA77080"/>
    <s v="PERREIRA KEVIN"/>
    <n v="10"/>
    <x v="1"/>
    <x v="3"/>
    <s v="PLAQUETTES"/>
    <s v="304x28 RPE"/>
    <n v="70"/>
  </r>
  <r>
    <d v="2025-12-04T21:23:52"/>
    <x v="8"/>
    <s v="Plaquettes d'ébauches rhombiques"/>
    <s v="j529800"/>
    <s v="MONTCHARMONT BAPTISTE"/>
    <n v="10"/>
    <x v="0"/>
    <x v="3"/>
    <s v="PLAQUETTES"/>
    <s v="356x26 RPI"/>
    <n v="70"/>
  </r>
  <r>
    <d v="2025-12-04T22:02:19"/>
    <x v="8"/>
    <s v="Plaquettes d'ébauches rhombiques"/>
    <s v="250425"/>
    <s v="CHANDAR ABDER"/>
    <n v="10"/>
    <x v="2"/>
    <x v="4"/>
    <s v="PLAQUETTES"/>
    <s v="302x26 RPI"/>
    <n v="70"/>
  </r>
  <r>
    <d v="2025-12-05T14:18:43"/>
    <x v="8"/>
    <s v="Plaquettes d'ébauches rhombiques"/>
    <s v="040725"/>
    <s v="BARGEOT LUCAS"/>
    <n v="10"/>
    <x v="0"/>
    <x v="3"/>
    <s v="PLAQUETTES"/>
    <s v="356x26 RPI"/>
    <n v="70"/>
  </r>
  <r>
    <d v="2025-12-05T21:19:08"/>
    <x v="8"/>
    <s v="Plaquettes d'ébauches rhombiques"/>
    <s v="j529800"/>
    <s v="MONTCHARMONT BAPTISTE"/>
    <n v="10"/>
    <x v="0"/>
    <x v="3"/>
    <s v="PLAQUETTES"/>
    <s v="356x26 RPI"/>
    <n v="70"/>
  </r>
  <r>
    <d v="2025-12-06T05:11:48"/>
    <x v="8"/>
    <s v="Plaquettes d'ébauches rhombiques"/>
    <s v="U080365"/>
    <s v="ALAVOINE SAMUEL"/>
    <n v="10"/>
    <x v="0"/>
    <x v="3"/>
    <s v="PLAQUETTES"/>
    <s v="356x26 RPI"/>
    <n v="70"/>
  </r>
  <r>
    <d v="2025-12-06T05:12:47"/>
    <x v="8"/>
    <s v="Plaquettes d'ébauches rhombiques"/>
    <s v="U080365"/>
    <s v="ALAVOINE SAMUEL"/>
    <n v="10"/>
    <x v="0"/>
    <x v="0"/>
    <s v="PLAQUETTES"/>
    <s v="356x26 RPI"/>
    <n v="70"/>
  </r>
  <r>
    <d v="2025-12-06T05:14:34"/>
    <x v="8"/>
    <s v="Plaquettes d'ébauches rhombiques"/>
    <s v="U080365"/>
    <s v="ALAVOINE SAMUEL"/>
    <n v="10"/>
    <x v="0"/>
    <x v="0"/>
    <s v="PLAQUETTES"/>
    <s v="356x26 RPI"/>
    <n v="70"/>
  </r>
  <r>
    <d v="2025-12-06T05:50:42"/>
    <x v="8"/>
    <s v="Plaquettes d'ébauches rhombiques"/>
    <s v="DELIAT C"/>
    <s v="DELIAT CHRISTOPHE"/>
    <n v="10"/>
    <x v="1"/>
    <x v="3"/>
    <s v="PLAQUETTES"/>
    <s v="304x28 RPE"/>
    <n v="70"/>
  </r>
  <r>
    <d v="2025-12-06T05:52:34"/>
    <x v="8"/>
    <s v="Plaquettes d'ébauches rhombiques"/>
    <s v="DELIAT C"/>
    <s v="DELIAT CHRISTOPHE"/>
    <n v="10"/>
    <x v="1"/>
    <x v="0"/>
    <s v="PLAQUETTES"/>
    <s v="304x28 RPE"/>
    <n v="70"/>
  </r>
  <r>
    <d v="2025-12-08T06:16:56"/>
    <x v="8"/>
    <s v="Plaquettes d'ébauches rhombiques"/>
    <s v="040725"/>
    <s v="BARGEOT LUCAS"/>
    <n v="10"/>
    <x v="0"/>
    <x v="3"/>
    <s v="PLAQUETTES"/>
    <s v="356x26 RPI"/>
    <n v="70"/>
  </r>
  <r>
    <d v="2025-12-08T15:59:01"/>
    <x v="8"/>
    <s v="Plaquettes d'ébauches rhombiques"/>
    <s v="04551FC25C7780"/>
    <s v="CHEDRU VIANNEY"/>
    <n v="10"/>
    <x v="3"/>
    <x v="3"/>
    <s v="PLAQUETTES"/>
    <s v="330x28 RPE KO"/>
    <n v="70"/>
  </r>
  <r>
    <d v="2025-12-08T15:59:42"/>
    <x v="8"/>
    <s v="Plaquettes d'ébauches rhombiques"/>
    <s v="04551FC25C7780"/>
    <s v="CHEDRU VIANNEY"/>
    <n v="10"/>
    <x v="0"/>
    <x v="0"/>
    <s v="PLAQUETTES"/>
    <s v="356x26 RPI"/>
    <n v="70"/>
  </r>
  <r>
    <d v="2025-12-08T23:29:58"/>
    <x v="8"/>
    <s v="Plaquettes d'ébauches rhombiques"/>
    <s v="130325"/>
    <s v="PAPONNEAU JULIEN"/>
    <n v="10"/>
    <x v="1"/>
    <x v="3"/>
    <s v="PLAQUETTES"/>
    <s v="304x28 RPE"/>
    <n v="70"/>
  </r>
  <r>
    <d v="2025-12-08T23:30:16"/>
    <x v="8"/>
    <s v="Plaquettes d'ébauches rhombiques"/>
    <s v="130325"/>
    <s v="PAPONNEAU JULIEN"/>
    <n v="10"/>
    <x v="1"/>
    <x v="3"/>
    <s v="PLAQUETTES"/>
    <s v="304x28 RPE"/>
    <n v="70"/>
  </r>
  <r>
    <d v="2025-12-09T14:14:34"/>
    <x v="8"/>
    <s v="Plaquettes d'ébauches rhombiques"/>
    <s v="U505000"/>
    <s v="RECEVEUR BENOIT"/>
    <n v="10"/>
    <x v="1"/>
    <x v="3"/>
    <s v="PLAQUETTES"/>
    <s v="304x28 RPE"/>
    <n v="70"/>
  </r>
  <r>
    <d v="2025-12-09T14:35:38"/>
    <x v="8"/>
    <s v="Plaquettes d'ébauches rhombiques"/>
    <s v="04551FC25C7780"/>
    <s v="CHEDRU VIANNEY"/>
    <n v="10"/>
    <x v="0"/>
    <x v="3"/>
    <s v="PLAQUETTES"/>
    <s v="356x26 RPI"/>
    <n v="70"/>
  </r>
  <r>
    <d v="2025-12-10T01:10:55"/>
    <x v="8"/>
    <s v="Plaquettes d'ébauches rhombiques"/>
    <s v="250425"/>
    <s v="CHANDAR ABDER"/>
    <n v="10"/>
    <x v="2"/>
    <x v="2"/>
    <s v="PLAQUETTES"/>
    <s v="302x26 RPI"/>
    <n v="70"/>
  </r>
  <r>
    <d v="2025-12-10T04:06:30"/>
    <x v="8"/>
    <s v="Plaquettes d'ébauches rhombiques"/>
    <s v="j529800"/>
    <s v="MONTCHARMONT BAPTISTE"/>
    <n v="10"/>
    <x v="0"/>
    <x v="3"/>
    <s v="PLAQUETTES"/>
    <s v="356x26 RPI"/>
    <n v="70"/>
  </r>
  <r>
    <d v="2025-12-10T05:11:49"/>
    <x v="8"/>
    <s v="Plaquettes d'ébauches rhombiques"/>
    <s v="140325"/>
    <s v="BOUCLIER JONATHAN"/>
    <n v="10"/>
    <x v="2"/>
    <x v="1"/>
    <s v="PLAQUETTES"/>
    <s v="302x26 RPI"/>
    <n v="70"/>
  </r>
  <r>
    <d v="2025-12-10T18:12:33"/>
    <x v="8"/>
    <s v="Plaquettes d'ébauches rhombiques"/>
    <s v="04551FC25C7780"/>
    <s v="CHEDRU VIANNEY"/>
    <n v="10"/>
    <x v="3"/>
    <x v="3"/>
    <s v="PLAQUETTES"/>
    <s v="330x14"/>
    <n v="70"/>
  </r>
  <r>
    <d v="2025-12-11T01:01:36"/>
    <x v="8"/>
    <s v="Plaquettes d'ébauches rhombiques"/>
    <s v="U037238"/>
    <s v="PRIEUR OLIVIER"/>
    <n v="10"/>
    <x v="2"/>
    <x v="1"/>
    <s v="PLAQUETTES"/>
    <s v="302x26 RPI"/>
    <n v="70"/>
  </r>
  <r>
    <d v="2025-12-11T01:48:31"/>
    <x v="8"/>
    <s v="Plaquettes d'ébauches rhombiques"/>
    <s v="250425"/>
    <s v="CHANDAR ABDER"/>
    <n v="10"/>
    <x v="2"/>
    <x v="4"/>
    <s v="PLAQUETTES"/>
    <s v="302x26 RPI"/>
    <n v="70"/>
  </r>
  <r>
    <d v="2025-12-11T11:15:42"/>
    <x v="8"/>
    <s v="Plaquettes d'ébauches rhombiques"/>
    <s v="040725"/>
    <s v="BARGEOT LUCAS"/>
    <n v="10"/>
    <x v="0"/>
    <x v="0"/>
    <s v="PLAQUETTES"/>
    <s v="356x26 RPI"/>
    <n v="70"/>
  </r>
  <r>
    <d v="2025-12-11T22:22:45"/>
    <x v="8"/>
    <s v="Plaquettes d'ébauches rhombiques"/>
    <s v="j529800"/>
    <s v="MONTCHARMONT BAPTISTE"/>
    <n v="10"/>
    <x v="0"/>
    <x v="3"/>
    <s v="PLAQUETTES"/>
    <s v="356x26 RPI"/>
    <n v="70"/>
  </r>
  <r>
    <d v="2025-12-12T16:56:35"/>
    <x v="8"/>
    <s v="Plaquettes d'ébauches rhombiques"/>
    <s v="04551FC25C7780"/>
    <s v="CHEDRU VIANNEY"/>
    <n v="10"/>
    <x v="0"/>
    <x v="3"/>
    <s v="PLAQUETTES"/>
    <s v="356x26 RPI"/>
    <n v="70"/>
  </r>
  <r>
    <d v="2025-12-12T17:00:04"/>
    <x v="8"/>
    <s v="Plaquettes d'ébauches rhombiques"/>
    <s v="04551FC25C7780"/>
    <s v="CHEDRU VIANNEY"/>
    <n v="10"/>
    <x v="3"/>
    <x v="3"/>
    <s v="PLAQUETTES"/>
    <s v="330x28 RPE KO"/>
    <n v="70"/>
  </r>
  <r>
    <d v="2025-12-13T00:36:17"/>
    <x v="8"/>
    <s v="Plaquettes d'ébauches rhombiques"/>
    <s v="250425"/>
    <s v="CHANDAR ABDER"/>
    <n v="10"/>
    <x v="2"/>
    <x v="4"/>
    <s v="PLAQUETTES"/>
    <s v="302x26 RPI"/>
    <n v="70"/>
  </r>
  <r>
    <d v="2025-12-13T01:36:52"/>
    <x v="8"/>
    <s v="Plaquettes d'ébauches rhombiques"/>
    <s v="130325"/>
    <s v="PAPONNEAU JULIEN"/>
    <n v="10"/>
    <x v="1"/>
    <x v="3"/>
    <s v="PLAQUETTES"/>
    <s v="304x28 RPE"/>
    <n v="70"/>
  </r>
  <r>
    <d v="2025-12-13T19:34:32"/>
    <x v="8"/>
    <s v="Plaquettes d'ébauches rhombiques"/>
    <s v="U080365"/>
    <s v="ALAVOINE SAMUEL"/>
    <n v="10"/>
    <x v="3"/>
    <x v="2"/>
    <s v="PLAQUETTES"/>
    <s v="330x28 RPE KO"/>
    <n v="70"/>
  </r>
  <r>
    <d v="2025-12-13T19:35:15"/>
    <x v="8"/>
    <s v="Plaquettes d'ébauches rhombiques"/>
    <s v="U080365"/>
    <s v="ALAVOINE SAMUEL"/>
    <n v="10"/>
    <x v="0"/>
    <x v="3"/>
    <s v="PLAQUETTES"/>
    <s v="356x26 RPI"/>
    <n v="70"/>
  </r>
  <r>
    <d v="2025-12-13T19:35:48"/>
    <x v="8"/>
    <s v="Plaquettes d'ébauches rhombiques"/>
    <s v="U080365"/>
    <s v="ALAVOINE SAMUEL"/>
    <n v="10"/>
    <x v="3"/>
    <x v="3"/>
    <s v="PLAQUETTES"/>
    <s v="330x28 RPE KO"/>
    <n v="70"/>
  </r>
  <r>
    <d v="2025-12-15T05:29:31"/>
    <x v="8"/>
    <s v="Plaquettes d'ébauches rhombiques"/>
    <s v="045C6ECAA77080"/>
    <s v="PERREIRA KEVIN"/>
    <n v="10"/>
    <x v="1"/>
    <x v="3"/>
    <s v="PLAQUETTES"/>
    <s v="356x26 RPI"/>
    <n v="70"/>
  </r>
  <r>
    <d v="2025-12-15T12:18:25"/>
    <x v="8"/>
    <s v="Plaquettes d'ébauches rhombiques"/>
    <s v="210325"/>
    <s v="DAUTUN ALLAN"/>
    <n v="10"/>
    <x v="2"/>
    <x v="2"/>
    <s v="PLAQUETTES"/>
    <s v="302x26 RPI"/>
    <n v="70"/>
  </r>
  <r>
    <d v="2025-12-15T12:18:51"/>
    <x v="8"/>
    <s v="Plaquettes d'ébauches rhombiques"/>
    <s v="210325"/>
    <s v="DAUTUN ALLAN"/>
    <n v="10"/>
    <x v="2"/>
    <x v="4"/>
    <s v="PLAQUETTES"/>
    <s v="302x26 RPI"/>
    <n v="70"/>
  </r>
  <r>
    <d v="2025-12-15T21:24:34"/>
    <x v="8"/>
    <s v="Plaquettes d'ébauches rhombiques"/>
    <s v="j529800"/>
    <s v="MONTCHARMONT BAPTISTE"/>
    <n v="10"/>
    <x v="0"/>
    <x v="3"/>
    <s v="PLAQUETTES"/>
    <s v="356x26 RPI"/>
    <n v="70"/>
  </r>
  <r>
    <d v="2025-12-16T05:51:05"/>
    <x v="8"/>
    <s v="Plaquettes d'ébauches rhombiques"/>
    <s v="04551FC25C7780"/>
    <s v="CHEDRU VIANNEY"/>
    <n v="10"/>
    <x v="0"/>
    <x v="3"/>
    <s v="PLAQUETTES"/>
    <s v="356x26 RPI"/>
    <n v="70"/>
  </r>
  <r>
    <d v="2025-12-16T05:51:53"/>
    <x v="8"/>
    <s v="Plaquettes d'ébauches rhombiques"/>
    <s v="04551FC25C7780"/>
    <s v="CHEDRU VIANNEY"/>
    <n v="10"/>
    <x v="0"/>
    <x v="0"/>
    <s v="PLAQUETTES"/>
    <s v="356x26 RPI"/>
    <n v="70"/>
  </r>
  <r>
    <d v="2025-12-16T12:58:36"/>
    <x v="8"/>
    <s v="Plaquettes d'ébauches rhombiques"/>
    <s v="140325"/>
    <s v="BOUCLIER JONATHAN"/>
    <n v="10"/>
    <x v="2"/>
    <x v="2"/>
    <s v="PLAQUETTES"/>
    <s v="302x26 RPI"/>
    <n v="70"/>
  </r>
  <r>
    <d v="2025-12-16T13:05:45"/>
    <x v="8"/>
    <s v="Plaquettes d'ébauches rhombiques"/>
    <s v="SD75051"/>
    <s v="COMBALUZIER LUCAS"/>
    <n v="10"/>
    <x v="1"/>
    <x v="3"/>
    <s v="PLAQUETTES"/>
    <s v="356x26 RPI"/>
    <n v="70"/>
  </r>
  <r>
    <d v="2025-12-16T13:13:01"/>
    <x v="8"/>
    <s v="Plaquettes d'ébauches rhombiques"/>
    <s v="u636817"/>
    <s v="MOCQUEREAU LYDIE"/>
    <n v="10"/>
    <x v="2"/>
    <x v="1"/>
    <s v="PLAQUETTES"/>
    <s v="302x26 RPI"/>
    <n v="70"/>
  </r>
  <r>
    <d v="2025-12-16T13:13:38"/>
    <x v="8"/>
    <s v="Plaquettes d'ébauches rhombiques"/>
    <s v="u636817"/>
    <s v="MOCQUEREAU LYDIE"/>
    <n v="10"/>
    <x v="2"/>
    <x v="1"/>
    <s v="PLAQUETTES"/>
    <s v="302x26 RPI"/>
    <n v="70"/>
  </r>
  <r>
    <d v="2025-12-16T22:10:44"/>
    <x v="8"/>
    <s v="Plaquettes d'ébauches rhombiques"/>
    <s v="j529800"/>
    <s v="MONTCHARMONT BAPTISTE"/>
    <n v="10"/>
    <x v="0"/>
    <x v="3"/>
    <s v="PLAQUETTES"/>
    <s v="330x14"/>
    <n v="70"/>
  </r>
  <r>
    <d v="2025-12-16T23:50:17"/>
    <x v="8"/>
    <s v="Plaquettes d'ébauches rhombiques"/>
    <s v="250425"/>
    <s v="CHANDAR ABDER"/>
    <n v="10"/>
    <x v="2"/>
    <x v="4"/>
    <s v="PLAQUETTES"/>
    <s v="302x26 RPI"/>
    <n v="70"/>
  </r>
  <r>
    <d v="2025-12-17T21:15:59"/>
    <x v="8"/>
    <s v="Plaquettes d'ébauches rhombiques"/>
    <s v="j529800"/>
    <s v="MONTCHARMONT BAPTISTE"/>
    <n v="10"/>
    <x v="3"/>
    <x v="3"/>
    <s v="PLAQUETTES"/>
    <s v="330x28 RPE KO"/>
    <n v="70"/>
  </r>
  <r>
    <d v="2025-12-18T04:15:51"/>
    <x v="8"/>
    <s v="Plaquettes d'ébauches rhombiques"/>
    <s v="j529800"/>
    <s v="MONTCHARMONT BAPTISTE"/>
    <n v="10"/>
    <x v="0"/>
    <x v="3"/>
    <s v="PLAQUETTES"/>
    <s v="356x26 RPI"/>
    <n v="70"/>
  </r>
  <r>
    <d v="2025-12-18T05:54:39"/>
    <x v="8"/>
    <s v="Plaquettes d'ébauches rhombiques"/>
    <s v="045C6ECAA77080"/>
    <s v="PERREIRA KEVIN"/>
    <n v="10"/>
    <x v="1"/>
    <x v="3"/>
    <s v="PLAQUETTES"/>
    <s v="356x26 RPI"/>
    <n v="70"/>
  </r>
  <r>
    <d v="2025-12-18T08:38:48"/>
    <x v="8"/>
    <s v="Plaquettes d'ébauches rhombiques"/>
    <s v="045F69CAA77080"/>
    <s v="TEIXEIRA FLORIAN"/>
    <n v="10"/>
    <x v="2"/>
    <x v="1"/>
    <s v="PLAQUETTES"/>
    <s v="302x26 RPI"/>
    <n v="70"/>
  </r>
  <r>
    <d v="2025-12-18T11:17:32"/>
    <x v="8"/>
    <s v="Plaquettes d'ébauches rhombiques"/>
    <s v="210325"/>
    <s v="DAUTUN ALLAN"/>
    <n v="10"/>
    <x v="2"/>
    <x v="2"/>
    <s v="PLAQUETTES"/>
    <s v="302x26 RPI"/>
    <n v="70"/>
  </r>
  <r>
    <d v="2025-12-18T14:31:14"/>
    <x v="8"/>
    <s v="Plaquettes d'ébauches rhombiques"/>
    <s v="040725"/>
    <s v="BARGEOT LUCAS"/>
    <n v="10"/>
    <x v="0"/>
    <x v="3"/>
    <s v="PLAQUETTES"/>
    <s v="330x14"/>
    <n v="70"/>
  </r>
  <r>
    <d v="2025-12-18T19:41:30"/>
    <x v="8"/>
    <s v="Plaquettes d'ébauches rhombiques"/>
    <s v="SE08251"/>
    <s v="FAYET AYMERIC"/>
    <n v="10"/>
    <x v="1"/>
    <x v="3"/>
    <s v="PLAQUETTES"/>
    <s v="356x26 RPI"/>
    <n v="70"/>
  </r>
  <r>
    <d v="2025-12-19T13:17:32"/>
    <x v="8"/>
    <s v="Plaquettes d'ébauches rhombiques"/>
    <s v="040725"/>
    <s v="BARGEOT LUCAS"/>
    <n v="10"/>
    <x v="0"/>
    <x v="3"/>
    <s v="PLAQUETTES"/>
    <s v="330x14"/>
    <n v="70"/>
  </r>
  <r>
    <d v="2025-12-19T13:17:49"/>
    <x v="8"/>
    <s v="Plaquettes d'ébauches rhombiques"/>
    <s v="040725"/>
    <s v="BARGEOT LUCAS"/>
    <n v="10"/>
    <x v="3"/>
    <x v="3"/>
    <s v="PLAQUETTES"/>
    <s v="330x28 RPE KO"/>
    <n v="70"/>
  </r>
  <r>
    <d v="2025-12-19T13:43:08"/>
    <x v="8"/>
    <s v="Plaquettes d'ébauches rhombiques"/>
    <s v="040725"/>
    <s v="BARGEOT LUCAS"/>
    <n v="10"/>
    <x v="3"/>
    <x v="3"/>
    <s v="PLAQUETTES"/>
    <s v="330x28 RPE KO"/>
    <n v="70"/>
  </r>
  <r>
    <d v="2025-12-20T00:32:27"/>
    <x v="8"/>
    <s v="Plaquettes d'ébauches rhombiques"/>
    <s v="250425"/>
    <s v="CHANDAR ABDER"/>
    <n v="10"/>
    <x v="2"/>
    <x v="4"/>
    <s v="PLAQUETTES"/>
    <s v="302x26 RPI"/>
    <n v="70"/>
  </r>
  <r>
    <d v="2025-12-20T03:13:03"/>
    <x v="8"/>
    <s v="Plaquettes d'ébauches rhombiques"/>
    <s v="j529800"/>
    <s v="MONTCHARMONT BAPTISTE"/>
    <n v="10"/>
    <x v="0"/>
    <x v="3"/>
    <s v="PLAQUETTES"/>
    <s v="356x26 RPI"/>
    <n v="70"/>
  </r>
  <r>
    <d v="2025-12-22T05:37:30"/>
    <x v="8"/>
    <s v="Plaquettes d'ébauches rhombiques"/>
    <s v="SE08251"/>
    <s v="FAYET AYMERIC"/>
    <n v="10"/>
    <x v="1"/>
    <x v="3"/>
    <s v="PLAQUETTES"/>
    <s v="356x26 RPI"/>
    <n v="70"/>
  </r>
  <r>
    <d v="2025-12-22T05:39:12"/>
    <x v="8"/>
    <s v="Plaquettes d'ébauches rhombiques"/>
    <s v="SE08251"/>
    <s v="FAYET AYMERIC"/>
    <n v="10"/>
    <x v="1"/>
    <x v="0"/>
    <s v="PLAQUETTES"/>
    <s v="356x26 RPI"/>
    <n v="70"/>
  </r>
  <r>
    <d v="2025-12-22T06:10:37"/>
    <x v="8"/>
    <s v="Plaquettes d'ébauches rhombiques"/>
    <s v="040725"/>
    <s v="BARGEOT LUCAS"/>
    <n v="10"/>
    <x v="0"/>
    <x v="3"/>
    <s v="PLAQUETTES"/>
    <s v="330x14"/>
    <n v="70"/>
  </r>
  <r>
    <d v="2025-12-22T06:10:51"/>
    <x v="8"/>
    <s v="Plaquettes d'ébauches rhombiques"/>
    <s v="040725"/>
    <s v="BARGEOT LUCAS"/>
    <n v="10"/>
    <x v="3"/>
    <x v="3"/>
    <s v="PLAQUETTES"/>
    <s v="330x28 RPE KO"/>
    <n v="70"/>
  </r>
  <r>
    <d v="2025-12-22T13:20:00"/>
    <x v="8"/>
    <s v="Plaquettes d'ébauches rhombiques"/>
    <s v="04551FC25C7780"/>
    <s v="CHEDRU VIANNEY"/>
    <n v="10"/>
    <x v="3"/>
    <x v="3"/>
    <s v="PLAQUETTES"/>
    <s v="330x28 RPE KO"/>
    <n v="70"/>
  </r>
  <r>
    <d v="2025-12-22T21:36:01"/>
    <x v="8"/>
    <s v="Plaquettes d'ébauches rhombiques"/>
    <s v="250425"/>
    <s v="CHANDAR ABDER"/>
    <n v="10"/>
    <x v="2"/>
    <x v="4"/>
    <s v="PLAQUETTES"/>
    <s v="302x26 RPI"/>
    <n v="70"/>
  </r>
  <r>
    <d v="2025-12-23T05:54:47"/>
    <x v="8"/>
    <s v="Plaquettes d'ébauches rhombiques"/>
    <s v="040725"/>
    <s v="BARGEOT LUCAS"/>
    <n v="10"/>
    <x v="0"/>
    <x v="3"/>
    <s v="PLAQUETTES"/>
    <s v="330x14"/>
    <n v="70"/>
  </r>
  <r>
    <d v="2025-12-23T05:55:43"/>
    <x v="8"/>
    <s v="Plaquettes d'ébauches rhombiques"/>
    <s v="040725"/>
    <s v="BARGEOT LUCAS"/>
    <n v="10"/>
    <x v="3"/>
    <x v="3"/>
    <s v="PLAQUETTES"/>
    <s v="330x14"/>
    <n v="70"/>
  </r>
  <r>
    <d v="2025-12-23T05:56:20"/>
    <x v="8"/>
    <s v="Plaquettes d'ébauches rhombiques"/>
    <s v="040725"/>
    <s v="BARGEOT LUCAS"/>
    <n v="10"/>
    <x v="0"/>
    <x v="3"/>
    <s v="PLAQUETTES"/>
    <s v="330x14"/>
    <n v="70"/>
  </r>
  <r>
    <d v="2025-01-14T22:17:54"/>
    <x v="9"/>
    <s v="Plaquettes rhombiques"/>
    <s v="101224"/>
    <s v="CHAZEAU KYLIAN"/>
    <n v="10"/>
    <x v="3"/>
    <x v="0"/>
    <s v="PLAQUETTES"/>
    <s v="330x28 RPE KO"/>
    <n v="36.799999999999997"/>
  </r>
  <r>
    <d v="2025-01-16T21:09:32"/>
    <x v="9"/>
    <s v="Plaquettes rhombiques"/>
    <s v="130124"/>
    <s v="MOHAMED ILDIRAY"/>
    <n v="5"/>
    <x v="1"/>
    <x v="0"/>
    <s v="PLAQUETTES"/>
    <s v="304x28 RPE"/>
    <n v="18.399999999999999"/>
  </r>
  <r>
    <d v="2025-01-19T17:08:56"/>
    <x v="9"/>
    <s v="Plaquettes rhombiques"/>
    <s v="U109136"/>
    <s v="WIPLIE FREDERIC"/>
    <n v="10"/>
    <x v="1"/>
    <x v="0"/>
    <s v="PLAQUETTES"/>
    <s v="304x28 RPE"/>
    <n v="36.799999999999997"/>
  </r>
  <r>
    <d v="2025-01-21T05:33:44"/>
    <x v="9"/>
    <s v="Plaquettes rhombiques"/>
    <s v="SD75051"/>
    <s v="COMBALUZIER LUCAS"/>
    <n v="5"/>
    <x v="1"/>
    <x v="0"/>
    <s v="PLAQUETTES"/>
    <s v="304x28 RPE"/>
    <n v="18.399999999999999"/>
  </r>
  <r>
    <d v="2025-01-23T13:12:23"/>
    <x v="9"/>
    <s v="Plaquettes rhombiques"/>
    <s v="130124"/>
    <s v="MOHAMED ILDIRAY"/>
    <n v="5"/>
    <x v="1"/>
    <x v="0"/>
    <s v="PLAQUETTES"/>
    <s v="304x28 RPE"/>
    <n v="18.399999999999999"/>
  </r>
  <r>
    <d v="2025-01-31T07:26:33"/>
    <x v="9"/>
    <s v="Plaquettes rhombiques"/>
    <s v="U109136"/>
    <s v="WIPLIE FREDERIC"/>
    <n v="10"/>
    <x v="1"/>
    <x v="0"/>
    <s v="PLAQUETTES"/>
    <s v="304x28 RPE"/>
    <n v="36.799999999999997"/>
  </r>
  <r>
    <d v="2025-02-04T20:17:24"/>
    <x v="9"/>
    <s v="Plaquettes rhombiques"/>
    <s v="SC95213"/>
    <s v="RABET PAULINE"/>
    <n v="5"/>
    <x v="0"/>
    <x v="0"/>
    <s v="PLAQUETTES"/>
    <s v="304x28 RPE"/>
    <n v="18.399999999999999"/>
  </r>
  <r>
    <d v="2025-02-07T07:17:05"/>
    <x v="9"/>
    <s v="Plaquettes rhombiques"/>
    <s v="U080365"/>
    <s v="ALAVOINE SAMUEL"/>
    <n v="10"/>
    <x v="1"/>
    <x v="0"/>
    <s v="PLAQUETTES"/>
    <s v="304x28 RPE"/>
    <n v="36.799999999999997"/>
  </r>
  <r>
    <d v="2025-02-10T10:37:42"/>
    <x v="9"/>
    <s v="Plaquettes rhombiques"/>
    <s v="SD75051"/>
    <s v="COMBALUZIER LUCAS"/>
    <n v="5"/>
    <x v="1"/>
    <x v="0"/>
    <s v="PLAQUETTES"/>
    <s v="356x26 RPI"/>
    <n v="18.399999999999999"/>
  </r>
  <r>
    <d v="2025-02-11T08:35:21"/>
    <x v="9"/>
    <s v="Plaquettes rhombiques"/>
    <s v="SD75051"/>
    <s v="COMBALUZIER LUCAS"/>
    <n v="5"/>
    <x v="1"/>
    <x v="0"/>
    <s v="PLAQUETTES"/>
    <s v="356x26 RPI"/>
    <n v="18.399999999999999"/>
  </r>
  <r>
    <d v="2025-02-12T13:22:44"/>
    <x v="9"/>
    <s v="Plaquettes rhombiques"/>
    <s v="130124"/>
    <s v="MOHAMED ILDIRAY"/>
    <n v="5"/>
    <x v="1"/>
    <x v="0"/>
    <s v="PLAQUETTES"/>
    <s v="356x26 RPI"/>
    <n v="18.399999999999999"/>
  </r>
  <r>
    <d v="2025-02-14T13:06:38"/>
    <x v="9"/>
    <s v="Plaquettes rhombiques"/>
    <s v="130124"/>
    <s v="MOHAMED ILDIRAY"/>
    <n v="5"/>
    <x v="1"/>
    <x v="0"/>
    <s v="PLAQUETTES"/>
    <s v="304x28 RPE"/>
    <n v="18.399999999999999"/>
  </r>
  <r>
    <d v="2025-02-16T23:46:33"/>
    <x v="9"/>
    <s v="Plaquettes rhombiques"/>
    <s v="U109136"/>
    <s v="WIPLIE FREDERIC"/>
    <n v="5"/>
    <x v="1"/>
    <x v="0"/>
    <s v="PLAQUETTES"/>
    <s v="304x28 RPE"/>
    <n v="18.399999999999999"/>
  </r>
  <r>
    <d v="2025-02-17T21:13:36"/>
    <x v="9"/>
    <s v="Plaquettes rhombiques"/>
    <s v="SD75051"/>
    <s v="COMBALUZIER LUCAS"/>
    <n v="5"/>
    <x v="1"/>
    <x v="0"/>
    <s v="PLAQUETTES"/>
    <s v="304x28 RPE"/>
    <n v="18.399999999999999"/>
  </r>
  <r>
    <d v="2025-02-19T18:20:35"/>
    <x v="9"/>
    <s v="Plaquettes rhombiques"/>
    <s v="280225"/>
    <s v="FERNANDES DOS SANTOS REMY"/>
    <n v="5"/>
    <x v="1"/>
    <x v="0"/>
    <s v="PLAQUETTES"/>
    <s v="304x28 RPE"/>
    <n v="18.399999999999999"/>
  </r>
  <r>
    <d v="2025-02-20T19:02:49"/>
    <x v="9"/>
    <s v="Plaquettes rhombiques"/>
    <s v="280225"/>
    <s v="FERNANDES DOS SANTOS REMY"/>
    <n v="5"/>
    <x v="1"/>
    <x v="0"/>
    <s v="PLAQUETTES"/>
    <s v="304x28 RPE"/>
    <n v="18.399999999999999"/>
  </r>
  <r>
    <d v="2025-02-24T02:54:34"/>
    <x v="9"/>
    <s v="Plaquettes rhombiques"/>
    <s v="U080365"/>
    <s v="ALAVOINE SAMUEL"/>
    <n v="5"/>
    <x v="1"/>
    <x v="0"/>
    <s v="PLAQUETTES"/>
    <s v="304x28 RPE"/>
    <n v="18.399999999999999"/>
  </r>
  <r>
    <d v="2025-02-25T05:36:32"/>
    <x v="9"/>
    <s v="Plaquettes rhombiques"/>
    <s v="280225"/>
    <s v="FERNANDES DOS SANTOS REMY"/>
    <n v="5"/>
    <x v="1"/>
    <x v="0"/>
    <s v="PLAQUETTES"/>
    <s v="304x28 RPE"/>
    <n v="18.399999999999999"/>
  </r>
  <r>
    <d v="2025-02-26T05:53:51"/>
    <x v="9"/>
    <s v="Plaquettes rhombiques"/>
    <s v="280225"/>
    <s v="FERNANDES DOS SANTOS REMY"/>
    <n v="5"/>
    <x v="1"/>
    <x v="0"/>
    <s v="PLAQUETTES"/>
    <s v="304x28 RPE"/>
    <n v="18.399999999999999"/>
  </r>
  <r>
    <d v="2025-02-28T13:54:43"/>
    <x v="9"/>
    <s v="Plaquettes rhombiques"/>
    <s v="SD75051"/>
    <s v="COMBALUZIER LUCAS"/>
    <n v="5"/>
    <x v="1"/>
    <x v="0"/>
    <s v="PLAQUETTES"/>
    <s v="304x28 RPE"/>
    <n v="18.399999999999999"/>
  </r>
  <r>
    <d v="2025-03-03T05:47:31"/>
    <x v="9"/>
    <s v="Plaquettes rhombiques"/>
    <s v="7236310"/>
    <s v="BRANDALY JEREMY"/>
    <n v="5"/>
    <x v="0"/>
    <x v="0"/>
    <s v="PLAQUETTES"/>
    <s v="356x26 RPI"/>
    <n v="18.399999999999999"/>
  </r>
  <r>
    <d v="2025-03-03T07:21:13"/>
    <x v="9"/>
    <s v="Plaquettes rhombiques"/>
    <s v="SD75051"/>
    <s v="COMBALUZIER LUCAS"/>
    <n v="5"/>
    <x v="1"/>
    <x v="0"/>
    <s v="PLAQUETTES"/>
    <s v="304x28 RPE"/>
    <n v="18.399999999999999"/>
  </r>
  <r>
    <d v="2025-03-04T07:20:50"/>
    <x v="9"/>
    <s v="Plaquettes rhombiques"/>
    <s v="130325"/>
    <s v="PAPONNEAU JULIEN"/>
    <n v="5"/>
    <x v="1"/>
    <x v="0"/>
    <s v="PLAQUETTES"/>
    <s v="304x28 RPE"/>
    <n v="18.399999999999999"/>
  </r>
  <r>
    <d v="2025-03-05T00:35:32"/>
    <x v="9"/>
    <s v="Plaquettes rhombiques"/>
    <s v="SE08251"/>
    <s v="FAYET AYMERIC"/>
    <n v="5"/>
    <x v="0"/>
    <x v="0"/>
    <s v="PLAQUETTES"/>
    <s v="356x26 RPI"/>
    <n v="18.399999999999999"/>
  </r>
  <r>
    <d v="2025-03-05T22:21:44"/>
    <x v="9"/>
    <s v="Plaquettes rhombiques"/>
    <s v="280225"/>
    <s v="FERNANDES DOS SANTOS REMY"/>
    <n v="5"/>
    <x v="1"/>
    <x v="0"/>
    <s v="PLAQUETTES"/>
    <s v="304x28 RPE"/>
    <n v="18.399999999999999"/>
  </r>
  <r>
    <d v="2025-03-08T01:25:39"/>
    <x v="9"/>
    <s v="Plaquettes rhombiques"/>
    <s v="280225"/>
    <s v="FERNANDES DOS SANTOS REMY"/>
    <n v="5"/>
    <x v="1"/>
    <x v="0"/>
    <s v="PLAQUETTES"/>
    <s v="304x28 RPE"/>
    <n v="18.399999999999999"/>
  </r>
  <r>
    <d v="2025-03-10T17:11:48"/>
    <x v="9"/>
    <s v="Plaquettes rhombiques"/>
    <s v="280225"/>
    <s v="FERNANDES DOS SANTOS REMY"/>
    <n v="5"/>
    <x v="1"/>
    <x v="0"/>
    <s v="PLAQUETTES"/>
    <s v="304x28 RPE"/>
    <n v="18.399999999999999"/>
  </r>
  <r>
    <d v="2025-03-12T00:56:26"/>
    <x v="9"/>
    <s v="Plaquettes rhombiques"/>
    <s v="SD75051"/>
    <s v="COMBALUZIER LUCAS"/>
    <n v="5"/>
    <x v="1"/>
    <x v="0"/>
    <s v="PLAQUETTES"/>
    <s v="304x28 RPE"/>
    <n v="18.399999999999999"/>
  </r>
  <r>
    <d v="2025-03-13T00:31:30"/>
    <x v="9"/>
    <s v="Plaquettes rhombiques"/>
    <s v="130325"/>
    <s v="PAPONNEAU JULIEN"/>
    <n v="5"/>
    <x v="1"/>
    <x v="0"/>
    <s v="PLAQUETTES"/>
    <s v="304x28 RPE"/>
    <n v="18.399999999999999"/>
  </r>
  <r>
    <d v="2025-03-14T17:09:04"/>
    <x v="9"/>
    <s v="Plaquettes rhombiques"/>
    <s v="SE08251"/>
    <s v="FAYET AYMERIC"/>
    <n v="5"/>
    <x v="0"/>
    <x v="0"/>
    <s v="PLAQUETTES"/>
    <s v="356x26 RPI"/>
    <n v="18.399999999999999"/>
  </r>
  <r>
    <d v="2025-03-16T18:04:36"/>
    <x v="9"/>
    <s v="Plaquettes rhombiques"/>
    <s v="1234"/>
    <s v=" "/>
    <n v="5"/>
    <x v="1"/>
    <x v="0"/>
    <s v="PLAQUETTES"/>
    <s v="304x28 RPE"/>
    <n v="18.399999999999999"/>
  </r>
  <r>
    <d v="2025-03-17T21:38:54"/>
    <x v="9"/>
    <s v="Plaquettes rhombiques"/>
    <s v="101224"/>
    <s v="CHAZEAU KYLIAN"/>
    <n v="5"/>
    <x v="0"/>
    <x v="0"/>
    <s v="PLAQUETTES"/>
    <s v="356x26 RPI"/>
    <n v="18.399999999999999"/>
  </r>
  <r>
    <d v="2025-03-18T07:24:23"/>
    <x v="9"/>
    <s v="Plaquettes rhombiques"/>
    <s v="280225"/>
    <s v="FERNANDES DOS SANTOS REMY"/>
    <n v="5"/>
    <x v="1"/>
    <x v="0"/>
    <s v="PLAQUETTES"/>
    <s v="304x28 RPE"/>
    <n v="18.399999999999999"/>
  </r>
  <r>
    <d v="2025-03-19T13:43:29"/>
    <x v="9"/>
    <s v="Plaquettes rhombiques"/>
    <s v="130325"/>
    <s v="PAPONNEAU JULIEN"/>
    <n v="5"/>
    <x v="1"/>
    <x v="0"/>
    <s v="PLAQUETTES"/>
    <s v="304x28 RPE"/>
    <n v="18.399999999999999"/>
  </r>
  <r>
    <d v="2025-03-19T21:49:42"/>
    <x v="9"/>
    <s v="Plaquettes rhombiques"/>
    <s v="101224"/>
    <s v="CHAZEAU KYLIAN"/>
    <n v="5"/>
    <x v="0"/>
    <x v="0"/>
    <s v="PLAQUETTES"/>
    <s v="356x26 RPI"/>
    <n v="18.399999999999999"/>
  </r>
  <r>
    <d v="2025-03-21T13:13:50"/>
    <x v="9"/>
    <s v="Plaquettes rhombiques"/>
    <s v="130325"/>
    <s v="PAPONNEAU JULIEN"/>
    <n v="5"/>
    <x v="1"/>
    <x v="0"/>
    <s v="PLAQUETTES"/>
    <s v="304x28 RPE"/>
    <n v="18.399999999999999"/>
  </r>
  <r>
    <d v="2025-03-24T05:24:07"/>
    <x v="9"/>
    <s v="Plaquettes rhombiques"/>
    <s v="130325"/>
    <s v="PAPONNEAU JULIEN"/>
    <n v="5"/>
    <x v="1"/>
    <x v="0"/>
    <s v="PLAQUETTES"/>
    <s v="304x28 RPE"/>
    <n v="18.399999999999999"/>
  </r>
  <r>
    <d v="2025-03-26T06:32:52"/>
    <x v="9"/>
    <s v="Plaquettes rhombiques"/>
    <s v="130325"/>
    <s v="PAPONNEAU JULIEN"/>
    <n v="5"/>
    <x v="1"/>
    <x v="0"/>
    <s v="PLAQUETTES"/>
    <s v="304x28 RPE"/>
    <n v="18.399999999999999"/>
  </r>
  <r>
    <d v="2025-03-27T06:19:13"/>
    <x v="9"/>
    <s v="Plaquettes rhombiques"/>
    <s v="130325"/>
    <s v="PAPONNEAU JULIEN"/>
    <n v="5"/>
    <x v="1"/>
    <x v="0"/>
    <s v="PLAQUETTES"/>
    <s v="304x28 RPE"/>
    <n v="18.399999999999999"/>
  </r>
  <r>
    <d v="2025-03-27T13:15:06"/>
    <x v="9"/>
    <s v="Plaquettes rhombiques"/>
    <s v="130124"/>
    <s v="MOHAMED ILDIRAY"/>
    <n v="5"/>
    <x v="1"/>
    <x v="0"/>
    <s v="PLAQUETTES"/>
    <s v="304x28 RPE"/>
    <n v="18.399999999999999"/>
  </r>
  <r>
    <d v="2025-03-28T04:47:19"/>
    <x v="9"/>
    <s v="Plaquettes rhombiques"/>
    <s v="SE08251"/>
    <s v="FAYET AYMERIC"/>
    <n v="5"/>
    <x v="0"/>
    <x v="0"/>
    <s v="PLAQUETTES"/>
    <s v="356x26 RPI"/>
    <n v="18.399999999999999"/>
  </r>
  <r>
    <d v="2025-03-28T15:31:20"/>
    <x v="9"/>
    <s v="Plaquettes rhombiques"/>
    <s v="130124"/>
    <s v="MOHAMED ILDIRAY"/>
    <n v="5"/>
    <x v="1"/>
    <x v="0"/>
    <s v="PLAQUETTES"/>
    <s v="304x28 RPE"/>
    <n v="18.399999999999999"/>
  </r>
  <r>
    <d v="2025-03-31T05:10:39"/>
    <x v="9"/>
    <s v="Plaquettes rhombiques"/>
    <s v="130124"/>
    <s v="MOHAMED ILDIRAY"/>
    <n v="5"/>
    <x v="1"/>
    <x v="0"/>
    <s v="PLAQUETTES"/>
    <s v="304x28 RPE"/>
    <n v="18.399999999999999"/>
  </r>
  <r>
    <d v="2025-03-31T13:28:41"/>
    <x v="9"/>
    <s v="Plaquettes rhombiques"/>
    <s v="SE08251"/>
    <s v="FAYET AYMERIC"/>
    <n v="5"/>
    <x v="0"/>
    <x v="0"/>
    <s v="PLAQUETTES"/>
    <s v="356x26 RPI"/>
    <n v="18.399999999999999"/>
  </r>
  <r>
    <d v="2025-04-01T05:34:02"/>
    <x v="9"/>
    <s v="Plaquettes rhombiques"/>
    <s v="130124"/>
    <s v="MOHAMED ILDIRAY"/>
    <n v="5"/>
    <x v="1"/>
    <x v="0"/>
    <s v="PLAQUETTES"/>
    <s v="304x28 RPE"/>
    <n v="18.399999999999999"/>
  </r>
  <r>
    <d v="2025-04-02T19:43:00"/>
    <x v="9"/>
    <s v="Plaquettes rhombiques"/>
    <s v="280225"/>
    <s v="FERNANDES DOS SANTOS REMY"/>
    <n v="5"/>
    <x v="1"/>
    <x v="0"/>
    <s v="PLAQUETTES"/>
    <s v="304x28 RPE"/>
    <n v="18.399999999999999"/>
  </r>
  <r>
    <d v="2025-04-04T13:58:38"/>
    <x v="9"/>
    <s v="Plaquettes rhombiques"/>
    <s v="280225"/>
    <s v="FERNANDES DOS SANTOS REMY"/>
    <n v="5"/>
    <x v="1"/>
    <x v="0"/>
    <s v="PLAQUETTES"/>
    <s v="304x28 RPE"/>
    <n v="18.399999999999999"/>
  </r>
  <r>
    <d v="2025-04-08T15:15:52"/>
    <x v="9"/>
    <s v="Plaquettes rhombiques"/>
    <s v="130325"/>
    <s v="PAPONNEAU JULIEN"/>
    <n v="5"/>
    <x v="1"/>
    <x v="0"/>
    <s v="PLAQUETTES"/>
    <s v="304x28 RPE"/>
    <n v="18.399999999999999"/>
  </r>
  <r>
    <d v="2025-04-10T14:43:48"/>
    <x v="9"/>
    <s v="Plaquettes rhombiques"/>
    <s v="SD75051"/>
    <s v="COMBALUZIER LUCAS"/>
    <n v="5"/>
    <x v="0"/>
    <x v="0"/>
    <s v="PLAQUETTES"/>
    <s v="356x26 RPI"/>
    <n v="18.399999999999999"/>
  </r>
  <r>
    <d v="2025-04-10T21:54:27"/>
    <x v="9"/>
    <s v="Plaquettes rhombiques"/>
    <s v="130124"/>
    <s v="MOHAMED ILDIRAY"/>
    <n v="5"/>
    <x v="1"/>
    <x v="0"/>
    <s v="PLAQUETTES"/>
    <s v="304x28 RPE"/>
    <n v="18.399999999999999"/>
  </r>
  <r>
    <d v="2025-04-12T08:57:44"/>
    <x v="9"/>
    <s v="Plaquettes rhombiques"/>
    <s v="150725"/>
    <s v="ADOUL WASSIM"/>
    <n v="5"/>
    <x v="1"/>
    <x v="0"/>
    <s v="PLAQUETTES"/>
    <s v="304x28 RPE"/>
    <n v="18.399999999999999"/>
  </r>
  <r>
    <d v="2025-04-14T05:43:52"/>
    <x v="9"/>
    <s v="Plaquettes rhombiques"/>
    <s v="SD75051"/>
    <s v="COMBALUZIER LUCAS"/>
    <n v="5"/>
    <x v="0"/>
    <x v="0"/>
    <s v="PLAQUETTES"/>
    <s v="356x26 RPI"/>
    <n v="18.399999999999999"/>
  </r>
  <r>
    <d v="2025-04-16T13:21:39"/>
    <x v="9"/>
    <s v="Plaquettes rhombiques"/>
    <s v="130124"/>
    <s v="MOHAMED ILDIRAY"/>
    <n v="5"/>
    <x v="1"/>
    <x v="0"/>
    <s v="PLAQUETTES"/>
    <s v="356x26 RPI"/>
    <n v="18.399999999999999"/>
  </r>
  <r>
    <d v="2025-04-17T06:28:06"/>
    <x v="9"/>
    <s v="Plaquettes rhombiques"/>
    <s v="130325"/>
    <s v="PAPONNEAU JULIEN"/>
    <n v="5"/>
    <x v="1"/>
    <x v="0"/>
    <s v="PLAQUETTES"/>
    <s v="356x26 RPI"/>
    <n v="18.399999999999999"/>
  </r>
  <r>
    <d v="2025-04-17T21:30:42"/>
    <x v="9"/>
    <s v="Plaquettes rhombiques"/>
    <s v="280225"/>
    <s v="FERNANDES DOS SANTOS REMY"/>
    <n v="5"/>
    <x v="1"/>
    <x v="0"/>
    <s v="PLAQUETTES"/>
    <s v="356x26 RPI"/>
    <n v="18.399999999999999"/>
  </r>
  <r>
    <d v="2025-04-18T13:16:20"/>
    <x v="9"/>
    <s v="Plaquettes rhombiques"/>
    <s v="130124"/>
    <s v="MOHAMED ILDIRAY"/>
    <n v="5"/>
    <x v="1"/>
    <x v="0"/>
    <s v="PLAQUETTES"/>
    <s v="356x26 RPI"/>
    <n v="18.399999999999999"/>
  </r>
  <r>
    <d v="2025-04-21T00:05:29"/>
    <x v="9"/>
    <s v="Plaquettes rhombiques"/>
    <s v="U109136"/>
    <s v="WIPLIE FREDERIC"/>
    <n v="5"/>
    <x v="1"/>
    <x v="0"/>
    <s v="PLAQUETTES"/>
    <s v="304x28 RPE"/>
    <n v="18.399999999999999"/>
  </r>
  <r>
    <d v="2025-04-21T13:52:32"/>
    <x v="9"/>
    <s v="Plaquettes rhombiques"/>
    <s v="280225"/>
    <s v="FERNANDES DOS SANTOS REMY"/>
    <n v="5"/>
    <x v="1"/>
    <x v="0"/>
    <s v="PLAQUETTES"/>
    <s v="304x28 RPE"/>
    <n v="18.399999999999999"/>
  </r>
  <r>
    <d v="2025-04-22T05:54:06"/>
    <x v="9"/>
    <s v="Plaquettes rhombiques"/>
    <s v="130124"/>
    <s v="MOHAMED ILDIRAY"/>
    <n v="5"/>
    <x v="1"/>
    <x v="0"/>
    <s v="PLAQUETTES"/>
    <s v="304x28 RPE"/>
    <n v="18.399999999999999"/>
  </r>
  <r>
    <d v="2025-04-23T15:04:46"/>
    <x v="9"/>
    <s v="Plaquettes rhombiques"/>
    <s v="280225"/>
    <s v="FERNANDES DOS SANTOS REMY"/>
    <n v="5"/>
    <x v="1"/>
    <x v="0"/>
    <s v="PLAQUETTES"/>
    <s v="304x28 RPE"/>
    <n v="18.399999999999999"/>
  </r>
  <r>
    <d v="2025-04-24T04:43:19"/>
    <x v="9"/>
    <s v="Plaquettes rhombiques"/>
    <s v="130325"/>
    <s v="PAPONNEAU JULIEN"/>
    <n v="5"/>
    <x v="1"/>
    <x v="0"/>
    <s v="PLAQUETTES"/>
    <s v="304x28 RPE"/>
    <n v="18.399999999999999"/>
  </r>
  <r>
    <d v="2025-04-24T05:50:12"/>
    <x v="9"/>
    <s v="Plaquettes rhombiques"/>
    <s v="130124"/>
    <s v="MOHAMED ILDIRAY"/>
    <n v="5"/>
    <x v="1"/>
    <x v="0"/>
    <s v="PLAQUETTES"/>
    <s v="304x28 RPE"/>
    <n v="18.399999999999999"/>
  </r>
  <r>
    <d v="2025-04-25T13:13:53"/>
    <x v="9"/>
    <s v="Plaquettes rhombiques"/>
    <s v="280225"/>
    <s v="FERNANDES DOS SANTOS REMY"/>
    <n v="5"/>
    <x v="1"/>
    <x v="0"/>
    <s v="PLAQUETTES"/>
    <s v="304x28 RPE"/>
    <n v="18.399999999999999"/>
  </r>
  <r>
    <d v="2025-04-27T17:53:37"/>
    <x v="9"/>
    <s v="Plaquettes rhombiques"/>
    <s v="U109136"/>
    <s v="WIPLIE FREDERIC"/>
    <n v="5"/>
    <x v="0"/>
    <x v="0"/>
    <s v="PLAQUETTES"/>
    <s v="356x26 RPI"/>
    <n v="18.399999999999999"/>
  </r>
  <r>
    <d v="2025-04-28T05:07:15"/>
    <x v="9"/>
    <s v="Plaquettes rhombiques"/>
    <s v="280225"/>
    <s v="FERNANDES DOS SANTOS REMY"/>
    <n v="5"/>
    <x v="1"/>
    <x v="0"/>
    <s v="PLAQUETTES"/>
    <s v="304x28 RPE"/>
    <n v="18.399999999999999"/>
  </r>
  <r>
    <d v="2025-04-29T19:00:03"/>
    <x v="9"/>
    <s v="Plaquettes rhombiques"/>
    <s v="130325"/>
    <s v="PAPONNEAU JULIEN"/>
    <n v="5"/>
    <x v="1"/>
    <x v="0"/>
    <s v="PLAQUETTES"/>
    <s v="304x28 RPE"/>
    <n v="18.399999999999999"/>
  </r>
  <r>
    <d v="2025-04-29T19:00:20"/>
    <x v="9"/>
    <s v="Plaquettes rhombiques"/>
    <s v="130325"/>
    <s v="PAPONNEAU JULIEN"/>
    <n v="5"/>
    <x v="1"/>
    <x v="0"/>
    <s v="PLAQUETTES"/>
    <s v="304x28 RPE"/>
    <n v="18.399999999999999"/>
  </r>
  <r>
    <d v="2025-04-30T21:27:58"/>
    <x v="9"/>
    <s v="Plaquettes rhombiques"/>
    <s v="130124"/>
    <s v="MOHAMED ILDIRAY"/>
    <n v="5"/>
    <x v="1"/>
    <x v="0"/>
    <s v="PLAQUETTES"/>
    <s v="304x28 RPE"/>
    <n v="18.399999999999999"/>
  </r>
  <r>
    <d v="2025-05-02T21:33:46"/>
    <x v="9"/>
    <s v="Plaquettes rhombiques"/>
    <s v="130124"/>
    <s v="MOHAMED ILDIRAY"/>
    <n v="5"/>
    <x v="1"/>
    <x v="0"/>
    <s v="PLAQUETTES"/>
    <s v="304x28 RPE"/>
    <n v="18.399999999999999"/>
  </r>
  <r>
    <d v="2025-05-05T13:21:24"/>
    <x v="9"/>
    <s v="Plaquettes rhombiques"/>
    <s v="130124"/>
    <s v="MOHAMED ILDIRAY"/>
    <n v="5"/>
    <x v="1"/>
    <x v="0"/>
    <s v="PLAQUETTES"/>
    <s v="304x28 RPE"/>
    <n v="18.399999999999999"/>
  </r>
  <r>
    <d v="2025-05-07T09:54:29"/>
    <x v="9"/>
    <s v="Plaquettes rhombiques"/>
    <s v="130325"/>
    <s v="PAPONNEAU JULIEN"/>
    <n v="5"/>
    <x v="1"/>
    <x v="0"/>
    <s v="PLAQUETTES"/>
    <s v="356x26 RPI"/>
    <n v="18.399999999999999"/>
  </r>
  <r>
    <d v="2025-05-09T02:02:36"/>
    <x v="9"/>
    <s v="Plaquettes rhombiques"/>
    <s v="280225"/>
    <s v="FERNANDES DOS SANTOS REMY"/>
    <n v="5"/>
    <x v="1"/>
    <x v="0"/>
    <s v="PLAQUETTES"/>
    <s v="304x28 RPE"/>
    <n v="18.399999999999999"/>
  </r>
  <r>
    <d v="2025-05-09T16:55:43"/>
    <x v="9"/>
    <s v="Plaquettes rhombiques"/>
    <s v="130124"/>
    <s v="MOHAMED ILDIRAY"/>
    <n v="5"/>
    <x v="1"/>
    <x v="0"/>
    <s v="PLAQUETTES"/>
    <s v="304x28 RPE"/>
    <n v="18.399999999999999"/>
  </r>
  <r>
    <d v="2025-05-12T05:21:55"/>
    <x v="9"/>
    <s v="Plaquettes rhombiques"/>
    <s v="130124"/>
    <s v="MOHAMED ILDIRAY"/>
    <n v="5"/>
    <x v="1"/>
    <x v="0"/>
    <s v="PLAQUETTES"/>
    <s v="304x28 RPE"/>
    <n v="18.399999999999999"/>
  </r>
  <r>
    <d v="2025-05-13T16:48:21"/>
    <x v="9"/>
    <s v="Plaquettes rhombiques"/>
    <s v="280225"/>
    <s v="FERNANDES DOS SANTOS REMY"/>
    <n v="5"/>
    <x v="1"/>
    <x v="0"/>
    <s v="PLAQUETTES"/>
    <s v="304x28 RPE"/>
    <n v="18.399999999999999"/>
  </r>
  <r>
    <d v="2025-05-14T05:15:21"/>
    <x v="9"/>
    <s v="Plaquettes rhombiques"/>
    <s v="130124"/>
    <s v="MOHAMED ILDIRAY"/>
    <n v="5"/>
    <x v="1"/>
    <x v="0"/>
    <s v="PLAQUETTES"/>
    <s v="304x28 RPE"/>
    <n v="18.399999999999999"/>
  </r>
  <r>
    <d v="2025-05-14T13:19:31"/>
    <x v="9"/>
    <s v="Plaquettes rhombiques"/>
    <s v="SE08251"/>
    <s v="FAYET AYMERIC"/>
    <n v="5"/>
    <x v="0"/>
    <x v="0"/>
    <s v="PLAQUETTES"/>
    <s v="356x26 RPI"/>
    <n v="18.399999999999999"/>
  </r>
  <r>
    <d v="2025-05-16T06:47:08"/>
    <x v="9"/>
    <s v="Plaquettes rhombiques"/>
    <s v="150725"/>
    <s v="ADOUL WASSIM"/>
    <n v="5"/>
    <x v="0"/>
    <x v="0"/>
    <s v="PLAQUETTES"/>
    <s v="356x26 RPI"/>
    <n v="18.399999999999999"/>
  </r>
  <r>
    <d v="2025-05-16T14:00:03"/>
    <x v="9"/>
    <s v="Plaquettes rhombiques"/>
    <s v="280225"/>
    <s v="FERNANDES DOS SANTOS REMY"/>
    <n v="5"/>
    <x v="1"/>
    <x v="0"/>
    <s v="PLAQUETTES"/>
    <s v="304x28 RPE"/>
    <n v="18.399999999999999"/>
  </r>
  <r>
    <d v="2025-05-17T05:28:22"/>
    <x v="9"/>
    <s v="Plaquettes rhombiques"/>
    <s v="150725"/>
    <s v="ADOUL WASSIM"/>
    <n v="5"/>
    <x v="0"/>
    <x v="0"/>
    <s v="PLAQUETTES"/>
    <s v="356x26 RPI"/>
    <n v="18.399999999999999"/>
  </r>
  <r>
    <d v="2025-05-17T10:17:01"/>
    <x v="9"/>
    <s v="Plaquettes rhombiques"/>
    <s v="U109136"/>
    <s v="WIPLIE FREDERIC"/>
    <n v="5"/>
    <x v="1"/>
    <x v="0"/>
    <s v="PLAQUETTES"/>
    <s v="304x28 RPE"/>
    <n v="18.399999999999999"/>
  </r>
  <r>
    <d v="2025-05-20T02:18:12"/>
    <x v="9"/>
    <s v="Plaquettes rhombiques"/>
    <s v="130124"/>
    <s v="MOHAMED ILDIRAY"/>
    <n v="5"/>
    <x v="1"/>
    <x v="0"/>
    <s v="PLAQUETTES"/>
    <s v="304x28 RPE"/>
    <n v="18.399999999999999"/>
  </r>
  <r>
    <d v="2025-05-21T00:08:03"/>
    <x v="9"/>
    <s v="Plaquettes rhombiques"/>
    <s v="130124"/>
    <s v="MOHAMED ILDIRAY"/>
    <n v="5"/>
    <x v="1"/>
    <x v="0"/>
    <s v="PLAQUETTES"/>
    <s v="356x26 RPI"/>
    <n v="18.399999999999999"/>
  </r>
  <r>
    <d v="2025-05-22T21:50:21"/>
    <x v="9"/>
    <s v="Plaquettes rhombiques"/>
    <s v="130124"/>
    <s v="MOHAMED ILDIRAY"/>
    <n v="5"/>
    <x v="1"/>
    <x v="0"/>
    <s v="PLAQUETTES"/>
    <s v="356x26 RPI"/>
    <n v="18.399999999999999"/>
  </r>
  <r>
    <d v="2025-05-25T17:49:26"/>
    <x v="9"/>
    <s v="Plaquettes rhombiques"/>
    <s v="150725"/>
    <s v="ADOUL WASSIM"/>
    <n v="5"/>
    <x v="1"/>
    <x v="0"/>
    <s v="PLAQUETTES"/>
    <s v="356x26 RPI"/>
    <n v="18.399999999999999"/>
  </r>
  <r>
    <d v="2025-05-26T20:07:46"/>
    <x v="9"/>
    <s v="Plaquettes rhombiques"/>
    <s v="130124"/>
    <s v="MOHAMED ILDIRAY"/>
    <n v="5"/>
    <x v="1"/>
    <x v="0"/>
    <s v="PLAQUETTES"/>
    <s v="304x28 RPE"/>
    <n v="18.399999999999999"/>
  </r>
  <r>
    <d v="2025-05-27T00:48:20"/>
    <x v="9"/>
    <s v="Plaquettes rhombiques"/>
    <s v="SE08251"/>
    <s v="FAYET AYMERIC"/>
    <n v="5"/>
    <x v="0"/>
    <x v="0"/>
    <s v="PLAQUETTES"/>
    <s v="356x26 RPI"/>
    <n v="18.399999999999999"/>
  </r>
  <r>
    <d v="2025-05-27T10:22:22"/>
    <x v="9"/>
    <s v="Plaquettes rhombiques"/>
    <s v="SF51433"/>
    <s v="BONTEMS COLINE"/>
    <n v="5"/>
    <x v="0"/>
    <x v="0"/>
    <s v="PLAQUETTES"/>
    <s v="TOUT DISQUES"/>
    <n v="18.399999999999999"/>
  </r>
  <r>
    <d v="2025-05-28T01:44:44"/>
    <x v="9"/>
    <s v="Plaquettes rhombiques"/>
    <s v="280225"/>
    <s v="FERNANDES DOS SANTOS REMY"/>
    <n v="5"/>
    <x v="1"/>
    <x v="0"/>
    <s v="PLAQUETTES"/>
    <s v="304x28 RPE"/>
    <n v="18.399999999999999"/>
  </r>
  <r>
    <d v="2025-05-28T16:10:16"/>
    <x v="9"/>
    <s v="Plaquettes rhombiques"/>
    <s v="101224"/>
    <s v="CHAZEAU KYLIAN"/>
    <n v="5"/>
    <x v="0"/>
    <x v="0"/>
    <s v="PLAQUETTES"/>
    <s v="356x26 RPI"/>
    <n v="18.399999999999999"/>
  </r>
  <r>
    <d v="2025-05-29T13:18:41"/>
    <x v="9"/>
    <s v="Plaquettes rhombiques"/>
    <s v="130124"/>
    <s v="MOHAMED ILDIRAY"/>
    <n v="5"/>
    <x v="1"/>
    <x v="0"/>
    <s v="PLAQUETTES"/>
    <s v="304x28 RPE"/>
    <n v="18.399999999999999"/>
  </r>
  <r>
    <d v="2025-05-29T15:43:32"/>
    <x v="9"/>
    <s v="Plaquettes rhombiques"/>
    <s v="SD13196"/>
    <s v="FRADIN MAXIME"/>
    <n v="5"/>
    <x v="0"/>
    <x v="0"/>
    <s v="PLAQUETTES"/>
    <s v="356x26 RPI"/>
    <n v="18.399999999999999"/>
  </r>
  <r>
    <d v="2025-05-30T16:10:51"/>
    <x v="9"/>
    <s v="Plaquettes rhombiques"/>
    <s v="130124"/>
    <s v="MOHAMED ILDIRAY"/>
    <n v="5"/>
    <x v="1"/>
    <x v="0"/>
    <s v="PLAQUETTES"/>
    <s v="304x28 RPE"/>
    <n v="18.399999999999999"/>
  </r>
  <r>
    <d v="2025-06-01T20:53:16"/>
    <x v="9"/>
    <s v="Plaquettes rhombiques"/>
    <s v="U109136"/>
    <s v="WIPLIE FREDERIC"/>
    <n v="5"/>
    <x v="1"/>
    <x v="0"/>
    <s v="PLAQUETTES"/>
    <s v="304x28 RPE"/>
    <n v="18.399999999999999"/>
  </r>
  <r>
    <d v="2025-06-02T05:13:10"/>
    <x v="9"/>
    <s v="Plaquettes rhombiques"/>
    <s v="101224"/>
    <s v="CHAZEAU KYLIAN"/>
    <n v="5"/>
    <x v="0"/>
    <x v="0"/>
    <s v="PLAQUETTES"/>
    <s v="356x26 RPI"/>
    <n v="18.399999999999999"/>
  </r>
  <r>
    <d v="2025-06-02T05:42:52"/>
    <x v="9"/>
    <s v="Plaquettes rhombiques"/>
    <s v="130124"/>
    <s v="MOHAMED ILDIRAY"/>
    <n v="5"/>
    <x v="1"/>
    <x v="0"/>
    <s v="PLAQUETTES"/>
    <s v="304x28 RPE"/>
    <n v="18.399999999999999"/>
  </r>
  <r>
    <d v="2025-06-03T13:27:07"/>
    <x v="9"/>
    <s v="Plaquettes rhombiques"/>
    <s v="280225"/>
    <s v="FERNANDES DOS SANTOS REMY"/>
    <n v="5"/>
    <x v="1"/>
    <x v="0"/>
    <s v="PLAQUETTES"/>
    <s v="304x28 RPE"/>
    <n v="18.399999999999999"/>
  </r>
  <r>
    <d v="2025-06-05T08:24:16"/>
    <x v="9"/>
    <s v="Plaquettes rhombiques"/>
    <s v="130124"/>
    <s v="MOHAMED ILDIRAY"/>
    <n v="5"/>
    <x v="1"/>
    <x v="0"/>
    <s v="PLAQUETTES"/>
    <s v="356x26 RPI"/>
    <n v="18.399999999999999"/>
  </r>
  <r>
    <d v="2025-06-06T09:25:59"/>
    <x v="9"/>
    <s v="Plaquettes rhombiques"/>
    <s v="150725"/>
    <s v="ADOUL WASSIM"/>
    <n v="5"/>
    <x v="1"/>
    <x v="0"/>
    <s v="PLAQUETTES"/>
    <s v="356x26 RPI"/>
    <n v="18.399999999999999"/>
  </r>
  <r>
    <d v="2025-06-08T17:36:18"/>
    <x v="9"/>
    <s v="Plaquettes rhombiques"/>
    <s v="150725"/>
    <s v="ADOUL WASSIM"/>
    <n v="5"/>
    <x v="1"/>
    <x v="0"/>
    <s v="PLAQUETTES"/>
    <s v="356x26 RPI"/>
    <n v="18.399999999999999"/>
  </r>
  <r>
    <d v="2025-06-10T23:30:56"/>
    <x v="9"/>
    <s v="Plaquettes rhombiques"/>
    <s v="130124"/>
    <s v="MOHAMED ILDIRAY"/>
    <n v="5"/>
    <x v="1"/>
    <x v="0"/>
    <s v="PLAQUETTES"/>
    <s v="304x28 RPE"/>
    <n v="18.399999999999999"/>
  </r>
  <r>
    <d v="2025-06-11T13:44:22"/>
    <x v="9"/>
    <s v="Plaquettes rhombiques"/>
    <s v="SD75051"/>
    <s v="COMBALUZIER LUCAS"/>
    <n v="5"/>
    <x v="3"/>
    <x v="0"/>
    <s v="PLAQUETTES"/>
    <s v="330x28 RPE KO"/>
    <n v="18.399999999999999"/>
  </r>
  <r>
    <d v="2025-06-12T05:14:58"/>
    <x v="9"/>
    <s v="Plaquettes rhombiques"/>
    <s v="280225"/>
    <s v="FERNANDES DOS SANTOS REMY"/>
    <n v="5"/>
    <x v="1"/>
    <x v="0"/>
    <s v="PLAQUETTES"/>
    <s v="304x28 RPE"/>
    <n v="18.399999999999999"/>
  </r>
  <r>
    <d v="2025-06-12T07:04:27"/>
    <x v="9"/>
    <s v="Plaquettes rhombiques"/>
    <s v="SE08251"/>
    <s v="FAYET AYMERIC"/>
    <n v="5"/>
    <x v="0"/>
    <x v="0"/>
    <s v="PLAQUETTES"/>
    <s v="356x26 RPI"/>
    <n v="18.399999999999999"/>
  </r>
  <r>
    <d v="2025-06-15T19:42:10"/>
    <x v="9"/>
    <s v="Plaquettes rhombiques"/>
    <s v="U109136"/>
    <s v="WIPLIE FREDERIC"/>
    <n v="5"/>
    <x v="1"/>
    <x v="0"/>
    <s v="PLAQUETTES"/>
    <s v="304x28 RPE"/>
    <n v="18.399999999999999"/>
  </r>
  <r>
    <d v="2025-06-16T13:23:35"/>
    <x v="9"/>
    <s v="Plaquettes rhombiques"/>
    <s v="130124"/>
    <s v="MOHAMED ILDIRAY"/>
    <n v="5"/>
    <x v="1"/>
    <x v="0"/>
    <s v="PLAQUETTES"/>
    <s v="304x28 RPE"/>
    <n v="18.399999999999999"/>
  </r>
  <r>
    <d v="2025-06-18T19:18:54"/>
    <x v="9"/>
    <s v="Plaquettes rhombiques"/>
    <s v="130124"/>
    <s v="MOHAMED ILDIRAY"/>
    <n v="5"/>
    <x v="1"/>
    <x v="0"/>
    <s v="PLAQUETTES"/>
    <s v="356x26 RPI"/>
    <n v="18.399999999999999"/>
  </r>
  <r>
    <d v="2025-06-20T17:34:37"/>
    <x v="9"/>
    <s v="Plaquettes rhombiques"/>
    <s v="130124"/>
    <s v="MOHAMED ILDIRAY"/>
    <n v="5"/>
    <x v="1"/>
    <x v="0"/>
    <s v="PLAQUETTES"/>
    <s v="356x26 RPI"/>
    <n v="18.399999999999999"/>
  </r>
  <r>
    <d v="2025-06-22T20:17:18"/>
    <x v="9"/>
    <s v="Plaquettes rhombiques"/>
    <s v="150725"/>
    <s v="ADOUL WASSIM"/>
    <n v="5"/>
    <x v="1"/>
    <x v="0"/>
    <s v="PLAQUETTES"/>
    <s v="356x26 RPI"/>
    <n v="18.399999999999999"/>
  </r>
  <r>
    <d v="2025-06-23T13:29:46"/>
    <x v="9"/>
    <s v="Plaquettes rhombiques"/>
    <s v="280225"/>
    <s v="FERNANDES DOS SANTOS REMY"/>
    <n v="5"/>
    <x v="1"/>
    <x v="0"/>
    <s v="PLAQUETTES"/>
    <s v="356x26 RPI"/>
    <n v="18.399999999999999"/>
  </r>
  <r>
    <d v="2025-06-24T13:23:04"/>
    <x v="9"/>
    <s v="Plaquettes rhombiques"/>
    <s v="280225"/>
    <s v="FERNANDES DOS SANTOS REMY"/>
    <n v="5"/>
    <x v="1"/>
    <x v="0"/>
    <s v="PLAQUETTES"/>
    <s v="356x26 RPI"/>
    <n v="18.399999999999999"/>
  </r>
  <r>
    <d v="2025-06-24T20:52:13"/>
    <x v="9"/>
    <s v="Plaquettes rhombiques"/>
    <s v="SE08251"/>
    <s v="FAYET AYMERIC"/>
    <n v="5"/>
    <x v="0"/>
    <x v="0"/>
    <s v="PLAQUETTES"/>
    <s v="356x26 RPI"/>
    <n v="18.399999999999999"/>
  </r>
  <r>
    <d v="2025-06-25T15:20:38"/>
    <x v="9"/>
    <s v="Plaquettes rhombiques"/>
    <s v="280225"/>
    <s v="FERNANDES DOS SANTOS REMY"/>
    <n v="5"/>
    <x v="1"/>
    <x v="0"/>
    <s v="PLAQUETTES"/>
    <s v="356x26 RPI"/>
    <n v="18.399999999999999"/>
  </r>
  <r>
    <d v="2025-06-26T15:24:28"/>
    <x v="9"/>
    <s v="Plaquettes rhombiques"/>
    <s v="280225"/>
    <s v="FERNANDES DOS SANTOS REMY"/>
    <n v="5"/>
    <x v="1"/>
    <x v="0"/>
    <s v="PLAQUETTES"/>
    <s v="356x26 RPI"/>
    <n v="18.399999999999999"/>
  </r>
  <r>
    <d v="2025-06-27T21:20:00"/>
    <x v="9"/>
    <s v="Plaquettes rhombiques"/>
    <s v="SD75051"/>
    <s v="COMBALUZIER LUCAS"/>
    <n v="5"/>
    <x v="3"/>
    <x v="0"/>
    <s v="PLAQUETTES"/>
    <s v="304x28 RPE"/>
    <n v="18.399999999999999"/>
  </r>
  <r>
    <d v="2025-06-28T10:26:36"/>
    <x v="9"/>
    <s v="Plaquettes rhombiques"/>
    <s v="U109136"/>
    <s v="WIPLIE FREDERIC"/>
    <n v="5"/>
    <x v="1"/>
    <x v="0"/>
    <s v="PLAQUETTES"/>
    <s v="356x26 RPI"/>
    <n v="18.399999999999999"/>
  </r>
  <r>
    <d v="2025-06-29T17:53:22"/>
    <x v="9"/>
    <s v="Plaquettes rhombiques"/>
    <s v="U109136"/>
    <s v="WIPLIE FREDERIC"/>
    <n v="5"/>
    <x v="1"/>
    <x v="0"/>
    <s v="PLAQUETTES"/>
    <s v="356x26 RPI"/>
    <n v="18.399999999999999"/>
  </r>
  <r>
    <d v="2025-07-01T05:30:59"/>
    <x v="9"/>
    <s v="Plaquettes rhombiques"/>
    <s v="280225"/>
    <s v="FERNANDES DOS SANTOS REMY"/>
    <n v="5"/>
    <x v="1"/>
    <x v="0"/>
    <s v="PLAQUETTES"/>
    <s v="356x26 RPI"/>
    <n v="18.399999999999999"/>
  </r>
  <r>
    <d v="2025-07-03T01:33:58"/>
    <x v="9"/>
    <s v="Plaquettes rhombiques"/>
    <s v="130124"/>
    <s v="MOHAMED ILDIRAY"/>
    <n v="5"/>
    <x v="1"/>
    <x v="0"/>
    <s v="PLAQUETTES"/>
    <s v="356x26 RPI"/>
    <n v="18.399999999999999"/>
  </r>
  <r>
    <d v="2025-07-05T09:32:00"/>
    <x v="9"/>
    <s v="Plaquettes rhombiques"/>
    <s v="150725"/>
    <s v="ADOUL WASSIM"/>
    <n v="5"/>
    <x v="1"/>
    <x v="0"/>
    <s v="PLAQUETTES"/>
    <s v="356x26 RPI"/>
    <n v="18.399999999999999"/>
  </r>
  <r>
    <d v="2025-07-07T19:56:04"/>
    <x v="9"/>
    <s v="Plaquettes rhombiques"/>
    <s v="130124"/>
    <s v="MOHAMED ILDIRAY"/>
    <n v="5"/>
    <x v="1"/>
    <x v="0"/>
    <s v="PLAQUETTES"/>
    <s v="356x26 RPI"/>
    <n v="18.399999999999999"/>
  </r>
  <r>
    <d v="2025-07-08T23:50:14"/>
    <x v="9"/>
    <s v="Plaquettes rhombiques"/>
    <s v="SE08251"/>
    <s v="FAYET AYMERIC"/>
    <n v="5"/>
    <x v="0"/>
    <x v="0"/>
    <s v="PLAQUETTES"/>
    <s v="356x26 RPI"/>
    <n v="18.399999999999999"/>
  </r>
  <r>
    <d v="2025-07-09T13:15:43"/>
    <x v="9"/>
    <s v="Plaquettes rhombiques"/>
    <s v="130124"/>
    <s v="MOHAMED ILDIRAY"/>
    <n v="5"/>
    <x v="1"/>
    <x v="0"/>
    <s v="PLAQUETTES"/>
    <s v="304x28 RPE"/>
    <n v="18.399999999999999"/>
  </r>
  <r>
    <d v="2025-07-09T21:22:23"/>
    <x v="9"/>
    <s v="Plaquettes rhombiques"/>
    <s v="j529800"/>
    <s v="MONTCHARMONT BAPTISTE"/>
    <n v="5"/>
    <x v="1"/>
    <x v="0"/>
    <s v="PLAQUETTES"/>
    <s v="304x28 RPE"/>
    <n v="18.399999999999999"/>
  </r>
  <r>
    <d v="2025-07-10T04:36:07"/>
    <x v="9"/>
    <s v="Plaquettes rhombiques"/>
    <s v="SE08251"/>
    <s v="FAYET AYMERIC"/>
    <n v="5"/>
    <x v="0"/>
    <x v="0"/>
    <s v="PLAQUETTES"/>
    <s v="356x26 RPI"/>
    <n v="18.399999999999999"/>
  </r>
  <r>
    <d v="2025-07-11T14:41:54"/>
    <x v="9"/>
    <s v="Plaquettes rhombiques"/>
    <s v="U561365"/>
    <s v="BALLY BENOIT"/>
    <n v="5"/>
    <x v="0"/>
    <x v="0"/>
    <s v="PLAQUETTES"/>
    <s v="356x26 RPI"/>
    <n v="18.399999999999999"/>
  </r>
  <r>
    <d v="2025-07-12T00:13:46"/>
    <x v="9"/>
    <s v="Plaquettes rhombiques"/>
    <s v="j529800"/>
    <s v="MONTCHARMONT BAPTISTE"/>
    <n v="5"/>
    <x v="1"/>
    <x v="0"/>
    <s v="PLAQUETTES"/>
    <s v="304x28 RPE"/>
    <n v="18.399999999999999"/>
  </r>
  <r>
    <d v="2025-07-13T05:26:51"/>
    <x v="9"/>
    <s v="Plaquettes rhombiques"/>
    <s v="150725"/>
    <s v="ADOUL WASSIM"/>
    <n v="5"/>
    <x v="0"/>
    <x v="0"/>
    <s v="PLAQUETTES"/>
    <s v="356x26 RPI"/>
    <n v="18.399999999999999"/>
  </r>
  <r>
    <d v="2025-07-13T14:35:07"/>
    <x v="9"/>
    <s v="Plaquettes rhombiques"/>
    <s v="150725"/>
    <s v="ADOUL WASSIM"/>
    <n v="5"/>
    <x v="0"/>
    <x v="0"/>
    <s v="PLAQUETTES"/>
    <s v="356x26 RPI"/>
    <n v="18.399999999999999"/>
  </r>
  <r>
    <d v="2025-07-15T05:05:00"/>
    <x v="9"/>
    <s v="Plaquettes rhombiques"/>
    <s v="130124"/>
    <s v="MOHAMED ILDIRAY"/>
    <n v="5"/>
    <x v="1"/>
    <x v="0"/>
    <s v="PLAQUETTES"/>
    <s v="304x28 RPE"/>
    <n v="18.399999999999999"/>
  </r>
  <r>
    <d v="2025-07-15T13:25:14"/>
    <x v="9"/>
    <s v="Plaquettes rhombiques"/>
    <s v="SE08251"/>
    <s v="FAYET AYMERIC"/>
    <n v="5"/>
    <x v="0"/>
    <x v="0"/>
    <s v="PLAQUETTES"/>
    <s v="356x26 RPI"/>
    <n v="18.399999999999999"/>
  </r>
  <r>
    <d v="2025-07-16T04:37:48"/>
    <x v="9"/>
    <s v="Plaquettes rhombiques"/>
    <s v="130325"/>
    <s v="PAPONNEAU JULIEN"/>
    <n v="5"/>
    <x v="1"/>
    <x v="0"/>
    <s v="PLAQUETTES"/>
    <s v="304x28 RPE"/>
    <n v="18.399999999999999"/>
  </r>
  <r>
    <d v="2025-07-16T06:06:13"/>
    <x v="9"/>
    <s v="Plaquettes rhombiques"/>
    <s v="130124"/>
    <s v="MOHAMED ILDIRAY"/>
    <n v="5"/>
    <x v="1"/>
    <x v="0"/>
    <s v="PLAQUETTES"/>
    <s v="304x28 RPE"/>
    <n v="18.399999999999999"/>
  </r>
  <r>
    <d v="2025-07-16T19:52:53"/>
    <x v="9"/>
    <s v="Plaquettes rhombiques"/>
    <s v="SE08251"/>
    <s v="FAYET AYMERIC"/>
    <n v="5"/>
    <x v="0"/>
    <x v="0"/>
    <s v="PLAQUETTES"/>
    <s v="356x26 RPI"/>
    <n v="18.399999999999999"/>
  </r>
  <r>
    <d v="2025-07-17T21:51:52"/>
    <x v="9"/>
    <s v="Plaquettes rhombiques"/>
    <s v="SD75051"/>
    <s v="COMBALUZIER LUCAS"/>
    <n v="5"/>
    <x v="0"/>
    <x v="0"/>
    <s v="PLAQUETTES"/>
    <s v="356x26 RPI"/>
    <n v="18.399999999999999"/>
  </r>
  <r>
    <d v="2025-07-18T13:10:59"/>
    <x v="9"/>
    <s v="Plaquettes rhombiques"/>
    <s v="280225"/>
    <s v="FERNANDES DOS SANTOS REMY"/>
    <n v="5"/>
    <x v="1"/>
    <x v="0"/>
    <s v="PLAQUETTES"/>
    <s v="304x28 RPE"/>
    <n v="18.399999999999999"/>
  </r>
  <r>
    <d v="2025-07-18T13:11:13"/>
    <x v="9"/>
    <s v="Plaquettes rhombiques"/>
    <s v="280225"/>
    <s v="FERNANDES DOS SANTOS REMY"/>
    <n v="5"/>
    <x v="1"/>
    <x v="0"/>
    <s v="PLAQUETTES"/>
    <s v="304x28 RPE"/>
    <n v="18.399999999999999"/>
  </r>
  <r>
    <d v="2025-07-18T13:28:52"/>
    <x v="9"/>
    <s v="Plaquettes rhombiques"/>
    <s v="SE08251"/>
    <s v="FAYET AYMERIC"/>
    <n v="5"/>
    <x v="0"/>
    <x v="0"/>
    <s v="PLAQUETTES"/>
    <s v="356x26 RPI"/>
    <n v="18.399999999999999"/>
  </r>
  <r>
    <d v="2025-07-20T22:08:17"/>
    <x v="9"/>
    <s v="Plaquettes rhombiques"/>
    <s v="U109136"/>
    <s v="WIPLIE FREDERIC"/>
    <n v="5"/>
    <x v="0"/>
    <x v="0"/>
    <s v="PLAQUETTES"/>
    <s v="356x26 RPI"/>
    <n v="18.399999999999999"/>
  </r>
  <r>
    <d v="2025-07-21T17:51:45"/>
    <x v="9"/>
    <s v="Plaquettes rhombiques"/>
    <s v="SD75051"/>
    <s v="COMBALUZIER LUCAS"/>
    <n v="5"/>
    <x v="0"/>
    <x v="0"/>
    <s v="PLAQUETTES"/>
    <s v="356x26 RPI"/>
    <n v="18.399999999999999"/>
  </r>
  <r>
    <d v="2025-07-21T21:55:32"/>
    <x v="9"/>
    <s v="Plaquettes rhombiques"/>
    <s v="101123"/>
    <s v="BRUNET ANDREA"/>
    <n v="5"/>
    <x v="1"/>
    <x v="0"/>
    <s v="PLAQUETTES"/>
    <s v="304x28 RPE"/>
    <n v="18.399999999999999"/>
  </r>
  <r>
    <d v="2025-07-22T18:47:38"/>
    <x v="9"/>
    <s v="Plaquettes rhombiques"/>
    <s v="SD75051"/>
    <s v="COMBALUZIER LUCAS"/>
    <n v="5"/>
    <x v="0"/>
    <x v="0"/>
    <s v="PLAQUETTES"/>
    <s v="356x26 RPI"/>
    <n v="18.399999999999999"/>
  </r>
  <r>
    <d v="2025-07-22T21:06:26"/>
    <x v="9"/>
    <s v="Plaquettes rhombiques"/>
    <s v="101123"/>
    <s v="BRUNET ANDREA"/>
    <n v="5"/>
    <x v="1"/>
    <x v="0"/>
    <s v="PLAQUETTES"/>
    <s v="304x28 RPE"/>
    <n v="18.399999999999999"/>
  </r>
  <r>
    <d v="2025-07-23T10:32:56"/>
    <x v="9"/>
    <s v="Plaquettes rhombiques"/>
    <s v="j529800"/>
    <s v="MONTCHARMONT BAPTISTE"/>
    <n v="5"/>
    <x v="0"/>
    <x v="0"/>
    <s v="PLAQUETTES"/>
    <s v="356x26 RPI"/>
    <n v="18.399999999999999"/>
  </r>
  <r>
    <d v="2025-07-23T20:21:49"/>
    <x v="9"/>
    <s v="Plaquettes rhombiques"/>
    <s v="130325"/>
    <s v="PAPONNEAU JULIEN"/>
    <n v="5"/>
    <x v="1"/>
    <x v="0"/>
    <s v="PLAQUETTES"/>
    <s v="304x28 RPE"/>
    <n v="18.399999999999999"/>
  </r>
  <r>
    <d v="2025-07-23T21:11:04"/>
    <x v="9"/>
    <s v="Plaquettes rhombiques"/>
    <s v="130124"/>
    <s v="MOHAMED ILDIRAY"/>
    <n v="5"/>
    <x v="1"/>
    <x v="0"/>
    <s v="PLAQUETTES"/>
    <s v="304x28 RPE"/>
    <n v="18.399999999999999"/>
  </r>
  <r>
    <d v="2025-07-24T05:43:52"/>
    <x v="9"/>
    <s v="Plaquettes rhombiques"/>
    <s v="j529800"/>
    <s v="MONTCHARMONT BAPTISTE"/>
    <n v="5"/>
    <x v="0"/>
    <x v="0"/>
    <s v="PLAQUETTES"/>
    <s v="356x26 RPI"/>
    <n v="18.399999999999999"/>
  </r>
  <r>
    <d v="2025-07-24T21:48:43"/>
    <x v="9"/>
    <s v="Plaquettes rhombiques"/>
    <s v="130124"/>
    <s v="MOHAMED ILDIRAY"/>
    <n v="5"/>
    <x v="1"/>
    <x v="0"/>
    <s v="PLAQUETTES"/>
    <s v="304x28 RPE"/>
    <n v="18.399999999999999"/>
  </r>
  <r>
    <d v="2025-08-18T05:20:48"/>
    <x v="9"/>
    <s v="Plaquettes rhombiques"/>
    <s v="SD75051"/>
    <s v="COMBALUZIER LUCAS"/>
    <n v="5"/>
    <x v="1"/>
    <x v="0"/>
    <s v="PLAQUETTES"/>
    <s v="304x28 RPE"/>
    <n v="18.399999999999999"/>
  </r>
  <r>
    <d v="2025-08-19T05:29:13"/>
    <x v="9"/>
    <s v="Plaquettes rhombiques"/>
    <s v="040725"/>
    <s v="BARGEOT LUCAS"/>
    <n v="5"/>
    <x v="0"/>
    <x v="0"/>
    <s v="PLAQUETTES"/>
    <s v="356x26 RPI"/>
    <n v="18.399999999999999"/>
  </r>
  <r>
    <d v="2025-08-19T05:47:32"/>
    <x v="9"/>
    <s v="Plaquettes rhombiques"/>
    <s v="SD75051"/>
    <s v="COMBALUZIER LUCAS"/>
    <n v="5"/>
    <x v="1"/>
    <x v="0"/>
    <s v="PLAQUETTES"/>
    <s v="304x28 RPE"/>
    <n v="18.399999999999999"/>
  </r>
  <r>
    <d v="2025-08-20T00:34:01"/>
    <x v="9"/>
    <s v="Plaquettes rhombiques"/>
    <s v="j529800"/>
    <s v="MONTCHARMONT BAPTISTE"/>
    <n v="5"/>
    <x v="0"/>
    <x v="0"/>
    <s v="PLAQUETTES"/>
    <s v="356x26 RPI"/>
    <n v="18.399999999999999"/>
  </r>
  <r>
    <d v="2025-08-20T15:29:46"/>
    <x v="9"/>
    <s v="Plaquettes rhombiques"/>
    <s v="3224"/>
    <s v="BIDOT MURIEL"/>
    <n v="5"/>
    <x v="1"/>
    <x v="0"/>
    <s v="PLAQUETTES"/>
    <s v="304x28 RPE"/>
    <n v="18.399999999999999"/>
  </r>
  <r>
    <d v="2025-08-21T07:53:16"/>
    <x v="9"/>
    <s v="Plaquettes rhombiques"/>
    <s v="040725"/>
    <s v="BARGEOT LUCAS"/>
    <n v="5"/>
    <x v="0"/>
    <x v="0"/>
    <s v="PLAQUETTES"/>
    <s v="356x26 RPI"/>
    <n v="18.399999999999999"/>
  </r>
  <r>
    <d v="2025-08-21T13:51:09"/>
    <x v="9"/>
    <s v="Plaquettes rhombiques"/>
    <s v="3224"/>
    <s v="BIDOT MURIEL"/>
    <n v="5"/>
    <x v="1"/>
    <x v="0"/>
    <s v="PLAQUETTES"/>
    <s v="304x28 RPE"/>
    <n v="18.399999999999999"/>
  </r>
  <r>
    <d v="2025-08-22T07:56:09"/>
    <x v="9"/>
    <s v="Plaquettes rhombiques"/>
    <s v="U080365"/>
    <s v="ALAVOINE SAMUEL"/>
    <n v="5"/>
    <x v="0"/>
    <x v="0"/>
    <s v="PLAQUETTES"/>
    <s v="356x26 RPI"/>
    <n v="18.399999999999999"/>
  </r>
  <r>
    <d v="2025-08-23T05:52:01"/>
    <x v="9"/>
    <s v="Plaquettes rhombiques"/>
    <s v="DELIAT C"/>
    <s v="DELIAT CHRISTOPHE"/>
    <n v="5"/>
    <x v="1"/>
    <x v="0"/>
    <s v="PLAQUETTES"/>
    <s v="304x28 RPE"/>
    <n v="18.399999999999999"/>
  </r>
  <r>
    <d v="2025-08-23T11:20:05"/>
    <x v="9"/>
    <s v="Plaquettes rhombiques"/>
    <s v="U080365"/>
    <s v="ALAVOINE SAMUEL"/>
    <n v="5"/>
    <x v="0"/>
    <x v="0"/>
    <s v="PLAQUETTES"/>
    <s v="356x26 RPI"/>
    <n v="18.399999999999999"/>
  </r>
  <r>
    <d v="2025-08-25T13:28:59"/>
    <x v="9"/>
    <s v="Plaquettes rhombiques"/>
    <s v="040725"/>
    <s v="BARGEOT LUCAS"/>
    <n v="5"/>
    <x v="0"/>
    <x v="0"/>
    <s v="PLAQUETTES"/>
    <s v="356x26 RPI"/>
    <n v="18.399999999999999"/>
  </r>
  <r>
    <d v="2025-08-26T06:16:36"/>
    <x v="9"/>
    <s v="Plaquettes rhombiques"/>
    <s v="U505000"/>
    <s v="RECEVEUR BENOIT"/>
    <n v="5"/>
    <x v="0"/>
    <x v="0"/>
    <s v="PLAQUETTES"/>
    <s v="356x26 RPI"/>
    <n v="18.399999999999999"/>
  </r>
  <r>
    <d v="2025-08-26T06:27:15"/>
    <x v="9"/>
    <s v="Plaquettes rhombiques"/>
    <s v="101123"/>
    <s v="BRUNET ANDREA"/>
    <n v="5"/>
    <x v="1"/>
    <x v="0"/>
    <s v="PLAQUETTES"/>
    <s v="304x28 RPE"/>
    <n v="18.399999999999999"/>
  </r>
  <r>
    <d v="2025-08-27T05:08:05"/>
    <x v="9"/>
    <s v="Plaquettes rhombiques"/>
    <s v="101123"/>
    <s v="BRUNET ANDREA"/>
    <n v="5"/>
    <x v="1"/>
    <x v="0"/>
    <s v="PLAQUETTES"/>
    <s v="304x28 RPE"/>
    <n v="18.399999999999999"/>
  </r>
  <r>
    <d v="2025-08-27T13:07:44"/>
    <x v="9"/>
    <s v="Plaquettes rhombiques"/>
    <s v="040725"/>
    <s v="BARGEOT LUCAS"/>
    <n v="5"/>
    <x v="0"/>
    <x v="0"/>
    <s v="PLAQUETTES"/>
    <s v="356x26 RPI"/>
    <n v="18.399999999999999"/>
  </r>
  <r>
    <d v="2025-08-28T14:46:19"/>
    <x v="9"/>
    <s v="Plaquettes rhombiques"/>
    <s v="040725"/>
    <s v="BARGEOT LUCAS"/>
    <n v="5"/>
    <x v="0"/>
    <x v="0"/>
    <s v="PLAQUETTES"/>
    <s v="356x26 RPI"/>
    <n v="18.399999999999999"/>
  </r>
  <r>
    <d v="2025-08-29T04:35:45"/>
    <x v="9"/>
    <s v="Plaquettes rhombiques"/>
    <s v="j529800"/>
    <s v="MONTCHARMONT BAPTISTE"/>
    <n v="5"/>
    <x v="0"/>
    <x v="0"/>
    <s v="PLAQUETTES"/>
    <s v="356x26 RPI"/>
    <n v="18.399999999999999"/>
  </r>
  <r>
    <d v="2025-08-29T05:29:37"/>
    <x v="9"/>
    <s v="Plaquettes rhombiques"/>
    <s v="DELIAT C"/>
    <s v="DELIAT CHRISTOPHE"/>
    <n v="5"/>
    <x v="1"/>
    <x v="0"/>
    <s v="PLAQUETTES"/>
    <s v="304x28 RPE"/>
    <n v="18.399999999999999"/>
  </r>
  <r>
    <d v="2025-08-29T20:34:42"/>
    <x v="9"/>
    <s v="Plaquettes rhombiques"/>
    <s v="040725"/>
    <s v="BARGEOT LUCAS"/>
    <n v="5"/>
    <x v="0"/>
    <x v="0"/>
    <s v="PLAQUETTES"/>
    <s v="356x26 RPI"/>
    <n v="18.399999999999999"/>
  </r>
  <r>
    <d v="2025-08-30T11:27:48"/>
    <x v="9"/>
    <s v="Plaquettes rhombiques"/>
    <s v="U080365"/>
    <s v="ALAVOINE SAMUEL"/>
    <n v="5"/>
    <x v="0"/>
    <x v="0"/>
    <s v="PLAQUETTES"/>
    <s v="356x26 RPI"/>
    <n v="18.399999999999999"/>
  </r>
  <r>
    <d v="2025-09-01T05:37:35"/>
    <x v="9"/>
    <s v="Plaquettes rhombiques"/>
    <s v="SD75051"/>
    <s v="COMBALUZIER LUCAS"/>
    <n v="5"/>
    <x v="1"/>
    <x v="0"/>
    <s v="PLAQUETTES"/>
    <s v="304x28 RPE"/>
    <n v="18.399999999999999"/>
  </r>
  <r>
    <d v="2025-09-01T21:33:44"/>
    <x v="9"/>
    <s v="Plaquettes rhombiques"/>
    <s v="j529800"/>
    <s v="MONTCHARMONT BAPTISTE"/>
    <n v="5"/>
    <x v="0"/>
    <x v="0"/>
    <s v="PLAQUETTES"/>
    <s v="356x26 RPI"/>
    <n v="18.399999999999999"/>
  </r>
  <r>
    <d v="2025-09-02T06:22:16"/>
    <x v="9"/>
    <s v="Plaquettes rhombiques"/>
    <s v="SD75051"/>
    <s v="COMBALUZIER LUCAS"/>
    <n v="5"/>
    <x v="1"/>
    <x v="0"/>
    <s v="PLAQUETTES"/>
    <s v="304x28 RPE"/>
    <n v="18.399999999999999"/>
  </r>
  <r>
    <d v="2025-09-02T08:34:38"/>
    <x v="9"/>
    <s v="Plaquettes rhombiques"/>
    <s v="040725"/>
    <s v="BARGEOT LUCAS"/>
    <n v="5"/>
    <x v="0"/>
    <x v="0"/>
    <s v="PLAQUETTES"/>
    <s v="356x26 RPI"/>
    <n v="18.399999999999999"/>
  </r>
  <r>
    <d v="2025-09-03T02:42:36"/>
    <x v="9"/>
    <s v="Plaquettes rhombiques"/>
    <s v="j529800"/>
    <s v="MONTCHARMONT BAPTISTE"/>
    <n v="5"/>
    <x v="0"/>
    <x v="0"/>
    <s v="PLAQUETTES"/>
    <s v="356x26 RPI"/>
    <n v="18.399999999999999"/>
  </r>
  <r>
    <d v="2025-09-03T13:03:57"/>
    <x v="9"/>
    <s v="Plaquettes rhombiques"/>
    <s v="101123"/>
    <s v="BRUNET ANDREA"/>
    <n v="5"/>
    <x v="1"/>
    <x v="0"/>
    <s v="PLAQUETTES"/>
    <s v="304x28 RPE"/>
    <n v="18.399999999999999"/>
  </r>
  <r>
    <d v="2025-09-04T02:27:24"/>
    <x v="9"/>
    <s v="Plaquettes rhombiques"/>
    <s v="j529800"/>
    <s v="MONTCHARMONT BAPTISTE"/>
    <n v="5"/>
    <x v="0"/>
    <x v="0"/>
    <s v="PLAQUETTES"/>
    <s v="356x26 RPI"/>
    <n v="18.399999999999999"/>
  </r>
  <r>
    <d v="2025-09-05T01:53:49"/>
    <x v="9"/>
    <s v="Plaquettes rhombiques"/>
    <s v="j529800"/>
    <s v="MONTCHARMONT BAPTISTE"/>
    <n v="5"/>
    <x v="0"/>
    <x v="0"/>
    <s v="PLAQUETTES"/>
    <s v="356x26 RPI"/>
    <n v="18.399999999999999"/>
  </r>
  <r>
    <d v="2025-09-05T05:29:03"/>
    <x v="9"/>
    <s v="Plaquettes rhombiques"/>
    <s v="U551977"/>
    <s v="BASPINAR SELAHATTIN"/>
    <n v="5"/>
    <x v="1"/>
    <x v="0"/>
    <s v="PLAQUETTES"/>
    <s v="304x28 RPE"/>
    <n v="18.399999999999999"/>
  </r>
  <r>
    <d v="2025-09-05T20:35:18"/>
    <x v="9"/>
    <s v="Plaquettes rhombiques"/>
    <s v="101224"/>
    <s v="CHAZEAU KYLIAN"/>
    <n v="5"/>
    <x v="0"/>
    <x v="0"/>
    <s v="PLAQUETTES"/>
    <s v="356x26 RPI"/>
    <n v="18.399999999999999"/>
  </r>
  <r>
    <d v="2025-09-06T05:22:57"/>
    <x v="9"/>
    <s v="Plaquettes rhombiques"/>
    <s v="U080365"/>
    <s v="ALAVOINE SAMUEL"/>
    <n v="5"/>
    <x v="1"/>
    <x v="0"/>
    <s v="PLAQUETTES"/>
    <s v="304x28 RPE"/>
    <n v="18.399999999999999"/>
  </r>
  <r>
    <d v="2025-09-06T08:02:49"/>
    <x v="9"/>
    <s v="Plaquettes rhombiques"/>
    <s v="150725"/>
    <s v="ADOUL WASSIM"/>
    <n v="5"/>
    <x v="3"/>
    <x v="0"/>
    <s v="PLAQUETTES"/>
    <s v="330x28 RPE KO"/>
    <n v="18.399999999999999"/>
  </r>
  <r>
    <d v="2025-09-07T20:04:02"/>
    <x v="9"/>
    <s v="Plaquettes rhombiques"/>
    <s v="150725"/>
    <s v="ADOUL WASSIM"/>
    <n v="5"/>
    <x v="0"/>
    <x v="0"/>
    <s v="PLAQUETTES"/>
    <s v="356x26 RPI"/>
    <n v="18.399999999999999"/>
  </r>
  <r>
    <d v="2025-09-08T14:12:44"/>
    <x v="9"/>
    <s v="Plaquettes rhombiques"/>
    <s v="SD75051"/>
    <s v="COMBALUZIER LUCAS"/>
    <n v="5"/>
    <x v="1"/>
    <x v="0"/>
    <s v="PLAQUETTES"/>
    <s v="304x28 RPE"/>
    <n v="18.399999999999999"/>
  </r>
  <r>
    <d v="2025-09-08T14:14:42"/>
    <x v="9"/>
    <s v="Plaquettes rhombiques"/>
    <s v="040725"/>
    <s v="BARGEOT LUCAS"/>
    <n v="5"/>
    <x v="3"/>
    <x v="0"/>
    <s v="PLAQUETTES"/>
    <s v="330x28 RPE KO"/>
    <n v="18.399999999999999"/>
  </r>
  <r>
    <d v="2025-09-08T14:15:11"/>
    <x v="9"/>
    <s v="Plaquettes rhombiques"/>
    <s v="040725"/>
    <s v="BARGEOT LUCAS"/>
    <n v="5"/>
    <x v="0"/>
    <x v="0"/>
    <s v="PLAQUETTES"/>
    <s v="356x26 RPI"/>
    <n v="18.399999999999999"/>
  </r>
  <r>
    <d v="2025-09-09T13:34:26"/>
    <x v="9"/>
    <s v="Plaquettes rhombiques"/>
    <s v="SD75051"/>
    <s v="COMBALUZIER LUCAS"/>
    <n v="5"/>
    <x v="1"/>
    <x v="0"/>
    <s v="PLAQUETTES"/>
    <s v="304x28 RPE"/>
    <n v="18.399999999999999"/>
  </r>
  <r>
    <d v="2025-09-09T23:34:12"/>
    <x v="9"/>
    <s v="Plaquettes rhombiques"/>
    <s v="j529800"/>
    <s v="MONTCHARMONT BAPTISTE"/>
    <n v="5"/>
    <x v="0"/>
    <x v="0"/>
    <s v="PLAQUETTES"/>
    <s v="356x26 RPI"/>
    <n v="18.399999999999999"/>
  </r>
  <r>
    <d v="2025-09-11T01:35:57"/>
    <x v="9"/>
    <s v="Plaquettes rhombiques"/>
    <s v="j529800"/>
    <s v="MONTCHARMONT BAPTISTE"/>
    <n v="5"/>
    <x v="0"/>
    <x v="0"/>
    <s v="PLAQUETTES"/>
    <s v="356x26 RPI"/>
    <n v="18.399999999999999"/>
  </r>
  <r>
    <d v="2025-09-11T15:58:14"/>
    <x v="9"/>
    <s v="Plaquettes rhombiques"/>
    <s v="040725"/>
    <s v="BARGEOT LUCAS"/>
    <n v="5"/>
    <x v="0"/>
    <x v="0"/>
    <s v="PLAQUETTES"/>
    <s v="356x26 RPI"/>
    <n v="18.399999999999999"/>
  </r>
  <r>
    <d v="2025-09-12T14:06:34"/>
    <x v="9"/>
    <s v="Plaquettes rhombiques"/>
    <s v="SD75051"/>
    <s v="COMBALUZIER LUCAS"/>
    <n v="5"/>
    <x v="1"/>
    <x v="0"/>
    <s v="PLAQUETTES"/>
    <s v="304x28 RPE"/>
    <n v="18.399999999999999"/>
  </r>
  <r>
    <d v="2025-09-12T14:44:48"/>
    <x v="9"/>
    <s v="Plaquettes rhombiques"/>
    <s v="040725"/>
    <s v="BARGEOT LUCAS"/>
    <n v="5"/>
    <x v="0"/>
    <x v="0"/>
    <s v="PLAQUETTES"/>
    <s v="356x26 RPI"/>
    <n v="18.399999999999999"/>
  </r>
  <r>
    <d v="2025-09-15T05:11:05"/>
    <x v="9"/>
    <s v="Plaquettes rhombiques"/>
    <s v="SD75051"/>
    <s v="COMBALUZIER LUCAS"/>
    <n v="5"/>
    <x v="1"/>
    <x v="0"/>
    <s v="PLAQUETTES"/>
    <s v="304x28 RPE"/>
    <n v="18.399999999999999"/>
  </r>
  <r>
    <d v="2025-09-15T05:14:48"/>
    <x v="9"/>
    <s v="Plaquettes rhombiques"/>
    <s v="SD75051"/>
    <s v="COMBALUZIER LUCAS"/>
    <n v="5"/>
    <x v="1"/>
    <x v="0"/>
    <s v="PLAQUETTES"/>
    <s v="304x28 RPE"/>
    <n v="18.399999999999999"/>
  </r>
  <r>
    <d v="2025-09-15T06:21:10"/>
    <x v="9"/>
    <s v="Plaquettes rhombiques"/>
    <s v="040725"/>
    <s v="BARGEOT LUCAS"/>
    <n v="5"/>
    <x v="0"/>
    <x v="0"/>
    <s v="PLAQUETTES"/>
    <s v="356x26 RPI"/>
    <n v="18.399999999999999"/>
  </r>
  <r>
    <d v="2025-09-15T21:19:20"/>
    <x v="9"/>
    <s v="Plaquettes rhombiques"/>
    <s v="j529800"/>
    <s v="MONTCHARMONT BAPTISTE"/>
    <n v="5"/>
    <x v="0"/>
    <x v="0"/>
    <s v="PLAQUETTES"/>
    <s v="356x26 RPI"/>
    <n v="18.399999999999999"/>
  </r>
  <r>
    <d v="2025-09-16T17:49:11"/>
    <x v="9"/>
    <s v="Plaquettes rhombiques"/>
    <s v="101224"/>
    <s v="CHAZEAU KYLIAN"/>
    <n v="5"/>
    <x v="0"/>
    <x v="0"/>
    <s v="PLAQUETTES"/>
    <s v="356x26 RPI"/>
    <n v="18.399999999999999"/>
  </r>
  <r>
    <d v="2025-09-17T13:59:31"/>
    <x v="9"/>
    <s v="Plaquettes rhombiques"/>
    <s v="101123"/>
    <s v="BRUNET ANDREA"/>
    <n v="5"/>
    <x v="1"/>
    <x v="0"/>
    <s v="PLAQUETTES"/>
    <s v="304x28 RPE"/>
    <n v="18.399999999999999"/>
  </r>
  <r>
    <d v="2025-09-17T21:23:53"/>
    <x v="9"/>
    <s v="Plaquettes rhombiques"/>
    <s v="j529800"/>
    <s v="MONTCHARMONT BAPTISTE"/>
    <n v="5"/>
    <x v="0"/>
    <x v="0"/>
    <s v="PLAQUETTES"/>
    <s v="356x26 RPI"/>
    <n v="18.399999999999999"/>
  </r>
  <r>
    <d v="2025-09-18T16:39:56"/>
    <x v="9"/>
    <s v="Plaquettes rhombiques"/>
    <s v="101224"/>
    <s v="CHAZEAU KYLIAN"/>
    <n v="5"/>
    <x v="0"/>
    <x v="0"/>
    <s v="PLAQUETTES"/>
    <s v="356x26 RPI"/>
    <n v="18.399999999999999"/>
  </r>
  <r>
    <d v="2025-09-19T13:01:45"/>
    <x v="9"/>
    <s v="Plaquettes rhombiques"/>
    <s v="101123"/>
    <s v="BRUNET ANDREA"/>
    <n v="5"/>
    <x v="1"/>
    <x v="0"/>
    <s v="PLAQUETTES"/>
    <s v="304x28 RPE"/>
    <n v="18.399999999999999"/>
  </r>
  <r>
    <d v="2025-09-19T14:02:18"/>
    <x v="9"/>
    <s v="Plaquettes rhombiques"/>
    <s v="101224"/>
    <s v="CHAZEAU KYLIAN"/>
    <n v="5"/>
    <x v="0"/>
    <x v="0"/>
    <s v="PLAQUETTES"/>
    <s v="356x26 RPI"/>
    <n v="18.399999999999999"/>
  </r>
  <r>
    <d v="2025-09-21T18:54:30"/>
    <x v="9"/>
    <s v="Plaquettes rhombiques"/>
    <s v="U109136"/>
    <s v="WIPLIE FREDERIC"/>
    <n v="5"/>
    <x v="1"/>
    <x v="0"/>
    <s v="PLAQUETTES"/>
    <s v="304x28 RPE"/>
    <n v="18.399999999999999"/>
  </r>
  <r>
    <d v="2025-09-21T20:13:15"/>
    <x v="9"/>
    <s v="Plaquettes rhombiques"/>
    <s v="150725"/>
    <s v="ADOUL WASSIM"/>
    <n v="5"/>
    <x v="0"/>
    <x v="0"/>
    <s v="PLAQUETTES"/>
    <s v="356x26 RPI"/>
    <n v="18.399999999999999"/>
  </r>
  <r>
    <d v="2025-09-22T05:31:34"/>
    <x v="9"/>
    <s v="Plaquettes rhombiques"/>
    <s v="U505000"/>
    <s v="RECEVEUR BENOIT"/>
    <n v="5"/>
    <x v="0"/>
    <x v="0"/>
    <s v="PLAQUETTES"/>
    <s v="356x26 RPI"/>
    <n v="18.399999999999999"/>
  </r>
  <r>
    <d v="2025-09-22T13:20:47"/>
    <x v="9"/>
    <s v="Plaquettes rhombiques"/>
    <s v="SD75051"/>
    <s v="COMBALUZIER LUCAS"/>
    <n v="5"/>
    <x v="1"/>
    <x v="0"/>
    <s v="PLAQUETTES"/>
    <s v="304x28 RPE"/>
    <n v="18.399999999999999"/>
  </r>
  <r>
    <d v="2025-09-23T05:03:52"/>
    <x v="9"/>
    <s v="Plaquettes rhombiques"/>
    <s v="101224"/>
    <s v="CHAZEAU KYLIAN"/>
    <n v="5"/>
    <x v="0"/>
    <x v="0"/>
    <s v="PLAQUETTES"/>
    <s v="356x26 RPI"/>
    <n v="18.399999999999999"/>
  </r>
  <r>
    <d v="2025-09-24T13:35:18"/>
    <x v="9"/>
    <s v="Plaquettes rhombiques"/>
    <s v="SD75051"/>
    <s v="COMBALUZIER LUCAS"/>
    <n v="5"/>
    <x v="1"/>
    <x v="0"/>
    <s v="PLAQUETTES"/>
    <s v="304x28 RPE"/>
    <n v="18.399999999999999"/>
  </r>
  <r>
    <d v="2025-09-24T14:21:47"/>
    <x v="9"/>
    <s v="Plaquettes rhombiques"/>
    <s v="SD75051"/>
    <s v="COMBALUZIER LUCAS"/>
    <n v="5"/>
    <x v="0"/>
    <x v="0"/>
    <s v="PLAQUETTES"/>
    <s v="356x26 RPI"/>
    <n v="18.399999999999999"/>
  </r>
  <r>
    <d v="2025-09-24T17:11:22"/>
    <x v="9"/>
    <s v="Plaquettes rhombiques"/>
    <s v="SD75051"/>
    <s v="COMBALUZIER LUCAS"/>
    <n v="5"/>
    <x v="3"/>
    <x v="0"/>
    <s v="PLAQUETTES"/>
    <s v="330x28 RPE KO"/>
    <n v="18.399999999999999"/>
  </r>
  <r>
    <d v="2025-09-25T10:02:00"/>
    <x v="9"/>
    <s v="Plaquettes rhombiques"/>
    <s v="101224"/>
    <s v="CHAZEAU KYLIAN"/>
    <n v="5"/>
    <x v="0"/>
    <x v="0"/>
    <s v="PLAQUETTES"/>
    <s v="356x26 RPI"/>
    <n v="18.399999999999999"/>
  </r>
  <r>
    <d v="2025-09-26T10:32:37"/>
    <x v="9"/>
    <s v="Plaquettes rhombiques"/>
    <s v="150725"/>
    <s v="ADOUL WASSIM"/>
    <n v="5"/>
    <x v="1"/>
    <x v="0"/>
    <s v="PLAQUETTES"/>
    <s v="304x28 RPE"/>
    <n v="18.399999999999999"/>
  </r>
  <r>
    <d v="2025-09-26T13:09:01"/>
    <x v="9"/>
    <s v="Plaquettes rhombiques"/>
    <s v="040725"/>
    <s v="BARGEOT LUCAS"/>
    <n v="5"/>
    <x v="0"/>
    <x v="0"/>
    <s v="PLAQUETTES"/>
    <s v="356x26 RPI"/>
    <n v="18.399999999999999"/>
  </r>
  <r>
    <d v="2025-09-26T13:09:41"/>
    <x v="9"/>
    <s v="Plaquettes rhombiques"/>
    <s v="040725"/>
    <s v="BARGEOT LUCAS"/>
    <n v="5"/>
    <x v="3"/>
    <x v="0"/>
    <s v="PLAQUETTES"/>
    <s v="330x28 RPE KO"/>
    <n v="18.399999999999999"/>
  </r>
  <r>
    <d v="2025-09-26T13:36:37"/>
    <x v="9"/>
    <s v="Plaquettes rhombiques"/>
    <s v="SD75051"/>
    <s v="COMBALUZIER LUCAS"/>
    <n v="5"/>
    <x v="1"/>
    <x v="0"/>
    <s v="PLAQUETTES"/>
    <s v="304x28 RPE"/>
    <n v="18.399999999999999"/>
  </r>
  <r>
    <d v="2025-09-29T21:24:20"/>
    <x v="9"/>
    <s v="Plaquettes rhombiques"/>
    <s v="j529800"/>
    <s v="MONTCHARMONT BAPTISTE"/>
    <n v="5"/>
    <x v="0"/>
    <x v="0"/>
    <s v="PLAQUETTES"/>
    <s v="356x26 RPI"/>
    <n v="18.399999999999999"/>
  </r>
  <r>
    <d v="2025-01-10T13:59:37"/>
    <x v="10"/>
    <s v="Plaquettes rondes"/>
    <s v="SE08251"/>
    <s v="FAYET AYMERIC"/>
    <n v="10"/>
    <x v="0"/>
    <x v="3"/>
    <s v="PLAQUETTES"/>
    <s v="330x14"/>
    <n v="136.69999999999999"/>
  </r>
  <r>
    <d v="2025-01-11T04:40:45"/>
    <x v="11"/>
    <s v="Plaquettes rondes"/>
    <s v="u636817"/>
    <s v="MOCQUEREAU LYDIE"/>
    <n v="10"/>
    <x v="2"/>
    <x v="4"/>
    <s v="PLAQUETTES"/>
    <s v="302x26 RPI"/>
    <n v="108.5"/>
  </r>
  <r>
    <d v="2025-01-13T14:24:33"/>
    <x v="10"/>
    <s v="Plaquettes rondes"/>
    <s v="12824586"/>
    <s v="DA SILVA FERNANDO"/>
    <n v="10"/>
    <x v="0"/>
    <x v="3"/>
    <s v="PLAQUETTES"/>
    <s v="TOUT DISQUES"/>
    <n v="136.69999999999999"/>
  </r>
  <r>
    <d v="2025-01-14T21:09:55"/>
    <x v="10"/>
    <s v="Plaquettes rondes"/>
    <s v="130124"/>
    <s v="MOHAMED ILDIRAY"/>
    <n v="10"/>
    <x v="1"/>
    <x v="3"/>
    <s v="PLAQUETTES"/>
    <s v="304x28 RPE"/>
    <n v="136.69999999999999"/>
  </r>
  <r>
    <d v="2025-01-14T21:10:21"/>
    <x v="11"/>
    <s v="Plaquettes rondes"/>
    <s v="130124"/>
    <s v="MOHAMED ILDIRAY"/>
    <n v="20"/>
    <x v="1"/>
    <x v="3"/>
    <s v="PLAQUETTES"/>
    <s v="304x28 RPE"/>
    <n v="217"/>
  </r>
  <r>
    <d v="2025-01-14T21:39:55"/>
    <x v="10"/>
    <s v="Plaquettes rondes"/>
    <s v="101224"/>
    <s v="CHAZEAU KYLIAN"/>
    <n v="20"/>
    <x v="0"/>
    <x v="3"/>
    <s v="PLAQUETTES"/>
    <s v="330x14"/>
    <n v="273.39999999999998"/>
  </r>
  <r>
    <d v="2025-01-15T21:16:18"/>
    <x v="11"/>
    <s v="Plaquettes rondes"/>
    <s v="101123"/>
    <s v="BRUNET ANDREA"/>
    <n v="10"/>
    <x v="2"/>
    <x v="4"/>
    <s v="PLAQUETTES"/>
    <s v="302x26 RPI"/>
    <n v="108.5"/>
  </r>
  <r>
    <d v="2025-01-17T21:24:07"/>
    <x v="11"/>
    <s v="Plaquettes rondes"/>
    <s v="130124"/>
    <s v="MOHAMED ILDIRAY"/>
    <n v="10"/>
    <x v="1"/>
    <x v="3"/>
    <s v="PLAQUETTES"/>
    <s v="304x28 RPE"/>
    <n v="108.5"/>
  </r>
  <r>
    <d v="2025-01-17T21:24:31"/>
    <x v="10"/>
    <s v="Plaquettes rondes"/>
    <s v="130124"/>
    <s v="MOHAMED ILDIRAY"/>
    <n v="10"/>
    <x v="1"/>
    <x v="3"/>
    <s v="PLAQUETTES"/>
    <s v="304x28 RPE"/>
    <n v="136.69999999999999"/>
  </r>
  <r>
    <d v="2025-01-20T05:12:31"/>
    <x v="11"/>
    <s v="Plaquettes rondes"/>
    <s v="SD75051"/>
    <s v="COMBALUZIER LUCAS"/>
    <n v="10"/>
    <x v="1"/>
    <x v="3"/>
    <s v="PLAQUETTES"/>
    <s v="304x28 RPE"/>
    <n v="108.5"/>
  </r>
  <r>
    <d v="2025-01-21T05:11:37"/>
    <x v="10"/>
    <s v="Plaquettes rondes"/>
    <s v="SD75051"/>
    <s v="COMBALUZIER LUCAS"/>
    <n v="10"/>
    <x v="1"/>
    <x v="3"/>
    <s v="PLAQUETTES"/>
    <s v="304x28 RPE"/>
    <n v="136.69999999999999"/>
  </r>
  <r>
    <d v="2025-01-23T05:10:04"/>
    <x v="11"/>
    <s v="Plaquettes rondes"/>
    <s v="SD75051"/>
    <s v="COMBALUZIER LUCAS"/>
    <n v="10"/>
    <x v="1"/>
    <x v="3"/>
    <s v="PLAQUETTES"/>
    <s v="304x28 RPE"/>
    <n v="108.5"/>
  </r>
  <r>
    <d v="2025-01-23T06:40:21"/>
    <x v="11"/>
    <s v="Plaquettes rondes"/>
    <s v="u636817"/>
    <s v="MOCQUEREAU LYDIE"/>
    <n v="20"/>
    <x v="2"/>
    <x v="4"/>
    <s v="PLAQUETTES"/>
    <s v="302x26 RPI"/>
    <n v="217"/>
  </r>
  <r>
    <d v="2025-01-27T02:15:52"/>
    <x v="10"/>
    <s v="Plaquettes rondes"/>
    <s v="U515988"/>
    <s v="BLAHA"/>
    <n v="10"/>
    <x v="1"/>
    <x v="3"/>
    <s v="PLAQUETTES"/>
    <s v="356x26 RPI"/>
    <n v="136.69999999999999"/>
  </r>
  <r>
    <d v="2025-01-29T05:16:46"/>
    <x v="11"/>
    <s v="Plaquettes rondes"/>
    <s v="101123"/>
    <s v="BRUNET ANDREA"/>
    <n v="10"/>
    <x v="2"/>
    <x v="4"/>
    <s v="PLAQUETTES"/>
    <s v="302x26 RPI"/>
    <n v="108.5"/>
  </r>
  <r>
    <d v="2025-01-29T06:38:02"/>
    <x v="10"/>
    <s v="Plaquettes rondes"/>
    <s v="130124"/>
    <s v="MOHAMED ILDIRAY"/>
    <n v="10"/>
    <x v="1"/>
    <x v="3"/>
    <s v="PLAQUETTES"/>
    <s v="356x26 RPI"/>
    <n v="136.69999999999999"/>
  </r>
  <r>
    <d v="2025-01-29T13:11:59"/>
    <x v="11"/>
    <s v="Plaquettes rondes"/>
    <s v="11737592"/>
    <s v="BLOCQUET DAVID"/>
    <n v="10"/>
    <x v="2"/>
    <x v="4"/>
    <s v="PLAQUETTES"/>
    <s v="302x26 RPI"/>
    <n v="108.5"/>
  </r>
  <r>
    <d v="2025-01-30T18:54:27"/>
    <x v="10"/>
    <s v="Plaquettes rondes"/>
    <s v="SE08251"/>
    <s v="FAYET AYMERIC"/>
    <n v="10"/>
    <x v="0"/>
    <x v="3"/>
    <s v="PLAQUETTES"/>
    <s v="330x14"/>
    <n v="136.69999999999999"/>
  </r>
  <r>
    <d v="2025-01-30T20:52:45"/>
    <x v="11"/>
    <s v="Plaquettes rondes"/>
    <s v="u636817"/>
    <s v="MOCQUEREAU LYDIE"/>
    <n v="20"/>
    <x v="2"/>
    <x v="4"/>
    <s v="PLAQUETTES"/>
    <s v="302x26 RPI"/>
    <n v="217"/>
  </r>
  <r>
    <d v="2025-01-31T13:54:14"/>
    <x v="10"/>
    <s v="Plaquettes rondes"/>
    <s v="3224"/>
    <s v="BIDOT MURIEL"/>
    <n v="10"/>
    <x v="1"/>
    <x v="3"/>
    <s v="PLAQUETTES"/>
    <s v="356x26 RPI"/>
    <n v="136.69999999999999"/>
  </r>
  <r>
    <d v="2025-01-31T14:25:44"/>
    <x v="10"/>
    <s v="Plaquettes rondes"/>
    <s v="SE08251"/>
    <s v="FAYET AYMERIC"/>
    <n v="10"/>
    <x v="0"/>
    <x v="3"/>
    <s v="PLAQUETTES"/>
    <s v="330x14"/>
    <n v="136.69999999999999"/>
  </r>
  <r>
    <d v="2025-02-02T19:11:05"/>
    <x v="10"/>
    <s v="Plaquettes rondes"/>
    <s v="U080365"/>
    <s v="ALAVOINE SAMUEL"/>
    <n v="10"/>
    <x v="0"/>
    <x v="3"/>
    <s v="PLAQUETTES"/>
    <s v="330x14"/>
    <n v="136.69999999999999"/>
  </r>
  <r>
    <d v="2025-02-03T14:29:19"/>
    <x v="10"/>
    <s v="Plaquettes rondes"/>
    <s v="12824586"/>
    <s v="DA SILVA FERNANDO"/>
    <n v="10"/>
    <x v="0"/>
    <x v="3"/>
    <s v="PLAQUETTES"/>
    <s v="TOUT DISQUES"/>
    <n v="136.69999999999999"/>
  </r>
  <r>
    <d v="2025-02-04T03:21:56"/>
    <x v="10"/>
    <s v="Plaquettes rondes"/>
    <s v="130124"/>
    <s v="MOHAMED ILDIRAY"/>
    <n v="10"/>
    <x v="1"/>
    <x v="3"/>
    <s v="PLAQUETTES"/>
    <s v="356x26 RPI"/>
    <n v="136.69999999999999"/>
  </r>
  <r>
    <d v="2025-02-04T13:31:30"/>
    <x v="10"/>
    <s v="Plaquettes rondes"/>
    <s v="SD75051"/>
    <s v="COMBALUZIER LUCAS"/>
    <n v="10"/>
    <x v="0"/>
    <x v="3"/>
    <s v="PLAQUETTES"/>
    <s v="330x14"/>
    <n v="136.69999999999999"/>
  </r>
  <r>
    <d v="2025-02-05T07:50:22"/>
    <x v="10"/>
    <s v="Plaquettes rondes"/>
    <s v="SE08251"/>
    <s v="FAYET AYMERIC"/>
    <n v="10"/>
    <x v="0"/>
    <x v="3"/>
    <s v="PLAQUETTES"/>
    <s v="330x14"/>
    <n v="136.69999999999999"/>
  </r>
  <r>
    <d v="2025-02-06T01:43:21"/>
    <x v="10"/>
    <s v="Plaquettes rondes"/>
    <s v="130124"/>
    <s v="MOHAMED ILDIRAY"/>
    <n v="10"/>
    <x v="1"/>
    <x v="3"/>
    <s v="PLAQUETTES"/>
    <s v="356x26 RPI"/>
    <n v="136.69999999999999"/>
  </r>
  <r>
    <d v="2025-02-07T13:39:50"/>
    <x v="10"/>
    <s v="Plaquettes rondes"/>
    <s v="SD75051"/>
    <s v="COMBALUZIER LUCAS"/>
    <n v="10"/>
    <x v="1"/>
    <x v="3"/>
    <s v="PLAQUETTES"/>
    <s v="356x26 RPI"/>
    <n v="136.69999999999999"/>
  </r>
  <r>
    <d v="2025-02-10T18:28:41"/>
    <x v="10"/>
    <s v="Plaquettes rondes"/>
    <s v="130124"/>
    <s v="MOHAMED ILDIRAY"/>
    <n v="10"/>
    <x v="1"/>
    <x v="3"/>
    <s v="PLAQUETTES"/>
    <s v="356x26 RPI"/>
    <n v="136.69999999999999"/>
  </r>
  <r>
    <d v="2025-02-11T06:26:37"/>
    <x v="11"/>
    <s v="Plaquettes rondes"/>
    <s v="140325"/>
    <s v="BOUCLIER JONATHAN"/>
    <n v="10"/>
    <x v="2"/>
    <x v="4"/>
    <s v="PLAQUETTES"/>
    <s v="302x26 RPI"/>
    <n v="108.5"/>
  </r>
  <r>
    <d v="2025-02-11T21:22:16"/>
    <x v="10"/>
    <s v="Plaquettes rondes"/>
    <s v="SE08251"/>
    <s v="FAYET AYMERIC"/>
    <n v="10"/>
    <x v="0"/>
    <x v="3"/>
    <s v="PLAQUETTES"/>
    <s v="330x14"/>
    <n v="136.69999999999999"/>
  </r>
  <r>
    <d v="2025-02-13T08:35:27"/>
    <x v="10"/>
    <s v="Plaquettes rondes"/>
    <s v="SD75051"/>
    <s v="COMBALUZIER LUCAS"/>
    <n v="10"/>
    <x v="1"/>
    <x v="3"/>
    <s v="PLAQUETTES"/>
    <s v="356x26 RPI"/>
    <n v="136.69999999999999"/>
  </r>
  <r>
    <d v="2025-02-13T08:40:30"/>
    <x v="10"/>
    <s v="Plaquettes rondes"/>
    <s v="7236310"/>
    <s v="BRANDALY JEREMY"/>
    <n v="10"/>
    <x v="0"/>
    <x v="3"/>
    <s v="PLAQUETTES"/>
    <s v="330x14"/>
    <n v="136.69999999999999"/>
  </r>
  <r>
    <d v="2025-02-13T22:30:15"/>
    <x v="10"/>
    <s v="Plaquettes rondes"/>
    <s v="SE08251"/>
    <s v="FAYET AYMERIC"/>
    <n v="10"/>
    <x v="0"/>
    <x v="3"/>
    <s v="PLAQUETTES"/>
    <s v="330x14"/>
    <n v="136.69999999999999"/>
  </r>
  <r>
    <d v="2025-02-14T13:07:01"/>
    <x v="11"/>
    <s v="Plaquettes rondes"/>
    <s v="130124"/>
    <s v="MOHAMED ILDIRAY"/>
    <n v="10"/>
    <x v="1"/>
    <x v="3"/>
    <s v="PLAQUETTES"/>
    <s v="304x28 RPE"/>
    <n v="108.5"/>
  </r>
  <r>
    <d v="2025-02-14T19:42:22"/>
    <x v="11"/>
    <s v="Plaquettes rondes"/>
    <s v="101123"/>
    <s v="BRUNET ANDREA"/>
    <n v="10"/>
    <x v="2"/>
    <x v="4"/>
    <s v="PLAQUETTES"/>
    <s v="302x26 RPI"/>
    <n v="108.5"/>
  </r>
  <r>
    <d v="2025-02-15T05:34:59"/>
    <x v="10"/>
    <s v="Plaquettes rondes"/>
    <s v="U080365"/>
    <s v="ALAVOINE SAMUEL"/>
    <n v="10"/>
    <x v="0"/>
    <x v="3"/>
    <s v="PLAQUETTES"/>
    <s v="330x14"/>
    <n v="136.69999999999999"/>
  </r>
  <r>
    <d v="2025-02-17T05:13:56"/>
    <x v="10"/>
    <s v="Plaquettes rondes"/>
    <s v="130124"/>
    <s v="MOHAMED ILDIRAY"/>
    <n v="10"/>
    <x v="1"/>
    <x v="3"/>
    <s v="PLAQUETTES"/>
    <s v="304x28 RPE"/>
    <n v="136.69999999999999"/>
  </r>
  <r>
    <d v="2025-02-17T09:53:46"/>
    <x v="10"/>
    <s v="Plaquettes rondes"/>
    <s v="101224"/>
    <s v="CHAZEAU KYLIAN"/>
    <n v="10"/>
    <x v="0"/>
    <x v="3"/>
    <s v="PLAQUETTES"/>
    <s v="330x14"/>
    <n v="136.69999999999999"/>
  </r>
  <r>
    <d v="2025-02-17T21:15:22"/>
    <x v="11"/>
    <s v="Plaquettes rondes"/>
    <s v="SD75051"/>
    <s v="COMBALUZIER LUCAS"/>
    <n v="10"/>
    <x v="1"/>
    <x v="3"/>
    <s v="PLAQUETTES"/>
    <s v="304x28 RPE"/>
    <n v="108.5"/>
  </r>
  <r>
    <d v="2025-02-18T01:42:06"/>
    <x v="10"/>
    <s v="Plaquettes rondes"/>
    <s v="7236310"/>
    <s v="BRANDALY JEREMY"/>
    <n v="10"/>
    <x v="0"/>
    <x v="3"/>
    <s v="PLAQUETTES"/>
    <s v="330x14"/>
    <n v="136.69999999999999"/>
  </r>
  <r>
    <d v="2025-02-18T02:54:12"/>
    <x v="11"/>
    <s v="Plaquettes rondes"/>
    <s v="140325"/>
    <s v="BOUCLIER JONATHAN"/>
    <n v="10"/>
    <x v="2"/>
    <x v="4"/>
    <s v="PLAQUETTES"/>
    <s v="302x26 RPI"/>
    <n v="108.5"/>
  </r>
  <r>
    <d v="2025-02-18T14:20:40"/>
    <x v="10"/>
    <s v="Plaquettes rondes"/>
    <s v="3224"/>
    <s v="BIDOT MURIEL"/>
    <n v="10"/>
    <x v="1"/>
    <x v="3"/>
    <s v="PLAQUETTES"/>
    <s v="304x28 RPE"/>
    <n v="136.69999999999999"/>
  </r>
  <r>
    <d v="2025-02-19T07:28:27"/>
    <x v="10"/>
    <s v="Plaquettes rondes"/>
    <s v="101224"/>
    <s v="CHAZEAU KYLIAN"/>
    <n v="10"/>
    <x v="0"/>
    <x v="3"/>
    <s v="PLAQUETTES"/>
    <s v="330x14"/>
    <n v="136.69999999999999"/>
  </r>
  <r>
    <d v="2025-02-19T21:56:46"/>
    <x v="10"/>
    <s v="Plaquettes rondes"/>
    <s v="7236310"/>
    <s v="BRANDALY JEREMY"/>
    <n v="10"/>
    <x v="0"/>
    <x v="3"/>
    <s v="PLAQUETTES"/>
    <s v="330x14"/>
    <n v="136.69999999999999"/>
  </r>
  <r>
    <d v="2025-02-20T05:23:12"/>
    <x v="10"/>
    <s v="Plaquettes rondes"/>
    <s v="130124"/>
    <s v="MOHAMED ILDIRAY"/>
    <n v="10"/>
    <x v="1"/>
    <x v="3"/>
    <s v="PLAQUETTES"/>
    <s v="304x28 RPE"/>
    <n v="136.69999999999999"/>
  </r>
  <r>
    <d v="2025-02-20T13:37:29"/>
    <x v="11"/>
    <s v="Plaquettes rondes"/>
    <s v="11737592"/>
    <s v="BLOCQUET DAVID"/>
    <n v="10"/>
    <x v="2"/>
    <x v="4"/>
    <s v="PLAQUETTES"/>
    <s v="302x26 RPI"/>
    <n v="108.5"/>
  </r>
  <r>
    <d v="2025-02-20T21:48:25"/>
    <x v="11"/>
    <s v="Plaquettes rondes"/>
    <s v="SD75051"/>
    <s v="COMBALUZIER LUCAS"/>
    <n v="10"/>
    <x v="1"/>
    <x v="3"/>
    <s v="PLAQUETTES"/>
    <s v="304x28 RPE"/>
    <n v="108.5"/>
  </r>
  <r>
    <d v="2025-02-21T12:07:09"/>
    <x v="10"/>
    <s v="Plaquettes rondes"/>
    <s v="1234"/>
    <s v=" "/>
    <n v="10"/>
    <x v="0"/>
    <x v="3"/>
    <s v="PLAQUETTES"/>
    <s v="330x14"/>
    <n v="136.69999999999999"/>
  </r>
  <r>
    <d v="2025-02-21T13:16:05"/>
    <x v="10"/>
    <s v="Plaquettes rondes"/>
    <s v="130124"/>
    <s v="MOHAMED ILDIRAY"/>
    <n v="10"/>
    <x v="1"/>
    <x v="3"/>
    <s v="PLAQUETTES"/>
    <s v="304x28 RPE"/>
    <n v="136.69999999999999"/>
  </r>
  <r>
    <d v="2025-02-22T05:24:54"/>
    <x v="10"/>
    <s v="Plaquettes rondes"/>
    <s v="U109136"/>
    <s v="WIPLIE FREDERIC"/>
    <n v="10"/>
    <x v="0"/>
    <x v="3"/>
    <s v="PLAQUETTES"/>
    <s v="330x14"/>
    <n v="136.69999999999999"/>
  </r>
  <r>
    <d v="2025-02-22T06:41:00"/>
    <x v="10"/>
    <s v="Plaquettes rondes"/>
    <s v="U080365"/>
    <s v="ALAVOINE SAMUEL"/>
    <n v="10"/>
    <x v="1"/>
    <x v="3"/>
    <s v="PLAQUETTES"/>
    <s v="304x28 RPE"/>
    <n v="136.69999999999999"/>
  </r>
  <r>
    <d v="2025-02-24T10:34:19"/>
    <x v="10"/>
    <s v="Plaquettes rondes"/>
    <s v="280225"/>
    <s v="FERNANDES DOS SANTOS REMY"/>
    <n v="10"/>
    <x v="0"/>
    <x v="3"/>
    <s v="PLAQUETTES"/>
    <s v="330x14"/>
    <n v="136.69999999999999"/>
  </r>
  <r>
    <d v="2025-02-24T21:07:38"/>
    <x v="11"/>
    <s v="Plaquettes rondes"/>
    <s v="130124"/>
    <s v="MOHAMED ILDIRAY"/>
    <n v="10"/>
    <x v="1"/>
    <x v="3"/>
    <s v="PLAQUETTES"/>
    <s v="304x28 RPE"/>
    <n v="108.5"/>
  </r>
  <r>
    <d v="2025-02-25T04:38:00"/>
    <x v="10"/>
    <s v="Plaquettes rondes"/>
    <s v="101224"/>
    <s v="CHAZEAU KYLIAN"/>
    <n v="10"/>
    <x v="0"/>
    <x v="3"/>
    <s v="PLAQUETTES"/>
    <s v="330x14"/>
    <n v="136.69999999999999"/>
  </r>
  <r>
    <d v="2025-02-25T06:15:37"/>
    <x v="10"/>
    <s v="Plaquettes rondes"/>
    <s v="280225"/>
    <s v="FERNANDES DOS SANTOS REMY"/>
    <n v="10"/>
    <x v="1"/>
    <x v="3"/>
    <s v="PLAQUETTES"/>
    <s v="304x28 RPE"/>
    <n v="136.69999999999999"/>
  </r>
  <r>
    <d v="2025-02-25T06:15:57"/>
    <x v="10"/>
    <s v="Plaquettes rondes"/>
    <s v="280225"/>
    <s v="FERNANDES DOS SANTOS REMY"/>
    <n v="10"/>
    <x v="1"/>
    <x v="3"/>
    <s v="PLAQUETTES"/>
    <s v="304x28 RPE"/>
    <n v="136.69999999999999"/>
  </r>
  <r>
    <d v="2025-02-25T21:14:55"/>
    <x v="10"/>
    <s v="Plaquettes rondes"/>
    <s v="101224"/>
    <s v="CHAZEAU KYLIAN"/>
    <n v="10"/>
    <x v="0"/>
    <x v="3"/>
    <s v="PLAQUETTES"/>
    <s v="330x14"/>
    <n v="136.69999999999999"/>
  </r>
  <r>
    <d v="2025-02-27T06:20:19"/>
    <x v="11"/>
    <s v="Plaquettes rondes"/>
    <s v="280225"/>
    <s v="FERNANDES DOS SANTOS REMY"/>
    <n v="10"/>
    <x v="1"/>
    <x v="3"/>
    <s v="PLAQUETTES"/>
    <s v="304x28 RPE"/>
    <n v="108.5"/>
  </r>
  <r>
    <d v="2025-02-27T13:17:34"/>
    <x v="11"/>
    <s v="Plaquettes rondes"/>
    <s v="140325"/>
    <s v="BOUCLIER JONATHAN"/>
    <n v="10"/>
    <x v="2"/>
    <x v="4"/>
    <s v="PLAQUETTES"/>
    <s v="302x26 RPI"/>
    <n v="108.5"/>
  </r>
  <r>
    <d v="2025-02-28T03:09:59"/>
    <x v="10"/>
    <s v="Plaquettes rondes"/>
    <s v="101224"/>
    <s v="CHAZEAU KYLIAN"/>
    <n v="10"/>
    <x v="0"/>
    <x v="3"/>
    <s v="PLAQUETTES"/>
    <s v="356x26 RPI"/>
    <n v="136.69999999999999"/>
  </r>
  <r>
    <d v="2025-02-28T05:13:19"/>
    <x v="11"/>
    <s v="Plaquettes rondes"/>
    <s v="J534699"/>
    <s v="FABIAN CHARTON"/>
    <n v="10"/>
    <x v="2"/>
    <x v="4"/>
    <s v="PLAQUETTES"/>
    <s v="302x26 RPI"/>
    <n v="108.5"/>
  </r>
  <r>
    <d v="2025-02-28T12:17:49"/>
    <x v="10"/>
    <s v="Plaquettes rondes"/>
    <s v="1234"/>
    <s v=" "/>
    <n v="10"/>
    <x v="1"/>
    <x v="3"/>
    <s v="PLAQUETTES"/>
    <s v="304x28 RPE"/>
    <n v="136.69999999999999"/>
  </r>
  <r>
    <d v="2025-02-28T21:11:09"/>
    <x v="11"/>
    <s v="Plaquettes rondes"/>
    <s v="130124"/>
    <s v="MOHAMED ILDIRAY"/>
    <n v="10"/>
    <x v="1"/>
    <x v="3"/>
    <s v="PLAQUETTES"/>
    <s v="304x28 RPE"/>
    <n v="108.5"/>
  </r>
  <r>
    <d v="2025-03-01T11:30:25"/>
    <x v="10"/>
    <s v="Plaquettes rondes"/>
    <s v="1234"/>
    <s v=" "/>
    <n v="10"/>
    <x v="1"/>
    <x v="3"/>
    <s v="PLAQUETTES"/>
    <s v="304x28 RPE"/>
    <n v="136.69999999999999"/>
  </r>
  <r>
    <d v="2025-03-03T06:25:15"/>
    <x v="11"/>
    <s v="Plaquettes rondes"/>
    <s v="140325"/>
    <s v="BOUCLIER JONATHAN"/>
    <n v="10"/>
    <x v="2"/>
    <x v="4"/>
    <s v="PLAQUETTES"/>
    <s v="302x26 RPI"/>
    <n v="108.5"/>
  </r>
  <r>
    <d v="2025-03-03T13:07:31"/>
    <x v="10"/>
    <s v="Plaquettes rondes"/>
    <s v="101224"/>
    <s v="CHAZEAU KYLIAN"/>
    <n v="10"/>
    <x v="0"/>
    <x v="3"/>
    <s v="PLAQUETTES"/>
    <s v="356x26 RPI"/>
    <n v="136.69999999999999"/>
  </r>
  <r>
    <d v="2025-03-03T22:00:03"/>
    <x v="10"/>
    <s v="Plaquettes rondes"/>
    <s v="280225"/>
    <s v="FERNANDES DOS SANTOS REMY"/>
    <n v="10"/>
    <x v="1"/>
    <x v="3"/>
    <s v="PLAQUETTES"/>
    <s v="304x28 RPE"/>
    <n v="136.69999999999999"/>
  </r>
  <r>
    <d v="2025-03-04T03:33:00"/>
    <x v="11"/>
    <s v="Plaquettes rondes"/>
    <s v="280225"/>
    <s v="FERNANDES DOS SANTOS REMY"/>
    <n v="10"/>
    <x v="1"/>
    <x v="3"/>
    <s v="PLAQUETTES"/>
    <s v="304x28 RPE"/>
    <n v="108.5"/>
  </r>
  <r>
    <d v="2025-03-04T13:15:21"/>
    <x v="11"/>
    <s v="Plaquettes rondes"/>
    <s v="101123"/>
    <s v="BRUNET ANDREA"/>
    <n v="10"/>
    <x v="2"/>
    <x v="4"/>
    <s v="PLAQUETTES"/>
    <s v="302x26 RPI"/>
    <n v="108.5"/>
  </r>
  <r>
    <d v="2025-03-05T00:34:30"/>
    <x v="10"/>
    <s v="Plaquettes rondes"/>
    <s v="SE08251"/>
    <s v="FAYET AYMERIC"/>
    <n v="10"/>
    <x v="0"/>
    <x v="3"/>
    <s v="PLAQUETTES"/>
    <s v="356x26 RPI"/>
    <n v="136.69999999999999"/>
  </r>
  <r>
    <d v="2025-03-05T05:52:29"/>
    <x v="10"/>
    <s v="Plaquettes rondes"/>
    <s v="130325"/>
    <s v="PAPONNEAU JULIEN"/>
    <n v="10"/>
    <x v="1"/>
    <x v="3"/>
    <s v="PLAQUETTES"/>
    <s v="304x28 RPE"/>
    <n v="136.69999999999999"/>
  </r>
  <r>
    <d v="2025-03-05T09:04:38"/>
    <x v="11"/>
    <s v="Plaquettes rondes"/>
    <s v="140325"/>
    <s v="BOUCLIER JONATHAN"/>
    <n v="10"/>
    <x v="2"/>
    <x v="4"/>
    <s v="PLAQUETTES"/>
    <s v="302x26 RPI"/>
    <n v="108.5"/>
  </r>
  <r>
    <d v="2025-03-06T04:32:40"/>
    <x v="11"/>
    <s v="Plaquettes rondes"/>
    <s v="11737592"/>
    <s v="BLOCQUET DAVID"/>
    <n v="10"/>
    <x v="2"/>
    <x v="4"/>
    <s v="PLAQUETTES"/>
    <s v="302x26 RPI"/>
    <n v="108.5"/>
  </r>
  <r>
    <d v="2025-03-06T04:34:03"/>
    <x v="11"/>
    <s v="Plaquettes rondes"/>
    <s v="11737592"/>
    <s v="BLOCQUET DAVID"/>
    <n v="10"/>
    <x v="2"/>
    <x v="4"/>
    <s v="PLAQUETTES"/>
    <s v="302x26 RPI"/>
    <n v="108.5"/>
  </r>
  <r>
    <d v="2025-03-06T13:25:54"/>
    <x v="10"/>
    <s v="Plaquettes rondes"/>
    <s v="101224"/>
    <s v="CHAZEAU KYLIAN"/>
    <n v="10"/>
    <x v="0"/>
    <x v="3"/>
    <s v="PLAQUETTES"/>
    <s v="330x14"/>
    <n v="136.69999999999999"/>
  </r>
  <r>
    <d v="2025-03-06T13:44:51"/>
    <x v="11"/>
    <s v="Plaquettes rondes"/>
    <s v="130124"/>
    <s v="MOHAMED ILDIRAY"/>
    <n v="10"/>
    <x v="1"/>
    <x v="3"/>
    <s v="PLAQUETTES"/>
    <s v="304x28 RPE"/>
    <n v="108.5"/>
  </r>
  <r>
    <d v="2025-03-06T13:45:24"/>
    <x v="10"/>
    <s v="Plaquettes rondes"/>
    <s v="130124"/>
    <s v="MOHAMED ILDIRAY"/>
    <n v="10"/>
    <x v="1"/>
    <x v="3"/>
    <s v="PLAQUETTES"/>
    <s v="304x28 RPE"/>
    <n v="136.69999999999999"/>
  </r>
  <r>
    <d v="2025-03-07T21:21:33"/>
    <x v="10"/>
    <s v="Plaquettes rondes"/>
    <s v="SE08251"/>
    <s v="FAYET AYMERIC"/>
    <n v="10"/>
    <x v="0"/>
    <x v="3"/>
    <s v="PLAQUETTES"/>
    <s v="330x14"/>
    <n v="136.69999999999999"/>
  </r>
  <r>
    <d v="2025-03-09T21:10:59"/>
    <x v="10"/>
    <s v="Plaquettes rondes"/>
    <s v="1234"/>
    <s v=" "/>
    <n v="10"/>
    <x v="0"/>
    <x v="3"/>
    <s v="PLAQUETTES"/>
    <s v="330x14"/>
    <n v="136.69999999999999"/>
  </r>
  <r>
    <d v="2025-03-10T13:26:04"/>
    <x v="10"/>
    <s v="Plaquettes rondes"/>
    <s v="SE08251"/>
    <s v="FAYET AYMERIC"/>
    <n v="10"/>
    <x v="0"/>
    <x v="3"/>
    <s v="PLAQUETTES"/>
    <s v="330x14"/>
    <n v="136.69999999999999"/>
  </r>
  <r>
    <d v="2025-03-10T17:12:20"/>
    <x v="11"/>
    <s v="Plaquettes rondes"/>
    <s v="280225"/>
    <s v="FERNANDES DOS SANTOS REMY"/>
    <n v="10"/>
    <x v="1"/>
    <x v="3"/>
    <s v="PLAQUETTES"/>
    <s v="304x28 RPE"/>
    <n v="108.5"/>
  </r>
  <r>
    <d v="2025-03-10T17:12:41"/>
    <x v="10"/>
    <s v="Plaquettes rondes"/>
    <s v="280225"/>
    <s v="FERNANDES DOS SANTOS REMY"/>
    <n v="10"/>
    <x v="1"/>
    <x v="3"/>
    <s v="PLAQUETTES"/>
    <s v="304x28 RPE"/>
    <n v="136.69999999999999"/>
  </r>
  <r>
    <d v="2025-03-10T21:33:57"/>
    <x v="11"/>
    <s v="Plaquettes rondes"/>
    <s v="140325"/>
    <s v="BOUCLIER JONATHAN"/>
    <n v="10"/>
    <x v="2"/>
    <x v="4"/>
    <s v="PLAQUETTES"/>
    <s v="302x26 RPI"/>
    <n v="108.5"/>
  </r>
  <r>
    <d v="2025-03-11T09:35:35"/>
    <x v="10"/>
    <s v="Plaquettes rondes"/>
    <s v="101224"/>
    <s v="CHAZEAU KYLIAN"/>
    <n v="10"/>
    <x v="0"/>
    <x v="3"/>
    <s v="PLAQUETTES"/>
    <s v="330x14"/>
    <n v="136.69999999999999"/>
  </r>
  <r>
    <d v="2025-03-12T05:16:22"/>
    <x v="10"/>
    <s v="Plaquettes rondes"/>
    <s v="101224"/>
    <s v="CHAZEAU KYLIAN"/>
    <n v="10"/>
    <x v="0"/>
    <x v="3"/>
    <s v="PLAQUETTES"/>
    <s v="330x14"/>
    <n v="136.69999999999999"/>
  </r>
  <r>
    <d v="2025-03-12T14:36:02"/>
    <x v="10"/>
    <s v="Plaquettes rondes"/>
    <s v="280225"/>
    <s v="FERNANDES DOS SANTOS REMY"/>
    <n v="10"/>
    <x v="1"/>
    <x v="3"/>
    <s v="PLAQUETTES"/>
    <s v="304x28 RPE"/>
    <n v="136.69999999999999"/>
  </r>
  <r>
    <d v="2025-03-13T01:22:41"/>
    <x v="10"/>
    <s v="Plaquettes rondes"/>
    <s v="7236310"/>
    <s v="BRANDALY JEREMY"/>
    <n v="10"/>
    <x v="0"/>
    <x v="3"/>
    <s v="PLAQUETTES"/>
    <s v="330x14"/>
    <n v="136.69999999999999"/>
  </r>
  <r>
    <d v="2025-03-13T07:21:38"/>
    <x v="11"/>
    <s v="Plaquettes rondes"/>
    <s v="101123"/>
    <s v="BRUNET ANDREA"/>
    <n v="10"/>
    <x v="2"/>
    <x v="4"/>
    <s v="PLAQUETTES"/>
    <s v="302x26 RPI"/>
    <n v="108.5"/>
  </r>
  <r>
    <d v="2025-03-13T23:48:18"/>
    <x v="11"/>
    <s v="Plaquettes rondes"/>
    <s v="130325"/>
    <s v="PAPONNEAU JULIEN"/>
    <n v="10"/>
    <x v="1"/>
    <x v="3"/>
    <s v="PLAQUETTES"/>
    <s v="304x28 RPE"/>
    <n v="108.5"/>
  </r>
  <r>
    <d v="2025-03-13T23:48:43"/>
    <x v="10"/>
    <s v="Plaquettes rondes"/>
    <s v="130325"/>
    <s v="PAPONNEAU JULIEN"/>
    <n v="10"/>
    <x v="1"/>
    <x v="3"/>
    <s v="PLAQUETTES"/>
    <s v="304x28 RPE"/>
    <n v="136.69999999999999"/>
  </r>
  <r>
    <d v="2025-03-14T03:16:16"/>
    <x v="11"/>
    <s v="Plaquettes rondes"/>
    <s v="SD75051"/>
    <s v="COMBALUZIER LUCAS"/>
    <n v="10"/>
    <x v="0"/>
    <x v="3"/>
    <s v="PLAQUETTES"/>
    <s v="304x28 RPE"/>
    <n v="108.5"/>
  </r>
  <r>
    <d v="2025-03-14T03:16:39"/>
    <x v="10"/>
    <s v="Plaquettes rondes"/>
    <s v="SD75051"/>
    <s v="COMBALUZIER LUCAS"/>
    <n v="10"/>
    <x v="0"/>
    <x v="3"/>
    <s v="PLAQUETTES"/>
    <s v="330x14"/>
    <n v="136.69999999999999"/>
  </r>
  <r>
    <d v="2025-03-14T21:07:44"/>
    <x v="11"/>
    <s v="Plaquettes rondes"/>
    <s v="140325"/>
    <s v="BOUCLIER JONATHAN"/>
    <n v="10"/>
    <x v="2"/>
    <x v="4"/>
    <s v="PLAQUETTES"/>
    <s v="302x26 RPI"/>
    <n v="108.5"/>
  </r>
  <r>
    <d v="2025-03-14T21:45:07"/>
    <x v="10"/>
    <s v="Plaquettes rondes"/>
    <s v="SD13196"/>
    <s v="FRADIN MAXIME"/>
    <n v="10"/>
    <x v="3"/>
    <x v="3"/>
    <s v="PLAQUETTES"/>
    <s v="302x26 RPI"/>
    <n v="136.69999999999999"/>
  </r>
  <r>
    <d v="2025-03-17T15:59:19"/>
    <x v="11"/>
    <s v="Plaquettes rondes"/>
    <s v="130325"/>
    <s v="PAPONNEAU JULIEN"/>
    <n v="10"/>
    <x v="1"/>
    <x v="3"/>
    <s v="PLAQUETTES"/>
    <s v="304x28 RPE"/>
    <n v="108.5"/>
  </r>
  <r>
    <d v="2025-03-17T16:00:00"/>
    <x v="10"/>
    <s v="Plaquettes rondes"/>
    <s v="130325"/>
    <s v="PAPONNEAU JULIEN"/>
    <n v="10"/>
    <x v="1"/>
    <x v="3"/>
    <s v="PLAQUETTES"/>
    <s v="304x28 RPE"/>
    <n v="136.69999999999999"/>
  </r>
  <r>
    <d v="2025-03-18T01:55:21"/>
    <x v="10"/>
    <s v="Plaquettes rondes"/>
    <s v="101224"/>
    <s v="CHAZEAU KYLIAN"/>
    <n v="10"/>
    <x v="0"/>
    <x v="3"/>
    <s v="PLAQUETTES"/>
    <s v="356x26 RPI"/>
    <n v="136.69999999999999"/>
  </r>
  <r>
    <d v="2025-03-18T05:20:10"/>
    <x v="10"/>
    <s v="Plaquettes rondes"/>
    <s v="280225"/>
    <s v="FERNANDES DOS SANTOS REMY"/>
    <n v="10"/>
    <x v="1"/>
    <x v="3"/>
    <s v="PLAQUETTES"/>
    <s v="304x28 RPE"/>
    <n v="136.69999999999999"/>
  </r>
  <r>
    <d v="2025-03-19T13:43:50"/>
    <x v="11"/>
    <s v="Plaquettes rondes"/>
    <s v="130325"/>
    <s v="PAPONNEAU JULIEN"/>
    <n v="10"/>
    <x v="1"/>
    <x v="3"/>
    <s v="PLAQUETTES"/>
    <s v="304x28 RPE"/>
    <n v="108.5"/>
  </r>
  <r>
    <d v="2025-03-19T15:22:56"/>
    <x v="11"/>
    <s v="Plaquettes rondes"/>
    <s v="140325"/>
    <s v="BOUCLIER JONATHAN"/>
    <n v="10"/>
    <x v="2"/>
    <x v="4"/>
    <s v="PLAQUETTES"/>
    <s v="302x26 RPI"/>
    <n v="108.5"/>
  </r>
  <r>
    <d v="2025-03-20T06:08:45"/>
    <x v="10"/>
    <s v="Plaquettes rondes"/>
    <s v="U109136"/>
    <s v="WIPLIE FREDERIC"/>
    <n v="10"/>
    <x v="0"/>
    <x v="3"/>
    <s v="PLAQUETTES"/>
    <s v="356x26 RPI"/>
    <n v="136.69999999999999"/>
  </r>
  <r>
    <d v="2025-03-20T14:39:19"/>
    <x v="10"/>
    <s v="Plaquettes rondes"/>
    <s v="130325"/>
    <s v="PAPONNEAU JULIEN"/>
    <n v="10"/>
    <x v="1"/>
    <x v="3"/>
    <s v="PLAQUETTES"/>
    <s v="304x28 RPE"/>
    <n v="136.69999999999999"/>
  </r>
  <r>
    <d v="2025-03-21T19:33:56"/>
    <x v="10"/>
    <s v="Plaquettes rondes"/>
    <s v="7236310"/>
    <s v="BRANDALY JEREMY"/>
    <n v="10"/>
    <x v="0"/>
    <x v="3"/>
    <s v="PLAQUETTES"/>
    <s v="330x14"/>
    <n v="136.69999999999999"/>
  </r>
  <r>
    <d v="2025-03-24T05:09:08"/>
    <x v="10"/>
    <s v="Plaquettes rondes"/>
    <s v="7236310"/>
    <s v="BRANDALY JEREMY"/>
    <n v="10"/>
    <x v="0"/>
    <x v="3"/>
    <s v="PLAQUETTES"/>
    <s v="330x14"/>
    <n v="136.69999999999999"/>
  </r>
  <r>
    <d v="2025-03-24T05:22:33"/>
    <x v="11"/>
    <s v="Plaquettes rondes"/>
    <s v="130325"/>
    <s v="PAPONNEAU JULIEN"/>
    <n v="10"/>
    <x v="1"/>
    <x v="3"/>
    <s v="PLAQUETTES"/>
    <s v="304x28 RPE"/>
    <n v="108.5"/>
  </r>
  <r>
    <d v="2025-03-24T05:22:49"/>
    <x v="10"/>
    <s v="Plaquettes rondes"/>
    <s v="130325"/>
    <s v="PAPONNEAU JULIEN"/>
    <n v="10"/>
    <x v="1"/>
    <x v="3"/>
    <s v="PLAQUETTES"/>
    <s v="304x28 RPE"/>
    <n v="136.69999999999999"/>
  </r>
  <r>
    <d v="2025-03-25T03:48:14"/>
    <x v="10"/>
    <s v="Plaquettes rondes"/>
    <s v="280225"/>
    <s v="FERNANDES DOS SANTOS REMY"/>
    <n v="10"/>
    <x v="0"/>
    <x v="3"/>
    <s v="PLAQUETTES"/>
    <s v="330x14"/>
    <n v="136.69999999999999"/>
  </r>
  <r>
    <d v="2025-03-25T08:23:10"/>
    <x v="11"/>
    <s v="Plaquettes rondes"/>
    <s v="140325"/>
    <s v="BOUCLIER JONATHAN"/>
    <n v="10"/>
    <x v="2"/>
    <x v="4"/>
    <s v="PLAQUETTES"/>
    <s v="302x26 RPI"/>
    <n v="108.5"/>
  </r>
  <r>
    <d v="2025-03-26T00:36:18"/>
    <x v="10"/>
    <s v="Plaquettes rondes"/>
    <s v="U109136"/>
    <s v="WIPLIE FREDERIC"/>
    <n v="10"/>
    <x v="0"/>
    <x v="3"/>
    <s v="PLAQUETTES"/>
    <s v="330x14"/>
    <n v="136.69999999999999"/>
  </r>
  <r>
    <d v="2025-03-26T20:36:53"/>
    <x v="10"/>
    <s v="Plaquettes rondes"/>
    <s v="130124"/>
    <s v="MOHAMED ILDIRAY"/>
    <n v="10"/>
    <x v="1"/>
    <x v="3"/>
    <s v="PLAQUETTES"/>
    <s v="304x28 RPE"/>
    <n v="136.69999999999999"/>
  </r>
  <r>
    <d v="2025-03-27T01:03:54"/>
    <x v="10"/>
    <s v="Plaquettes rondes"/>
    <s v="U109136"/>
    <s v="WIPLIE FREDERIC"/>
    <n v="10"/>
    <x v="0"/>
    <x v="3"/>
    <s v="PLAQUETTES"/>
    <s v="330x14"/>
    <n v="136.69999999999999"/>
  </r>
  <r>
    <d v="2025-03-27T02:22:09"/>
    <x v="11"/>
    <s v="Plaquettes rondes"/>
    <s v="280225"/>
    <s v="FERNANDES DOS SANTOS REMY"/>
    <n v="10"/>
    <x v="1"/>
    <x v="3"/>
    <s v="PLAQUETTES"/>
    <s v="304x28 RPE"/>
    <n v="108.5"/>
  </r>
  <r>
    <d v="2025-03-27T02:30:55"/>
    <x v="10"/>
    <s v="Plaquettes rondes"/>
    <s v="280225"/>
    <s v="FERNANDES DOS SANTOS REMY"/>
    <n v="10"/>
    <x v="1"/>
    <x v="3"/>
    <s v="PLAQUETTES"/>
    <s v="304x28 RPE"/>
    <n v="136.69999999999999"/>
  </r>
  <r>
    <d v="2025-03-27T13:13:54"/>
    <x v="10"/>
    <s v="Plaquettes rondes"/>
    <s v="130124"/>
    <s v="MOHAMED ILDIRAY"/>
    <n v="10"/>
    <x v="1"/>
    <x v="3"/>
    <s v="PLAQUETTES"/>
    <s v="304x28 RPE"/>
    <n v="136.69999999999999"/>
  </r>
  <r>
    <d v="2025-03-27T13:41:52"/>
    <x v="11"/>
    <s v="Plaquettes rondes"/>
    <s v="101123"/>
    <s v="BRUNET ANDREA"/>
    <n v="10"/>
    <x v="2"/>
    <x v="4"/>
    <s v="PLAQUETTES"/>
    <s v="302x26 RPI"/>
    <n v="108.5"/>
  </r>
  <r>
    <d v="2025-03-28T04:19:19"/>
    <x v="11"/>
    <s v="Plaquettes rondes"/>
    <s v="280225"/>
    <s v="FERNANDES DOS SANTOS REMY"/>
    <n v="10"/>
    <x v="1"/>
    <x v="3"/>
    <s v="PLAQUETTES"/>
    <s v="304x28 RPE"/>
    <n v="108.5"/>
  </r>
  <r>
    <d v="2025-03-28T18:05:01"/>
    <x v="10"/>
    <s v="Plaquettes rondes"/>
    <s v="101224"/>
    <s v="CHAZEAU KYLIAN"/>
    <n v="10"/>
    <x v="0"/>
    <x v="3"/>
    <s v="PLAQUETTES"/>
    <s v="356x26 RPI"/>
    <n v="136.69999999999999"/>
  </r>
  <r>
    <d v="2025-03-29T02:57:26"/>
    <x v="10"/>
    <s v="Plaquettes rondes"/>
    <s v="280225"/>
    <s v="FERNANDES DOS SANTOS REMY"/>
    <n v="10"/>
    <x v="1"/>
    <x v="3"/>
    <s v="PLAQUETTES"/>
    <s v="304x28 RPE"/>
    <n v="136.69999999999999"/>
  </r>
  <r>
    <d v="2025-03-30T17:12:37"/>
    <x v="11"/>
    <s v="Plaquettes rondes"/>
    <s v="J534699"/>
    <s v="FABIAN CHARTON"/>
    <n v="10"/>
    <x v="2"/>
    <x v="4"/>
    <s v="PLAQUETTES"/>
    <s v="302x26 RPI"/>
    <n v="108.5"/>
  </r>
  <r>
    <d v="2025-03-30T17:21:05"/>
    <x v="10"/>
    <s v="Plaquettes rondes"/>
    <s v="U109136"/>
    <s v="WIPLIE FREDERIC"/>
    <n v="10"/>
    <x v="0"/>
    <x v="3"/>
    <s v="PLAQUETTES"/>
    <s v="356x26 RPI"/>
    <n v="136.69999999999999"/>
  </r>
  <r>
    <d v="2025-03-31T05:09:55"/>
    <x v="11"/>
    <s v="Plaquettes rondes"/>
    <s v="130124"/>
    <s v="MOHAMED ILDIRAY"/>
    <n v="10"/>
    <x v="1"/>
    <x v="3"/>
    <s v="PLAQUETTES"/>
    <s v="304x28 RPE"/>
    <n v="108.5"/>
  </r>
  <r>
    <d v="2025-03-31T16:38:15"/>
    <x v="10"/>
    <s v="Plaquettes rondes"/>
    <s v="280225"/>
    <s v="FERNANDES DOS SANTOS REMY"/>
    <n v="10"/>
    <x v="1"/>
    <x v="3"/>
    <s v="PLAQUETTES"/>
    <s v="304x28 RPE"/>
    <n v="136.69999999999999"/>
  </r>
  <r>
    <d v="2025-04-01T05:32:40"/>
    <x v="10"/>
    <s v="Plaquettes rondes"/>
    <s v="130124"/>
    <s v="MOHAMED ILDIRAY"/>
    <n v="10"/>
    <x v="1"/>
    <x v="3"/>
    <s v="PLAQUETTES"/>
    <s v="304x28 RPE"/>
    <n v="136.69999999999999"/>
  </r>
  <r>
    <d v="2025-04-01T14:11:41"/>
    <x v="10"/>
    <s v="Plaquettes rondes"/>
    <s v="SD88834"/>
    <s v="PEJOUX MELANIE"/>
    <n v="10"/>
    <x v="0"/>
    <x v="3"/>
    <s v="PLAQUETTES"/>
    <s v="330x14"/>
    <n v="136.69999999999999"/>
  </r>
  <r>
    <d v="2025-04-02T08:49:44"/>
    <x v="10"/>
    <s v="Plaquettes rondes"/>
    <s v="101224"/>
    <s v="CHAZEAU KYLIAN"/>
    <n v="10"/>
    <x v="0"/>
    <x v="3"/>
    <s v="PLAQUETTES"/>
    <s v="330x14"/>
    <n v="136.69999999999999"/>
  </r>
  <r>
    <d v="2025-04-02T16:12:44"/>
    <x v="11"/>
    <s v="Plaquettes rondes"/>
    <s v="280225"/>
    <s v="FERNANDES DOS SANTOS REMY"/>
    <n v="10"/>
    <x v="1"/>
    <x v="3"/>
    <s v="PLAQUETTES"/>
    <s v="304x28 RPE"/>
    <n v="108.5"/>
  </r>
  <r>
    <d v="2025-04-02T19:07:07"/>
    <x v="11"/>
    <s v="Plaquettes rondes"/>
    <s v="11737592"/>
    <s v="BLOCQUET DAVID"/>
    <n v="10"/>
    <x v="2"/>
    <x v="4"/>
    <s v="PLAQUETTES"/>
    <s v="302x26 RPI"/>
    <n v="108.5"/>
  </r>
  <r>
    <d v="2025-04-02T23:53:01"/>
    <x v="11"/>
    <s v="Plaquettes rondes"/>
    <s v="140325"/>
    <s v="BOUCLIER JONATHAN"/>
    <n v="10"/>
    <x v="2"/>
    <x v="4"/>
    <s v="PLAQUETTES"/>
    <s v="302x26 RPI"/>
    <n v="108.5"/>
  </r>
  <r>
    <d v="2025-04-03T15:36:41"/>
    <x v="10"/>
    <s v="Plaquettes rondes"/>
    <s v="280225"/>
    <s v="FERNANDES DOS SANTOS REMY"/>
    <n v="10"/>
    <x v="0"/>
    <x v="3"/>
    <s v="PLAQUETTES"/>
    <s v="330x14"/>
    <n v="136.69999999999999"/>
  </r>
  <r>
    <d v="2025-04-04T13:59:01"/>
    <x v="11"/>
    <s v="Plaquettes rondes"/>
    <s v="280225"/>
    <s v="FERNANDES DOS SANTOS REMY"/>
    <n v="10"/>
    <x v="1"/>
    <x v="3"/>
    <s v="PLAQUETTES"/>
    <s v="304x28 RPE"/>
    <n v="108.5"/>
  </r>
  <r>
    <d v="2025-04-04T13:59:27"/>
    <x v="11"/>
    <s v="Plaquettes rondes"/>
    <s v="280225"/>
    <s v="FERNANDES DOS SANTOS REMY"/>
    <n v="10"/>
    <x v="1"/>
    <x v="3"/>
    <s v="PLAQUETTES"/>
    <s v="304x28 RPE"/>
    <n v="108.5"/>
  </r>
  <r>
    <d v="2025-04-04T21:10:57"/>
    <x v="10"/>
    <s v="Plaquettes rondes"/>
    <s v="7236310"/>
    <s v="BRANDALY JEREMY"/>
    <n v="10"/>
    <x v="0"/>
    <x v="3"/>
    <s v="PLAQUETTES"/>
    <s v="330x14"/>
    <n v="136.69999999999999"/>
  </r>
  <r>
    <d v="2025-04-05T05:06:29"/>
    <x v="11"/>
    <s v="Plaquettes rondes"/>
    <s v="U080365"/>
    <s v="ALAVOINE SAMUEL"/>
    <n v="10"/>
    <x v="2"/>
    <x v="4"/>
    <s v="PLAQUETTES"/>
    <s v="302x26 RPI"/>
    <n v="108.5"/>
  </r>
  <r>
    <d v="2025-04-07T05:13:10"/>
    <x v="10"/>
    <s v="Plaquettes rondes"/>
    <s v="SE08251"/>
    <s v="FAYET AYMERIC"/>
    <n v="10"/>
    <x v="0"/>
    <x v="3"/>
    <s v="PLAQUETTES"/>
    <s v="330x14"/>
    <n v="136.69999999999999"/>
  </r>
  <r>
    <d v="2025-04-07T13:04:35"/>
    <x v="11"/>
    <s v="Plaquettes rondes"/>
    <s v="140325"/>
    <s v="BOUCLIER JONATHAN"/>
    <n v="10"/>
    <x v="2"/>
    <x v="4"/>
    <s v="PLAQUETTES"/>
    <s v="302x26 RPI"/>
    <n v="108.5"/>
  </r>
  <r>
    <d v="2025-04-08T05:16:48"/>
    <x v="10"/>
    <s v="Plaquettes rondes"/>
    <s v="SE08251"/>
    <s v="FAYET AYMERIC"/>
    <n v="10"/>
    <x v="0"/>
    <x v="3"/>
    <s v="PLAQUETTES"/>
    <s v="330x14"/>
    <n v="136.69999999999999"/>
  </r>
  <r>
    <d v="2025-04-08T05:33:03"/>
    <x v="10"/>
    <s v="Plaquettes rondes"/>
    <s v="280225"/>
    <s v="FERNANDES DOS SANTOS REMY"/>
    <n v="10"/>
    <x v="1"/>
    <x v="3"/>
    <s v="PLAQUETTES"/>
    <s v="304x28 RPE"/>
    <n v="136.69999999999999"/>
  </r>
  <r>
    <d v="2025-04-08T21:23:29"/>
    <x v="11"/>
    <s v="Plaquettes rondes"/>
    <s v="101123"/>
    <s v="BRUNET ANDREA"/>
    <n v="10"/>
    <x v="2"/>
    <x v="4"/>
    <s v="PLAQUETTES"/>
    <s v="302x26 RPI"/>
    <n v="108.5"/>
  </r>
  <r>
    <d v="2025-04-09T00:40:23"/>
    <x v="10"/>
    <s v="Plaquettes rondes"/>
    <s v="101224"/>
    <s v="CHAZEAU KYLIAN"/>
    <n v="10"/>
    <x v="0"/>
    <x v="3"/>
    <s v="PLAQUETTES"/>
    <s v="330x14"/>
    <n v="136.69999999999999"/>
  </r>
  <r>
    <d v="2025-04-09T20:35:16"/>
    <x v="11"/>
    <s v="Plaquettes rondes"/>
    <s v="140325"/>
    <s v="BOUCLIER JONATHAN"/>
    <n v="10"/>
    <x v="2"/>
    <x v="4"/>
    <s v="PLAQUETTES"/>
    <s v="302x26 RPI"/>
    <n v="108.5"/>
  </r>
  <r>
    <d v="2025-04-10T06:48:31"/>
    <x v="10"/>
    <s v="Plaquettes rondes"/>
    <s v="280225"/>
    <s v="FERNANDES DOS SANTOS REMY"/>
    <n v="10"/>
    <x v="1"/>
    <x v="3"/>
    <s v="PLAQUETTES"/>
    <s v="304x28 RPE"/>
    <n v="136.69999999999999"/>
  </r>
  <r>
    <d v="2025-04-10T07:45:59"/>
    <x v="10"/>
    <s v="Plaquettes rondes"/>
    <s v="SE08251"/>
    <s v="FAYET AYMERIC"/>
    <n v="10"/>
    <x v="0"/>
    <x v="3"/>
    <s v="PLAQUETTES"/>
    <s v="330x14"/>
    <n v="136.69999999999999"/>
  </r>
  <r>
    <d v="2025-04-10T21:53:34"/>
    <x v="11"/>
    <s v="Plaquettes rondes"/>
    <s v="130124"/>
    <s v="MOHAMED ILDIRAY"/>
    <n v="10"/>
    <x v="1"/>
    <x v="3"/>
    <s v="PLAQUETTES"/>
    <s v="304x28 RPE"/>
    <n v="108.5"/>
  </r>
  <r>
    <d v="2025-04-11T09:54:08"/>
    <x v="10"/>
    <s v="Plaquettes rondes"/>
    <s v="U109136"/>
    <s v="WIPLIE FREDERIC"/>
    <n v="10"/>
    <x v="0"/>
    <x v="3"/>
    <s v="PLAQUETTES"/>
    <s v="356x26 RPI"/>
    <n v="136.69999999999999"/>
  </r>
  <r>
    <d v="2025-04-12T12:49:12"/>
    <x v="10"/>
    <s v="Plaquettes rondes"/>
    <s v="150725"/>
    <s v="ADOUL WASSIM"/>
    <n v="10"/>
    <x v="1"/>
    <x v="3"/>
    <s v="PLAQUETTES"/>
    <s v="304x28 RPE"/>
    <n v="136.69999999999999"/>
  </r>
  <r>
    <d v="2025-04-14T03:47:49"/>
    <x v="10"/>
    <s v="Plaquettes rondes"/>
    <s v="U109136"/>
    <s v="WIPLIE FREDERIC"/>
    <n v="10"/>
    <x v="0"/>
    <x v="3"/>
    <s v="PLAQUETTES"/>
    <s v="356x26 RPI"/>
    <n v="136.69999999999999"/>
  </r>
  <r>
    <d v="2025-04-14T05:02:24"/>
    <x v="11"/>
    <s v="Plaquettes rondes"/>
    <s v="140325"/>
    <s v="BOUCLIER JONATHAN"/>
    <n v="10"/>
    <x v="2"/>
    <x v="4"/>
    <s v="PLAQUETTES"/>
    <s v="302x26 RPI"/>
    <n v="108.5"/>
  </r>
  <r>
    <d v="2025-04-14T12:21:52"/>
    <x v="10"/>
    <s v="Plaquettes rondes"/>
    <s v="130325"/>
    <s v="PAPONNEAU JULIEN"/>
    <n v="10"/>
    <x v="1"/>
    <x v="3"/>
    <s v="PLAQUETTES"/>
    <s v="304x28 RPE"/>
    <n v="136.69999999999999"/>
  </r>
  <r>
    <d v="2025-04-14T13:27:20"/>
    <x v="10"/>
    <s v="Plaquettes rondes"/>
    <s v="130124"/>
    <s v="MOHAMED ILDIRAY"/>
    <n v="10"/>
    <x v="1"/>
    <x v="3"/>
    <s v="PLAQUETTES"/>
    <s v="304x28 RPE"/>
    <n v="136.69999999999999"/>
  </r>
  <r>
    <d v="2025-04-14T13:28:01"/>
    <x v="11"/>
    <s v="Plaquettes rondes"/>
    <s v="130124"/>
    <s v="MOHAMED ILDIRAY"/>
    <n v="10"/>
    <x v="1"/>
    <x v="3"/>
    <s v="PLAQUETTES"/>
    <s v="304x28 RPE"/>
    <n v="108.5"/>
  </r>
  <r>
    <d v="2025-04-15T03:18:04"/>
    <x v="10"/>
    <s v="Plaquettes rondes"/>
    <s v="U109136"/>
    <s v="WIPLIE FREDERIC"/>
    <n v="10"/>
    <x v="0"/>
    <x v="3"/>
    <s v="PLAQUETTES"/>
    <s v="330x14"/>
    <n v="136.69999999999999"/>
  </r>
  <r>
    <d v="2025-04-15T22:26:26"/>
    <x v="11"/>
    <s v="Plaquettes rondes"/>
    <s v="j529800"/>
    <s v="MONTCHARMONT BAPTISTE"/>
    <n v="10"/>
    <x v="2"/>
    <x v="4"/>
    <s v="PLAQUETTES"/>
    <s v="302x26 RPI"/>
    <n v="108.5"/>
  </r>
  <r>
    <d v="2025-04-15T23:24:04"/>
    <x v="10"/>
    <s v="Plaquettes rondes"/>
    <s v="U109136"/>
    <s v="WIPLIE FREDERIC"/>
    <n v="10"/>
    <x v="0"/>
    <x v="3"/>
    <s v="PLAQUETTES"/>
    <s v="330x14"/>
    <n v="136.69999999999999"/>
  </r>
  <r>
    <d v="2025-04-16T07:00:18"/>
    <x v="11"/>
    <s v="Plaquettes rondes"/>
    <s v="140325"/>
    <s v="BOUCLIER JONATHAN"/>
    <n v="10"/>
    <x v="2"/>
    <x v="4"/>
    <s v="PLAQUETTES"/>
    <s v="302x26 RPI"/>
    <n v="108.5"/>
  </r>
  <r>
    <d v="2025-04-16T18:25:04"/>
    <x v="10"/>
    <s v="Plaquettes rondes"/>
    <s v="101224"/>
    <s v="CHAZEAU KYLIAN"/>
    <n v="10"/>
    <x v="0"/>
    <x v="3"/>
    <s v="PLAQUETTES"/>
    <s v="330x14"/>
    <n v="136.69999999999999"/>
  </r>
  <r>
    <d v="2025-04-17T22:38:53"/>
    <x v="10"/>
    <s v="Plaquettes rondes"/>
    <s v="SE08251"/>
    <s v="FAYET AYMERIC"/>
    <n v="10"/>
    <x v="0"/>
    <x v="3"/>
    <s v="PLAQUETTES"/>
    <s v="330x14"/>
    <n v="136.69999999999999"/>
  </r>
  <r>
    <d v="2025-04-18T13:15:36"/>
    <x v="10"/>
    <s v="Plaquettes rondes"/>
    <s v="130124"/>
    <s v="MOHAMED ILDIRAY"/>
    <n v="10"/>
    <x v="1"/>
    <x v="3"/>
    <s v="PLAQUETTES"/>
    <s v="356x26 RPI"/>
    <n v="136.69999999999999"/>
  </r>
  <r>
    <d v="2025-04-18T15:04:31"/>
    <x v="10"/>
    <s v="Plaquettes rondes"/>
    <s v="101224"/>
    <s v="CHAZEAU KYLIAN"/>
    <n v="10"/>
    <x v="0"/>
    <x v="3"/>
    <s v="PLAQUETTES"/>
    <s v="330x14"/>
    <n v="136.69999999999999"/>
  </r>
  <r>
    <d v="2025-04-19T09:31:03"/>
    <x v="10"/>
    <s v="Plaquettes rondes"/>
    <s v="150725"/>
    <s v="ADOUL WASSIM"/>
    <n v="10"/>
    <x v="0"/>
    <x v="3"/>
    <s v="PLAQUETTES"/>
    <s v="330x14"/>
    <n v="136.69999999999999"/>
  </r>
  <r>
    <d v="2025-04-20T19:08:33"/>
    <x v="10"/>
    <s v="Plaquettes rondes"/>
    <s v="150725"/>
    <s v="ADOUL WASSIM"/>
    <n v="10"/>
    <x v="0"/>
    <x v="3"/>
    <s v="PLAQUETTES"/>
    <s v="330x14"/>
    <n v="136.69999999999999"/>
  </r>
  <r>
    <d v="2025-04-21T06:27:38"/>
    <x v="10"/>
    <s v="Plaquettes rondes"/>
    <s v="130124"/>
    <s v="MOHAMED ILDIRAY"/>
    <n v="10"/>
    <x v="1"/>
    <x v="3"/>
    <s v="PLAQUETTES"/>
    <s v="304x28 RPE"/>
    <n v="136.69999999999999"/>
  </r>
  <r>
    <d v="2025-04-22T05:52:59"/>
    <x v="11"/>
    <s v="Plaquettes rondes"/>
    <s v="130124"/>
    <s v="MOHAMED ILDIRAY"/>
    <n v="10"/>
    <x v="1"/>
    <x v="3"/>
    <s v="PLAQUETTES"/>
    <s v="304x28 RPE"/>
    <n v="108.5"/>
  </r>
  <r>
    <d v="2025-04-22T17:03:51"/>
    <x v="10"/>
    <s v="Plaquettes rondes"/>
    <s v="280225"/>
    <s v="FERNANDES DOS SANTOS REMY"/>
    <n v="10"/>
    <x v="1"/>
    <x v="3"/>
    <s v="PLAQUETTES"/>
    <s v="304x28 RPE"/>
    <n v="136.69999999999999"/>
  </r>
  <r>
    <d v="2025-04-23T09:38:16"/>
    <x v="10"/>
    <s v="Plaquettes rondes"/>
    <s v="101224"/>
    <s v="CHAZEAU KYLIAN"/>
    <n v="10"/>
    <x v="0"/>
    <x v="3"/>
    <s v="PLAQUETTES"/>
    <s v="330x14"/>
    <n v="136.69999999999999"/>
  </r>
  <r>
    <d v="2025-04-23T19:39:33"/>
    <x v="11"/>
    <s v="Plaquettes rondes"/>
    <s v="280225"/>
    <s v="FERNANDES DOS SANTOS REMY"/>
    <n v="10"/>
    <x v="1"/>
    <x v="3"/>
    <s v="PLAQUETTES"/>
    <s v="304x28 RPE"/>
    <n v="108.5"/>
  </r>
  <r>
    <d v="2025-04-24T04:43:55"/>
    <x v="10"/>
    <s v="Plaquettes rondes"/>
    <s v="130325"/>
    <s v="PAPONNEAU JULIEN"/>
    <n v="10"/>
    <x v="1"/>
    <x v="3"/>
    <s v="PLAQUETTES"/>
    <s v="304x28 RPE"/>
    <n v="136.69999999999999"/>
  </r>
  <r>
    <d v="2025-04-24T04:44:17"/>
    <x v="11"/>
    <s v="Plaquettes rondes"/>
    <s v="130325"/>
    <s v="PAPONNEAU JULIEN"/>
    <n v="10"/>
    <x v="1"/>
    <x v="3"/>
    <s v="PLAQUETTES"/>
    <s v="304x28 RPE"/>
    <n v="108.5"/>
  </r>
  <r>
    <d v="2025-04-24T05:49:07"/>
    <x v="10"/>
    <s v="Plaquettes rondes"/>
    <s v="130124"/>
    <s v="MOHAMED ILDIRAY"/>
    <n v="10"/>
    <x v="1"/>
    <x v="3"/>
    <s v="PLAQUETTES"/>
    <s v="304x28 RPE"/>
    <n v="136.69999999999999"/>
  </r>
  <r>
    <d v="2025-04-24T12:39:31"/>
    <x v="11"/>
    <s v="Plaquettes rondes"/>
    <s v="210325"/>
    <s v="DAUTUN ALLAN"/>
    <n v="10"/>
    <x v="2"/>
    <x v="4"/>
    <s v="PLAQUETTES"/>
    <s v="302x26 RPI"/>
    <n v="108.5"/>
  </r>
  <r>
    <d v="2025-04-24T13:54:38"/>
    <x v="11"/>
    <s v="Plaquettes rondes"/>
    <s v="250425"/>
    <s v="CHANDAR ABDER"/>
    <n v="10"/>
    <x v="2"/>
    <x v="4"/>
    <s v="PLAQUETTES"/>
    <s v="302x26 RPI"/>
    <n v="108.5"/>
  </r>
  <r>
    <d v="2025-04-24T18:54:56"/>
    <x v="11"/>
    <s v="Plaquettes rondes"/>
    <s v="280225"/>
    <s v="FERNANDES DOS SANTOS REMY"/>
    <n v="10"/>
    <x v="1"/>
    <x v="3"/>
    <s v="PLAQUETTES"/>
    <s v="304x28 RPE"/>
    <n v="108.5"/>
  </r>
  <r>
    <d v="2025-04-24T22:12:04"/>
    <x v="10"/>
    <s v="Plaquettes rondes"/>
    <s v="SD75051"/>
    <s v="COMBALUZIER LUCAS"/>
    <n v="10"/>
    <x v="0"/>
    <x v="3"/>
    <s v="PLAQUETTES"/>
    <s v="356x26 RPI"/>
    <n v="136.69999999999999"/>
  </r>
  <r>
    <d v="2025-04-24T22:20:17"/>
    <x v="11"/>
    <s v="Plaquettes rondes"/>
    <s v="140325"/>
    <s v="BOUCLIER JONATHAN"/>
    <n v="10"/>
    <x v="2"/>
    <x v="4"/>
    <s v="PLAQUETTES"/>
    <s v="302x26 RPI"/>
    <n v="108.5"/>
  </r>
  <r>
    <d v="2025-04-25T18:03:45"/>
    <x v="10"/>
    <s v="Plaquettes rondes"/>
    <s v="280225"/>
    <s v="FERNANDES DOS SANTOS REMY"/>
    <n v="10"/>
    <x v="1"/>
    <x v="3"/>
    <s v="PLAQUETTES"/>
    <s v="304x28 RPE"/>
    <n v="136.69999999999999"/>
  </r>
  <r>
    <d v="2025-04-25T21:15:44"/>
    <x v="10"/>
    <s v="Plaquettes rondes"/>
    <s v="SD75051"/>
    <s v="COMBALUZIER LUCAS"/>
    <n v="10"/>
    <x v="0"/>
    <x v="3"/>
    <s v="PLAQUETTES"/>
    <s v="330x14"/>
    <n v="136.69999999999999"/>
  </r>
  <r>
    <d v="2025-04-26T06:41:09"/>
    <x v="11"/>
    <s v="Plaquettes rondes"/>
    <s v="DELIAT C"/>
    <s v="DELIAT CHRISTOPHE"/>
    <n v="10"/>
    <x v="2"/>
    <x v="4"/>
    <s v="PLAQUETTES"/>
    <s v="302x26 RPI"/>
    <n v="108.5"/>
  </r>
  <r>
    <d v="2025-04-27T17:55:58"/>
    <x v="11"/>
    <s v="Plaquettes rondes"/>
    <s v="j534699"/>
    <s v="FABIAN CHARTON"/>
    <n v="10"/>
    <x v="2"/>
    <x v="4"/>
    <s v="PLAQUETTES"/>
    <s v="302x26 RPI"/>
    <n v="108.5"/>
  </r>
  <r>
    <d v="2025-04-28T07:43:14"/>
    <x v="10"/>
    <s v="Plaquettes rondes"/>
    <s v="SE08251"/>
    <s v="FAYET AYMERIC"/>
    <n v="10"/>
    <x v="0"/>
    <x v="3"/>
    <s v="PLAQUETTES"/>
    <s v="356x26 RPI"/>
    <n v="136.69999999999999"/>
  </r>
  <r>
    <d v="2025-04-28T12:03:54"/>
    <x v="11"/>
    <s v="Plaquettes rondes"/>
    <s v="280225"/>
    <s v="FERNANDES DOS SANTOS REMY"/>
    <n v="10"/>
    <x v="1"/>
    <x v="3"/>
    <s v="PLAQUETTES"/>
    <s v="304x28 RPE"/>
    <n v="108.5"/>
  </r>
  <r>
    <d v="2025-04-28T15:02:00"/>
    <x v="11"/>
    <s v="Plaquettes rondes"/>
    <s v="140325"/>
    <s v="BOUCLIER JONATHAN"/>
    <n v="10"/>
    <x v="2"/>
    <x v="4"/>
    <s v="PLAQUETTES"/>
    <s v="302x26 RPI"/>
    <n v="108.5"/>
  </r>
  <r>
    <d v="2025-04-29T05:14:43"/>
    <x v="11"/>
    <s v="Plaquettes rondes"/>
    <s v="171124"/>
    <s v="GONIN AGNES"/>
    <n v="10"/>
    <x v="2"/>
    <x v="4"/>
    <s v="PLAQUETTES"/>
    <s v="302x26 RPI"/>
    <n v="108.5"/>
  </r>
  <r>
    <d v="2025-04-29T18:57:56"/>
    <x v="10"/>
    <s v="Plaquettes rondes"/>
    <s v="130325"/>
    <s v="PAPONNEAU JULIEN"/>
    <n v="10"/>
    <x v="1"/>
    <x v="3"/>
    <s v="PLAQUETTES"/>
    <s v="304x28 RPE"/>
    <n v="136.69999999999999"/>
  </r>
  <r>
    <d v="2025-04-30T05:23:18"/>
    <x v="10"/>
    <s v="Plaquettes rondes"/>
    <s v="SE08251"/>
    <s v="FAYET AYMERIC"/>
    <n v="10"/>
    <x v="0"/>
    <x v="3"/>
    <s v="PLAQUETTES"/>
    <s v="330x14"/>
    <n v="136.69999999999999"/>
  </r>
  <r>
    <d v="2025-04-30T21:26:11"/>
    <x v="11"/>
    <s v="Plaquettes rondes"/>
    <s v="130124"/>
    <s v="MOHAMED ILDIRAY"/>
    <n v="10"/>
    <x v="1"/>
    <x v="3"/>
    <s v="PLAQUETTES"/>
    <s v="304x28 RPE"/>
    <n v="108.5"/>
  </r>
  <r>
    <d v="2025-04-30T21:26:31"/>
    <x v="10"/>
    <s v="Plaquettes rondes"/>
    <s v="130124"/>
    <s v="MOHAMED ILDIRAY"/>
    <n v="10"/>
    <x v="1"/>
    <x v="3"/>
    <s v="PLAQUETTES"/>
    <s v="304x28 RPE"/>
    <n v="136.69999999999999"/>
  </r>
  <r>
    <d v="2025-05-02T05:12:18"/>
    <x v="10"/>
    <s v="Plaquettes rondes"/>
    <s v="150725"/>
    <s v="ADOUL WASSIM"/>
    <n v="10"/>
    <x v="0"/>
    <x v="3"/>
    <s v="PLAQUETTES"/>
    <s v="330x14"/>
    <n v="136.69999999999999"/>
  </r>
  <r>
    <d v="2025-05-02T09:55:17"/>
    <x v="11"/>
    <s v="Plaquettes rondes"/>
    <s v="J534699"/>
    <s v="FABIAN CHARTON"/>
    <n v="10"/>
    <x v="2"/>
    <x v="4"/>
    <s v="PLAQUETTES"/>
    <s v="302x26 RPI"/>
    <n v="108.5"/>
  </r>
  <r>
    <d v="2025-05-03T00:09:37"/>
    <x v="10"/>
    <s v="Plaquettes rondes"/>
    <s v="101224"/>
    <s v="CHAZEAU KYLIAN"/>
    <n v="10"/>
    <x v="0"/>
    <x v="3"/>
    <s v="PLAQUETTES"/>
    <s v="330x14"/>
    <n v="136.69999999999999"/>
  </r>
  <r>
    <d v="2025-05-04T14:14:48"/>
    <x v="10"/>
    <s v="Plaquettes rondes"/>
    <s v="U080365"/>
    <s v="ALAVOINE SAMUEL"/>
    <n v="10"/>
    <x v="3"/>
    <x v="3"/>
    <s v="PLAQUETTES"/>
    <s v="330x28 RPE KO"/>
    <n v="136.69999999999999"/>
  </r>
  <r>
    <d v="2025-05-05T09:29:36"/>
    <x v="10"/>
    <s v="Plaquettes rondes"/>
    <s v="7236310"/>
    <s v="BRANDALY JEREMY"/>
    <n v="10"/>
    <x v="0"/>
    <x v="3"/>
    <s v="PLAQUETTES"/>
    <s v="330x14"/>
    <n v="136.69999999999999"/>
  </r>
  <r>
    <d v="2025-05-05T22:12:29"/>
    <x v="10"/>
    <s v="Plaquettes rondes"/>
    <s v="SE08251"/>
    <s v="FAYET AYMERIC"/>
    <n v="10"/>
    <x v="0"/>
    <x v="3"/>
    <s v="PLAQUETTES"/>
    <s v="330x14"/>
    <n v="136.69999999999999"/>
  </r>
  <r>
    <d v="2025-05-06T02:20:22"/>
    <x v="11"/>
    <s v="Plaquettes rondes"/>
    <s v="280225"/>
    <s v="FERNANDES DOS SANTOS REMY"/>
    <n v="10"/>
    <x v="1"/>
    <x v="3"/>
    <s v="PLAQUETTES"/>
    <s v="304x28 RPE"/>
    <n v="108.5"/>
  </r>
  <r>
    <d v="2025-05-06T02:20:39"/>
    <x v="10"/>
    <s v="Plaquettes rondes"/>
    <s v="280225"/>
    <s v="FERNANDES DOS SANTOS REMY"/>
    <n v="10"/>
    <x v="1"/>
    <x v="3"/>
    <s v="PLAQUETTES"/>
    <s v="304x28 RPE"/>
    <n v="136.69999999999999"/>
  </r>
  <r>
    <d v="2025-05-07T04:47:16"/>
    <x v="10"/>
    <s v="Plaquettes rondes"/>
    <s v="SE08251"/>
    <s v="FAYET AYMERIC"/>
    <n v="10"/>
    <x v="0"/>
    <x v="3"/>
    <s v="PLAQUETTES"/>
    <s v="330x14"/>
    <n v="136.69999999999999"/>
  </r>
  <r>
    <d v="2025-05-07T09:06:25"/>
    <x v="10"/>
    <s v="Plaquettes rondes"/>
    <s v="130325"/>
    <s v="PAPONNEAU JULIEN"/>
    <n v="10"/>
    <x v="0"/>
    <x v="3"/>
    <s v="PLAQUETTES"/>
    <s v="330x14"/>
    <n v="136.69999999999999"/>
  </r>
  <r>
    <d v="2025-05-07T11:38:52"/>
    <x v="11"/>
    <s v="Plaquettes rondes"/>
    <s v="140325"/>
    <s v="BOUCLIER JONATHAN"/>
    <n v="10"/>
    <x v="2"/>
    <x v="4"/>
    <s v="PLAQUETTES"/>
    <s v="302x26 RPI"/>
    <n v="108.5"/>
  </r>
  <r>
    <d v="2025-05-07T21:19:12"/>
    <x v="10"/>
    <s v="Plaquettes rondes"/>
    <s v="280225"/>
    <s v="FERNANDES DOS SANTOS REMY"/>
    <n v="10"/>
    <x v="1"/>
    <x v="3"/>
    <s v="PLAQUETTES"/>
    <s v="356x26 RPI"/>
    <n v="136.69999999999999"/>
  </r>
  <r>
    <d v="2025-05-08T04:18:52"/>
    <x v="10"/>
    <s v="Plaquettes rondes"/>
    <s v="SE08251"/>
    <s v="FAYET AYMERIC"/>
    <n v="10"/>
    <x v="0"/>
    <x v="3"/>
    <s v="PLAQUETTES"/>
    <s v="330x14"/>
    <n v="136.69999999999999"/>
  </r>
  <r>
    <d v="2025-05-08T17:13:01"/>
    <x v="10"/>
    <s v="Plaquettes rondes"/>
    <s v="130124"/>
    <s v="MOHAMED ILDIRAY"/>
    <n v="10"/>
    <x v="3"/>
    <x v="3"/>
    <s v="PLAQUETTES"/>
    <s v="304x28 RPE"/>
    <n v="136.69999999999999"/>
  </r>
  <r>
    <d v="2025-05-09T21:17:02"/>
    <x v="10"/>
    <s v="Plaquettes rondes"/>
    <s v="SE08251"/>
    <s v="FAYET AYMERIC"/>
    <n v="10"/>
    <x v="0"/>
    <x v="3"/>
    <s v="PLAQUETTES"/>
    <s v="330x14"/>
    <n v="136.69999999999999"/>
  </r>
  <r>
    <d v="2025-05-10T00:02:32"/>
    <x v="11"/>
    <s v="Plaquettes rondes"/>
    <s v="250425"/>
    <s v="CHANDAR ABDER"/>
    <n v="10"/>
    <x v="2"/>
    <x v="4"/>
    <s v="PLAQUETTES"/>
    <s v="302x26 RPI"/>
    <n v="108.5"/>
  </r>
  <r>
    <d v="2025-05-10T01:38:21"/>
    <x v="11"/>
    <s v="Plaquettes rondes"/>
    <s v="280225"/>
    <s v="FERNANDES DOS SANTOS REMY"/>
    <n v="10"/>
    <x v="1"/>
    <x v="3"/>
    <s v="PLAQUETTES"/>
    <s v="304x28 RPE"/>
    <n v="108.5"/>
  </r>
  <r>
    <d v="2025-05-10T01:38:34"/>
    <x v="10"/>
    <s v="Plaquettes rondes"/>
    <s v="280225"/>
    <s v="FERNANDES DOS SANTOS REMY"/>
    <n v="10"/>
    <x v="1"/>
    <x v="3"/>
    <s v="PLAQUETTES"/>
    <s v="304x28 RPE"/>
    <n v="136.69999999999999"/>
  </r>
  <r>
    <d v="2025-05-11T14:53:03"/>
    <x v="10"/>
    <s v="Plaquettes rondes"/>
    <s v="U109136"/>
    <s v="WIPLIE FREDERIC"/>
    <n v="10"/>
    <x v="0"/>
    <x v="3"/>
    <s v="PLAQUETTES"/>
    <s v="330x14"/>
    <n v="136.69999999999999"/>
  </r>
  <r>
    <d v="2025-05-12T10:06:41"/>
    <x v="10"/>
    <s v="Plaquettes rondes"/>
    <s v="101224"/>
    <s v="CHAZEAU KYLIAN"/>
    <n v="10"/>
    <x v="0"/>
    <x v="3"/>
    <s v="PLAQUETTES"/>
    <s v="330x14"/>
    <n v="136.69999999999999"/>
  </r>
  <r>
    <d v="2025-05-13T06:49:08"/>
    <x v="10"/>
    <s v="Plaquettes rondes"/>
    <s v="130124"/>
    <s v="MOHAMED ILDIRAY"/>
    <n v="10"/>
    <x v="1"/>
    <x v="3"/>
    <s v="PLAQUETTES"/>
    <s v="304x28 RPE"/>
    <n v="136.69999999999999"/>
  </r>
  <r>
    <d v="2025-05-13T07:07:49"/>
    <x v="10"/>
    <s v="Plaquettes rondes"/>
    <s v="101224"/>
    <s v="CHAZEAU KYLIAN"/>
    <n v="10"/>
    <x v="0"/>
    <x v="3"/>
    <s v="PLAQUETTES"/>
    <s v="356x26 RPI"/>
    <n v="136.69999999999999"/>
  </r>
  <r>
    <d v="2025-05-13T19:04:01"/>
    <x v="11"/>
    <s v="Plaquettes rondes"/>
    <s v="250425"/>
    <s v="CHANDAR ABDER"/>
    <n v="10"/>
    <x v="2"/>
    <x v="4"/>
    <s v="PLAQUETTES"/>
    <s v="302x26 RPI"/>
    <n v="108.5"/>
  </r>
  <r>
    <d v="2025-05-14T05:13:43"/>
    <x v="11"/>
    <s v="Plaquettes rondes"/>
    <s v="130124"/>
    <s v="MOHAMED ILDIRAY"/>
    <n v="10"/>
    <x v="1"/>
    <x v="3"/>
    <s v="PLAQUETTES"/>
    <s v="304x28 RPE"/>
    <n v="108.5"/>
  </r>
  <r>
    <d v="2025-05-14T05:14:05"/>
    <x v="10"/>
    <s v="Plaquettes rondes"/>
    <s v="130124"/>
    <s v="MOHAMED ILDIRAY"/>
    <n v="10"/>
    <x v="1"/>
    <x v="3"/>
    <s v="PLAQUETTES"/>
    <s v="304x28 RPE"/>
    <n v="136.69999999999999"/>
  </r>
  <r>
    <d v="2025-05-15T00:52:28"/>
    <x v="10"/>
    <s v="Plaquettes rondes"/>
    <s v="130325"/>
    <s v="PAPONNEAU JULIEN"/>
    <n v="10"/>
    <x v="0"/>
    <x v="3"/>
    <s v="PLAQUETTES"/>
    <s v="356x26 RPI"/>
    <n v="136.69999999999999"/>
  </r>
  <r>
    <d v="2025-05-15T13:37:28"/>
    <x v="10"/>
    <s v="Plaquettes rondes"/>
    <s v="SE08251"/>
    <s v="FAYET AYMERIC"/>
    <n v="10"/>
    <x v="0"/>
    <x v="3"/>
    <s v="PLAQUETTES"/>
    <s v="356x26 RPI"/>
    <n v="136.69999999999999"/>
  </r>
  <r>
    <d v="2025-05-16T03:54:55"/>
    <x v="11"/>
    <s v="Plaquettes rondes"/>
    <s v="140325"/>
    <s v="BOUCLIER JONATHAN"/>
    <n v="10"/>
    <x v="2"/>
    <x v="4"/>
    <s v="PLAQUETTES"/>
    <s v="302x26 RPI"/>
    <n v="108.5"/>
  </r>
  <r>
    <d v="2025-05-16T08:38:40"/>
    <x v="11"/>
    <s v="Plaquettes rondes"/>
    <s v="J534699"/>
    <s v="FABIAN CHARTON"/>
    <n v="10"/>
    <x v="2"/>
    <x v="4"/>
    <s v="PLAQUETTES"/>
    <s v="302x26 RPI"/>
    <n v="108.5"/>
  </r>
  <r>
    <d v="2025-05-16T11:26:11"/>
    <x v="10"/>
    <s v="Plaquettes rondes"/>
    <s v="150725"/>
    <s v="ADOUL WASSIM"/>
    <n v="10"/>
    <x v="0"/>
    <x v="3"/>
    <s v="PLAQUETTES"/>
    <s v="356x26 RPI"/>
    <n v="136.69999999999999"/>
  </r>
  <r>
    <d v="2025-05-16T19:35:23"/>
    <x v="11"/>
    <s v="Plaquettes rondes"/>
    <s v="280225"/>
    <s v="FERNANDES DOS SANTOS REMY"/>
    <n v="10"/>
    <x v="1"/>
    <x v="3"/>
    <s v="PLAQUETTES"/>
    <s v="304x28 RPE"/>
    <n v="108.5"/>
  </r>
  <r>
    <d v="2025-05-16T22:15:03"/>
    <x v="10"/>
    <s v="Plaquettes rondes"/>
    <s v="130325"/>
    <s v="PAPONNEAU JULIEN"/>
    <n v="10"/>
    <x v="1"/>
    <x v="3"/>
    <s v="PLAQUETTES"/>
    <s v="304x28 RPE"/>
    <n v="136.69999999999999"/>
  </r>
  <r>
    <d v="2025-05-16T22:15:26"/>
    <x v="10"/>
    <s v="Plaquettes rondes"/>
    <s v="130325"/>
    <s v="PAPONNEAU JULIEN"/>
    <n v="10"/>
    <x v="1"/>
    <x v="3"/>
    <s v="PLAQUETTES"/>
    <s v="304x28 RPE"/>
    <n v="136.69999999999999"/>
  </r>
  <r>
    <d v="2025-05-17T01:54:25"/>
    <x v="10"/>
    <s v="Plaquettes rondes"/>
    <s v="130325"/>
    <s v="PAPONNEAU JULIEN"/>
    <n v="10"/>
    <x v="0"/>
    <x v="3"/>
    <s v="PLAQUETTES"/>
    <s v="356x26 RPI"/>
    <n v="136.69999999999999"/>
  </r>
  <r>
    <d v="2025-05-17T05:15:52"/>
    <x v="11"/>
    <s v="Plaquettes rondes"/>
    <s v="DELIAT C"/>
    <s v="DELIAT CHRISTOPHE"/>
    <n v="10"/>
    <x v="2"/>
    <x v="4"/>
    <s v="PLAQUETTES"/>
    <s v="302x26 RPI"/>
    <n v="108.5"/>
  </r>
  <r>
    <d v="2025-05-17T05:27:11"/>
    <x v="10"/>
    <s v="Plaquettes rondes"/>
    <s v="U109136"/>
    <s v="WIPLIE FREDERIC"/>
    <n v="10"/>
    <x v="1"/>
    <x v="3"/>
    <s v="PLAQUETTES"/>
    <s v="304x28 RPE"/>
    <n v="136.69999999999999"/>
  </r>
  <r>
    <d v="2025-05-17T05:29:07"/>
    <x v="10"/>
    <s v="Plaquettes rondes"/>
    <s v="150725"/>
    <s v="ADOUL WASSIM"/>
    <n v="10"/>
    <x v="0"/>
    <x v="3"/>
    <s v="PLAQUETTES"/>
    <s v="356x26 RPI"/>
    <n v="136.69999999999999"/>
  </r>
  <r>
    <d v="2025-05-19T13:20:03"/>
    <x v="10"/>
    <s v="Plaquettes rondes"/>
    <s v="SD75051"/>
    <s v="COMBALUZIER LUCAS"/>
    <n v="10"/>
    <x v="0"/>
    <x v="3"/>
    <s v="PLAQUETTES"/>
    <s v="330x14"/>
    <n v="136.69999999999999"/>
  </r>
  <r>
    <d v="2025-05-19T13:29:39"/>
    <x v="11"/>
    <s v="Plaquettes rondes"/>
    <s v="u636817"/>
    <s v="MOCQUEREAU LYDIE"/>
    <n v="10"/>
    <x v="2"/>
    <x v="4"/>
    <s v="PLAQUETTES"/>
    <s v="302x26 RPI"/>
    <n v="108.5"/>
  </r>
  <r>
    <d v="2025-05-19T22:02:37"/>
    <x v="10"/>
    <s v="Plaquettes rondes"/>
    <s v="101224"/>
    <s v="CHAZEAU KYLIAN"/>
    <n v="10"/>
    <x v="0"/>
    <x v="3"/>
    <s v="PLAQUETTES"/>
    <s v="330x14"/>
    <n v="136.69999999999999"/>
  </r>
  <r>
    <d v="2025-05-20T02:16:43"/>
    <x v="11"/>
    <s v="Plaquettes rondes"/>
    <s v="130124"/>
    <s v="MOHAMED ILDIRAY"/>
    <n v="10"/>
    <x v="1"/>
    <x v="3"/>
    <s v="PLAQUETTES"/>
    <s v="304x28 RPE"/>
    <n v="108.5"/>
  </r>
  <r>
    <d v="2025-05-20T02:16:59"/>
    <x v="10"/>
    <s v="Plaquettes rondes"/>
    <s v="130124"/>
    <s v="MOHAMED ILDIRAY"/>
    <n v="10"/>
    <x v="1"/>
    <x v="3"/>
    <s v="PLAQUETTES"/>
    <s v="304x28 RPE"/>
    <n v="136.69999999999999"/>
  </r>
  <r>
    <d v="2025-05-21T02:01:04"/>
    <x v="10"/>
    <s v="Plaquettes rondes"/>
    <s v="101224"/>
    <s v="CHAZEAU KYLIAN"/>
    <n v="10"/>
    <x v="0"/>
    <x v="3"/>
    <s v="PLAQUETTES"/>
    <s v="330x14"/>
    <n v="136.69999999999999"/>
  </r>
  <r>
    <d v="2025-05-22T01:26:08"/>
    <x v="10"/>
    <s v="Plaquettes rondes"/>
    <s v="101224"/>
    <s v="CHAZEAU KYLIAN"/>
    <n v="10"/>
    <x v="0"/>
    <x v="3"/>
    <s v="PLAQUETTES"/>
    <s v="330x14"/>
    <n v="136.69999999999999"/>
  </r>
  <r>
    <d v="2025-05-22T07:09:49"/>
    <x v="11"/>
    <s v="Plaquettes rondes"/>
    <s v="250425"/>
    <s v="CHANDAR ABDER"/>
    <n v="10"/>
    <x v="2"/>
    <x v="4"/>
    <s v="PLAQUETTES"/>
    <s v="302x26 RPI"/>
    <n v="108.5"/>
  </r>
  <r>
    <d v="2025-05-22T09:42:26"/>
    <x v="10"/>
    <s v="Plaquettes rondes"/>
    <s v="280225"/>
    <s v="FERNANDES DOS SANTOS REMY"/>
    <n v="10"/>
    <x v="1"/>
    <x v="3"/>
    <s v="PLAQUETTES"/>
    <s v="356x26 RPI"/>
    <n v="136.69999999999999"/>
  </r>
  <r>
    <d v="2025-05-22T13:51:16"/>
    <x v="11"/>
    <s v="Plaquettes rondes"/>
    <s v="140325"/>
    <s v="BOUCLIER JONATHAN"/>
    <n v="10"/>
    <x v="2"/>
    <x v="4"/>
    <s v="PLAQUETTES"/>
    <s v="302x26 RPI"/>
    <n v="108.5"/>
  </r>
  <r>
    <d v="2025-05-22T21:49:08"/>
    <x v="10"/>
    <s v="Plaquettes rondes"/>
    <s v="130124"/>
    <s v="MOHAMED ILDIRAY"/>
    <n v="10"/>
    <x v="1"/>
    <x v="3"/>
    <s v="PLAQUETTES"/>
    <s v="356x26 RPI"/>
    <n v="136.69999999999999"/>
  </r>
  <r>
    <d v="2025-05-23T04:19:14"/>
    <x v="10"/>
    <s v="Plaquettes rondes"/>
    <s v="101224"/>
    <s v="CHAZEAU KYLIAN"/>
    <n v="10"/>
    <x v="0"/>
    <x v="3"/>
    <s v="PLAQUETTES"/>
    <s v="330x14"/>
    <n v="136.69999999999999"/>
  </r>
  <r>
    <d v="2025-05-23T22:01:35"/>
    <x v="10"/>
    <s v="Plaquettes rondes"/>
    <s v="101224"/>
    <s v="CHAZEAU KYLIAN"/>
    <n v="10"/>
    <x v="0"/>
    <x v="3"/>
    <s v="PLAQUETTES"/>
    <s v="330x14"/>
    <n v="136.69999999999999"/>
  </r>
  <r>
    <d v="2025-05-24T00:26:33"/>
    <x v="10"/>
    <s v="Plaquettes rondes"/>
    <s v="101224"/>
    <s v="CHAZEAU KYLIAN"/>
    <n v="10"/>
    <x v="3"/>
    <x v="3"/>
    <s v="PLAQUETTES"/>
    <s v="330x28 RPE KO"/>
    <n v="136.69999999999999"/>
  </r>
  <r>
    <d v="2025-05-26T14:27:22"/>
    <x v="11"/>
    <s v="Plaquettes rondes"/>
    <s v="130124"/>
    <s v="MOHAMED ILDIRAY"/>
    <n v="10"/>
    <x v="1"/>
    <x v="3"/>
    <s v="PLAQUETTES"/>
    <s v="304x28 RPE"/>
    <n v="108.5"/>
  </r>
  <r>
    <d v="2025-05-26T14:27:39"/>
    <x v="10"/>
    <s v="Plaquettes rondes"/>
    <s v="130124"/>
    <s v="MOHAMED ILDIRAY"/>
    <n v="10"/>
    <x v="1"/>
    <x v="3"/>
    <s v="PLAQUETTES"/>
    <s v="304x28 RPE"/>
    <n v="136.69999999999999"/>
  </r>
  <r>
    <d v="2025-05-27T00:47:24"/>
    <x v="10"/>
    <s v="Plaquettes rondes"/>
    <s v="SE08251"/>
    <s v="FAYET AYMERIC"/>
    <n v="10"/>
    <x v="0"/>
    <x v="3"/>
    <s v="PLAQUETTES"/>
    <s v="356x26 RPI"/>
    <n v="136.69999999999999"/>
  </r>
  <r>
    <d v="2025-05-27T05:36:35"/>
    <x v="11"/>
    <s v="Plaquettes rondes"/>
    <s v="140325"/>
    <s v="BOUCLIER JONATHAN"/>
    <n v="10"/>
    <x v="2"/>
    <x v="4"/>
    <s v="PLAQUETTES"/>
    <s v="302x26 RPI"/>
    <n v="108.5"/>
  </r>
  <r>
    <d v="2025-05-27T22:12:03"/>
    <x v="10"/>
    <s v="Plaquettes rondes"/>
    <s v="SE08251"/>
    <s v="FAYET AYMERIC"/>
    <n v="10"/>
    <x v="0"/>
    <x v="3"/>
    <s v="PLAQUETTES"/>
    <s v="356x26 RPI"/>
    <n v="136.69999999999999"/>
  </r>
  <r>
    <d v="2025-05-28T03:53:39"/>
    <x v="11"/>
    <s v="Plaquettes rondes"/>
    <s v="250425"/>
    <s v="CHANDAR ABDER"/>
    <n v="10"/>
    <x v="2"/>
    <x v="4"/>
    <s v="PLAQUETTES"/>
    <s v="302x26 RPI"/>
    <n v="108.5"/>
  </r>
  <r>
    <d v="2025-05-28T21:22:09"/>
    <x v="10"/>
    <s v="Plaquettes rondes"/>
    <s v="SE08251"/>
    <s v="FAYET AYMERIC"/>
    <n v="10"/>
    <x v="0"/>
    <x v="3"/>
    <s v="PLAQUETTES"/>
    <s v="356x26 RPI"/>
    <n v="136.69999999999999"/>
  </r>
  <r>
    <d v="2025-05-28T21:46:04"/>
    <x v="10"/>
    <s v="Plaquettes rondes"/>
    <s v="280225"/>
    <s v="FERNANDES DOS SANTOS REMY"/>
    <n v="10"/>
    <x v="1"/>
    <x v="3"/>
    <s v="PLAQUETTES"/>
    <s v="304x28 RPE"/>
    <n v="136.69999999999999"/>
  </r>
  <r>
    <d v="2025-05-29T13:17:42"/>
    <x v="11"/>
    <s v="Plaquettes rondes"/>
    <s v="130124"/>
    <s v="MOHAMED ILDIRAY"/>
    <n v="10"/>
    <x v="1"/>
    <x v="3"/>
    <s v="PLAQUETTES"/>
    <s v="304x28 RPE"/>
    <n v="108.5"/>
  </r>
  <r>
    <d v="2025-05-30T01:32:16"/>
    <x v="11"/>
    <s v="Plaquettes rondes"/>
    <s v="280225"/>
    <s v="FERNANDES DOS SANTOS REMY"/>
    <n v="10"/>
    <x v="1"/>
    <x v="3"/>
    <s v="PLAQUETTES"/>
    <s v="304x28 RPE"/>
    <n v="108.5"/>
  </r>
  <r>
    <d v="2025-05-30T12:29:52"/>
    <x v="10"/>
    <s v="Plaquettes rondes"/>
    <s v="U109136"/>
    <s v="WIPLIE FREDERIC"/>
    <n v="10"/>
    <x v="1"/>
    <x v="3"/>
    <s v="PLAQUETTES"/>
    <s v="304x28 RPE"/>
    <n v="136.69999999999999"/>
  </r>
  <r>
    <d v="2025-05-30T23:55:29"/>
    <x v="11"/>
    <s v="Plaquettes rondes"/>
    <s v="280225"/>
    <s v="FERNANDES DOS SANTOS REMY"/>
    <n v="10"/>
    <x v="1"/>
    <x v="3"/>
    <s v="PLAQUETTES"/>
    <s v="304x28 RPE"/>
    <n v="108.5"/>
  </r>
  <r>
    <d v="2025-06-02T03:50:28"/>
    <x v="10"/>
    <s v="Plaquettes rondes"/>
    <s v="150725"/>
    <s v="ADOUL WASSIM"/>
    <n v="10"/>
    <x v="0"/>
    <x v="3"/>
    <s v="PLAQUETTES"/>
    <s v="356x26 RPI"/>
    <n v="136.69999999999999"/>
  </r>
  <r>
    <d v="2025-06-02T05:41:51"/>
    <x v="10"/>
    <s v="Plaquettes rondes"/>
    <s v="130124"/>
    <s v="MOHAMED ILDIRAY"/>
    <n v="10"/>
    <x v="1"/>
    <x v="3"/>
    <s v="PLAQUETTES"/>
    <s v="304x28 RPE"/>
    <n v="136.69999999999999"/>
  </r>
  <r>
    <d v="2025-06-02T11:50:34"/>
    <x v="11"/>
    <s v="Plaquettes rondes"/>
    <s v="210325"/>
    <s v="DAUTUN ALLAN"/>
    <n v="10"/>
    <x v="2"/>
    <x v="4"/>
    <s v="PLAQUETTES"/>
    <s v="302x26 RPI"/>
    <n v="108.5"/>
  </r>
  <r>
    <d v="2025-06-02T21:40:38"/>
    <x v="11"/>
    <s v="Plaquettes rondes"/>
    <s v="140325"/>
    <s v="BOUCLIER JONATHAN"/>
    <n v="10"/>
    <x v="2"/>
    <x v="4"/>
    <s v="PLAQUETTES"/>
    <s v="302x26 RPI"/>
    <n v="108.5"/>
  </r>
  <r>
    <d v="2025-06-03T13:27:33"/>
    <x v="10"/>
    <s v="Plaquettes rondes"/>
    <s v="280225"/>
    <s v="FERNANDES DOS SANTOS REMY"/>
    <n v="10"/>
    <x v="1"/>
    <x v="3"/>
    <s v="PLAQUETTES"/>
    <s v="304x28 RPE"/>
    <n v="136.69999999999999"/>
  </r>
  <r>
    <d v="2025-06-04T03:13:12"/>
    <x v="11"/>
    <s v="Plaquettes rondes"/>
    <s v="140325"/>
    <s v="BOUCLIER JONATHAN"/>
    <n v="10"/>
    <x v="2"/>
    <x v="4"/>
    <s v="PLAQUETTES"/>
    <s v="302x26 RPI"/>
    <n v="108.5"/>
  </r>
  <r>
    <d v="2025-06-05T13:56:59"/>
    <x v="11"/>
    <s v="Plaquettes rondes"/>
    <s v="280225"/>
    <s v="FERNANDES DOS SANTOS REMY"/>
    <n v="10"/>
    <x v="1"/>
    <x v="3"/>
    <s v="PLAQUETTES"/>
    <s v="304x28 RPE"/>
    <n v="108.5"/>
  </r>
  <r>
    <d v="2025-06-05T16:51:11"/>
    <x v="10"/>
    <s v="Plaquettes rondes"/>
    <s v="280225"/>
    <s v="FERNANDES DOS SANTOS REMY"/>
    <n v="10"/>
    <x v="1"/>
    <x v="3"/>
    <s v="PLAQUETTES"/>
    <s v="356x26 RPI"/>
    <n v="136.69999999999999"/>
  </r>
  <r>
    <d v="2025-06-06T13:08:01"/>
    <x v="11"/>
    <s v="Plaquettes rondes"/>
    <s v="250425"/>
    <s v="CHANDAR ABDER"/>
    <n v="10"/>
    <x v="2"/>
    <x v="4"/>
    <s v="PLAQUETTES"/>
    <s v="302x26 RPI"/>
    <n v="108.5"/>
  </r>
  <r>
    <d v="2025-06-06T14:19:43"/>
    <x v="10"/>
    <s v="Plaquettes rondes"/>
    <s v="280225"/>
    <s v="FERNANDES DOS SANTOS REMY"/>
    <n v="10"/>
    <x v="1"/>
    <x v="3"/>
    <s v="PLAQUETTES"/>
    <s v="356x26 RPI"/>
    <n v="136.69999999999999"/>
  </r>
  <r>
    <d v="2025-06-06T15:35:08"/>
    <x v="11"/>
    <s v="Plaquettes rondes"/>
    <s v="SE08251"/>
    <s v="FAYET AYMERIC"/>
    <n v="10"/>
    <x v="3"/>
    <x v="3"/>
    <s v="PLAQUETTES"/>
    <s v="302x26 RPI"/>
    <n v="108.5"/>
  </r>
  <r>
    <d v="2025-06-06T21:37:03"/>
    <x v="11"/>
    <s v="Plaquettes rondes"/>
    <s v="140325"/>
    <s v="BOUCLIER JONATHAN"/>
    <n v="10"/>
    <x v="2"/>
    <x v="4"/>
    <s v="PLAQUETTES"/>
    <s v="302x26 RPI"/>
    <n v="108.5"/>
  </r>
  <r>
    <d v="2025-06-07T05:31:11"/>
    <x v="11"/>
    <s v="Plaquettes rondes"/>
    <s v="DELIAT C"/>
    <s v="DELIAT CHRISTOPHE"/>
    <n v="10"/>
    <x v="2"/>
    <x v="4"/>
    <s v="PLAQUETTES"/>
    <s v="302x26 RPI"/>
    <n v="108.5"/>
  </r>
  <r>
    <d v="2025-06-07T16:59:27"/>
    <x v="11"/>
    <s v="Plaquettes rondes"/>
    <s v="J534699"/>
    <s v="FABIAN CHARTON"/>
    <n v="10"/>
    <x v="2"/>
    <x v="4"/>
    <s v="PLAQUETTES"/>
    <s v="302x26 RPI"/>
    <n v="108.5"/>
  </r>
  <r>
    <d v="2025-06-08T21:30:09"/>
    <x v="10"/>
    <s v="Plaquettes rondes"/>
    <s v="U109136"/>
    <s v="WIPLIE FREDERIC"/>
    <n v="10"/>
    <x v="3"/>
    <x v="3"/>
    <s v="PLAQUETTES"/>
    <s v="302x26 RPI"/>
    <n v="136.69999999999999"/>
  </r>
  <r>
    <d v="2025-06-10T10:24:37"/>
    <x v="11"/>
    <s v="Plaquettes rondes"/>
    <s v="U505000"/>
    <s v="RECEVEUR BENOIT"/>
    <n v="10"/>
    <x v="2"/>
    <x v="4"/>
    <s v="PLAQUETTES"/>
    <s v="302x26 RPI"/>
    <n v="108.5"/>
  </r>
  <r>
    <d v="2025-06-10T23:30:13"/>
    <x v="10"/>
    <s v="Plaquettes rondes"/>
    <s v="130124"/>
    <s v="MOHAMED ILDIRAY"/>
    <n v="10"/>
    <x v="1"/>
    <x v="3"/>
    <s v="PLAQUETTES"/>
    <s v="304x28 RPE"/>
    <n v="136.69999999999999"/>
  </r>
  <r>
    <d v="2025-06-11T13:22:43"/>
    <x v="10"/>
    <s v="Plaquettes rondes"/>
    <s v="U537558"/>
    <s v="RAY ALEXIS"/>
    <n v="10"/>
    <x v="3"/>
    <x v="3"/>
    <s v="PLAQUETTES"/>
    <s v="330x28 RPE KO"/>
    <n v="136.69999999999999"/>
  </r>
  <r>
    <d v="2025-06-12T05:14:18"/>
    <x v="10"/>
    <s v="Plaquettes rondes"/>
    <s v="280225"/>
    <s v="FERNANDES DOS SANTOS REMY"/>
    <n v="10"/>
    <x v="1"/>
    <x v="3"/>
    <s v="PLAQUETTES"/>
    <s v="304x28 RPE"/>
    <n v="136.69999999999999"/>
  </r>
  <r>
    <d v="2025-06-12T06:12:18"/>
    <x v="11"/>
    <s v="Plaquettes rondes"/>
    <s v="SE08251"/>
    <s v="FAYET AYMERIC"/>
    <n v="10"/>
    <x v="3"/>
    <x v="3"/>
    <s v="PLAQUETTES"/>
    <s v="330x28 RPE KO"/>
    <n v="108.5"/>
  </r>
  <r>
    <d v="2025-06-12T07:03:49"/>
    <x v="10"/>
    <s v="Plaquettes rondes"/>
    <s v="SE08251"/>
    <s v="FAYET AYMERIC"/>
    <n v="10"/>
    <x v="0"/>
    <x v="3"/>
    <s v="PLAQUETTES"/>
    <s v="356x26 RPI"/>
    <n v="136.69999999999999"/>
  </r>
  <r>
    <d v="2025-06-13T08:14:59"/>
    <x v="11"/>
    <s v="Plaquettes rondes"/>
    <s v="J534699"/>
    <s v="FABIAN CHARTON"/>
    <n v="10"/>
    <x v="2"/>
    <x v="4"/>
    <s v="PLAQUETTES"/>
    <s v="302x26 RPI"/>
    <n v="108.5"/>
  </r>
  <r>
    <d v="2025-06-16T00:00:42"/>
    <x v="10"/>
    <s v="Plaquettes rondes"/>
    <s v="150725"/>
    <s v="ADOUL WASSIM"/>
    <n v="10"/>
    <x v="0"/>
    <x v="3"/>
    <s v="PLAQUETTES"/>
    <s v="356x26 RPI"/>
    <n v="136.69999999999999"/>
  </r>
  <r>
    <d v="2025-06-16T06:23:41"/>
    <x v="10"/>
    <s v="Plaquettes rondes"/>
    <s v="SD75051"/>
    <s v="COMBALUZIER LUCAS"/>
    <n v="10"/>
    <x v="3"/>
    <x v="3"/>
    <s v="PLAQUETTES"/>
    <s v="302x26 RPI"/>
    <n v="136.69999999999999"/>
  </r>
  <r>
    <d v="2025-06-16T13:22:12"/>
    <x v="10"/>
    <s v="Plaquettes rondes"/>
    <s v="130124"/>
    <s v="MOHAMED ILDIRAY"/>
    <n v="10"/>
    <x v="1"/>
    <x v="3"/>
    <s v="PLAQUETTES"/>
    <s v="304x28 RPE"/>
    <n v="136.69999999999999"/>
  </r>
  <r>
    <d v="2025-06-16T13:22:32"/>
    <x v="11"/>
    <s v="Plaquettes rondes"/>
    <s v="130124"/>
    <s v="MOHAMED ILDIRAY"/>
    <n v="10"/>
    <x v="1"/>
    <x v="3"/>
    <s v="PLAQUETTES"/>
    <s v="304x28 RPE"/>
    <n v="108.5"/>
  </r>
  <r>
    <d v="2025-06-16T23:34:58"/>
    <x v="10"/>
    <s v="Plaquettes rondes"/>
    <s v="SE08251"/>
    <s v="FAYET AYMERIC"/>
    <n v="10"/>
    <x v="3"/>
    <x v="3"/>
    <s v="PLAQUETTES"/>
    <s v="302x26 RPI"/>
    <n v="136.69999999999999"/>
  </r>
  <r>
    <d v="2025-06-17T05:22:17"/>
    <x v="11"/>
    <s v="Plaquettes rondes"/>
    <s v="140325"/>
    <s v="BOUCLIER JONATHAN"/>
    <n v="10"/>
    <x v="2"/>
    <x v="4"/>
    <s v="PLAQUETTES"/>
    <s v="302x26 RPI"/>
    <n v="108.5"/>
  </r>
  <r>
    <d v="2025-06-17T21:18:34"/>
    <x v="10"/>
    <s v="Plaquettes rondes"/>
    <s v="280225"/>
    <s v="FERNANDES DOS SANTOS REMY"/>
    <n v="10"/>
    <x v="1"/>
    <x v="3"/>
    <s v="PLAQUETTES"/>
    <s v="304x28 RPE"/>
    <n v="136.69999999999999"/>
  </r>
  <r>
    <d v="2025-06-17T21:18:48"/>
    <x v="11"/>
    <s v="Plaquettes rondes"/>
    <s v="280225"/>
    <s v="FERNANDES DOS SANTOS REMY"/>
    <n v="10"/>
    <x v="1"/>
    <x v="3"/>
    <s v="PLAQUETTES"/>
    <s v="304x28 RPE"/>
    <n v="108.5"/>
  </r>
  <r>
    <d v="2025-06-20T17:34:58"/>
    <x v="10"/>
    <s v="Plaquettes rondes"/>
    <s v="130124"/>
    <s v="MOHAMED ILDIRAY"/>
    <n v="10"/>
    <x v="1"/>
    <x v="3"/>
    <s v="PLAQUETTES"/>
    <s v="356x26 RPI"/>
    <n v="136.69999999999999"/>
  </r>
  <r>
    <d v="2025-06-21T05:17:14"/>
    <x v="11"/>
    <s v="Plaquettes rondes"/>
    <s v="DELIAT C"/>
    <s v="DELIAT CHRISTOPHE"/>
    <n v="10"/>
    <x v="2"/>
    <x v="4"/>
    <s v="PLAQUETTES"/>
    <s v="302x26 RPI"/>
    <n v="108.5"/>
  </r>
  <r>
    <d v="2025-06-24T13:22:40"/>
    <x v="10"/>
    <s v="Plaquettes rondes"/>
    <s v="280225"/>
    <s v="FERNANDES DOS SANTOS REMY"/>
    <n v="10"/>
    <x v="1"/>
    <x v="3"/>
    <s v="PLAQUETTES"/>
    <s v="356x26 RPI"/>
    <n v="136.69999999999999"/>
  </r>
  <r>
    <d v="2025-06-24T13:23:18"/>
    <x v="11"/>
    <s v="Plaquettes rondes"/>
    <s v="280225"/>
    <s v="FERNANDES DOS SANTOS REMY"/>
    <n v="10"/>
    <x v="1"/>
    <x v="3"/>
    <s v="PLAQUETTES"/>
    <s v="304x28 RPE"/>
    <n v="108.5"/>
  </r>
  <r>
    <d v="2025-06-24T22:53:48"/>
    <x v="10"/>
    <s v="Plaquettes rondes"/>
    <s v="U109136"/>
    <s v="WIPLIE FREDERIC"/>
    <n v="10"/>
    <x v="3"/>
    <x v="3"/>
    <s v="PLAQUETTES"/>
    <s v="304x28 RPE"/>
    <n v="136.69999999999999"/>
  </r>
  <r>
    <d v="2025-06-25T06:16:54"/>
    <x v="10"/>
    <s v="Plaquettes rondes"/>
    <s v="U561365"/>
    <s v="BALLY BENOIT"/>
    <n v="10"/>
    <x v="3"/>
    <x v="3"/>
    <s v="PLAQUETTES"/>
    <s v="304x28 RPE"/>
    <n v="136.69999999999999"/>
  </r>
  <r>
    <d v="2025-06-25T21:32:21"/>
    <x v="11"/>
    <s v="Plaquettes rondes"/>
    <s v="140325"/>
    <s v="BOUCLIER JONATHAN"/>
    <n v="10"/>
    <x v="2"/>
    <x v="4"/>
    <s v="PLAQUETTES"/>
    <s v="302x26 RPI"/>
    <n v="108.5"/>
  </r>
  <r>
    <d v="2025-06-26T15:28:49"/>
    <x v="10"/>
    <s v="Plaquettes rondes"/>
    <s v="280225"/>
    <s v="FERNANDES DOS SANTOS REMY"/>
    <n v="10"/>
    <x v="1"/>
    <x v="3"/>
    <s v="PLAQUETTES"/>
    <s v="356x26 RPI"/>
    <n v="136.69999999999999"/>
  </r>
  <r>
    <d v="2025-06-26T17:33:51"/>
    <x v="11"/>
    <s v="Plaquettes rondes"/>
    <s v="280225"/>
    <s v="FERNANDES DOS SANTOS REMY"/>
    <n v="10"/>
    <x v="2"/>
    <x v="4"/>
    <s v="PLAQUETTES"/>
    <s v="283x26 RPI"/>
    <n v="108.5"/>
  </r>
  <r>
    <d v="2025-06-27T17:46:36"/>
    <x v="11"/>
    <s v="Plaquettes rondes"/>
    <s v="SE08251"/>
    <s v="FAYET AYMERIC"/>
    <n v="10"/>
    <x v="2"/>
    <x v="4"/>
    <s v="PLAQUETTES"/>
    <s v="302x26 RPI"/>
    <n v="108.5"/>
  </r>
  <r>
    <d v="2025-06-28T05:28:59"/>
    <x v="11"/>
    <s v="Plaquettes rondes"/>
    <s v="DELIAT C"/>
    <s v="DELIAT CHRISTOPHE"/>
    <n v="10"/>
    <x v="2"/>
    <x v="4"/>
    <s v="PLAQUETTES"/>
    <s v="302x26 RPI"/>
    <n v="108.5"/>
  </r>
  <r>
    <d v="2025-06-30T05:25:13"/>
    <x v="10"/>
    <s v="Plaquettes rondes"/>
    <s v="280225"/>
    <s v="FERNANDES DOS SANTOS REMY"/>
    <n v="10"/>
    <x v="1"/>
    <x v="3"/>
    <s v="PLAQUETTES"/>
    <s v="356x26 RPI"/>
    <n v="136.69999999999999"/>
  </r>
  <r>
    <d v="2025-06-30T06:41:51"/>
    <x v="10"/>
    <s v="Plaquettes rondes"/>
    <s v="SE08251"/>
    <s v="FAYET AYMERIC"/>
    <n v="10"/>
    <x v="3"/>
    <x v="3"/>
    <s v="PLAQUETTES"/>
    <s v="304x28 RPE"/>
    <n v="136.69999999999999"/>
  </r>
  <r>
    <d v="2025-06-30T06:42:18"/>
    <x v="11"/>
    <s v="Plaquettes rondes"/>
    <s v="SE08251"/>
    <s v="FAYET AYMERIC"/>
    <n v="10"/>
    <x v="3"/>
    <x v="3"/>
    <s v="PLAQUETTES"/>
    <s v="330x28 RPE KO"/>
    <n v="108.5"/>
  </r>
  <r>
    <d v="2025-06-30T19:29:49"/>
    <x v="11"/>
    <s v="Plaquettes rondes"/>
    <s v="140325"/>
    <s v="BOUCLIER JONATHAN"/>
    <n v="10"/>
    <x v="2"/>
    <x v="4"/>
    <s v="PLAQUETTES"/>
    <s v="302x26 RPI"/>
    <n v="108.5"/>
  </r>
  <r>
    <d v="2025-07-03T01:32:54"/>
    <x v="10"/>
    <s v="Plaquettes rondes"/>
    <s v="130124"/>
    <s v="MOHAMED ILDIRAY"/>
    <n v="10"/>
    <x v="1"/>
    <x v="3"/>
    <s v="PLAQUETTES"/>
    <s v="356x26 RPI"/>
    <n v="136.69999999999999"/>
  </r>
  <r>
    <d v="2025-07-04T05:36:36"/>
    <x v="11"/>
    <s v="Plaquettes rondes"/>
    <s v="DELIAT C"/>
    <s v="DELIAT CHRISTOPHE"/>
    <n v="10"/>
    <x v="2"/>
    <x v="4"/>
    <s v="PLAQUETTES"/>
    <s v="302x26 RPI"/>
    <n v="108.5"/>
  </r>
  <r>
    <d v="2025-07-04T21:03:50"/>
    <x v="10"/>
    <s v="Plaquettes rondes"/>
    <s v="130124"/>
    <s v="MOHAMED ILDIRAY"/>
    <n v="10"/>
    <x v="1"/>
    <x v="3"/>
    <s v="PLAQUETTES"/>
    <s v="356x26 RPI"/>
    <n v="136.69999999999999"/>
  </r>
  <r>
    <d v="2025-07-07T15:57:28"/>
    <x v="11"/>
    <s v="Plaquettes rondes"/>
    <s v="210325"/>
    <s v="DAUTUN ALLAN"/>
    <n v="10"/>
    <x v="2"/>
    <x v="4"/>
    <s v="PLAQUETTES"/>
    <s v="302x26 RPI"/>
    <n v="108.5"/>
  </r>
  <r>
    <d v="2025-07-07T16:03:17"/>
    <x v="10"/>
    <s v="Plaquettes rondes"/>
    <s v="130124"/>
    <s v="MOHAMED ILDIRAY"/>
    <n v="10"/>
    <x v="1"/>
    <x v="3"/>
    <s v="PLAQUETTES"/>
    <s v="356x26 RPI"/>
    <n v="136.69999999999999"/>
  </r>
  <r>
    <d v="2025-07-08T12:07:21"/>
    <x v="11"/>
    <s v="Plaquettes rondes"/>
    <s v="140325"/>
    <s v="BOUCLIER JONATHAN"/>
    <n v="10"/>
    <x v="2"/>
    <x v="4"/>
    <s v="PLAQUETTES"/>
    <s v="302x26 RPI"/>
    <n v="108.5"/>
  </r>
  <r>
    <d v="2025-07-09T13:14:38"/>
    <x v="11"/>
    <s v="Plaquettes rondes"/>
    <s v="130124"/>
    <s v="MOHAMED ILDIRAY"/>
    <n v="10"/>
    <x v="1"/>
    <x v="3"/>
    <s v="PLAQUETTES"/>
    <s v="304x28 RPE"/>
    <n v="108.5"/>
  </r>
  <r>
    <d v="2025-07-09T13:15:04"/>
    <x v="10"/>
    <s v="Plaquettes rondes"/>
    <s v="130124"/>
    <s v="MOHAMED ILDIRAY"/>
    <n v="10"/>
    <x v="1"/>
    <x v="3"/>
    <s v="PLAQUETTES"/>
    <s v="304x28 RPE"/>
    <n v="136.69999999999999"/>
  </r>
  <r>
    <d v="2025-07-10T04:37:00"/>
    <x v="10"/>
    <s v="Plaquettes rondes"/>
    <s v="SE08251"/>
    <s v="FAYET AYMERIC"/>
    <n v="10"/>
    <x v="0"/>
    <x v="3"/>
    <s v="PLAQUETTES"/>
    <s v="356x26 RPI"/>
    <n v="136.69999999999999"/>
  </r>
  <r>
    <d v="2025-07-11T05:14:42"/>
    <x v="11"/>
    <s v="Plaquettes rondes"/>
    <s v="J534699"/>
    <s v="FABIAN CHARTON"/>
    <n v="10"/>
    <x v="2"/>
    <x v="4"/>
    <s v="PLAQUETTES"/>
    <s v="302x26 RPI"/>
    <n v="108.5"/>
  </r>
  <r>
    <d v="2025-07-11T14:42:24"/>
    <x v="10"/>
    <s v="Plaquettes rondes"/>
    <s v="U561365"/>
    <s v="BALLY BENOIT"/>
    <n v="10"/>
    <x v="0"/>
    <x v="3"/>
    <s v="PLAQUETTES"/>
    <s v="356x26 RPI"/>
    <n v="136.69999999999999"/>
  </r>
  <r>
    <d v="2025-07-12T09:39:58"/>
    <x v="10"/>
    <s v="Plaquettes rondes"/>
    <s v="U109136"/>
    <s v="WIPLIE FREDERIC"/>
    <n v="10"/>
    <x v="1"/>
    <x v="3"/>
    <s v="PLAQUETTES"/>
    <s v="304x28 RPE"/>
    <n v="136.69999999999999"/>
  </r>
  <r>
    <d v="2025-07-12T11:37:26"/>
    <x v="10"/>
    <s v="Plaquettes rondes"/>
    <s v="150725"/>
    <s v="ADOUL WASSIM"/>
    <n v="10"/>
    <x v="0"/>
    <x v="3"/>
    <s v="PLAQUETTES"/>
    <s v="356x26 RPI"/>
    <n v="136.69999999999999"/>
  </r>
  <r>
    <d v="2025-07-13T14:34:23"/>
    <x v="10"/>
    <s v="Plaquettes rondes"/>
    <s v="150725"/>
    <s v="ADOUL WASSIM"/>
    <n v="10"/>
    <x v="0"/>
    <x v="3"/>
    <s v="PLAQUETTES"/>
    <s v="356x26 RPI"/>
    <n v="136.69999999999999"/>
  </r>
  <r>
    <d v="2025-07-13T17:49:05"/>
    <x v="11"/>
    <s v="Plaquettes rondes"/>
    <s v="J534699"/>
    <s v="FABIAN CHARTON"/>
    <n v="10"/>
    <x v="2"/>
    <x v="4"/>
    <s v="PLAQUETTES"/>
    <s v="302x26 RPI"/>
    <n v="108.5"/>
  </r>
  <r>
    <d v="2025-07-13T22:20:48"/>
    <x v="11"/>
    <s v="Plaquettes rondes"/>
    <s v="U109136"/>
    <s v="WIPLIE FREDERIC"/>
    <n v="10"/>
    <x v="1"/>
    <x v="3"/>
    <s v="PLAQUETTES"/>
    <s v="304x28 RPE"/>
    <n v="108.5"/>
  </r>
  <r>
    <d v="2025-07-15T06:48:49"/>
    <x v="10"/>
    <s v="Plaquettes rondes"/>
    <s v="130124"/>
    <s v="MOHAMED ILDIRAY"/>
    <n v="10"/>
    <x v="0"/>
    <x v="3"/>
    <s v="PLAQUETTES"/>
    <s v="356x26 RPI"/>
    <n v="136.69999999999999"/>
  </r>
  <r>
    <d v="2025-07-15T21:13:13"/>
    <x v="10"/>
    <s v="Plaquettes rondes"/>
    <s v="SD75051"/>
    <s v="COMBALUZIER LUCAS"/>
    <n v="10"/>
    <x v="0"/>
    <x v="3"/>
    <s v="PLAQUETTES"/>
    <s v="356x26 RPI"/>
    <n v="136.69999999999999"/>
  </r>
  <r>
    <d v="2025-07-16T04:24:10"/>
    <x v="11"/>
    <s v="Plaquettes rondes"/>
    <s v="140325"/>
    <s v="BOUCLIER JONATHAN"/>
    <n v="10"/>
    <x v="2"/>
    <x v="4"/>
    <s v="PLAQUETTES"/>
    <s v="302x26 RPI"/>
    <n v="108.5"/>
  </r>
  <r>
    <d v="2025-07-16T06:05:35"/>
    <x v="10"/>
    <s v="Plaquettes rondes"/>
    <s v="130124"/>
    <s v="MOHAMED ILDIRAY"/>
    <n v="10"/>
    <x v="1"/>
    <x v="3"/>
    <s v="PLAQUETTES"/>
    <s v="304x28 RPE"/>
    <n v="136.69999999999999"/>
  </r>
  <r>
    <d v="2025-07-16T06:06:33"/>
    <x v="11"/>
    <s v="Plaquettes rondes"/>
    <s v="130124"/>
    <s v="MOHAMED ILDIRAY"/>
    <n v="10"/>
    <x v="1"/>
    <x v="3"/>
    <s v="PLAQUETTES"/>
    <s v="304x28 RPE"/>
    <n v="108.5"/>
  </r>
  <r>
    <d v="2025-07-16T17:39:31"/>
    <x v="11"/>
    <s v="Plaquettes rondes"/>
    <s v="250425"/>
    <s v="CHANDAR ABDER"/>
    <n v="10"/>
    <x v="2"/>
    <x v="4"/>
    <s v="PLAQUETTES"/>
    <s v="302x26 RPI"/>
    <n v="108.5"/>
  </r>
  <r>
    <d v="2025-07-16T19:53:07"/>
    <x v="10"/>
    <s v="Plaquettes rondes"/>
    <s v="SE08251"/>
    <s v="FAYET AYMERIC"/>
    <n v="10"/>
    <x v="0"/>
    <x v="3"/>
    <s v="PLAQUETTES"/>
    <s v="356x26 RPI"/>
    <n v="136.69999999999999"/>
  </r>
  <r>
    <d v="2025-07-17T08:15:34"/>
    <x v="10"/>
    <s v="Plaquettes rondes"/>
    <s v="SD13196"/>
    <s v="FRADIN MAXIME"/>
    <n v="10"/>
    <x v="0"/>
    <x v="3"/>
    <s v="PLAQUETTES"/>
    <s v="330x14"/>
    <n v="136.69999999999999"/>
  </r>
  <r>
    <d v="2025-07-18T05:30:31"/>
    <x v="11"/>
    <s v="Plaquettes rondes"/>
    <s v="J534699"/>
    <s v="FABIAN CHARTON"/>
    <n v="10"/>
    <x v="2"/>
    <x v="4"/>
    <s v="PLAQUETTES"/>
    <s v="302x26 RPI"/>
    <n v="108.5"/>
  </r>
  <r>
    <d v="2025-07-18T10:18:13"/>
    <x v="10"/>
    <s v="Plaquettes rondes"/>
    <s v="U109136"/>
    <s v="WIPLIE FREDERIC"/>
    <n v="10"/>
    <x v="0"/>
    <x v="3"/>
    <s v="PLAQUETTES"/>
    <s v="356x26 RPI"/>
    <n v="136.69999999999999"/>
  </r>
  <r>
    <d v="2025-07-19T05:16:43"/>
    <x v="11"/>
    <s v="Plaquettes rondes"/>
    <s v="DELIAT C"/>
    <s v="DELIAT CHRISTOPHE"/>
    <n v="10"/>
    <x v="2"/>
    <x v="4"/>
    <s v="PLAQUETTES"/>
    <s v="302x26 RPI"/>
    <n v="108.5"/>
  </r>
  <r>
    <d v="2025-07-19T07:54:14"/>
    <x v="10"/>
    <s v="Plaquettes rondes"/>
    <s v="U109136"/>
    <s v="WIPLIE FREDERIC"/>
    <n v="10"/>
    <x v="0"/>
    <x v="3"/>
    <s v="PLAQUETTES"/>
    <s v="356x26 RPI"/>
    <n v="136.69999999999999"/>
  </r>
  <r>
    <d v="2025-07-21T05:57:51"/>
    <x v="11"/>
    <s v="Plaquettes rondes"/>
    <s v="j529800"/>
    <s v="MONTCHARMONT BAPTISTE"/>
    <n v="10"/>
    <x v="0"/>
    <x v="3"/>
    <s v="PLAQUETTES"/>
    <s v="304x28 RPE"/>
    <n v="108.5"/>
  </r>
  <r>
    <d v="2025-07-21T06:46:37"/>
    <x v="10"/>
    <s v="Plaquettes rondes"/>
    <s v="SE08251"/>
    <s v="FAYET AYMERIC"/>
    <n v="10"/>
    <x v="0"/>
    <x v="3"/>
    <s v="PLAQUETTES"/>
    <s v="356x26 RPI"/>
    <n v="136.69999999999999"/>
  </r>
  <r>
    <d v="2025-07-21T06:46:59"/>
    <x v="10"/>
    <s v="Plaquettes rondes"/>
    <s v="SE08251"/>
    <s v="FAYET AYMERIC"/>
    <n v="10"/>
    <x v="0"/>
    <x v="3"/>
    <s v="PLAQUETTES"/>
    <s v="356x26 RPI"/>
    <n v="136.69999999999999"/>
  </r>
  <r>
    <d v="2025-07-21T21:02:47"/>
    <x v="10"/>
    <s v="Plaquettes rondes"/>
    <s v="130124"/>
    <s v="MOHAMED ILDIRAY"/>
    <n v="10"/>
    <x v="1"/>
    <x v="3"/>
    <s v="PLAQUETTES"/>
    <s v="304x28 RPE"/>
    <n v="136.69999999999999"/>
  </r>
  <r>
    <d v="2025-07-22T05:37:35"/>
    <x v="10"/>
    <s v="Plaquettes rondes"/>
    <s v="SE08251"/>
    <s v="FAYET AYMERIC"/>
    <n v="10"/>
    <x v="0"/>
    <x v="3"/>
    <s v="PLAQUETTES"/>
    <s v="356x26 RPI"/>
    <n v="136.69999999999999"/>
  </r>
  <r>
    <d v="2025-07-22T14:48:31"/>
    <x v="11"/>
    <s v="Plaquettes rondes"/>
    <s v="140325"/>
    <s v="BOUCLIER JONATHAN"/>
    <n v="10"/>
    <x v="2"/>
    <x v="4"/>
    <s v="PLAQUETTES"/>
    <s v="302x26 RPI"/>
    <n v="108.5"/>
  </r>
  <r>
    <d v="2025-07-22T21:06:45"/>
    <x v="10"/>
    <s v="Plaquettes rondes"/>
    <s v="101123"/>
    <s v="BRUNET ANDREA"/>
    <n v="10"/>
    <x v="1"/>
    <x v="3"/>
    <s v="PLAQUETTES"/>
    <s v="304x28 RPE"/>
    <n v="136.69999999999999"/>
  </r>
  <r>
    <d v="2025-07-23T02:24:27"/>
    <x v="10"/>
    <s v="Plaquettes rondes"/>
    <s v="101224"/>
    <s v="CHAZEAU KYLIAN"/>
    <n v="10"/>
    <x v="0"/>
    <x v="3"/>
    <s v="PLAQUETTES"/>
    <s v="356x26 RPI"/>
    <n v="136.69999999999999"/>
  </r>
  <r>
    <d v="2025-07-23T04:28:48"/>
    <x v="11"/>
    <s v="Plaquettes rondes"/>
    <s v="210325"/>
    <s v="DAUTUN ALLAN"/>
    <n v="10"/>
    <x v="2"/>
    <x v="4"/>
    <s v="PLAQUETTES"/>
    <s v="302x26 RPI"/>
    <n v="108.5"/>
  </r>
  <r>
    <d v="2025-07-23T05:52:30"/>
    <x v="11"/>
    <s v="Plaquettes rondes"/>
    <s v="j529800"/>
    <s v="MONTCHARMONT BAPTISTE"/>
    <n v="10"/>
    <x v="0"/>
    <x v="3"/>
    <s v="PLAQUETTES"/>
    <s v="304x28 RPE"/>
    <n v="108.5"/>
  </r>
  <r>
    <d v="2025-07-23T16:13:38"/>
    <x v="10"/>
    <s v="Plaquettes rondes"/>
    <s v="040725"/>
    <s v="BARGEOT LUCAS"/>
    <n v="10"/>
    <x v="0"/>
    <x v="3"/>
    <s v="PLAQUETTES"/>
    <s v="356x26 RPI"/>
    <n v="136.69999999999999"/>
  </r>
  <r>
    <d v="2025-07-23T21:05:14"/>
    <x v="10"/>
    <s v="Plaquettes rondes"/>
    <s v="130124"/>
    <s v="MOHAMED ILDIRAY"/>
    <n v="10"/>
    <x v="1"/>
    <x v="3"/>
    <s v="PLAQUETTES"/>
    <s v="304x28 RPE"/>
    <n v="136.69999999999999"/>
  </r>
  <r>
    <d v="2025-07-24T05:45:37"/>
    <x v="10"/>
    <s v="Plaquettes rondes"/>
    <s v="j529800"/>
    <s v="MONTCHARMONT BAPTISTE"/>
    <n v="10"/>
    <x v="0"/>
    <x v="3"/>
    <s v="PLAQUETTES"/>
    <s v="356x26 RPI"/>
    <n v="136.69999999999999"/>
  </r>
  <r>
    <d v="2025-07-24T21:48:13"/>
    <x v="11"/>
    <s v="Plaquettes rondes"/>
    <s v="130124"/>
    <s v="MOHAMED ILDIRAY"/>
    <n v="10"/>
    <x v="1"/>
    <x v="3"/>
    <s v="PLAQUETTES"/>
    <s v="304x28 RPE"/>
    <n v="108.5"/>
  </r>
  <r>
    <d v="2025-07-25T21:52:30"/>
    <x v="10"/>
    <s v="Plaquettes rondes"/>
    <s v="130124"/>
    <s v="MOHAMED ILDIRAY"/>
    <n v="10"/>
    <x v="1"/>
    <x v="3"/>
    <s v="PLAQUETTES"/>
    <s v="304x28 RPE"/>
    <n v="136.69999999999999"/>
  </r>
  <r>
    <d v="2025-07-26T05:04:31"/>
    <x v="11"/>
    <s v="Plaquettes rondes"/>
    <s v="DELIAT C"/>
    <s v="DELIAT CHRISTOPHE"/>
    <n v="10"/>
    <x v="2"/>
    <x v="4"/>
    <s v="PLAQUETTES"/>
    <s v="302x26 RPI"/>
    <n v="108.5"/>
  </r>
  <r>
    <d v="2025-07-28T13:51:56"/>
    <x v="11"/>
    <s v="Plaquettes rondes"/>
    <s v="140325"/>
    <s v="BOUCLIER JONATHAN"/>
    <n v="10"/>
    <x v="2"/>
    <x v="4"/>
    <s v="PLAQUETTES"/>
    <s v="302x26 RPI"/>
    <n v="108.5"/>
  </r>
  <r>
    <d v="2025-07-30T18:38:19"/>
    <x v="11"/>
    <s v="Plaquettes rondes"/>
    <s v="U109136"/>
    <s v="WIPLIE FREDERIC"/>
    <n v="10"/>
    <x v="3"/>
    <x v="3"/>
    <s v="PLAQUETTES"/>
    <s v="302x26 RPI"/>
    <n v="108.5"/>
  </r>
  <r>
    <d v="2025-07-31T13:16:23"/>
    <x v="11"/>
    <s v="Plaquettes rondes"/>
    <s v="140325"/>
    <s v="BOUCLIER JONATHAN"/>
    <n v="10"/>
    <x v="2"/>
    <x v="4"/>
    <s v="PLAQUETTES"/>
    <s v="302x26 RPI"/>
    <n v="108.5"/>
  </r>
  <r>
    <d v="2025-08-08T06:40:27"/>
    <x v="11"/>
    <s v="Plaquettes rondes"/>
    <s v="140325"/>
    <s v="BOUCLIER JONATHAN"/>
    <n v="10"/>
    <x v="2"/>
    <x v="4"/>
    <s v="PLAQUETTES"/>
    <s v="302x26 RPI"/>
    <n v="108.5"/>
  </r>
  <r>
    <d v="2025-08-14T09:39:56"/>
    <x v="11"/>
    <s v="Plaquettes rondes"/>
    <s v="u636817"/>
    <s v="MOCQUEREAU LYDIE"/>
    <n v="10"/>
    <x v="2"/>
    <x v="4"/>
    <s v="PLAQUETTES"/>
    <s v="302x26 RPI"/>
    <n v="108.5"/>
  </r>
  <r>
    <d v="2025-08-18T05:09:08"/>
    <x v="11"/>
    <s v="Plaquettes rondes"/>
    <s v="140325"/>
    <s v="BOUCLIER JONATHAN"/>
    <n v="10"/>
    <x v="2"/>
    <x v="4"/>
    <s v="PLAQUETTES"/>
    <s v="302x26 RPI"/>
    <n v="108.5"/>
  </r>
  <r>
    <d v="2025-08-18T05:09:34"/>
    <x v="11"/>
    <s v="Plaquettes rondes"/>
    <s v="140325"/>
    <s v="BOUCLIER JONATHAN"/>
    <n v="10"/>
    <x v="2"/>
    <x v="4"/>
    <s v="PLAQUETTES"/>
    <s v="302x26 RPI"/>
    <n v="108.5"/>
  </r>
  <r>
    <d v="2025-08-18T13:26:26"/>
    <x v="11"/>
    <s v="Plaquettes rondes"/>
    <s v="210325"/>
    <s v="DAUTUN ALLAN"/>
    <n v="10"/>
    <x v="2"/>
    <x v="4"/>
    <s v="PLAQUETTES"/>
    <s v="302x26 RPI"/>
    <n v="108.5"/>
  </r>
  <r>
    <d v="2025-08-18T14:49:09"/>
    <x v="11"/>
    <s v="Plaquettes rondes"/>
    <s v="3224"/>
    <s v="BIDOT MURIEL"/>
    <n v="10"/>
    <x v="1"/>
    <x v="3"/>
    <s v="PLAQUETTES"/>
    <s v="304x28 RPE"/>
    <n v="108.5"/>
  </r>
  <r>
    <d v="2025-08-18T14:49:28"/>
    <x v="10"/>
    <s v="Plaquettes rondes"/>
    <s v="3224"/>
    <s v="BIDOT MURIEL"/>
    <n v="10"/>
    <x v="1"/>
    <x v="3"/>
    <s v="PLAQUETTES"/>
    <s v="304x28 RPE"/>
    <n v="136.69999999999999"/>
  </r>
  <r>
    <d v="2025-08-19T01:48:30"/>
    <x v="10"/>
    <s v="Plaquettes rondes"/>
    <s v="j529800"/>
    <s v="MONTCHARMONT BAPTISTE"/>
    <n v="10"/>
    <x v="3"/>
    <x v="3"/>
    <s v="PLAQUETTES"/>
    <s v="330x14"/>
    <n v="136.69999999999999"/>
  </r>
  <r>
    <d v="2025-08-19T08:10:03"/>
    <x v="10"/>
    <s v="Plaquettes rondes"/>
    <s v="040725"/>
    <s v="BARGEOT LUCAS"/>
    <n v="10"/>
    <x v="0"/>
    <x v="3"/>
    <s v="PLAQUETTES"/>
    <s v="356x26 RPI"/>
    <n v="136.69999999999999"/>
  </r>
  <r>
    <d v="2025-08-19T22:46:43"/>
    <x v="11"/>
    <s v="Plaquettes rondes"/>
    <s v="280225"/>
    <s v="FERNANDES DOS SANTOS REMY"/>
    <n v="10"/>
    <x v="1"/>
    <x v="3"/>
    <s v="PLAQUETTES"/>
    <s v="304x28 RPE"/>
    <n v="108.5"/>
  </r>
  <r>
    <d v="2025-08-20T00:35:19"/>
    <x v="10"/>
    <s v="Plaquettes rondes"/>
    <s v="j529800"/>
    <s v="MONTCHARMONT BAPTISTE"/>
    <n v="10"/>
    <x v="0"/>
    <x v="3"/>
    <s v="PLAQUETTES"/>
    <s v="356x26 RPI"/>
    <n v="136.69999999999999"/>
  </r>
  <r>
    <d v="2025-08-21T06:26:29"/>
    <x v="10"/>
    <s v="Plaquettes rondes"/>
    <s v="SD75051"/>
    <s v="COMBALUZIER LUCAS"/>
    <n v="10"/>
    <x v="1"/>
    <x v="3"/>
    <s v="PLAQUETTES"/>
    <s v="304x28 RPE"/>
    <n v="136.69999999999999"/>
  </r>
  <r>
    <d v="2025-08-21T07:52:44"/>
    <x v="10"/>
    <s v="Plaquettes rondes"/>
    <s v="040725"/>
    <s v="BARGEOT LUCAS"/>
    <n v="10"/>
    <x v="0"/>
    <x v="3"/>
    <s v="PLAQUETTES"/>
    <s v="356x26 RPI"/>
    <n v="136.69999999999999"/>
  </r>
  <r>
    <d v="2025-08-22T03:30:03"/>
    <x v="11"/>
    <s v="Plaquettes rondes"/>
    <s v="250425"/>
    <s v="CHANDAR ABDER"/>
    <n v="10"/>
    <x v="2"/>
    <x v="4"/>
    <s v="PLAQUETTES"/>
    <s v="302x26 RPI"/>
    <n v="108.5"/>
  </r>
  <r>
    <d v="2025-08-22T05:32:36"/>
    <x v="11"/>
    <s v="Plaquettes rondes"/>
    <s v="J534699"/>
    <s v="FABIAN CHARTON"/>
    <n v="10"/>
    <x v="2"/>
    <x v="4"/>
    <s v="PLAQUETTES"/>
    <s v="302x26 RPI"/>
    <n v="108.5"/>
  </r>
  <r>
    <d v="2025-08-22T09:44:37"/>
    <x v="10"/>
    <s v="Plaquettes rondes"/>
    <s v="u080365"/>
    <s v="ALAVOINE SAMUEL"/>
    <n v="10"/>
    <x v="0"/>
    <x v="3"/>
    <s v="PLAQUETTES"/>
    <s v="356x26 RPI"/>
    <n v="136.69999999999999"/>
  </r>
  <r>
    <d v="2025-08-22T20:26:14"/>
    <x v="11"/>
    <s v="Plaquettes rondes"/>
    <s v="210325"/>
    <s v="DAUTUN ALLAN"/>
    <n v="10"/>
    <x v="2"/>
    <x v="4"/>
    <s v="PLAQUETTES"/>
    <s v="302x26 RPI"/>
    <n v="108.5"/>
  </r>
  <r>
    <d v="2025-08-22T20:26:32"/>
    <x v="11"/>
    <s v="Plaquettes rondes"/>
    <s v="210325"/>
    <s v="DAUTUN ALLAN"/>
    <n v="10"/>
    <x v="2"/>
    <x v="4"/>
    <s v="PLAQUETTES"/>
    <s v="302x26 RPI"/>
    <n v="108.5"/>
  </r>
  <r>
    <d v="2025-08-23T05:45:32"/>
    <x v="10"/>
    <s v="Plaquettes rondes"/>
    <s v="DELIAT C"/>
    <s v="DELIAT CHRISTOPHE"/>
    <n v="10"/>
    <x v="1"/>
    <x v="3"/>
    <s v="PLAQUETTES"/>
    <s v="304x28 RPE"/>
    <n v="136.69999999999999"/>
  </r>
  <r>
    <d v="2025-08-23T05:45:48"/>
    <x v="11"/>
    <s v="Plaquettes rondes"/>
    <s v="DELIAT C"/>
    <s v="DELIAT CHRISTOPHE"/>
    <n v="10"/>
    <x v="1"/>
    <x v="3"/>
    <s v="PLAQUETTES"/>
    <s v="304x28 RPE"/>
    <n v="108.5"/>
  </r>
  <r>
    <d v="2025-08-23T10:44:04"/>
    <x v="10"/>
    <s v="Plaquettes rondes"/>
    <s v="u080365"/>
    <s v="ALAVOINE SAMUEL"/>
    <n v="10"/>
    <x v="0"/>
    <x v="3"/>
    <s v="PLAQUETTES"/>
    <s v="356x26 RPI"/>
    <n v="136.69999999999999"/>
  </r>
  <r>
    <d v="2025-08-25T13:29:15"/>
    <x v="10"/>
    <s v="Plaquettes rondes"/>
    <s v="040725"/>
    <s v="BARGEOT LUCAS"/>
    <n v="10"/>
    <x v="0"/>
    <x v="3"/>
    <s v="PLAQUETTES"/>
    <s v="356x26 RPI"/>
    <n v="136.69999999999999"/>
  </r>
  <r>
    <d v="2025-08-25T21:18:53"/>
    <x v="10"/>
    <s v="Plaquettes rondes"/>
    <s v="280225"/>
    <s v="FERNANDES DOS SANTOS REMY"/>
    <n v="10"/>
    <x v="0"/>
    <x v="3"/>
    <s v="PLAQUETTES"/>
    <s v="356x26 RPI"/>
    <n v="136.69999999999999"/>
  </r>
  <r>
    <d v="2025-08-26T06:27:31"/>
    <x v="11"/>
    <s v="Plaquettes rondes"/>
    <s v="101123"/>
    <s v="BRUNET ANDREA"/>
    <n v="10"/>
    <x v="1"/>
    <x v="3"/>
    <s v="PLAQUETTES"/>
    <s v="304x28 RPE"/>
    <n v="108.5"/>
  </r>
  <r>
    <d v="2025-08-26T06:27:47"/>
    <x v="10"/>
    <s v="Plaquettes rondes"/>
    <s v="101123"/>
    <s v="BRUNET ANDREA"/>
    <n v="10"/>
    <x v="1"/>
    <x v="3"/>
    <s v="PLAQUETTES"/>
    <s v="304x28 RPE"/>
    <n v="136.69999999999999"/>
  </r>
  <r>
    <d v="2025-08-27T14:06:54"/>
    <x v="10"/>
    <s v="Plaquettes rondes"/>
    <s v="040725"/>
    <s v="BARGEOT LUCAS"/>
    <n v="10"/>
    <x v="0"/>
    <x v="3"/>
    <s v="PLAQUETTES"/>
    <s v="356x26 RPI"/>
    <n v="136.69999999999999"/>
  </r>
  <r>
    <d v="2025-08-27T16:30:02"/>
    <x v="10"/>
    <s v="Plaquettes rondes"/>
    <s v="SD75051"/>
    <s v="COMBALUZIER LUCAS"/>
    <n v="10"/>
    <x v="1"/>
    <x v="3"/>
    <s v="PLAQUETTES"/>
    <s v="304x28 RPE"/>
    <n v="136.69999999999999"/>
  </r>
  <r>
    <d v="2025-08-28T05:03:22"/>
    <x v="11"/>
    <s v="Plaquettes rondes"/>
    <s v="101123"/>
    <s v="BRUNET ANDREA"/>
    <n v="10"/>
    <x v="1"/>
    <x v="3"/>
    <s v="PLAQUETTES"/>
    <s v="304x28 RPE"/>
    <n v="108.5"/>
  </r>
  <r>
    <d v="2025-08-29T05:15:49"/>
    <x v="10"/>
    <s v="Plaquettes rondes"/>
    <s v="U080365"/>
    <s v="ALAVOINE SAMUEL"/>
    <n v="10"/>
    <x v="0"/>
    <x v="3"/>
    <s v="PLAQUETTES"/>
    <s v="356x26 RPI"/>
    <n v="136.69999999999999"/>
  </r>
  <r>
    <d v="2025-08-29T05:26:55"/>
    <x v="11"/>
    <s v="Plaquettes rondes"/>
    <s v="DELIAT C"/>
    <s v="DELIAT CHRISTOPHE"/>
    <n v="10"/>
    <x v="1"/>
    <x v="3"/>
    <s v="PLAQUETTES"/>
    <s v="304x28 RPE"/>
    <n v="108.5"/>
  </r>
  <r>
    <d v="2025-08-29T05:27:15"/>
    <x v="10"/>
    <s v="Plaquettes rondes"/>
    <s v="DELIAT C"/>
    <s v="DELIAT CHRISTOPHE"/>
    <n v="10"/>
    <x v="1"/>
    <x v="3"/>
    <s v="PLAQUETTES"/>
    <s v="304x28 RPE"/>
    <n v="136.69999999999999"/>
  </r>
  <r>
    <d v="2025-08-30T01:56:54"/>
    <x v="10"/>
    <s v="Plaquettes rondes"/>
    <s v="j529800"/>
    <s v="MONTCHARMONT BAPTISTE"/>
    <n v="10"/>
    <x v="0"/>
    <x v="3"/>
    <s v="PLAQUETTES"/>
    <s v="356x26 RPI"/>
    <n v="136.69999999999999"/>
  </r>
  <r>
    <d v="2025-08-30T05:40:16"/>
    <x v="11"/>
    <s v="Plaquettes rondes"/>
    <s v="DELIAT C"/>
    <s v="DELIAT CHRISTOPHE"/>
    <n v="10"/>
    <x v="2"/>
    <x v="4"/>
    <s v="PLAQUETTES"/>
    <s v="302x26 RPI"/>
    <n v="108.5"/>
  </r>
  <r>
    <d v="2025-09-01T13:03:05"/>
    <x v="10"/>
    <s v="Plaquettes rondes"/>
    <s v="101123"/>
    <s v="BRUNET ANDREA"/>
    <n v="10"/>
    <x v="1"/>
    <x v="3"/>
    <s v="PLAQUETTES"/>
    <s v="304x28 RPE"/>
    <n v="136.69999999999999"/>
  </r>
  <r>
    <d v="2025-09-01T13:57:04"/>
    <x v="10"/>
    <s v="Plaquettes rondes"/>
    <s v="101224"/>
    <s v="CHAZEAU KYLIAN"/>
    <n v="10"/>
    <x v="0"/>
    <x v="3"/>
    <s v="PLAQUETTES"/>
    <s v="356x26 RPI"/>
    <n v="136.69999999999999"/>
  </r>
  <r>
    <d v="2025-09-01T23:12:26"/>
    <x v="11"/>
    <s v="Plaquettes rondes"/>
    <s v="250425"/>
    <s v="CHANDAR ABDER"/>
    <n v="10"/>
    <x v="2"/>
    <x v="4"/>
    <s v="PLAQUETTES"/>
    <s v="302x26 RPI"/>
    <n v="108.5"/>
  </r>
  <r>
    <d v="2025-09-02T05:52:53"/>
    <x v="11"/>
    <s v="Plaquettes rondes"/>
    <s v="140325"/>
    <s v="BOUCLIER JONATHAN"/>
    <n v="10"/>
    <x v="2"/>
    <x v="4"/>
    <s v="PLAQUETTES"/>
    <s v="302x26 RPI"/>
    <n v="108.5"/>
  </r>
  <r>
    <d v="2025-09-02T13:21:01"/>
    <x v="11"/>
    <s v="Plaquettes rondes"/>
    <s v="101123"/>
    <s v="BRUNET ANDREA"/>
    <n v="10"/>
    <x v="1"/>
    <x v="3"/>
    <s v="PLAQUETTES"/>
    <s v="304x28 RPE"/>
    <n v="108.5"/>
  </r>
  <r>
    <d v="2025-09-02T13:21:26"/>
    <x v="10"/>
    <s v="Plaquettes rondes"/>
    <s v="101123"/>
    <s v="BRUNET ANDREA"/>
    <n v="10"/>
    <x v="1"/>
    <x v="3"/>
    <s v="PLAQUETTES"/>
    <s v="304x28 RPE"/>
    <n v="136.69999999999999"/>
  </r>
  <r>
    <d v="2025-09-02T19:45:04"/>
    <x v="10"/>
    <s v="Plaquettes rondes"/>
    <s v="101224"/>
    <s v="CHAZEAU KYLIAN"/>
    <n v="10"/>
    <x v="0"/>
    <x v="3"/>
    <s v="PLAQUETTES"/>
    <s v="356x26 RPI"/>
    <n v="136.69999999999999"/>
  </r>
  <r>
    <d v="2025-09-03T05:52:11"/>
    <x v="11"/>
    <s v="Plaquettes rondes"/>
    <s v="140325"/>
    <s v="BOUCLIER JONATHAN"/>
    <n v="10"/>
    <x v="2"/>
    <x v="4"/>
    <s v="PLAQUETTES"/>
    <s v="302x26 RPI"/>
    <n v="108.5"/>
  </r>
  <r>
    <d v="2025-09-03T18:40:49"/>
    <x v="10"/>
    <s v="Plaquettes rondes"/>
    <s v="101224"/>
    <s v="CHAZEAU KYLIAN"/>
    <n v="10"/>
    <x v="0"/>
    <x v="3"/>
    <s v="PLAQUETTES"/>
    <s v="356x26 RPI"/>
    <n v="136.69999999999999"/>
  </r>
  <r>
    <d v="2025-09-03T22:22:04"/>
    <x v="10"/>
    <s v="Plaquettes rondes"/>
    <s v="130325"/>
    <s v="PAPONNEAU JULIEN"/>
    <n v="10"/>
    <x v="1"/>
    <x v="3"/>
    <s v="PLAQUETTES"/>
    <s v="304x28 RPE"/>
    <n v="136.69999999999999"/>
  </r>
  <r>
    <d v="2025-09-03T22:22:18"/>
    <x v="10"/>
    <s v="Plaquettes rondes"/>
    <s v="130325"/>
    <s v="PAPONNEAU JULIEN"/>
    <n v="10"/>
    <x v="1"/>
    <x v="3"/>
    <s v="PLAQUETTES"/>
    <s v="304x28 RPE"/>
    <n v="136.69999999999999"/>
  </r>
  <r>
    <d v="2025-09-03T22:32:42"/>
    <x v="11"/>
    <s v="Plaquettes rondes"/>
    <s v="250425"/>
    <s v="CHANDAR ABDER"/>
    <n v="10"/>
    <x v="2"/>
    <x v="4"/>
    <s v="PLAQUETTES"/>
    <s v="302x26 RPI"/>
    <n v="108.5"/>
  </r>
  <r>
    <d v="2025-09-04T21:30:14"/>
    <x v="10"/>
    <s v="Plaquettes rondes"/>
    <s v="j529800"/>
    <s v="MONTCHARMONT BAPTISTE"/>
    <n v="10"/>
    <x v="0"/>
    <x v="3"/>
    <s v="PLAQUETTES"/>
    <s v="356x26 RPI"/>
    <n v="136.69999999999999"/>
  </r>
  <r>
    <d v="2025-09-04T21:45:36"/>
    <x v="11"/>
    <s v="Plaquettes rondes"/>
    <s v="j529800"/>
    <s v="MONTCHARMONT BAPTISTE"/>
    <n v="10"/>
    <x v="3"/>
    <x v="3"/>
    <s v="PLAQUETTES"/>
    <s v="330x28 RPE KO"/>
    <n v="108.5"/>
  </r>
  <r>
    <d v="2025-09-04T21:45:54"/>
    <x v="10"/>
    <s v="Plaquettes rondes"/>
    <s v="j529800"/>
    <s v="MONTCHARMONT BAPTISTE"/>
    <n v="10"/>
    <x v="3"/>
    <x v="3"/>
    <s v="PLAQUETTES"/>
    <s v="330x28 RPE KO"/>
    <n v="136.69999999999999"/>
  </r>
  <r>
    <d v="2025-09-05T05:12:02"/>
    <x v="11"/>
    <s v="Plaquettes rondes"/>
    <s v="J534699"/>
    <s v="FABIAN CHARTON"/>
    <n v="10"/>
    <x v="2"/>
    <x v="4"/>
    <s v="PLAQUETTES"/>
    <s v="302x26 RPI"/>
    <n v="108.5"/>
  </r>
  <r>
    <d v="2025-09-05T13:10:15"/>
    <x v="10"/>
    <s v="Plaquettes rondes"/>
    <s v="101123"/>
    <s v="BRUNET ANDREA"/>
    <n v="10"/>
    <x v="1"/>
    <x v="3"/>
    <s v="PLAQUETTES"/>
    <s v="304x28 RPE"/>
    <n v="136.69999999999999"/>
  </r>
  <r>
    <d v="2025-09-06T02:54:35"/>
    <x v="10"/>
    <s v="Plaquettes rondes"/>
    <s v="j529800"/>
    <s v="MONTCHARMONT BAPTISTE"/>
    <n v="10"/>
    <x v="0"/>
    <x v="3"/>
    <s v="PLAQUETTES"/>
    <s v="356x26 RPI"/>
    <n v="136.69999999999999"/>
  </r>
  <r>
    <d v="2025-09-06T05:23:38"/>
    <x v="10"/>
    <s v="Plaquettes rondes"/>
    <s v="U080365"/>
    <s v="ALAVOINE SAMUEL"/>
    <n v="10"/>
    <x v="1"/>
    <x v="3"/>
    <s v="PLAQUETTES"/>
    <s v="304x28 RPE"/>
    <n v="136.69999999999999"/>
  </r>
  <r>
    <d v="2025-09-06T05:23:55"/>
    <x v="11"/>
    <s v="Plaquettes rondes"/>
    <s v="U080365"/>
    <s v="ALAVOINE SAMUEL"/>
    <n v="10"/>
    <x v="1"/>
    <x v="3"/>
    <s v="PLAQUETTES"/>
    <s v="304x28 RPE"/>
    <n v="108.5"/>
  </r>
  <r>
    <d v="2025-09-07T17:19:25"/>
    <x v="10"/>
    <s v="Plaquettes rondes"/>
    <s v="150725"/>
    <s v="ADOUL WASSIM"/>
    <n v="10"/>
    <x v="0"/>
    <x v="3"/>
    <s v="PLAQUETTES"/>
    <s v="356x26 RPI"/>
    <n v="136.69999999999999"/>
  </r>
  <r>
    <d v="2025-09-08T05:38:02"/>
    <x v="10"/>
    <s v="Plaquettes rondes"/>
    <s v="101224"/>
    <s v="CHAZEAU KYLIAN"/>
    <n v="10"/>
    <x v="0"/>
    <x v="3"/>
    <s v="PLAQUETTES"/>
    <s v="356x26 RPI"/>
    <n v="136.69999999999999"/>
  </r>
  <r>
    <d v="2025-09-08T14:12:17"/>
    <x v="10"/>
    <s v="Plaquettes rondes"/>
    <s v="SD75051"/>
    <s v="COMBALUZIER LUCAS"/>
    <n v="10"/>
    <x v="1"/>
    <x v="3"/>
    <s v="PLAQUETTES"/>
    <s v="304x28 RPE"/>
    <n v="136.69999999999999"/>
  </r>
  <r>
    <d v="2025-09-08T14:15:47"/>
    <x v="10"/>
    <s v="Plaquettes rondes"/>
    <s v="040725"/>
    <s v="BARGEOT LUCAS"/>
    <n v="10"/>
    <x v="0"/>
    <x v="3"/>
    <s v="PLAQUETTES"/>
    <s v="356x26 RPI"/>
    <n v="136.69999999999999"/>
  </r>
  <r>
    <d v="2025-09-08T14:16:07"/>
    <x v="10"/>
    <s v="Plaquettes rondes"/>
    <s v="040725"/>
    <s v="BARGEOT LUCAS"/>
    <n v="10"/>
    <x v="3"/>
    <x v="3"/>
    <s v="PLAQUETTES"/>
    <s v="330x28 RPE KO"/>
    <n v="136.69999999999999"/>
  </r>
  <r>
    <d v="2025-09-08T18:32:51"/>
    <x v="11"/>
    <s v="Plaquettes rondes"/>
    <s v="140325"/>
    <s v="BOUCLIER JONATHAN"/>
    <n v="10"/>
    <x v="2"/>
    <x v="4"/>
    <s v="PLAQUETTES"/>
    <s v="302x26 RPI"/>
    <n v="108.5"/>
  </r>
  <r>
    <d v="2025-09-09T18:53:27"/>
    <x v="10"/>
    <s v="Plaquettes rondes"/>
    <s v="SD75051"/>
    <s v="COMBALUZIER LUCAS"/>
    <n v="10"/>
    <x v="1"/>
    <x v="3"/>
    <s v="PLAQUETTES"/>
    <s v="304x28 RPE"/>
    <n v="136.69999999999999"/>
  </r>
  <r>
    <d v="2025-09-10T01:47:11"/>
    <x v="11"/>
    <s v="Plaquettes rondes"/>
    <s v="U037238"/>
    <s v="PRIEUR OLIVIER"/>
    <n v="10"/>
    <x v="2"/>
    <x v="4"/>
    <s v="PLAQUETTES"/>
    <s v="302x26 RPI"/>
    <n v="108.5"/>
  </r>
  <r>
    <d v="2025-09-10T16:58:21"/>
    <x v="11"/>
    <s v="Plaquettes rondes"/>
    <s v="SD75051"/>
    <s v="COMBALUZIER LUCAS"/>
    <n v="10"/>
    <x v="1"/>
    <x v="3"/>
    <s v="PLAQUETTES"/>
    <s v="304x28 RPE"/>
    <n v="108.5"/>
  </r>
  <r>
    <d v="2025-09-11T00:12:13"/>
    <x v="10"/>
    <s v="Plaquettes rondes"/>
    <s v="j529800"/>
    <s v="MONTCHARMONT BAPTISTE"/>
    <n v="10"/>
    <x v="0"/>
    <x v="3"/>
    <s v="PLAQUETTES"/>
    <s v="356x26 RPI"/>
    <n v="136.69999999999999"/>
  </r>
  <r>
    <d v="2025-09-11T13:07:43"/>
    <x v="11"/>
    <s v="Plaquettes rondes"/>
    <s v="140325"/>
    <s v="BOUCLIER JONATHAN"/>
    <n v="10"/>
    <x v="2"/>
    <x v="4"/>
    <s v="PLAQUETTES"/>
    <s v="302x26 RPI"/>
    <n v="108.5"/>
  </r>
  <r>
    <d v="2025-09-11T13:32:10"/>
    <x v="10"/>
    <s v="Plaquettes rondes"/>
    <s v="SD75051"/>
    <s v="COMBALUZIER LUCAS"/>
    <n v="10"/>
    <x v="1"/>
    <x v="3"/>
    <s v="PLAQUETTES"/>
    <s v="304x28 RPE"/>
    <n v="136.69999999999999"/>
  </r>
  <r>
    <d v="2025-09-12T00:39:30"/>
    <x v="10"/>
    <s v="Plaquettes rondes"/>
    <s v="j529800"/>
    <s v="MONTCHARMONT BAPTISTE"/>
    <n v="10"/>
    <x v="0"/>
    <x v="3"/>
    <s v="PLAQUETTES"/>
    <s v="356x26 RPI"/>
    <n v="136.69999999999999"/>
  </r>
  <r>
    <d v="2025-09-12T06:25:00"/>
    <x v="11"/>
    <s v="Plaquettes rondes"/>
    <s v="DELIAT C"/>
    <s v="DELIAT CHRISTOPHE"/>
    <n v="10"/>
    <x v="2"/>
    <x v="4"/>
    <s v="PLAQUETTES"/>
    <s v="302x26 RPI"/>
    <n v="108.5"/>
  </r>
  <r>
    <d v="2025-09-12T08:44:56"/>
    <x v="11"/>
    <s v="Plaquettes rondes"/>
    <s v="DELIAT C"/>
    <s v="DELIAT CHRISTOPHE"/>
    <n v="10"/>
    <x v="2"/>
    <x v="4"/>
    <s v="PLAQUETTES"/>
    <s v="302x26 RPI"/>
    <n v="108.5"/>
  </r>
  <r>
    <d v="2025-09-12T14:01:10"/>
    <x v="11"/>
    <s v="Plaquettes rondes"/>
    <s v="SD75051"/>
    <s v="COMBALUZIER LUCAS"/>
    <n v="10"/>
    <x v="0"/>
    <x v="3"/>
    <s v="PLAQUETTES"/>
    <s v="304x28 RPE"/>
    <n v="108.5"/>
  </r>
  <r>
    <d v="2025-09-12T21:49:21"/>
    <x v="10"/>
    <s v="Plaquettes rondes"/>
    <s v="101123"/>
    <s v="BRUNET ANDREA"/>
    <n v="10"/>
    <x v="1"/>
    <x v="3"/>
    <s v="PLAQUETTES"/>
    <s v="304x28 RPE"/>
    <n v="136.69999999999999"/>
  </r>
  <r>
    <d v="2025-09-13T09:27:33"/>
    <x v="10"/>
    <s v="Plaquettes rondes"/>
    <s v="U109136"/>
    <s v="WIPLIE FREDERIC"/>
    <n v="10"/>
    <x v="0"/>
    <x v="3"/>
    <s v="PLAQUETTES"/>
    <s v="356x26 RPI"/>
    <n v="136.69999999999999"/>
  </r>
  <r>
    <d v="2025-09-13T11:09:39"/>
    <x v="11"/>
    <s v="Plaquettes rondes"/>
    <s v="DELIAT C"/>
    <s v="DELIAT CHRISTOPHE"/>
    <n v="10"/>
    <x v="2"/>
    <x v="4"/>
    <s v="PLAQUETTES"/>
    <s v="302x26 RPI"/>
    <n v="108.5"/>
  </r>
  <r>
    <d v="2025-09-15T12:39:27"/>
    <x v="10"/>
    <s v="Plaquettes rondes"/>
    <s v="040725"/>
    <s v="BARGEOT LUCAS"/>
    <n v="10"/>
    <x v="0"/>
    <x v="3"/>
    <s v="PLAQUETTES"/>
    <s v="356x26 RPI"/>
    <n v="136.69999999999999"/>
  </r>
  <r>
    <d v="2025-09-15T15:55:27"/>
    <x v="11"/>
    <s v="Plaquettes rondes"/>
    <s v="210325"/>
    <s v="DAUTUN ALLAN"/>
    <n v="10"/>
    <x v="2"/>
    <x v="4"/>
    <s v="PLAQUETTES"/>
    <s v="302x26 RPI"/>
    <n v="108.5"/>
  </r>
  <r>
    <d v="2025-09-15T23:47:14"/>
    <x v="11"/>
    <s v="Plaquettes rondes"/>
    <s v="250425"/>
    <s v="CHANDAR ABDER"/>
    <n v="10"/>
    <x v="2"/>
    <x v="4"/>
    <s v="PLAQUETTES"/>
    <s v="302x26 RPI"/>
    <n v="108.5"/>
  </r>
  <r>
    <d v="2025-09-16T06:03:32"/>
    <x v="11"/>
    <s v="Plaquettes rondes"/>
    <s v="SD75051"/>
    <s v="COMBALUZIER LUCAS"/>
    <n v="10"/>
    <x v="1"/>
    <x v="3"/>
    <s v="PLAQUETTES"/>
    <s v="304x28 RPE"/>
    <n v="108.5"/>
  </r>
  <r>
    <d v="2025-09-16T06:04:03"/>
    <x v="10"/>
    <s v="Plaquettes rondes"/>
    <s v="SD75051"/>
    <s v="COMBALUZIER LUCAS"/>
    <n v="10"/>
    <x v="1"/>
    <x v="3"/>
    <s v="PLAQUETTES"/>
    <s v="304x28 RPE"/>
    <n v="136.69999999999999"/>
  </r>
  <r>
    <d v="2025-09-16T07:37:42"/>
    <x v="10"/>
    <s v="Plaquettes rondes"/>
    <s v="040725"/>
    <s v="BARGEOT LUCAS"/>
    <n v="10"/>
    <x v="0"/>
    <x v="3"/>
    <s v="PLAQUETTES"/>
    <s v="356x26 RPI"/>
    <n v="136.69999999999999"/>
  </r>
  <r>
    <d v="2025-09-17T23:53:25"/>
    <x v="10"/>
    <s v="Plaquettes rondes"/>
    <s v="j529800"/>
    <s v="MONTCHARMONT BAPTISTE"/>
    <n v="10"/>
    <x v="0"/>
    <x v="3"/>
    <s v="PLAQUETTES"/>
    <s v="356x26 RPI"/>
    <n v="136.69999999999999"/>
  </r>
  <r>
    <d v="2025-09-19T03:32:30"/>
    <x v="10"/>
    <s v="Plaquettes rondes"/>
    <s v="j529800"/>
    <s v="MONTCHARMONT BAPTISTE"/>
    <n v="10"/>
    <x v="0"/>
    <x v="3"/>
    <s v="PLAQUETTES"/>
    <s v="356x26 RPI"/>
    <n v="136.69999999999999"/>
  </r>
  <r>
    <d v="2025-09-19T05:08:41"/>
    <x v="11"/>
    <s v="Plaquettes rondes"/>
    <s v="DELIAT C"/>
    <s v="DELIAT CHRISTOPHE"/>
    <n v="10"/>
    <x v="2"/>
    <x v="4"/>
    <s v="PLAQUETTES"/>
    <s v="302x26 RPI"/>
    <n v="108.5"/>
  </r>
  <r>
    <d v="2025-09-19T13:00:15"/>
    <x v="10"/>
    <s v="Plaquettes rondes"/>
    <s v="101123"/>
    <s v="BRUNET ANDREA"/>
    <n v="10"/>
    <x v="1"/>
    <x v="3"/>
    <s v="PLAQUETTES"/>
    <s v="304x28 RPE"/>
    <n v="136.69999999999999"/>
  </r>
  <r>
    <d v="2025-09-19T13:00:30"/>
    <x v="11"/>
    <s v="Plaquettes rondes"/>
    <s v="101123"/>
    <s v="BRUNET ANDREA"/>
    <n v="10"/>
    <x v="1"/>
    <x v="3"/>
    <s v="PLAQUETTES"/>
    <s v="304x28 RPE"/>
    <n v="108.5"/>
  </r>
  <r>
    <d v="2025-09-19T17:38:47"/>
    <x v="10"/>
    <s v="Plaquettes rondes"/>
    <s v="101224"/>
    <s v="CHAZEAU KYLIAN"/>
    <n v="10"/>
    <x v="0"/>
    <x v="3"/>
    <s v="PLAQUETTES"/>
    <s v="356x26 RPI"/>
    <n v="136.69999999999999"/>
  </r>
  <r>
    <d v="2025-09-20T01:07:32"/>
    <x v="11"/>
    <s v="Plaquettes rondes"/>
    <s v="250425"/>
    <s v="CHANDAR ABDER"/>
    <n v="10"/>
    <x v="2"/>
    <x v="4"/>
    <s v="PLAQUETTES"/>
    <s v="302x26 RPI"/>
    <n v="108.5"/>
  </r>
  <r>
    <d v="2025-09-20T08:18:06"/>
    <x v="10"/>
    <s v="Plaquettes rondes"/>
    <s v="150725"/>
    <s v="ADOUL WASSIM"/>
    <n v="10"/>
    <x v="0"/>
    <x v="3"/>
    <s v="PLAQUETTES"/>
    <s v="356x26 RPI"/>
    <n v="136.69999999999999"/>
  </r>
  <r>
    <d v="2025-09-21T17:11:58"/>
    <x v="11"/>
    <s v="Plaquettes rondes"/>
    <s v="DELIAT C"/>
    <s v="DELIAT CHRISTOPHE"/>
    <n v="10"/>
    <x v="2"/>
    <x v="4"/>
    <s v="PLAQUETTES"/>
    <s v="302x26 RPI"/>
    <n v="108.5"/>
  </r>
  <r>
    <d v="2025-09-21T20:14:03"/>
    <x v="10"/>
    <s v="Plaquettes rondes"/>
    <s v="150725"/>
    <s v="ADOUL WASSIM"/>
    <n v="10"/>
    <x v="0"/>
    <x v="3"/>
    <s v="PLAQUETTES"/>
    <s v="356x26 RPI"/>
    <n v="136.69999999999999"/>
  </r>
  <r>
    <d v="2025-09-21T21:36:54"/>
    <x v="11"/>
    <s v="Plaquettes rondes"/>
    <s v="U109136"/>
    <s v="WIPLIE FREDERIC"/>
    <n v="10"/>
    <x v="1"/>
    <x v="3"/>
    <s v="PLAQUETTES"/>
    <s v="304x28 RPE"/>
    <n v="108.5"/>
  </r>
  <r>
    <d v="2025-09-22T03:48:35"/>
    <x v="10"/>
    <s v="Plaquettes rondes"/>
    <s v="U109136"/>
    <s v="WIPLIE FREDERIC"/>
    <n v="10"/>
    <x v="1"/>
    <x v="3"/>
    <s v="PLAQUETTES"/>
    <s v="304x28 RPE"/>
    <n v="136.69999999999999"/>
  </r>
  <r>
    <d v="2025-09-22T05:31:53"/>
    <x v="10"/>
    <s v="Plaquettes rondes"/>
    <s v="U505000"/>
    <s v="RECEVEUR BENOIT"/>
    <n v="10"/>
    <x v="0"/>
    <x v="3"/>
    <s v="PLAQUETTES"/>
    <s v="356x26 RPI"/>
    <n v="136.69999999999999"/>
  </r>
  <r>
    <d v="2025-09-23T07:42:02"/>
    <x v="10"/>
    <s v="Plaquettes rondes"/>
    <s v="101224"/>
    <s v="CHAZEAU KYLIAN"/>
    <n v="10"/>
    <x v="0"/>
    <x v="3"/>
    <s v="PLAQUETTES"/>
    <s v="356x26 RPI"/>
    <n v="136.69999999999999"/>
  </r>
  <r>
    <d v="2025-09-23T12:51:15"/>
    <x v="11"/>
    <s v="Plaquettes rondes"/>
    <s v="210325"/>
    <s v="DAUTUN ALLAN"/>
    <n v="10"/>
    <x v="2"/>
    <x v="4"/>
    <s v="PLAQUETTES"/>
    <s v="302x26 RPI"/>
    <n v="108.5"/>
  </r>
  <r>
    <d v="2025-09-23T13:18:12"/>
    <x v="11"/>
    <s v="Plaquettes rondes"/>
    <s v="140325"/>
    <s v="BOUCLIER JONATHAN"/>
    <n v="10"/>
    <x v="2"/>
    <x v="4"/>
    <s v="PLAQUETTES"/>
    <s v="302x26 RPI"/>
    <n v="108.5"/>
  </r>
  <r>
    <d v="2025-09-24T00:28:29"/>
    <x v="11"/>
    <s v="Plaquettes rondes"/>
    <s v="250425"/>
    <s v="CHANDAR ABDER"/>
    <n v="10"/>
    <x v="2"/>
    <x v="4"/>
    <s v="PLAQUETTES"/>
    <s v="302x26 RPI"/>
    <n v="108.5"/>
  </r>
  <r>
    <d v="2025-09-24T07:08:00"/>
    <x v="10"/>
    <s v="Plaquettes rondes"/>
    <s v="101224"/>
    <s v="CHAZEAU KYLIAN"/>
    <n v="10"/>
    <x v="0"/>
    <x v="3"/>
    <s v="PLAQUETTES"/>
    <s v="356x26 RPI"/>
    <n v="136.69999999999999"/>
  </r>
  <r>
    <d v="2025-09-24T13:35:37"/>
    <x v="11"/>
    <s v="Plaquettes rondes"/>
    <s v="SD75051"/>
    <s v="COMBALUZIER LUCAS"/>
    <n v="10"/>
    <x v="1"/>
    <x v="3"/>
    <s v="PLAQUETTES"/>
    <s v="304x28 RPE"/>
    <n v="108.5"/>
  </r>
  <r>
    <d v="2025-09-24T14:06:00"/>
    <x v="11"/>
    <s v="Plaquettes rondes"/>
    <s v="140325"/>
    <s v="BOUCLIER JONATHAN"/>
    <n v="10"/>
    <x v="2"/>
    <x v="4"/>
    <s v="PLAQUETTES"/>
    <s v="302x26 RPI"/>
    <n v="108.5"/>
  </r>
  <r>
    <d v="2025-09-24T22:46:20"/>
    <x v="10"/>
    <s v="Plaquettes rondes"/>
    <s v="j529800"/>
    <s v="MONTCHARMONT BAPTISTE"/>
    <n v="10"/>
    <x v="0"/>
    <x v="3"/>
    <s v="PLAQUETTES"/>
    <s v="356x26 RPI"/>
    <n v="136.69999999999999"/>
  </r>
  <r>
    <d v="2025-09-24T22:46:38"/>
    <x v="10"/>
    <s v="Plaquettes rondes"/>
    <s v="j529800"/>
    <s v="MONTCHARMONT BAPTISTE"/>
    <n v="10"/>
    <x v="0"/>
    <x v="3"/>
    <s v="PLAQUETTES"/>
    <s v="356x26 RPI"/>
    <n v="136.69999999999999"/>
  </r>
  <r>
    <d v="2025-09-25T05:16:23"/>
    <x v="10"/>
    <s v="Plaquettes rondes"/>
    <s v="101123"/>
    <s v="BRUNET ANDREA"/>
    <n v="10"/>
    <x v="1"/>
    <x v="3"/>
    <s v="PLAQUETTES"/>
    <s v="304x28 RPE"/>
    <n v="136.69999999999999"/>
  </r>
  <r>
    <d v="2025-09-25T21:25:48"/>
    <x v="10"/>
    <s v="Plaquettes rondes"/>
    <s v="j529800"/>
    <s v="MONTCHARMONT BAPTISTE"/>
    <n v="10"/>
    <x v="0"/>
    <x v="3"/>
    <s v="PLAQUETTES"/>
    <s v="356x26 RPI"/>
    <n v="136.69999999999999"/>
  </r>
  <r>
    <d v="2025-09-26T13:53:16"/>
    <x v="11"/>
    <s v="Plaquettes rondes"/>
    <s v="140325"/>
    <s v="BOUCLIER JONATHAN"/>
    <n v="10"/>
    <x v="2"/>
    <x v="4"/>
    <s v="PLAQUETTES"/>
    <s v="302x26 RPI"/>
    <n v="108.5"/>
  </r>
  <r>
    <d v="2025-09-26T14:35:35"/>
    <x v="10"/>
    <s v="Plaquettes rondes"/>
    <s v="040725"/>
    <s v="BARGEOT LUCAS"/>
    <n v="10"/>
    <x v="0"/>
    <x v="3"/>
    <s v="PLAQUETTES"/>
    <s v="356x26 RPI"/>
    <n v="136.69999999999999"/>
  </r>
  <r>
    <d v="2025-09-26T21:17:11"/>
    <x v="11"/>
    <s v="Plaquettes rondes"/>
    <s v="j529800"/>
    <s v="MONTCHARMONT BAPTISTE"/>
    <n v="10"/>
    <x v="3"/>
    <x v="3"/>
    <s v="PLAQUETTES"/>
    <s v="330x28 RPE KO"/>
    <n v="108.5"/>
  </r>
  <r>
    <d v="2025-09-26T21:17:33"/>
    <x v="10"/>
    <s v="Plaquettes rondes"/>
    <s v="j529800"/>
    <s v="MONTCHARMONT BAPTISTE"/>
    <n v="10"/>
    <x v="0"/>
    <x v="3"/>
    <s v="PLAQUETTES"/>
    <s v="330x14"/>
    <n v="136.69999999999999"/>
  </r>
  <r>
    <d v="2025-09-27T09:13:06"/>
    <x v="11"/>
    <s v="Plaquettes rondes"/>
    <s v="150725"/>
    <s v="ADOUL WASSIM"/>
    <n v="10"/>
    <x v="1"/>
    <x v="3"/>
    <s v="PLAQUETTES"/>
    <s v="304x28 RPE"/>
    <n v="108.5"/>
  </r>
  <r>
    <d v="2025-09-27T09:13:23"/>
    <x v="10"/>
    <s v="Plaquettes rondes"/>
    <s v="150725"/>
    <s v="ADOUL WASSIM"/>
    <n v="10"/>
    <x v="1"/>
    <x v="3"/>
    <s v="PLAQUETTES"/>
    <s v="304x28 RPE"/>
    <n v="136.69999999999999"/>
  </r>
  <r>
    <d v="2025-09-28T16:44:25"/>
    <x v="11"/>
    <s v="Plaquettes rondes"/>
    <s v="210325"/>
    <s v="DAUTUN ALLAN"/>
    <n v="10"/>
    <x v="2"/>
    <x v="4"/>
    <s v="PLAQUETTES"/>
    <s v="302x26 RPI"/>
    <n v="108.5"/>
  </r>
  <r>
    <d v="2025-09-28T17:03:22"/>
    <x v="11"/>
    <s v="Plaquettes rondes"/>
    <s v="DELIAT C"/>
    <s v="DELIAT CHRISTOPHE"/>
    <n v="10"/>
    <x v="2"/>
    <x v="4"/>
    <s v="PLAQUETTES"/>
    <s v="302x26 RPI"/>
    <n v="108.5"/>
  </r>
  <r>
    <d v="2025-09-29T06:10:38"/>
    <x v="10"/>
    <s v="Plaquettes rondes"/>
    <s v="SD75051"/>
    <s v="COMBALUZIER LUCAS"/>
    <n v="10"/>
    <x v="0"/>
    <x v="3"/>
    <s v="PLAQUETTES"/>
    <s v="356x26 RPI"/>
    <n v="136.69999999999999"/>
  </r>
  <r>
    <d v="2025-09-30T04:12:35"/>
    <x v="10"/>
    <s v="Plaquettes rondes"/>
    <s v="130325"/>
    <s v="PAPONNEAU JULIEN"/>
    <n v="10"/>
    <x v="1"/>
    <x v="3"/>
    <s v="PLAQUETTES"/>
    <s v="304x28 RPE"/>
    <n v="136.69999999999999"/>
  </r>
  <r>
    <d v="2025-09-30T11:52:21"/>
    <x v="10"/>
    <s v="Plaquettes rondes"/>
    <s v="040725"/>
    <s v="BARGEOT LUCAS"/>
    <n v="10"/>
    <x v="0"/>
    <x v="3"/>
    <s v="PLAQUETTES"/>
    <s v="356x26 RPI"/>
    <n v="136.69999999999999"/>
  </r>
  <r>
    <d v="2025-09-30T21:25:24"/>
    <x v="10"/>
    <s v="Plaquettes rondes"/>
    <s v="j529800"/>
    <s v="MONTCHARMONT BAPTISTE"/>
    <n v="10"/>
    <x v="0"/>
    <x v="3"/>
    <s v="PLAQUETTES"/>
    <s v="356x26 RPI"/>
    <n v="136.69999999999999"/>
  </r>
  <r>
    <d v="2025-10-01T12:33:00"/>
    <x v="11"/>
    <s v="Plaquettes rondes"/>
    <s v="140325"/>
    <s v="BOUCLIER JONATHAN"/>
    <n v="10"/>
    <x v="2"/>
    <x v="4"/>
    <s v="PLAQUETTES"/>
    <s v="302x26 RPI"/>
    <n v="108.5"/>
  </r>
  <r>
    <d v="2025-10-01T15:32:10"/>
    <x v="10"/>
    <s v="Plaquettes rondes"/>
    <s v="101224"/>
    <s v="CHAZEAU KYLIAN"/>
    <n v="10"/>
    <x v="0"/>
    <x v="3"/>
    <s v="PLAQUETTES"/>
    <s v="356x26 RPI"/>
    <n v="136.69999999999999"/>
  </r>
  <r>
    <d v="2025-10-02T06:47:15"/>
    <x v="10"/>
    <s v="Plaquettes rondes"/>
    <s v="040725"/>
    <s v="BARGEOT LUCAS"/>
    <n v="10"/>
    <x v="0"/>
    <x v="3"/>
    <s v="PLAQUETTES"/>
    <s v="356x26 RPI"/>
    <n v="136.69999999999999"/>
  </r>
  <r>
    <d v="2025-10-02T13:25:28"/>
    <x v="11"/>
    <s v="Plaquettes rondes"/>
    <s v="U505000"/>
    <s v="RECEVEUR BENOIT"/>
    <n v="10"/>
    <x v="1"/>
    <x v="3"/>
    <s v="PLAQUETTES"/>
    <s v="304x28 RPE"/>
    <n v="108.5"/>
  </r>
  <r>
    <d v="2025-10-02T13:25:44"/>
    <x v="10"/>
    <s v="Plaquettes rondes"/>
    <s v="U505000"/>
    <s v="RECEVEUR BENOIT"/>
    <n v="10"/>
    <x v="1"/>
    <x v="3"/>
    <s v="PLAQUETTES"/>
    <s v="304x28 RPE"/>
    <n v="136.69999999999999"/>
  </r>
  <r>
    <d v="2025-10-02T21:45:58"/>
    <x v="10"/>
    <s v="Plaquettes rondes"/>
    <s v="j529800"/>
    <s v="MONTCHARMONT BAPTISTE"/>
    <n v="10"/>
    <x v="0"/>
    <x v="3"/>
    <s v="PLAQUETTES"/>
    <s v="356x26 RPI"/>
    <n v="136.69999999999999"/>
  </r>
  <r>
    <d v="2025-10-03T21:29:56"/>
    <x v="10"/>
    <s v="Plaquettes rondes"/>
    <s v="130325"/>
    <s v="PAPONNEAU JULIEN"/>
    <n v="10"/>
    <x v="1"/>
    <x v="3"/>
    <s v="PLAQUETTES"/>
    <s v="304x28 RPE"/>
    <n v="136.69999999999999"/>
  </r>
  <r>
    <d v="2025-10-03T21:30:13"/>
    <x v="11"/>
    <s v="Plaquettes rondes"/>
    <s v="130325"/>
    <s v="PAPONNEAU JULIEN"/>
    <n v="10"/>
    <x v="1"/>
    <x v="3"/>
    <s v="PLAQUETTES"/>
    <s v="304x28 RPE"/>
    <n v="108.5"/>
  </r>
  <r>
    <d v="2025-10-03T21:30:44"/>
    <x v="10"/>
    <s v="Plaquettes rondes"/>
    <s v="130325"/>
    <s v="PAPONNEAU JULIEN"/>
    <n v="10"/>
    <x v="1"/>
    <x v="3"/>
    <s v="PLAQUETTES"/>
    <s v="304x28 RPE"/>
    <n v="136.69999999999999"/>
  </r>
  <r>
    <d v="2025-10-04T02:15:10"/>
    <x v="10"/>
    <s v="Plaquettes rondes"/>
    <s v="j529800"/>
    <s v="MONTCHARMONT BAPTISTE"/>
    <n v="10"/>
    <x v="0"/>
    <x v="3"/>
    <s v="PLAQUETTES"/>
    <s v="356x26 RPI"/>
    <n v="136.69999999999999"/>
  </r>
  <r>
    <d v="2025-10-04T03:13:44"/>
    <x v="11"/>
    <s v="Plaquettes rondes"/>
    <s v="250425"/>
    <s v="CHANDAR ABDER"/>
    <n v="10"/>
    <x v="2"/>
    <x v="4"/>
    <s v="PLAQUETTES"/>
    <s v="302x26 RPI"/>
    <n v="108.5"/>
  </r>
  <r>
    <d v="2025-10-04T08:01:04"/>
    <x v="10"/>
    <s v="Plaquettes rondes"/>
    <s v="U109136"/>
    <s v="WIPLIE FREDERIC"/>
    <n v="10"/>
    <x v="1"/>
    <x v="3"/>
    <s v="PLAQUETTES"/>
    <s v="304x28 RPE"/>
    <n v="136.69999999999999"/>
  </r>
  <r>
    <d v="2025-10-04T08:26:55"/>
    <x v="11"/>
    <s v="Plaquettes rondes"/>
    <s v="DELIAT C"/>
    <s v="DELIAT CHRISTOPHE"/>
    <n v="10"/>
    <x v="2"/>
    <x v="4"/>
    <s v="PLAQUETTES"/>
    <s v="302x26 RPI"/>
    <n v="108.5"/>
  </r>
  <r>
    <d v="2025-10-04T14:25:47"/>
    <x v="10"/>
    <s v="Plaquettes rondes"/>
    <s v="150725"/>
    <s v="ADOUL WASSIM"/>
    <n v="10"/>
    <x v="0"/>
    <x v="3"/>
    <s v="PLAQUETTES"/>
    <s v="356x26 RPI"/>
    <n v="136.69999999999999"/>
  </r>
  <r>
    <d v="2025-10-05T22:49:29"/>
    <x v="11"/>
    <s v="Plaquettes rondes"/>
    <s v="150725"/>
    <s v="ADOUL WASSIM"/>
    <n v="10"/>
    <x v="1"/>
    <x v="3"/>
    <s v="PLAQUETTES"/>
    <s v="304x28 RPE"/>
    <n v="108.5"/>
  </r>
  <r>
    <d v="2025-10-06T06:45:12"/>
    <x v="10"/>
    <s v="Plaquettes rondes"/>
    <s v="101224"/>
    <s v="CHAZEAU KYLIAN"/>
    <n v="10"/>
    <x v="0"/>
    <x v="3"/>
    <s v="PLAQUETTES"/>
    <s v="356x26 RPI"/>
    <n v="136.69999999999999"/>
  </r>
  <r>
    <d v="2025-10-06T12:13:04"/>
    <x v="10"/>
    <s v="Plaquettes rondes"/>
    <s v="U505000"/>
    <s v="RECEVEUR BENOIT"/>
    <n v="10"/>
    <x v="1"/>
    <x v="3"/>
    <s v="PLAQUETTES"/>
    <s v="304x28 RPE"/>
    <n v="136.69999999999999"/>
  </r>
  <r>
    <d v="2025-10-06T12:49:34"/>
    <x v="11"/>
    <s v="Plaquettes rondes"/>
    <s v="210325"/>
    <s v="DAUTUN ALLAN"/>
    <n v="10"/>
    <x v="2"/>
    <x v="4"/>
    <s v="PLAQUETTES"/>
    <s v="302x26 RPI"/>
    <n v="108.5"/>
  </r>
  <r>
    <d v="2025-10-06T12:49:45"/>
    <x v="11"/>
    <s v="Plaquettes rondes"/>
    <s v="210325"/>
    <s v="DAUTUN ALLAN"/>
    <n v="10"/>
    <x v="2"/>
    <x v="4"/>
    <s v="PLAQUETTES"/>
    <s v="302x26 RPI"/>
    <n v="108.5"/>
  </r>
  <r>
    <d v="2025-10-06T21:09:26"/>
    <x v="10"/>
    <s v="Plaquettes rondes"/>
    <s v="j529800"/>
    <s v="MONTCHARMONT BAPTISTE"/>
    <n v="10"/>
    <x v="0"/>
    <x v="3"/>
    <s v="PLAQUETTES"/>
    <s v="356x26 RPI"/>
    <n v="136.69999999999999"/>
  </r>
  <r>
    <d v="2025-10-07T13:09:02"/>
    <x v="11"/>
    <s v="Plaquettes rondes"/>
    <s v="140325"/>
    <s v="BOUCLIER JONATHAN"/>
    <n v="10"/>
    <x v="2"/>
    <x v="4"/>
    <s v="PLAQUETTES"/>
    <s v="302x26 RPI"/>
    <n v="108.5"/>
  </r>
  <r>
    <d v="2025-10-07T15:10:08"/>
    <x v="11"/>
    <s v="Plaquettes rondes"/>
    <s v="J609988"/>
    <s v="AMALRIC VINCENT"/>
    <n v="10"/>
    <x v="1"/>
    <x v="3"/>
    <s v="PLAQUETTES"/>
    <s v="304x28 RPE"/>
    <n v="108.5"/>
  </r>
  <r>
    <d v="2025-10-07T15:10:35"/>
    <x v="10"/>
    <s v="Plaquettes rondes"/>
    <s v="J609988"/>
    <s v="AMALRIC VINCENT"/>
    <n v="10"/>
    <x v="1"/>
    <x v="3"/>
    <s v="PLAQUETTES"/>
    <s v="304x28 RPE"/>
    <n v="136.69999999999999"/>
  </r>
  <r>
    <d v="2025-10-07T15:17:52"/>
    <x v="10"/>
    <s v="Plaquettes rondes"/>
    <s v="040725"/>
    <s v="BARGEOT LUCAS"/>
    <n v="10"/>
    <x v="0"/>
    <x v="3"/>
    <s v="PLAQUETTES"/>
    <s v="356x26 RPI"/>
    <n v="136.69999999999999"/>
  </r>
  <r>
    <d v="2025-10-07T22:04:24"/>
    <x v="10"/>
    <s v="Plaquettes rondes"/>
    <s v="j529800"/>
    <s v="MONTCHARMONT BAPTISTE"/>
    <n v="10"/>
    <x v="3"/>
    <x v="3"/>
    <s v="PLAQUETTES"/>
    <s v="330x14"/>
    <n v="136.69999999999999"/>
  </r>
  <r>
    <d v="2025-10-09T10:59:54"/>
    <x v="10"/>
    <s v="Plaquettes rondes"/>
    <s v="101224"/>
    <s v="CHAZEAU KYLIAN"/>
    <n v="10"/>
    <x v="3"/>
    <x v="3"/>
    <s v="PLAQUETTES"/>
    <s v="330x28 RPE KO"/>
    <n v="136.69999999999999"/>
  </r>
  <r>
    <d v="2025-10-09T12:13:57"/>
    <x v="10"/>
    <s v="Plaquettes rondes"/>
    <s v="101224"/>
    <s v="CHAZEAU KYLIAN"/>
    <n v="10"/>
    <x v="0"/>
    <x v="3"/>
    <s v="PLAQUETTES"/>
    <s v="356x26 RPI"/>
    <n v="136.69999999999999"/>
  </r>
  <r>
    <d v="2025-10-09T13:45:04"/>
    <x v="10"/>
    <s v="Plaquettes rondes"/>
    <s v="J609988"/>
    <s v="AMALRIC VINCENT"/>
    <n v="10"/>
    <x v="1"/>
    <x v="3"/>
    <s v="PLAQUETTES"/>
    <s v="304x28 RPE"/>
    <n v="136.69999999999999"/>
  </r>
  <r>
    <d v="2025-10-09T13:45:28"/>
    <x v="11"/>
    <s v="Plaquettes rondes"/>
    <s v="J609988"/>
    <s v="AMALRIC VINCENT"/>
    <n v="10"/>
    <x v="1"/>
    <x v="3"/>
    <s v="PLAQUETTES"/>
    <s v="304x28 RPE"/>
    <n v="108.5"/>
  </r>
  <r>
    <d v="2025-10-10T13:28:03"/>
    <x v="10"/>
    <s v="Plaquettes rondes"/>
    <s v="040725"/>
    <s v="BARGEOT LUCAS"/>
    <n v="10"/>
    <x v="0"/>
    <x v="3"/>
    <s v="PLAQUETTES"/>
    <s v="356x26 RPI"/>
    <n v="136.69999999999999"/>
  </r>
  <r>
    <d v="2025-10-10T14:24:15"/>
    <x v="10"/>
    <s v="Plaquettes rondes"/>
    <s v="040725"/>
    <s v="BARGEOT LUCAS"/>
    <n v="10"/>
    <x v="3"/>
    <x v="3"/>
    <s v="PLAQUETTES"/>
    <s v="330x28 RPE KO"/>
    <n v="136.69999999999999"/>
  </r>
  <r>
    <d v="2025-10-11T07:08:12"/>
    <x v="10"/>
    <s v="Plaquettes rondes"/>
    <s v="150725"/>
    <s v="ADOUL WASSIM"/>
    <n v="10"/>
    <x v="1"/>
    <x v="3"/>
    <s v="PLAQUETTES"/>
    <s v="304x28 RPE"/>
    <n v="136.69999999999999"/>
  </r>
  <r>
    <d v="2025-10-11T12:35:57"/>
    <x v="10"/>
    <s v="Plaquettes rondes"/>
    <s v="150725"/>
    <s v="ADOUL WASSIM"/>
    <n v="10"/>
    <x v="3"/>
    <x v="3"/>
    <s v="PLAQUETTES"/>
    <s v="330x28 RPE KO"/>
    <n v="136.69999999999999"/>
  </r>
  <r>
    <d v="2025-10-11T12:36:30"/>
    <x v="11"/>
    <s v="Plaquettes rondes"/>
    <s v="150725"/>
    <s v="ADOUL WASSIM"/>
    <n v="10"/>
    <x v="3"/>
    <x v="3"/>
    <s v="PLAQUETTES"/>
    <s v="330x28 RPE KO"/>
    <n v="108.5"/>
  </r>
  <r>
    <d v="2025-10-11T14:25:58"/>
    <x v="11"/>
    <s v="Plaquettes rondes"/>
    <s v="DELIAT C"/>
    <s v="DELIAT CHRISTOPHE"/>
    <n v="10"/>
    <x v="2"/>
    <x v="4"/>
    <s v="PLAQUETTES"/>
    <s v="302x26 RPI"/>
    <n v="108.5"/>
  </r>
  <r>
    <d v="2025-10-12T17:04:29"/>
    <x v="11"/>
    <s v="Plaquettes rondes"/>
    <s v="DELIAT C"/>
    <s v="DELIAT CHRISTOPHE"/>
    <n v="10"/>
    <x v="2"/>
    <x v="4"/>
    <s v="PLAQUETTES"/>
    <s v="302x26 RPI"/>
    <n v="108.5"/>
  </r>
  <r>
    <d v="2025-10-12T20:44:48"/>
    <x v="11"/>
    <s v="Plaquettes rondes"/>
    <s v="150725"/>
    <s v="ADOUL WASSIM"/>
    <n v="10"/>
    <x v="1"/>
    <x v="3"/>
    <s v="PLAQUETTES"/>
    <s v="304x28 RPE"/>
    <n v="108.5"/>
  </r>
  <r>
    <d v="2025-10-13T05:07:02"/>
    <x v="11"/>
    <s v="Plaquettes rondes"/>
    <s v="140325"/>
    <s v="BOUCLIER JONATHAN"/>
    <n v="10"/>
    <x v="2"/>
    <x v="4"/>
    <s v="PLAQUETTES"/>
    <s v="302x26 RPI"/>
    <n v="108.5"/>
  </r>
  <r>
    <d v="2025-10-13T05:14:31"/>
    <x v="10"/>
    <s v="Plaquettes rondes"/>
    <s v="040725"/>
    <s v="BARGEOT LUCAS"/>
    <n v="10"/>
    <x v="0"/>
    <x v="3"/>
    <s v="PLAQUETTES"/>
    <s v="356x26 RPI"/>
    <n v="136.69999999999999"/>
  </r>
  <r>
    <d v="2025-10-13T16:09:59"/>
    <x v="10"/>
    <s v="Plaquettes rondes"/>
    <s v="U505000"/>
    <s v="RECEVEUR BENOIT"/>
    <n v="10"/>
    <x v="0"/>
    <x v="3"/>
    <s v="PLAQUETTES"/>
    <s v="356x26 RPI"/>
    <n v="136.69999999999999"/>
  </r>
  <r>
    <d v="2025-10-13T23:01:57"/>
    <x v="11"/>
    <s v="Plaquettes rondes"/>
    <s v="250425"/>
    <s v="CHANDAR ABDER"/>
    <n v="10"/>
    <x v="2"/>
    <x v="4"/>
    <s v="PLAQUETTES"/>
    <s v="302x26 RPI"/>
    <n v="108.5"/>
  </r>
  <r>
    <d v="2025-10-14T07:33:54"/>
    <x v="10"/>
    <s v="Plaquettes rondes"/>
    <s v="u568060"/>
    <s v="FAVIER STEVEN"/>
    <n v="10"/>
    <x v="1"/>
    <x v="3"/>
    <s v="PLAQUETTES"/>
    <s v="304x28 RPE"/>
    <n v="136.69999999999999"/>
  </r>
  <r>
    <d v="2025-10-14T21:46:05"/>
    <x v="10"/>
    <s v="Plaquettes rondes"/>
    <s v="j529800"/>
    <s v="MONTCHARMONT BAPTISTE"/>
    <n v="10"/>
    <x v="0"/>
    <x v="3"/>
    <s v="PLAQUETTES"/>
    <s v="356x26 RPI"/>
    <n v="136.69999999999999"/>
  </r>
  <r>
    <d v="2025-10-15T15:52:45"/>
    <x v="10"/>
    <s v="Plaquettes rondes"/>
    <s v="101224"/>
    <s v="CHAZEAU KYLIAN"/>
    <n v="10"/>
    <x v="0"/>
    <x v="3"/>
    <s v="PLAQUETTES"/>
    <s v="356x26 RPI"/>
    <n v="136.69999999999999"/>
  </r>
  <r>
    <d v="2025-10-15T18:33:03"/>
    <x v="11"/>
    <s v="Plaquettes rondes"/>
    <s v="U505000"/>
    <s v="RECEVEUR BENOIT"/>
    <n v="10"/>
    <x v="1"/>
    <x v="3"/>
    <s v="PLAQUETTES"/>
    <s v="304x28 RPE"/>
    <n v="108.5"/>
  </r>
  <r>
    <d v="2025-10-15T22:02:43"/>
    <x v="10"/>
    <s v="Plaquettes rondes"/>
    <s v="j529800"/>
    <s v="MONTCHARMONT BAPTISTE"/>
    <n v="10"/>
    <x v="3"/>
    <x v="3"/>
    <s v="PLAQUETTES"/>
    <s v="330x28 RPE KO"/>
    <n v="136.69999999999999"/>
  </r>
  <r>
    <d v="2025-10-16T05:22:25"/>
    <x v="10"/>
    <s v="Plaquettes rondes"/>
    <s v="SD75051"/>
    <s v="COMBALUZIER LUCAS"/>
    <n v="10"/>
    <x v="1"/>
    <x v="3"/>
    <s v="PLAQUETTES"/>
    <s v="304x28 RPE"/>
    <n v="136.69999999999999"/>
  </r>
  <r>
    <d v="2025-10-16T08:51:50"/>
    <x v="10"/>
    <s v="Plaquettes rondes"/>
    <s v="040725"/>
    <s v="BARGEOT LUCAS"/>
    <n v="10"/>
    <x v="3"/>
    <x v="3"/>
    <s v="PLAQUETTES"/>
    <s v="330x28 RPE KO"/>
    <n v="136.69999999999999"/>
  </r>
  <r>
    <d v="2025-10-16T11:49:22"/>
    <x v="11"/>
    <s v="Plaquettes rondes"/>
    <s v="140325"/>
    <s v="BOUCLIER JONATHAN"/>
    <n v="10"/>
    <x v="2"/>
    <x v="4"/>
    <s v="PLAQUETTES"/>
    <s v="302x26 RPI"/>
    <n v="108.5"/>
  </r>
  <r>
    <d v="2025-10-16T16:45:51"/>
    <x v="10"/>
    <s v="Plaquettes rondes"/>
    <s v="101224"/>
    <s v="CHAZEAU KYLIAN"/>
    <n v="10"/>
    <x v="0"/>
    <x v="3"/>
    <s v="PLAQUETTES"/>
    <s v="356x26 RPI"/>
    <n v="136.69999999999999"/>
  </r>
  <r>
    <d v="2025-10-17T02:41:54"/>
    <x v="10"/>
    <s v="Plaquettes rondes"/>
    <s v="j529800"/>
    <s v="MONTCHARMONT BAPTISTE"/>
    <n v="10"/>
    <x v="0"/>
    <x v="3"/>
    <s v="PLAQUETTES"/>
    <s v="356x26 RPI"/>
    <n v="136.69999999999999"/>
  </r>
  <r>
    <d v="2025-10-17T07:28:52"/>
    <x v="11"/>
    <s v="Plaquettes rondes"/>
    <s v="150725"/>
    <s v="ADOUL WASSIM"/>
    <n v="10"/>
    <x v="0"/>
    <x v="3"/>
    <s v="PLAQUETTES"/>
    <s v="304x28 RPE"/>
    <n v="108.5"/>
  </r>
  <r>
    <d v="2025-10-17T07:29:11"/>
    <x v="10"/>
    <s v="Plaquettes rondes"/>
    <s v="150725"/>
    <s v="ADOUL WASSIM"/>
    <n v="10"/>
    <x v="0"/>
    <x v="3"/>
    <s v="PLAQUETTES"/>
    <s v="304x28 RPE"/>
    <n v="136.69999999999999"/>
  </r>
  <r>
    <d v="2025-10-17T13:18:29"/>
    <x v="10"/>
    <s v="Plaquettes rondes"/>
    <s v="U505000"/>
    <s v="RECEVEUR BENOIT"/>
    <n v="10"/>
    <x v="1"/>
    <x v="3"/>
    <s v="PLAQUETTES"/>
    <s v="304x28 RPE"/>
    <n v="136.69999999999999"/>
  </r>
  <r>
    <d v="2025-10-18T12:44:00"/>
    <x v="11"/>
    <s v="Plaquettes rondes"/>
    <s v="DELIAT C"/>
    <s v="DELIAT CHRISTOPHE"/>
    <n v="10"/>
    <x v="2"/>
    <x v="4"/>
    <s v="PLAQUETTES"/>
    <s v="302x26 RPI"/>
    <n v="108.5"/>
  </r>
  <r>
    <d v="2025-10-19T21:23:34"/>
    <x v="10"/>
    <s v="Plaquettes rondes"/>
    <s v="150725"/>
    <s v="ADOUL WASSIM"/>
    <n v="10"/>
    <x v="0"/>
    <x v="3"/>
    <s v="PLAQUETTES"/>
    <s v="356x26 RPI"/>
    <n v="136.69999999999999"/>
  </r>
  <r>
    <d v="2025-10-20T06:34:07"/>
    <x v="10"/>
    <s v="Plaquettes rondes"/>
    <s v="U505000"/>
    <s v="RECEVEUR BENOIT"/>
    <n v="10"/>
    <x v="1"/>
    <x v="3"/>
    <s v="PLAQUETTES"/>
    <s v="304x28 RPE"/>
    <n v="136.69999999999999"/>
  </r>
  <r>
    <d v="2025-10-20T13:03:26"/>
    <x v="11"/>
    <s v="Plaquettes rondes"/>
    <s v="U636817"/>
    <s v="MOCQUEREAU LYDIE"/>
    <n v="10"/>
    <x v="2"/>
    <x v="4"/>
    <s v="PLAQUETTES"/>
    <s v="302x26 RPI"/>
    <n v="108.5"/>
  </r>
  <r>
    <d v="2025-10-20T13:14:01"/>
    <x v="10"/>
    <s v="Plaquettes rondes"/>
    <s v="SD75051"/>
    <s v="COMBALUZIER LUCAS"/>
    <n v="10"/>
    <x v="1"/>
    <x v="3"/>
    <s v="PLAQUETTES"/>
    <s v="304x28 RPE"/>
    <n v="136.69999999999999"/>
  </r>
  <r>
    <d v="2025-10-20T22:21:45"/>
    <x v="11"/>
    <s v="Plaquettes rondes"/>
    <s v="250425"/>
    <s v="CHANDAR ABDER"/>
    <n v="10"/>
    <x v="2"/>
    <x v="4"/>
    <s v="PLAQUETTES"/>
    <s v="302x26 RPI"/>
    <n v="108.5"/>
  </r>
  <r>
    <d v="2025-10-21T09:17:09"/>
    <x v="10"/>
    <s v="Plaquettes rondes"/>
    <s v="101224"/>
    <s v="CHAZEAU KYLIAN"/>
    <n v="10"/>
    <x v="0"/>
    <x v="3"/>
    <s v="PLAQUETTES"/>
    <s v="356x26 RPI"/>
    <n v="136.69999999999999"/>
  </r>
  <r>
    <d v="2025-10-21T22:01:43"/>
    <x v="10"/>
    <s v="Plaquettes rondes"/>
    <s v="j529800"/>
    <s v="MONTCHARMONT BAPTISTE"/>
    <n v="10"/>
    <x v="0"/>
    <x v="3"/>
    <s v="PLAQUETTES"/>
    <s v="356x26 RPI"/>
    <n v="136.69999999999999"/>
  </r>
  <r>
    <d v="2025-10-22T22:22:25"/>
    <x v="11"/>
    <s v="Plaquettes rondes"/>
    <s v="250425"/>
    <s v="CHANDAR ABDER"/>
    <n v="10"/>
    <x v="2"/>
    <x v="4"/>
    <s v="PLAQUETTES"/>
    <s v="302x26 RPI"/>
    <n v="108.5"/>
  </r>
  <r>
    <d v="2025-10-23T14:45:14"/>
    <x v="10"/>
    <s v="Plaquettes rondes"/>
    <s v="040725"/>
    <s v="BARGEOT LUCAS"/>
    <n v="10"/>
    <x v="0"/>
    <x v="3"/>
    <s v="PLAQUETTES"/>
    <s v="356x26 RPI"/>
    <n v="136.69999999999999"/>
  </r>
  <r>
    <d v="2025-10-24T05:52:10"/>
    <x v="10"/>
    <s v="Plaquettes rondes"/>
    <s v="150725"/>
    <s v="ADOUL WASSIM"/>
    <n v="10"/>
    <x v="0"/>
    <x v="3"/>
    <s v="PLAQUETTES"/>
    <s v="356x26 RPI"/>
    <n v="136.69999999999999"/>
  </r>
  <r>
    <d v="2025-10-24T13:08:13"/>
    <x v="10"/>
    <s v="Plaquettes rondes"/>
    <s v="SD75051"/>
    <s v="COMBALUZIER LUCAS"/>
    <n v="10"/>
    <x v="1"/>
    <x v="3"/>
    <s v="PLAQUETTES"/>
    <s v="304x28 RPE"/>
    <n v="136.69999999999999"/>
  </r>
  <r>
    <d v="2025-10-24T13:08:31"/>
    <x v="11"/>
    <s v="Plaquettes rondes"/>
    <s v="SD75051"/>
    <s v="COMBALUZIER LUCAS"/>
    <n v="10"/>
    <x v="1"/>
    <x v="3"/>
    <s v="PLAQUETTES"/>
    <s v="304x28 RPE"/>
    <n v="108.5"/>
  </r>
  <r>
    <d v="2025-10-24T13:10:16"/>
    <x v="10"/>
    <s v="Plaquettes rondes"/>
    <s v="040725"/>
    <s v="BARGEOT LUCAS"/>
    <n v="10"/>
    <x v="0"/>
    <x v="3"/>
    <s v="PLAQUETTES"/>
    <s v="356x26 RPI"/>
    <n v="136.69999999999999"/>
  </r>
  <r>
    <d v="2025-10-25T05:29:15"/>
    <x v="11"/>
    <s v="Plaquettes rondes"/>
    <s v="DELIAT C"/>
    <s v="DELIAT CHRISTOPHE"/>
    <n v="10"/>
    <x v="2"/>
    <x v="4"/>
    <s v="PLAQUETTES"/>
    <s v="302x26 RPI"/>
    <n v="108.5"/>
  </r>
  <r>
    <d v="2025-10-25T06:30:49"/>
    <x v="10"/>
    <s v="Plaquettes rondes"/>
    <s v="150725"/>
    <s v="ADOUL WASSIM"/>
    <n v="10"/>
    <x v="1"/>
    <x v="3"/>
    <s v="PLAQUETTES"/>
    <s v="304x28 RPE"/>
    <n v="136.69999999999999"/>
  </r>
  <r>
    <d v="2025-10-26T17:47:46"/>
    <x v="10"/>
    <s v="Plaquettes rondes"/>
    <s v="150725"/>
    <s v="ADOUL WASSIM"/>
    <n v="10"/>
    <x v="0"/>
    <x v="3"/>
    <s v="PLAQUETTES"/>
    <s v="356x26 RPI"/>
    <n v="136.69999999999999"/>
  </r>
  <r>
    <d v="2025-10-27T05:03:48"/>
    <x v="11"/>
    <s v="Plaquettes rondes"/>
    <s v="SD75051"/>
    <s v="COMBALUZIER LUCAS"/>
    <n v="10"/>
    <x v="1"/>
    <x v="3"/>
    <s v="PLAQUETTES"/>
    <s v="304x28 RPE"/>
    <n v="108.5"/>
  </r>
  <r>
    <d v="2025-10-27T05:08:22"/>
    <x v="10"/>
    <s v="Plaquettes rondes"/>
    <s v="040725"/>
    <s v="BARGEOT LUCAS"/>
    <n v="10"/>
    <x v="0"/>
    <x v="3"/>
    <s v="PLAQUETTES"/>
    <s v="356x26 RPI"/>
    <n v="136.69999999999999"/>
  </r>
  <r>
    <d v="2025-10-27T10:33:25"/>
    <x v="10"/>
    <s v="Plaquettes rondes"/>
    <s v="12824586"/>
    <s v="DA SILVA FERNANDO"/>
    <n v="10"/>
    <x v="1"/>
    <x v="3"/>
    <s v="PLAQUETTES"/>
    <s v="TOUT DISQUES"/>
    <n v="136.69999999999999"/>
  </r>
  <r>
    <d v="2025-10-27T21:30:58"/>
    <x v="10"/>
    <s v="Plaquettes rondes"/>
    <s v="j529800"/>
    <s v="MONTCHARMONT BAPTISTE"/>
    <n v="10"/>
    <x v="0"/>
    <x v="3"/>
    <s v="PLAQUETTES"/>
    <s v="356x26 RPI"/>
    <n v="136.69999999999999"/>
  </r>
  <r>
    <d v="2025-10-28T05:02:33"/>
    <x v="11"/>
    <s v="Plaquettes rondes"/>
    <s v="140325"/>
    <s v="BOUCLIER JONATHAN"/>
    <n v="10"/>
    <x v="2"/>
    <x v="4"/>
    <s v="PLAQUETTES"/>
    <s v="302x26 RPI"/>
    <n v="108.5"/>
  </r>
  <r>
    <d v="2025-10-28T05:17:20"/>
    <x v="10"/>
    <s v="Plaquettes rondes"/>
    <s v="SD75051"/>
    <s v="COMBALUZIER LUCAS"/>
    <n v="10"/>
    <x v="1"/>
    <x v="3"/>
    <s v="PLAQUETTES"/>
    <s v="304x28 RPE"/>
    <n v="136.69999999999999"/>
  </r>
  <r>
    <d v="2025-10-28T20:46:11"/>
    <x v="11"/>
    <s v="Plaquettes rondes"/>
    <s v="210325"/>
    <s v="DAUTUN ALLAN"/>
    <n v="10"/>
    <x v="2"/>
    <x v="4"/>
    <s v="PLAQUETTES"/>
    <s v="302x26 RPI"/>
    <n v="108.5"/>
  </r>
  <r>
    <d v="2025-10-28T21:10:22"/>
    <x v="10"/>
    <s v="Plaquettes rondes"/>
    <s v="j529800"/>
    <s v="MONTCHARMONT BAPTISTE"/>
    <n v="10"/>
    <x v="3"/>
    <x v="3"/>
    <s v="PLAQUETTES"/>
    <s v="330x28 RPE KO"/>
    <n v="136.69999999999999"/>
  </r>
  <r>
    <d v="2025-10-29T00:57:26"/>
    <x v="11"/>
    <s v="Plaquettes rondes"/>
    <s v="250425"/>
    <s v="CHANDAR ABDER"/>
    <n v="10"/>
    <x v="2"/>
    <x v="4"/>
    <s v="PLAQUETTES"/>
    <s v="302x26 RPI"/>
    <n v="108.5"/>
  </r>
  <r>
    <d v="2025-10-29T13:12:32"/>
    <x v="10"/>
    <s v="Plaquettes rondes"/>
    <s v="04551FC25C7780"/>
    <s v="CHEDRU VIANNEY"/>
    <n v="10"/>
    <x v="0"/>
    <x v="3"/>
    <s v="PLAQUETTES"/>
    <s v="356x26 RPI"/>
    <n v="136.69999999999999"/>
  </r>
  <r>
    <d v="2025-10-30T05:08:22"/>
    <x v="10"/>
    <s v="Plaquettes rondes"/>
    <s v="SD75051"/>
    <s v="COMBALUZIER LUCAS"/>
    <n v="10"/>
    <x v="1"/>
    <x v="3"/>
    <s v="PLAQUETTES"/>
    <s v="304x28 RPE"/>
    <n v="136.69999999999999"/>
  </r>
  <r>
    <d v="2025-10-30T22:48:20"/>
    <x v="10"/>
    <s v="Plaquettes rondes"/>
    <s v="j529800"/>
    <s v="MONTCHARMONT BAPTISTE"/>
    <n v="10"/>
    <x v="0"/>
    <x v="3"/>
    <s v="PLAQUETTES"/>
    <s v="356x26 RPI"/>
    <n v="136.69999999999999"/>
  </r>
  <r>
    <d v="2025-10-31T13:16:21"/>
    <x v="10"/>
    <s v="Plaquettes rondes"/>
    <s v="04551FC25C7780"/>
    <s v="CHEDRU VIANNEY"/>
    <n v="10"/>
    <x v="0"/>
    <x v="3"/>
    <s v="PLAQUETTES"/>
    <s v="356x26 RPI"/>
    <n v="136.69999999999999"/>
  </r>
  <r>
    <d v="2025-10-31T15:23:33"/>
    <x v="11"/>
    <s v="Plaquettes rondes"/>
    <s v="101224"/>
    <s v="CHAZEAU KYLIAN"/>
    <n v="10"/>
    <x v="1"/>
    <x v="3"/>
    <s v="PLAQUETTES"/>
    <s v="304x28 RPE"/>
    <n v="108.5"/>
  </r>
  <r>
    <d v="2025-11-01T03:22:43"/>
    <x v="11"/>
    <s v="Plaquettes rondes"/>
    <s v="250425"/>
    <s v="CHANDAR ABDER"/>
    <n v="10"/>
    <x v="2"/>
    <x v="4"/>
    <s v="PLAQUETTES"/>
    <s v="302x26 RPI"/>
    <n v="108.5"/>
  </r>
  <r>
    <d v="2025-11-01T08:18:34"/>
    <x v="10"/>
    <s v="Plaquettes rondes"/>
    <s v="150725"/>
    <s v="ADOUL WASSIM"/>
    <n v="10"/>
    <x v="0"/>
    <x v="3"/>
    <s v="PLAQUETTES"/>
    <s v="356x26 RPI"/>
    <n v="136.69999999999999"/>
  </r>
  <r>
    <d v="2025-11-01T11:48:40"/>
    <x v="10"/>
    <s v="Plaquettes rondes"/>
    <s v="150725"/>
    <s v="ADOUL WASSIM"/>
    <n v="10"/>
    <x v="1"/>
    <x v="3"/>
    <s v="PLAQUETTES"/>
    <s v="304x28 RPE"/>
    <n v="136.69999999999999"/>
  </r>
  <r>
    <d v="2025-11-01T11:49:11"/>
    <x v="11"/>
    <s v="Plaquettes rondes"/>
    <s v="150725"/>
    <s v="ADOUL WASSIM"/>
    <n v="10"/>
    <x v="1"/>
    <x v="3"/>
    <s v="PLAQUETTES"/>
    <s v="304x28 RPE"/>
    <n v="108.5"/>
  </r>
  <r>
    <d v="2025-11-03T05:12:39"/>
    <x v="10"/>
    <s v="Plaquettes rondes"/>
    <s v="101224"/>
    <s v="CHAZEAU KYLIAN"/>
    <n v="10"/>
    <x v="1"/>
    <x v="3"/>
    <s v="PLAQUETTES"/>
    <s v="304x28 RPE"/>
    <n v="136.69999999999999"/>
  </r>
  <r>
    <d v="2025-11-03T05:16:36"/>
    <x v="10"/>
    <s v="Plaquettes rondes"/>
    <s v="04551FC25C7780"/>
    <s v="CHEDRU VIANNEY"/>
    <n v="10"/>
    <x v="0"/>
    <x v="3"/>
    <s v="PLAQUETTES"/>
    <s v="356x26 RPI"/>
    <n v="136.69999999999999"/>
  </r>
  <r>
    <d v="2025-11-03T13:20:55"/>
    <x v="11"/>
    <s v="Plaquettes rondes"/>
    <s v="u636817"/>
    <s v="MOCQUEREAU LYDIE"/>
    <n v="10"/>
    <x v="2"/>
    <x v="4"/>
    <s v="PLAQUETTES"/>
    <s v="302x26 RPI"/>
    <n v="108.5"/>
  </r>
  <r>
    <d v="2025-11-03T13:55:03"/>
    <x v="11"/>
    <s v="Plaquettes rondes"/>
    <s v="SD75051"/>
    <s v="COMBALUZIER LUCAS"/>
    <n v="10"/>
    <x v="1"/>
    <x v="3"/>
    <s v="PLAQUETTES"/>
    <s v="304x28 RPE"/>
    <n v="108.5"/>
  </r>
  <r>
    <d v="2025-11-04T06:54:00"/>
    <x v="10"/>
    <s v="Plaquettes rondes"/>
    <s v="04551FC25C7780"/>
    <s v="CHEDRU VIANNEY"/>
    <n v="10"/>
    <x v="0"/>
    <x v="3"/>
    <s v="PLAQUETTES"/>
    <s v="356x26 RPI"/>
    <n v="136.69999999999999"/>
  </r>
  <r>
    <d v="2025-11-04T14:13:24"/>
    <x v="10"/>
    <s v="Plaquettes rondes"/>
    <s v="SD75051"/>
    <s v="COMBALUZIER LUCAS"/>
    <n v="10"/>
    <x v="1"/>
    <x v="3"/>
    <s v="PLAQUETTES"/>
    <s v="304x28 RPE"/>
    <n v="136.69999999999999"/>
  </r>
  <r>
    <d v="2025-11-04T15:36:55"/>
    <x v="11"/>
    <s v="Plaquettes rondes"/>
    <s v="u636817"/>
    <s v="MOCQUEREAU LYDIE"/>
    <n v="10"/>
    <x v="2"/>
    <x v="4"/>
    <s v="PLAQUETTES"/>
    <s v="302x26 RPI"/>
    <n v="108.5"/>
  </r>
  <r>
    <d v="2025-11-04T21:19:32"/>
    <x v="11"/>
    <s v="Plaquettes rondes"/>
    <s v="250425"/>
    <s v="CHANDAR ABDER"/>
    <n v="10"/>
    <x v="2"/>
    <x v="4"/>
    <s v="PLAQUETTES"/>
    <s v="302x26 RPI"/>
    <n v="108.5"/>
  </r>
  <r>
    <d v="2025-11-04T21:22:37"/>
    <x v="10"/>
    <s v="Plaquettes rondes"/>
    <s v="130325"/>
    <s v="PAPONNEAU JULIEN"/>
    <n v="10"/>
    <x v="1"/>
    <x v="3"/>
    <s v="PLAQUETTES"/>
    <s v="304x28 RPE"/>
    <n v="136.69999999999999"/>
  </r>
  <r>
    <d v="2025-11-04T21:22:51"/>
    <x v="10"/>
    <s v="Plaquettes rondes"/>
    <s v="130325"/>
    <s v="PAPONNEAU JULIEN"/>
    <n v="10"/>
    <x v="1"/>
    <x v="3"/>
    <s v="PLAQUETTES"/>
    <s v="304x28 RPE"/>
    <n v="136.69999999999999"/>
  </r>
  <r>
    <d v="2025-11-04T21:23:05"/>
    <x v="10"/>
    <s v="Plaquettes rondes"/>
    <s v="130325"/>
    <s v="PAPONNEAU JULIEN"/>
    <n v="10"/>
    <x v="1"/>
    <x v="3"/>
    <s v="PLAQUETTES"/>
    <s v="304x28 RPE"/>
    <n v="136.69999999999999"/>
  </r>
  <r>
    <d v="2025-11-04T21:23:20"/>
    <x v="11"/>
    <s v="Plaquettes rondes"/>
    <s v="130325"/>
    <s v="PAPONNEAU JULIEN"/>
    <n v="10"/>
    <x v="1"/>
    <x v="3"/>
    <s v="PLAQUETTES"/>
    <s v="304x28 RPE"/>
    <n v="108.5"/>
  </r>
  <r>
    <d v="2025-11-04T21:23:33"/>
    <x v="11"/>
    <s v="Plaquettes rondes"/>
    <s v="130325"/>
    <s v="PAPONNEAU JULIEN"/>
    <n v="10"/>
    <x v="1"/>
    <x v="3"/>
    <s v="PLAQUETTES"/>
    <s v="304x28 RPE"/>
    <n v="108.5"/>
  </r>
  <r>
    <d v="2025-11-04T21:23:44"/>
    <x v="11"/>
    <s v="Plaquettes rondes"/>
    <s v="130325"/>
    <s v="PAPONNEAU JULIEN"/>
    <n v="10"/>
    <x v="1"/>
    <x v="3"/>
    <s v="PLAQUETTES"/>
    <s v="304x28 RPE"/>
    <n v="108.5"/>
  </r>
  <r>
    <d v="2025-11-05T03:05:51"/>
    <x v="10"/>
    <s v="Plaquettes rondes"/>
    <s v="j529800"/>
    <s v="MONTCHARMONT BAPTISTE"/>
    <n v="10"/>
    <x v="0"/>
    <x v="3"/>
    <s v="PLAQUETTES"/>
    <s v="356x26 RPI"/>
    <n v="136.69999999999999"/>
  </r>
  <r>
    <d v="2025-11-05T13:08:13"/>
    <x v="11"/>
    <s v="Plaquettes rondes"/>
    <s v="140325"/>
    <s v="BOUCLIER JONATHAN"/>
    <n v="10"/>
    <x v="2"/>
    <x v="4"/>
    <s v="PLAQUETTES"/>
    <s v="302x26 RPI"/>
    <n v="108.5"/>
  </r>
  <r>
    <d v="2025-11-05T13:41:18"/>
    <x v="10"/>
    <s v="Plaquettes rondes"/>
    <s v="040725"/>
    <s v="BARGEOT LUCAS"/>
    <n v="10"/>
    <x v="3"/>
    <x v="3"/>
    <s v="PLAQUETTES"/>
    <s v="330x28 RPE KO"/>
    <n v="136.69999999999999"/>
  </r>
  <r>
    <d v="2025-11-05T21:17:05"/>
    <x v="10"/>
    <s v="Plaquettes rondes"/>
    <s v="j529800"/>
    <s v="MONTCHARMONT BAPTISTE"/>
    <n v="10"/>
    <x v="0"/>
    <x v="3"/>
    <s v="PLAQUETTES"/>
    <s v="356x26 RPI"/>
    <n v="136.69999999999999"/>
  </r>
  <r>
    <d v="2025-11-06T07:55:50"/>
    <x v="11"/>
    <s v="Plaquettes rondes"/>
    <s v="101224"/>
    <s v="CHAZEAU KYLIAN"/>
    <n v="10"/>
    <x v="1"/>
    <x v="3"/>
    <s v="PLAQUETTES"/>
    <s v="304x28 RPE"/>
    <n v="108.5"/>
  </r>
  <r>
    <d v="2025-11-06T13:52:57"/>
    <x v="10"/>
    <s v="Plaquettes rondes"/>
    <s v="040725"/>
    <s v="BARGEOT LUCAS"/>
    <n v="10"/>
    <x v="0"/>
    <x v="3"/>
    <s v="PLAQUETTES"/>
    <s v="356x26 RPI"/>
    <n v="136.69999999999999"/>
  </r>
  <r>
    <d v="2025-11-06T22:09:03"/>
    <x v="10"/>
    <s v="Plaquettes rondes"/>
    <s v="j529800"/>
    <s v="MONTCHARMONT BAPTISTE"/>
    <n v="10"/>
    <x v="0"/>
    <x v="3"/>
    <s v="PLAQUETTES"/>
    <s v="330x14"/>
    <n v="136.69999999999999"/>
  </r>
  <r>
    <d v="2025-11-07T06:00:02"/>
    <x v="11"/>
    <s v="Plaquettes rondes"/>
    <s v="j534699"/>
    <s v="FABIAN CHARTON"/>
    <n v="10"/>
    <x v="2"/>
    <x v="4"/>
    <s v="PLAQUETTES"/>
    <s v="302x26 RPI"/>
    <n v="108.5"/>
  </r>
  <r>
    <d v="2025-11-07T21:22:00"/>
    <x v="10"/>
    <s v="Plaquettes rondes"/>
    <s v="j529800"/>
    <s v="MONTCHARMONT BAPTISTE"/>
    <n v="10"/>
    <x v="0"/>
    <x v="3"/>
    <s v="PLAQUETTES"/>
    <s v="356x26 RPI"/>
    <n v="136.69999999999999"/>
  </r>
  <r>
    <d v="2025-11-08T08:10:36"/>
    <x v="11"/>
    <s v="Plaquettes rondes"/>
    <s v="u080365"/>
    <s v="ALAVOINE SAMUEL"/>
    <n v="10"/>
    <x v="1"/>
    <x v="3"/>
    <s v="PLAQUETTES"/>
    <s v="304x28 RPE"/>
    <n v="108.5"/>
  </r>
  <r>
    <d v="2025-11-08T20:57:13"/>
    <x v="10"/>
    <s v="Plaquettes rondes"/>
    <s v="150725"/>
    <s v="ADOUL WASSIM"/>
    <n v="10"/>
    <x v="0"/>
    <x v="3"/>
    <s v="PLAQUETTES"/>
    <s v="356x26 RPI"/>
    <n v="136.69999999999999"/>
  </r>
  <r>
    <d v="2025-11-09T06:54:27"/>
    <x v="10"/>
    <s v="Plaquettes rondes"/>
    <s v="U080365"/>
    <s v="ALAVOINE SAMUEL"/>
    <n v="10"/>
    <x v="0"/>
    <x v="3"/>
    <s v="PLAQUETTES"/>
    <s v="356x26 RPI"/>
    <n v="136.69999999999999"/>
  </r>
  <r>
    <d v="2025-11-09T17:51:55"/>
    <x v="10"/>
    <s v="Plaquettes rondes"/>
    <s v="150725"/>
    <s v="ADOUL WASSIM"/>
    <n v="10"/>
    <x v="1"/>
    <x v="3"/>
    <s v="PLAQUETTES"/>
    <s v="304x28 RPE"/>
    <n v="136.69999999999999"/>
  </r>
  <r>
    <d v="2025-11-10T12:19:59"/>
    <x v="11"/>
    <s v="Plaquettes rondes"/>
    <s v="u636817"/>
    <s v="MOCQUEREAU LYDIE"/>
    <n v="10"/>
    <x v="2"/>
    <x v="4"/>
    <s v="PLAQUETTES"/>
    <s v="302x26 RPI"/>
    <n v="108.5"/>
  </r>
  <r>
    <d v="2025-11-12T08:18:13"/>
    <x v="10"/>
    <s v="Plaquettes rondes"/>
    <s v="040725"/>
    <s v="BARGEOT LUCAS"/>
    <n v="10"/>
    <x v="0"/>
    <x v="3"/>
    <s v="PLAQUETTES"/>
    <s v="356x26 RPI"/>
    <n v="136.69999999999999"/>
  </r>
  <r>
    <d v="2025-11-12T21:17:21"/>
    <x v="10"/>
    <s v="Plaquettes rondes"/>
    <s v="j529800"/>
    <s v="MONTCHARMONT BAPTISTE"/>
    <n v="10"/>
    <x v="3"/>
    <x v="3"/>
    <s v="PLAQUETTES"/>
    <s v="330x28 RPE KO"/>
    <n v="136.69999999999999"/>
  </r>
  <r>
    <d v="2025-11-12T21:37:55"/>
    <x v="10"/>
    <s v="Plaquettes rondes"/>
    <s v="130325"/>
    <s v="PAPONNEAU JULIEN"/>
    <n v="10"/>
    <x v="1"/>
    <x v="3"/>
    <s v="PLAQUETTES"/>
    <s v="304x28 RPE"/>
    <n v="136.69999999999999"/>
  </r>
  <r>
    <d v="2025-11-13T21:22:02"/>
    <x v="10"/>
    <s v="Plaquettes rondes"/>
    <s v="j529800"/>
    <s v="MONTCHARMONT BAPTISTE"/>
    <n v="10"/>
    <x v="0"/>
    <x v="3"/>
    <s v="PLAQUETTES"/>
    <s v="356x26 RPI"/>
    <n v="136.69999999999999"/>
  </r>
  <r>
    <d v="2025-11-13T21:53:59"/>
    <x v="10"/>
    <s v="Plaquettes rondes"/>
    <s v="j529800"/>
    <s v="MONTCHARMONT BAPTISTE"/>
    <n v="10"/>
    <x v="0"/>
    <x v="3"/>
    <s v="PLAQUETTES"/>
    <s v="356x26 RPI"/>
    <n v="136.69999999999999"/>
  </r>
  <r>
    <d v="2025-11-13T23:00:56"/>
    <x v="11"/>
    <s v="Plaquettes rondes"/>
    <s v="130325"/>
    <s v="PAPONNEAU JULIEN"/>
    <n v="10"/>
    <x v="1"/>
    <x v="3"/>
    <s v="PLAQUETTES"/>
    <s v="304x28 RPE"/>
    <n v="108.5"/>
  </r>
  <r>
    <d v="2025-11-14T05:25:34"/>
    <x v="11"/>
    <s v="Plaquettes rondes"/>
    <s v="150725"/>
    <s v="ADOUL WASSIM"/>
    <n v="10"/>
    <x v="1"/>
    <x v="3"/>
    <s v="PLAQUETTES"/>
    <s v="304x28 RPE"/>
    <n v="108.5"/>
  </r>
  <r>
    <d v="2025-11-14T16:48:34"/>
    <x v="10"/>
    <s v="Plaquettes rondes"/>
    <s v="04551FC25C7780"/>
    <s v="CHEDRU VIANNEY"/>
    <n v="10"/>
    <x v="3"/>
    <x v="3"/>
    <s v="PLAQUETTES"/>
    <s v="330x28 RPE KO"/>
    <n v="136.69999999999999"/>
  </r>
  <r>
    <d v="2025-11-14T20:10:51"/>
    <x v="10"/>
    <s v="Plaquettes rondes"/>
    <s v="04551FC25C7780"/>
    <s v="CHEDRU VIANNEY"/>
    <n v="10"/>
    <x v="0"/>
    <x v="3"/>
    <s v="PLAQUETTES"/>
    <s v="356x26 RPI"/>
    <n v="136.69999999999999"/>
  </r>
  <r>
    <d v="2025-11-14T23:57:51"/>
    <x v="10"/>
    <s v="Plaquettes rondes"/>
    <s v="U561365"/>
    <s v="BALLY BENOIT"/>
    <n v="10"/>
    <x v="1"/>
    <x v="3"/>
    <s v="PLAQUETTES"/>
    <s v="304x28 RPE"/>
    <n v="136.69999999999999"/>
  </r>
  <r>
    <d v="2025-11-15T02:24:50"/>
    <x v="10"/>
    <s v="Plaquettes rondes"/>
    <s v="j529800"/>
    <s v="MONTCHARMONT BAPTISTE"/>
    <n v="10"/>
    <x v="0"/>
    <x v="3"/>
    <s v="PLAQUETTES"/>
    <s v="356x26 RPI"/>
    <n v="136.69999999999999"/>
  </r>
  <r>
    <d v="2025-11-15T06:13:09"/>
    <x v="11"/>
    <s v="Plaquettes rondes"/>
    <s v="DELIAT C"/>
    <s v="DELIAT CHRISTOPHE"/>
    <n v="10"/>
    <x v="2"/>
    <x v="4"/>
    <s v="PLAQUETTES"/>
    <s v="302x26 RPI"/>
    <n v="108.5"/>
  </r>
  <r>
    <d v="2025-11-15T07:20:35"/>
    <x v="10"/>
    <s v="Plaquettes rondes"/>
    <s v="150725"/>
    <s v="ADOUL WASSIM"/>
    <n v="10"/>
    <x v="1"/>
    <x v="3"/>
    <s v="PLAQUETTES"/>
    <s v="304x28 RPE"/>
    <n v="136.69999999999999"/>
  </r>
  <r>
    <d v="2025-11-15T07:20:54"/>
    <x v="11"/>
    <s v="Plaquettes rondes"/>
    <s v="150725"/>
    <s v="ADOUL WASSIM"/>
    <n v="10"/>
    <x v="1"/>
    <x v="3"/>
    <s v="PLAQUETTES"/>
    <s v="304x28 RPE"/>
    <n v="108.5"/>
  </r>
  <r>
    <d v="2025-11-16T03:01:43"/>
    <x v="10"/>
    <s v="Plaquettes rondes"/>
    <s v="U080365"/>
    <s v="ALAVOINE SAMUEL"/>
    <n v="10"/>
    <x v="0"/>
    <x v="3"/>
    <s v="PLAQUETTES"/>
    <s v="356x26 RPI"/>
    <n v="136.69999999999999"/>
  </r>
  <r>
    <d v="2025-11-16T03:03:13"/>
    <x v="10"/>
    <s v="Plaquettes rondes"/>
    <s v="U080365"/>
    <s v="ALAVOINE SAMUEL"/>
    <n v="10"/>
    <x v="3"/>
    <x v="3"/>
    <s v="PLAQUETTES"/>
    <s v="330x28 RPE KO"/>
    <n v="136.69999999999999"/>
  </r>
  <r>
    <d v="2025-11-17T03:44:08"/>
    <x v="10"/>
    <s v="Plaquettes rondes"/>
    <s v="u080365"/>
    <s v="ALAVOINE SAMUEL"/>
    <n v="10"/>
    <x v="0"/>
    <x v="3"/>
    <s v="PLAQUETTES"/>
    <s v="356x26 RPI"/>
    <n v="136.69999999999999"/>
  </r>
  <r>
    <d v="2025-11-17T13:09:36"/>
    <x v="11"/>
    <s v="Plaquettes rondes"/>
    <s v="SD75051"/>
    <s v="COMBALUZIER LUCAS"/>
    <n v="10"/>
    <x v="1"/>
    <x v="3"/>
    <s v="PLAQUETTES"/>
    <s v="304x28 RPE"/>
    <n v="108.5"/>
  </r>
  <r>
    <d v="2025-11-17T21:25:31"/>
    <x v="10"/>
    <s v="Plaquettes rondes"/>
    <s v="j529800"/>
    <s v="MONTCHARMONT BAPTISTE"/>
    <n v="10"/>
    <x v="0"/>
    <x v="3"/>
    <s v="PLAQUETTES"/>
    <s v="356x26 RPI"/>
    <n v="136.69999999999999"/>
  </r>
  <r>
    <d v="2025-11-18T03:32:43"/>
    <x v="10"/>
    <s v="Plaquettes rondes"/>
    <s v="j529800"/>
    <s v="MONTCHARMONT BAPTISTE"/>
    <n v="10"/>
    <x v="0"/>
    <x v="3"/>
    <s v="PLAQUETTES"/>
    <s v="356x26 RPI"/>
    <n v="136.69999999999999"/>
  </r>
  <r>
    <d v="2025-11-18T13:08:00"/>
    <x v="11"/>
    <s v="Plaquettes rondes"/>
    <s v="140325"/>
    <s v="BOUCLIER JONATHAN"/>
    <n v="10"/>
    <x v="2"/>
    <x v="4"/>
    <s v="PLAQUETTES"/>
    <s v="302x26 RPI"/>
    <n v="108.5"/>
  </r>
  <r>
    <d v="2025-11-18T21:32:00"/>
    <x v="10"/>
    <s v="Plaquettes rondes"/>
    <s v="j529800"/>
    <s v="MONTCHARMONT BAPTISTE"/>
    <n v="10"/>
    <x v="0"/>
    <x v="3"/>
    <s v="PLAQUETTES"/>
    <s v="356x26 RPI"/>
    <n v="136.69999999999999"/>
  </r>
  <r>
    <d v="2025-11-19T01:02:12"/>
    <x v="11"/>
    <s v="Plaquettes rondes"/>
    <s v="250425"/>
    <s v="CHANDAR ABDER"/>
    <n v="10"/>
    <x v="2"/>
    <x v="4"/>
    <s v="PLAQUETTES"/>
    <s v="302x26 RPI"/>
    <n v="108.5"/>
  </r>
  <r>
    <d v="2025-11-19T13:29:10"/>
    <x v="10"/>
    <s v="Plaquettes rondes"/>
    <s v="SD75051"/>
    <s v="COMBALUZIER LUCAS"/>
    <n v="10"/>
    <x v="0"/>
    <x v="3"/>
    <s v="PLAQUETTES"/>
    <s v="304x28 RPE"/>
    <n v="136.69999999999999"/>
  </r>
  <r>
    <d v="2025-11-20T05:54:49"/>
    <x v="10"/>
    <s v="Plaquettes rondes"/>
    <s v="04551FC25C7780"/>
    <s v="CHEDRU VIANNEY"/>
    <n v="10"/>
    <x v="3"/>
    <x v="3"/>
    <s v="PLAQUETTES"/>
    <s v="330x14"/>
    <n v="136.69999999999999"/>
  </r>
  <r>
    <d v="2025-11-20T13:19:12"/>
    <x v="10"/>
    <s v="Plaquettes rondes"/>
    <s v="040725"/>
    <s v="BARGEOT LUCAS"/>
    <n v="10"/>
    <x v="0"/>
    <x v="3"/>
    <s v="PLAQUETTES"/>
    <s v="356x26 RPI"/>
    <n v="136.69999999999999"/>
  </r>
  <r>
    <d v="2025-11-20T13:56:28"/>
    <x v="11"/>
    <s v="Plaquettes rondes"/>
    <s v="140325"/>
    <s v="BOUCLIER JONATHAN"/>
    <n v="10"/>
    <x v="2"/>
    <x v="4"/>
    <s v="PLAQUETTES"/>
    <s v="302x26 RPI"/>
    <n v="108.5"/>
  </r>
  <r>
    <d v="2025-11-21T21:22:17"/>
    <x v="10"/>
    <s v="Plaquettes rondes"/>
    <s v="j529800"/>
    <s v="MONTCHARMONT BAPTISTE"/>
    <n v="10"/>
    <x v="0"/>
    <x v="3"/>
    <s v="PLAQUETTES"/>
    <s v="356x26 RPI"/>
    <n v="136.69999999999999"/>
  </r>
  <r>
    <d v="2025-11-21T23:38:38"/>
    <x v="11"/>
    <s v="Plaquettes rondes"/>
    <s v="250425"/>
    <s v="CHANDAR ABDER"/>
    <n v="10"/>
    <x v="2"/>
    <x v="4"/>
    <s v="PLAQUETTES"/>
    <s v="302x26 RPI"/>
    <n v="108.5"/>
  </r>
  <r>
    <d v="2025-11-23T17:09:21"/>
    <x v="11"/>
    <s v="Plaquettes rondes"/>
    <s v="DELIAT C"/>
    <s v="DELIAT CHRISTOPHE"/>
    <n v="10"/>
    <x v="2"/>
    <x v="4"/>
    <s v="PLAQUETTES"/>
    <s v="302x26 RPI"/>
    <n v="108.5"/>
  </r>
  <r>
    <d v="2025-11-23T17:17:55"/>
    <x v="10"/>
    <s v="Plaquettes rondes"/>
    <s v="150725"/>
    <s v="ADOUL WASSIM"/>
    <n v="10"/>
    <x v="0"/>
    <x v="3"/>
    <s v="PLAQUETTES"/>
    <s v="356x26 RPI"/>
    <n v="136.69999999999999"/>
  </r>
  <r>
    <d v="2025-11-23T19:09:33"/>
    <x v="11"/>
    <s v="Plaquettes rondes"/>
    <s v="150725"/>
    <s v="ADOUL WASSIM"/>
    <n v="10"/>
    <x v="1"/>
    <x v="3"/>
    <s v="PLAQUETTES"/>
    <s v="304x28 RPE"/>
    <n v="108.5"/>
  </r>
  <r>
    <d v="2025-11-23T19:09:48"/>
    <x v="10"/>
    <s v="Plaquettes rondes"/>
    <s v="150725"/>
    <s v="ADOUL WASSIM"/>
    <n v="10"/>
    <x v="1"/>
    <x v="3"/>
    <s v="PLAQUETTES"/>
    <s v="304x28 RPE"/>
    <n v="136.69999999999999"/>
  </r>
  <r>
    <d v="2025-11-24T05:02:56"/>
    <x v="11"/>
    <s v="Plaquettes rondes"/>
    <s v="140325"/>
    <s v="BOUCLIER JONATHAN"/>
    <n v="10"/>
    <x v="2"/>
    <x v="4"/>
    <s v="PLAQUETTES"/>
    <s v="302x26 RPI"/>
    <n v="108.5"/>
  </r>
  <r>
    <d v="2025-11-24T05:10:27"/>
    <x v="10"/>
    <s v="Plaquettes rondes"/>
    <s v="040725"/>
    <s v="BARGEOT LUCAS"/>
    <n v="10"/>
    <x v="0"/>
    <x v="3"/>
    <s v="PLAQUETTES"/>
    <s v="356x26 RPI"/>
    <n v="136.69999999999999"/>
  </r>
  <r>
    <d v="2025-11-24T07:01:52"/>
    <x v="10"/>
    <s v="Plaquettes rondes"/>
    <s v="040725"/>
    <s v="BARGEOT LUCAS"/>
    <n v="10"/>
    <x v="3"/>
    <x v="3"/>
    <s v="PLAQUETTES"/>
    <s v="330x28 RPE KO"/>
    <n v="136.69999999999999"/>
  </r>
  <r>
    <d v="2025-11-24T21:13:09"/>
    <x v="10"/>
    <s v="Plaquettes rondes"/>
    <s v="j529800"/>
    <s v="MONTCHARMONT BAPTISTE"/>
    <n v="10"/>
    <x v="0"/>
    <x v="3"/>
    <s v="PLAQUETTES"/>
    <s v="356x26 RPI"/>
    <n v="136.69999999999999"/>
  </r>
  <r>
    <d v="2025-11-24T21:48:31"/>
    <x v="11"/>
    <s v="Plaquettes rondes"/>
    <s v="250425"/>
    <s v="CHANDAR ABDER"/>
    <n v="10"/>
    <x v="2"/>
    <x v="4"/>
    <s v="PLAQUETTES"/>
    <s v="302x26 RPI"/>
    <n v="108.5"/>
  </r>
  <r>
    <d v="2025-11-25T05:20:51"/>
    <x v="10"/>
    <s v="Plaquettes rondes"/>
    <s v="040725"/>
    <s v="BARGEOT LUCAS"/>
    <n v="10"/>
    <x v="0"/>
    <x v="3"/>
    <s v="PLAQUETTES"/>
    <s v="356x26 RPI"/>
    <n v="136.69999999999999"/>
  </r>
  <r>
    <d v="2025-11-25T05:44:20"/>
    <x v="10"/>
    <s v="Plaquettes rondes"/>
    <s v="040725"/>
    <s v="BARGEOT LUCAS"/>
    <n v="10"/>
    <x v="3"/>
    <x v="3"/>
    <s v="PLAQUETTES"/>
    <s v="330x28 RPE KO"/>
    <n v="136.69999999999999"/>
  </r>
  <r>
    <d v="2025-11-25T13:17:34"/>
    <x v="11"/>
    <s v="Plaquettes rondes"/>
    <s v="210325"/>
    <s v="DAUTUN ALLAN"/>
    <n v="10"/>
    <x v="2"/>
    <x v="4"/>
    <s v="PLAQUETTES"/>
    <s v="302x26 RPI"/>
    <n v="108.5"/>
  </r>
  <r>
    <d v="2025-11-25T21:25:21"/>
    <x v="10"/>
    <s v="Plaquettes rondes"/>
    <s v="j529800"/>
    <s v="MONTCHARMONT BAPTISTE"/>
    <n v="10"/>
    <x v="0"/>
    <x v="3"/>
    <s v="PLAQUETTES"/>
    <s v="330x14"/>
    <n v="136.69999999999999"/>
  </r>
  <r>
    <d v="2025-11-26T05:05:59"/>
    <x v="11"/>
    <s v="Plaquettes rondes"/>
    <s v="SD75051"/>
    <s v="COMBALUZIER LUCAS"/>
    <n v="10"/>
    <x v="1"/>
    <x v="3"/>
    <s v="PLAQUETTES"/>
    <s v="304x28 RPE"/>
    <n v="108.5"/>
  </r>
  <r>
    <d v="2025-11-26T07:31:58"/>
    <x v="10"/>
    <s v="Plaquettes rondes"/>
    <s v="SD75051"/>
    <s v="COMBALUZIER LUCAS"/>
    <n v="10"/>
    <x v="1"/>
    <x v="3"/>
    <s v="PLAQUETTES"/>
    <s v="304x28 RPE"/>
    <n v="136.69999999999999"/>
  </r>
  <r>
    <d v="2025-11-27T00:35:23"/>
    <x v="10"/>
    <s v="Plaquettes rondes"/>
    <s v="j529800"/>
    <s v="MONTCHARMONT BAPTISTE"/>
    <n v="10"/>
    <x v="0"/>
    <x v="3"/>
    <s v="PLAQUETTES"/>
    <s v="356x26 RPI"/>
    <n v="136.69999999999999"/>
  </r>
  <r>
    <d v="2025-11-27T08:07:01"/>
    <x v="11"/>
    <s v="Plaquettes rondes"/>
    <s v="140325"/>
    <s v="BOUCLIER JONATHAN"/>
    <n v="10"/>
    <x v="2"/>
    <x v="4"/>
    <s v="PLAQUETTES"/>
    <s v="302x26 RPI"/>
    <n v="108.5"/>
  </r>
  <r>
    <d v="2025-11-27T16:44:45"/>
    <x v="10"/>
    <s v="Plaquettes rondes"/>
    <s v="U505000"/>
    <s v="RECEVEUR BENOIT"/>
    <n v="10"/>
    <x v="0"/>
    <x v="3"/>
    <s v="PLAQUETTES"/>
    <s v="356x26 RPI"/>
    <n v="136.69999999999999"/>
  </r>
  <r>
    <d v="2025-11-27T21:13:14"/>
    <x v="10"/>
    <s v="Plaquettes rondes"/>
    <s v="j529800"/>
    <s v="MONTCHARMONT BAPTISTE"/>
    <n v="10"/>
    <x v="0"/>
    <x v="3"/>
    <s v="PLAQUETTES"/>
    <s v="356x26 RPI"/>
    <n v="136.69999999999999"/>
  </r>
  <r>
    <d v="2025-11-27T21:22:22"/>
    <x v="11"/>
    <s v="Plaquettes rondes"/>
    <s v="250425"/>
    <s v="CHANDAR ABDER"/>
    <n v="10"/>
    <x v="2"/>
    <x v="4"/>
    <s v="PLAQUETTES"/>
    <s v="302x26 RPI"/>
    <n v="108.5"/>
  </r>
  <r>
    <d v="2025-11-28T06:24:17"/>
    <x v="11"/>
    <s v="Plaquettes rondes"/>
    <s v="150725"/>
    <s v="ADOUL WASSIM"/>
    <n v="10"/>
    <x v="1"/>
    <x v="3"/>
    <s v="PLAQUETTES"/>
    <s v="304x28 RPE"/>
    <n v="108.5"/>
  </r>
  <r>
    <d v="2025-11-28T06:24:33"/>
    <x v="10"/>
    <s v="Plaquettes rondes"/>
    <s v="150725"/>
    <s v="ADOUL WASSIM"/>
    <n v="10"/>
    <x v="1"/>
    <x v="3"/>
    <s v="PLAQUETTES"/>
    <s v="304x28 RPE"/>
    <n v="136.69999999999999"/>
  </r>
  <r>
    <d v="2025-11-28T09:23:19"/>
    <x v="11"/>
    <s v="Plaquettes rondes"/>
    <s v="12824586"/>
    <s v="DA SILVA FERNANDO"/>
    <n v="10"/>
    <x v="2"/>
    <x v="4"/>
    <s v="PLAQUETTES"/>
    <s v="TOUT DISQUES"/>
    <n v="108.5"/>
  </r>
  <r>
    <d v="2025-11-28T12:59:56"/>
    <x v="10"/>
    <s v="Plaquettes rondes"/>
    <s v="04551FC25C7780"/>
    <s v="CHEDRU VIANNEY"/>
    <n v="10"/>
    <x v="3"/>
    <x v="3"/>
    <s v="PLAQUETTES"/>
    <s v="330x28 RPE KO"/>
    <n v="136.69999999999999"/>
  </r>
  <r>
    <d v="2025-11-28T14:25:50"/>
    <x v="10"/>
    <s v="Plaquettes rondes"/>
    <s v="04551FC25C7780"/>
    <s v="CHEDRU VIANNEY"/>
    <n v="10"/>
    <x v="0"/>
    <x v="3"/>
    <s v="PLAQUETTES"/>
    <s v="356x26 RPI"/>
    <n v="136.69999999999999"/>
  </r>
  <r>
    <d v="2025-11-29T07:52:33"/>
    <x v="11"/>
    <s v="Plaquettes rondes"/>
    <s v="DELIAT C"/>
    <s v="DELIAT CHRISTOPHE"/>
    <n v="10"/>
    <x v="2"/>
    <x v="4"/>
    <s v="PLAQUETTES"/>
    <s v="302x26 RPI"/>
    <n v="108.5"/>
  </r>
  <r>
    <d v="2025-11-29T18:19:24"/>
    <x v="10"/>
    <s v="Plaquettes rondes"/>
    <s v="150725"/>
    <s v="ADOUL WASSIM"/>
    <n v="10"/>
    <x v="0"/>
    <x v="3"/>
    <s v="PLAQUETTES"/>
    <s v="356x26 RPI"/>
    <n v="136.69999999999999"/>
  </r>
  <r>
    <d v="2025-11-30T10:08:53"/>
    <x v="10"/>
    <s v="Plaquettes rondes"/>
    <s v="U080365"/>
    <s v="ALAVOINE SAMUEL"/>
    <n v="10"/>
    <x v="3"/>
    <x v="3"/>
    <s v="PLAQUETTES"/>
    <s v="330x28 RPE KO"/>
    <n v="136.69999999999999"/>
  </r>
  <r>
    <d v="2025-11-30T10:09:20"/>
    <x v="10"/>
    <s v="Plaquettes rondes"/>
    <s v="U080365"/>
    <s v="ALAVOINE SAMUEL"/>
    <n v="10"/>
    <x v="0"/>
    <x v="3"/>
    <s v="PLAQUETTES"/>
    <s v="356x26 RPI"/>
    <n v="136.69999999999999"/>
  </r>
  <r>
    <d v="2025-12-01T13:11:10"/>
    <x v="11"/>
    <s v="Plaquettes rondes"/>
    <s v="SD75051"/>
    <s v="COMBALUZIER LUCAS"/>
    <n v="10"/>
    <x v="1"/>
    <x v="3"/>
    <s v="PLAQUETTES"/>
    <s v="304x28 RPE"/>
    <n v="108.5"/>
  </r>
  <r>
    <d v="2025-12-01T18:21:33"/>
    <x v="10"/>
    <s v="Plaquettes rondes"/>
    <s v="SE08251"/>
    <s v="FAYET AYMERIC"/>
    <n v="10"/>
    <x v="0"/>
    <x v="3"/>
    <s v="PLAQUETTES"/>
    <s v="356x26 RPI"/>
    <n v="136.69999999999999"/>
  </r>
  <r>
    <d v="2025-12-01T18:21:50"/>
    <x v="10"/>
    <s v="Plaquettes rondes"/>
    <s v="SE08251"/>
    <s v="FAYET AYMERIC"/>
    <n v="10"/>
    <x v="3"/>
    <x v="3"/>
    <s v="PLAQUETTES"/>
    <s v="330x28 RPE KO"/>
    <n v="136.69999999999999"/>
  </r>
  <r>
    <d v="2025-12-02T05:35:10"/>
    <x v="11"/>
    <s v="Plaquettes rondes"/>
    <s v="045C6ECAA77080"/>
    <s v="PERREIRA KEVIN"/>
    <n v="10"/>
    <x v="1"/>
    <x v="3"/>
    <s v="PLAQUETTES"/>
    <s v="304x28 RPE"/>
    <n v="108.5"/>
  </r>
  <r>
    <d v="2025-12-02T05:35:29"/>
    <x v="10"/>
    <s v="Plaquettes rondes"/>
    <s v="045C6ECAA77080"/>
    <s v="PERREIRA KEVIN"/>
    <n v="10"/>
    <x v="1"/>
    <x v="3"/>
    <s v="PLAQUETTES"/>
    <s v="304x28 RPE"/>
    <n v="136.69999999999999"/>
  </r>
  <r>
    <d v="2025-12-02T07:17:08"/>
    <x v="10"/>
    <s v="Plaquettes rondes"/>
    <s v="04551FC25C7780"/>
    <s v="CHEDRU VIANNEY"/>
    <n v="10"/>
    <x v="0"/>
    <x v="3"/>
    <s v="PLAQUETTES"/>
    <s v="356x26 RPI"/>
    <n v="136.69999999999999"/>
  </r>
  <r>
    <d v="2025-12-02T14:42:47"/>
    <x v="10"/>
    <s v="Plaquettes rondes"/>
    <s v="040725"/>
    <s v="BARGEOT LUCAS"/>
    <n v="10"/>
    <x v="0"/>
    <x v="3"/>
    <s v="PLAQUETTES"/>
    <s v="356x26 RPI"/>
    <n v="136.69999999999999"/>
  </r>
  <r>
    <d v="2025-12-02T21:58:53"/>
    <x v="11"/>
    <s v="Plaquettes rondes"/>
    <s v="250425"/>
    <s v="CHANDAR ABDER"/>
    <n v="10"/>
    <x v="2"/>
    <x v="4"/>
    <s v="PLAQUETTES"/>
    <s v="302x26 RPI"/>
    <n v="108.5"/>
  </r>
  <r>
    <d v="2025-12-03T01:24:37"/>
    <x v="11"/>
    <s v="Plaquettes rondes"/>
    <s v="130325"/>
    <s v="PAPONNEAU JULIEN"/>
    <n v="10"/>
    <x v="1"/>
    <x v="3"/>
    <s v="PLAQUETTES"/>
    <s v="304x28 RPE"/>
    <n v="108.5"/>
  </r>
  <r>
    <d v="2025-12-03T01:24:50"/>
    <x v="10"/>
    <s v="Plaquettes rondes"/>
    <s v="130325"/>
    <s v="PAPONNEAU JULIEN"/>
    <n v="10"/>
    <x v="1"/>
    <x v="3"/>
    <s v="PLAQUETTES"/>
    <s v="304x28 RPE"/>
    <n v="136.69999999999999"/>
  </r>
  <r>
    <d v="2025-12-03T01:25:08"/>
    <x v="10"/>
    <s v="Plaquettes rondes"/>
    <s v="130325"/>
    <s v="PAPONNEAU JULIEN"/>
    <n v="10"/>
    <x v="1"/>
    <x v="3"/>
    <s v="PLAQUETTES"/>
    <s v="304x28 RPE"/>
    <n v="136.69999999999999"/>
  </r>
  <r>
    <d v="2025-12-03T01:25:23"/>
    <x v="10"/>
    <s v="Plaquettes rondes"/>
    <s v="130325"/>
    <s v="PAPONNEAU JULIEN"/>
    <n v="10"/>
    <x v="1"/>
    <x v="3"/>
    <s v="PLAQUETTES"/>
    <s v="304x28 RPE"/>
    <n v="136.69999999999999"/>
  </r>
  <r>
    <d v="2025-12-03T06:58:27"/>
    <x v="10"/>
    <s v="Plaquettes rondes"/>
    <s v="04551FC25C7780"/>
    <s v="CHEDRU VIANNEY"/>
    <n v="10"/>
    <x v="0"/>
    <x v="3"/>
    <s v="PLAQUETTES"/>
    <s v="356x26 RPI"/>
    <n v="136.69999999999999"/>
  </r>
  <r>
    <d v="2025-12-03T06:58:43"/>
    <x v="10"/>
    <s v="Plaquettes rondes"/>
    <s v="04551FC25C7780"/>
    <s v="CHEDRU VIANNEY"/>
    <n v="10"/>
    <x v="3"/>
    <x v="3"/>
    <s v="PLAQUETTES"/>
    <s v="330x28 RPE KO"/>
    <n v="136.69999999999999"/>
  </r>
  <r>
    <d v="2025-12-03T21:12:35"/>
    <x v="10"/>
    <s v="Plaquettes rondes"/>
    <s v="j529800"/>
    <s v="MONTCHARMONT BAPTISTE"/>
    <n v="10"/>
    <x v="0"/>
    <x v="3"/>
    <s v="PLAQUETTES"/>
    <s v="356x26 RPI"/>
    <n v="136.69999999999999"/>
  </r>
  <r>
    <d v="2025-12-04T01:57:55"/>
    <x v="10"/>
    <s v="Plaquettes rondes"/>
    <s v="j529800"/>
    <s v="MONTCHARMONT BAPTISTE"/>
    <n v="10"/>
    <x v="0"/>
    <x v="3"/>
    <s v="PLAQUETTES"/>
    <s v="356x26 RPI"/>
    <n v="136.69999999999999"/>
  </r>
  <r>
    <d v="2025-12-04T06:38:37"/>
    <x v="10"/>
    <s v="Plaquettes rondes"/>
    <s v="04551FC25C7780"/>
    <s v="CHEDRU VIANNEY"/>
    <n v="10"/>
    <x v="0"/>
    <x v="3"/>
    <s v="PLAQUETTES"/>
    <s v="356x26 RPI"/>
    <n v="136.69999999999999"/>
  </r>
  <r>
    <d v="2025-12-04T06:38:56"/>
    <x v="10"/>
    <s v="Plaquettes rondes"/>
    <s v="04551FC25C7780"/>
    <s v="CHEDRU VIANNEY"/>
    <n v="10"/>
    <x v="3"/>
    <x v="3"/>
    <s v="PLAQUETTES"/>
    <s v="330x28 RPE KO"/>
    <n v="136.69999999999999"/>
  </r>
  <r>
    <d v="2025-12-04T21:23:17"/>
    <x v="10"/>
    <s v="Plaquettes rondes"/>
    <s v="j529800"/>
    <s v="MONTCHARMONT BAPTISTE"/>
    <n v="10"/>
    <x v="0"/>
    <x v="3"/>
    <s v="PLAQUETTES"/>
    <s v="356x26 RPI"/>
    <n v="136.69999999999999"/>
  </r>
  <r>
    <d v="2025-12-04T21:23:37"/>
    <x v="10"/>
    <s v="Plaquettes rondes"/>
    <s v="j529800"/>
    <s v="MONTCHARMONT BAPTISTE"/>
    <n v="10"/>
    <x v="3"/>
    <x v="3"/>
    <s v="PLAQUETTES"/>
    <s v="330x28 RPE KO"/>
    <n v="136.69999999999999"/>
  </r>
  <r>
    <d v="2025-12-04T22:02:36"/>
    <x v="11"/>
    <s v="Plaquettes rondes"/>
    <s v="250425"/>
    <s v="CHANDAR ABDER"/>
    <n v="10"/>
    <x v="2"/>
    <x v="4"/>
    <s v="PLAQUETTES"/>
    <s v="302x26 RPI"/>
    <n v="108.5"/>
  </r>
  <r>
    <d v="2025-12-05T14:18:02"/>
    <x v="10"/>
    <s v="Plaquettes rondes"/>
    <s v="040725"/>
    <s v="BARGEOT LUCAS"/>
    <n v="10"/>
    <x v="0"/>
    <x v="3"/>
    <s v="PLAQUETTES"/>
    <s v="356x26 RPI"/>
    <n v="136.69999999999999"/>
  </r>
  <r>
    <d v="2025-12-05T14:18:18"/>
    <x v="10"/>
    <s v="Plaquettes rondes"/>
    <s v="040725"/>
    <s v="BARGEOT LUCAS"/>
    <n v="10"/>
    <x v="0"/>
    <x v="3"/>
    <s v="PLAQUETTES"/>
    <s v="356x26 RPI"/>
    <n v="136.69999999999999"/>
  </r>
  <r>
    <d v="2025-12-05T21:19:21"/>
    <x v="10"/>
    <s v="Plaquettes rondes"/>
    <s v="j529800"/>
    <s v="MONTCHARMONT BAPTISTE"/>
    <n v="10"/>
    <x v="0"/>
    <x v="3"/>
    <s v="PLAQUETTES"/>
    <s v="356x26 RPI"/>
    <n v="136.69999999999999"/>
  </r>
  <r>
    <d v="2025-12-06T05:18:05"/>
    <x v="10"/>
    <s v="Plaquettes rondes"/>
    <s v="U080365"/>
    <s v="ALAVOINE SAMUEL"/>
    <n v="10"/>
    <x v="3"/>
    <x v="3"/>
    <s v="PLAQUETTES"/>
    <s v="330x28 RPE KO"/>
    <n v="136.69999999999999"/>
  </r>
  <r>
    <d v="2025-12-06T05:18:20"/>
    <x v="10"/>
    <s v="Plaquettes rondes"/>
    <s v="U080365"/>
    <s v="ALAVOINE SAMUEL"/>
    <n v="10"/>
    <x v="0"/>
    <x v="3"/>
    <s v="PLAQUETTES"/>
    <s v="356x26 RPI"/>
    <n v="136.69999999999999"/>
  </r>
  <r>
    <d v="2025-12-06T05:49:21"/>
    <x v="11"/>
    <s v="Plaquettes rondes"/>
    <s v="DELIAT C"/>
    <s v="DELIAT CHRISTOPHE"/>
    <n v="10"/>
    <x v="1"/>
    <x v="3"/>
    <s v="PLAQUETTES"/>
    <s v="304x28 RPE"/>
    <n v="108.5"/>
  </r>
  <r>
    <d v="2025-12-06T05:50:22"/>
    <x v="10"/>
    <s v="Plaquettes rondes"/>
    <s v="DELIAT C"/>
    <s v="DELIAT CHRISTOPHE"/>
    <n v="10"/>
    <x v="1"/>
    <x v="3"/>
    <s v="PLAQUETTES"/>
    <s v="304x28 RPE"/>
    <n v="136.69999999999999"/>
  </r>
  <r>
    <d v="2025-12-06T05:56:41"/>
    <x v="11"/>
    <s v="Plaquettes rondes"/>
    <s v="DELIAT C"/>
    <s v="DELIAT CHRISTOPHE"/>
    <n v="10"/>
    <x v="2"/>
    <x v="4"/>
    <s v="PLAQUETTES"/>
    <s v="302x26 RPI"/>
    <n v="108.5"/>
  </r>
  <r>
    <d v="2025-12-06T06:50:47"/>
    <x v="11"/>
    <s v="Plaquettes rondes"/>
    <s v="DELIAT C"/>
    <s v="DELIAT CHRISTOPHE"/>
    <n v="10"/>
    <x v="1"/>
    <x v="3"/>
    <s v="PLAQUETTES"/>
    <s v="304x28 RPE"/>
    <n v="108.5"/>
  </r>
  <r>
    <d v="2025-12-07T10:10:21"/>
    <x v="10"/>
    <s v="Plaquettes rondes"/>
    <s v="U080365"/>
    <s v="ALAVOINE SAMUEL"/>
    <n v="10"/>
    <x v="0"/>
    <x v="3"/>
    <s v="PLAQUETTES"/>
    <s v="356x26 RPI"/>
    <n v="136.69999999999999"/>
  </r>
  <r>
    <d v="2025-12-07T18:09:08"/>
    <x v="10"/>
    <s v="Plaquettes rondes"/>
    <s v="150725"/>
    <s v="ADOUL WASSIM"/>
    <n v="10"/>
    <x v="3"/>
    <x v="3"/>
    <s v="PLAQUETTES"/>
    <s v="330x28 RPE KO"/>
    <n v="136.69999999999999"/>
  </r>
  <r>
    <d v="2025-12-08T09:36:58"/>
    <x v="10"/>
    <s v="Plaquettes rondes"/>
    <s v="040725"/>
    <s v="BARGEOT LUCAS"/>
    <n v="10"/>
    <x v="0"/>
    <x v="3"/>
    <s v="PLAQUETTES"/>
    <s v="356x26 RPI"/>
    <n v="136.69999999999999"/>
  </r>
  <r>
    <d v="2025-12-08T09:37:11"/>
    <x v="10"/>
    <s v="Plaquettes rondes"/>
    <s v="040725"/>
    <s v="BARGEOT LUCAS"/>
    <n v="10"/>
    <x v="0"/>
    <x v="3"/>
    <s v="PLAQUETTES"/>
    <s v="356x26 RPI"/>
    <n v="136.69999999999999"/>
  </r>
  <r>
    <d v="2025-12-08T15:58:41"/>
    <x v="10"/>
    <s v="Plaquettes rondes"/>
    <s v="04551FC25C7780"/>
    <s v="CHEDRU VIANNEY"/>
    <n v="10"/>
    <x v="0"/>
    <x v="3"/>
    <s v="PLAQUETTES"/>
    <s v="356x26 RPI"/>
    <n v="136.69999999999999"/>
  </r>
  <r>
    <d v="2025-12-08T23:29:24"/>
    <x v="11"/>
    <s v="Plaquettes rondes"/>
    <s v="130325"/>
    <s v="PAPONNEAU JULIEN"/>
    <n v="10"/>
    <x v="1"/>
    <x v="3"/>
    <s v="PLAQUETTES"/>
    <s v="304x28 RPE"/>
    <n v="108.5"/>
  </r>
  <r>
    <d v="2025-12-09T02:12:26"/>
    <x v="10"/>
    <s v="Plaquettes rondes"/>
    <s v="j529800"/>
    <s v="MONTCHARMONT BAPTISTE"/>
    <n v="10"/>
    <x v="3"/>
    <x v="3"/>
    <s v="PLAQUETTES"/>
    <s v="330x28 RPE KO"/>
    <n v="136.69999999999999"/>
  </r>
  <r>
    <d v="2025-12-09T05:21:33"/>
    <x v="11"/>
    <s v="Plaquettes rondes"/>
    <s v="u636817"/>
    <s v="MOCQUEREAU LYDIE"/>
    <n v="10"/>
    <x v="2"/>
    <x v="4"/>
    <s v="PLAQUETTES"/>
    <s v="302x26 RPI"/>
    <n v="108.5"/>
  </r>
  <r>
    <d v="2025-12-09T14:36:02"/>
    <x v="10"/>
    <s v="Plaquettes rondes"/>
    <s v="04551FC25C7780"/>
    <s v="CHEDRU VIANNEY"/>
    <n v="10"/>
    <x v="0"/>
    <x v="3"/>
    <s v="PLAQUETTES"/>
    <s v="356x26 RPI"/>
    <n v="136.69999999999999"/>
  </r>
  <r>
    <d v="2025-12-10T01:21:09"/>
    <x v="10"/>
    <s v="Plaquettes rondes"/>
    <s v="j529800"/>
    <s v="MONTCHARMONT BAPTISTE"/>
    <n v="10"/>
    <x v="3"/>
    <x v="3"/>
    <s v="PLAQUETTES"/>
    <s v="330x14"/>
    <n v="136.69999999999999"/>
  </r>
  <r>
    <d v="2025-12-10T04:08:24"/>
    <x v="10"/>
    <s v="Plaquettes rondes"/>
    <s v="j529800"/>
    <s v="MONTCHARMONT BAPTISTE"/>
    <n v="10"/>
    <x v="3"/>
    <x v="3"/>
    <s v="PLAQUETTES"/>
    <s v="330x28 RPE KO"/>
    <n v="136.69999999999999"/>
  </r>
  <r>
    <d v="2025-12-11T03:33:04"/>
    <x v="10"/>
    <s v="Plaquettes rondes"/>
    <s v="j529800"/>
    <s v="MONTCHARMONT BAPTISTE"/>
    <n v="10"/>
    <x v="0"/>
    <x v="3"/>
    <s v="PLAQUETTES"/>
    <s v="356x26 RPI"/>
    <n v="136.69999999999999"/>
  </r>
  <r>
    <d v="2025-12-11T11:51:12"/>
    <x v="10"/>
    <s v="Plaquettes rondes"/>
    <s v="040725"/>
    <s v="BARGEOT LUCAS"/>
    <n v="10"/>
    <x v="0"/>
    <x v="3"/>
    <s v="PLAQUETTES"/>
    <s v="356x26 RPI"/>
    <n v="136.69999999999999"/>
  </r>
  <r>
    <d v="2025-12-11T19:44:48"/>
    <x v="10"/>
    <s v="Plaquettes rondes"/>
    <s v="045C6ECAA77080"/>
    <s v="PERREIRA KEVIN"/>
    <n v="10"/>
    <x v="1"/>
    <x v="3"/>
    <s v="PLAQUETTES"/>
    <s v="356x26 RPI"/>
    <n v="136.69999999999999"/>
  </r>
  <r>
    <d v="2025-12-11T21:54:46"/>
    <x v="10"/>
    <s v="Plaquettes rondes"/>
    <s v="j529800"/>
    <s v="MONTCHARMONT BAPTISTE"/>
    <n v="10"/>
    <x v="0"/>
    <x v="3"/>
    <s v="PLAQUETTES"/>
    <s v="356x26 RPI"/>
    <n v="136.69999999999999"/>
  </r>
  <r>
    <d v="2025-12-11T22:22:56"/>
    <x v="10"/>
    <s v="Plaquettes rondes"/>
    <s v="j529800"/>
    <s v="MONTCHARMONT BAPTISTE"/>
    <n v="10"/>
    <x v="0"/>
    <x v="3"/>
    <s v="PLAQUETTES"/>
    <s v="356x26 RPI"/>
    <n v="136.69999999999999"/>
  </r>
  <r>
    <d v="2025-12-12T16:57:01"/>
    <x v="10"/>
    <s v="Plaquettes rondes"/>
    <s v="04551FC25C7780"/>
    <s v="CHEDRU VIANNEY"/>
    <n v="10"/>
    <x v="3"/>
    <x v="3"/>
    <s v="PLAQUETTES"/>
    <s v="330x28 RPE KO"/>
    <n v="136.69999999999999"/>
  </r>
  <r>
    <d v="2025-12-13T00:36:03"/>
    <x v="11"/>
    <s v="Plaquettes rondes"/>
    <s v="250425"/>
    <s v="CHANDAR ABDER"/>
    <n v="10"/>
    <x v="2"/>
    <x v="4"/>
    <s v="PLAQUETTES"/>
    <s v="302x26 RPI"/>
    <n v="108.5"/>
  </r>
  <r>
    <d v="2025-12-13T01:37:09"/>
    <x v="10"/>
    <s v="Plaquettes rondes"/>
    <s v="130325"/>
    <s v="PAPONNEAU JULIEN"/>
    <n v="10"/>
    <x v="1"/>
    <x v="3"/>
    <s v="PLAQUETTES"/>
    <s v="304x28 RPE"/>
    <n v="136.69999999999999"/>
  </r>
  <r>
    <d v="2025-12-13T03:15:13"/>
    <x v="10"/>
    <s v="Plaquettes rondes"/>
    <s v="j529800"/>
    <s v="MONTCHARMONT BAPTISTE"/>
    <n v="10"/>
    <x v="0"/>
    <x v="3"/>
    <s v="PLAQUETTES"/>
    <s v="356x26 RPI"/>
    <n v="136.69999999999999"/>
  </r>
  <r>
    <d v="2025-12-13T10:30:19"/>
    <x v="10"/>
    <s v="Plaquettes rondes"/>
    <s v="150725"/>
    <s v="ADOUL WASSIM"/>
    <n v="10"/>
    <x v="0"/>
    <x v="3"/>
    <s v="PLAQUETTES"/>
    <s v="356x26 RPI"/>
    <n v="136.69999999999999"/>
  </r>
  <r>
    <d v="2025-12-13T19:33:21"/>
    <x v="10"/>
    <s v="Plaquettes rondes"/>
    <s v="U080365"/>
    <s v="ALAVOINE SAMUEL"/>
    <n v="10"/>
    <x v="0"/>
    <x v="3"/>
    <s v="PLAQUETTES"/>
    <s v="356x26 RPI"/>
    <n v="136.69999999999999"/>
  </r>
  <r>
    <d v="2025-12-13T19:33:35"/>
    <x v="10"/>
    <s v="Plaquettes rondes"/>
    <s v="U080365"/>
    <s v="ALAVOINE SAMUEL"/>
    <n v="10"/>
    <x v="3"/>
    <x v="3"/>
    <s v="PLAQUETTES"/>
    <s v="330x28 RPE KO"/>
    <n v="136.69999999999999"/>
  </r>
  <r>
    <d v="2025-12-14T17:05:59"/>
    <x v="11"/>
    <s v="Plaquettes rondes"/>
    <s v="DELIAT C"/>
    <s v="DELIAT CHRISTOPHE"/>
    <n v="10"/>
    <x v="2"/>
    <x v="4"/>
    <s v="PLAQUETTES"/>
    <s v="302x26 RPI"/>
    <n v="108.5"/>
  </r>
  <r>
    <d v="2025-12-15T05:35:50"/>
    <x v="10"/>
    <s v="Plaquettes rondes"/>
    <s v="04551FC25C7780"/>
    <s v="CHEDRU VIANNEY"/>
    <n v="10"/>
    <x v="0"/>
    <x v="3"/>
    <s v="PLAQUETTES"/>
    <s v="356x26 RPI"/>
    <n v="136.69999999999999"/>
  </r>
  <r>
    <d v="2025-12-15T05:36:54"/>
    <x v="10"/>
    <s v="Plaquettes rondes"/>
    <s v="04551FC25C7780"/>
    <s v="CHEDRU VIANNEY"/>
    <n v="10"/>
    <x v="3"/>
    <x v="3"/>
    <s v="PLAQUETTES"/>
    <s v="330x28 RPE KO"/>
    <n v="136.69999999999999"/>
  </r>
  <r>
    <d v="2025-12-15T12:19:25"/>
    <x v="11"/>
    <s v="Plaquettes rondes"/>
    <s v="210325"/>
    <s v="DAUTUN ALLAN"/>
    <n v="10"/>
    <x v="2"/>
    <x v="4"/>
    <s v="PLAQUETTES"/>
    <s v="302x26 RPI"/>
    <n v="108.5"/>
  </r>
  <r>
    <d v="2025-12-16T01:33:22"/>
    <x v="10"/>
    <s v="Plaquettes rondes"/>
    <s v="j529800"/>
    <s v="MONTCHARMONT BAPTISTE"/>
    <n v="10"/>
    <x v="3"/>
    <x v="3"/>
    <s v="PLAQUETTES"/>
    <s v="330x28 RPE KO"/>
    <n v="136.69999999999999"/>
  </r>
  <r>
    <d v="2025-12-16T05:51:24"/>
    <x v="10"/>
    <s v="Plaquettes rondes"/>
    <s v="04551FC25C7780"/>
    <s v="CHEDRU VIANNEY"/>
    <n v="10"/>
    <x v="3"/>
    <x v="3"/>
    <s v="PLAQUETTES"/>
    <s v="330x28 RPE KO"/>
    <n v="136.69999999999999"/>
  </r>
  <r>
    <d v="2025-12-16T12:59:29"/>
    <x v="11"/>
    <s v="Plaquettes rondes"/>
    <s v="140325"/>
    <s v="BOUCLIER JONATHAN"/>
    <n v="10"/>
    <x v="2"/>
    <x v="4"/>
    <s v="PLAQUETTES"/>
    <s v="302x26 RPI"/>
    <n v="108.5"/>
  </r>
  <r>
    <d v="2025-12-16T13:06:06"/>
    <x v="10"/>
    <s v="Plaquettes rondes"/>
    <s v="SD75051"/>
    <s v="COMBALUZIER LUCAS"/>
    <n v="10"/>
    <x v="1"/>
    <x v="3"/>
    <s v="PLAQUETTES"/>
    <s v="356x26 RPI"/>
    <n v="136.69999999999999"/>
  </r>
  <r>
    <d v="2025-12-16T23:50:58"/>
    <x v="11"/>
    <s v="Plaquettes rondes"/>
    <s v="250425"/>
    <s v="CHANDAR ABDER"/>
    <n v="10"/>
    <x v="2"/>
    <x v="4"/>
    <s v="PLAQUETTES"/>
    <s v="302x26 RPI"/>
    <n v="108.5"/>
  </r>
  <r>
    <d v="2025-12-17T07:01:16"/>
    <x v="11"/>
    <s v="Plaquettes rondes"/>
    <s v="210325"/>
    <s v="DAUTUN ALLAN"/>
    <n v="10"/>
    <x v="2"/>
    <x v="4"/>
    <s v="PLAQUETTES"/>
    <s v="302x26 RPI"/>
    <n v="108.5"/>
  </r>
  <r>
    <d v="2025-12-17T21:15:32"/>
    <x v="10"/>
    <s v="Plaquettes rondes"/>
    <s v="j529800"/>
    <s v="MONTCHARMONT BAPTISTE"/>
    <n v="10"/>
    <x v="0"/>
    <x v="3"/>
    <s v="PLAQUETTES"/>
    <s v="330x14"/>
    <n v="136.69999999999999"/>
  </r>
  <r>
    <d v="2025-12-18T04:16:12"/>
    <x v="10"/>
    <s v="Plaquettes rondes"/>
    <s v="j529800"/>
    <s v="MONTCHARMONT BAPTISTE"/>
    <n v="10"/>
    <x v="3"/>
    <x v="3"/>
    <s v="PLAQUETTES"/>
    <s v="330x28 RPE KO"/>
    <n v="136.69999999999999"/>
  </r>
  <r>
    <d v="2025-12-18T05:54:18"/>
    <x v="10"/>
    <s v="Plaquettes rondes"/>
    <s v="045C6ECAA77080"/>
    <s v="PERREIRA KEVIN"/>
    <n v="10"/>
    <x v="1"/>
    <x v="3"/>
    <s v="PLAQUETTES"/>
    <s v="356x26 RPI"/>
    <n v="136.69999999999999"/>
  </r>
  <r>
    <d v="2025-12-18T10:39:14"/>
    <x v="10"/>
    <s v="Plaquettes rondes"/>
    <s v="04551FC25C7780"/>
    <s v="CHEDRU VIANNEY"/>
    <n v="10"/>
    <x v="0"/>
    <x v="3"/>
    <s v="PLAQUETTES"/>
    <s v="356x26 RPI"/>
    <n v="136.69999999999999"/>
  </r>
  <r>
    <d v="2025-12-20T10:19:42"/>
    <x v="10"/>
    <s v="Plaquettes rondes"/>
    <s v="U080365"/>
    <s v="ALAVOINE SAMUEL"/>
    <n v="10"/>
    <x v="1"/>
    <x v="3"/>
    <s v="PLAQUETTES"/>
    <s v="356x26 RPI"/>
    <n v="136.69999999999999"/>
  </r>
  <r>
    <d v="2025-12-21T19:15:16"/>
    <x v="10"/>
    <s v="Plaquettes rondes"/>
    <s v="150725"/>
    <s v="ADOUL WASSIM"/>
    <n v="10"/>
    <x v="1"/>
    <x v="3"/>
    <s v="PLAQUETTES"/>
    <s v="356x26 RPI"/>
    <n v="136.69999999999999"/>
  </r>
  <r>
    <d v="2025-12-22T02:08:50"/>
    <x v="11"/>
    <s v="Plaquettes rondes"/>
    <s v="DELIAT C"/>
    <s v="DELIAT CHRISTOPHE"/>
    <n v="10"/>
    <x v="2"/>
    <x v="4"/>
    <s v="PLAQUETTES"/>
    <s v="302x26 RPI"/>
    <n v="108.5"/>
  </r>
  <r>
    <d v="2025-12-22T06:10:24"/>
    <x v="10"/>
    <s v="Plaquettes rondes"/>
    <s v="040725"/>
    <s v="BARGEOT LUCAS"/>
    <n v="10"/>
    <x v="0"/>
    <x v="3"/>
    <s v="PLAQUETTES"/>
    <s v="330x14"/>
    <n v="136.69999999999999"/>
  </r>
  <r>
    <d v="2025-12-22T21:36:18"/>
    <x v="11"/>
    <s v="Plaquettes rondes"/>
    <s v="250425"/>
    <s v="CHANDAR ABDER"/>
    <n v="10"/>
    <x v="2"/>
    <x v="4"/>
    <s v="PLAQUETTES"/>
    <s v="302x26 RPI"/>
    <n v="108.5"/>
  </r>
  <r>
    <d v="2025-12-23T05:56:04"/>
    <x v="10"/>
    <s v="Plaquettes rondes"/>
    <s v="040725"/>
    <s v="BARGEOT LUCAS"/>
    <n v="10"/>
    <x v="3"/>
    <x v="3"/>
    <s v="PLAQUETTES"/>
    <s v="330x28 RPE KO"/>
    <n v="136.699999999999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0">
  <r>
    <d v="2025-01-09T13:29:41"/>
    <x v="0"/>
    <s v="Plaquettes de finition"/>
    <s v="SE08251"/>
    <s v="FAYET AYMERIC"/>
    <n v="20"/>
    <x v="0"/>
    <x v="0"/>
    <s v="PLAQUETTES"/>
    <s v="290x12"/>
    <n v="219.4"/>
  </r>
  <r>
    <d v="2025-01-13T22:07:55"/>
    <x v="1"/>
    <s v="Plaquettes de finition"/>
    <s v="130124"/>
    <s v="MOHAMED ILDIRAY"/>
    <n v="5"/>
    <x v="1"/>
    <x v="0"/>
    <s v="PLAQUETTES"/>
    <s v="304x28 RPE"/>
    <n v="47.8"/>
  </r>
  <r>
    <d v="2025-01-14T21:09:09"/>
    <x v="1"/>
    <s v="Plaquettes de finition"/>
    <s v="130124"/>
    <s v="MOHAMED ILDIRAY"/>
    <n v="5"/>
    <x v="1"/>
    <x v="0"/>
    <s v="PLAQUETTES"/>
    <s v="304x28 RPE"/>
    <n v="47.8"/>
  </r>
  <r>
    <d v="2025-01-14T21:16:27"/>
    <x v="1"/>
    <s v="Plaquettes de finition"/>
    <s v="U037238"/>
    <s v="PRIEUR OLIVIER"/>
    <n v="10"/>
    <x v="2"/>
    <x v="1"/>
    <s v="PLAQUETTES"/>
    <s v="302x26 RPI"/>
    <n v="95.6"/>
  </r>
  <r>
    <d v="2025-01-14T22:17:23"/>
    <x v="1"/>
    <s v="Plaquettes de finition"/>
    <s v="101224"/>
    <s v="CHAZEAU KYLIAN"/>
    <n v="10"/>
    <x v="3"/>
    <x v="0"/>
    <s v="PLAQUETTES"/>
    <s v="330x28 RPE KO"/>
    <n v="95.6"/>
  </r>
  <r>
    <d v="2025-01-15T15:02:14"/>
    <x v="2"/>
    <s v="Plaquettes de finition"/>
    <s v="1234SECOURS"/>
    <s v="SECOURS"/>
    <n v="5"/>
    <x v="3"/>
    <x v="2"/>
    <s v="PLAQUETTES"/>
    <s v="330x28 RPE KO"/>
    <n v="44.85"/>
  </r>
  <r>
    <d v="2025-01-15T15:02:30"/>
    <x v="2"/>
    <s v="Plaquettes de finition"/>
    <s v="1234SECOURS"/>
    <s v="SECOURS"/>
    <n v="-5"/>
    <x v="3"/>
    <x v="2"/>
    <s v="PLAQUETTES"/>
    <s v="330x28 RPE KO"/>
    <n v="-44.85"/>
  </r>
  <r>
    <d v="2025-01-16T21:04:08"/>
    <x v="1"/>
    <s v="Plaquettes de finition"/>
    <s v="130124"/>
    <s v="MOHAMED ILDIRAY"/>
    <n v="5"/>
    <x v="1"/>
    <x v="0"/>
    <s v="PLAQUETTES"/>
    <s v="304x28 RPE"/>
    <n v="47.8"/>
  </r>
  <r>
    <d v="2025-01-17T15:44:05"/>
    <x v="1"/>
    <s v="Plaquettes de finition"/>
    <s v="1234SECOURS"/>
    <s v="SECOURS"/>
    <n v="5"/>
    <x v="1"/>
    <x v="0"/>
    <s v="PLAQUETTES"/>
    <s v="304x28 RPE"/>
    <n v="47.8"/>
  </r>
  <r>
    <d v="2025-01-21T05:33:11"/>
    <x v="1"/>
    <s v="Plaquettes de finition"/>
    <s v="SD75051"/>
    <s v="COMBALUZIER LUCAS"/>
    <n v="10"/>
    <x v="1"/>
    <x v="0"/>
    <s v="PLAQUETTES"/>
    <s v="304x28 RPE"/>
    <n v="95.6"/>
  </r>
  <r>
    <d v="2025-01-21T16:19:57"/>
    <x v="1"/>
    <s v="Plaquettes de finition"/>
    <s v="U037238"/>
    <s v="PRIEUR OLIVIER"/>
    <n v="5"/>
    <x v="2"/>
    <x v="1"/>
    <s v="PLAQUETTES"/>
    <s v="302x26 RPI"/>
    <n v="47.8"/>
  </r>
  <r>
    <d v="2025-01-21T21:52:50"/>
    <x v="0"/>
    <s v="Plaquettes de finition"/>
    <s v="SE08251"/>
    <s v="FAYET AYMERIC"/>
    <n v="10"/>
    <x v="0"/>
    <x v="0"/>
    <s v="PLAQUETTES"/>
    <s v="290x12"/>
    <n v="109.7"/>
  </r>
  <r>
    <d v="2025-01-22T08:58:03"/>
    <x v="1"/>
    <s v="Plaquettes de finition"/>
    <s v="u636817"/>
    <s v="MOCQUEREAU LYDIE"/>
    <n v="10"/>
    <x v="2"/>
    <x v="1"/>
    <s v="PLAQUETTES"/>
    <s v="302x26 RPI"/>
    <n v="95.6"/>
  </r>
  <r>
    <d v="2025-01-22T19:02:58"/>
    <x v="1"/>
    <s v="Plaquettes de finition"/>
    <s v="U037238"/>
    <s v="PRIEUR OLIVIER"/>
    <n v="5"/>
    <x v="2"/>
    <x v="1"/>
    <s v="PLAQUETTES"/>
    <s v="302x26 RPI"/>
    <n v="47.8"/>
  </r>
  <r>
    <d v="2025-01-23T13:12:47"/>
    <x v="1"/>
    <s v="Plaquettes de finition"/>
    <s v="130124"/>
    <s v="MOHAMED ILDIRAY"/>
    <n v="5"/>
    <x v="1"/>
    <x v="0"/>
    <s v="PLAQUETTES"/>
    <s v="304x28 RPE"/>
    <n v="47.8"/>
  </r>
  <r>
    <d v="2025-01-27T05:12:59"/>
    <x v="1"/>
    <s v="Plaquettes de finition"/>
    <s v="U037238"/>
    <s v="PRIEUR OLIVIER"/>
    <n v="5"/>
    <x v="2"/>
    <x v="1"/>
    <s v="PLAQUETTES"/>
    <s v="302x26 RPI"/>
    <n v="47.8"/>
  </r>
  <r>
    <d v="2025-01-27T05:18:53"/>
    <x v="1"/>
    <s v="Plaquettes de finition"/>
    <s v="130124"/>
    <s v="MOHAMED ILDIRAY"/>
    <n v="5"/>
    <x v="1"/>
    <x v="0"/>
    <s v="PLAQUETTES"/>
    <s v="356x26 RPI"/>
    <n v="47.8"/>
  </r>
  <r>
    <d v="2025-01-29T03:34:41"/>
    <x v="1"/>
    <s v="Plaquettes de finition"/>
    <s v="u636817"/>
    <s v="MOCQUEREAU LYDIE"/>
    <n v="10"/>
    <x v="2"/>
    <x v="1"/>
    <s v="PLAQUETTES"/>
    <s v="302x26 RPI"/>
    <n v="95.6"/>
  </r>
  <r>
    <d v="2025-01-29T06:38:23"/>
    <x v="1"/>
    <s v="Plaquettes de finition"/>
    <s v="130124"/>
    <s v="MOHAMED ILDIRAY"/>
    <n v="5"/>
    <x v="1"/>
    <x v="0"/>
    <s v="PLAQUETTES"/>
    <s v="356x26 RPI"/>
    <n v="47.8"/>
  </r>
  <r>
    <d v="2025-01-29T09:12:07"/>
    <x v="1"/>
    <s v="Plaquettes de finition"/>
    <s v="U037238"/>
    <s v="PRIEUR OLIVIER"/>
    <n v="5"/>
    <x v="2"/>
    <x v="1"/>
    <s v="PLAQUETTES"/>
    <s v="302x26 RPI"/>
    <n v="47.8"/>
  </r>
  <r>
    <d v="2025-01-29T13:09:46"/>
    <x v="1"/>
    <s v="Plaquettes de finition"/>
    <s v="11737592"/>
    <s v="BLOCQUET DAVID"/>
    <n v="5"/>
    <x v="2"/>
    <x v="1"/>
    <s v="PLAQUETTES"/>
    <s v="302x26 RPI"/>
    <n v="47.8"/>
  </r>
  <r>
    <d v="2025-01-29T19:53:09"/>
    <x v="1"/>
    <s v="Plaquettes de finition"/>
    <s v="SE08251"/>
    <s v="FAYET AYMERIC"/>
    <n v="5"/>
    <x v="3"/>
    <x v="0"/>
    <s v="PLAQUETTES"/>
    <s v="330x28 RPE KO"/>
    <n v="47.8"/>
  </r>
  <r>
    <d v="2025-01-29T19:53:43"/>
    <x v="0"/>
    <s v="Plaquettes de finition"/>
    <s v="SE08251"/>
    <s v="FAYET AYMERIC"/>
    <n v="10"/>
    <x v="0"/>
    <x v="0"/>
    <s v="PLAQUETTES"/>
    <s v="290x12"/>
    <n v="109.7"/>
  </r>
  <r>
    <d v="2025-02-01T03:46:28"/>
    <x v="1"/>
    <s v="Plaquettes de finition"/>
    <s v="u636817"/>
    <s v="MOCQUEREAU LYDIE"/>
    <n v="20"/>
    <x v="2"/>
    <x v="1"/>
    <s v="PLAQUETTES"/>
    <s v="302x26 RPI"/>
    <n v="191.2"/>
  </r>
  <r>
    <d v="2025-02-03T05:16:06"/>
    <x v="1"/>
    <s v="Plaquettes de finition"/>
    <s v="3224"/>
    <s v="BIDOT MURIEL"/>
    <n v="10"/>
    <x v="1"/>
    <x v="0"/>
    <s v="PLAQUETTES"/>
    <s v="356x26 RPI"/>
    <n v="95.6"/>
  </r>
  <r>
    <d v="2025-02-03T21:25:43"/>
    <x v="1"/>
    <s v="Plaquettes de finition"/>
    <s v="U037238"/>
    <s v="PRIEUR OLIVIER"/>
    <n v="5"/>
    <x v="2"/>
    <x v="1"/>
    <s v="PLAQUETTES"/>
    <s v="302x26 RPI"/>
    <n v="47.8"/>
  </r>
  <r>
    <d v="2025-02-04T05:18:47"/>
    <x v="1"/>
    <s v="Plaquettes de finition"/>
    <s v="U532976"/>
    <s v="LEFORT XAVIER"/>
    <n v="10"/>
    <x v="2"/>
    <x v="1"/>
    <s v="PLAQUETTES"/>
    <s v="302x26 RPI"/>
    <n v="95.6"/>
  </r>
  <r>
    <d v="2025-02-05T21:18:56"/>
    <x v="1"/>
    <s v="Plaquettes de finition"/>
    <s v="U037238"/>
    <s v="PRIEUR OLIVIER"/>
    <n v="5"/>
    <x v="2"/>
    <x v="1"/>
    <s v="PLAQUETTES"/>
    <s v="302x26 RPI"/>
    <n v="47.8"/>
  </r>
  <r>
    <d v="2025-02-05T21:26:37"/>
    <x v="0"/>
    <s v="Plaquettes de finition"/>
    <s v="101224"/>
    <s v="CHAZEAU KYLIAN"/>
    <n v="10"/>
    <x v="3"/>
    <x v="0"/>
    <s v="PLAQUETTES"/>
    <s v="290x12"/>
    <n v="109.7"/>
  </r>
  <r>
    <d v="2025-02-06T17:06:39"/>
    <x v="1"/>
    <s v="Plaquettes de finition"/>
    <s v="SD75051"/>
    <s v="COMBALUZIER LUCAS"/>
    <n v="10"/>
    <x v="1"/>
    <x v="0"/>
    <s v="PLAQUETTES"/>
    <s v="356x26 RPI"/>
    <n v="95.6"/>
  </r>
  <r>
    <d v="2025-02-08T09:54:07"/>
    <x v="1"/>
    <s v="Plaquettes de finition"/>
    <s v="U080365"/>
    <s v="ALAVOINE SAMUEL"/>
    <n v="10"/>
    <x v="1"/>
    <x v="0"/>
    <s v="PLAQUETTES"/>
    <s v="356x26 RPI"/>
    <n v="95.6"/>
  </r>
  <r>
    <d v="2025-02-10T14:17:54"/>
    <x v="1"/>
    <s v="Plaquettes de finition"/>
    <s v="U037238"/>
    <s v="PRIEUR OLIVIER"/>
    <n v="5"/>
    <x v="2"/>
    <x v="1"/>
    <s v="PLAQUETTES"/>
    <s v="302x26 RPI"/>
    <n v="47.8"/>
  </r>
  <r>
    <d v="2025-02-10T22:56:01"/>
    <x v="0"/>
    <s v="Plaquettes de finition"/>
    <s v="SE08251"/>
    <s v="FAYET AYMERIC"/>
    <n v="10"/>
    <x v="0"/>
    <x v="0"/>
    <s v="PLAQUETTES"/>
    <s v="290x12"/>
    <n v="109.7"/>
  </r>
  <r>
    <d v="2025-02-11T05:20:06"/>
    <x v="1"/>
    <s v="Plaquettes de finition"/>
    <s v="SD75051"/>
    <s v="COMBALUZIER LUCAS"/>
    <n v="5"/>
    <x v="1"/>
    <x v="0"/>
    <s v="PLAQUETTES"/>
    <s v="356x26 RPI"/>
    <n v="47.8"/>
  </r>
  <r>
    <d v="2025-02-11T19:52:39"/>
    <x v="0"/>
    <s v="Plaquettes de finition"/>
    <s v="130124"/>
    <s v="MOHAMED ILDIRAY"/>
    <n v="10"/>
    <x v="1"/>
    <x v="0"/>
    <s v="PLAQUETTES"/>
    <s v="356x26 RPI"/>
    <n v="109.7"/>
  </r>
  <r>
    <d v="2025-02-12T05:36:36"/>
    <x v="1"/>
    <s v="Plaquettes de finition"/>
    <s v="SD75051"/>
    <s v="COMBALUZIER LUCAS"/>
    <n v="10"/>
    <x v="1"/>
    <x v="0"/>
    <s v="PLAQUETTES"/>
    <s v="356x26 RPI"/>
    <n v="95.6"/>
  </r>
  <r>
    <d v="2025-02-14T00:30:59"/>
    <x v="1"/>
    <s v="Plaquettes de finition"/>
    <s v="11737592"/>
    <s v="BLOCQUET DAVID"/>
    <n v="5"/>
    <x v="2"/>
    <x v="1"/>
    <s v="PLAQUETTES"/>
    <s v="302x26 RPI"/>
    <n v="47.8"/>
  </r>
  <r>
    <d v="2025-02-16T20:34:33"/>
    <x v="1"/>
    <s v="Plaquettes de finition"/>
    <s v="U109136"/>
    <s v="WIPLIE FREDERIC"/>
    <n v="5"/>
    <x v="1"/>
    <x v="0"/>
    <s v="PLAQUETTES"/>
    <s v="304x28 RPE"/>
    <n v="47.8"/>
  </r>
  <r>
    <d v="2025-02-16T23:46:17"/>
    <x v="1"/>
    <s v="Plaquettes de finition"/>
    <s v="U109136"/>
    <s v="WIPLIE FREDERIC"/>
    <n v="5"/>
    <x v="1"/>
    <x v="0"/>
    <s v="PLAQUETTES"/>
    <s v="304x28 RPE"/>
    <n v="47.8"/>
  </r>
  <r>
    <d v="2025-02-17T06:38:58"/>
    <x v="1"/>
    <s v="Plaquettes de finition"/>
    <s v="U037238"/>
    <s v="PRIEUR OLIVIER"/>
    <n v="5"/>
    <x v="2"/>
    <x v="1"/>
    <s v="PLAQUETTES"/>
    <s v="302x26 RPI"/>
    <n v="47.8"/>
  </r>
  <r>
    <d v="2025-02-17T21:13:10"/>
    <x v="1"/>
    <s v="Plaquettes de finition"/>
    <s v="SD75051"/>
    <s v="COMBALUZIER LUCAS"/>
    <n v="5"/>
    <x v="1"/>
    <x v="0"/>
    <s v="PLAQUETTES"/>
    <s v="304x28 RPE"/>
    <n v="47.8"/>
  </r>
  <r>
    <d v="2025-02-18T05:08:45"/>
    <x v="1"/>
    <s v="Plaquettes de finition"/>
    <s v="130124"/>
    <s v="MOHAMED ILDIRAY"/>
    <n v="5"/>
    <x v="1"/>
    <x v="0"/>
    <s v="PLAQUETTES"/>
    <s v="304x28 RPE"/>
    <n v="47.8"/>
  </r>
  <r>
    <d v="2025-02-18T05:15:18"/>
    <x v="0"/>
    <s v="Plaquettes de finition"/>
    <s v="101224"/>
    <s v="CHAZEAU KYLIAN"/>
    <n v="10"/>
    <x v="3"/>
    <x v="0"/>
    <s v="PLAQUETTES"/>
    <s v="290x12"/>
    <n v="109.7"/>
  </r>
  <r>
    <d v="2025-02-18T14:18:57"/>
    <x v="1"/>
    <s v="Plaquettes de finition"/>
    <s v="3224"/>
    <s v="BIDOT MURIEL"/>
    <n v="5"/>
    <x v="1"/>
    <x v="0"/>
    <s v="PLAQUETTES"/>
    <s v="304x28 RPE"/>
    <n v="47.8"/>
  </r>
  <r>
    <d v="2025-02-19T00:29:06"/>
    <x v="1"/>
    <s v="Plaquettes de finition"/>
    <s v="u636817"/>
    <s v="MOCQUEREAU LYDIE"/>
    <n v="5"/>
    <x v="2"/>
    <x v="1"/>
    <s v="PLAQUETTES"/>
    <s v="302x26 RPI"/>
    <n v="47.8"/>
  </r>
  <r>
    <d v="2025-02-19T21:32:47"/>
    <x v="1"/>
    <s v="Plaquettes de finition"/>
    <s v="SD75051"/>
    <s v="COMBALUZIER LUCAS"/>
    <n v="5"/>
    <x v="1"/>
    <x v="0"/>
    <s v="PLAQUETTES"/>
    <s v="304x28 RPE"/>
    <n v="47.8"/>
  </r>
  <r>
    <d v="2025-02-20T06:40:31"/>
    <x v="1"/>
    <s v="Plaquettes de finition"/>
    <s v="U037238"/>
    <s v="PRIEUR OLIVIER"/>
    <n v="5"/>
    <x v="2"/>
    <x v="1"/>
    <s v="PLAQUETTES"/>
    <s v="302x26 RPI"/>
    <n v="47.8"/>
  </r>
  <r>
    <d v="2025-02-20T18:24:39"/>
    <x v="1"/>
    <s v="Plaquettes de finition"/>
    <s v="J534699"/>
    <s v="FABIAN CHARTON"/>
    <n v="5"/>
    <x v="2"/>
    <x v="1"/>
    <s v="PLAQUETTES"/>
    <s v="302x26 RPI"/>
    <n v="47.8"/>
  </r>
  <r>
    <d v="2025-02-20T19:02:19"/>
    <x v="1"/>
    <s v="Plaquettes de finition"/>
    <s v="280225"/>
    <s v="FERNANDES DOS SANTOS REMY"/>
    <n v="5"/>
    <x v="1"/>
    <x v="0"/>
    <s v="PLAQUETTES"/>
    <s v="304x28 RPE"/>
    <n v="47.8"/>
  </r>
  <r>
    <d v="2025-02-20T21:48:01"/>
    <x v="1"/>
    <s v="Plaquettes de finition"/>
    <s v="SD75051"/>
    <s v="COMBALUZIER LUCAS"/>
    <n v="5"/>
    <x v="1"/>
    <x v="0"/>
    <s v="PLAQUETTES"/>
    <s v="304x28 RPE"/>
    <n v="47.8"/>
  </r>
  <r>
    <d v="2025-02-21T13:16:30"/>
    <x v="1"/>
    <s v="Plaquettes de finition"/>
    <s v="130124"/>
    <s v="MOHAMED ILDIRAY"/>
    <n v="5"/>
    <x v="1"/>
    <x v="0"/>
    <s v="PLAQUETTES"/>
    <s v="304x28 RPE"/>
    <n v="47.8"/>
  </r>
  <r>
    <d v="2025-02-22T06:41:44"/>
    <x v="1"/>
    <s v="Plaquettes de finition"/>
    <s v="U080365"/>
    <s v="ALAVOINE SAMUEL"/>
    <n v="5"/>
    <x v="1"/>
    <x v="0"/>
    <s v="PLAQUETTES"/>
    <s v="304x28 RPE"/>
    <n v="47.8"/>
  </r>
  <r>
    <d v="2025-02-24T06:17:04"/>
    <x v="1"/>
    <s v="Plaquettes de finition"/>
    <s v="280225"/>
    <s v="FERNANDES DOS SANTOS REMY"/>
    <n v="5"/>
    <x v="3"/>
    <x v="0"/>
    <s v="PLAQUETTES"/>
    <s v="330x28 RPE KO"/>
    <n v="47.8"/>
  </r>
  <r>
    <d v="2025-02-24T21:08:02"/>
    <x v="0"/>
    <s v="Plaquettes de finition"/>
    <s v="130124"/>
    <s v="MOHAMED ILDIRAY"/>
    <n v="10"/>
    <x v="1"/>
    <x v="0"/>
    <s v="PLAQUETTES"/>
    <s v="304x28 RPE"/>
    <n v="109.7"/>
  </r>
  <r>
    <d v="2025-02-25T00:40:51"/>
    <x v="1"/>
    <s v="Plaquettes de finition"/>
    <s v="U037238"/>
    <s v="PRIEUR OLIVIER"/>
    <n v="5"/>
    <x v="2"/>
    <x v="1"/>
    <s v="PLAQUETTES"/>
    <s v="302x26 RPI"/>
    <n v="47.8"/>
  </r>
  <r>
    <d v="2025-02-25T03:39:41"/>
    <x v="0"/>
    <s v="Plaquettes de finition"/>
    <s v="101224"/>
    <s v="CHAZEAU KYLIAN"/>
    <n v="10"/>
    <x v="3"/>
    <x v="0"/>
    <s v="PLAQUETTES"/>
    <s v="290x12"/>
    <n v="109.7"/>
  </r>
  <r>
    <d v="2025-02-25T05:36:13"/>
    <x v="1"/>
    <s v="Plaquettes de finition"/>
    <s v="280225"/>
    <s v="FERNANDES DOS SANTOS REMY"/>
    <n v="5"/>
    <x v="1"/>
    <x v="0"/>
    <s v="PLAQUETTES"/>
    <s v="304x28 RPE"/>
    <n v="47.8"/>
  </r>
  <r>
    <d v="2025-02-25T06:31:54"/>
    <x v="0"/>
    <s v="Plaquettes de finition"/>
    <s v="SE08251"/>
    <s v="FAYET AYMERIC"/>
    <n v="10"/>
    <x v="0"/>
    <x v="0"/>
    <s v="PLAQUETTES"/>
    <s v="330x14"/>
    <n v="109.7"/>
  </r>
  <r>
    <d v="2025-02-25T16:30:23"/>
    <x v="1"/>
    <s v="Plaquettes de finition"/>
    <s v="u636817"/>
    <s v="MOCQUEREAU LYDIE"/>
    <n v="5"/>
    <x v="2"/>
    <x v="1"/>
    <s v="PLAQUETTES"/>
    <s v="302x26 RPI"/>
    <n v="47.8"/>
  </r>
  <r>
    <d v="2025-02-25T16:30:53"/>
    <x v="1"/>
    <s v="Plaquettes de finition"/>
    <s v="u636817"/>
    <s v="MOCQUEREAU LYDIE"/>
    <n v="5"/>
    <x v="2"/>
    <x v="1"/>
    <s v="PLAQUETTES"/>
    <s v="302x26 RPI"/>
    <n v="47.8"/>
  </r>
  <r>
    <d v="2025-02-25T20:21:09"/>
    <x v="1"/>
    <s v="Plaquettes de finition"/>
    <s v="U109136"/>
    <s v="WIPLIE FREDERIC"/>
    <n v="5"/>
    <x v="1"/>
    <x v="0"/>
    <s v="PLAQUETTES"/>
    <s v="304x28 RPE"/>
    <n v="47.8"/>
  </r>
  <r>
    <d v="2025-02-26T05:53:25"/>
    <x v="1"/>
    <s v="Plaquettes de finition"/>
    <s v="280225"/>
    <s v="FERNANDES DOS SANTOS REMY"/>
    <n v="5"/>
    <x v="1"/>
    <x v="0"/>
    <s v="PLAQUETTES"/>
    <s v="304x28 RPE"/>
    <n v="47.8"/>
  </r>
  <r>
    <d v="2025-02-26T06:10:58"/>
    <x v="1"/>
    <s v="Plaquettes de finition"/>
    <s v="11737592"/>
    <s v="BLOCQUET DAVID"/>
    <n v="5"/>
    <x v="2"/>
    <x v="1"/>
    <s v="PLAQUETTES"/>
    <s v="302x26 RPI"/>
    <n v="47.8"/>
  </r>
  <r>
    <d v="2025-02-26T06:11:24"/>
    <x v="1"/>
    <s v="Plaquettes de finition"/>
    <s v="11737592"/>
    <s v="BLOCQUET DAVID"/>
    <n v="5"/>
    <x v="2"/>
    <x v="1"/>
    <s v="PLAQUETTES"/>
    <s v="302x26 RPI"/>
    <n v="47.8"/>
  </r>
  <r>
    <d v="2025-02-26T12:33:15"/>
    <x v="1"/>
    <s v="Plaquettes de finition"/>
    <s v="SE08251"/>
    <s v="FAYET AYMERIC"/>
    <n v="5"/>
    <x v="0"/>
    <x v="0"/>
    <s v="PLAQUETTES"/>
    <s v="356x26 RPI"/>
    <n v="47.8"/>
  </r>
  <r>
    <d v="2025-02-26T14:05:35"/>
    <x v="1"/>
    <s v="Plaquettes de finition"/>
    <s v="SD75051"/>
    <s v="COMBALUZIER LUCAS"/>
    <n v="5"/>
    <x v="1"/>
    <x v="0"/>
    <s v="PLAQUETTES"/>
    <s v="304x28 RPE"/>
    <n v="47.8"/>
  </r>
  <r>
    <d v="2025-02-26T21:56:34"/>
    <x v="1"/>
    <s v="Plaquettes de finition"/>
    <s v="U037238"/>
    <s v="PRIEUR OLIVIER"/>
    <n v="5"/>
    <x v="2"/>
    <x v="1"/>
    <s v="PLAQUETTES"/>
    <s v="302x26 RPI"/>
    <n v="47.8"/>
  </r>
  <r>
    <d v="2025-02-27T06:02:17"/>
    <x v="1"/>
    <s v="Plaquettes de finition"/>
    <s v="280225"/>
    <s v="FERNANDES DOS SANTOS REMY"/>
    <n v="5"/>
    <x v="1"/>
    <x v="0"/>
    <s v="PLAQUETTES"/>
    <s v="304x28 RPE"/>
    <n v="47.8"/>
  </r>
  <r>
    <d v="2025-02-27T19:23:54"/>
    <x v="1"/>
    <s v="Plaquettes de finition"/>
    <s v="u636817"/>
    <s v="MOCQUEREAU LYDIE"/>
    <n v="5"/>
    <x v="2"/>
    <x v="1"/>
    <s v="PLAQUETTES"/>
    <s v="302x26 RPI"/>
    <n v="47.8"/>
  </r>
  <r>
    <d v="2025-02-27T22:18:27"/>
    <x v="1"/>
    <s v="Plaquettes de finition"/>
    <s v="101224"/>
    <s v="CHAZEAU KYLIAN"/>
    <n v="5"/>
    <x v="0"/>
    <x v="0"/>
    <s v="PLAQUETTES"/>
    <s v="356x26 RPI"/>
    <n v="47.8"/>
  </r>
  <r>
    <d v="2025-02-28T13:54:09"/>
    <x v="1"/>
    <s v="Plaquettes de finition"/>
    <s v="SD75051"/>
    <s v="COMBALUZIER LUCAS"/>
    <n v="5"/>
    <x v="1"/>
    <x v="0"/>
    <s v="PLAQUETTES"/>
    <s v="304x28 RPE"/>
    <n v="47.8"/>
  </r>
  <r>
    <d v="2025-02-28T21:09:48"/>
    <x v="1"/>
    <s v="Plaquettes de finition"/>
    <s v="U037238"/>
    <s v="PRIEUR OLIVIER"/>
    <n v="5"/>
    <x v="2"/>
    <x v="1"/>
    <s v="PLAQUETTES"/>
    <s v="302x26 RPI"/>
    <n v="47.8"/>
  </r>
  <r>
    <d v="2025-02-28T22:32:44"/>
    <x v="1"/>
    <s v="Plaquettes de finition"/>
    <s v="101224"/>
    <s v="CHAZEAU KYLIAN"/>
    <n v="5"/>
    <x v="0"/>
    <x v="0"/>
    <s v="PLAQUETTES"/>
    <s v="356x26 RPI"/>
    <n v="47.8"/>
  </r>
  <r>
    <d v="2025-03-01T11:30:56"/>
    <x v="1"/>
    <s v="Plaquettes de finition"/>
    <s v="1234"/>
    <s v=" "/>
    <n v="5"/>
    <x v="1"/>
    <x v="0"/>
    <s v="PLAQUETTES"/>
    <s v="304x28 RPE"/>
    <n v="47.8"/>
  </r>
  <r>
    <d v="2025-03-02T17:36:35"/>
    <x v="1"/>
    <s v="Plaquettes de finition"/>
    <s v="U109136"/>
    <s v="WIPLIE FREDERIC"/>
    <n v="5"/>
    <x v="0"/>
    <x v="0"/>
    <s v="PLAQUETTES"/>
    <s v="356x26 RPI"/>
    <n v="47.8"/>
  </r>
  <r>
    <d v="2025-03-03T05:47:14"/>
    <x v="1"/>
    <s v="Plaquettes de finition"/>
    <s v="7236310"/>
    <s v="BRANDALY JEREMY"/>
    <n v="5"/>
    <x v="0"/>
    <x v="0"/>
    <s v="PLAQUETTES"/>
    <s v="356x26 RPI"/>
    <n v="47.8"/>
  </r>
  <r>
    <d v="2025-03-03T07:21:33"/>
    <x v="1"/>
    <s v="Plaquettes de finition"/>
    <s v="SD75051"/>
    <s v="COMBALUZIER LUCAS"/>
    <n v="5"/>
    <x v="1"/>
    <x v="0"/>
    <s v="PLAQUETTES"/>
    <s v="304x28 RPE"/>
    <n v="47.8"/>
  </r>
  <r>
    <d v="2025-03-03T13:08:21"/>
    <x v="1"/>
    <s v="Plaquettes de finition"/>
    <s v="101224"/>
    <s v="CHAZEAU KYLIAN"/>
    <n v="5"/>
    <x v="0"/>
    <x v="0"/>
    <s v="PLAQUETTES"/>
    <s v="356x26 RPI"/>
    <n v="47.8"/>
  </r>
  <r>
    <d v="2025-03-03T18:53:52"/>
    <x v="1"/>
    <s v="Plaquettes de finition"/>
    <s v="U037238"/>
    <s v="PRIEUR OLIVIER"/>
    <n v="5"/>
    <x v="2"/>
    <x v="1"/>
    <s v="PLAQUETTES"/>
    <s v="302x26 RPI"/>
    <n v="47.8"/>
  </r>
  <r>
    <d v="2025-03-03T22:00:18"/>
    <x v="0"/>
    <s v="Plaquettes de finition"/>
    <s v="280225"/>
    <s v="FERNANDES DOS SANTOS REMY"/>
    <n v="10"/>
    <x v="1"/>
    <x v="0"/>
    <s v="PLAQUETTES"/>
    <s v="304x28 RPE"/>
    <n v="109.7"/>
  </r>
  <r>
    <d v="2025-03-03T22:00:32"/>
    <x v="1"/>
    <s v="Plaquettes de finition"/>
    <s v="280225"/>
    <s v="FERNANDES DOS SANTOS REMY"/>
    <n v="5"/>
    <x v="1"/>
    <x v="0"/>
    <s v="PLAQUETTES"/>
    <s v="304x28 RPE"/>
    <n v="47.8"/>
  </r>
  <r>
    <d v="2025-03-04T09:38:49"/>
    <x v="1"/>
    <s v="Plaquettes de finition"/>
    <s v="u636817"/>
    <s v="MOCQUEREAU LYDIE"/>
    <n v="5"/>
    <x v="2"/>
    <x v="1"/>
    <s v="PLAQUETTES"/>
    <s v="302x26 RPI"/>
    <n v="47.8"/>
  </r>
  <r>
    <d v="2025-03-04T09:39:11"/>
    <x v="1"/>
    <s v="Plaquettes de finition"/>
    <s v="u636817"/>
    <s v="MOCQUEREAU LYDIE"/>
    <n v="5"/>
    <x v="2"/>
    <x v="1"/>
    <s v="PLAQUETTES"/>
    <s v="302x26 RPI"/>
    <n v="47.8"/>
  </r>
  <r>
    <d v="2025-03-05T00:35:14"/>
    <x v="1"/>
    <s v="Plaquettes de finition"/>
    <s v="SE08251"/>
    <s v="FAYET AYMERIC"/>
    <n v="5"/>
    <x v="0"/>
    <x v="0"/>
    <s v="PLAQUETTES"/>
    <s v="356x26 RPI"/>
    <n v="47.8"/>
  </r>
  <r>
    <d v="2025-03-05T01:06:35"/>
    <x v="1"/>
    <s v="Plaquettes de finition"/>
    <s v="280225"/>
    <s v="FERNANDES DOS SANTOS REMY"/>
    <n v="5"/>
    <x v="1"/>
    <x v="0"/>
    <s v="PLAQUETTES"/>
    <s v="304x28 RPE"/>
    <n v="47.8"/>
  </r>
  <r>
    <d v="2025-03-05T15:11:31"/>
    <x v="1"/>
    <s v="Plaquettes de finition"/>
    <s v="130124"/>
    <s v="MOHAMED ILDIRAY"/>
    <n v="5"/>
    <x v="1"/>
    <x v="0"/>
    <s v="PLAQUETTES"/>
    <s v="304x28 RPE"/>
    <n v="47.8"/>
  </r>
  <r>
    <d v="2025-03-06T05:39:06"/>
    <x v="1"/>
    <s v="Plaquettes de finition"/>
    <s v="7236310"/>
    <s v="BRANDALY JEREMY"/>
    <n v="5"/>
    <x v="0"/>
    <x v="0"/>
    <s v="PLAQUETTES"/>
    <s v="356x26 RPI"/>
    <n v="47.8"/>
  </r>
  <r>
    <d v="2025-03-06T14:01:34"/>
    <x v="1"/>
    <s v="Plaquettes de finition"/>
    <s v="U037238"/>
    <s v="PRIEUR OLIVIER"/>
    <n v="5"/>
    <x v="2"/>
    <x v="1"/>
    <s v="PLAQUETTES"/>
    <s v="302x26 RPI"/>
    <n v="47.8"/>
  </r>
  <r>
    <d v="2025-03-07T04:27:27"/>
    <x v="1"/>
    <s v="Plaquettes de finition"/>
    <s v="280225"/>
    <s v="FERNANDES DOS SANTOS REMY"/>
    <n v="5"/>
    <x v="1"/>
    <x v="0"/>
    <s v="PLAQUETTES"/>
    <s v="304x28 RPE"/>
    <n v="47.8"/>
  </r>
  <r>
    <d v="2025-03-07T21:21:50"/>
    <x v="1"/>
    <s v="Plaquettes de finition"/>
    <s v="280225"/>
    <s v="FERNANDES DOS SANTOS REMY"/>
    <n v="5"/>
    <x v="1"/>
    <x v="0"/>
    <s v="PLAQUETTES"/>
    <s v="304x28 RPE"/>
    <n v="47.8"/>
  </r>
  <r>
    <d v="2025-03-08T01:25:00"/>
    <x v="1"/>
    <s v="Plaquettes de finition"/>
    <s v="280225"/>
    <s v="FERNANDES DOS SANTOS REMY"/>
    <n v="5"/>
    <x v="1"/>
    <x v="0"/>
    <s v="PLAQUETTES"/>
    <s v="304x28 RPE"/>
    <n v="47.8"/>
  </r>
  <r>
    <d v="2025-03-10T02:57:53"/>
    <x v="1"/>
    <s v="Plaquettes de finition"/>
    <s v="U109136"/>
    <s v="WIPLIE FREDERIC"/>
    <n v="5"/>
    <x v="1"/>
    <x v="0"/>
    <s v="PLAQUETTES"/>
    <s v="304x28 RPE"/>
    <n v="47.8"/>
  </r>
  <r>
    <d v="2025-03-10T05:56:15"/>
    <x v="0"/>
    <s v="Plaquettes de finition"/>
    <s v="101224"/>
    <s v="CHAZEAU KYLIAN"/>
    <n v="10"/>
    <x v="0"/>
    <x v="0"/>
    <s v="PLAQUETTES"/>
    <s v="330x14"/>
    <n v="109.7"/>
  </r>
  <r>
    <d v="2025-03-10T13:12:16"/>
    <x v="1"/>
    <s v="Plaquettes de finition"/>
    <s v="12824586"/>
    <s v="DA SILVA FERNANDO"/>
    <n v="10"/>
    <x v="2"/>
    <x v="1"/>
    <s v="PLAQUETTES"/>
    <s v="TOUT DISQUES"/>
    <n v="95.6"/>
  </r>
  <r>
    <d v="2025-03-10T15:34:07"/>
    <x v="0"/>
    <s v="Plaquettes de finition"/>
    <s v="SE08251"/>
    <s v="FAYET AYMERIC"/>
    <n v="10"/>
    <x v="0"/>
    <x v="0"/>
    <s v="PLAQUETTES"/>
    <s v="290x12"/>
    <n v="109.7"/>
  </r>
  <r>
    <d v="2025-03-10T17:11:30"/>
    <x v="1"/>
    <s v="Plaquettes de finition"/>
    <s v="280225"/>
    <s v="FERNANDES DOS SANTOS REMY"/>
    <n v="5"/>
    <x v="1"/>
    <x v="0"/>
    <s v="PLAQUETTES"/>
    <s v="304x28 RPE"/>
    <n v="47.8"/>
  </r>
  <r>
    <d v="2025-03-10T17:39:44"/>
    <x v="0"/>
    <s v="Plaquettes de finition"/>
    <s v="280225"/>
    <s v="FERNANDES DOS SANTOS REMY"/>
    <n v="10"/>
    <x v="1"/>
    <x v="0"/>
    <s v="PLAQUETTES"/>
    <s v="304x28 RPE"/>
    <n v="109.7"/>
  </r>
  <r>
    <d v="2025-03-10T21:26:50"/>
    <x v="1"/>
    <s v="Plaquettes de finition"/>
    <s v="u636817"/>
    <s v="MOCQUEREAU LYDIE"/>
    <n v="5"/>
    <x v="2"/>
    <x v="1"/>
    <s v="PLAQUETTES"/>
    <s v="302x26 RPI"/>
    <n v="47.8"/>
  </r>
  <r>
    <d v="2025-03-10T21:27:28"/>
    <x v="1"/>
    <s v="Plaquettes de finition"/>
    <s v="u636817"/>
    <s v="MOCQUEREAU LYDIE"/>
    <n v="5"/>
    <x v="2"/>
    <x v="1"/>
    <s v="PLAQUETTES"/>
    <s v="302x26 RPI"/>
    <n v="47.8"/>
  </r>
  <r>
    <d v="2025-03-11T01:26:48"/>
    <x v="1"/>
    <s v="Plaquettes de finition"/>
    <s v="130325"/>
    <s v="PAPONNEAU JULIEN"/>
    <n v="5"/>
    <x v="1"/>
    <x v="0"/>
    <s v="PLAQUETTES"/>
    <s v="304x28 RPE"/>
    <n v="47.8"/>
  </r>
  <r>
    <d v="2025-03-11T05:10:59"/>
    <x v="1"/>
    <s v="Plaquettes de finition"/>
    <s v="U037238"/>
    <s v="PRIEUR OLIVIER"/>
    <n v="5"/>
    <x v="2"/>
    <x v="1"/>
    <s v="PLAQUETTES"/>
    <s v="302x26 RPI"/>
    <n v="47.8"/>
  </r>
  <r>
    <d v="2025-03-12T00:56:07"/>
    <x v="1"/>
    <s v="Plaquettes de finition"/>
    <s v="SD75051"/>
    <s v="COMBALUZIER LUCAS"/>
    <n v="5"/>
    <x v="1"/>
    <x v="0"/>
    <s v="PLAQUETTES"/>
    <s v="304x28 RPE"/>
    <n v="47.8"/>
  </r>
  <r>
    <d v="2025-03-12T05:55:46"/>
    <x v="1"/>
    <s v="Plaquettes de finition"/>
    <s v="U037238"/>
    <s v="PRIEUR OLIVIER"/>
    <n v="5"/>
    <x v="2"/>
    <x v="1"/>
    <s v="PLAQUETTES"/>
    <s v="302x26 RPI"/>
    <n v="47.8"/>
  </r>
  <r>
    <d v="2025-03-13T00:30:35"/>
    <x v="0"/>
    <s v="Plaquettes de finition"/>
    <s v="130325"/>
    <s v="PAPONNEAU JULIEN"/>
    <n v="10"/>
    <x v="1"/>
    <x v="0"/>
    <s v="PLAQUETTES"/>
    <s v="304x28 RPE"/>
    <n v="109.7"/>
  </r>
  <r>
    <d v="2025-03-13T00:31:08"/>
    <x v="1"/>
    <s v="Plaquettes de finition"/>
    <s v="130325"/>
    <s v="PAPONNEAU JULIEN"/>
    <n v="5"/>
    <x v="1"/>
    <x v="0"/>
    <s v="PLAQUETTES"/>
    <s v="304x28 RPE"/>
    <n v="47.8"/>
  </r>
  <r>
    <d v="2025-03-13T13:49:01"/>
    <x v="1"/>
    <s v="Plaquettes de finition"/>
    <s v="J534699"/>
    <s v="FABIAN CHARTON"/>
    <n v="5"/>
    <x v="2"/>
    <x v="1"/>
    <s v="PLAQUETTES"/>
    <s v="302x26 RPI"/>
    <n v="47.8"/>
  </r>
  <r>
    <d v="2025-03-13T15:54:19"/>
    <x v="1"/>
    <s v="Plaquettes de finition"/>
    <s v="280225"/>
    <s v="FERNANDES DOS SANTOS REMY"/>
    <n v="5"/>
    <x v="1"/>
    <x v="0"/>
    <s v="PLAQUETTES"/>
    <s v="304x28 RPE"/>
    <n v="47.8"/>
  </r>
  <r>
    <d v="2025-03-14T17:09:31"/>
    <x v="1"/>
    <s v="Plaquettes de finition"/>
    <s v="SE08251"/>
    <s v="FAYET AYMERIC"/>
    <n v="5"/>
    <x v="0"/>
    <x v="0"/>
    <s v="PLAQUETTES"/>
    <s v="356x26 RPI"/>
    <n v="47.8"/>
  </r>
  <r>
    <d v="2025-03-14T18:10:17"/>
    <x v="1"/>
    <s v="Plaquettes de finition"/>
    <s v="280225"/>
    <s v="FERNANDES DOS SANTOS REMY"/>
    <n v="5"/>
    <x v="1"/>
    <x v="0"/>
    <s v="PLAQUETTES"/>
    <s v="304x28 RPE"/>
    <n v="47.8"/>
  </r>
  <r>
    <d v="2025-03-14T21:11:20"/>
    <x v="1"/>
    <s v="Plaquettes de finition"/>
    <s v="u636817"/>
    <s v="MOCQUEREAU LYDIE"/>
    <n v="5"/>
    <x v="2"/>
    <x v="1"/>
    <s v="PLAQUETTES"/>
    <s v="302x26 RPI"/>
    <n v="47.8"/>
  </r>
  <r>
    <d v="2025-03-14T21:11:45"/>
    <x v="1"/>
    <s v="Plaquettes de finition"/>
    <s v="u636817"/>
    <s v="MOCQUEREAU LYDIE"/>
    <n v="5"/>
    <x v="2"/>
    <x v="1"/>
    <s v="PLAQUETTES"/>
    <s v="302x26 RPI"/>
    <n v="47.8"/>
  </r>
  <r>
    <d v="2025-03-15T05:04:46"/>
    <x v="1"/>
    <s v="Plaquettes de finition"/>
    <s v="J529792"/>
    <s v="LEBRE CHRISTOPHE"/>
    <n v="5"/>
    <x v="2"/>
    <x v="1"/>
    <s v="PLAQUETTES"/>
    <s v="302x26 RPI"/>
    <n v="47.8"/>
  </r>
  <r>
    <d v="2025-03-15T11:12:26"/>
    <x v="1"/>
    <s v="Plaquettes de finition"/>
    <s v="U109136"/>
    <s v="WIPLIE FREDERIC"/>
    <n v="5"/>
    <x v="0"/>
    <x v="0"/>
    <s v="PLAQUETTES"/>
    <s v="356x26 RPI"/>
    <n v="47.8"/>
  </r>
  <r>
    <d v="2025-03-16T18:03:40"/>
    <x v="1"/>
    <s v="Plaquettes de finition"/>
    <s v="1234"/>
    <s v=" "/>
    <n v="5"/>
    <x v="1"/>
    <x v="0"/>
    <s v="PLAQUETTES"/>
    <s v="304x28 RPE"/>
    <n v="47.8"/>
  </r>
  <r>
    <d v="2025-03-17T05:21:17"/>
    <x v="1"/>
    <s v="Plaquettes de finition"/>
    <s v="SE08251"/>
    <s v="FAYET AYMERIC"/>
    <n v="5"/>
    <x v="0"/>
    <x v="0"/>
    <s v="PLAQUETTES"/>
    <s v="356x26 RPI"/>
    <n v="47.8"/>
  </r>
  <r>
    <d v="2025-03-17T15:58:57"/>
    <x v="1"/>
    <s v="Plaquettes de finition"/>
    <s v="130325"/>
    <s v="PAPONNEAU JULIEN"/>
    <n v="5"/>
    <x v="1"/>
    <x v="0"/>
    <s v="PLAQUETTES"/>
    <s v="304x28 RPE"/>
    <n v="47.8"/>
  </r>
  <r>
    <d v="2025-03-17T21:18:43"/>
    <x v="1"/>
    <s v="Plaquettes de finition"/>
    <s v="U037238"/>
    <s v="PRIEUR OLIVIER"/>
    <n v="5"/>
    <x v="2"/>
    <x v="1"/>
    <s v="PLAQUETTES"/>
    <s v="302x26 RPI"/>
    <n v="47.8"/>
  </r>
  <r>
    <d v="2025-03-17T21:39:13"/>
    <x v="1"/>
    <s v="Plaquettes de finition"/>
    <s v="101224"/>
    <s v="CHAZEAU KYLIAN"/>
    <n v="5"/>
    <x v="0"/>
    <x v="0"/>
    <s v="PLAQUETTES"/>
    <s v="356x26 RPI"/>
    <n v="47.8"/>
  </r>
  <r>
    <d v="2025-03-18T05:19:36"/>
    <x v="1"/>
    <s v="Plaquettes de finition"/>
    <s v="280225"/>
    <s v="FERNANDES DOS SANTOS REMY"/>
    <n v="5"/>
    <x v="1"/>
    <x v="0"/>
    <s v="PLAQUETTES"/>
    <s v="304x28 RPE"/>
    <n v="47.8"/>
  </r>
  <r>
    <d v="2025-03-18T05:19:49"/>
    <x v="0"/>
    <s v="Plaquettes de finition"/>
    <s v="280225"/>
    <s v="FERNANDES DOS SANTOS REMY"/>
    <n v="10"/>
    <x v="1"/>
    <x v="0"/>
    <s v="PLAQUETTES"/>
    <s v="304x28 RPE"/>
    <n v="109.7"/>
  </r>
  <r>
    <d v="2025-03-18T12:41:44"/>
    <x v="1"/>
    <s v="Plaquettes de finition"/>
    <s v="140325"/>
    <s v="BOUCLIER JONATHAN"/>
    <n v="5"/>
    <x v="2"/>
    <x v="1"/>
    <s v="PLAQUETTES"/>
    <s v="302x26 RPI"/>
    <n v="47.8"/>
  </r>
  <r>
    <d v="2025-03-18T12:42:12"/>
    <x v="1"/>
    <s v="Plaquettes de finition"/>
    <s v="140325"/>
    <s v="BOUCLIER JONATHAN"/>
    <n v="5"/>
    <x v="2"/>
    <x v="1"/>
    <s v="PLAQUETTES"/>
    <s v="302x26 RPI"/>
    <n v="47.8"/>
  </r>
  <r>
    <d v="2025-03-18T13:50:53"/>
    <x v="1"/>
    <s v="Plaquettes de finition"/>
    <s v="130325"/>
    <s v="PAPONNEAU JULIEN"/>
    <n v="5"/>
    <x v="1"/>
    <x v="0"/>
    <s v="PLAQUETTES"/>
    <s v="304x28 RPE"/>
    <n v="47.8"/>
  </r>
  <r>
    <d v="2025-03-18T17:17:25"/>
    <x v="1"/>
    <s v="Plaquettes de finition"/>
    <s v="u636817"/>
    <s v="MOCQUEREAU LYDIE"/>
    <n v="5"/>
    <x v="2"/>
    <x v="1"/>
    <s v="PLAQUETTES"/>
    <s v="302x26 RPI"/>
    <n v="47.8"/>
  </r>
  <r>
    <d v="2025-03-18T17:17:47"/>
    <x v="1"/>
    <s v="Plaquettes de finition"/>
    <s v="u636817"/>
    <s v="MOCQUEREAU LYDIE"/>
    <n v="5"/>
    <x v="2"/>
    <x v="1"/>
    <s v="PLAQUETTES"/>
    <s v="302x26 RPI"/>
    <n v="47.8"/>
  </r>
  <r>
    <d v="2025-03-19T10:02:27"/>
    <x v="1"/>
    <s v="Plaquettes de finition"/>
    <s v="U109136"/>
    <s v="WIPLIE FREDERIC"/>
    <n v="5"/>
    <x v="0"/>
    <x v="0"/>
    <s v="PLAQUETTES"/>
    <s v="356x26 RPI"/>
    <n v="47.8"/>
  </r>
  <r>
    <d v="2025-03-19T13:43:09"/>
    <x v="1"/>
    <s v="Plaquettes de finition"/>
    <s v="130325"/>
    <s v="PAPONNEAU JULIEN"/>
    <n v="5"/>
    <x v="1"/>
    <x v="0"/>
    <s v="PLAQUETTES"/>
    <s v="304x28 RPE"/>
    <n v="47.8"/>
  </r>
  <r>
    <d v="2025-03-19T21:41:23"/>
    <x v="1"/>
    <s v="Plaquettes de finition"/>
    <s v="U037238"/>
    <s v="PRIEUR OLIVIER"/>
    <n v="5"/>
    <x v="2"/>
    <x v="1"/>
    <s v="PLAQUETTES"/>
    <s v="302x26 RPI"/>
    <n v="47.8"/>
  </r>
  <r>
    <d v="2025-03-19T21:49:25"/>
    <x v="1"/>
    <s v="Plaquettes de finition"/>
    <s v="101224"/>
    <s v="CHAZEAU KYLIAN"/>
    <n v="5"/>
    <x v="0"/>
    <x v="0"/>
    <s v="PLAQUETTES"/>
    <s v="356x26 RPI"/>
    <n v="47.8"/>
  </r>
  <r>
    <d v="2025-03-20T09:10:29"/>
    <x v="0"/>
    <s v="Plaquettes de finition"/>
    <s v="280225"/>
    <s v="FERNANDES DOS SANTOS REMY"/>
    <n v="10"/>
    <x v="1"/>
    <x v="0"/>
    <s v="PLAQUETTES"/>
    <s v="304x28 RPE"/>
    <n v="109.7"/>
  </r>
  <r>
    <d v="2025-03-20T13:22:10"/>
    <x v="1"/>
    <s v="Plaquettes de finition"/>
    <s v="SD75051"/>
    <s v="COMBALUZIER LUCAS"/>
    <n v="5"/>
    <x v="0"/>
    <x v="0"/>
    <s v="PLAQUETTES"/>
    <s v="356x26 RPI"/>
    <n v="47.8"/>
  </r>
  <r>
    <d v="2025-03-20T20:02:37"/>
    <x v="1"/>
    <s v="Plaquettes de finition"/>
    <s v="u636817"/>
    <s v="MOCQUEREAU LYDIE"/>
    <n v="5"/>
    <x v="2"/>
    <x v="1"/>
    <s v="PLAQUETTES"/>
    <s v="302x26 RPI"/>
    <n v="47.8"/>
  </r>
  <r>
    <d v="2025-03-21T13:12:46"/>
    <x v="1"/>
    <s v="Plaquettes de finition"/>
    <s v="130325"/>
    <s v="PAPONNEAU JULIEN"/>
    <n v="5"/>
    <x v="1"/>
    <x v="0"/>
    <s v="PLAQUETTES"/>
    <s v="304x28 RPE"/>
    <n v="47.8"/>
  </r>
  <r>
    <d v="2025-03-21T14:33:54"/>
    <x v="1"/>
    <s v="Plaquettes de finition"/>
    <s v="7236310"/>
    <s v="BRANDALY JEREMY"/>
    <n v="5"/>
    <x v="0"/>
    <x v="0"/>
    <s v="PLAQUETTES"/>
    <s v="356x26 RPI"/>
    <n v="47.8"/>
  </r>
  <r>
    <d v="2025-03-21T17:51:08"/>
    <x v="1"/>
    <s v="Plaquettes de finition"/>
    <s v="130325"/>
    <s v="PAPONNEAU JULIEN"/>
    <n v="5"/>
    <x v="1"/>
    <x v="0"/>
    <s v="PLAQUETTES"/>
    <s v="304x28 RPE"/>
    <n v="47.8"/>
  </r>
  <r>
    <d v="2025-03-24T05:23:46"/>
    <x v="1"/>
    <s v="Plaquettes de finition"/>
    <s v="130325"/>
    <s v="PAPONNEAU JULIEN"/>
    <n v="5"/>
    <x v="1"/>
    <x v="0"/>
    <s v="PLAQUETTES"/>
    <s v="304x28 RPE"/>
    <n v="47.8"/>
  </r>
  <r>
    <d v="2025-03-24T13:11:39"/>
    <x v="1"/>
    <s v="Plaquettes de finition"/>
    <s v="U037238"/>
    <s v="PRIEUR OLIVIER"/>
    <n v="5"/>
    <x v="2"/>
    <x v="1"/>
    <s v="PLAQUETTES"/>
    <s v="302x26 RPI"/>
    <n v="47.8"/>
  </r>
  <r>
    <d v="2025-03-24T13:25:47"/>
    <x v="0"/>
    <s v="Plaquettes de finition"/>
    <s v="101224"/>
    <s v="CHAZEAU KYLIAN"/>
    <n v="10"/>
    <x v="0"/>
    <x v="0"/>
    <s v="PLAQUETTES"/>
    <s v="330x14"/>
    <n v="109.7"/>
  </r>
  <r>
    <d v="2025-03-24T13:26:23"/>
    <x v="0"/>
    <s v="Plaquettes de finition"/>
    <s v="101224"/>
    <s v="CHAZEAU KYLIAN"/>
    <n v="10"/>
    <x v="3"/>
    <x v="0"/>
    <s v="PLAQUETTES"/>
    <s v="290x12"/>
    <n v="109.7"/>
  </r>
  <r>
    <d v="2025-03-25T06:42:30"/>
    <x v="1"/>
    <s v="Plaquettes de finition"/>
    <s v="130325"/>
    <s v="PAPONNEAU JULIEN"/>
    <n v="5"/>
    <x v="1"/>
    <x v="0"/>
    <s v="PLAQUETTES"/>
    <s v="304x28 RPE"/>
    <n v="47.8"/>
  </r>
  <r>
    <d v="2025-03-25T14:11:48"/>
    <x v="1"/>
    <s v="Plaquettes de finition"/>
    <s v="U037238"/>
    <s v="PRIEUR OLIVIER"/>
    <n v="5"/>
    <x v="2"/>
    <x v="1"/>
    <s v="PLAQUETTES"/>
    <s v="302x26 RPI"/>
    <n v="47.8"/>
  </r>
  <r>
    <d v="2025-03-25T15:30:23"/>
    <x v="1"/>
    <s v="Plaquettes de finition"/>
    <s v="130124"/>
    <s v="MOHAMED ILDIRAY"/>
    <n v="5"/>
    <x v="1"/>
    <x v="0"/>
    <s v="PLAQUETTES"/>
    <s v="304x28 RPE"/>
    <n v="47.8"/>
  </r>
  <r>
    <d v="2025-03-26T05:47:09"/>
    <x v="1"/>
    <s v="Plaquettes de finition"/>
    <s v="u636817"/>
    <s v="MOCQUEREAU LYDIE"/>
    <n v="5"/>
    <x v="2"/>
    <x v="1"/>
    <s v="PLAQUETTES"/>
    <s v="302x26 RPI"/>
    <n v="47.8"/>
  </r>
  <r>
    <d v="2025-03-26T05:47:34"/>
    <x v="1"/>
    <s v="Plaquettes de finition"/>
    <s v="u636817"/>
    <s v="MOCQUEREAU LYDIE"/>
    <n v="5"/>
    <x v="2"/>
    <x v="1"/>
    <s v="PLAQUETTES"/>
    <s v="302x26 RPI"/>
    <n v="47.8"/>
  </r>
  <r>
    <d v="2025-03-26T06:31:59"/>
    <x v="0"/>
    <s v="Plaquettes de finition"/>
    <s v="130325"/>
    <s v="PAPONNEAU JULIEN"/>
    <n v="10"/>
    <x v="1"/>
    <x v="0"/>
    <s v="PLAQUETTES"/>
    <s v="304x28 RPE"/>
    <n v="109.7"/>
  </r>
  <r>
    <d v="2025-03-26T06:32:17"/>
    <x v="1"/>
    <s v="Plaquettes de finition"/>
    <s v="130325"/>
    <s v="PAPONNEAU JULIEN"/>
    <n v="5"/>
    <x v="1"/>
    <x v="0"/>
    <s v="PLAQUETTES"/>
    <s v="304x28 RPE"/>
    <n v="47.8"/>
  </r>
  <r>
    <d v="2025-03-26T18:12:46"/>
    <x v="1"/>
    <s v="Plaquettes de finition"/>
    <s v="U037238"/>
    <s v="PRIEUR OLIVIER"/>
    <n v="5"/>
    <x v="2"/>
    <x v="1"/>
    <s v="PLAQUETTES"/>
    <s v="302x26 RPI"/>
    <n v="47.8"/>
  </r>
  <r>
    <d v="2025-03-27T06:18:55"/>
    <x v="1"/>
    <s v="Plaquettes de finition"/>
    <s v="130325"/>
    <s v="PAPONNEAU JULIEN"/>
    <n v="5"/>
    <x v="1"/>
    <x v="0"/>
    <s v="PLAQUETTES"/>
    <s v="304x28 RPE"/>
    <n v="47.8"/>
  </r>
  <r>
    <d v="2025-03-27T06:48:32"/>
    <x v="1"/>
    <s v="Plaquettes de finition"/>
    <s v="7236310"/>
    <s v="BRANDALY JEREMY"/>
    <n v="5"/>
    <x v="0"/>
    <x v="0"/>
    <s v="PLAQUETTES"/>
    <s v="356x26 RPI"/>
    <n v="47.8"/>
  </r>
  <r>
    <d v="2025-03-27T13:14:15"/>
    <x v="1"/>
    <s v="Plaquettes de finition"/>
    <s v="130124"/>
    <s v="MOHAMED ILDIRAY"/>
    <n v="5"/>
    <x v="1"/>
    <x v="0"/>
    <s v="PLAQUETTES"/>
    <s v="304x28 RPE"/>
    <n v="47.8"/>
  </r>
  <r>
    <d v="2025-03-28T04:41:23"/>
    <x v="1"/>
    <s v="Plaquettes de finition"/>
    <s v="280225"/>
    <s v="FERNANDES DOS SANTOS REMY"/>
    <n v="5"/>
    <x v="1"/>
    <x v="0"/>
    <s v="PLAQUETTES"/>
    <s v="304x28 RPE"/>
    <n v="47.8"/>
  </r>
  <r>
    <d v="2025-03-28T05:09:49"/>
    <x v="1"/>
    <s v="Plaquettes de finition"/>
    <s v="J529792"/>
    <s v="LEBRE CHRISTOPHE"/>
    <n v="5"/>
    <x v="2"/>
    <x v="1"/>
    <s v="PLAQUETTES"/>
    <s v="302x26 RPI"/>
    <n v="47.8"/>
  </r>
  <r>
    <d v="2025-03-28T14:30:23"/>
    <x v="1"/>
    <s v="Plaquettes de finition"/>
    <s v="101224"/>
    <s v="CHAZEAU KYLIAN"/>
    <n v="5"/>
    <x v="0"/>
    <x v="0"/>
    <s v="PLAQUETTES"/>
    <s v="356x26 RPI"/>
    <n v="47.8"/>
  </r>
  <r>
    <d v="2025-03-28T15:31:02"/>
    <x v="1"/>
    <s v="Plaquettes de finition"/>
    <s v="130124"/>
    <s v="MOHAMED ILDIRAY"/>
    <n v="5"/>
    <x v="1"/>
    <x v="0"/>
    <s v="PLAQUETTES"/>
    <s v="304x28 RPE"/>
    <n v="47.8"/>
  </r>
  <r>
    <d v="2025-03-28T22:07:22"/>
    <x v="1"/>
    <s v="Plaquettes de finition"/>
    <s v="11737592"/>
    <s v="BLOCQUET DAVID"/>
    <n v="5"/>
    <x v="2"/>
    <x v="1"/>
    <s v="PLAQUETTES"/>
    <s v="302x26 RPI"/>
    <n v="47.8"/>
  </r>
  <r>
    <d v="2025-03-28T22:42:50"/>
    <x v="1"/>
    <s v="Plaquettes de finition"/>
    <s v="280225"/>
    <s v="FERNANDES DOS SANTOS REMY"/>
    <n v="5"/>
    <x v="1"/>
    <x v="0"/>
    <s v="PLAQUETTES"/>
    <s v="304x28 RPE"/>
    <n v="47.8"/>
  </r>
  <r>
    <d v="2025-03-29T01:18:49"/>
    <x v="0"/>
    <s v="Plaquettes de finition"/>
    <s v="280225"/>
    <s v="FERNANDES DOS SANTOS REMY"/>
    <n v="10"/>
    <x v="1"/>
    <x v="0"/>
    <s v="PLAQUETTES"/>
    <s v="304x28 RPE"/>
    <n v="109.7"/>
  </r>
  <r>
    <d v="2025-03-29T01:19:19"/>
    <x v="1"/>
    <s v="Plaquettes de finition"/>
    <s v="280225"/>
    <s v="FERNANDES DOS SANTOS REMY"/>
    <n v="5"/>
    <x v="1"/>
    <x v="0"/>
    <s v="PLAQUETTES"/>
    <s v="304x28 RPE"/>
    <n v="47.8"/>
  </r>
  <r>
    <d v="2025-03-30T17:21:22"/>
    <x v="1"/>
    <s v="Plaquettes de finition"/>
    <s v="U109136"/>
    <s v="WIPLIE FREDERIC"/>
    <n v="5"/>
    <x v="0"/>
    <x v="0"/>
    <s v="PLAQUETTES"/>
    <s v="356x26 RPI"/>
    <n v="47.8"/>
  </r>
  <r>
    <d v="2025-03-31T05:04:47"/>
    <x v="1"/>
    <s v="Plaquettes de finition"/>
    <s v="101123"/>
    <s v="BRUNET ANDREA"/>
    <n v="5"/>
    <x v="2"/>
    <x v="1"/>
    <s v="PLAQUETTES"/>
    <s v="302x26 RPI"/>
    <n v="47.8"/>
  </r>
  <r>
    <d v="2025-03-31T05:10:13"/>
    <x v="1"/>
    <s v="Plaquettes de finition"/>
    <s v="130124"/>
    <s v="MOHAMED ILDIRAY"/>
    <n v="5"/>
    <x v="1"/>
    <x v="0"/>
    <s v="PLAQUETTES"/>
    <s v="304x28 RPE"/>
    <n v="47.8"/>
  </r>
  <r>
    <d v="2025-03-31T16:38:29"/>
    <x v="1"/>
    <s v="Plaquettes de finition"/>
    <s v="280225"/>
    <s v="FERNANDES DOS SANTOS REMY"/>
    <n v="5"/>
    <x v="1"/>
    <x v="0"/>
    <s v="PLAQUETTES"/>
    <s v="304x28 RPE"/>
    <n v="47.8"/>
  </r>
  <r>
    <d v="2025-04-01T05:33:10"/>
    <x v="1"/>
    <s v="Plaquettes de finition"/>
    <s v="130124"/>
    <s v="MOHAMED ILDIRAY"/>
    <n v="5"/>
    <x v="1"/>
    <x v="0"/>
    <s v="PLAQUETTES"/>
    <s v="304x28 RPE"/>
    <n v="47.8"/>
  </r>
  <r>
    <d v="2025-04-01T07:50:45"/>
    <x v="1"/>
    <s v="Plaquettes de finition"/>
    <s v="101123"/>
    <s v="BRUNET ANDREA"/>
    <n v="5"/>
    <x v="2"/>
    <x v="1"/>
    <s v="PLAQUETTES"/>
    <s v="302x26 RPI"/>
    <n v="47.8"/>
  </r>
  <r>
    <d v="2025-04-01T13:12:05"/>
    <x v="0"/>
    <s v="Plaquettes de finition"/>
    <s v="280225"/>
    <s v="FERNANDES DOS SANTOS REMY"/>
    <n v="10"/>
    <x v="1"/>
    <x v="0"/>
    <s v="PLAQUETTES"/>
    <s v="304x28 RPE"/>
    <n v="109.7"/>
  </r>
  <r>
    <d v="2025-04-02T06:40:34"/>
    <x v="1"/>
    <s v="Plaquettes de finition"/>
    <s v="130124"/>
    <s v="MOHAMED ILDIRAY"/>
    <n v="5"/>
    <x v="1"/>
    <x v="0"/>
    <s v="PLAQUETTES"/>
    <s v="304x28 RPE"/>
    <n v="47.8"/>
  </r>
  <r>
    <d v="2025-04-02T06:40:48"/>
    <x v="1"/>
    <s v="Plaquettes de finition"/>
    <s v="130124"/>
    <s v="MOHAMED ILDIRAY"/>
    <n v="5"/>
    <x v="1"/>
    <x v="0"/>
    <s v="PLAQUETTES"/>
    <s v="304x28 RPE"/>
    <n v="47.8"/>
  </r>
  <r>
    <d v="2025-04-02T19:04:50"/>
    <x v="1"/>
    <s v="Plaquettes de finition"/>
    <s v="11737592"/>
    <s v="BLOCQUET DAVID"/>
    <n v="5"/>
    <x v="2"/>
    <x v="1"/>
    <s v="PLAQUETTES"/>
    <s v="302x26 RPI"/>
    <n v="47.8"/>
  </r>
  <r>
    <d v="2025-04-02T19:45:38"/>
    <x v="1"/>
    <s v="Plaquettes de finition"/>
    <s v="280225"/>
    <s v="FERNANDES DOS SANTOS REMY"/>
    <n v="5"/>
    <x v="1"/>
    <x v="0"/>
    <s v="PLAQUETTES"/>
    <s v="304x28 RPE"/>
    <n v="47.8"/>
  </r>
  <r>
    <d v="2025-04-03T22:23:50"/>
    <x v="1"/>
    <s v="Plaquettes de finition"/>
    <s v="130325"/>
    <s v="PAPONNEAU JULIEN"/>
    <n v="5"/>
    <x v="1"/>
    <x v="0"/>
    <s v="PLAQUETTES"/>
    <s v="304x28 RPE"/>
    <n v="47.8"/>
  </r>
  <r>
    <d v="2025-04-04T01:52:12"/>
    <x v="1"/>
    <s v="Plaquettes de finition"/>
    <s v="u636817"/>
    <s v="MOCQUEREAU LYDIE"/>
    <n v="5"/>
    <x v="2"/>
    <x v="1"/>
    <s v="PLAQUETTES"/>
    <s v="302x26 RPI"/>
    <n v="47.8"/>
  </r>
  <r>
    <d v="2025-04-04T05:10:04"/>
    <x v="1"/>
    <s v="Plaquettes de finition"/>
    <s v="J529792"/>
    <s v="LEBRE CHRISTOPHE"/>
    <n v="5"/>
    <x v="2"/>
    <x v="1"/>
    <s v="PLAQUETTES"/>
    <s v="302x26 RPI"/>
    <n v="47.8"/>
  </r>
  <r>
    <d v="2025-04-04T13:58:10"/>
    <x v="0"/>
    <s v="Plaquettes de finition"/>
    <s v="280225"/>
    <s v="FERNANDES DOS SANTOS REMY"/>
    <n v="1"/>
    <x v="1"/>
    <x v="0"/>
    <s v="PLAQUETTES"/>
    <s v="304x28 RPE"/>
    <n v="10.97"/>
  </r>
  <r>
    <d v="2025-04-04T13:58:24"/>
    <x v="1"/>
    <s v="Plaquettes de finition"/>
    <s v="280225"/>
    <s v="FERNANDES DOS SANTOS REMY"/>
    <n v="5"/>
    <x v="1"/>
    <x v="0"/>
    <s v="PLAQUETTES"/>
    <s v="304x28 RPE"/>
    <n v="47.8"/>
  </r>
  <r>
    <d v="2025-04-06T18:52:05"/>
    <x v="1"/>
    <s v="Plaquettes de finition"/>
    <s v="J529792"/>
    <s v="LEBRE CHRISTOPHE"/>
    <n v="5"/>
    <x v="2"/>
    <x v="1"/>
    <s v="PLAQUETTES"/>
    <s v="302x26 RPI"/>
    <n v="47.8"/>
  </r>
  <r>
    <d v="2025-04-06T18:52:33"/>
    <x v="1"/>
    <s v="Plaquettes de finition"/>
    <s v="J529792"/>
    <s v="LEBRE CHRISTOPHE"/>
    <n v="5"/>
    <x v="2"/>
    <x v="1"/>
    <s v="PLAQUETTES"/>
    <s v="302x26 RPI"/>
    <n v="47.8"/>
  </r>
  <r>
    <d v="2025-04-07T05:22:05"/>
    <x v="0"/>
    <s v="Plaquettes de finition"/>
    <s v="SE08251"/>
    <s v="FAYET AYMERIC"/>
    <n v="1"/>
    <x v="0"/>
    <x v="0"/>
    <s v="PLAQUETTES"/>
    <s v="330x14"/>
    <n v="10.97"/>
  </r>
  <r>
    <d v="2025-04-07T05:23:11"/>
    <x v="0"/>
    <s v="Plaquettes de finition"/>
    <s v="SE08251"/>
    <s v="FAYET AYMERIC"/>
    <n v="1"/>
    <x v="0"/>
    <x v="0"/>
    <s v="PLAQUETTES"/>
    <s v="290x12"/>
    <n v="10.97"/>
  </r>
  <r>
    <d v="2025-04-07T21:19:56"/>
    <x v="1"/>
    <s v="Plaquettes de finition"/>
    <s v="130124"/>
    <s v="MOHAMED ILDIRAY"/>
    <n v="5"/>
    <x v="1"/>
    <x v="0"/>
    <s v="PLAQUETTES"/>
    <s v="304x28 RPE"/>
    <n v="47.8"/>
  </r>
  <r>
    <d v="2025-04-08T08:16:38"/>
    <x v="1"/>
    <s v="Plaquettes de finition"/>
    <s v="11737592"/>
    <s v="BLOCQUET DAVID"/>
    <n v="5"/>
    <x v="2"/>
    <x v="1"/>
    <s v="PLAQUETTES"/>
    <s v="302x26 RPI"/>
    <n v="47.8"/>
  </r>
  <r>
    <d v="2025-04-08T15:15:36"/>
    <x v="1"/>
    <s v="Plaquettes de finition"/>
    <s v="130325"/>
    <s v="PAPONNEAU JULIEN"/>
    <n v="5"/>
    <x v="1"/>
    <x v="0"/>
    <s v="PLAQUETTES"/>
    <s v="304x28 RPE"/>
    <n v="47.8"/>
  </r>
  <r>
    <d v="2025-04-08T17:49:26"/>
    <x v="1"/>
    <s v="Plaquettes de finition"/>
    <s v="u636817"/>
    <s v="MOCQUEREAU LYDIE"/>
    <n v="5"/>
    <x v="2"/>
    <x v="1"/>
    <s v="PLAQUETTES"/>
    <s v="302x26 RPI"/>
    <n v="47.8"/>
  </r>
  <r>
    <d v="2025-04-08T23:50:33"/>
    <x v="1"/>
    <s v="Plaquettes de finition"/>
    <s v="U037238"/>
    <s v="PRIEUR OLIVIER"/>
    <n v="5"/>
    <x v="2"/>
    <x v="1"/>
    <s v="PLAQUETTES"/>
    <s v="302x26 RPI"/>
    <n v="47.8"/>
  </r>
  <r>
    <d v="2025-04-09T14:04:37"/>
    <x v="1"/>
    <s v="Plaquettes de finition"/>
    <s v="130325"/>
    <s v="PAPONNEAU JULIEN"/>
    <n v="5"/>
    <x v="1"/>
    <x v="0"/>
    <s v="PLAQUETTES"/>
    <s v="304x28 RPE"/>
    <n v="47.8"/>
  </r>
  <r>
    <d v="2025-04-10T06:48:13"/>
    <x v="0"/>
    <s v="Plaquettes de finition"/>
    <s v="280225"/>
    <s v="FERNANDES DOS SANTOS REMY"/>
    <n v="10"/>
    <x v="1"/>
    <x v="0"/>
    <s v="PLAQUETTES"/>
    <s v="304x28 RPE"/>
    <n v="109.7"/>
  </r>
  <r>
    <d v="2025-04-10T08:57:03"/>
    <x v="1"/>
    <s v="Plaquettes de finition"/>
    <s v="280225"/>
    <s v="FERNANDES DOS SANTOS REMY"/>
    <n v="5"/>
    <x v="1"/>
    <x v="0"/>
    <s v="PLAQUETTES"/>
    <s v="304x28 RPE"/>
    <n v="47.8"/>
  </r>
  <r>
    <d v="2025-04-10T14:43:26"/>
    <x v="1"/>
    <s v="Plaquettes de finition"/>
    <s v="SD75051"/>
    <s v="COMBALUZIER LUCAS"/>
    <n v="5"/>
    <x v="0"/>
    <x v="0"/>
    <s v="PLAQUETTES"/>
    <s v="356x26 RPI"/>
    <n v="47.8"/>
  </r>
  <r>
    <d v="2025-04-11T05:08:47"/>
    <x v="1"/>
    <s v="Plaquettes de finition"/>
    <s v="J529792"/>
    <s v="LEBRE CHRISTOPHE"/>
    <n v="5"/>
    <x v="2"/>
    <x v="1"/>
    <s v="PLAQUETTES"/>
    <s v="302x26 RPI"/>
    <n v="47.8"/>
  </r>
  <r>
    <d v="2025-04-11T08:37:12"/>
    <x v="1"/>
    <s v="Plaquettes de finition"/>
    <s v="U109136"/>
    <s v="WIPLIE FREDERIC"/>
    <n v="5"/>
    <x v="0"/>
    <x v="0"/>
    <s v="PLAQUETTES"/>
    <s v="356x26 RPI"/>
    <n v="47.8"/>
  </r>
  <r>
    <d v="2025-04-11T14:29:30"/>
    <x v="1"/>
    <s v="Plaquettes de finition"/>
    <s v="u636817"/>
    <s v="MOCQUEREAU LYDIE"/>
    <n v="5"/>
    <x v="2"/>
    <x v="1"/>
    <s v="PLAQUETTES"/>
    <s v="302x26 RPI"/>
    <n v="47.8"/>
  </r>
  <r>
    <d v="2025-04-11T16:03:33"/>
    <x v="1"/>
    <s v="Plaquettes de finition"/>
    <s v="130325"/>
    <s v="PAPONNEAU JULIEN"/>
    <n v="5"/>
    <x v="1"/>
    <x v="0"/>
    <s v="PLAQUETTES"/>
    <s v="304x28 RPE"/>
    <n v="47.8"/>
  </r>
  <r>
    <d v="2025-04-12T08:57:19"/>
    <x v="1"/>
    <s v="Plaquettes de finition"/>
    <s v="150725"/>
    <s v="ADOUL WASSIM"/>
    <n v="5"/>
    <x v="1"/>
    <x v="0"/>
    <s v="PLAQUETTES"/>
    <s v="304x28 RPE"/>
    <n v="47.8"/>
  </r>
  <r>
    <d v="2025-04-14T01:48:00"/>
    <x v="1"/>
    <s v="Plaquettes de finition"/>
    <s v="U109136"/>
    <s v="WIPLIE FREDERIC"/>
    <n v="5"/>
    <x v="0"/>
    <x v="0"/>
    <s v="PLAQUETTES"/>
    <s v="356x26 RPI"/>
    <n v="47.8"/>
  </r>
  <r>
    <d v="2025-04-14T02:26:45"/>
    <x v="1"/>
    <s v="Plaquettes de finition"/>
    <s v="150725"/>
    <s v="ADOUL WASSIM"/>
    <n v="5"/>
    <x v="1"/>
    <x v="0"/>
    <s v="PLAQUETTES"/>
    <s v="304x28 RPE"/>
    <n v="47.8"/>
  </r>
  <r>
    <d v="2025-04-14T05:43:16"/>
    <x v="1"/>
    <s v="Plaquettes de finition"/>
    <s v="SD75051"/>
    <s v="COMBALUZIER LUCAS"/>
    <n v="5"/>
    <x v="0"/>
    <x v="0"/>
    <s v="PLAQUETTES"/>
    <s v="356x26 RPI"/>
    <n v="47.8"/>
  </r>
  <r>
    <d v="2025-04-14T12:22:21"/>
    <x v="1"/>
    <s v="Plaquettes de finition"/>
    <s v="130325"/>
    <s v="PAPONNEAU JULIEN"/>
    <n v="5"/>
    <x v="1"/>
    <x v="0"/>
    <s v="PLAQUETTES"/>
    <s v="304x28 RPE"/>
    <n v="47.8"/>
  </r>
  <r>
    <d v="2025-04-14T13:28:22"/>
    <x v="1"/>
    <s v="Plaquettes de finition"/>
    <s v="130124"/>
    <s v="MOHAMED ILDIRAY"/>
    <n v="5"/>
    <x v="1"/>
    <x v="0"/>
    <s v="PLAQUETTES"/>
    <s v="304x28 RPE"/>
    <n v="47.8"/>
  </r>
  <r>
    <d v="2025-04-14T13:35:19"/>
    <x v="1"/>
    <s v="Plaquettes de finition"/>
    <s v="U037238"/>
    <s v="PRIEUR OLIVIER"/>
    <n v="5"/>
    <x v="2"/>
    <x v="1"/>
    <s v="PLAQUETTES"/>
    <s v="302x26 RPI"/>
    <n v="47.8"/>
  </r>
  <r>
    <d v="2025-04-15T07:30:58"/>
    <x v="1"/>
    <s v="Plaquettes de finition"/>
    <s v="u636817"/>
    <s v="MOCQUEREAU LYDIE"/>
    <n v="5"/>
    <x v="2"/>
    <x v="1"/>
    <s v="PLAQUETTES"/>
    <s v="302x26 RPI"/>
    <n v="47.8"/>
  </r>
  <r>
    <d v="2025-04-15T07:31:22"/>
    <x v="1"/>
    <s v="Plaquettes de finition"/>
    <s v="u636817"/>
    <s v="MOCQUEREAU LYDIE"/>
    <n v="5"/>
    <x v="2"/>
    <x v="1"/>
    <s v="PLAQUETTES"/>
    <s v="302x26 RPI"/>
    <n v="47.8"/>
  </r>
  <r>
    <d v="2025-04-15T14:21:40"/>
    <x v="0"/>
    <s v="Plaquettes de finition"/>
    <s v="12824586"/>
    <s v="DA SILVA FERNANDO"/>
    <n v="40"/>
    <x v="1"/>
    <x v="0"/>
    <s v="PLAQUETTES"/>
    <s v="TOUT DISQUES"/>
    <n v="438.8"/>
  </r>
  <r>
    <d v="2025-04-16T02:34:32"/>
    <x v="0"/>
    <s v="Plaquettes de finition"/>
    <s v="280225"/>
    <s v="FERNANDES DOS SANTOS REMY"/>
    <n v="10"/>
    <x v="1"/>
    <x v="0"/>
    <s v="PLAQUETTES"/>
    <s v="356x26 RPI"/>
    <n v="109.7"/>
  </r>
  <r>
    <d v="2025-04-16T10:13:31"/>
    <x v="1"/>
    <s v="Plaquettes de finition"/>
    <s v="18498233"/>
    <s v="ALVES ARTHUR"/>
    <n v="5"/>
    <x v="0"/>
    <x v="0"/>
    <s v="PLAQUETTES"/>
    <s v="TOUT DISQUES"/>
    <n v="47.8"/>
  </r>
  <r>
    <d v="2025-04-16T14:18:53"/>
    <x v="1"/>
    <s v="Plaquettes de finition"/>
    <s v="U037238"/>
    <s v="PRIEUR OLIVIER"/>
    <n v="5"/>
    <x v="2"/>
    <x v="1"/>
    <s v="PLAQUETTES"/>
    <s v="302x26 RPI"/>
    <n v="47.8"/>
  </r>
  <r>
    <d v="2025-04-16T22:34:40"/>
    <x v="1"/>
    <s v="Plaquettes de finition"/>
    <s v="280225"/>
    <s v="FERNANDES DOS SANTOS REMY"/>
    <n v="5"/>
    <x v="1"/>
    <x v="0"/>
    <s v="PLAQUETTES"/>
    <s v="356x26 RPI"/>
    <n v="47.8"/>
  </r>
  <r>
    <d v="2025-04-17T13:15:06"/>
    <x v="1"/>
    <s v="Plaquettes de finition"/>
    <s v="U037238"/>
    <s v="PRIEUR OLIVIER"/>
    <n v="5"/>
    <x v="2"/>
    <x v="1"/>
    <s v="PLAQUETTES"/>
    <s v="302x26 RPI"/>
    <n v="47.8"/>
  </r>
  <r>
    <d v="2025-04-17T13:15:47"/>
    <x v="1"/>
    <s v="Plaquettes de finition"/>
    <s v="U037238"/>
    <s v="PRIEUR OLIVIER"/>
    <n v="5"/>
    <x v="2"/>
    <x v="1"/>
    <s v="PLAQUETTES"/>
    <s v="302x26 RPI"/>
    <n v="47.8"/>
  </r>
  <r>
    <d v="2025-04-17T21:30:26"/>
    <x v="1"/>
    <s v="Plaquettes de finition"/>
    <s v="280225"/>
    <s v="FERNANDES DOS SANTOS REMY"/>
    <n v="5"/>
    <x v="1"/>
    <x v="0"/>
    <s v="PLAQUETTES"/>
    <s v="356x26 RPI"/>
    <n v="47.8"/>
  </r>
  <r>
    <d v="2025-04-18T13:16:00"/>
    <x v="1"/>
    <s v="Plaquettes de finition"/>
    <s v="130124"/>
    <s v="MOHAMED ILDIRAY"/>
    <n v="5"/>
    <x v="1"/>
    <x v="0"/>
    <s v="PLAQUETTES"/>
    <s v="356x26 RPI"/>
    <n v="47.8"/>
  </r>
  <r>
    <d v="2025-04-19T02:28:14"/>
    <x v="0"/>
    <s v="Plaquettes de finition"/>
    <s v="280225"/>
    <s v="FERNANDES DOS SANTOS REMY"/>
    <n v="10"/>
    <x v="1"/>
    <x v="0"/>
    <s v="PLAQUETTES"/>
    <s v="356x26 RPI"/>
    <n v="109.7"/>
  </r>
  <r>
    <d v="2025-04-19T02:28:47"/>
    <x v="1"/>
    <s v="Plaquettes de finition"/>
    <s v="280225"/>
    <s v="FERNANDES DOS SANTOS REMY"/>
    <n v="5"/>
    <x v="1"/>
    <x v="0"/>
    <s v="PLAQUETTES"/>
    <s v="356x26 RPI"/>
    <n v="47.8"/>
  </r>
  <r>
    <d v="2025-04-20T23:56:17"/>
    <x v="1"/>
    <s v="Plaquettes de finition"/>
    <s v="U109136"/>
    <s v="WIPLIE FREDERIC"/>
    <n v="5"/>
    <x v="1"/>
    <x v="0"/>
    <s v="PLAQUETTES"/>
    <s v="304x28 RPE"/>
    <n v="47.8"/>
  </r>
  <r>
    <d v="2025-04-21T05:07:58"/>
    <x v="1"/>
    <s v="Plaquettes de finition"/>
    <s v="101123"/>
    <s v="BRUNET ANDREA"/>
    <n v="5"/>
    <x v="2"/>
    <x v="1"/>
    <s v="PLAQUETTES"/>
    <s v="302x26 RPI"/>
    <n v="47.8"/>
  </r>
  <r>
    <d v="2025-04-21T06:28:10"/>
    <x v="1"/>
    <s v="Plaquettes de finition"/>
    <s v="130124"/>
    <s v="MOHAMED ILDIRAY"/>
    <n v="5"/>
    <x v="1"/>
    <x v="0"/>
    <s v="PLAQUETTES"/>
    <s v="304x28 RPE"/>
    <n v="47.8"/>
  </r>
  <r>
    <d v="2025-04-21T13:52:14"/>
    <x v="1"/>
    <s v="Plaquettes de finition"/>
    <s v="280225"/>
    <s v="FERNANDES DOS SANTOS REMY"/>
    <n v="5"/>
    <x v="1"/>
    <x v="0"/>
    <s v="PLAQUETTES"/>
    <s v="304x28 RPE"/>
    <n v="47.8"/>
  </r>
  <r>
    <d v="2025-04-22T05:53:34"/>
    <x v="1"/>
    <s v="Plaquettes de finition"/>
    <s v="130124"/>
    <s v="MOHAMED ILDIRAY"/>
    <n v="5"/>
    <x v="1"/>
    <x v="0"/>
    <s v="PLAQUETTES"/>
    <s v="304x28 RPE"/>
    <n v="47.8"/>
  </r>
  <r>
    <d v="2025-04-22T23:35:31"/>
    <x v="1"/>
    <s v="Plaquettes de finition"/>
    <s v="130325"/>
    <s v="PAPONNEAU JULIEN"/>
    <n v="5"/>
    <x v="1"/>
    <x v="0"/>
    <s v="PLAQUETTES"/>
    <s v="304x28 RPE"/>
    <n v="47.8"/>
  </r>
  <r>
    <d v="2025-04-22T23:35:48"/>
    <x v="0"/>
    <s v="Plaquettes de finition"/>
    <s v="130325"/>
    <s v="PAPONNEAU JULIEN"/>
    <n v="10"/>
    <x v="1"/>
    <x v="0"/>
    <s v="PLAQUETTES"/>
    <s v="304x28 RPE"/>
    <n v="109.7"/>
  </r>
  <r>
    <d v="2025-04-23T06:08:58"/>
    <x v="0"/>
    <s v="Plaquettes de finition"/>
    <s v="101224"/>
    <s v="CHAZEAU KYLIAN"/>
    <n v="10"/>
    <x v="0"/>
    <x v="0"/>
    <s v="PLAQUETTES"/>
    <s v="330x14"/>
    <n v="109.7"/>
  </r>
  <r>
    <d v="2025-04-23T15:04:21"/>
    <x v="1"/>
    <s v="Plaquettes de finition"/>
    <s v="280225"/>
    <s v="FERNANDES DOS SANTOS REMY"/>
    <n v="5"/>
    <x v="1"/>
    <x v="0"/>
    <s v="PLAQUETTES"/>
    <s v="304x28 RPE"/>
    <n v="47.8"/>
  </r>
  <r>
    <d v="2025-04-24T04:42:51"/>
    <x v="1"/>
    <s v="Plaquettes de finition"/>
    <s v="130325"/>
    <s v="PAPONNEAU JULIEN"/>
    <n v="5"/>
    <x v="1"/>
    <x v="0"/>
    <s v="PLAQUETTES"/>
    <s v="304x28 RPE"/>
    <n v="47.8"/>
  </r>
  <r>
    <d v="2025-04-24T05:49:53"/>
    <x v="1"/>
    <s v="Plaquettes de finition"/>
    <s v="130124"/>
    <s v="MOHAMED ILDIRAY"/>
    <n v="5"/>
    <x v="1"/>
    <x v="0"/>
    <s v="PLAQUETTES"/>
    <s v="304x28 RPE"/>
    <n v="47.8"/>
  </r>
  <r>
    <d v="2025-04-24T18:25:32"/>
    <x v="1"/>
    <s v="Plaquettes de finition"/>
    <s v="250425"/>
    <s v="CHANDAR ABDER"/>
    <n v="5"/>
    <x v="2"/>
    <x v="1"/>
    <s v="PLAQUETTES"/>
    <s v="302x26 RPI"/>
    <n v="47.8"/>
  </r>
  <r>
    <d v="2025-04-24T20:25:53"/>
    <x v="1"/>
    <s v="Plaquettes de finition"/>
    <s v="280225"/>
    <s v="FERNANDES DOS SANTOS REMY"/>
    <n v="5"/>
    <x v="1"/>
    <x v="0"/>
    <s v="PLAQUETTES"/>
    <s v="304x28 RPE"/>
    <n v="47.8"/>
  </r>
  <r>
    <d v="2025-04-25T05:23:04"/>
    <x v="1"/>
    <s v="Plaquettes de finition"/>
    <s v="DELIAT C"/>
    <s v="DELIAT CHRISTOPHE"/>
    <n v="5"/>
    <x v="2"/>
    <x v="1"/>
    <s v="PLAQUETTES"/>
    <s v="302x26 RPI"/>
    <n v="47.8"/>
  </r>
  <r>
    <d v="2025-04-25T13:13:40"/>
    <x v="1"/>
    <s v="Plaquettes de finition"/>
    <s v="280225"/>
    <s v="FERNANDES DOS SANTOS REMY"/>
    <n v="5"/>
    <x v="1"/>
    <x v="0"/>
    <s v="PLAQUETTES"/>
    <s v="304x28 RPE"/>
    <n v="47.8"/>
  </r>
  <r>
    <d v="2025-04-25T13:14:16"/>
    <x v="0"/>
    <s v="Plaquettes de finition"/>
    <s v="280225"/>
    <s v="FERNANDES DOS SANTOS REMY"/>
    <n v="10"/>
    <x v="1"/>
    <x v="0"/>
    <s v="PLAQUETTES"/>
    <s v="304x28 RPE"/>
    <n v="109.7"/>
  </r>
  <r>
    <d v="2025-04-25T16:05:28"/>
    <x v="1"/>
    <s v="Plaquettes de finition"/>
    <s v="SE08251"/>
    <s v="FAYET AYMERIC"/>
    <n v="5"/>
    <x v="0"/>
    <x v="0"/>
    <s v="PLAQUETTES"/>
    <s v="356x26 RPI"/>
    <n v="47.8"/>
  </r>
  <r>
    <d v="2025-04-25T18:04:27"/>
    <x v="1"/>
    <s v="Plaquettes de finition"/>
    <s v="280225"/>
    <s v="FERNANDES DOS SANTOS REMY"/>
    <n v="5"/>
    <x v="1"/>
    <x v="0"/>
    <s v="PLAQUETTES"/>
    <s v="304x28 RPE"/>
    <n v="47.8"/>
  </r>
  <r>
    <d v="2025-04-26T08:39:23"/>
    <x v="1"/>
    <s v="Plaquettes de finition"/>
    <s v="U109136"/>
    <s v="WIPLIE FREDERIC"/>
    <n v="5"/>
    <x v="0"/>
    <x v="0"/>
    <s v="PLAQUETTES"/>
    <s v="356x26 RPI"/>
    <n v="47.8"/>
  </r>
  <r>
    <d v="2025-04-27T17:51:25"/>
    <x v="1"/>
    <s v="Plaquettes de finition"/>
    <s v="J534699"/>
    <s v="FABIAN CHARTON"/>
    <n v="5"/>
    <x v="2"/>
    <x v="1"/>
    <s v="PLAQUETTES"/>
    <s v="302x26 RPI"/>
    <n v="47.8"/>
  </r>
  <r>
    <d v="2025-04-27T17:53:19"/>
    <x v="1"/>
    <s v="Plaquettes de finition"/>
    <s v="U109136"/>
    <s v="WIPLIE FREDERIC"/>
    <n v="5"/>
    <x v="0"/>
    <x v="0"/>
    <s v="PLAQUETTES"/>
    <s v="356x26 RPI"/>
    <n v="47.8"/>
  </r>
  <r>
    <d v="2025-04-27T23:44:01"/>
    <x v="1"/>
    <s v="Plaquettes de finition"/>
    <s v="150725"/>
    <s v="ADOUL WASSIM"/>
    <n v="5"/>
    <x v="1"/>
    <x v="0"/>
    <s v="PLAQUETTES"/>
    <s v="304x28 RPE"/>
    <n v="47.8"/>
  </r>
  <r>
    <d v="2025-04-28T05:06:45"/>
    <x v="1"/>
    <s v="Plaquettes de finition"/>
    <s v="280225"/>
    <s v="FERNANDES DOS SANTOS REMY"/>
    <n v="5"/>
    <x v="1"/>
    <x v="0"/>
    <s v="PLAQUETTES"/>
    <s v="304x28 RPE"/>
    <n v="47.8"/>
  </r>
  <r>
    <d v="2025-04-28T14:23:55"/>
    <x v="1"/>
    <s v="Plaquettes de finition"/>
    <s v="u636817"/>
    <s v="MOCQUEREAU LYDIE"/>
    <n v="5"/>
    <x v="2"/>
    <x v="1"/>
    <s v="PLAQUETTES"/>
    <s v="302x26 RPI"/>
    <n v="47.8"/>
  </r>
  <r>
    <d v="2025-04-28T14:24:17"/>
    <x v="1"/>
    <s v="Plaquettes de finition"/>
    <s v="u636817"/>
    <s v="MOCQUEREAU LYDIE"/>
    <n v="5"/>
    <x v="2"/>
    <x v="1"/>
    <s v="PLAQUETTES"/>
    <s v="302x26 RPI"/>
    <n v="47.8"/>
  </r>
  <r>
    <d v="2025-04-29T05:16:00"/>
    <x v="1"/>
    <s v="Plaquettes de finition"/>
    <s v="171124"/>
    <s v="GONIN AGNES"/>
    <n v="5"/>
    <x v="2"/>
    <x v="1"/>
    <s v="PLAQUETTES"/>
    <s v="302x26 RPI"/>
    <n v="47.8"/>
  </r>
  <r>
    <d v="2025-04-29T18:58:57"/>
    <x v="1"/>
    <s v="Plaquettes de finition"/>
    <s v="130325"/>
    <s v="PAPONNEAU JULIEN"/>
    <n v="5"/>
    <x v="1"/>
    <x v="0"/>
    <s v="PLAQUETTES"/>
    <s v="304x28 RPE"/>
    <n v="47.8"/>
  </r>
  <r>
    <d v="2025-04-29T18:59:16"/>
    <x v="1"/>
    <s v="Plaquettes de finition"/>
    <s v="130325"/>
    <s v="PAPONNEAU JULIEN"/>
    <n v="5"/>
    <x v="1"/>
    <x v="0"/>
    <s v="PLAQUETTES"/>
    <s v="304x28 RPE"/>
    <n v="47.8"/>
  </r>
  <r>
    <d v="2025-04-29T22:35:48"/>
    <x v="1"/>
    <s v="Plaquettes de finition"/>
    <s v="130124"/>
    <s v="MOHAMED ILDIRAY"/>
    <n v="5"/>
    <x v="1"/>
    <x v="0"/>
    <s v="PLAQUETTES"/>
    <s v="304x28 RPE"/>
    <n v="47.8"/>
  </r>
  <r>
    <d v="2025-04-30T05:25:19"/>
    <x v="0"/>
    <s v="Plaquettes de finition"/>
    <s v="SE08251"/>
    <s v="FAYET AYMERIC"/>
    <n v="10"/>
    <x v="0"/>
    <x v="0"/>
    <s v="PLAQUETTES"/>
    <s v="290x12"/>
    <n v="109.7"/>
  </r>
  <r>
    <d v="2025-04-30T06:36:51"/>
    <x v="1"/>
    <s v="Plaquettes de finition"/>
    <s v="280225"/>
    <s v="FERNANDES DOS SANTOS REMY"/>
    <n v="5"/>
    <x v="1"/>
    <x v="0"/>
    <s v="PLAQUETTES"/>
    <s v="304x28 RPE"/>
    <n v="47.8"/>
  </r>
  <r>
    <d v="2025-04-30T21:27:20"/>
    <x v="1"/>
    <s v="Plaquettes de finition"/>
    <s v="130124"/>
    <s v="MOHAMED ILDIRAY"/>
    <n v="5"/>
    <x v="1"/>
    <x v="0"/>
    <s v="PLAQUETTES"/>
    <s v="304x28 RPE"/>
    <n v="47.8"/>
  </r>
  <r>
    <d v="2025-05-02T09:53:12"/>
    <x v="1"/>
    <s v="Plaquettes de finition"/>
    <s v="J534699"/>
    <s v="FABIAN CHARTON"/>
    <n v="5"/>
    <x v="2"/>
    <x v="1"/>
    <s v="PLAQUETTES"/>
    <s v="302x26 RPI"/>
    <n v="47.8"/>
  </r>
  <r>
    <d v="2025-05-02T21:33:21"/>
    <x v="1"/>
    <s v="Plaquettes de finition"/>
    <s v="130124"/>
    <s v="MOHAMED ILDIRAY"/>
    <n v="5"/>
    <x v="1"/>
    <x v="0"/>
    <s v="PLAQUETTES"/>
    <s v="304x28 RPE"/>
    <n v="47.8"/>
  </r>
  <r>
    <d v="2025-05-05T07:01:12"/>
    <x v="1"/>
    <s v="Plaquettes de finition"/>
    <s v="u636817"/>
    <s v="MOCQUEREAU LYDIE"/>
    <n v="5"/>
    <x v="2"/>
    <x v="1"/>
    <s v="PLAQUETTES"/>
    <s v="302x26 RPI"/>
    <n v="47.8"/>
  </r>
  <r>
    <d v="2025-05-05T07:01:32"/>
    <x v="1"/>
    <s v="Plaquettes de finition"/>
    <s v="u636817"/>
    <s v="MOCQUEREAU LYDIE"/>
    <n v="5"/>
    <x v="2"/>
    <x v="1"/>
    <s v="PLAQUETTES"/>
    <s v="302x26 RPI"/>
    <n v="47.8"/>
  </r>
  <r>
    <d v="2025-05-05T13:20:46"/>
    <x v="1"/>
    <s v="Plaquettes de finition"/>
    <s v="130124"/>
    <s v="MOHAMED ILDIRAY"/>
    <n v="5"/>
    <x v="1"/>
    <x v="0"/>
    <s v="PLAQUETTES"/>
    <s v="304x28 RPE"/>
    <n v="47.8"/>
  </r>
  <r>
    <d v="2025-05-05T22:14:09"/>
    <x v="0"/>
    <s v="Plaquettes de finition"/>
    <s v="SE08251"/>
    <s v="FAYET AYMERIC"/>
    <n v="10"/>
    <x v="0"/>
    <x v="0"/>
    <s v="PLAQUETTES"/>
    <s v="330x14"/>
    <n v="109.7"/>
  </r>
  <r>
    <d v="2025-05-06T19:20:21"/>
    <x v="1"/>
    <s v="Plaquettes de finition"/>
    <s v="130124"/>
    <s v="MOHAMED ILDIRAY"/>
    <n v="5"/>
    <x v="1"/>
    <x v="0"/>
    <s v="PLAQUETTES"/>
    <s v="356x26 RPI"/>
    <n v="47.8"/>
  </r>
  <r>
    <d v="2025-05-06T23:23:29"/>
    <x v="1"/>
    <s v="Plaquettes de finition"/>
    <s v="280225"/>
    <s v="FERNANDES DOS SANTOS REMY"/>
    <n v="5"/>
    <x v="1"/>
    <x v="0"/>
    <s v="PLAQUETTES"/>
    <s v="356x26 RPI"/>
    <n v="47.8"/>
  </r>
  <r>
    <d v="2025-05-07T01:00:15"/>
    <x v="1"/>
    <s v="Plaquettes de finition"/>
    <s v="250425"/>
    <s v="CHANDAR ABDER"/>
    <n v="5"/>
    <x v="2"/>
    <x v="1"/>
    <s v="PLAQUETTES"/>
    <s v="302x26 RPI"/>
    <n v="47.8"/>
  </r>
  <r>
    <d v="2025-05-07T09:54:56"/>
    <x v="1"/>
    <s v="Plaquettes de finition"/>
    <s v="130325"/>
    <s v="PAPONNEAU JULIEN"/>
    <n v="5"/>
    <x v="1"/>
    <x v="0"/>
    <s v="PLAQUETTES"/>
    <s v="356x26 RPI"/>
    <n v="47.8"/>
  </r>
  <r>
    <d v="2025-05-08T10:52:32"/>
    <x v="1"/>
    <s v="Plaquettes de finition"/>
    <s v="U080365"/>
    <s v="ALAVOINE SAMUEL"/>
    <n v="5"/>
    <x v="2"/>
    <x v="1"/>
    <s v="PLAQUETTES"/>
    <s v="302x26 RPI"/>
    <n v="47.8"/>
  </r>
  <r>
    <d v="2025-05-09T02:02:25"/>
    <x v="1"/>
    <s v="Plaquettes de finition"/>
    <s v="280225"/>
    <s v="FERNANDES DOS SANTOS REMY"/>
    <n v="5"/>
    <x v="1"/>
    <x v="0"/>
    <s v="PLAQUETTES"/>
    <s v="304x28 RPE"/>
    <n v="47.8"/>
  </r>
  <r>
    <d v="2025-05-09T16:54:57"/>
    <x v="1"/>
    <s v="Plaquettes de finition"/>
    <s v="130124"/>
    <s v="MOHAMED ILDIRAY"/>
    <n v="5"/>
    <x v="1"/>
    <x v="0"/>
    <s v="PLAQUETTES"/>
    <s v="304x28 RPE"/>
    <n v="47.8"/>
  </r>
  <r>
    <d v="2025-05-10T01:38:47"/>
    <x v="0"/>
    <s v="Plaquettes de finition"/>
    <s v="280225"/>
    <s v="FERNANDES DOS SANTOS REMY"/>
    <n v="10"/>
    <x v="1"/>
    <x v="0"/>
    <s v="PLAQUETTES"/>
    <s v="304x28 RPE"/>
    <n v="109.7"/>
  </r>
  <r>
    <d v="2025-05-10T01:54:55"/>
    <x v="1"/>
    <s v="Plaquettes de finition"/>
    <s v="SE08251"/>
    <s v="FAYET AYMERIC"/>
    <n v="5"/>
    <x v="0"/>
    <x v="0"/>
    <s v="PLAQUETTES"/>
    <s v="356x26 RPI"/>
    <n v="47.8"/>
  </r>
  <r>
    <d v="2025-05-10T02:35:19"/>
    <x v="1"/>
    <s v="Plaquettes de finition"/>
    <s v="280225"/>
    <s v="FERNANDES DOS SANTOS REMY"/>
    <n v="5"/>
    <x v="1"/>
    <x v="0"/>
    <s v="PLAQUETTES"/>
    <s v="304x28 RPE"/>
    <n v="47.8"/>
  </r>
  <r>
    <d v="2025-05-12T05:21:09"/>
    <x v="1"/>
    <s v="Plaquettes de finition"/>
    <s v="130124"/>
    <s v="MOHAMED ILDIRAY"/>
    <n v="5"/>
    <x v="1"/>
    <x v="0"/>
    <s v="PLAQUETTES"/>
    <s v="304x28 RPE"/>
    <n v="47.8"/>
  </r>
  <r>
    <d v="2025-05-13T06:49:24"/>
    <x v="1"/>
    <s v="Plaquettes de finition"/>
    <s v="130124"/>
    <s v="MOHAMED ILDIRAY"/>
    <n v="5"/>
    <x v="1"/>
    <x v="0"/>
    <s v="PLAQUETTES"/>
    <s v="304x28 RPE"/>
    <n v="47.8"/>
  </r>
  <r>
    <d v="2025-05-13T08:41:23"/>
    <x v="1"/>
    <s v="Plaquettes de finition"/>
    <s v="U037238"/>
    <s v="PRIEUR OLIVIER"/>
    <n v="5"/>
    <x v="2"/>
    <x v="1"/>
    <s v="PLAQUETTES"/>
    <s v="302x26 RPI"/>
    <n v="47.8"/>
  </r>
  <r>
    <d v="2025-05-13T13:04:55"/>
    <x v="1"/>
    <s v="Plaquettes de finition"/>
    <s v="171124"/>
    <s v="GONIN AGNES"/>
    <n v="5"/>
    <x v="2"/>
    <x v="1"/>
    <s v="PLAQUETTES"/>
    <s v="302x26 RPI"/>
    <n v="47.8"/>
  </r>
  <r>
    <d v="2025-05-13T13:27:23"/>
    <x v="1"/>
    <s v="Plaquettes de finition"/>
    <s v="280225"/>
    <s v="FERNANDES DOS SANTOS REMY"/>
    <n v="5"/>
    <x v="1"/>
    <x v="0"/>
    <s v="PLAQUETTES"/>
    <s v="304x28 RPE"/>
    <n v="47.8"/>
  </r>
  <r>
    <d v="2025-05-13T14:36:59"/>
    <x v="1"/>
    <s v="Plaquettes de finition"/>
    <s v="SE08251"/>
    <s v="FAYET AYMERIC"/>
    <n v="5"/>
    <x v="0"/>
    <x v="0"/>
    <s v="PLAQUETTES"/>
    <s v="356x26 RPI"/>
    <n v="47.8"/>
  </r>
  <r>
    <d v="2025-05-14T05:14:48"/>
    <x v="1"/>
    <s v="Plaquettes de finition"/>
    <s v="130124"/>
    <s v="MOHAMED ILDIRAY"/>
    <n v="5"/>
    <x v="1"/>
    <x v="0"/>
    <s v="PLAQUETTES"/>
    <s v="304x28 RPE"/>
    <n v="47.8"/>
  </r>
  <r>
    <d v="2025-05-14T13:19:12"/>
    <x v="1"/>
    <s v="Plaquettes de finition"/>
    <s v="SE08251"/>
    <s v="FAYET AYMERIC"/>
    <n v="5"/>
    <x v="0"/>
    <x v="0"/>
    <s v="PLAQUETTES"/>
    <s v="356x26 RPI"/>
    <n v="47.8"/>
  </r>
  <r>
    <d v="2025-05-15T10:03:25"/>
    <x v="1"/>
    <s v="Plaquettes de finition"/>
    <s v="U037238"/>
    <s v="PRIEUR OLIVIER"/>
    <n v="5"/>
    <x v="2"/>
    <x v="1"/>
    <s v="PLAQUETTES"/>
    <s v="302x26 RPI"/>
    <n v="47.8"/>
  </r>
  <r>
    <d v="2025-05-15T13:38:58"/>
    <x v="0"/>
    <s v="Plaquettes de finition"/>
    <s v="SE08251"/>
    <s v="FAYET AYMERIC"/>
    <n v="10"/>
    <x v="0"/>
    <x v="0"/>
    <s v="PLAQUETTES"/>
    <s v="290x12"/>
    <n v="109.7"/>
  </r>
  <r>
    <d v="2025-05-15T20:30:43"/>
    <x v="1"/>
    <s v="Plaquettes de finition"/>
    <s v="280225"/>
    <s v="FERNANDES DOS SANTOS REMY"/>
    <n v="5"/>
    <x v="1"/>
    <x v="0"/>
    <s v="PLAQUETTES"/>
    <s v="304x28 RPE"/>
    <n v="47.8"/>
  </r>
  <r>
    <d v="2025-05-15T21:26:11"/>
    <x v="1"/>
    <s v="Plaquettes de finition"/>
    <s v="SE08251"/>
    <s v="FAYET AYMERIC"/>
    <n v="5"/>
    <x v="0"/>
    <x v="0"/>
    <s v="PLAQUETTES"/>
    <s v="356x26 RPI"/>
    <n v="47.8"/>
  </r>
  <r>
    <d v="2025-05-16T06:47:33"/>
    <x v="1"/>
    <s v="Plaquettes de finition"/>
    <s v="150725"/>
    <s v="ADOUL WASSIM"/>
    <n v="5"/>
    <x v="0"/>
    <x v="0"/>
    <s v="PLAQUETTES"/>
    <s v="356x26 RPI"/>
    <n v="47.8"/>
  </r>
  <r>
    <d v="2025-05-16T13:59:50"/>
    <x v="1"/>
    <s v="Plaquettes de finition"/>
    <s v="280225"/>
    <s v="FERNANDES DOS SANTOS REMY"/>
    <n v="5"/>
    <x v="1"/>
    <x v="0"/>
    <s v="PLAQUETTES"/>
    <s v="304x28 RPE"/>
    <n v="47.8"/>
  </r>
  <r>
    <d v="2025-05-16T22:14:38"/>
    <x v="1"/>
    <s v="Plaquettes de finition"/>
    <s v="130325"/>
    <s v="PAPONNEAU JULIEN"/>
    <n v="5"/>
    <x v="1"/>
    <x v="0"/>
    <s v="PLAQUETTES"/>
    <s v="304x28 RPE"/>
    <n v="47.8"/>
  </r>
  <r>
    <d v="2025-05-17T05:28:45"/>
    <x v="1"/>
    <s v="Plaquettes de finition"/>
    <s v="150725"/>
    <s v="ADOUL WASSIM"/>
    <n v="5"/>
    <x v="0"/>
    <x v="0"/>
    <s v="PLAQUETTES"/>
    <s v="356x26 RPI"/>
    <n v="47.8"/>
  </r>
  <r>
    <d v="2025-05-17T10:16:44"/>
    <x v="1"/>
    <s v="Plaquettes de finition"/>
    <s v="U109136"/>
    <s v="WIPLIE FREDERIC"/>
    <n v="5"/>
    <x v="1"/>
    <x v="0"/>
    <s v="PLAQUETTES"/>
    <s v="304x28 RPE"/>
    <n v="47.8"/>
  </r>
  <r>
    <d v="2025-05-19T00:37:38"/>
    <x v="1"/>
    <s v="Plaquettes de finition"/>
    <s v="101224"/>
    <s v="CHAZEAU KYLIAN"/>
    <n v="5"/>
    <x v="1"/>
    <x v="0"/>
    <s v="PLAQUETTES"/>
    <s v="304x28 RPE"/>
    <n v="47.8"/>
  </r>
  <r>
    <d v="2025-05-19T05:45:16"/>
    <x v="0"/>
    <s v="Plaquettes de finition"/>
    <s v="SE08251"/>
    <s v="FAYET AYMERIC"/>
    <n v="10"/>
    <x v="0"/>
    <x v="0"/>
    <s v="PLAQUETTES"/>
    <s v="330x14"/>
    <n v="109.7"/>
  </r>
  <r>
    <d v="2025-05-19T12:15:02"/>
    <x v="0"/>
    <s v="Plaquettes de finition"/>
    <s v="280225"/>
    <s v="FERNANDES DOS SANTOS REMY"/>
    <n v="10"/>
    <x v="1"/>
    <x v="0"/>
    <s v="PLAQUETTES"/>
    <s v="356x26 RPI"/>
    <n v="109.7"/>
  </r>
  <r>
    <d v="2025-05-20T02:17:32"/>
    <x v="1"/>
    <s v="Plaquettes de finition"/>
    <s v="130124"/>
    <s v="MOHAMED ILDIRAY"/>
    <n v="5"/>
    <x v="1"/>
    <x v="0"/>
    <s v="PLAQUETTES"/>
    <s v="304x28 RPE"/>
    <n v="47.8"/>
  </r>
  <r>
    <d v="2025-05-20T08:24:01"/>
    <x v="1"/>
    <s v="Plaquettes de finition"/>
    <s v="171124"/>
    <s v="GONIN AGNES"/>
    <n v="5"/>
    <x v="2"/>
    <x v="1"/>
    <s v="PLAQUETTES"/>
    <s v="302x26 RPI"/>
    <n v="47.8"/>
  </r>
  <r>
    <d v="2025-05-20T08:24:36"/>
    <x v="1"/>
    <s v="Plaquettes de finition"/>
    <s v="171124"/>
    <s v="GONIN AGNES"/>
    <n v="5"/>
    <x v="2"/>
    <x v="1"/>
    <s v="PLAQUETTES"/>
    <s v="302x26 RPI"/>
    <n v="47.8"/>
  </r>
  <r>
    <d v="2025-05-20T15:08:41"/>
    <x v="1"/>
    <s v="Plaquettes de finition"/>
    <s v="u636817"/>
    <s v="MOCQUEREAU LYDIE"/>
    <n v="5"/>
    <x v="2"/>
    <x v="1"/>
    <s v="PLAQUETTES"/>
    <s v="302x26 RPI"/>
    <n v="47.8"/>
  </r>
  <r>
    <d v="2025-05-20T15:09:02"/>
    <x v="1"/>
    <s v="Plaquettes de finition"/>
    <s v="u636817"/>
    <s v="MOCQUEREAU LYDIE"/>
    <n v="5"/>
    <x v="2"/>
    <x v="1"/>
    <s v="PLAQUETTES"/>
    <s v="302x26 RPI"/>
    <n v="47.8"/>
  </r>
  <r>
    <d v="2025-05-20T21:08:26"/>
    <x v="1"/>
    <s v="Plaquettes de finition"/>
    <s v="101123"/>
    <s v="BRUNET ANDREA"/>
    <n v="5"/>
    <x v="2"/>
    <x v="1"/>
    <s v="PLAQUETTES"/>
    <s v="302x26 RPI"/>
    <n v="47.8"/>
  </r>
  <r>
    <d v="2025-05-21T00:07:49"/>
    <x v="1"/>
    <s v="Plaquettes de finition"/>
    <s v="130124"/>
    <s v="MOHAMED ILDIRAY"/>
    <n v="5"/>
    <x v="1"/>
    <x v="0"/>
    <s v="PLAQUETTES"/>
    <s v="356x26 RPI"/>
    <n v="47.8"/>
  </r>
  <r>
    <d v="2025-05-22T09:07:48"/>
    <x v="1"/>
    <s v="Plaquettes de finition"/>
    <s v="280225"/>
    <s v="FERNANDES DOS SANTOS REMY"/>
    <n v="5"/>
    <x v="1"/>
    <x v="0"/>
    <s v="PLAQUETTES"/>
    <s v="356x26 RPI"/>
    <n v="47.8"/>
  </r>
  <r>
    <d v="2025-05-22T17:53:46"/>
    <x v="2"/>
    <s v="Plaquettes de finition"/>
    <s v="SD75051"/>
    <s v="COMBALUZIER LUCAS"/>
    <n v="5"/>
    <x v="3"/>
    <x v="2"/>
    <s v="PLAQUETTES"/>
    <s v="330x28 RPE KO"/>
    <n v="44.85"/>
  </r>
  <r>
    <d v="2025-05-22T21:50:00"/>
    <x v="1"/>
    <s v="Plaquettes de finition"/>
    <s v="130124"/>
    <s v="MOHAMED ILDIRAY"/>
    <n v="5"/>
    <x v="1"/>
    <x v="0"/>
    <s v="PLAQUETTES"/>
    <s v="356x26 RPI"/>
    <n v="47.8"/>
  </r>
  <r>
    <d v="2025-05-23T13:13:02"/>
    <x v="1"/>
    <s v="Plaquettes de finition"/>
    <s v="SD75051"/>
    <s v="COMBALUZIER LUCAS"/>
    <n v="5"/>
    <x v="3"/>
    <x v="0"/>
    <s v="PLAQUETTES"/>
    <s v="330x28 RPE KO"/>
    <n v="47.8"/>
  </r>
  <r>
    <d v="2025-05-23T14:31:45"/>
    <x v="1"/>
    <s v="Plaquettes de finition"/>
    <s v="u636817"/>
    <s v="MOCQUEREAU LYDIE"/>
    <n v="5"/>
    <x v="2"/>
    <x v="1"/>
    <s v="PLAQUETTES"/>
    <s v="302x26 RPI"/>
    <n v="47.8"/>
  </r>
  <r>
    <d v="2025-05-23T14:32:07"/>
    <x v="1"/>
    <s v="Plaquettes de finition"/>
    <s v="u636817"/>
    <s v="MOCQUEREAU LYDIE"/>
    <n v="5"/>
    <x v="2"/>
    <x v="1"/>
    <s v="PLAQUETTES"/>
    <s v="302x26 RPI"/>
    <n v="47.8"/>
  </r>
  <r>
    <d v="2025-05-24T06:22:42"/>
    <x v="1"/>
    <s v="Plaquettes de finition"/>
    <s v="J529792"/>
    <s v="LEBRE CHRISTOPHE"/>
    <n v="5"/>
    <x v="2"/>
    <x v="1"/>
    <s v="PLAQUETTES"/>
    <s v="302x26 RPI"/>
    <n v="47.8"/>
  </r>
  <r>
    <d v="2025-05-25T17:50:12"/>
    <x v="1"/>
    <s v="Plaquettes de finition"/>
    <s v="150725"/>
    <s v="ADOUL WASSIM"/>
    <n v="5"/>
    <x v="1"/>
    <x v="0"/>
    <s v="PLAQUETTES"/>
    <s v="356x26 RPI"/>
    <n v="47.8"/>
  </r>
  <r>
    <d v="2025-05-26T20:07:33"/>
    <x v="1"/>
    <s v="Plaquettes de finition"/>
    <s v="130124"/>
    <s v="MOHAMED ILDIRAY"/>
    <n v="5"/>
    <x v="1"/>
    <x v="0"/>
    <s v="PLAQUETTES"/>
    <s v="304x28 RPE"/>
    <n v="47.8"/>
  </r>
  <r>
    <d v="2025-05-27T00:47:59"/>
    <x v="1"/>
    <s v="Plaquettes de finition"/>
    <s v="SE08251"/>
    <s v="FAYET AYMERIC"/>
    <n v="5"/>
    <x v="0"/>
    <x v="0"/>
    <s v="PLAQUETTES"/>
    <s v="356x26 RPI"/>
    <n v="47.8"/>
  </r>
  <r>
    <d v="2025-05-27T18:31:39"/>
    <x v="1"/>
    <s v="Plaquettes de finition"/>
    <s v="101123"/>
    <s v="BRUNET ANDREA"/>
    <n v="5"/>
    <x v="2"/>
    <x v="1"/>
    <s v="PLAQUETTES"/>
    <s v="302x26 RPI"/>
    <n v="47.8"/>
  </r>
  <r>
    <d v="2025-05-28T01:43:55"/>
    <x v="1"/>
    <s v="Plaquettes de finition"/>
    <s v="280225"/>
    <s v="FERNANDES DOS SANTOS REMY"/>
    <n v="5"/>
    <x v="1"/>
    <x v="0"/>
    <s v="PLAQUETTES"/>
    <s v="304x28 RPE"/>
    <n v="47.8"/>
  </r>
  <r>
    <d v="2025-05-28T01:44:14"/>
    <x v="0"/>
    <s v="Plaquettes de finition"/>
    <s v="280225"/>
    <s v="FERNANDES DOS SANTOS REMY"/>
    <n v="10"/>
    <x v="1"/>
    <x v="0"/>
    <s v="PLAQUETTES"/>
    <s v="304x28 RPE"/>
    <n v="109.7"/>
  </r>
  <r>
    <d v="2025-05-28T18:45:33"/>
    <x v="1"/>
    <s v="Plaquettes de finition"/>
    <s v="101224"/>
    <s v="CHAZEAU KYLIAN"/>
    <n v="5"/>
    <x v="0"/>
    <x v="0"/>
    <s v="PLAQUETTES"/>
    <s v="356x26 RPI"/>
    <n v="47.8"/>
  </r>
  <r>
    <d v="2025-05-28T21:19:44"/>
    <x v="1"/>
    <s v="Plaquettes de finition"/>
    <s v="280225"/>
    <s v="FERNANDES DOS SANTOS REMY"/>
    <n v="5"/>
    <x v="1"/>
    <x v="0"/>
    <s v="PLAQUETTES"/>
    <s v="304x28 RPE"/>
    <n v="47.8"/>
  </r>
  <r>
    <d v="2025-05-29T05:41:04"/>
    <x v="1"/>
    <s v="Plaquettes de finition"/>
    <s v="U515988"/>
    <s v="BLAHA"/>
    <n v="5"/>
    <x v="2"/>
    <x v="1"/>
    <s v="PLAQUETTES"/>
    <s v="302x26 RPI"/>
    <n v="47.8"/>
  </r>
  <r>
    <d v="2025-05-29T05:41:25"/>
    <x v="1"/>
    <s v="Plaquettes de finition"/>
    <s v="U515988"/>
    <s v="BLAHA"/>
    <n v="5"/>
    <x v="2"/>
    <x v="1"/>
    <s v="PLAQUETTES"/>
    <s v="302x26 RPI"/>
    <n v="47.8"/>
  </r>
  <r>
    <d v="2025-05-29T13:18:10"/>
    <x v="1"/>
    <s v="Plaquettes de finition"/>
    <s v="130124"/>
    <s v="MOHAMED ILDIRAY"/>
    <n v="5"/>
    <x v="1"/>
    <x v="0"/>
    <s v="PLAQUETTES"/>
    <s v="304x28 RPE"/>
    <n v="47.8"/>
  </r>
  <r>
    <d v="2025-05-29T15:42:40"/>
    <x v="1"/>
    <s v="Plaquettes de finition"/>
    <s v="U561365"/>
    <s v="BALLY BENOIT"/>
    <n v="5"/>
    <x v="2"/>
    <x v="1"/>
    <s v="PLAQUETTES"/>
    <s v="302x26 RPI"/>
    <n v="47.8"/>
  </r>
  <r>
    <d v="2025-05-29T15:43:18"/>
    <x v="1"/>
    <s v="Plaquettes de finition"/>
    <s v="SD13196"/>
    <s v="FRADIN MAXIME"/>
    <n v="5"/>
    <x v="0"/>
    <x v="0"/>
    <s v="PLAQUETTES"/>
    <s v="356x26 RPI"/>
    <n v="47.8"/>
  </r>
  <r>
    <d v="2025-05-30T01:31:48"/>
    <x v="1"/>
    <s v="Plaquettes de finition"/>
    <s v="280225"/>
    <s v="FERNANDES DOS SANTOS REMY"/>
    <n v="5"/>
    <x v="1"/>
    <x v="0"/>
    <s v="PLAQUETTES"/>
    <s v="304x28 RPE"/>
    <n v="47.8"/>
  </r>
  <r>
    <d v="2025-05-30T05:04:08"/>
    <x v="1"/>
    <s v="Plaquettes de finition"/>
    <s v="J529792"/>
    <s v="LEBRE CHRISTOPHE"/>
    <n v="5"/>
    <x v="2"/>
    <x v="1"/>
    <s v="PLAQUETTES"/>
    <s v="302x26 RPI"/>
    <n v="47.8"/>
  </r>
  <r>
    <d v="2025-05-30T05:04:29"/>
    <x v="1"/>
    <s v="Plaquettes de finition"/>
    <s v="J529792"/>
    <s v="LEBRE CHRISTOPHE"/>
    <n v="5"/>
    <x v="2"/>
    <x v="1"/>
    <s v="PLAQUETTES"/>
    <s v="302x26 RPI"/>
    <n v="47.8"/>
  </r>
  <r>
    <d v="2025-05-30T20:44:09"/>
    <x v="1"/>
    <s v="Plaquettes de finition"/>
    <s v="101123"/>
    <s v="BRUNET ANDREA"/>
    <n v="5"/>
    <x v="2"/>
    <x v="1"/>
    <s v="PLAQUETTES"/>
    <s v="302x26 RPI"/>
    <n v="47.8"/>
  </r>
  <r>
    <d v="2025-05-30T23:56:27"/>
    <x v="1"/>
    <s v="Plaquettes de finition"/>
    <s v="280225"/>
    <s v="FERNANDES DOS SANTOS REMY"/>
    <n v="5"/>
    <x v="1"/>
    <x v="0"/>
    <s v="PLAQUETTES"/>
    <s v="304x28 RPE"/>
    <n v="47.8"/>
  </r>
  <r>
    <d v="2025-06-01T20:53:44"/>
    <x v="1"/>
    <s v="Plaquettes de finition"/>
    <s v="U109136"/>
    <s v="WIPLIE FREDERIC"/>
    <n v="5"/>
    <x v="1"/>
    <x v="0"/>
    <s v="PLAQUETTES"/>
    <s v="304x28 RPE"/>
    <n v="47.8"/>
  </r>
  <r>
    <d v="2025-06-01T20:54:09"/>
    <x v="1"/>
    <s v="Plaquettes de finition"/>
    <s v="U109136"/>
    <s v="WIPLIE FREDERIC"/>
    <n v="5"/>
    <x v="1"/>
    <x v="0"/>
    <s v="PLAQUETTES"/>
    <s v="304x28 RPE"/>
    <n v="47.8"/>
  </r>
  <r>
    <d v="2025-06-02T05:12:55"/>
    <x v="1"/>
    <s v="Plaquettes de finition"/>
    <s v="101224"/>
    <s v="CHAZEAU KYLIAN"/>
    <n v="5"/>
    <x v="0"/>
    <x v="0"/>
    <s v="PLAQUETTES"/>
    <s v="356x26 RPI"/>
    <n v="47.8"/>
  </r>
  <r>
    <d v="2025-06-02T05:42:34"/>
    <x v="1"/>
    <s v="Plaquettes de finition"/>
    <s v="130124"/>
    <s v="MOHAMED ILDIRAY"/>
    <n v="5"/>
    <x v="1"/>
    <x v="0"/>
    <s v="PLAQUETTES"/>
    <s v="304x28 RPE"/>
    <n v="47.8"/>
  </r>
  <r>
    <d v="2025-06-02T14:10:57"/>
    <x v="0"/>
    <s v="Plaquettes de finition"/>
    <s v="SE08251"/>
    <s v="FAYET AYMERIC"/>
    <n v="10"/>
    <x v="0"/>
    <x v="0"/>
    <s v="PLAQUETTES"/>
    <s v="330x14"/>
    <n v="109.7"/>
  </r>
  <r>
    <d v="2025-06-02T15:18:01"/>
    <x v="1"/>
    <s v="Plaquettes de finition"/>
    <s v="280225"/>
    <s v="FERNANDES DOS SANTOS REMY"/>
    <n v="5"/>
    <x v="1"/>
    <x v="0"/>
    <s v="PLAQUETTES"/>
    <s v="304x28 RPE"/>
    <n v="47.8"/>
  </r>
  <r>
    <d v="2025-06-03T13:26:44"/>
    <x v="1"/>
    <s v="Plaquettes de finition"/>
    <s v="280225"/>
    <s v="FERNANDES DOS SANTOS REMY"/>
    <n v="5"/>
    <x v="1"/>
    <x v="0"/>
    <s v="PLAQUETTES"/>
    <s v="304x28 RPE"/>
    <n v="47.8"/>
  </r>
  <r>
    <d v="2025-06-03T15:56:02"/>
    <x v="0"/>
    <s v="Plaquettes de finition"/>
    <s v="280225"/>
    <s v="FERNANDES DOS SANTOS REMY"/>
    <n v="10"/>
    <x v="1"/>
    <x v="0"/>
    <s v="PLAQUETTES"/>
    <s v="304x28 RPE"/>
    <n v="109.7"/>
  </r>
  <r>
    <d v="2025-06-04T01:55:55"/>
    <x v="1"/>
    <s v="Plaquettes de finition"/>
    <s v="u636817"/>
    <s v="MOCQUEREAU LYDIE"/>
    <n v="5"/>
    <x v="2"/>
    <x v="1"/>
    <s v="PLAQUETTES"/>
    <s v="302x26 RPI"/>
    <n v="47.8"/>
  </r>
  <r>
    <d v="2025-06-04T01:56:16"/>
    <x v="1"/>
    <s v="Plaquettes de finition"/>
    <s v="u636817"/>
    <s v="MOCQUEREAU LYDIE"/>
    <n v="5"/>
    <x v="2"/>
    <x v="1"/>
    <s v="PLAQUETTES"/>
    <s v="302x26 RPI"/>
    <n v="47.8"/>
  </r>
  <r>
    <d v="2025-06-04T17:47:47"/>
    <x v="1"/>
    <s v="Plaquettes de finition"/>
    <s v="280225"/>
    <s v="FERNANDES DOS SANTOS REMY"/>
    <n v="5"/>
    <x v="1"/>
    <x v="0"/>
    <s v="PLAQUETTES"/>
    <s v="356x26 RPI"/>
    <n v="47.8"/>
  </r>
  <r>
    <d v="2025-06-05T13:55:56"/>
    <x v="1"/>
    <s v="Plaquettes de finition"/>
    <s v="280225"/>
    <s v="FERNANDES DOS SANTOS REMY"/>
    <n v="5"/>
    <x v="1"/>
    <x v="0"/>
    <s v="PLAQUETTES"/>
    <s v="356x26 RPI"/>
    <n v="47.8"/>
  </r>
  <r>
    <d v="2025-06-06T09:25:44"/>
    <x v="1"/>
    <s v="Plaquettes de finition"/>
    <s v="150725"/>
    <s v="ADOUL WASSIM"/>
    <n v="5"/>
    <x v="1"/>
    <x v="0"/>
    <s v="PLAQUETTES"/>
    <s v="356x26 RPI"/>
    <n v="47.8"/>
  </r>
  <r>
    <d v="2025-06-06T14:43:43"/>
    <x v="1"/>
    <s v="Plaquettes de finition"/>
    <s v="U561365"/>
    <s v="BALLY BENOIT"/>
    <n v="5"/>
    <x v="2"/>
    <x v="1"/>
    <s v="PLAQUETTES"/>
    <s v="302x26 RPI"/>
    <n v="47.8"/>
  </r>
  <r>
    <d v="2025-06-07T04:46:42"/>
    <x v="1"/>
    <s v="Plaquettes de finition"/>
    <s v="J529792"/>
    <s v="LEBRE CHRISTOPHE"/>
    <n v="5"/>
    <x v="2"/>
    <x v="1"/>
    <s v="PLAQUETTES"/>
    <s v="302x26 RPI"/>
    <n v="47.8"/>
  </r>
  <r>
    <d v="2025-06-07T04:47:08"/>
    <x v="1"/>
    <s v="Plaquettes de finition"/>
    <s v="J529792"/>
    <s v="LEBRE CHRISTOPHE"/>
    <n v="5"/>
    <x v="2"/>
    <x v="1"/>
    <s v="PLAQUETTES"/>
    <s v="302x26 RPI"/>
    <n v="47.8"/>
  </r>
  <r>
    <d v="2025-06-07T07:52:23"/>
    <x v="1"/>
    <s v="Plaquettes de finition"/>
    <s v="U109136"/>
    <s v="WIPLIE FREDERIC"/>
    <n v="5"/>
    <x v="3"/>
    <x v="0"/>
    <s v="PLAQUETTES"/>
    <s v="302x26 RPI"/>
    <n v="47.8"/>
  </r>
  <r>
    <d v="2025-06-07T17:01:06"/>
    <x v="1"/>
    <s v="Plaquettes de finition"/>
    <s v="J534699"/>
    <s v="FABIAN CHARTON"/>
    <n v="5"/>
    <x v="2"/>
    <x v="1"/>
    <s v="PLAQUETTES"/>
    <s v="302x26 RPI"/>
    <n v="47.8"/>
  </r>
  <r>
    <d v="2025-06-08T17:35:28"/>
    <x v="1"/>
    <s v="Plaquettes de finition"/>
    <s v="150725"/>
    <s v="ADOUL WASSIM"/>
    <n v="5"/>
    <x v="1"/>
    <x v="0"/>
    <s v="PLAQUETTES"/>
    <s v="356x26 RPI"/>
    <n v="47.8"/>
  </r>
  <r>
    <d v="2025-06-08T22:13:10"/>
    <x v="1"/>
    <s v="Plaquettes de finition"/>
    <s v="U109136"/>
    <s v="WIPLIE FREDERIC"/>
    <n v="5"/>
    <x v="3"/>
    <x v="0"/>
    <s v="PLAQUETTES"/>
    <s v="302x26 RPI"/>
    <n v="47.8"/>
  </r>
  <r>
    <d v="2025-06-09T05:44:12"/>
    <x v="1"/>
    <s v="Plaquettes de finition"/>
    <s v="U532976"/>
    <s v="LEFORT XAVIER"/>
    <n v="5"/>
    <x v="2"/>
    <x v="1"/>
    <s v="PLAQUETTES"/>
    <s v="302x26 RPI"/>
    <n v="47.8"/>
  </r>
  <r>
    <d v="2025-06-09T06:26:37"/>
    <x v="0"/>
    <s v="Plaquettes de finition"/>
    <s v="SE08251"/>
    <s v="FAYET AYMERIC"/>
    <n v="10"/>
    <x v="0"/>
    <x v="0"/>
    <s v="PLAQUETTES"/>
    <s v="330x14"/>
    <n v="109.7"/>
  </r>
  <r>
    <d v="2025-06-09T13:34:18"/>
    <x v="1"/>
    <s v="Plaquettes de finition"/>
    <s v="SD75051"/>
    <s v="COMBALUZIER LUCAS"/>
    <n v="5"/>
    <x v="3"/>
    <x v="0"/>
    <s v="PLAQUETTES"/>
    <s v="302x26 RPI"/>
    <n v="47.8"/>
  </r>
  <r>
    <d v="2025-06-10T21:19:10"/>
    <x v="1"/>
    <s v="Plaquettes de finition"/>
    <s v="101123"/>
    <s v="BRUNET ANDREA"/>
    <n v="5"/>
    <x v="2"/>
    <x v="1"/>
    <s v="PLAQUETTES"/>
    <s v="302x26 RPI"/>
    <n v="47.8"/>
  </r>
  <r>
    <d v="2025-06-10T23:30:43"/>
    <x v="1"/>
    <s v="Plaquettes de finition"/>
    <s v="130124"/>
    <s v="MOHAMED ILDIRAY"/>
    <n v="5"/>
    <x v="1"/>
    <x v="0"/>
    <s v="PLAQUETTES"/>
    <s v="304x28 RPE"/>
    <n v="47.8"/>
  </r>
  <r>
    <d v="2025-06-11T06:05:22"/>
    <x v="1"/>
    <s v="Plaquettes de finition"/>
    <s v="280225"/>
    <s v="FERNANDES DOS SANTOS REMY"/>
    <n v="5"/>
    <x v="1"/>
    <x v="0"/>
    <s v="PLAQUETTES"/>
    <s v="304x28 RPE"/>
    <n v="47.8"/>
  </r>
  <r>
    <d v="2025-06-11T06:40:00"/>
    <x v="1"/>
    <s v="Plaquettes de finition"/>
    <s v="U109136"/>
    <s v="WIPLIE FREDERIC"/>
    <n v="5"/>
    <x v="3"/>
    <x v="0"/>
    <s v="PLAQUETTES"/>
    <s v="302x26 RPI"/>
    <n v="47.8"/>
  </r>
  <r>
    <d v="2025-06-11T13:44:03"/>
    <x v="1"/>
    <s v="Plaquettes de finition"/>
    <s v="SD75051"/>
    <s v="COMBALUZIER LUCAS"/>
    <n v="5"/>
    <x v="0"/>
    <x v="0"/>
    <s v="PLAQUETTES"/>
    <s v="356x26 RPI"/>
    <n v="47.8"/>
  </r>
  <r>
    <d v="2025-06-11T13:44:39"/>
    <x v="1"/>
    <s v="Plaquettes de finition"/>
    <s v="SD75051"/>
    <s v="COMBALUZIER LUCAS"/>
    <n v="5"/>
    <x v="3"/>
    <x v="0"/>
    <s v="PLAQUETTES"/>
    <s v="330x28 RPE KO"/>
    <n v="47.8"/>
  </r>
  <r>
    <d v="2025-06-12T05:15:15"/>
    <x v="0"/>
    <s v="Plaquettes de finition"/>
    <s v="280225"/>
    <s v="FERNANDES DOS SANTOS REMY"/>
    <n v="10"/>
    <x v="1"/>
    <x v="0"/>
    <s v="PLAQUETTES"/>
    <s v="304x28 RPE"/>
    <n v="109.7"/>
  </r>
  <r>
    <d v="2025-06-12T07:04:13"/>
    <x v="1"/>
    <s v="Plaquettes de finition"/>
    <s v="SE08251"/>
    <s v="FAYET AYMERIC"/>
    <n v="5"/>
    <x v="3"/>
    <x v="0"/>
    <s v="PLAQUETTES"/>
    <s v="330x28 RPE KO"/>
    <n v="47.8"/>
  </r>
  <r>
    <d v="2025-06-12T13:13:40"/>
    <x v="2"/>
    <s v="Plaquettes de finition"/>
    <s v="SD75051"/>
    <s v="COMBALUZIER LUCAS"/>
    <n v="5"/>
    <x v="3"/>
    <x v="2"/>
    <s v="PLAQUETTES"/>
    <s v="330x28 RPE KO"/>
    <n v="44.85"/>
  </r>
  <r>
    <d v="2025-06-12T13:50:59"/>
    <x v="1"/>
    <s v="Plaquettes de finition"/>
    <s v="u636817"/>
    <s v="MOCQUEREAU LYDIE"/>
    <n v="5"/>
    <x v="2"/>
    <x v="1"/>
    <s v="PLAQUETTES"/>
    <s v="302x26 RPI"/>
    <n v="47.8"/>
  </r>
  <r>
    <d v="2025-06-12T21:25:46"/>
    <x v="1"/>
    <s v="Plaquettes de finition"/>
    <s v="130124"/>
    <s v="MOHAMED ILDIRAY"/>
    <n v="5"/>
    <x v="1"/>
    <x v="0"/>
    <s v="PLAQUETTES"/>
    <s v="304x28 RPE"/>
    <n v="47.8"/>
  </r>
  <r>
    <d v="2025-06-13T10:25:01"/>
    <x v="1"/>
    <s v="Plaquettes de finition"/>
    <s v="U109136"/>
    <s v="WIPLIE FREDERIC"/>
    <n v="5"/>
    <x v="1"/>
    <x v="0"/>
    <s v="PLAQUETTES"/>
    <s v="304x28 RPE"/>
    <n v="47.8"/>
  </r>
  <r>
    <d v="2025-06-13T14:34:56"/>
    <x v="1"/>
    <s v="Plaquettes de finition"/>
    <s v="SD75051"/>
    <s v="COMBALUZIER LUCAS"/>
    <n v="5"/>
    <x v="0"/>
    <x v="0"/>
    <s v="PLAQUETTES"/>
    <s v="356x26 RPI"/>
    <n v="47.8"/>
  </r>
  <r>
    <d v="2025-06-13T22:23:17"/>
    <x v="1"/>
    <s v="Plaquettes de finition"/>
    <s v="101123"/>
    <s v="BRUNET ANDREA"/>
    <n v="5"/>
    <x v="2"/>
    <x v="1"/>
    <s v="PLAQUETTES"/>
    <s v="302x26 RPI"/>
    <n v="47.8"/>
  </r>
  <r>
    <d v="2025-06-15T19:41:53"/>
    <x v="1"/>
    <s v="Plaquettes de finition"/>
    <s v="U109136"/>
    <s v="WIPLIE FREDERIC"/>
    <n v="5"/>
    <x v="1"/>
    <x v="0"/>
    <s v="PLAQUETTES"/>
    <s v="304x28 RPE"/>
    <n v="47.8"/>
  </r>
  <r>
    <d v="2025-06-16T06:03:57"/>
    <x v="1"/>
    <s v="Plaquettes de finition"/>
    <s v="SD75051"/>
    <s v="COMBALUZIER LUCAS"/>
    <n v="5"/>
    <x v="3"/>
    <x v="0"/>
    <s v="PLAQUETTES"/>
    <s v="302x26 RPI"/>
    <n v="47.8"/>
  </r>
  <r>
    <d v="2025-06-16T06:04:17"/>
    <x v="1"/>
    <s v="Plaquettes de finition"/>
    <s v="SD75051"/>
    <s v="COMBALUZIER LUCAS"/>
    <n v="5"/>
    <x v="0"/>
    <x v="0"/>
    <s v="PLAQUETTES"/>
    <s v="356x26 RPI"/>
    <n v="47.8"/>
  </r>
  <r>
    <d v="2025-06-16T13:22:57"/>
    <x v="1"/>
    <s v="Plaquettes de finition"/>
    <s v="130124"/>
    <s v="MOHAMED ILDIRAY"/>
    <n v="5"/>
    <x v="1"/>
    <x v="0"/>
    <s v="PLAQUETTES"/>
    <s v="304x28 RPE"/>
    <n v="47.8"/>
  </r>
  <r>
    <d v="2025-06-16T23:35:13"/>
    <x v="1"/>
    <s v="Plaquettes de finition"/>
    <s v="SE08251"/>
    <s v="FAYET AYMERIC"/>
    <n v="5"/>
    <x v="3"/>
    <x v="0"/>
    <s v="PLAQUETTES"/>
    <s v="302x26 RPI"/>
    <n v="47.8"/>
  </r>
  <r>
    <d v="2025-06-17T08:22:21"/>
    <x v="1"/>
    <s v="Plaquettes de finition"/>
    <s v="u636817"/>
    <s v="MOCQUEREAU LYDIE"/>
    <n v="5"/>
    <x v="2"/>
    <x v="1"/>
    <s v="PLAQUETTES"/>
    <s v="302x26 RPI"/>
    <n v="47.8"/>
  </r>
  <r>
    <d v="2025-06-17T08:23:28"/>
    <x v="1"/>
    <s v="Plaquettes de finition"/>
    <s v="u636817"/>
    <s v="MOCQUEREAU LYDIE"/>
    <n v="5"/>
    <x v="2"/>
    <x v="1"/>
    <s v="PLAQUETTES"/>
    <s v="302x26 RPI"/>
    <n v="47.8"/>
  </r>
  <r>
    <d v="2025-06-17T13:38:19"/>
    <x v="1"/>
    <s v="Plaquettes de finition"/>
    <s v="U037238"/>
    <s v="PRIEUR OLIVIER"/>
    <n v="5"/>
    <x v="2"/>
    <x v="1"/>
    <s v="PLAQUETTES"/>
    <s v="302x26 RPI"/>
    <n v="47.8"/>
  </r>
  <r>
    <d v="2025-06-17T20:20:59"/>
    <x v="1"/>
    <s v="Plaquettes de finition"/>
    <s v="130124"/>
    <s v="MOHAMED ILDIRAY"/>
    <n v="5"/>
    <x v="1"/>
    <x v="0"/>
    <s v="PLAQUETTES"/>
    <s v="304x28 RPE"/>
    <n v="47.8"/>
  </r>
  <r>
    <d v="2025-06-18T23:53:56"/>
    <x v="1"/>
    <s v="Plaquettes de finition"/>
    <s v="U505000"/>
    <s v="RECEVEUR BENOIT"/>
    <n v="5"/>
    <x v="2"/>
    <x v="1"/>
    <s v="PLAQUETTES"/>
    <s v="302x26 RPI"/>
    <n v="47.8"/>
  </r>
  <r>
    <d v="2025-06-19T06:18:44"/>
    <x v="1"/>
    <s v="Plaquettes de finition"/>
    <s v="SD75051"/>
    <s v="COMBALUZIER LUCAS"/>
    <n v="5"/>
    <x v="3"/>
    <x v="0"/>
    <s v="PLAQUETTES"/>
    <s v="302x26 RPI"/>
    <n v="47.8"/>
  </r>
  <r>
    <d v="2025-06-19T14:05:46"/>
    <x v="1"/>
    <s v="Plaquettes de finition"/>
    <s v="130124"/>
    <s v="MOHAMED ILDIRAY"/>
    <n v="5"/>
    <x v="1"/>
    <x v="0"/>
    <s v="PLAQUETTES"/>
    <s v="356x26 RPI"/>
    <n v="47.8"/>
  </r>
  <r>
    <d v="2025-06-20T05:09:22"/>
    <x v="1"/>
    <s v="Plaquettes de finition"/>
    <s v="J529792"/>
    <s v="LEBRE CHRISTOPHE"/>
    <n v="5"/>
    <x v="2"/>
    <x v="1"/>
    <s v="PLAQUETTES"/>
    <s v="302x26 RPI"/>
    <n v="47.8"/>
  </r>
  <r>
    <d v="2025-06-20T17:34:10"/>
    <x v="1"/>
    <s v="Plaquettes de finition"/>
    <s v="130124"/>
    <s v="MOHAMED ILDIRAY"/>
    <n v="5"/>
    <x v="1"/>
    <x v="0"/>
    <s v="PLAQUETTES"/>
    <s v="356x26 RPI"/>
    <n v="47.8"/>
  </r>
  <r>
    <d v="2025-06-21T01:59:51"/>
    <x v="1"/>
    <s v="Plaquettes de finition"/>
    <s v="171124"/>
    <s v="GONIN AGNES"/>
    <n v="5"/>
    <x v="2"/>
    <x v="1"/>
    <s v="PLAQUETTES"/>
    <s v="302x26 RPI"/>
    <n v="47.8"/>
  </r>
  <r>
    <d v="2025-06-21T02:00:06"/>
    <x v="1"/>
    <s v="Plaquettes de finition"/>
    <s v="171124"/>
    <s v="GONIN AGNES"/>
    <n v="5"/>
    <x v="2"/>
    <x v="1"/>
    <s v="PLAQUETTES"/>
    <s v="302x26 RPI"/>
    <n v="47.8"/>
  </r>
  <r>
    <d v="2025-06-23T05:43:31"/>
    <x v="1"/>
    <s v="Plaquettes de finition"/>
    <s v="U037238"/>
    <s v="PRIEUR OLIVIER"/>
    <n v="5"/>
    <x v="2"/>
    <x v="1"/>
    <s v="PLAQUETTES"/>
    <s v="302x26 RPI"/>
    <n v="47.8"/>
  </r>
  <r>
    <d v="2025-06-23T13:29:34"/>
    <x v="1"/>
    <s v="Plaquettes de finition"/>
    <s v="280225"/>
    <s v="FERNANDES DOS SANTOS REMY"/>
    <n v="5"/>
    <x v="1"/>
    <x v="0"/>
    <s v="PLAQUETTES"/>
    <s v="356x26 RPI"/>
    <n v="47.8"/>
  </r>
  <r>
    <d v="2025-06-24T13:22:52"/>
    <x v="1"/>
    <s v="Plaquettes de finition"/>
    <s v="280225"/>
    <s v="FERNANDES DOS SANTOS REMY"/>
    <n v="5"/>
    <x v="1"/>
    <x v="0"/>
    <s v="PLAQUETTES"/>
    <s v="356x26 RPI"/>
    <n v="47.8"/>
  </r>
  <r>
    <d v="2025-06-24T18:47:19"/>
    <x v="1"/>
    <s v="Plaquettes de finition"/>
    <s v="SE08251"/>
    <s v="FAYET AYMERIC"/>
    <n v="5"/>
    <x v="3"/>
    <x v="0"/>
    <s v="PLAQUETTES"/>
    <s v="304x28 RPE"/>
    <n v="47.8"/>
  </r>
  <r>
    <d v="2025-06-24T20:51:59"/>
    <x v="1"/>
    <s v="Plaquettes de finition"/>
    <s v="SE08251"/>
    <s v="FAYET AYMERIC"/>
    <n v="5"/>
    <x v="0"/>
    <x v="0"/>
    <s v="PLAQUETTES"/>
    <s v="356x26 RPI"/>
    <n v="47.8"/>
  </r>
  <r>
    <d v="2025-06-25T05:54:06"/>
    <x v="1"/>
    <s v="Plaquettes de finition"/>
    <s v="U037238"/>
    <s v="PRIEUR OLIVIER"/>
    <n v="5"/>
    <x v="2"/>
    <x v="1"/>
    <s v="PLAQUETTES"/>
    <s v="302x26 RPI"/>
    <n v="47.8"/>
  </r>
  <r>
    <d v="2025-06-25T15:20:24"/>
    <x v="1"/>
    <s v="Plaquettes de finition"/>
    <s v="280225"/>
    <s v="FERNANDES DOS SANTOS REMY"/>
    <n v="5"/>
    <x v="1"/>
    <x v="0"/>
    <s v="PLAQUETTES"/>
    <s v="356x26 RPI"/>
    <n v="47.8"/>
  </r>
  <r>
    <d v="2025-06-26T15:24:12"/>
    <x v="1"/>
    <s v="Plaquettes de finition"/>
    <s v="280225"/>
    <s v="FERNANDES DOS SANTOS REMY"/>
    <n v="5"/>
    <x v="1"/>
    <x v="0"/>
    <s v="PLAQUETTES"/>
    <s v="356x26 RPI"/>
    <n v="47.8"/>
  </r>
  <r>
    <d v="2025-06-26T17:34:22"/>
    <x v="1"/>
    <s v="Plaquettes de finition"/>
    <s v="280225"/>
    <s v="FERNANDES DOS SANTOS REMY"/>
    <n v="5"/>
    <x v="2"/>
    <x v="1"/>
    <s v="PLAQUETTES"/>
    <s v="302x26 RPI"/>
    <n v="47.8"/>
  </r>
  <r>
    <d v="2025-06-27T12:00:51"/>
    <x v="1"/>
    <s v="Plaquettes de finition"/>
    <s v="U109136"/>
    <s v="WIPLIE FREDERIC"/>
    <n v="5"/>
    <x v="1"/>
    <x v="0"/>
    <s v="PLAQUETTES"/>
    <s v="356x26 RPI"/>
    <n v="47.8"/>
  </r>
  <r>
    <d v="2025-06-27T21:18:53"/>
    <x v="1"/>
    <s v="Plaquettes de finition"/>
    <s v="SD75051"/>
    <s v="COMBALUZIER LUCAS"/>
    <n v="5"/>
    <x v="3"/>
    <x v="0"/>
    <s v="PLAQUETTES"/>
    <s v="304x28 RPE"/>
    <n v="47.8"/>
  </r>
  <r>
    <d v="2025-06-28T10:26:52"/>
    <x v="1"/>
    <s v="Plaquettes de finition"/>
    <s v="U109136"/>
    <s v="WIPLIE FREDERIC"/>
    <n v="5"/>
    <x v="1"/>
    <x v="0"/>
    <s v="PLAQUETTES"/>
    <s v="356x26 RPI"/>
    <n v="47.8"/>
  </r>
  <r>
    <d v="2025-06-29T17:53:04"/>
    <x v="1"/>
    <s v="Plaquettes de finition"/>
    <s v="U109136"/>
    <s v="WIPLIE FREDERIC"/>
    <n v="5"/>
    <x v="1"/>
    <x v="0"/>
    <s v="PLAQUETTES"/>
    <s v="356x26 RPI"/>
    <n v="47.8"/>
  </r>
  <r>
    <d v="2025-06-29T21:55:51"/>
    <x v="1"/>
    <s v="Plaquettes de finition"/>
    <s v="J529792"/>
    <s v="LEBRE CHRISTOPHE"/>
    <n v="5"/>
    <x v="2"/>
    <x v="1"/>
    <s v="PLAQUETTES"/>
    <s v="302x26 RPI"/>
    <n v="47.8"/>
  </r>
  <r>
    <d v="2025-06-30T06:39:57"/>
    <x v="0"/>
    <s v="Plaquettes de finition"/>
    <s v="SE08251"/>
    <s v="FAYET AYMERIC"/>
    <n v="10"/>
    <x v="0"/>
    <x v="0"/>
    <s v="PLAQUETTES"/>
    <s v="290x12"/>
    <n v="109.7"/>
  </r>
  <r>
    <d v="2025-06-30T06:43:17"/>
    <x v="0"/>
    <s v="Plaquettes de finition"/>
    <s v="SE08251"/>
    <s v="FAYET AYMERIC"/>
    <n v="10"/>
    <x v="0"/>
    <x v="0"/>
    <s v="PLAQUETTES"/>
    <s v="304x28 RPE"/>
    <n v="109.7"/>
  </r>
  <r>
    <d v="2025-06-30T14:27:29"/>
    <x v="1"/>
    <s v="Plaquettes de finition"/>
    <s v="SD75051"/>
    <s v="COMBALUZIER LUCAS"/>
    <n v="5"/>
    <x v="3"/>
    <x v="0"/>
    <s v="PLAQUETTES"/>
    <s v="304x28 RPE"/>
    <n v="47.8"/>
  </r>
  <r>
    <d v="2025-06-30T14:36:03"/>
    <x v="1"/>
    <s v="Plaquettes de finition"/>
    <s v="u636817"/>
    <s v="MOCQUEREAU LYDIE"/>
    <n v="5"/>
    <x v="2"/>
    <x v="1"/>
    <s v="PLAQUETTES"/>
    <s v="302x26 RPI"/>
    <n v="47.8"/>
  </r>
  <r>
    <d v="2025-06-30T14:36:36"/>
    <x v="1"/>
    <s v="Plaquettes de finition"/>
    <s v="u636817"/>
    <s v="MOCQUEREAU LYDIE"/>
    <n v="5"/>
    <x v="2"/>
    <x v="1"/>
    <s v="PLAQUETTES"/>
    <s v="302x26 RPI"/>
    <n v="47.8"/>
  </r>
  <r>
    <d v="2025-07-01T05:30:46"/>
    <x v="1"/>
    <s v="Plaquettes de finition"/>
    <s v="280225"/>
    <s v="FERNANDES DOS SANTOS REMY"/>
    <n v="5"/>
    <x v="1"/>
    <x v="0"/>
    <s v="PLAQUETTES"/>
    <s v="356x26 RPI"/>
    <n v="47.8"/>
  </r>
  <r>
    <d v="2025-07-02T08:46:57"/>
    <x v="1"/>
    <s v="Plaquettes de finition"/>
    <s v="270725"/>
    <s v="GUIBERT EMERIC"/>
    <n v="5"/>
    <x v="2"/>
    <x v="1"/>
    <s v="PLAQUETTES"/>
    <s v="302x26 RPI"/>
    <n v="47.8"/>
  </r>
  <r>
    <d v="2025-07-03T05:37:48"/>
    <x v="1"/>
    <s v="Plaquettes de finition"/>
    <s v="SE08251"/>
    <s v="FAYET AYMERIC"/>
    <n v="5"/>
    <x v="1"/>
    <x v="0"/>
    <s v="PLAQUETTES"/>
    <s v="356x26 RPI"/>
    <n v="47.8"/>
  </r>
  <r>
    <d v="2025-07-03T06:33:01"/>
    <x v="1"/>
    <s v="Plaquettes de finition"/>
    <s v="SE08251"/>
    <s v="FAYET AYMERIC"/>
    <n v="5"/>
    <x v="1"/>
    <x v="0"/>
    <s v="PLAQUETTES"/>
    <s v="304x28 RPE"/>
    <n v="47.8"/>
  </r>
  <r>
    <d v="2025-07-03T06:41:39"/>
    <x v="1"/>
    <s v="Plaquettes de finition"/>
    <s v="270725"/>
    <s v="GUIBERT EMERIC"/>
    <n v="5"/>
    <x v="2"/>
    <x v="1"/>
    <s v="PLAQUETTES"/>
    <s v="302x26 RPI"/>
    <n v="47.8"/>
  </r>
  <r>
    <d v="2025-07-03T21:29:10"/>
    <x v="1"/>
    <s v="Plaquettes de finition"/>
    <s v="U037238"/>
    <s v="PRIEUR OLIVIER"/>
    <n v="5"/>
    <x v="2"/>
    <x v="1"/>
    <s v="PLAQUETTES"/>
    <s v="302x26 RPI"/>
    <n v="47.8"/>
  </r>
  <r>
    <d v="2025-07-03T21:29:56"/>
    <x v="1"/>
    <s v="Plaquettes de finition"/>
    <s v="U037238"/>
    <s v="PRIEUR OLIVIER"/>
    <n v="5"/>
    <x v="2"/>
    <x v="1"/>
    <s v="PLAQUETTES"/>
    <s v="302x26 RPI"/>
    <n v="47.8"/>
  </r>
  <r>
    <d v="2025-07-05T05:02:48"/>
    <x v="1"/>
    <s v="Plaquettes de finition"/>
    <s v="J529792"/>
    <s v="LEBRE CHRISTOPHE"/>
    <n v="5"/>
    <x v="2"/>
    <x v="1"/>
    <s v="PLAQUETTES"/>
    <s v="302x26 RPI"/>
    <n v="47.8"/>
  </r>
  <r>
    <d v="2025-07-05T05:03:23"/>
    <x v="1"/>
    <s v="Plaquettes de finition"/>
    <s v="J529792"/>
    <s v="LEBRE CHRISTOPHE"/>
    <n v="5"/>
    <x v="2"/>
    <x v="1"/>
    <s v="PLAQUETTES"/>
    <s v="302x26 RPI"/>
    <n v="47.8"/>
  </r>
  <r>
    <d v="2025-07-05T09:31:41"/>
    <x v="1"/>
    <s v="Plaquettes de finition"/>
    <s v="150725"/>
    <s v="ADOUL WASSIM"/>
    <n v="5"/>
    <x v="1"/>
    <x v="0"/>
    <s v="PLAQUETTES"/>
    <s v="356x26 RPI"/>
    <n v="47.8"/>
  </r>
  <r>
    <d v="2025-07-07T19:55:12"/>
    <x v="1"/>
    <s v="Plaquettes de finition"/>
    <s v="130124"/>
    <s v="MOHAMED ILDIRAY"/>
    <n v="5"/>
    <x v="1"/>
    <x v="0"/>
    <s v="PLAQUETTES"/>
    <s v="356x26 RPI"/>
    <n v="47.8"/>
  </r>
  <r>
    <d v="2025-07-07T19:55:26"/>
    <x v="1"/>
    <s v="Plaquettes de finition"/>
    <s v="130124"/>
    <s v="MOHAMED ILDIRAY"/>
    <n v="5"/>
    <x v="1"/>
    <x v="0"/>
    <s v="PLAQUETTES"/>
    <s v="356x26 RPI"/>
    <n v="47.8"/>
  </r>
  <r>
    <d v="2025-07-08T09:36:57"/>
    <x v="1"/>
    <s v="Plaquettes de finition"/>
    <s v="270725"/>
    <s v="GUIBERT EMERIC"/>
    <n v="5"/>
    <x v="2"/>
    <x v="1"/>
    <s v="PLAQUETTES"/>
    <s v="302x26 RPI"/>
    <n v="47.8"/>
  </r>
  <r>
    <d v="2025-07-08T23:48:49"/>
    <x v="1"/>
    <s v="Plaquettes de finition"/>
    <s v="j529800"/>
    <s v="MONTCHARMONT BAPTISTE"/>
    <n v="5"/>
    <x v="1"/>
    <x v="0"/>
    <s v="PLAQUETTES"/>
    <s v="304x28 RPE"/>
    <n v="47.8"/>
  </r>
  <r>
    <d v="2025-07-08T23:49:29"/>
    <x v="1"/>
    <s v="Plaquettes de finition"/>
    <s v="SE08251"/>
    <s v="FAYET AYMERIC"/>
    <n v="5"/>
    <x v="0"/>
    <x v="0"/>
    <s v="PLAQUETTES"/>
    <s v="356x26 RPI"/>
    <n v="47.8"/>
  </r>
  <r>
    <d v="2025-07-10T03:14:03"/>
    <x v="1"/>
    <s v="Plaquettes de finition"/>
    <s v="171124"/>
    <s v="GONIN AGNES"/>
    <n v="5"/>
    <x v="2"/>
    <x v="1"/>
    <s v="PLAQUETTES"/>
    <s v="302x26 RPI"/>
    <n v="47.8"/>
  </r>
  <r>
    <d v="2025-07-10T03:14:21"/>
    <x v="1"/>
    <s v="Plaquettes de finition"/>
    <s v="171124"/>
    <s v="GONIN AGNES"/>
    <n v="5"/>
    <x v="2"/>
    <x v="1"/>
    <s v="PLAQUETTES"/>
    <s v="302x26 RPI"/>
    <n v="47.8"/>
  </r>
  <r>
    <d v="2025-07-10T04:35:56"/>
    <x v="1"/>
    <s v="Plaquettes de finition"/>
    <s v="SE08251"/>
    <s v="FAYET AYMERIC"/>
    <n v="5"/>
    <x v="0"/>
    <x v="0"/>
    <s v="PLAQUETTES"/>
    <s v="356x26 RPI"/>
    <n v="47.8"/>
  </r>
  <r>
    <d v="2025-07-10T04:36:42"/>
    <x v="0"/>
    <s v="Plaquettes de finition"/>
    <s v="SE08251"/>
    <s v="FAYET AYMERIC"/>
    <n v="10"/>
    <x v="0"/>
    <x v="0"/>
    <s v="PLAQUETTES"/>
    <s v="356x26 RPI"/>
    <n v="109.7"/>
  </r>
  <r>
    <d v="2025-07-10T06:13:41"/>
    <x v="1"/>
    <s v="Plaquettes de finition"/>
    <s v="270725"/>
    <s v="GUIBERT EMERIC"/>
    <n v="5"/>
    <x v="2"/>
    <x v="1"/>
    <s v="PLAQUETTES"/>
    <s v="302x26 RPI"/>
    <n v="47.8"/>
  </r>
  <r>
    <d v="2025-07-11T07:43:10"/>
    <x v="1"/>
    <s v="Plaquettes de finition"/>
    <s v="150725"/>
    <s v="ADOUL WASSIM"/>
    <n v="5"/>
    <x v="0"/>
    <x v="0"/>
    <s v="PLAQUETTES"/>
    <s v="356x26 RPI"/>
    <n v="47.8"/>
  </r>
  <r>
    <d v="2025-07-11T12:00:31"/>
    <x v="1"/>
    <s v="Plaquettes de finition"/>
    <s v="J529792"/>
    <s v="LEBRE CHRISTOPHE"/>
    <n v="5"/>
    <x v="2"/>
    <x v="1"/>
    <s v="PLAQUETTES"/>
    <s v="302x26 RPI"/>
    <n v="47.8"/>
  </r>
  <r>
    <d v="2025-07-11T12:00:47"/>
    <x v="1"/>
    <s v="Plaquettes de finition"/>
    <s v="J529792"/>
    <s v="LEBRE CHRISTOPHE"/>
    <n v="5"/>
    <x v="2"/>
    <x v="1"/>
    <s v="PLAQUETTES"/>
    <s v="302x26 RPI"/>
    <n v="47.8"/>
  </r>
  <r>
    <d v="2025-07-11T13:11:30"/>
    <x v="0"/>
    <s v="Plaquettes de finition"/>
    <s v="130124"/>
    <s v="MOHAMED ILDIRAY"/>
    <n v="10"/>
    <x v="1"/>
    <x v="0"/>
    <s v="PLAQUETTES"/>
    <s v="304x28 RPE"/>
    <n v="109.7"/>
  </r>
  <r>
    <d v="2025-07-11T13:11:49"/>
    <x v="1"/>
    <s v="Plaquettes de finition"/>
    <s v="130124"/>
    <s v="MOHAMED ILDIRAY"/>
    <n v="5"/>
    <x v="1"/>
    <x v="0"/>
    <s v="PLAQUETTES"/>
    <s v="304x28 RPE"/>
    <n v="47.8"/>
  </r>
  <r>
    <d v="2025-07-12T00:13:23"/>
    <x v="1"/>
    <s v="Plaquettes de finition"/>
    <s v="j529800"/>
    <s v="MONTCHARMONT BAPTISTE"/>
    <n v="5"/>
    <x v="1"/>
    <x v="0"/>
    <s v="PLAQUETTES"/>
    <s v="304x28 RPE"/>
    <n v="47.8"/>
  </r>
  <r>
    <d v="2025-07-13T05:26:36"/>
    <x v="1"/>
    <s v="Plaquettes de finition"/>
    <s v="150725"/>
    <s v="ADOUL WASSIM"/>
    <n v="5"/>
    <x v="0"/>
    <x v="0"/>
    <s v="PLAQUETTES"/>
    <s v="356x26 RPI"/>
    <n v="47.8"/>
  </r>
  <r>
    <d v="2025-07-13T14:34:48"/>
    <x v="1"/>
    <s v="Plaquettes de finition"/>
    <s v="150725"/>
    <s v="ADOUL WASSIM"/>
    <n v="5"/>
    <x v="0"/>
    <x v="0"/>
    <s v="PLAQUETTES"/>
    <s v="356x26 RPI"/>
    <n v="47.8"/>
  </r>
  <r>
    <d v="2025-07-13T22:21:41"/>
    <x v="1"/>
    <s v="Plaquettes de finition"/>
    <s v="U109136"/>
    <s v="WIPLIE FREDERIC"/>
    <n v="5"/>
    <x v="1"/>
    <x v="0"/>
    <s v="PLAQUETTES"/>
    <s v="304x28 RPE"/>
    <n v="47.8"/>
  </r>
  <r>
    <d v="2025-07-14T05:15:06"/>
    <x v="1"/>
    <s v="Plaquettes de finition"/>
    <s v="U037238"/>
    <s v="PRIEUR OLIVIER"/>
    <n v="5"/>
    <x v="2"/>
    <x v="1"/>
    <s v="PLAQUETTES"/>
    <s v="302x26 RPI"/>
    <n v="47.8"/>
  </r>
  <r>
    <d v="2025-07-14T23:12:26"/>
    <x v="1"/>
    <s v="Plaquettes de finition"/>
    <s v="270725"/>
    <s v="GUIBERT EMERIC"/>
    <n v="5"/>
    <x v="2"/>
    <x v="1"/>
    <s v="PLAQUETTES"/>
    <s v="302x26 RPI"/>
    <n v="47.8"/>
  </r>
  <r>
    <d v="2025-07-15T05:04:29"/>
    <x v="1"/>
    <s v="Plaquettes de finition"/>
    <s v="130124"/>
    <s v="MOHAMED ILDIRAY"/>
    <n v="5"/>
    <x v="1"/>
    <x v="0"/>
    <s v="PLAQUETTES"/>
    <s v="304x28 RPE"/>
    <n v="47.8"/>
  </r>
  <r>
    <d v="2025-07-15T06:49:10"/>
    <x v="1"/>
    <s v="Plaquettes de finition"/>
    <s v="130124"/>
    <s v="MOHAMED ILDIRAY"/>
    <n v="5"/>
    <x v="0"/>
    <x v="0"/>
    <s v="PLAQUETTES"/>
    <s v="356x26 RPI"/>
    <n v="47.8"/>
  </r>
  <r>
    <d v="2025-07-16T04:36:27"/>
    <x v="1"/>
    <s v="Plaquettes de finition"/>
    <s v="130325"/>
    <s v="PAPONNEAU JULIEN"/>
    <n v="5"/>
    <x v="1"/>
    <x v="0"/>
    <s v="PLAQUETTES"/>
    <s v="304x28 RPE"/>
    <n v="47.8"/>
  </r>
  <r>
    <d v="2025-07-16T04:36:47"/>
    <x v="1"/>
    <s v="Plaquettes de finition"/>
    <s v="130325"/>
    <s v="PAPONNEAU JULIEN"/>
    <n v="5"/>
    <x v="1"/>
    <x v="0"/>
    <s v="PLAQUETTES"/>
    <s v="304x28 RPE"/>
    <n v="47.8"/>
  </r>
  <r>
    <d v="2025-07-16T05:39:32"/>
    <x v="1"/>
    <s v="Plaquettes de finition"/>
    <s v="U037238"/>
    <s v="PRIEUR OLIVIER"/>
    <n v="5"/>
    <x v="2"/>
    <x v="1"/>
    <s v="PLAQUETTES"/>
    <s v="302x26 RPI"/>
    <n v="47.8"/>
  </r>
  <r>
    <d v="2025-07-16T06:05:55"/>
    <x v="1"/>
    <s v="Plaquettes de finition"/>
    <s v="130124"/>
    <s v="MOHAMED ILDIRAY"/>
    <n v="5"/>
    <x v="1"/>
    <x v="0"/>
    <s v="PLAQUETTES"/>
    <s v="304x28 RPE"/>
    <n v="47.8"/>
  </r>
  <r>
    <d v="2025-07-16T09:03:06"/>
    <x v="1"/>
    <s v="Plaquettes de finition"/>
    <s v="U037238"/>
    <s v="PRIEUR OLIVIER"/>
    <n v="5"/>
    <x v="2"/>
    <x v="1"/>
    <s v="PLAQUETTES"/>
    <s v="302x26 RPI"/>
    <n v="47.8"/>
  </r>
  <r>
    <d v="2025-07-16T19:52:28"/>
    <x v="1"/>
    <s v="Plaquettes de finition"/>
    <s v="SE08251"/>
    <s v="FAYET AYMERIC"/>
    <n v="5"/>
    <x v="0"/>
    <x v="0"/>
    <s v="PLAQUETTES"/>
    <s v="356x26 RPI"/>
    <n v="47.8"/>
  </r>
  <r>
    <d v="2025-07-16T21:38:16"/>
    <x v="1"/>
    <s v="Plaquettes de finition"/>
    <s v="270725"/>
    <s v="GUIBERT EMERIC"/>
    <n v="5"/>
    <x v="2"/>
    <x v="1"/>
    <s v="PLAQUETTES"/>
    <s v="302x26 RPI"/>
    <n v="47.8"/>
  </r>
  <r>
    <d v="2025-07-17T05:07:32"/>
    <x v="1"/>
    <s v="Plaquettes de finition"/>
    <s v="130124"/>
    <s v="MOHAMED ILDIRAY"/>
    <n v="5"/>
    <x v="1"/>
    <x v="0"/>
    <s v="PLAQUETTES"/>
    <s v="304x28 RPE"/>
    <n v="47.8"/>
  </r>
  <r>
    <d v="2025-07-17T05:14:06"/>
    <x v="1"/>
    <s v="Plaquettes de finition"/>
    <s v="101123"/>
    <s v="BRUNET ANDREA"/>
    <n v="5"/>
    <x v="2"/>
    <x v="1"/>
    <s v="PLAQUETTES"/>
    <s v="302x26 RPI"/>
    <n v="47.8"/>
  </r>
  <r>
    <d v="2025-07-17T10:51:05"/>
    <x v="1"/>
    <s v="Plaquettes de finition"/>
    <s v="SD13196"/>
    <s v="FRADIN MAXIME"/>
    <n v="5"/>
    <x v="0"/>
    <x v="0"/>
    <s v="PLAQUETTES"/>
    <s v="356x26 RPI"/>
    <n v="47.8"/>
  </r>
  <r>
    <d v="2025-07-17T21:53:04"/>
    <x v="1"/>
    <s v="Plaquettes de finition"/>
    <s v="SD75051"/>
    <s v="COMBALUZIER LUCAS"/>
    <n v="5"/>
    <x v="0"/>
    <x v="0"/>
    <s v="PLAQUETTES"/>
    <s v="356x26 RPI"/>
    <n v="47.8"/>
  </r>
  <r>
    <d v="2025-07-18T05:20:49"/>
    <x v="1"/>
    <s v="Plaquettes de finition"/>
    <s v="J529792"/>
    <s v="LEBRE CHRISTOPHE"/>
    <n v="5"/>
    <x v="2"/>
    <x v="1"/>
    <s v="PLAQUETTES"/>
    <s v="302x26 RPI"/>
    <n v="47.8"/>
  </r>
  <r>
    <d v="2025-07-18T05:21:23"/>
    <x v="1"/>
    <s v="Plaquettes de finition"/>
    <s v="J529792"/>
    <s v="LEBRE CHRISTOPHE"/>
    <n v="5"/>
    <x v="2"/>
    <x v="1"/>
    <s v="PLAQUETTES"/>
    <s v="302x26 RPI"/>
    <n v="47.8"/>
  </r>
  <r>
    <d v="2025-07-18T13:46:49"/>
    <x v="1"/>
    <s v="Plaquettes de finition"/>
    <s v="j529800"/>
    <s v="MONTCHARMONT BAPTISTE"/>
    <n v="5"/>
    <x v="1"/>
    <x v="0"/>
    <s v="PLAQUETTES"/>
    <s v="304x28 RPE"/>
    <n v="47.8"/>
  </r>
  <r>
    <d v="2025-07-18T15:15:49"/>
    <x v="1"/>
    <s v="Plaquettes de finition"/>
    <s v="SE08251"/>
    <s v="FAYET AYMERIC"/>
    <n v="5"/>
    <x v="0"/>
    <x v="0"/>
    <s v="PLAQUETTES"/>
    <s v="356x26 RPI"/>
    <n v="47.8"/>
  </r>
  <r>
    <d v="2025-07-18T21:58:18"/>
    <x v="1"/>
    <s v="Plaquettes de finition"/>
    <s v="sc95213"/>
    <s v="RABET PAULINE"/>
    <n v="5"/>
    <x v="1"/>
    <x v="0"/>
    <s v="PLAQUETTES"/>
    <s v="302x26 RPI"/>
    <n v="47.8"/>
  </r>
  <r>
    <d v="2025-07-20T18:47:48"/>
    <x v="1"/>
    <s v="Plaquettes de finition"/>
    <s v="U109136"/>
    <s v="WIPLIE FREDERIC"/>
    <n v="5"/>
    <x v="0"/>
    <x v="0"/>
    <s v="PLAQUETTES"/>
    <s v="356x26 RPI"/>
    <n v="47.8"/>
  </r>
  <r>
    <d v="2025-07-20T19:31:17"/>
    <x v="1"/>
    <s v="Plaquettes de finition"/>
    <s v="U080365"/>
    <s v="ALAVOINE SAMUEL"/>
    <n v="5"/>
    <x v="1"/>
    <x v="0"/>
    <s v="PLAQUETTES"/>
    <s v="304x28 RPE"/>
    <n v="47.8"/>
  </r>
  <r>
    <d v="2025-07-20T19:31:50"/>
    <x v="1"/>
    <s v="Plaquettes de finition"/>
    <s v="U080365"/>
    <s v="ALAVOINE SAMUEL"/>
    <n v="5"/>
    <x v="1"/>
    <x v="0"/>
    <s v="PLAQUETTES"/>
    <s v="304x28 RPE"/>
    <n v="47.8"/>
  </r>
  <r>
    <d v="2025-07-21T07:57:36"/>
    <x v="0"/>
    <s v="Plaquettes de finition"/>
    <s v="SE08251"/>
    <s v="FAYET AYMERIC"/>
    <n v="10"/>
    <x v="0"/>
    <x v="0"/>
    <s v="PLAQUETTES"/>
    <s v="356x26 RPI"/>
    <n v="109.7"/>
  </r>
  <r>
    <d v="2025-07-21T17:51:01"/>
    <x v="1"/>
    <s v="Plaquettes de finition"/>
    <s v="SD75051"/>
    <s v="COMBALUZIER LUCAS"/>
    <n v="5"/>
    <x v="0"/>
    <x v="0"/>
    <s v="PLAQUETTES"/>
    <s v="356x26 RPI"/>
    <n v="47.8"/>
  </r>
  <r>
    <d v="2025-07-21T17:53:06"/>
    <x v="1"/>
    <s v="Plaquettes de finition"/>
    <s v="270725"/>
    <s v="GUIBERT EMERIC"/>
    <n v="5"/>
    <x v="2"/>
    <x v="1"/>
    <s v="PLAQUETTES"/>
    <s v="302x26 RPI"/>
    <n v="47.8"/>
  </r>
  <r>
    <d v="2025-07-21T21:54:48"/>
    <x v="1"/>
    <s v="Plaquettes de finition"/>
    <s v="101123"/>
    <s v="BRUNET ANDREA"/>
    <n v="5"/>
    <x v="1"/>
    <x v="0"/>
    <s v="PLAQUETTES"/>
    <s v="304x28 RPE"/>
    <n v="47.8"/>
  </r>
  <r>
    <d v="2025-07-22T18:47:07"/>
    <x v="1"/>
    <s v="Plaquettes de finition"/>
    <s v="SD75051"/>
    <s v="COMBALUZIER LUCAS"/>
    <n v="5"/>
    <x v="0"/>
    <x v="0"/>
    <s v="PLAQUETTES"/>
    <s v="356x26 RPI"/>
    <n v="47.8"/>
  </r>
  <r>
    <d v="2025-07-22T21:06:10"/>
    <x v="1"/>
    <s v="Plaquettes de finition"/>
    <s v="101123"/>
    <s v="BRUNET ANDREA"/>
    <n v="5"/>
    <x v="1"/>
    <x v="0"/>
    <s v="PLAQUETTES"/>
    <s v="304x28 RPE"/>
    <n v="47.8"/>
  </r>
  <r>
    <d v="2025-07-23T10:33:24"/>
    <x v="1"/>
    <s v="Plaquettes de finition"/>
    <s v="j529800"/>
    <s v="MONTCHARMONT BAPTISTE"/>
    <n v="5"/>
    <x v="0"/>
    <x v="0"/>
    <s v="PLAQUETTES"/>
    <s v="356x26 RPI"/>
    <n v="47.8"/>
  </r>
  <r>
    <d v="2025-07-23T18:53:54"/>
    <x v="1"/>
    <s v="Plaquettes de finition"/>
    <s v="270725"/>
    <s v="GUIBERT EMERIC"/>
    <n v="5"/>
    <x v="2"/>
    <x v="1"/>
    <s v="PLAQUETTES"/>
    <s v="302x26 RPI"/>
    <n v="47.8"/>
  </r>
  <r>
    <d v="2025-07-23T21:05:41"/>
    <x v="1"/>
    <s v="Plaquettes de finition"/>
    <s v="130124"/>
    <s v="MOHAMED ILDIRAY"/>
    <n v="5"/>
    <x v="1"/>
    <x v="0"/>
    <s v="PLAQUETTES"/>
    <s v="304x28 RPE"/>
    <n v="47.8"/>
  </r>
  <r>
    <d v="2025-07-23T22:38:20"/>
    <x v="1"/>
    <s v="Plaquettes de finition"/>
    <s v="130124"/>
    <s v="MOHAMED ILDIRAY"/>
    <n v="5"/>
    <x v="1"/>
    <x v="0"/>
    <s v="PLAQUETTES"/>
    <s v="304x28 RPE"/>
    <n v="47.8"/>
  </r>
  <r>
    <d v="2025-07-24T03:17:24"/>
    <x v="1"/>
    <s v="Plaquettes de finition"/>
    <s v="101224"/>
    <s v="CHAZEAU KYLIAN"/>
    <n v="5"/>
    <x v="0"/>
    <x v="0"/>
    <s v="PLAQUETTES"/>
    <s v="356x26 RPI"/>
    <n v="47.8"/>
  </r>
  <r>
    <d v="2025-07-24T05:44:28"/>
    <x v="1"/>
    <s v="Plaquettes de finition"/>
    <s v="j529800"/>
    <s v="MONTCHARMONT BAPTISTE"/>
    <n v="5"/>
    <x v="0"/>
    <x v="0"/>
    <s v="PLAQUETTES"/>
    <s v="356x26 RPI"/>
    <n v="47.8"/>
  </r>
  <r>
    <d v="2025-07-24T21:48:28"/>
    <x v="1"/>
    <s v="Plaquettes de finition"/>
    <s v="130124"/>
    <s v="MOHAMED ILDIRAY"/>
    <n v="5"/>
    <x v="1"/>
    <x v="0"/>
    <s v="PLAQUETTES"/>
    <s v="304x28 RPE"/>
    <n v="47.8"/>
  </r>
  <r>
    <d v="2025-07-25T09:08:50"/>
    <x v="1"/>
    <s v="Plaquettes de finition"/>
    <s v="U109136"/>
    <s v="WIPLIE FREDERIC"/>
    <n v="5"/>
    <x v="1"/>
    <x v="0"/>
    <s v="PLAQUETTES"/>
    <s v="304x28 RPE"/>
    <n v="47.8"/>
  </r>
  <r>
    <d v="2025-07-27T22:06:41"/>
    <x v="1"/>
    <s v="Plaquettes de finition"/>
    <s v="J529792"/>
    <s v="LEBRE CHRISTOPHE"/>
    <n v="5"/>
    <x v="2"/>
    <x v="1"/>
    <s v="PLAQUETTES"/>
    <s v="302x26 RPI"/>
    <n v="47.8"/>
  </r>
  <r>
    <d v="2025-07-28T13:52:56"/>
    <x v="1"/>
    <s v="Plaquettes de finition"/>
    <s v="140325"/>
    <s v="BOUCLIER JONATHAN"/>
    <n v="5"/>
    <x v="2"/>
    <x v="1"/>
    <s v="PLAQUETTES"/>
    <s v="302x26 RPI"/>
    <n v="47.8"/>
  </r>
  <r>
    <d v="2025-07-30T14:07:07"/>
    <x v="1"/>
    <s v="Plaquettes de finition"/>
    <s v="140325"/>
    <s v="BOUCLIER JONATHAN"/>
    <n v="5"/>
    <x v="2"/>
    <x v="1"/>
    <s v="PLAQUETTES"/>
    <s v="302x26 RPI"/>
    <n v="47.8"/>
  </r>
  <r>
    <d v="2025-08-14T09:41:27"/>
    <x v="1"/>
    <s v="Plaquettes de finition"/>
    <s v="u636817"/>
    <s v="MOCQUEREAU LYDIE"/>
    <n v="5"/>
    <x v="2"/>
    <x v="1"/>
    <s v="PLAQUETTES"/>
    <s v="302x26 RPI"/>
    <n v="47.8"/>
  </r>
  <r>
    <d v="2025-08-14T09:41:48"/>
    <x v="1"/>
    <s v="Plaquettes de finition"/>
    <s v="u636817"/>
    <s v="MOCQUEREAU LYDIE"/>
    <n v="5"/>
    <x v="2"/>
    <x v="1"/>
    <s v="PLAQUETTES"/>
    <s v="302x26 RPI"/>
    <n v="47.8"/>
  </r>
  <r>
    <d v="2025-08-18T05:20:23"/>
    <x v="1"/>
    <s v="Plaquettes de finition"/>
    <s v="SD75051"/>
    <s v="COMBALUZIER LUCAS"/>
    <n v="5"/>
    <x v="1"/>
    <x v="0"/>
    <s v="PLAQUETTES"/>
    <s v="304x28 RPE"/>
    <n v="47.8"/>
  </r>
  <r>
    <d v="2025-08-18T22:23:50"/>
    <x v="1"/>
    <s v="Plaquettes de finition"/>
    <s v="280225"/>
    <s v="FERNANDES DOS SANTOS REMY"/>
    <n v="5"/>
    <x v="1"/>
    <x v="0"/>
    <s v="PLAQUETTES"/>
    <s v="304x28 RPE"/>
    <n v="47.8"/>
  </r>
  <r>
    <d v="2025-08-18T22:24:10"/>
    <x v="0"/>
    <s v="Plaquettes de finition"/>
    <s v="280225"/>
    <s v="FERNANDES DOS SANTOS REMY"/>
    <n v="10"/>
    <x v="1"/>
    <x v="0"/>
    <s v="PLAQUETTES"/>
    <s v="304x28 RPE"/>
    <n v="109.7"/>
  </r>
  <r>
    <d v="2025-08-19T16:44:51"/>
    <x v="1"/>
    <s v="Plaquettes de finition"/>
    <s v="U561365"/>
    <s v="BALLY BENOIT"/>
    <n v="5"/>
    <x v="2"/>
    <x v="1"/>
    <s v="PLAQUETTES"/>
    <s v="302x26 RPI"/>
    <n v="47.8"/>
  </r>
  <r>
    <d v="2025-08-19T18:10:23"/>
    <x v="1"/>
    <s v="Plaquettes de finition"/>
    <s v="3224"/>
    <s v="BIDOT MURIEL"/>
    <n v="5"/>
    <x v="1"/>
    <x v="0"/>
    <s v="PLAQUETTES"/>
    <s v="304x28 RPE"/>
    <n v="47.8"/>
  </r>
  <r>
    <d v="2025-08-20T05:41:40"/>
    <x v="1"/>
    <s v="Plaquettes de finition"/>
    <s v="040725"/>
    <s v="BARGEOT LUCAS"/>
    <n v="5"/>
    <x v="0"/>
    <x v="0"/>
    <s v="PLAQUETTES"/>
    <s v="356x26 RPI"/>
    <n v="47.8"/>
  </r>
  <r>
    <d v="2025-08-20T09:15:05"/>
    <x v="1"/>
    <s v="Plaquettes de finition"/>
    <s v="SD75051"/>
    <s v="COMBALUZIER LUCAS"/>
    <n v="5"/>
    <x v="1"/>
    <x v="0"/>
    <s v="PLAQUETTES"/>
    <s v="304x28 RPE"/>
    <n v="47.8"/>
  </r>
  <r>
    <d v="2025-08-20T13:33:03"/>
    <x v="1"/>
    <s v="Plaquettes de finition"/>
    <s v="U561365"/>
    <s v="BALLY BENOIT"/>
    <n v="5"/>
    <x v="2"/>
    <x v="1"/>
    <s v="PLAQUETTES"/>
    <s v="302x26 RPI"/>
    <n v="47.8"/>
  </r>
  <r>
    <d v="2025-08-20T13:33:36"/>
    <x v="1"/>
    <s v="Plaquettes de finition"/>
    <s v="U561365"/>
    <s v="BALLY BENOIT"/>
    <n v="5"/>
    <x v="2"/>
    <x v="1"/>
    <s v="PLAQUETTES"/>
    <s v="302x26 RPI"/>
    <n v="47.8"/>
  </r>
  <r>
    <d v="2025-08-20T15:30:28"/>
    <x v="1"/>
    <s v="Plaquettes de finition"/>
    <s v="3224"/>
    <s v="BIDOT MURIEL"/>
    <n v="5"/>
    <x v="1"/>
    <x v="0"/>
    <s v="PLAQUETTES"/>
    <s v="304x28 RPE"/>
    <n v="47.8"/>
  </r>
  <r>
    <d v="2025-08-21T13:50:46"/>
    <x v="1"/>
    <s v="Plaquettes de finition"/>
    <s v="3224"/>
    <s v="BIDOT MURIEL"/>
    <n v="5"/>
    <x v="1"/>
    <x v="0"/>
    <s v="PLAQUETTES"/>
    <s v="304x28 RPE"/>
    <n v="47.8"/>
  </r>
  <r>
    <d v="2025-08-21T22:08:28"/>
    <x v="1"/>
    <s v="Plaquettes de finition"/>
    <s v="280225"/>
    <s v="FERNANDES DOS SANTOS REMY"/>
    <n v="5"/>
    <x v="0"/>
    <x v="0"/>
    <s v="PLAQUETTES"/>
    <s v="356x26 RPI"/>
    <n v="47.8"/>
  </r>
  <r>
    <d v="2025-08-23T02:22:11"/>
    <x v="1"/>
    <s v="Plaquettes de finition"/>
    <s v="j529800"/>
    <s v="MONTCHARMONT BAPTISTE"/>
    <n v="5"/>
    <x v="0"/>
    <x v="0"/>
    <s v="PLAQUETTES"/>
    <s v="356x26 RPI"/>
    <n v="47.8"/>
  </r>
  <r>
    <d v="2025-08-23T05:46:09"/>
    <x v="1"/>
    <s v="Plaquettes de finition"/>
    <s v="DELIAT C"/>
    <s v="DELIAT CHRISTOPHE"/>
    <n v="5"/>
    <x v="1"/>
    <x v="0"/>
    <s v="PLAQUETTES"/>
    <s v="304x28 RPE"/>
    <n v="47.8"/>
  </r>
  <r>
    <d v="2025-08-23T05:46:30"/>
    <x v="0"/>
    <s v="Plaquettes de finition"/>
    <s v="DELIAT C"/>
    <s v="DELIAT CHRISTOPHE"/>
    <n v="10"/>
    <x v="1"/>
    <x v="0"/>
    <s v="PLAQUETTES"/>
    <s v="304x28 RPE"/>
    <n v="109.7"/>
  </r>
  <r>
    <d v="2025-08-23T11:19:49"/>
    <x v="1"/>
    <s v="Plaquettes de finition"/>
    <s v="U080365"/>
    <s v="ALAVOINE SAMUEL"/>
    <n v="5"/>
    <x v="0"/>
    <x v="0"/>
    <s v="PLAQUETTES"/>
    <s v="356x26 RPI"/>
    <n v="47.8"/>
  </r>
  <r>
    <d v="2025-08-24T17:03:00"/>
    <x v="1"/>
    <s v="Plaquettes de finition"/>
    <s v="J529792"/>
    <s v="LEBRE CHRISTOPHE"/>
    <n v="5"/>
    <x v="2"/>
    <x v="1"/>
    <s v="PLAQUETTES"/>
    <s v="302x26 RPI"/>
    <n v="47.8"/>
  </r>
  <r>
    <d v="2025-08-24T20:06:35"/>
    <x v="0"/>
    <s v="Plaquettes de finition"/>
    <s v="U080365"/>
    <s v="ALAVOINE SAMUEL"/>
    <n v="10"/>
    <x v="0"/>
    <x v="0"/>
    <s v="PLAQUETTES"/>
    <s v="356x26 RPI"/>
    <n v="109.7"/>
  </r>
  <r>
    <d v="2025-08-25T00:22:10"/>
    <x v="1"/>
    <s v="Plaquettes de finition"/>
    <s v="DELIAT C"/>
    <s v="DELIAT CHRISTOPHE"/>
    <n v="5"/>
    <x v="1"/>
    <x v="0"/>
    <s v="PLAQUETTES"/>
    <s v="304x28 RPE"/>
    <n v="47.8"/>
  </r>
  <r>
    <d v="2025-08-25T16:27:55"/>
    <x v="1"/>
    <s v="Plaquettes de finition"/>
    <s v="040725"/>
    <s v="BARGEOT LUCAS"/>
    <n v="5"/>
    <x v="0"/>
    <x v="0"/>
    <s v="PLAQUETTES"/>
    <s v="356x26 RPI"/>
    <n v="47.8"/>
  </r>
  <r>
    <d v="2025-08-25T21:23:32"/>
    <x v="1"/>
    <s v="Plaquettes de finition"/>
    <s v="U037238"/>
    <s v="PRIEUR OLIVIER"/>
    <n v="5"/>
    <x v="2"/>
    <x v="1"/>
    <s v="PLAQUETTES"/>
    <s v="302x26 RPI"/>
    <n v="47.8"/>
  </r>
  <r>
    <d v="2025-08-26T06:16:21"/>
    <x v="1"/>
    <s v="Plaquettes de finition"/>
    <s v="U505000"/>
    <s v="RECEVEUR BENOIT"/>
    <n v="5"/>
    <x v="0"/>
    <x v="0"/>
    <s v="PLAQUETTES"/>
    <s v="356x26 RPI"/>
    <n v="47.8"/>
  </r>
  <r>
    <d v="2025-08-26T06:28:02"/>
    <x v="1"/>
    <s v="Plaquettes de finition"/>
    <s v="101123"/>
    <s v="BRUNET ANDREA"/>
    <n v="5"/>
    <x v="1"/>
    <x v="0"/>
    <s v="PLAQUETTES"/>
    <s v="304x28 RPE"/>
    <n v="47.8"/>
  </r>
  <r>
    <d v="2025-08-26T06:28:41"/>
    <x v="1"/>
    <s v="Plaquettes de finition"/>
    <s v="101123"/>
    <s v="BRUNET ANDREA"/>
    <n v="5"/>
    <x v="2"/>
    <x v="1"/>
    <s v="PLAQUETTES"/>
    <s v="302x26 RPI"/>
    <n v="47.8"/>
  </r>
  <r>
    <d v="2025-08-26T14:05:48"/>
    <x v="1"/>
    <s v="Plaquettes de finition"/>
    <s v="040725"/>
    <s v="BARGEOT LUCAS"/>
    <n v="5"/>
    <x v="0"/>
    <x v="0"/>
    <s v="PLAQUETTES"/>
    <s v="356x26 RPI"/>
    <n v="47.8"/>
  </r>
  <r>
    <d v="2025-08-27T05:07:48"/>
    <x v="1"/>
    <s v="Plaquettes de finition"/>
    <s v="101123"/>
    <s v="BRUNET ANDREA"/>
    <n v="5"/>
    <x v="1"/>
    <x v="0"/>
    <s v="PLAQUETTES"/>
    <s v="304x28 RPE"/>
    <n v="47.8"/>
  </r>
  <r>
    <d v="2025-08-27T13:08:07"/>
    <x v="1"/>
    <s v="Plaquettes de finition"/>
    <s v="040725"/>
    <s v="BARGEOT LUCAS"/>
    <n v="5"/>
    <x v="0"/>
    <x v="0"/>
    <s v="PLAQUETTES"/>
    <s v="356x26 RPI"/>
    <n v="47.8"/>
  </r>
  <r>
    <d v="2025-08-27T23:24:52"/>
    <x v="1"/>
    <s v="Plaquettes de finition"/>
    <s v="U037238"/>
    <s v="PRIEUR OLIVIER"/>
    <n v="5"/>
    <x v="2"/>
    <x v="1"/>
    <s v="PLAQUETTES"/>
    <s v="302x26 RPI"/>
    <n v="47.8"/>
  </r>
  <r>
    <d v="2025-08-28T05:03:06"/>
    <x v="1"/>
    <s v="Plaquettes de finition"/>
    <s v="101123"/>
    <s v="BRUNET ANDREA"/>
    <n v="5"/>
    <x v="1"/>
    <x v="0"/>
    <s v="PLAQUETTES"/>
    <s v="304x28 RPE"/>
    <n v="47.8"/>
  </r>
  <r>
    <d v="2025-08-28T13:44:28"/>
    <x v="1"/>
    <s v="Plaquettes de finition"/>
    <s v="SD75051"/>
    <s v="COMBALUZIER LUCAS"/>
    <n v="5"/>
    <x v="1"/>
    <x v="0"/>
    <s v="PLAQUETTES"/>
    <s v="304x28 RPE"/>
    <n v="47.8"/>
  </r>
  <r>
    <d v="2025-08-28T14:46:35"/>
    <x v="1"/>
    <s v="Plaquettes de finition"/>
    <s v="040725"/>
    <s v="BARGEOT LUCAS"/>
    <n v="5"/>
    <x v="0"/>
    <x v="0"/>
    <s v="PLAQUETTES"/>
    <s v="356x26 RPI"/>
    <n v="47.8"/>
  </r>
  <r>
    <d v="2025-08-28T16:22:05"/>
    <x v="1"/>
    <s v="Plaquettes de finition"/>
    <s v="u636817"/>
    <s v="MOCQUEREAU LYDIE"/>
    <n v="5"/>
    <x v="2"/>
    <x v="1"/>
    <s v="PLAQUETTES"/>
    <s v="302x26 RPI"/>
    <n v="47.8"/>
  </r>
  <r>
    <d v="2025-08-28T16:22:24"/>
    <x v="1"/>
    <s v="Plaquettes de finition"/>
    <s v="u636817"/>
    <s v="MOCQUEREAU LYDIE"/>
    <n v="5"/>
    <x v="2"/>
    <x v="1"/>
    <s v="PLAQUETTES"/>
    <s v="302x26 RPI"/>
    <n v="47.8"/>
  </r>
  <r>
    <d v="2025-08-29T04:35:28"/>
    <x v="1"/>
    <s v="Plaquettes de finition"/>
    <s v="j529800"/>
    <s v="MONTCHARMONT BAPTISTE"/>
    <n v="5"/>
    <x v="0"/>
    <x v="0"/>
    <s v="PLAQUETTES"/>
    <s v="356x26 RPI"/>
    <n v="47.8"/>
  </r>
  <r>
    <d v="2025-08-29T05:28:01"/>
    <x v="0"/>
    <s v="Plaquettes de finition"/>
    <s v="DELIAT C"/>
    <s v="DELIAT CHRISTOPHE"/>
    <n v="10"/>
    <x v="1"/>
    <x v="0"/>
    <s v="PLAQUETTES"/>
    <s v="304x28 RPE"/>
    <n v="109.7"/>
  </r>
  <r>
    <d v="2025-08-29T05:28:33"/>
    <x v="1"/>
    <s v="Plaquettes de finition"/>
    <s v="DELIAT C"/>
    <s v="DELIAT CHRISTOPHE"/>
    <n v="5"/>
    <x v="1"/>
    <x v="0"/>
    <s v="PLAQUETTES"/>
    <s v="304x28 RPE"/>
    <n v="47.8"/>
  </r>
  <r>
    <d v="2025-08-29T05:28:45"/>
    <x v="1"/>
    <s v="Plaquettes de finition"/>
    <s v="DELIAT C"/>
    <s v="DELIAT CHRISTOPHE"/>
    <n v="5"/>
    <x v="1"/>
    <x v="0"/>
    <s v="PLAQUETTES"/>
    <s v="304x28 RPE"/>
    <n v="47.8"/>
  </r>
  <r>
    <d v="2025-08-29T12:04:22"/>
    <x v="1"/>
    <s v="Plaquettes de finition"/>
    <s v="U080365"/>
    <s v="ALAVOINE SAMUEL"/>
    <n v="5"/>
    <x v="0"/>
    <x v="0"/>
    <s v="PLAQUETTES"/>
    <s v="356x26 RPI"/>
    <n v="47.8"/>
  </r>
  <r>
    <d v="2025-08-30T11:27:33"/>
    <x v="1"/>
    <s v="Plaquettes de finition"/>
    <s v="U080365"/>
    <s v="ALAVOINE SAMUEL"/>
    <n v="5"/>
    <x v="0"/>
    <x v="0"/>
    <s v="PLAQUETTES"/>
    <s v="356x26 RPI"/>
    <n v="47.8"/>
  </r>
  <r>
    <d v="2025-08-31T09:02:23"/>
    <x v="1"/>
    <s v="Plaquettes de finition"/>
    <s v="140325"/>
    <s v="BOUCLIER JONATHAN"/>
    <n v="5"/>
    <x v="2"/>
    <x v="1"/>
    <s v="PLAQUETTES"/>
    <s v="302x26 RPI"/>
    <n v="47.8"/>
  </r>
  <r>
    <d v="2025-08-31T16:57:58"/>
    <x v="1"/>
    <s v="Plaquettes de finition"/>
    <s v="J529792"/>
    <s v="LEBRE CHRISTOPHE"/>
    <n v="5"/>
    <x v="2"/>
    <x v="1"/>
    <s v="PLAQUETTES"/>
    <s v="302x26 RPI"/>
    <n v="47.8"/>
  </r>
  <r>
    <d v="2025-09-01T03:15:20"/>
    <x v="1"/>
    <s v="Plaquettes de finition"/>
    <s v="U080365"/>
    <s v="ALAVOINE SAMUEL"/>
    <n v="5"/>
    <x v="0"/>
    <x v="0"/>
    <s v="PLAQUETTES"/>
    <s v="356x26 RPI"/>
    <n v="47.8"/>
  </r>
  <r>
    <d v="2025-09-01T05:37:12"/>
    <x v="1"/>
    <s v="Plaquettes de finition"/>
    <s v="SD75051"/>
    <s v="COMBALUZIER LUCAS"/>
    <n v="5"/>
    <x v="1"/>
    <x v="0"/>
    <s v="PLAQUETTES"/>
    <s v="304x28 RPE"/>
    <n v="47.8"/>
  </r>
  <r>
    <d v="2025-09-01T13:03:23"/>
    <x v="1"/>
    <s v="Plaquettes de finition"/>
    <s v="101123"/>
    <s v="BRUNET ANDREA"/>
    <n v="5"/>
    <x v="1"/>
    <x v="0"/>
    <s v="PLAQUETTES"/>
    <s v="304x28 RPE"/>
    <n v="47.8"/>
  </r>
  <r>
    <d v="2025-09-01T13:12:49"/>
    <x v="1"/>
    <s v="Plaquettes de finition"/>
    <s v="U505000"/>
    <s v="RECEVEUR BENOIT"/>
    <n v="5"/>
    <x v="2"/>
    <x v="1"/>
    <s v="PLAQUETTES"/>
    <s v="302x26 RPI"/>
    <n v="47.8"/>
  </r>
  <r>
    <d v="2025-09-01T21:26:16"/>
    <x v="1"/>
    <s v="Plaquettes de finition"/>
    <s v="U037238"/>
    <s v="PRIEUR OLIVIER"/>
    <n v="5"/>
    <x v="2"/>
    <x v="1"/>
    <s v="PLAQUETTES"/>
    <s v="302x26 RPI"/>
    <n v="47.8"/>
  </r>
  <r>
    <d v="2025-09-01T21:33:20"/>
    <x v="1"/>
    <s v="Plaquettes de finition"/>
    <s v="j529800"/>
    <s v="MONTCHARMONT BAPTISTE"/>
    <n v="5"/>
    <x v="0"/>
    <x v="0"/>
    <s v="PLAQUETTES"/>
    <s v="356x26 RPI"/>
    <n v="47.8"/>
  </r>
  <r>
    <d v="2025-09-02T06:21:50"/>
    <x v="1"/>
    <s v="Plaquettes de finition"/>
    <s v="SD75051"/>
    <s v="COMBALUZIER LUCAS"/>
    <n v="5"/>
    <x v="1"/>
    <x v="0"/>
    <s v="PLAQUETTES"/>
    <s v="304x28 RPE"/>
    <n v="47.8"/>
  </r>
  <r>
    <d v="2025-09-02T08:34:12"/>
    <x v="1"/>
    <s v="Plaquettes de finition"/>
    <s v="040725"/>
    <s v="BARGEOT LUCAS"/>
    <n v="5"/>
    <x v="0"/>
    <x v="0"/>
    <s v="PLAQUETTES"/>
    <s v="356x26 RPI"/>
    <n v="47.8"/>
  </r>
  <r>
    <d v="2025-09-03T02:34:12"/>
    <x v="1"/>
    <s v="Plaquettes de finition"/>
    <s v="U037238"/>
    <s v="PRIEUR OLIVIER"/>
    <n v="5"/>
    <x v="2"/>
    <x v="1"/>
    <s v="PLAQUETTES"/>
    <s v="302x26 RPI"/>
    <n v="47.8"/>
  </r>
  <r>
    <d v="2025-09-03T02:42:18"/>
    <x v="1"/>
    <s v="Plaquettes de finition"/>
    <s v="j529800"/>
    <s v="MONTCHARMONT BAPTISTE"/>
    <n v="5"/>
    <x v="0"/>
    <x v="0"/>
    <s v="PLAQUETTES"/>
    <s v="356x26 RPI"/>
    <n v="47.8"/>
  </r>
  <r>
    <d v="2025-09-03T06:13:28"/>
    <x v="1"/>
    <s v="Plaquettes de finition"/>
    <s v="SD75051"/>
    <s v="COMBALUZIER LUCAS"/>
    <n v="5"/>
    <x v="1"/>
    <x v="0"/>
    <s v="PLAQUETTES"/>
    <s v="304x28 RPE"/>
    <n v="47.8"/>
  </r>
  <r>
    <d v="2025-09-03T11:26:41"/>
    <x v="1"/>
    <s v="Plaquettes de finition"/>
    <s v="040725"/>
    <s v="BARGEOT LUCAS"/>
    <n v="5"/>
    <x v="0"/>
    <x v="0"/>
    <s v="PLAQUETTES"/>
    <s v="356x26 RPI"/>
    <n v="47.8"/>
  </r>
  <r>
    <d v="2025-09-03T21:20:40"/>
    <x v="1"/>
    <s v="Plaquettes de finition"/>
    <s v="j529800"/>
    <s v="MONTCHARMONT BAPTISTE"/>
    <n v="5"/>
    <x v="0"/>
    <x v="0"/>
    <s v="PLAQUETTES"/>
    <s v="356x26 RPI"/>
    <n v="47.8"/>
  </r>
  <r>
    <d v="2025-09-03T22:20:24"/>
    <x v="1"/>
    <s v="Plaquettes de finition"/>
    <s v="130325"/>
    <s v="PAPONNEAU JULIEN"/>
    <n v="5"/>
    <x v="1"/>
    <x v="0"/>
    <s v="PLAQUETTES"/>
    <s v="304x28 RPE"/>
    <n v="47.8"/>
  </r>
  <r>
    <d v="2025-09-03T22:20:37"/>
    <x v="1"/>
    <s v="Plaquettes de finition"/>
    <s v="130325"/>
    <s v="PAPONNEAU JULIEN"/>
    <n v="5"/>
    <x v="1"/>
    <x v="0"/>
    <s v="PLAQUETTES"/>
    <s v="304x28 RPE"/>
    <n v="47.8"/>
  </r>
  <r>
    <d v="2025-09-03T22:20:49"/>
    <x v="1"/>
    <s v="Plaquettes de finition"/>
    <s v="130325"/>
    <s v="PAPONNEAU JULIEN"/>
    <n v="5"/>
    <x v="1"/>
    <x v="0"/>
    <s v="PLAQUETTES"/>
    <s v="304x28 RPE"/>
    <n v="47.8"/>
  </r>
  <r>
    <d v="2025-09-04T03:16:45"/>
    <x v="1"/>
    <s v="Plaquettes de finition"/>
    <s v="U037238"/>
    <s v="PRIEUR OLIVIER"/>
    <n v="5"/>
    <x v="2"/>
    <x v="1"/>
    <s v="PLAQUETTES"/>
    <s v="302x26 RPI"/>
    <n v="47.8"/>
  </r>
  <r>
    <d v="2025-09-04T05:12:45"/>
    <x v="1"/>
    <s v="Plaquettes de finition"/>
    <s v="SD75051"/>
    <s v="COMBALUZIER LUCAS"/>
    <n v="5"/>
    <x v="1"/>
    <x v="0"/>
    <s v="PLAQUETTES"/>
    <s v="304x28 RPE"/>
    <n v="47.8"/>
  </r>
  <r>
    <d v="2025-09-04T05:38:24"/>
    <x v="1"/>
    <s v="Plaquettes de finition"/>
    <s v="040725"/>
    <s v="BARGEOT LUCAS"/>
    <n v="5"/>
    <x v="0"/>
    <x v="0"/>
    <s v="PLAQUETTES"/>
    <s v="356x26 RPI"/>
    <n v="47.8"/>
  </r>
  <r>
    <d v="2025-09-04T21:45:18"/>
    <x v="2"/>
    <s v="Plaquettes de finition"/>
    <s v="j529800"/>
    <s v="MONTCHARMONT BAPTISTE"/>
    <n v="5"/>
    <x v="3"/>
    <x v="2"/>
    <s v="PLAQUETTES"/>
    <s v="330x28 RPE KO"/>
    <n v="44.85"/>
  </r>
  <r>
    <d v="2025-09-04T21:46:13"/>
    <x v="1"/>
    <s v="Plaquettes de finition"/>
    <s v="j529800"/>
    <s v="MONTCHARMONT BAPTISTE"/>
    <n v="5"/>
    <x v="3"/>
    <x v="0"/>
    <s v="PLAQUETTES"/>
    <s v="330x28 RPE KO"/>
    <n v="47.8"/>
  </r>
  <r>
    <d v="2025-09-05T05:27:17"/>
    <x v="1"/>
    <s v="Plaquettes de finition"/>
    <s v="U551977"/>
    <s v="BASPINAR SELAHATTIN"/>
    <n v="5"/>
    <x v="1"/>
    <x v="0"/>
    <s v="PLAQUETTES"/>
    <s v="304x28 RPE"/>
    <n v="47.8"/>
  </r>
  <r>
    <d v="2025-09-05T05:28:06"/>
    <x v="0"/>
    <s v="Plaquettes de finition"/>
    <s v="U551977"/>
    <s v="BASPINAR SELAHATTIN"/>
    <n v="10"/>
    <x v="1"/>
    <x v="0"/>
    <s v="PLAQUETTES"/>
    <s v="304x28 RPE"/>
    <n v="109.7"/>
  </r>
  <r>
    <d v="2025-09-05T08:59:50"/>
    <x v="1"/>
    <s v="Plaquettes de finition"/>
    <s v="J529792"/>
    <s v="LEBRE CHRISTOPHE"/>
    <n v="5"/>
    <x v="2"/>
    <x v="1"/>
    <s v="PLAQUETTES"/>
    <s v="302x26 RPI"/>
    <n v="47.8"/>
  </r>
  <r>
    <d v="2025-09-05T09:00:09"/>
    <x v="1"/>
    <s v="Plaquettes de finition"/>
    <s v="J529792"/>
    <s v="LEBRE CHRISTOPHE"/>
    <n v="5"/>
    <x v="2"/>
    <x v="1"/>
    <s v="PLAQUETTES"/>
    <s v="302x26 RPI"/>
    <n v="47.8"/>
  </r>
  <r>
    <d v="2025-09-05T13:09:58"/>
    <x v="1"/>
    <s v="Plaquettes de finition"/>
    <s v="101123"/>
    <s v="BRUNET ANDREA"/>
    <n v="5"/>
    <x v="1"/>
    <x v="0"/>
    <s v="PLAQUETTES"/>
    <s v="304x28 RPE"/>
    <n v="47.8"/>
  </r>
  <r>
    <d v="2025-09-05T14:08:44"/>
    <x v="1"/>
    <s v="Plaquettes de finition"/>
    <s v="101224"/>
    <s v="CHAZEAU KYLIAN"/>
    <n v="5"/>
    <x v="3"/>
    <x v="0"/>
    <s v="PLAQUETTES"/>
    <s v="330x28 RPE KO"/>
    <n v="47.8"/>
  </r>
  <r>
    <d v="2025-09-05T14:08:56"/>
    <x v="1"/>
    <s v="Plaquettes de finition"/>
    <s v="101224"/>
    <s v="CHAZEAU KYLIAN"/>
    <n v="5"/>
    <x v="0"/>
    <x v="0"/>
    <s v="PLAQUETTES"/>
    <s v="356x26 RPI"/>
    <n v="47.8"/>
  </r>
  <r>
    <d v="2025-09-06T00:15:42"/>
    <x v="1"/>
    <s v="Plaquettes de finition"/>
    <s v="U037238"/>
    <s v="PRIEUR OLIVIER"/>
    <n v="5"/>
    <x v="2"/>
    <x v="1"/>
    <s v="PLAQUETTES"/>
    <s v="302x26 RPI"/>
    <n v="47.8"/>
  </r>
  <r>
    <d v="2025-09-06T05:22:38"/>
    <x v="1"/>
    <s v="Plaquettes de finition"/>
    <s v="U080365"/>
    <s v="ALAVOINE SAMUEL"/>
    <n v="5"/>
    <x v="1"/>
    <x v="0"/>
    <s v="PLAQUETTES"/>
    <s v="304x28 RPE"/>
    <n v="47.8"/>
  </r>
  <r>
    <d v="2025-09-06T12:55:34"/>
    <x v="1"/>
    <s v="Plaquettes de finition"/>
    <s v="150725"/>
    <s v="ADOUL WASSIM"/>
    <n v="5"/>
    <x v="0"/>
    <x v="0"/>
    <s v="PLAQUETTES"/>
    <s v="356x26 RPI"/>
    <n v="47.8"/>
  </r>
  <r>
    <d v="2025-09-07T17:20:08"/>
    <x v="1"/>
    <s v="Plaquettes de finition"/>
    <s v="150725"/>
    <s v="ADOUL WASSIM"/>
    <n v="5"/>
    <x v="0"/>
    <x v="0"/>
    <s v="PLAQUETTES"/>
    <s v="356x26 RPI"/>
    <n v="47.8"/>
  </r>
  <r>
    <d v="2025-09-08T05:08:46"/>
    <x v="1"/>
    <s v="Plaquettes de finition"/>
    <s v="101123"/>
    <s v="BRUNET ANDREA"/>
    <n v="5"/>
    <x v="1"/>
    <x v="0"/>
    <s v="PLAQUETTES"/>
    <s v="304x28 RPE"/>
    <n v="47.8"/>
  </r>
  <r>
    <d v="2025-09-08T10:50:02"/>
    <x v="1"/>
    <s v="Plaquettes de finition"/>
    <s v="12824586"/>
    <s v="DA SILVA FERNANDO"/>
    <n v="5"/>
    <x v="2"/>
    <x v="1"/>
    <s v="PLAQUETTES"/>
    <s v="TOUT DISQUES"/>
    <n v="47.8"/>
  </r>
  <r>
    <d v="2025-09-08T12:40:28"/>
    <x v="1"/>
    <s v="Plaquettes de finition"/>
    <s v="101224"/>
    <s v="CHAZEAU KYLIAN"/>
    <n v="5"/>
    <x v="3"/>
    <x v="0"/>
    <s v="PLAQUETTES"/>
    <s v="330x28 RPE KO"/>
    <n v="47.8"/>
  </r>
  <r>
    <d v="2025-09-08T14:11:58"/>
    <x v="1"/>
    <s v="Plaquettes de finition"/>
    <s v="SD75051"/>
    <s v="COMBALUZIER LUCAS"/>
    <n v="5"/>
    <x v="1"/>
    <x v="0"/>
    <s v="PLAQUETTES"/>
    <s v="304x28 RPE"/>
    <n v="47.8"/>
  </r>
  <r>
    <d v="2025-09-08T14:13:21"/>
    <x v="2"/>
    <s v="Plaquettes de finition"/>
    <s v="040725"/>
    <s v="BARGEOT LUCAS"/>
    <n v="5"/>
    <x v="3"/>
    <x v="2"/>
    <s v="PLAQUETTES"/>
    <s v="330x28 RPE KO"/>
    <n v="44.85"/>
  </r>
  <r>
    <d v="2025-09-08T14:14:28"/>
    <x v="1"/>
    <s v="Plaquettes de finition"/>
    <s v="040725"/>
    <s v="BARGEOT LUCAS"/>
    <n v="5"/>
    <x v="3"/>
    <x v="0"/>
    <s v="PLAQUETTES"/>
    <s v="330x28 RPE KO"/>
    <n v="47.8"/>
  </r>
  <r>
    <d v="2025-09-08T14:14:58"/>
    <x v="1"/>
    <s v="Plaquettes de finition"/>
    <s v="040725"/>
    <s v="BARGEOT LUCAS"/>
    <n v="5"/>
    <x v="0"/>
    <x v="0"/>
    <s v="PLAQUETTES"/>
    <s v="356x26 RPI"/>
    <n v="47.8"/>
  </r>
  <r>
    <d v="2025-09-08T15:15:42"/>
    <x v="1"/>
    <s v="Plaquettes de finition"/>
    <s v="u636817"/>
    <s v="MOCQUEREAU LYDIE"/>
    <n v="5"/>
    <x v="2"/>
    <x v="1"/>
    <s v="PLAQUETTES"/>
    <s v="302x26 RPI"/>
    <n v="47.8"/>
  </r>
  <r>
    <d v="2025-09-08T15:16:12"/>
    <x v="1"/>
    <s v="Plaquettes de finition"/>
    <s v="u636817"/>
    <s v="MOCQUEREAU LYDIE"/>
    <n v="5"/>
    <x v="2"/>
    <x v="1"/>
    <s v="PLAQUETTES"/>
    <s v="302x26 RPI"/>
    <n v="47.8"/>
  </r>
  <r>
    <d v="2025-09-09T13:34:05"/>
    <x v="1"/>
    <s v="Plaquettes de finition"/>
    <s v="SD75051"/>
    <s v="COMBALUZIER LUCAS"/>
    <n v="5"/>
    <x v="1"/>
    <x v="0"/>
    <s v="PLAQUETTES"/>
    <s v="304x28 RPE"/>
    <n v="47.8"/>
  </r>
  <r>
    <d v="2025-09-10T05:04:29"/>
    <x v="1"/>
    <s v="Plaquettes de finition"/>
    <s v="101224"/>
    <s v="CHAZEAU KYLIAN"/>
    <n v="5"/>
    <x v="0"/>
    <x v="0"/>
    <s v="PLAQUETTES"/>
    <s v="356x26 RPI"/>
    <n v="47.8"/>
  </r>
  <r>
    <d v="2025-09-11T05:11:59"/>
    <x v="1"/>
    <s v="Plaquettes de finition"/>
    <s v="171124"/>
    <s v="GONIN AGNES"/>
    <n v="5"/>
    <x v="2"/>
    <x v="1"/>
    <s v="PLAQUETTES"/>
    <s v="302x26 RPI"/>
    <n v="47.8"/>
  </r>
  <r>
    <d v="2025-09-11T05:13:41"/>
    <x v="1"/>
    <s v="Plaquettes de finition"/>
    <s v="101123"/>
    <s v="BRUNET ANDREA"/>
    <n v="5"/>
    <x v="1"/>
    <x v="0"/>
    <s v="PLAQUETTES"/>
    <s v="304x28 RPE"/>
    <n v="47.8"/>
  </r>
  <r>
    <d v="2025-09-11T05:14:39"/>
    <x v="1"/>
    <s v="Plaquettes de finition"/>
    <s v="171124"/>
    <s v="GONIN AGNES"/>
    <n v="5"/>
    <x v="2"/>
    <x v="1"/>
    <s v="PLAQUETTES"/>
    <s v="302x26 RPI"/>
    <n v="47.8"/>
  </r>
  <r>
    <d v="2025-09-11T13:10:33"/>
    <x v="1"/>
    <s v="Plaquettes de finition"/>
    <s v="u636817"/>
    <s v="MOCQUEREAU LYDIE"/>
    <n v="5"/>
    <x v="2"/>
    <x v="1"/>
    <s v="PLAQUETTES"/>
    <s v="302x26 RPI"/>
    <n v="47.8"/>
  </r>
  <r>
    <d v="2025-09-11T13:11:03"/>
    <x v="1"/>
    <s v="Plaquettes de finition"/>
    <s v="u636817"/>
    <s v="MOCQUEREAU LYDIE"/>
    <n v="5"/>
    <x v="2"/>
    <x v="1"/>
    <s v="PLAQUETTES"/>
    <s v="302x26 RPI"/>
    <n v="47.8"/>
  </r>
  <r>
    <d v="2025-09-11T13:11:27"/>
    <x v="1"/>
    <s v="Plaquettes de finition"/>
    <s v="u636817"/>
    <s v="MOCQUEREAU LYDIE"/>
    <n v="5"/>
    <x v="2"/>
    <x v="1"/>
    <s v="PLAQUETTES"/>
    <s v="302x26 RPI"/>
    <n v="47.8"/>
  </r>
  <r>
    <d v="2025-09-11T14:17:20"/>
    <x v="1"/>
    <s v="Plaquettes de finition"/>
    <s v="040725"/>
    <s v="BARGEOT LUCAS"/>
    <n v="5"/>
    <x v="0"/>
    <x v="0"/>
    <s v="PLAQUETTES"/>
    <s v="356x26 RPI"/>
    <n v="47.8"/>
  </r>
  <r>
    <d v="2025-09-11T14:22:31"/>
    <x v="1"/>
    <s v="Plaquettes de finition"/>
    <s v="SD75051"/>
    <s v="COMBALUZIER LUCAS"/>
    <n v="5"/>
    <x v="1"/>
    <x v="0"/>
    <s v="PLAQUETTES"/>
    <s v="304x28 RPE"/>
    <n v="47.8"/>
  </r>
  <r>
    <d v="2025-09-11T22:00:01"/>
    <x v="1"/>
    <s v="Plaquettes de finition"/>
    <s v="U037238"/>
    <s v="PRIEUR OLIVIER"/>
    <n v="5"/>
    <x v="2"/>
    <x v="1"/>
    <s v="PLAQUETTES"/>
    <s v="302x26 RPI"/>
    <n v="47.8"/>
  </r>
  <r>
    <d v="2025-09-12T00:03:49"/>
    <x v="1"/>
    <s v="Plaquettes de finition"/>
    <s v="j529800"/>
    <s v="MONTCHARMONT BAPTISTE"/>
    <n v="5"/>
    <x v="0"/>
    <x v="0"/>
    <s v="PLAQUETTES"/>
    <s v="356x26 RPI"/>
    <n v="47.8"/>
  </r>
  <r>
    <d v="2025-09-12T05:04:40"/>
    <x v="1"/>
    <s v="Plaquettes de finition"/>
    <s v="J529792"/>
    <s v="LEBRE CHRISTOPHE"/>
    <n v="5"/>
    <x v="2"/>
    <x v="1"/>
    <s v="PLAQUETTES"/>
    <s v="302x26 RPI"/>
    <n v="47.8"/>
  </r>
  <r>
    <d v="2025-09-12T14:01:27"/>
    <x v="1"/>
    <s v="Plaquettes de finition"/>
    <s v="SD75051"/>
    <s v="COMBALUZIER LUCAS"/>
    <n v="5"/>
    <x v="1"/>
    <x v="0"/>
    <s v="PLAQUETTES"/>
    <s v="304x28 RPE"/>
    <n v="47.8"/>
  </r>
  <r>
    <d v="2025-09-12T18:07:20"/>
    <x v="1"/>
    <s v="Plaquettes de finition"/>
    <s v="040725"/>
    <s v="BARGEOT LUCAS"/>
    <n v="5"/>
    <x v="0"/>
    <x v="0"/>
    <s v="PLAQUETTES"/>
    <s v="356x26 RPI"/>
    <n v="47.8"/>
  </r>
  <r>
    <d v="2025-09-15T00:37:42"/>
    <x v="1"/>
    <s v="Plaquettes de finition"/>
    <s v="U109136"/>
    <s v="WIPLIE FREDERIC"/>
    <n v="5"/>
    <x v="0"/>
    <x v="0"/>
    <s v="PLAQUETTES"/>
    <s v="356x26 RPI"/>
    <n v="47.8"/>
  </r>
  <r>
    <d v="2025-09-15T00:56:19"/>
    <x v="1"/>
    <s v="Plaquettes de finition"/>
    <s v="150725"/>
    <s v="ADOUL WASSIM"/>
    <n v="5"/>
    <x v="1"/>
    <x v="0"/>
    <s v="PLAQUETTES"/>
    <s v="304x28 RPE"/>
    <n v="47.8"/>
  </r>
  <r>
    <d v="2025-09-15T08:12:40"/>
    <x v="1"/>
    <s v="Plaquettes de finition"/>
    <s v="140325"/>
    <s v="BOUCLIER JONATHAN"/>
    <n v="5"/>
    <x v="2"/>
    <x v="1"/>
    <s v="PLAQUETTES"/>
    <s v="302x26 RPI"/>
    <n v="47.8"/>
  </r>
  <r>
    <d v="2025-09-15T09:14:28"/>
    <x v="1"/>
    <s v="Plaquettes de finition"/>
    <s v="SD75051"/>
    <s v="COMBALUZIER LUCAS"/>
    <n v="5"/>
    <x v="1"/>
    <x v="0"/>
    <s v="PLAQUETTES"/>
    <s v="304x28 RPE"/>
    <n v="47.8"/>
  </r>
  <r>
    <d v="2025-09-15T21:19:07"/>
    <x v="1"/>
    <s v="Plaquettes de finition"/>
    <s v="j529800"/>
    <s v="MONTCHARMONT BAPTISTE"/>
    <n v="5"/>
    <x v="0"/>
    <x v="0"/>
    <s v="PLAQUETTES"/>
    <s v="356x26 RPI"/>
    <n v="47.8"/>
  </r>
  <r>
    <d v="2025-09-16T06:03:12"/>
    <x v="1"/>
    <s v="Plaquettes de finition"/>
    <s v="SD75051"/>
    <s v="COMBALUZIER LUCAS"/>
    <n v="5"/>
    <x v="1"/>
    <x v="0"/>
    <s v="PLAQUETTES"/>
    <s v="304x28 RPE"/>
    <n v="47.8"/>
  </r>
  <r>
    <d v="2025-09-16T07:38:05"/>
    <x v="0"/>
    <s v="Plaquettes de finition"/>
    <s v="040725"/>
    <s v="BARGEOT LUCAS"/>
    <n v="10"/>
    <x v="0"/>
    <x v="0"/>
    <s v="PLAQUETTES"/>
    <s v="356x26 RPI"/>
    <n v="109.7"/>
  </r>
  <r>
    <d v="2025-09-16T17:48:52"/>
    <x v="1"/>
    <s v="Plaquettes de finition"/>
    <s v="101224"/>
    <s v="CHAZEAU KYLIAN"/>
    <n v="5"/>
    <x v="0"/>
    <x v="0"/>
    <s v="PLAQUETTES"/>
    <s v="356x26 RPI"/>
    <n v="47.8"/>
  </r>
  <r>
    <d v="2025-09-17T01:17:37"/>
    <x v="1"/>
    <s v="Plaquettes de finition"/>
    <s v="U037238"/>
    <s v="PRIEUR OLIVIER"/>
    <n v="5"/>
    <x v="2"/>
    <x v="1"/>
    <s v="PLAQUETTES"/>
    <s v="302x26 RPI"/>
    <n v="47.8"/>
  </r>
  <r>
    <d v="2025-09-17T11:57:11"/>
    <x v="1"/>
    <s v="Plaquettes de finition"/>
    <s v="140325"/>
    <s v="BOUCLIER JONATHAN"/>
    <n v="5"/>
    <x v="2"/>
    <x v="1"/>
    <s v="PLAQUETTES"/>
    <s v="302x26 RPI"/>
    <n v="47.8"/>
  </r>
  <r>
    <d v="2025-09-17T13:58:46"/>
    <x v="1"/>
    <s v="Plaquettes de finition"/>
    <s v="101123"/>
    <s v="BRUNET ANDREA"/>
    <n v="5"/>
    <x v="1"/>
    <x v="0"/>
    <s v="PLAQUETTES"/>
    <s v="304x28 RPE"/>
    <n v="47.8"/>
  </r>
  <r>
    <d v="2025-09-17T21:23:34"/>
    <x v="1"/>
    <s v="Plaquettes de finition"/>
    <s v="j529800"/>
    <s v="MONTCHARMONT BAPTISTE"/>
    <n v="5"/>
    <x v="0"/>
    <x v="0"/>
    <s v="PLAQUETTES"/>
    <s v="356x26 RPI"/>
    <n v="47.8"/>
  </r>
  <r>
    <d v="2025-09-18T05:02:55"/>
    <x v="1"/>
    <s v="Plaquettes de finition"/>
    <s v="140325"/>
    <s v="BOUCLIER JONATHAN"/>
    <n v="5"/>
    <x v="2"/>
    <x v="1"/>
    <s v="PLAQUETTES"/>
    <s v="302x26 RPI"/>
    <n v="47.8"/>
  </r>
  <r>
    <d v="2025-09-18T07:06:07"/>
    <x v="1"/>
    <s v="Plaquettes de finition"/>
    <s v="SD75051"/>
    <s v="COMBALUZIER LUCAS"/>
    <n v="5"/>
    <x v="1"/>
    <x v="0"/>
    <s v="PLAQUETTES"/>
    <s v="304x28 RPE"/>
    <n v="47.8"/>
  </r>
  <r>
    <d v="2025-09-18T16:39:40"/>
    <x v="1"/>
    <s v="Plaquettes de finition"/>
    <s v="101224"/>
    <s v="CHAZEAU KYLIAN"/>
    <n v="5"/>
    <x v="0"/>
    <x v="0"/>
    <s v="PLAQUETTES"/>
    <s v="356x26 RPI"/>
    <n v="47.8"/>
  </r>
  <r>
    <d v="2025-09-18T21:17:23"/>
    <x v="1"/>
    <s v="Plaquettes de finition"/>
    <s v="U037238"/>
    <s v="PRIEUR OLIVIER"/>
    <n v="5"/>
    <x v="2"/>
    <x v="1"/>
    <s v="PLAQUETTES"/>
    <s v="302x26 RPI"/>
    <n v="47.8"/>
  </r>
  <r>
    <d v="2025-09-19T13:01:15"/>
    <x v="1"/>
    <s v="Plaquettes de finition"/>
    <s v="101123"/>
    <s v="BRUNET ANDREA"/>
    <n v="5"/>
    <x v="1"/>
    <x v="0"/>
    <s v="PLAQUETTES"/>
    <s v="304x28 RPE"/>
    <n v="47.8"/>
  </r>
  <r>
    <d v="2025-09-19T14:01:49"/>
    <x v="1"/>
    <s v="Plaquettes de finition"/>
    <s v="101224"/>
    <s v="CHAZEAU KYLIAN"/>
    <n v="5"/>
    <x v="0"/>
    <x v="0"/>
    <s v="PLAQUETTES"/>
    <s v="356x26 RPI"/>
    <n v="47.8"/>
  </r>
  <r>
    <d v="2025-09-19T17:32:07"/>
    <x v="0"/>
    <s v="Plaquettes de finition"/>
    <s v="101224"/>
    <s v="CHAZEAU KYLIAN"/>
    <n v="10"/>
    <x v="3"/>
    <x v="0"/>
    <s v="PLAQUETTES"/>
    <s v="290x12"/>
    <n v="109.7"/>
  </r>
  <r>
    <d v="2025-09-20T12:53:03"/>
    <x v="1"/>
    <s v="Plaquettes de finition"/>
    <s v="U109136"/>
    <s v="WIPLIE FREDERIC"/>
    <n v="5"/>
    <x v="1"/>
    <x v="0"/>
    <s v="PLAQUETTES"/>
    <s v="304x28 RPE"/>
    <n v="47.8"/>
  </r>
  <r>
    <d v="2025-09-20T14:18:39"/>
    <x v="1"/>
    <s v="Plaquettes de finition"/>
    <s v="150725"/>
    <s v="ADOUL WASSIM"/>
    <n v="5"/>
    <x v="0"/>
    <x v="0"/>
    <s v="PLAQUETTES"/>
    <s v="356x26 RPI"/>
    <n v="47.8"/>
  </r>
  <r>
    <d v="2025-09-21T21:37:30"/>
    <x v="1"/>
    <s v="Plaquettes de finition"/>
    <s v="U109136"/>
    <s v="WIPLIE FREDERIC"/>
    <n v="5"/>
    <x v="1"/>
    <x v="0"/>
    <s v="PLAQUETTES"/>
    <s v="304x28 RPE"/>
    <n v="47.8"/>
  </r>
  <r>
    <d v="2025-09-21T22:27:12"/>
    <x v="1"/>
    <s v="Plaquettes de finition"/>
    <s v="J529792"/>
    <s v="LEBRE CHRISTOPHE"/>
    <n v="5"/>
    <x v="2"/>
    <x v="1"/>
    <s v="PLAQUETTES"/>
    <s v="302x26 RPI"/>
    <n v="47.8"/>
  </r>
  <r>
    <d v="2025-09-22T04:58:34"/>
    <x v="1"/>
    <s v="Plaquettes de finition"/>
    <s v="171124"/>
    <s v="GONIN AGNES"/>
    <n v="5"/>
    <x v="2"/>
    <x v="1"/>
    <s v="PLAQUETTES"/>
    <s v="302x26 RPI"/>
    <n v="47.8"/>
  </r>
  <r>
    <d v="2025-09-22T04:59:01"/>
    <x v="1"/>
    <s v="Plaquettes de finition"/>
    <s v="171124"/>
    <s v="GONIN AGNES"/>
    <n v="5"/>
    <x v="2"/>
    <x v="1"/>
    <s v="PLAQUETTES"/>
    <s v="302x26 RPI"/>
    <n v="47.8"/>
  </r>
  <r>
    <d v="2025-09-22T05:31:21"/>
    <x v="1"/>
    <s v="Plaquettes de finition"/>
    <s v="U505000"/>
    <s v="RECEVEUR BENOIT"/>
    <n v="5"/>
    <x v="0"/>
    <x v="0"/>
    <s v="PLAQUETTES"/>
    <s v="356x26 RPI"/>
    <n v="47.8"/>
  </r>
  <r>
    <d v="2025-09-22T13:21:05"/>
    <x v="1"/>
    <s v="Plaquettes de finition"/>
    <s v="SD75051"/>
    <s v="COMBALUZIER LUCAS"/>
    <n v="5"/>
    <x v="1"/>
    <x v="0"/>
    <s v="PLAQUETTES"/>
    <s v="304x28 RPE"/>
    <n v="47.8"/>
  </r>
  <r>
    <d v="2025-09-22T13:33:51"/>
    <x v="1"/>
    <s v="Plaquettes de finition"/>
    <s v="140325"/>
    <s v="BOUCLIER JONATHAN"/>
    <n v="5"/>
    <x v="2"/>
    <x v="1"/>
    <s v="PLAQUETTES"/>
    <s v="302x26 RPI"/>
    <n v="47.8"/>
  </r>
  <r>
    <d v="2025-09-22T17:26:18"/>
    <x v="1"/>
    <s v="Plaquettes de finition"/>
    <s v="040725"/>
    <s v="BARGEOT LUCAS"/>
    <n v="5"/>
    <x v="0"/>
    <x v="0"/>
    <s v="PLAQUETTES"/>
    <s v="356x26 RPI"/>
    <n v="47.8"/>
  </r>
  <r>
    <d v="2025-09-22T22:09:16"/>
    <x v="1"/>
    <s v="Plaquettes de finition"/>
    <s v="U037238"/>
    <s v="PRIEUR OLIVIER"/>
    <n v="5"/>
    <x v="2"/>
    <x v="1"/>
    <s v="PLAQUETTES"/>
    <s v="302x26 RPI"/>
    <n v="47.8"/>
  </r>
  <r>
    <d v="2025-09-23T13:16:38"/>
    <x v="1"/>
    <s v="Plaquettes de finition"/>
    <s v="SD75051"/>
    <s v="COMBALUZIER LUCAS"/>
    <n v="5"/>
    <x v="1"/>
    <x v="0"/>
    <s v="PLAQUETTES"/>
    <s v="304x28 RPE"/>
    <n v="47.8"/>
  </r>
  <r>
    <d v="2025-09-23T14:25:52"/>
    <x v="1"/>
    <s v="Plaquettes de finition"/>
    <s v="040725"/>
    <s v="BARGEOT LUCAS"/>
    <n v="5"/>
    <x v="0"/>
    <x v="0"/>
    <s v="PLAQUETTES"/>
    <s v="356x26 RPI"/>
    <n v="47.8"/>
  </r>
  <r>
    <d v="2025-09-23T16:17:43"/>
    <x v="1"/>
    <s v="Plaquettes de finition"/>
    <s v="u636817"/>
    <s v="MOCQUEREAU LYDIE"/>
    <n v="5"/>
    <x v="2"/>
    <x v="1"/>
    <s v="PLAQUETTES"/>
    <s v="302x26 RPI"/>
    <n v="47.8"/>
  </r>
  <r>
    <d v="2025-09-23T16:18:03"/>
    <x v="1"/>
    <s v="Plaquettes de finition"/>
    <s v="u636817"/>
    <s v="MOCQUEREAU LYDIE"/>
    <n v="5"/>
    <x v="2"/>
    <x v="1"/>
    <s v="PLAQUETTES"/>
    <s v="302x26 RPI"/>
    <n v="47.8"/>
  </r>
  <r>
    <d v="2025-09-24T07:13:34"/>
    <x v="1"/>
    <s v="Plaquettes de finition"/>
    <s v="3224"/>
    <s v="BIDOT MURIEL"/>
    <n v="5"/>
    <x v="0"/>
    <x v="0"/>
    <s v="PLAQUETTES"/>
    <s v="356x26 RPI"/>
    <n v="47.8"/>
  </r>
  <r>
    <d v="2025-09-24T07:13:49"/>
    <x v="1"/>
    <s v="Plaquettes de finition"/>
    <s v="3224"/>
    <s v="BIDOT MURIEL"/>
    <n v="5"/>
    <x v="0"/>
    <x v="0"/>
    <s v="PLAQUETTES"/>
    <s v="356x26 RPI"/>
    <n v="47.8"/>
  </r>
  <r>
    <d v="2025-09-24T07:14:06"/>
    <x v="1"/>
    <s v="Plaquettes de finition"/>
    <s v="3224"/>
    <s v="BIDOT MURIEL"/>
    <n v="5"/>
    <x v="0"/>
    <x v="0"/>
    <s v="PLAQUETTES"/>
    <s v="356x26 RPI"/>
    <n v="47.8"/>
  </r>
  <r>
    <d v="2025-09-24T14:06:15"/>
    <x v="1"/>
    <s v="Plaquettes de finition"/>
    <s v="140325"/>
    <s v="BOUCLIER JONATHAN"/>
    <n v="5"/>
    <x v="2"/>
    <x v="1"/>
    <s v="PLAQUETTES"/>
    <s v="302x26 RPI"/>
    <n v="47.8"/>
  </r>
  <r>
    <d v="2025-09-24T14:21:08"/>
    <x v="1"/>
    <s v="Plaquettes de finition"/>
    <s v="SD75051"/>
    <s v="COMBALUZIER LUCAS"/>
    <n v="5"/>
    <x v="0"/>
    <x v="0"/>
    <s v="PLAQUETTES"/>
    <s v="356x26 RPI"/>
    <n v="47.8"/>
  </r>
  <r>
    <d v="2025-09-24T17:10:56"/>
    <x v="1"/>
    <s v="Plaquettes de finition"/>
    <s v="SD75051"/>
    <s v="COMBALUZIER LUCAS"/>
    <n v="5"/>
    <x v="3"/>
    <x v="0"/>
    <s v="PLAQUETTES"/>
    <s v="330x28 RPE KO"/>
    <n v="47.8"/>
  </r>
  <r>
    <d v="2025-09-25T03:19:32"/>
    <x v="1"/>
    <s v="Plaquettes de finition"/>
    <s v="U037238"/>
    <s v="PRIEUR OLIVIER"/>
    <n v="5"/>
    <x v="2"/>
    <x v="1"/>
    <s v="PLAQUETTES"/>
    <s v="302x26 RPI"/>
    <n v="47.8"/>
  </r>
  <r>
    <d v="2025-09-25T05:17:05"/>
    <x v="1"/>
    <s v="Plaquettes de finition"/>
    <s v="101123"/>
    <s v="BRUNET ANDREA"/>
    <n v="5"/>
    <x v="1"/>
    <x v="0"/>
    <s v="PLAQUETTES"/>
    <s v="304x28 RPE"/>
    <n v="47.8"/>
  </r>
  <r>
    <d v="2025-09-25T10:01:45"/>
    <x v="1"/>
    <s v="Plaquettes de finition"/>
    <s v="101224"/>
    <s v="CHAZEAU KYLIAN"/>
    <n v="5"/>
    <x v="0"/>
    <x v="0"/>
    <s v="PLAQUETTES"/>
    <s v="356x26 RPI"/>
    <n v="47.8"/>
  </r>
  <r>
    <d v="2025-09-25T10:59:52"/>
    <x v="1"/>
    <s v="Plaquettes de finition"/>
    <s v="101224"/>
    <s v="CHAZEAU KYLIAN"/>
    <n v="5"/>
    <x v="3"/>
    <x v="0"/>
    <s v="PLAQUETTES"/>
    <s v="330x28 RPE KO"/>
    <n v="47.8"/>
  </r>
  <r>
    <d v="2025-09-26T02:37:48"/>
    <x v="1"/>
    <s v="Plaquettes de finition"/>
    <s v="j529800"/>
    <s v="MONTCHARMONT BAPTISTE"/>
    <n v="5"/>
    <x v="3"/>
    <x v="0"/>
    <s v="PLAQUETTES"/>
    <s v="330x28 RPE KO"/>
    <n v="47.8"/>
  </r>
  <r>
    <d v="2025-09-26T13:09:24"/>
    <x v="1"/>
    <s v="Plaquettes de finition"/>
    <s v="040725"/>
    <s v="BARGEOT LUCAS"/>
    <n v="5"/>
    <x v="0"/>
    <x v="0"/>
    <s v="PLAQUETTES"/>
    <s v="356x26 RPI"/>
    <n v="47.8"/>
  </r>
  <r>
    <d v="2025-09-26T13:16:50"/>
    <x v="1"/>
    <s v="Plaquettes de finition"/>
    <s v="u636817"/>
    <s v="MOCQUEREAU LYDIE"/>
    <n v="5"/>
    <x v="2"/>
    <x v="1"/>
    <s v="PLAQUETTES"/>
    <s v="302x26 RPI"/>
    <n v="47.8"/>
  </r>
  <r>
    <d v="2025-09-26T13:17:13"/>
    <x v="1"/>
    <s v="Plaquettes de finition"/>
    <s v="u636817"/>
    <s v="MOCQUEREAU LYDIE"/>
    <n v="5"/>
    <x v="2"/>
    <x v="1"/>
    <s v="PLAQUETTES"/>
    <s v="302x26 RPI"/>
    <n v="47.8"/>
  </r>
  <r>
    <d v="2025-09-26T13:36:19"/>
    <x v="1"/>
    <s v="Plaquettes de finition"/>
    <s v="SD75051"/>
    <s v="COMBALUZIER LUCAS"/>
    <n v="5"/>
    <x v="1"/>
    <x v="0"/>
    <s v="PLAQUETTES"/>
    <s v="304x28 RPE"/>
    <n v="47.8"/>
  </r>
  <r>
    <d v="2025-09-26T14:35:55"/>
    <x v="1"/>
    <s v="Plaquettes de finition"/>
    <s v="040725"/>
    <s v="BARGEOT LUCAS"/>
    <n v="5"/>
    <x v="3"/>
    <x v="0"/>
    <s v="PLAQUETTES"/>
    <s v="330x28 RPE KO"/>
    <n v="47.8"/>
  </r>
  <r>
    <d v="2025-09-26T21:18:50"/>
    <x v="1"/>
    <s v="Plaquettes de finition"/>
    <s v="U037238"/>
    <s v="PRIEUR OLIVIER"/>
    <n v="5"/>
    <x v="2"/>
    <x v="1"/>
    <s v="PLAQUETTES"/>
    <s v="302x26 RPI"/>
    <n v="47.8"/>
  </r>
  <r>
    <d v="2025-09-27T05:05:02"/>
    <x v="1"/>
    <s v="Plaquettes de finition"/>
    <s v="J529792"/>
    <s v="LEBRE CHRISTOPHE"/>
    <n v="5"/>
    <x v="2"/>
    <x v="1"/>
    <s v="PLAQUETTES"/>
    <s v="302x26 RPI"/>
    <n v="47.8"/>
  </r>
  <r>
    <d v="2025-09-27T05:05:18"/>
    <x v="1"/>
    <s v="Plaquettes de finition"/>
    <s v="J529792"/>
    <s v="LEBRE CHRISTOPHE"/>
    <n v="5"/>
    <x v="2"/>
    <x v="1"/>
    <s v="PLAQUETTES"/>
    <s v="302x26 RPI"/>
    <n v="47.8"/>
  </r>
  <r>
    <d v="2025-09-27T09:15:04"/>
    <x v="1"/>
    <s v="Plaquettes de finition"/>
    <s v="150725"/>
    <s v="ADOUL WASSIM"/>
    <n v="5"/>
    <x v="1"/>
    <x v="0"/>
    <s v="PLAQUETTES"/>
    <s v="304x28 RPE"/>
    <n v="47.8"/>
  </r>
  <r>
    <d v="2025-09-28T11:11:45"/>
    <x v="1"/>
    <s v="Plaquettes de finition"/>
    <s v="250425"/>
    <s v="CHANDAR ABDER"/>
    <n v="5"/>
    <x v="2"/>
    <x v="1"/>
    <s v="PLAQUETTES"/>
    <s v="302x26 RPI"/>
    <n v="47.8"/>
  </r>
  <r>
    <d v="2025-09-29T00:59:17"/>
    <x v="1"/>
    <s v="Plaquettes de finition"/>
    <s v="U109136"/>
    <s v="WIPLIE FREDERIC"/>
    <n v="5"/>
    <x v="0"/>
    <x v="0"/>
    <s v="PLAQUETTES"/>
    <s v="356x26 RPI"/>
    <n v="47.8"/>
  </r>
  <r>
    <d v="2025-09-29T05:05:00"/>
    <x v="1"/>
    <s v="Plaquettes de finition"/>
    <s v="SD75051"/>
    <s v="COMBALUZIER LUCAS"/>
    <n v="5"/>
    <x v="1"/>
    <x v="0"/>
    <s v="PLAQUETTES"/>
    <s v="304x28 RPE"/>
    <n v="47.8"/>
  </r>
  <r>
    <d v="2025-09-29T05:05:18"/>
    <x v="0"/>
    <s v="Plaquettes de finition"/>
    <s v="SD75051"/>
    <s v="COMBALUZIER LUCAS"/>
    <n v="10"/>
    <x v="1"/>
    <x v="0"/>
    <s v="PLAQUETTES"/>
    <s v="304x28 RPE"/>
    <n v="109.7"/>
  </r>
  <r>
    <d v="2025-09-29T13:25:59"/>
    <x v="1"/>
    <s v="Plaquettes de finition"/>
    <s v="045F69CAA77080"/>
    <s v="TEIXEIRA FLORIAN"/>
    <n v="5"/>
    <x v="2"/>
    <x v="1"/>
    <s v="PLAQUETTES"/>
    <s v="302x26 RPI"/>
    <n v="47.8"/>
  </r>
  <r>
    <d v="2025-09-29T21:24:04"/>
    <x v="1"/>
    <s v="Plaquettes de finition"/>
    <s v="j529800"/>
    <s v="MONTCHARMONT BAPTISTE"/>
    <n v="5"/>
    <x v="0"/>
    <x v="0"/>
    <s v="PLAQUETTES"/>
    <s v="356x26 RPI"/>
    <n v="47.8"/>
  </r>
  <r>
    <d v="2025-09-29T22:06:31"/>
    <x v="1"/>
    <s v="Plaquettes de finition"/>
    <s v="U037238"/>
    <s v="PRIEUR OLIVIER"/>
    <n v="5"/>
    <x v="2"/>
    <x v="1"/>
    <s v="PLAQUETTES"/>
    <s v="302x26 RPI"/>
    <n v="47.8"/>
  </r>
  <r>
    <d v="2025-09-30T06:10:42"/>
    <x v="1"/>
    <s v="Plaquettes de finition"/>
    <s v="SD75051"/>
    <s v="COMBALUZIER LUCAS"/>
    <n v="5"/>
    <x v="1"/>
    <x v="0"/>
    <s v="PLAQUETTES"/>
    <s v="304x28 RPE"/>
    <n v="47.8"/>
  </r>
  <r>
    <d v="2025-09-30T21:26:19"/>
    <x v="1"/>
    <s v="Plaquettes de finition"/>
    <s v="j529800"/>
    <s v="MONTCHARMONT BAPTISTE"/>
    <n v="5"/>
    <x v="0"/>
    <x v="0"/>
    <s v="PLAQUETTES"/>
    <s v="356x26 RPI"/>
    <n v="47.8"/>
  </r>
  <r>
    <d v="2025-10-01T12:07:22"/>
    <x v="1"/>
    <s v="Plaquettes de finition"/>
    <s v="u636817"/>
    <s v="MOCQUEREAU LYDIE"/>
    <n v="5"/>
    <x v="2"/>
    <x v="1"/>
    <s v="PLAQUETTES"/>
    <s v="302x26 RPI"/>
    <n v="47.8"/>
  </r>
  <r>
    <d v="2025-10-01T12:07:45"/>
    <x v="1"/>
    <s v="Plaquettes de finition"/>
    <s v="u636817"/>
    <s v="MOCQUEREAU LYDIE"/>
    <n v="5"/>
    <x v="2"/>
    <x v="1"/>
    <s v="PLAQUETTES"/>
    <s v="302x26 RPI"/>
    <n v="47.8"/>
  </r>
  <r>
    <d v="2025-10-01T21:22:47"/>
    <x v="1"/>
    <s v="Plaquettes de finition"/>
    <s v="U037238"/>
    <s v="PRIEUR OLIVIER"/>
    <n v="5"/>
    <x v="2"/>
    <x v="1"/>
    <s v="PLAQUETTES"/>
    <s v="302x26 RPI"/>
    <n v="47.8"/>
  </r>
  <r>
    <d v="2025-10-02T06:46:43"/>
    <x v="1"/>
    <s v="Plaquettes de finition"/>
    <s v="040725"/>
    <s v="BARGEOT LUCAS"/>
    <n v="5"/>
    <x v="0"/>
    <x v="0"/>
    <s v="PLAQUETTES"/>
    <s v="356x26 RPI"/>
    <n v="47.8"/>
  </r>
  <r>
    <d v="2025-10-02T13:05:39"/>
    <x v="1"/>
    <s v="Plaquettes de finition"/>
    <s v="045F69CAA77080"/>
    <s v="TEIXEIRA FLORIAN"/>
    <n v="5"/>
    <x v="2"/>
    <x v="1"/>
    <s v="PLAQUETTES"/>
    <s v="302x26 RPI"/>
    <n v="47.8"/>
  </r>
  <r>
    <d v="2025-10-02T13:25:12"/>
    <x v="1"/>
    <s v="Plaquettes de finition"/>
    <s v="U505000"/>
    <s v="RECEVEUR BENOIT"/>
    <n v="5"/>
    <x v="1"/>
    <x v="0"/>
    <s v="PLAQUETTES"/>
    <s v="304x28 RPE"/>
    <n v="47.8"/>
  </r>
  <r>
    <d v="2025-10-02T22:20:12"/>
    <x v="1"/>
    <s v="Plaquettes de finition"/>
    <s v="j529800"/>
    <s v="MONTCHARMONT BAPTISTE"/>
    <n v="5"/>
    <x v="0"/>
    <x v="0"/>
    <s v="PLAQUETTES"/>
    <s v="356x26 RPI"/>
    <n v="47.8"/>
  </r>
  <r>
    <d v="2025-10-02T23:03:49"/>
    <x v="1"/>
    <s v="Plaquettes de finition"/>
    <s v="U037238"/>
    <s v="PRIEUR OLIVIER"/>
    <n v="5"/>
    <x v="2"/>
    <x v="1"/>
    <s v="PLAQUETTES"/>
    <s v="302x26 RPI"/>
    <n v="47.8"/>
  </r>
  <r>
    <d v="2025-10-03T13:15:02"/>
    <x v="1"/>
    <s v="Plaquettes de finition"/>
    <s v="045F69CAA77080"/>
    <s v="TEIXEIRA FLORIAN"/>
    <n v="5"/>
    <x v="2"/>
    <x v="1"/>
    <s v="PLAQUETTES"/>
    <s v="302x26 RPI"/>
    <n v="47.8"/>
  </r>
  <r>
    <d v="2025-10-03T21:14:18"/>
    <x v="1"/>
    <s v="Plaquettes de finition"/>
    <s v="j529800"/>
    <s v="MONTCHARMONT BAPTISTE"/>
    <n v="5"/>
    <x v="0"/>
    <x v="0"/>
    <s v="PLAQUETTES"/>
    <s v="356x26 RPI"/>
    <n v="47.8"/>
  </r>
  <r>
    <d v="2025-10-03T21:28:44"/>
    <x v="1"/>
    <s v="Plaquettes de finition"/>
    <s v="130325"/>
    <s v="PAPONNEAU JULIEN"/>
    <n v="5"/>
    <x v="1"/>
    <x v="0"/>
    <s v="PLAQUETTES"/>
    <s v="304x28 RPE"/>
    <n v="47.8"/>
  </r>
  <r>
    <d v="2025-10-03T21:28:57"/>
    <x v="1"/>
    <s v="Plaquettes de finition"/>
    <s v="130325"/>
    <s v="PAPONNEAU JULIEN"/>
    <n v="5"/>
    <x v="1"/>
    <x v="0"/>
    <s v="PLAQUETTES"/>
    <s v="304x28 RPE"/>
    <n v="47.8"/>
  </r>
  <r>
    <d v="2025-10-03T21:29:09"/>
    <x v="1"/>
    <s v="Plaquettes de finition"/>
    <s v="130325"/>
    <s v="PAPONNEAU JULIEN"/>
    <n v="5"/>
    <x v="1"/>
    <x v="0"/>
    <s v="PLAQUETTES"/>
    <s v="304x28 RPE"/>
    <n v="47.8"/>
  </r>
  <r>
    <d v="2025-10-04T06:42:01"/>
    <x v="1"/>
    <s v="Plaquettes de finition"/>
    <s v="U109136"/>
    <s v="WIPLIE FREDERIC"/>
    <n v="5"/>
    <x v="1"/>
    <x v="0"/>
    <s v="PLAQUETTES"/>
    <s v="304x28 RPE"/>
    <n v="47.8"/>
  </r>
  <r>
    <d v="2025-10-04T06:42:42"/>
    <x v="1"/>
    <s v="Plaquettes de finition"/>
    <s v="U109136"/>
    <s v="WIPLIE FREDERIC"/>
    <n v="5"/>
    <x v="1"/>
    <x v="0"/>
    <s v="PLAQUETTES"/>
    <s v="304x28 RPE"/>
    <n v="47.8"/>
  </r>
  <r>
    <d v="2025-10-05T17:29:38"/>
    <x v="1"/>
    <s v="Plaquettes de finition"/>
    <s v="150725"/>
    <s v="ADOUL WASSIM"/>
    <n v="5"/>
    <x v="0"/>
    <x v="0"/>
    <s v="PLAQUETTES"/>
    <s v="356x26 RPI"/>
    <n v="47.8"/>
  </r>
  <r>
    <d v="2025-10-05T22:50:02"/>
    <x v="1"/>
    <s v="Plaquettes de finition"/>
    <s v="150725"/>
    <s v="ADOUL WASSIM"/>
    <n v="5"/>
    <x v="1"/>
    <x v="0"/>
    <s v="PLAQUETTES"/>
    <s v="304x28 RPE"/>
    <n v="47.8"/>
  </r>
  <r>
    <d v="2025-10-06T06:44:44"/>
    <x v="1"/>
    <s v="Plaquettes de finition"/>
    <s v="101224"/>
    <s v="CHAZEAU KYLIAN"/>
    <n v="5"/>
    <x v="0"/>
    <x v="0"/>
    <s v="PLAQUETTES"/>
    <s v="356x26 RPI"/>
    <n v="47.8"/>
  </r>
  <r>
    <d v="2025-10-06T21:12:25"/>
    <x v="1"/>
    <s v="Plaquettes de finition"/>
    <s v="j529800"/>
    <s v="MONTCHARMONT BAPTISTE"/>
    <n v="5"/>
    <x v="0"/>
    <x v="0"/>
    <s v="PLAQUETTES"/>
    <s v="356x26 RPI"/>
    <n v="47.8"/>
  </r>
  <r>
    <d v="2025-10-06T21:15:42"/>
    <x v="1"/>
    <s v="Plaquettes de finition"/>
    <s v="U037238"/>
    <s v="PRIEUR OLIVIER"/>
    <n v="5"/>
    <x v="2"/>
    <x v="1"/>
    <s v="PLAQUETTES"/>
    <s v="302x26 RPI"/>
    <n v="47.8"/>
  </r>
  <r>
    <d v="2025-10-07T05:17:39"/>
    <x v="1"/>
    <s v="Plaquettes de finition"/>
    <s v="045F69CAA77080"/>
    <s v="TEIXEIRA FLORIAN"/>
    <n v="5"/>
    <x v="2"/>
    <x v="1"/>
    <s v="PLAQUETTES"/>
    <s v="302x26 RPI"/>
    <n v="47.8"/>
  </r>
  <r>
    <d v="2025-10-07T10:16:41"/>
    <x v="1"/>
    <s v="Plaquettes de finition"/>
    <s v="101224"/>
    <s v="CHAZEAU KYLIAN"/>
    <n v="5"/>
    <x v="0"/>
    <x v="0"/>
    <s v="PLAQUETTES"/>
    <s v="356x26 RPI"/>
    <n v="47.8"/>
  </r>
  <r>
    <d v="2025-10-07T16:44:21"/>
    <x v="1"/>
    <s v="Plaquettes de finition"/>
    <s v="J609988"/>
    <s v="AMALRIC VINCENT"/>
    <n v="5"/>
    <x v="1"/>
    <x v="0"/>
    <s v="PLAQUETTES"/>
    <s v="304x28 RPE"/>
    <n v="47.8"/>
  </r>
  <r>
    <d v="2025-10-08T01:08:04"/>
    <x v="0"/>
    <s v="Plaquettes de finition"/>
    <s v="j529800"/>
    <s v="MONTCHARMONT BAPTISTE"/>
    <n v="10"/>
    <x v="3"/>
    <x v="0"/>
    <s v="PLAQUETTES"/>
    <s v="330x14"/>
    <n v="109.7"/>
  </r>
  <r>
    <d v="2025-10-08T06:03:32"/>
    <x v="1"/>
    <s v="Plaquettes de finition"/>
    <s v="U505000"/>
    <s v="RECEVEUR BENOIT"/>
    <n v="5"/>
    <x v="1"/>
    <x v="0"/>
    <s v="PLAQUETTES"/>
    <s v="304x28 RPE"/>
    <n v="47.8"/>
  </r>
  <r>
    <d v="2025-10-08T12:36:25"/>
    <x v="1"/>
    <s v="Plaquettes de finition"/>
    <s v="U505000"/>
    <s v="RECEVEUR BENOIT"/>
    <n v="5"/>
    <x v="1"/>
    <x v="0"/>
    <s v="PLAQUETTES"/>
    <s v="304x28 RPE"/>
    <n v="47.8"/>
  </r>
  <r>
    <d v="2025-10-08T19:55:08"/>
    <x v="1"/>
    <s v="Plaquettes de finition"/>
    <s v="u636817"/>
    <s v="MOCQUEREAU LYDIE"/>
    <n v="5"/>
    <x v="2"/>
    <x v="1"/>
    <s v="PLAQUETTES"/>
    <s v="302x26 RPI"/>
    <n v="47.8"/>
  </r>
  <r>
    <d v="2025-10-08T19:55:26"/>
    <x v="1"/>
    <s v="Plaquettes de finition"/>
    <s v="u636817"/>
    <s v="MOCQUEREAU LYDIE"/>
    <n v="5"/>
    <x v="2"/>
    <x v="1"/>
    <s v="PLAQUETTES"/>
    <s v="302x26 RPI"/>
    <n v="47.8"/>
  </r>
  <r>
    <d v="2025-10-08T21:12:40"/>
    <x v="1"/>
    <s v="Plaquettes de finition"/>
    <s v="U037238"/>
    <s v="PRIEUR OLIVIER"/>
    <n v="5"/>
    <x v="2"/>
    <x v="1"/>
    <s v="PLAQUETTES"/>
    <s v="302x26 RPI"/>
    <n v="47.8"/>
  </r>
  <r>
    <d v="2025-10-09T01:17:00"/>
    <x v="1"/>
    <s v="Plaquettes de finition"/>
    <s v="j529800"/>
    <s v="MONTCHARMONT BAPTISTE"/>
    <n v="5"/>
    <x v="3"/>
    <x v="0"/>
    <s v="PLAQUETTES"/>
    <s v="330x28 RPE KO"/>
    <n v="47.8"/>
  </r>
  <r>
    <d v="2025-10-09T05:06:07"/>
    <x v="1"/>
    <s v="Plaquettes de finition"/>
    <s v="045F69CAA77080"/>
    <s v="TEIXEIRA FLORIAN"/>
    <n v="5"/>
    <x v="2"/>
    <x v="1"/>
    <s v="PLAQUETTES"/>
    <s v="302x26 RPI"/>
    <n v="47.8"/>
  </r>
  <r>
    <d v="2025-10-09T05:35:02"/>
    <x v="1"/>
    <s v="Plaquettes de finition"/>
    <s v="U505000"/>
    <s v="RECEVEUR BENOIT"/>
    <n v="5"/>
    <x v="1"/>
    <x v="0"/>
    <s v="PLAQUETTES"/>
    <s v="304x28 RPE"/>
    <n v="47.8"/>
  </r>
  <r>
    <d v="2025-10-09T09:33:15"/>
    <x v="1"/>
    <s v="Plaquettes de finition"/>
    <s v="101224"/>
    <s v="CHAZEAU KYLIAN"/>
    <n v="5"/>
    <x v="0"/>
    <x v="0"/>
    <s v="PLAQUETTES"/>
    <s v="356x26 RPI"/>
    <n v="47.8"/>
  </r>
  <r>
    <d v="2025-10-09T13:44:49"/>
    <x v="1"/>
    <s v="Plaquettes de finition"/>
    <s v="J609988"/>
    <s v="AMALRIC VINCENT"/>
    <n v="5"/>
    <x v="1"/>
    <x v="0"/>
    <s v="PLAQUETTES"/>
    <s v="304x28 RPE"/>
    <n v="47.8"/>
  </r>
  <r>
    <d v="2025-10-09T21:18:05"/>
    <x v="1"/>
    <s v="Plaquettes de finition"/>
    <s v="j529800"/>
    <s v="MONTCHARMONT BAPTISTE"/>
    <n v="5"/>
    <x v="3"/>
    <x v="0"/>
    <s v="PLAQUETTES"/>
    <s v="330x28 RPE KO"/>
    <n v="47.8"/>
  </r>
  <r>
    <d v="2025-10-10T01:13:47"/>
    <x v="1"/>
    <s v="Plaquettes de finition"/>
    <s v="U037238"/>
    <s v="PRIEUR OLIVIER"/>
    <n v="5"/>
    <x v="2"/>
    <x v="1"/>
    <s v="PLAQUETTES"/>
    <s v="302x26 RPI"/>
    <n v="47.8"/>
  </r>
  <r>
    <d v="2025-10-10T05:05:14"/>
    <x v="1"/>
    <s v="Plaquettes de finition"/>
    <s v="J529792"/>
    <s v="LEBRE CHRISTOPHE"/>
    <n v="5"/>
    <x v="2"/>
    <x v="1"/>
    <s v="PLAQUETTES"/>
    <s v="302x26 RPI"/>
    <n v="47.8"/>
  </r>
  <r>
    <d v="2025-10-10T13:24:32"/>
    <x v="1"/>
    <s v="Plaquettes de finition"/>
    <s v="U505000"/>
    <s v="RECEVEUR BENOIT"/>
    <n v="5"/>
    <x v="1"/>
    <x v="0"/>
    <s v="PLAQUETTES"/>
    <s v="304x28 RPE"/>
    <n v="47.8"/>
  </r>
  <r>
    <d v="2025-10-10T13:29:01"/>
    <x v="1"/>
    <s v="Plaquettes de finition"/>
    <s v="040725"/>
    <s v="BARGEOT LUCAS"/>
    <n v="5"/>
    <x v="0"/>
    <x v="0"/>
    <s v="PLAQUETTES"/>
    <s v="356x26 RPI"/>
    <n v="47.8"/>
  </r>
  <r>
    <d v="2025-10-10T14:25:39"/>
    <x v="1"/>
    <s v="Plaquettes de finition"/>
    <s v="040725"/>
    <s v="BARGEOT LUCAS"/>
    <n v="5"/>
    <x v="3"/>
    <x v="0"/>
    <s v="PLAQUETTES"/>
    <s v="330x28 RPE KO"/>
    <n v="47.8"/>
  </r>
  <r>
    <d v="2025-10-11T12:35:39"/>
    <x v="1"/>
    <s v="Plaquettes de finition"/>
    <s v="150725"/>
    <s v="ADOUL WASSIM"/>
    <n v="5"/>
    <x v="3"/>
    <x v="0"/>
    <s v="PLAQUETTES"/>
    <s v="330x28 RPE KO"/>
    <n v="47.8"/>
  </r>
  <r>
    <d v="2025-10-12T20:45:24"/>
    <x v="1"/>
    <s v="Plaquettes de finition"/>
    <s v="150725"/>
    <s v="ADOUL WASSIM"/>
    <n v="5"/>
    <x v="1"/>
    <x v="0"/>
    <s v="PLAQUETTES"/>
    <s v="304x28 RPE"/>
    <n v="47.8"/>
  </r>
  <r>
    <d v="2025-10-13T05:14:07"/>
    <x v="1"/>
    <s v="Plaquettes de finition"/>
    <s v="040725"/>
    <s v="BARGEOT LUCAS"/>
    <n v="5"/>
    <x v="0"/>
    <x v="0"/>
    <s v="PLAQUETTES"/>
    <s v="356x26 RPI"/>
    <n v="47.8"/>
  </r>
  <r>
    <d v="2025-10-13T05:15:11"/>
    <x v="1"/>
    <s v="Plaquettes de finition"/>
    <s v="040725"/>
    <s v="BARGEOT LUCAS"/>
    <n v="5"/>
    <x v="3"/>
    <x v="0"/>
    <s v="PLAQUETTES"/>
    <s v="330x28 RPE KO"/>
    <n v="47.8"/>
  </r>
  <r>
    <d v="2025-10-13T13:40:40"/>
    <x v="1"/>
    <s v="Plaquettes de finition"/>
    <s v="101123"/>
    <s v="BRUNET ANDREA"/>
    <n v="5"/>
    <x v="1"/>
    <x v="0"/>
    <s v="PLAQUETTES"/>
    <s v="304x28 RPE"/>
    <n v="47.8"/>
  </r>
  <r>
    <d v="2025-10-13T16:10:12"/>
    <x v="1"/>
    <s v="Plaquettes de finition"/>
    <s v="U505000"/>
    <s v="RECEVEUR BENOIT"/>
    <n v="5"/>
    <x v="0"/>
    <x v="0"/>
    <s v="PLAQUETTES"/>
    <s v="356x26 RPI"/>
    <n v="47.8"/>
  </r>
  <r>
    <d v="2025-10-13T21:15:20"/>
    <x v="1"/>
    <s v="Plaquettes de finition"/>
    <s v="U037238"/>
    <s v="PRIEUR OLIVIER"/>
    <n v="5"/>
    <x v="2"/>
    <x v="1"/>
    <s v="PLAQUETTES"/>
    <s v="302x26 RPI"/>
    <n v="47.8"/>
  </r>
  <r>
    <d v="2025-10-13T21:32:08"/>
    <x v="1"/>
    <s v="Plaquettes de finition"/>
    <s v="130325"/>
    <s v="PAPONNEAU JULIEN"/>
    <n v="5"/>
    <x v="3"/>
    <x v="0"/>
    <s v="PLAQUETTES"/>
    <s v="304x28 RPE"/>
    <n v="47.8"/>
  </r>
  <r>
    <d v="2025-10-14T14:51:32"/>
    <x v="1"/>
    <s v="Plaquettes de finition"/>
    <s v="045F69CAA77080"/>
    <s v="TEIXEIRA FLORIAN"/>
    <n v="5"/>
    <x v="2"/>
    <x v="1"/>
    <s v="PLAQUETTES"/>
    <s v="302x26 RPI"/>
    <n v="47.8"/>
  </r>
  <r>
    <d v="2025-10-14T15:04:48"/>
    <x v="2"/>
    <s v="Plaquettes de finition"/>
    <s v="101224"/>
    <s v="CHAZEAU KYLIAN"/>
    <n v="5"/>
    <x v="3"/>
    <x v="2"/>
    <s v="PLAQUETTES"/>
    <s v="330x28 RPE KO"/>
    <n v="44.85"/>
  </r>
  <r>
    <d v="2025-10-14T17:33:09"/>
    <x v="1"/>
    <s v="Plaquettes de finition"/>
    <s v="U505000"/>
    <s v="RECEVEUR BENOIT"/>
    <n v="5"/>
    <x v="1"/>
    <x v="0"/>
    <s v="PLAQUETTES"/>
    <s v="304x28 RPE"/>
    <n v="47.8"/>
  </r>
  <r>
    <d v="2025-10-14T17:33:23"/>
    <x v="0"/>
    <s v="Plaquettes de finition"/>
    <s v="U505000"/>
    <s v="RECEVEUR BENOIT"/>
    <n v="10"/>
    <x v="1"/>
    <x v="0"/>
    <s v="PLAQUETTES"/>
    <s v="304x28 RPE"/>
    <n v="109.7"/>
  </r>
  <r>
    <d v="2025-10-14T19:55:30"/>
    <x v="1"/>
    <s v="Plaquettes de finition"/>
    <s v="101224"/>
    <s v="CHAZEAU KYLIAN"/>
    <n v="5"/>
    <x v="0"/>
    <x v="0"/>
    <s v="PLAQUETTES"/>
    <s v="356x26 RPI"/>
    <n v="47.8"/>
  </r>
  <r>
    <d v="2025-10-15T00:02:58"/>
    <x v="1"/>
    <s v="Plaquettes de finition"/>
    <s v="U037238"/>
    <s v="PRIEUR OLIVIER"/>
    <n v="5"/>
    <x v="2"/>
    <x v="1"/>
    <s v="PLAQUETTES"/>
    <s v="302x26 RPI"/>
    <n v="47.8"/>
  </r>
  <r>
    <d v="2025-10-15T00:11:08"/>
    <x v="1"/>
    <s v="Plaquettes de finition"/>
    <s v="j529800"/>
    <s v="MONTCHARMONT BAPTISTE"/>
    <n v="5"/>
    <x v="0"/>
    <x v="0"/>
    <s v="PLAQUETTES"/>
    <s v="356x26 RPI"/>
    <n v="47.8"/>
  </r>
  <r>
    <d v="2025-10-15T05:19:05"/>
    <x v="1"/>
    <s v="Plaquettes de finition"/>
    <s v="SD75051"/>
    <s v="COMBALUZIER LUCAS"/>
    <n v="5"/>
    <x v="1"/>
    <x v="0"/>
    <s v="PLAQUETTES"/>
    <s v="304x28 RPE"/>
    <n v="47.8"/>
  </r>
  <r>
    <d v="2025-10-15T17:19:19"/>
    <x v="1"/>
    <s v="Plaquettes de finition"/>
    <s v="101224"/>
    <s v="CHAZEAU KYLIAN"/>
    <n v="5"/>
    <x v="0"/>
    <x v="0"/>
    <s v="PLAQUETTES"/>
    <s v="356x26 RPI"/>
    <n v="47.8"/>
  </r>
  <r>
    <d v="2025-10-15T17:19:31"/>
    <x v="1"/>
    <s v="Plaquettes de finition"/>
    <s v="101224"/>
    <s v="CHAZEAU KYLIAN"/>
    <n v="5"/>
    <x v="3"/>
    <x v="0"/>
    <s v="PLAQUETTES"/>
    <s v="330x28 RPE KO"/>
    <n v="47.8"/>
  </r>
  <r>
    <d v="2025-10-16T06:06:29"/>
    <x v="1"/>
    <s v="Plaquettes de finition"/>
    <s v="u636817"/>
    <s v="MOCQUEREAU LYDIE"/>
    <n v="5"/>
    <x v="2"/>
    <x v="1"/>
    <s v="PLAQUETTES"/>
    <s v="302x26 RPI"/>
    <n v="47.8"/>
  </r>
  <r>
    <d v="2025-10-16T06:06:50"/>
    <x v="1"/>
    <s v="Plaquettes de finition"/>
    <s v="u636817"/>
    <s v="MOCQUEREAU LYDIE"/>
    <n v="5"/>
    <x v="2"/>
    <x v="1"/>
    <s v="PLAQUETTES"/>
    <s v="302x26 RPI"/>
    <n v="47.8"/>
  </r>
  <r>
    <d v="2025-10-16T17:36:10"/>
    <x v="1"/>
    <s v="Plaquettes de finition"/>
    <s v="101224"/>
    <s v="CHAZEAU KYLIAN"/>
    <n v="5"/>
    <x v="3"/>
    <x v="0"/>
    <s v="PLAQUETTES"/>
    <s v="330x28 RPE KO"/>
    <n v="47.8"/>
  </r>
  <r>
    <d v="2025-10-16T18:49:53"/>
    <x v="1"/>
    <s v="Plaquettes de finition"/>
    <s v="045F69CAA77080"/>
    <s v="TEIXEIRA FLORIAN"/>
    <n v="5"/>
    <x v="2"/>
    <x v="1"/>
    <s v="PLAQUETTES"/>
    <s v="302x26 RPI"/>
    <n v="47.8"/>
  </r>
  <r>
    <d v="2025-10-16T21:18:57"/>
    <x v="1"/>
    <s v="Plaquettes de finition"/>
    <s v="j529800"/>
    <s v="MONTCHARMONT BAPTISTE"/>
    <n v="5"/>
    <x v="0"/>
    <x v="0"/>
    <s v="PLAQUETTES"/>
    <s v="356x26 RPI"/>
    <n v="47.8"/>
  </r>
  <r>
    <d v="2025-10-16T22:09:28"/>
    <x v="1"/>
    <s v="Plaquettes de finition"/>
    <s v="U037238"/>
    <s v="PRIEUR OLIVIER"/>
    <n v="5"/>
    <x v="2"/>
    <x v="1"/>
    <s v="PLAQUETTES"/>
    <s v="302x26 RPI"/>
    <n v="47.8"/>
  </r>
  <r>
    <d v="2025-10-17T02:41:22"/>
    <x v="1"/>
    <s v="Plaquettes de finition"/>
    <s v="j529800"/>
    <s v="MONTCHARMONT BAPTISTE"/>
    <n v="5"/>
    <x v="3"/>
    <x v="0"/>
    <s v="PLAQUETTES"/>
    <s v="330x28 RPE KO"/>
    <n v="47.8"/>
  </r>
  <r>
    <d v="2025-10-17T13:18:51"/>
    <x v="1"/>
    <s v="Plaquettes de finition"/>
    <s v="U505000"/>
    <s v="RECEVEUR BENOIT"/>
    <n v="5"/>
    <x v="1"/>
    <x v="0"/>
    <s v="PLAQUETTES"/>
    <s v="304x28 RPE"/>
    <n v="47.8"/>
  </r>
  <r>
    <d v="2025-10-17T15:56:57"/>
    <x v="1"/>
    <s v="Plaquettes de finition"/>
    <s v="U505000"/>
    <s v="RECEVEUR BENOIT"/>
    <n v="5"/>
    <x v="1"/>
    <x v="0"/>
    <s v="PLAQUETTES"/>
    <s v="304x28 RPE"/>
    <n v="47.8"/>
  </r>
  <r>
    <d v="2025-10-17T16:49:38"/>
    <x v="1"/>
    <s v="Plaquettes de finition"/>
    <s v="101224"/>
    <s v="CHAZEAU KYLIAN"/>
    <n v="5"/>
    <x v="0"/>
    <x v="0"/>
    <s v="PLAQUETTES"/>
    <s v="356x26 RPI"/>
    <n v="47.8"/>
  </r>
  <r>
    <d v="2025-10-18T02:44:33"/>
    <x v="1"/>
    <s v="Plaquettes de finition"/>
    <s v="j529800"/>
    <s v="MONTCHARMONT BAPTISTE"/>
    <n v="5"/>
    <x v="0"/>
    <x v="0"/>
    <s v="PLAQUETTES"/>
    <s v="356x26 RPI"/>
    <n v="47.8"/>
  </r>
  <r>
    <d v="2025-10-18T13:03:40"/>
    <x v="1"/>
    <s v="Plaquettes de finition"/>
    <s v="J529792"/>
    <s v="LEBRE CHRISTOPHE"/>
    <n v="5"/>
    <x v="2"/>
    <x v="1"/>
    <s v="PLAQUETTES"/>
    <s v="302x26 RPI"/>
    <n v="47.8"/>
  </r>
  <r>
    <d v="2025-10-20T05:00:19"/>
    <x v="1"/>
    <s v="Plaquettes de finition"/>
    <s v="045F69CAA77080"/>
    <s v="TEIXEIRA FLORIAN"/>
    <n v="5"/>
    <x v="2"/>
    <x v="1"/>
    <s v="PLAQUETTES"/>
    <s v="302x26 RPI"/>
    <n v="47.8"/>
  </r>
  <r>
    <d v="2025-10-20T06:34:39"/>
    <x v="1"/>
    <s v="Plaquettes de finition"/>
    <s v="U505000"/>
    <s v="RECEVEUR BENOIT"/>
    <n v="5"/>
    <x v="1"/>
    <x v="0"/>
    <s v="PLAQUETTES"/>
    <s v="304x28 RPE"/>
    <n v="47.8"/>
  </r>
  <r>
    <d v="2025-10-20T16:52:31"/>
    <x v="1"/>
    <s v="Plaquettes de finition"/>
    <s v="040725"/>
    <s v="BARGEOT LUCAS"/>
    <n v="5"/>
    <x v="0"/>
    <x v="0"/>
    <s v="PLAQUETTES"/>
    <s v="356x26 RPI"/>
    <n v="47.8"/>
  </r>
  <r>
    <d v="2025-10-20T19:28:20"/>
    <x v="1"/>
    <s v="Plaquettes de finition"/>
    <s v="u636817"/>
    <s v="MOCQUEREAU LYDIE"/>
    <n v="5"/>
    <x v="2"/>
    <x v="1"/>
    <s v="PLAQUETTES"/>
    <s v="302x26 RPI"/>
    <n v="47.8"/>
  </r>
  <r>
    <d v="2025-10-21T05:44:37"/>
    <x v="1"/>
    <s v="Plaquettes de finition"/>
    <s v="U505000"/>
    <s v="RECEVEUR BENOIT"/>
    <n v="5"/>
    <x v="1"/>
    <x v="0"/>
    <s v="PLAQUETTES"/>
    <s v="304x28 RPE"/>
    <n v="47.8"/>
  </r>
  <r>
    <d v="2025-10-21T11:15:26"/>
    <x v="1"/>
    <s v="Plaquettes de finition"/>
    <s v="101224"/>
    <s v="CHAZEAU KYLIAN"/>
    <n v="5"/>
    <x v="0"/>
    <x v="0"/>
    <s v="PLAQUETTES"/>
    <s v="356x26 RPI"/>
    <n v="47.8"/>
  </r>
  <r>
    <d v="2025-10-21T13:12:29"/>
    <x v="1"/>
    <s v="Plaquettes de finition"/>
    <s v="SD75051"/>
    <s v="COMBALUZIER LUCAS"/>
    <n v="5"/>
    <x v="1"/>
    <x v="0"/>
    <s v="PLAQUETTES"/>
    <s v="304x28 RPE"/>
    <n v="47.8"/>
  </r>
  <r>
    <d v="2025-10-22T05:00:25"/>
    <x v="1"/>
    <s v="Plaquettes de finition"/>
    <s v="045F69CAA77080"/>
    <s v="TEIXEIRA FLORIAN"/>
    <n v="5"/>
    <x v="2"/>
    <x v="1"/>
    <s v="PLAQUETTES"/>
    <s v="302x26 RPI"/>
    <n v="47.8"/>
  </r>
  <r>
    <d v="2025-10-22T13:24:04"/>
    <x v="1"/>
    <s v="Plaquettes de finition"/>
    <s v="040725"/>
    <s v="BARGEOT LUCAS"/>
    <n v="5"/>
    <x v="0"/>
    <x v="0"/>
    <s v="PLAQUETTES"/>
    <s v="356x26 RPI"/>
    <n v="47.8"/>
  </r>
  <r>
    <d v="2025-10-22T22:04:26"/>
    <x v="1"/>
    <s v="Plaquettes de finition"/>
    <s v="j529800"/>
    <s v="MONTCHARMONT BAPTISTE"/>
    <n v="5"/>
    <x v="0"/>
    <x v="0"/>
    <s v="PLAQUETTES"/>
    <s v="356x26 RPI"/>
    <n v="47.8"/>
  </r>
  <r>
    <d v="2025-10-22T22:48:59"/>
    <x v="1"/>
    <s v="Plaquettes de finition"/>
    <s v="U037238"/>
    <s v="PRIEUR OLIVIER"/>
    <n v="5"/>
    <x v="2"/>
    <x v="1"/>
    <s v="PLAQUETTES"/>
    <s v="302x26 RPI"/>
    <n v="47.8"/>
  </r>
  <r>
    <d v="2025-10-23T05:05:09"/>
    <x v="1"/>
    <s v="Plaquettes de finition"/>
    <s v="U505000"/>
    <s v="RECEVEUR BENOIT"/>
    <n v="5"/>
    <x v="1"/>
    <x v="0"/>
    <s v="PLAQUETTES"/>
    <s v="304x28 RPE"/>
    <n v="47.8"/>
  </r>
  <r>
    <d v="2025-10-23T05:56:32"/>
    <x v="1"/>
    <s v="Plaquettes de finition"/>
    <s v="045F69CAA77080"/>
    <s v="TEIXEIRA FLORIAN"/>
    <n v="5"/>
    <x v="2"/>
    <x v="1"/>
    <s v="PLAQUETTES"/>
    <s v="302x26 RPI"/>
    <n v="47.8"/>
  </r>
  <r>
    <d v="2025-10-23T13:08:17"/>
    <x v="1"/>
    <s v="Plaquettes de finition"/>
    <s v="SD75051"/>
    <s v="COMBALUZIER LUCAS"/>
    <n v="5"/>
    <x v="1"/>
    <x v="0"/>
    <s v="PLAQUETTES"/>
    <s v="304x28 RPE"/>
    <n v="47.8"/>
  </r>
  <r>
    <d v="2025-10-24T02:22:32"/>
    <x v="1"/>
    <s v="Plaquettes de finition"/>
    <s v="j529800"/>
    <s v="MONTCHARMONT BAPTISTE"/>
    <n v="5"/>
    <x v="0"/>
    <x v="0"/>
    <s v="PLAQUETTES"/>
    <s v="356x26 RPI"/>
    <n v="47.8"/>
  </r>
  <r>
    <d v="2025-10-24T03:21:18"/>
    <x v="1"/>
    <s v="Plaquettes de finition"/>
    <s v="U037238"/>
    <s v="PRIEUR OLIVIER"/>
    <n v="5"/>
    <x v="2"/>
    <x v="1"/>
    <s v="PLAQUETTES"/>
    <s v="302x26 RPI"/>
    <n v="47.8"/>
  </r>
  <r>
    <d v="2025-10-24T05:18:08"/>
    <x v="1"/>
    <s v="Plaquettes de finition"/>
    <s v="J529792"/>
    <s v="LEBRE CHRISTOPHE"/>
    <n v="5"/>
    <x v="2"/>
    <x v="1"/>
    <s v="PLAQUETTES"/>
    <s v="302x26 RPI"/>
    <n v="47.8"/>
  </r>
  <r>
    <d v="2025-10-24T13:09:37"/>
    <x v="1"/>
    <s v="Plaquettes de finition"/>
    <s v="SD75051"/>
    <s v="COMBALUZIER LUCAS"/>
    <n v="5"/>
    <x v="1"/>
    <x v="0"/>
    <s v="PLAQUETTES"/>
    <s v="304x28 RPE"/>
    <n v="47.8"/>
  </r>
  <r>
    <d v="2025-10-24T21:30:14"/>
    <x v="1"/>
    <s v="Plaquettes de finition"/>
    <s v="j529800"/>
    <s v="MONTCHARMONT BAPTISTE"/>
    <n v="5"/>
    <x v="3"/>
    <x v="0"/>
    <s v="PLAQUETTES"/>
    <s v="330x28 RPE KO"/>
    <n v="47.8"/>
  </r>
  <r>
    <d v="2025-10-25T05:03:13"/>
    <x v="1"/>
    <s v="Plaquettes de finition"/>
    <s v="J529792"/>
    <s v="LEBRE CHRISTOPHE"/>
    <n v="5"/>
    <x v="2"/>
    <x v="1"/>
    <s v="PLAQUETTES"/>
    <s v="302x26 RPI"/>
    <n v="47.8"/>
  </r>
  <r>
    <d v="2025-10-25T06:30:13"/>
    <x v="1"/>
    <s v="Plaquettes de finition"/>
    <s v="150725"/>
    <s v="ADOUL WASSIM"/>
    <n v="5"/>
    <x v="1"/>
    <x v="0"/>
    <s v="PLAQUETTES"/>
    <s v="304x28 RPE"/>
    <n v="47.8"/>
  </r>
  <r>
    <d v="2025-10-26T17:48:23"/>
    <x v="1"/>
    <s v="Plaquettes de finition"/>
    <s v="150725"/>
    <s v="ADOUL WASSIM"/>
    <n v="5"/>
    <x v="3"/>
    <x v="0"/>
    <s v="PLAQUETTES"/>
    <s v="330x28 RPE KO"/>
    <n v="47.8"/>
  </r>
  <r>
    <d v="2025-10-26T19:04:16"/>
    <x v="2"/>
    <s v="Plaquettes de finition"/>
    <s v="150725"/>
    <s v="ADOUL WASSIM"/>
    <n v="5"/>
    <x v="3"/>
    <x v="2"/>
    <s v="PLAQUETTES"/>
    <s v="330x28 RPE KO"/>
    <n v="44.85"/>
  </r>
  <r>
    <d v="2025-10-27T05:04:11"/>
    <x v="1"/>
    <s v="Plaquettes de finition"/>
    <s v="SD75051"/>
    <s v="COMBALUZIER LUCAS"/>
    <n v="5"/>
    <x v="1"/>
    <x v="0"/>
    <s v="PLAQUETTES"/>
    <s v="304x28 RPE"/>
    <n v="47.8"/>
  </r>
  <r>
    <d v="2025-10-27T05:08:53"/>
    <x v="1"/>
    <s v="Plaquettes de finition"/>
    <s v="040725"/>
    <s v="BARGEOT LUCAS"/>
    <n v="5"/>
    <x v="3"/>
    <x v="0"/>
    <s v="PLAQUETTES"/>
    <s v="330x28 RPE KO"/>
    <n v="47.8"/>
  </r>
  <r>
    <d v="2025-10-27T20:15:28"/>
    <x v="1"/>
    <s v="Plaquettes de finition"/>
    <s v="U505000"/>
    <s v="RECEVEUR BENOIT"/>
    <n v="5"/>
    <x v="1"/>
    <x v="0"/>
    <s v="PLAQUETTES"/>
    <s v="304x28 RPE"/>
    <n v="47.8"/>
  </r>
  <r>
    <d v="2025-10-28T07:40:09"/>
    <x v="1"/>
    <s v="Plaquettes de finition"/>
    <s v="040725"/>
    <s v="BARGEOT LUCAS"/>
    <n v="5"/>
    <x v="0"/>
    <x v="0"/>
    <s v="PLAQUETTES"/>
    <s v="356x26 RPI"/>
    <n v="47.8"/>
  </r>
  <r>
    <d v="2025-10-28T07:40:34"/>
    <x v="1"/>
    <s v="Plaquettes de finition"/>
    <s v="040725"/>
    <s v="BARGEOT LUCAS"/>
    <n v="5"/>
    <x v="3"/>
    <x v="0"/>
    <s v="PLAQUETTES"/>
    <s v="330x28 RPE KO"/>
    <n v="47.8"/>
  </r>
  <r>
    <d v="2025-10-28T14:31:03"/>
    <x v="1"/>
    <s v="Plaquettes de finition"/>
    <s v="045F69CAA77080"/>
    <s v="TEIXEIRA FLORIAN"/>
    <n v="5"/>
    <x v="2"/>
    <x v="1"/>
    <s v="PLAQUETTES"/>
    <s v="302x26 RPI"/>
    <n v="47.8"/>
  </r>
  <r>
    <d v="2025-10-28T19:15:43"/>
    <x v="1"/>
    <s v="Plaquettes de finition"/>
    <s v="045F69CAA77080"/>
    <s v="TEIXEIRA FLORIAN"/>
    <n v="5"/>
    <x v="2"/>
    <x v="1"/>
    <s v="PLAQUETTES"/>
    <s v="302x26 RPI"/>
    <n v="47.8"/>
  </r>
  <r>
    <d v="2025-10-28T23:23:37"/>
    <x v="2"/>
    <s v="Plaquettes de finition"/>
    <s v="j529800"/>
    <s v="MONTCHARMONT BAPTISTE"/>
    <n v="5"/>
    <x v="3"/>
    <x v="2"/>
    <s v="PLAQUETTES"/>
    <s v="330x28 RPE KO"/>
    <n v="44.85"/>
  </r>
  <r>
    <d v="2025-10-29T05:06:38"/>
    <x v="1"/>
    <s v="Plaquettes de finition"/>
    <s v="SD75051"/>
    <s v="COMBALUZIER LUCAS"/>
    <n v="5"/>
    <x v="1"/>
    <x v="0"/>
    <s v="PLAQUETTES"/>
    <s v="304x28 RPE"/>
    <n v="47.8"/>
  </r>
  <r>
    <d v="2025-10-29T05:14:38"/>
    <x v="1"/>
    <s v="Plaquettes de finition"/>
    <s v="u636817"/>
    <s v="MOCQUEREAU LYDIE"/>
    <n v="5"/>
    <x v="2"/>
    <x v="1"/>
    <s v="PLAQUETTES"/>
    <s v="302x26 RPI"/>
    <n v="47.8"/>
  </r>
  <r>
    <d v="2025-10-29T05:14:58"/>
    <x v="1"/>
    <s v="Plaquettes de finition"/>
    <s v="u636817"/>
    <s v="MOCQUEREAU LYDIE"/>
    <n v="5"/>
    <x v="2"/>
    <x v="1"/>
    <s v="PLAQUETTES"/>
    <s v="302x26 RPI"/>
    <n v="47.8"/>
  </r>
  <r>
    <d v="2025-10-29T13:12:53"/>
    <x v="1"/>
    <s v="Plaquettes de finition"/>
    <s v="04551FC25C7780"/>
    <s v="CHEDRU VIANNEY"/>
    <n v="5"/>
    <x v="0"/>
    <x v="0"/>
    <s v="PLAQUETTES"/>
    <s v="356x26 RPI"/>
    <n v="47.8"/>
  </r>
  <r>
    <d v="2025-10-29T13:13:27"/>
    <x v="0"/>
    <s v="Plaquettes de finition"/>
    <s v="04551FC25C7780"/>
    <s v="CHEDRU VIANNEY"/>
    <n v="10"/>
    <x v="0"/>
    <x v="0"/>
    <s v="PLAQUETTES"/>
    <s v="356x26 RPI"/>
    <n v="109.7"/>
  </r>
  <r>
    <d v="2025-10-29T17:04:09"/>
    <x v="1"/>
    <s v="Plaquettes de finition"/>
    <s v="04551FC25C7780"/>
    <s v="CHEDRU VIANNEY"/>
    <n v="5"/>
    <x v="3"/>
    <x v="0"/>
    <s v="PLAQUETTES"/>
    <s v="330x28 RPE KO"/>
    <n v="47.8"/>
  </r>
  <r>
    <d v="2025-10-29T20:39:10"/>
    <x v="0"/>
    <s v="Plaquettes de finition"/>
    <s v="04551FC25C7780"/>
    <s v="CHEDRU VIANNEY"/>
    <n v="10"/>
    <x v="1"/>
    <x v="0"/>
    <s v="PLAQUETTES"/>
    <s v="304x28 RPE"/>
    <n v="109.7"/>
  </r>
  <r>
    <d v="2025-10-30T06:33:05"/>
    <x v="1"/>
    <s v="Plaquettes de finition"/>
    <s v="SD75051"/>
    <s v="COMBALUZIER LUCAS"/>
    <n v="5"/>
    <x v="1"/>
    <x v="0"/>
    <s v="PLAQUETTES"/>
    <s v="304x28 RPE"/>
    <n v="47.8"/>
  </r>
  <r>
    <d v="2025-10-30T15:23:26"/>
    <x v="1"/>
    <s v="Plaquettes de finition"/>
    <s v="04551FC25C7780"/>
    <s v="CHEDRU VIANNEY"/>
    <n v="5"/>
    <x v="0"/>
    <x v="0"/>
    <s v="PLAQUETTES"/>
    <s v="356x26 RPI"/>
    <n v="47.8"/>
  </r>
  <r>
    <d v="2025-10-30T22:48:35"/>
    <x v="1"/>
    <s v="Plaquettes de finition"/>
    <s v="j529800"/>
    <s v="MONTCHARMONT BAPTISTE"/>
    <n v="5"/>
    <x v="0"/>
    <x v="0"/>
    <s v="PLAQUETTES"/>
    <s v="356x26 RPI"/>
    <n v="47.8"/>
  </r>
  <r>
    <d v="2025-10-31T04:09:42"/>
    <x v="1"/>
    <s v="Plaquettes de finition"/>
    <s v="j529800"/>
    <s v="MONTCHARMONT BAPTISTE"/>
    <n v="5"/>
    <x v="0"/>
    <x v="0"/>
    <s v="PLAQUETTES"/>
    <s v="356x26 RPI"/>
    <n v="47.8"/>
  </r>
  <r>
    <d v="2025-10-31T09:28:33"/>
    <x v="1"/>
    <s v="Plaquettes de finition"/>
    <s v="150725"/>
    <s v="ADOUL WASSIM"/>
    <n v="5"/>
    <x v="1"/>
    <x v="0"/>
    <s v="PLAQUETTES"/>
    <s v="304x28 RPE"/>
    <n v="47.8"/>
  </r>
  <r>
    <d v="2025-10-31T22:09:44"/>
    <x v="1"/>
    <s v="Plaquettes de finition"/>
    <s v="U037238"/>
    <s v="PRIEUR OLIVIER"/>
    <n v="5"/>
    <x v="2"/>
    <x v="1"/>
    <s v="PLAQUETTES"/>
    <s v="302x26 RPI"/>
    <n v="47.8"/>
  </r>
  <r>
    <d v="2025-11-01T01:29:32"/>
    <x v="1"/>
    <s v="Plaquettes de finition"/>
    <s v="j529800"/>
    <s v="MONTCHARMONT BAPTISTE"/>
    <n v="5"/>
    <x v="0"/>
    <x v="0"/>
    <s v="PLAQUETTES"/>
    <s v="356x26 RPI"/>
    <n v="47.8"/>
  </r>
  <r>
    <d v="2025-11-01T01:52:24"/>
    <x v="1"/>
    <s v="Plaquettes de finition"/>
    <s v="U037238"/>
    <s v="PRIEUR OLIVIER"/>
    <n v="5"/>
    <x v="2"/>
    <x v="1"/>
    <s v="PLAQUETTES"/>
    <s v="302x26 RPI"/>
    <n v="47.8"/>
  </r>
  <r>
    <d v="2025-11-01T08:18:54"/>
    <x v="1"/>
    <s v="Plaquettes de finition"/>
    <s v="150725"/>
    <s v="ADOUL WASSIM"/>
    <n v="5"/>
    <x v="0"/>
    <x v="0"/>
    <s v="PLAQUETTES"/>
    <s v="356x26 RPI"/>
    <n v="47.8"/>
  </r>
  <r>
    <d v="2025-11-01T11:06:36"/>
    <x v="1"/>
    <s v="Plaquettes de finition"/>
    <s v="J529792"/>
    <s v="LEBRE CHRISTOPHE"/>
    <n v="5"/>
    <x v="2"/>
    <x v="1"/>
    <s v="PLAQUETTES"/>
    <s v="302x26 RPI"/>
    <n v="47.8"/>
  </r>
  <r>
    <d v="2025-11-01T11:06:53"/>
    <x v="1"/>
    <s v="Plaquettes de finition"/>
    <s v="J529792"/>
    <s v="LEBRE CHRISTOPHE"/>
    <n v="5"/>
    <x v="2"/>
    <x v="1"/>
    <s v="PLAQUETTES"/>
    <s v="302x26 RPI"/>
    <n v="47.8"/>
  </r>
  <r>
    <d v="2025-11-01T11:49:25"/>
    <x v="1"/>
    <s v="Plaquettes de finition"/>
    <s v="150725"/>
    <s v="ADOUL WASSIM"/>
    <n v="5"/>
    <x v="1"/>
    <x v="0"/>
    <s v="PLAQUETTES"/>
    <s v="304x28 RPE"/>
    <n v="47.8"/>
  </r>
  <r>
    <d v="2025-11-03T00:24:27"/>
    <x v="1"/>
    <s v="Plaquettes de finition"/>
    <s v="150725"/>
    <s v="ADOUL WASSIM"/>
    <n v="5"/>
    <x v="1"/>
    <x v="0"/>
    <s v="PLAQUETTES"/>
    <s v="304x28 RPE"/>
    <n v="47.8"/>
  </r>
  <r>
    <d v="2025-11-03T05:11:42"/>
    <x v="1"/>
    <s v="Plaquettes de finition"/>
    <s v="101224"/>
    <s v="CHAZEAU KYLIAN"/>
    <n v="5"/>
    <x v="1"/>
    <x v="0"/>
    <s v="PLAQUETTES"/>
    <s v="304x28 RPE"/>
    <n v="47.8"/>
  </r>
  <r>
    <d v="2025-11-03T06:01:29"/>
    <x v="1"/>
    <s v="Plaquettes de finition"/>
    <s v="045F69CAA77080"/>
    <s v="TEIXEIRA FLORIAN"/>
    <n v="5"/>
    <x v="2"/>
    <x v="1"/>
    <s v="PLAQUETTES"/>
    <s v="302x26 RPI"/>
    <n v="47.8"/>
  </r>
  <r>
    <d v="2025-11-03T12:42:48"/>
    <x v="1"/>
    <s v="Plaquettes de finition"/>
    <s v="04551FC25C7780"/>
    <s v="CHEDRU VIANNEY"/>
    <n v="5"/>
    <x v="0"/>
    <x v="0"/>
    <s v="PLAQUETTES"/>
    <s v="356x26 RPI"/>
    <n v="47.8"/>
  </r>
  <r>
    <d v="2025-11-03T13:16:43"/>
    <x v="1"/>
    <s v="Plaquettes de finition"/>
    <s v="140325"/>
    <s v="BOUCLIER JONATHAN"/>
    <n v="5"/>
    <x v="2"/>
    <x v="1"/>
    <s v="PLAQUETTES"/>
    <s v="302x26 RPI"/>
    <n v="47.8"/>
  </r>
  <r>
    <d v="2025-11-03T21:28:08"/>
    <x v="1"/>
    <s v="Plaquettes de finition"/>
    <s v="j529800"/>
    <s v="MONTCHARMONT BAPTISTE"/>
    <n v="5"/>
    <x v="0"/>
    <x v="0"/>
    <s v="PLAQUETTES"/>
    <s v="356x26 RPI"/>
    <n v="47.8"/>
  </r>
  <r>
    <d v="2025-11-04T01:50:10"/>
    <x v="1"/>
    <s v="Plaquettes de finition"/>
    <s v="U037238"/>
    <s v="PRIEUR OLIVIER"/>
    <n v="5"/>
    <x v="2"/>
    <x v="1"/>
    <s v="PLAQUETTES"/>
    <s v="302x26 RPI"/>
    <n v="47.8"/>
  </r>
  <r>
    <d v="2025-11-04T13:32:10"/>
    <x v="1"/>
    <s v="Plaquettes de finition"/>
    <s v="SD75051"/>
    <s v="COMBALUZIER LUCAS"/>
    <n v="5"/>
    <x v="1"/>
    <x v="0"/>
    <s v="PLAQUETTES"/>
    <s v="304x28 RPE"/>
    <n v="47.8"/>
  </r>
  <r>
    <d v="2025-11-04T21:21:02"/>
    <x v="1"/>
    <s v="Plaquettes de finition"/>
    <s v="j529800"/>
    <s v="MONTCHARMONT BAPTISTE"/>
    <n v="5"/>
    <x v="0"/>
    <x v="0"/>
    <s v="PLAQUETTES"/>
    <s v="356x26 RPI"/>
    <n v="47.8"/>
  </r>
  <r>
    <d v="2025-11-04T21:24:02"/>
    <x v="1"/>
    <s v="Plaquettes de finition"/>
    <s v="130325"/>
    <s v="PAPONNEAU JULIEN"/>
    <n v="5"/>
    <x v="1"/>
    <x v="0"/>
    <s v="PLAQUETTES"/>
    <s v="304x28 RPE"/>
    <n v="47.8"/>
  </r>
  <r>
    <d v="2025-11-04T21:24:14"/>
    <x v="1"/>
    <s v="Plaquettes de finition"/>
    <s v="130325"/>
    <s v="PAPONNEAU JULIEN"/>
    <n v="5"/>
    <x v="1"/>
    <x v="0"/>
    <s v="PLAQUETTES"/>
    <s v="304x28 RPE"/>
    <n v="47.8"/>
  </r>
  <r>
    <d v="2025-11-04T21:24:26"/>
    <x v="1"/>
    <s v="Plaquettes de finition"/>
    <s v="130325"/>
    <s v="PAPONNEAU JULIEN"/>
    <n v="5"/>
    <x v="1"/>
    <x v="0"/>
    <s v="PLAQUETTES"/>
    <s v="304x28 RPE"/>
    <n v="47.8"/>
  </r>
  <r>
    <d v="2025-11-04T21:25:18"/>
    <x v="1"/>
    <s v="Plaquettes de finition"/>
    <s v="130325"/>
    <s v="PAPONNEAU JULIEN"/>
    <n v="5"/>
    <x v="1"/>
    <x v="0"/>
    <s v="PLAQUETTES"/>
    <s v="304x28 RPE"/>
    <n v="47.8"/>
  </r>
  <r>
    <d v="2025-11-04T21:32:05"/>
    <x v="0"/>
    <s v="Plaquettes de finition"/>
    <s v="130325"/>
    <s v="PAPONNEAU JULIEN"/>
    <n v="10"/>
    <x v="1"/>
    <x v="0"/>
    <s v="PLAQUETTES"/>
    <s v="304x28 RPE"/>
    <n v="109.7"/>
  </r>
  <r>
    <d v="2025-11-05T05:01:38"/>
    <x v="1"/>
    <s v="Plaquettes de finition"/>
    <s v="045F69CAA77080"/>
    <s v="TEIXEIRA FLORIAN"/>
    <n v="5"/>
    <x v="2"/>
    <x v="1"/>
    <s v="PLAQUETTES"/>
    <s v="302x26 RPI"/>
    <n v="47.8"/>
  </r>
  <r>
    <d v="2025-11-05T05:02:28"/>
    <x v="1"/>
    <s v="Plaquettes de finition"/>
    <s v="045F69CAA77080"/>
    <s v="TEIXEIRA FLORIAN"/>
    <n v="5"/>
    <x v="2"/>
    <x v="1"/>
    <s v="PLAQUETTES"/>
    <s v="302x26 RPI"/>
    <n v="47.8"/>
  </r>
  <r>
    <d v="2025-11-05T13:16:56"/>
    <x v="1"/>
    <s v="Plaquettes de finition"/>
    <s v="040725"/>
    <s v="BARGEOT LUCAS"/>
    <n v="5"/>
    <x v="0"/>
    <x v="0"/>
    <s v="PLAQUETTES"/>
    <s v="356x26 RPI"/>
    <n v="47.8"/>
  </r>
  <r>
    <d v="2025-11-05T13:41:32"/>
    <x v="1"/>
    <s v="Plaquettes de finition"/>
    <s v="040725"/>
    <s v="BARGEOT LUCAS"/>
    <n v="5"/>
    <x v="3"/>
    <x v="0"/>
    <s v="PLAQUETTES"/>
    <s v="330x28 RPE KO"/>
    <n v="47.8"/>
  </r>
  <r>
    <d v="2025-11-05T21:17:21"/>
    <x v="1"/>
    <s v="Plaquettes de finition"/>
    <s v="j529800"/>
    <s v="MONTCHARMONT BAPTISTE"/>
    <n v="5"/>
    <x v="3"/>
    <x v="0"/>
    <s v="PLAQUETTES"/>
    <s v="330x28 RPE KO"/>
    <n v="47.8"/>
  </r>
  <r>
    <d v="2025-11-05T22:18:37"/>
    <x v="2"/>
    <s v="Plaquettes de finition"/>
    <s v="j529800"/>
    <s v="MONTCHARMONT BAPTISTE"/>
    <n v="5"/>
    <x v="3"/>
    <x v="2"/>
    <s v="PLAQUETTES"/>
    <s v="330x28 RPE KO"/>
    <n v="44.85"/>
  </r>
  <r>
    <d v="2025-11-05T23:29:50"/>
    <x v="1"/>
    <s v="Plaquettes de finition"/>
    <s v="U037238"/>
    <s v="PRIEUR OLIVIER"/>
    <n v="5"/>
    <x v="2"/>
    <x v="1"/>
    <s v="PLAQUETTES"/>
    <s v="302x26 RPI"/>
    <n v="47.8"/>
  </r>
  <r>
    <d v="2025-11-06T05:04:16"/>
    <x v="1"/>
    <s v="Plaquettes de finition"/>
    <s v="045F69CAA77080"/>
    <s v="TEIXEIRA FLORIAN"/>
    <n v="5"/>
    <x v="2"/>
    <x v="1"/>
    <s v="PLAQUETTES"/>
    <s v="302x26 RPI"/>
    <n v="47.8"/>
  </r>
  <r>
    <d v="2025-11-06T05:30:03"/>
    <x v="1"/>
    <s v="Plaquettes de finition"/>
    <s v="04551FC25C7780"/>
    <s v="CHEDRU VIANNEY"/>
    <n v="5"/>
    <x v="0"/>
    <x v="0"/>
    <s v="PLAQUETTES"/>
    <s v="356x26 RPI"/>
    <n v="47.8"/>
  </r>
  <r>
    <d v="2025-11-06T14:02:29"/>
    <x v="1"/>
    <s v="Plaquettes de finition"/>
    <s v="SD75051"/>
    <s v="COMBALUZIER LUCAS"/>
    <n v="5"/>
    <x v="1"/>
    <x v="0"/>
    <s v="PLAQUETTES"/>
    <s v="304x28 RPE"/>
    <n v="47.8"/>
  </r>
  <r>
    <d v="2025-11-07T13:40:49"/>
    <x v="1"/>
    <s v="Plaquettes de finition"/>
    <s v="SD75051"/>
    <s v="COMBALUZIER LUCAS"/>
    <n v="5"/>
    <x v="1"/>
    <x v="0"/>
    <s v="PLAQUETTES"/>
    <s v="304x28 RPE"/>
    <n v="47.8"/>
  </r>
  <r>
    <d v="2025-11-07T20:44:45"/>
    <x v="1"/>
    <s v="Plaquettes de finition"/>
    <s v="040725"/>
    <s v="BARGEOT LUCAS"/>
    <n v="5"/>
    <x v="0"/>
    <x v="0"/>
    <s v="PLAQUETTES"/>
    <s v="356x26 RPI"/>
    <n v="47.8"/>
  </r>
  <r>
    <d v="2025-11-07T21:22:53"/>
    <x v="1"/>
    <s v="Plaquettes de finition"/>
    <s v="j529800"/>
    <s v="MONTCHARMONT BAPTISTE"/>
    <n v="5"/>
    <x v="0"/>
    <x v="0"/>
    <s v="PLAQUETTES"/>
    <s v="356x26 RPI"/>
    <n v="47.8"/>
  </r>
  <r>
    <d v="2025-11-07T23:15:05"/>
    <x v="1"/>
    <s v="Plaquettes de finition"/>
    <s v="U037238"/>
    <s v="PRIEUR OLIVIER"/>
    <n v="5"/>
    <x v="2"/>
    <x v="1"/>
    <s v="PLAQUETTES"/>
    <s v="302x26 RPI"/>
    <n v="47.8"/>
  </r>
  <r>
    <d v="2025-11-08T07:07:37"/>
    <x v="1"/>
    <s v="Plaquettes de finition"/>
    <s v="U080365"/>
    <s v="ALAVOINE SAMUEL"/>
    <n v="5"/>
    <x v="1"/>
    <x v="0"/>
    <s v="PLAQUETTES"/>
    <s v="304x28 RPE"/>
    <n v="47.8"/>
  </r>
  <r>
    <d v="2025-11-08T07:08:47"/>
    <x v="1"/>
    <s v="Plaquettes de finition"/>
    <s v="U080365"/>
    <s v="ALAVOINE SAMUEL"/>
    <n v="5"/>
    <x v="1"/>
    <x v="0"/>
    <s v="PLAQUETTES"/>
    <s v="304x28 RPE"/>
    <n v="47.8"/>
  </r>
  <r>
    <d v="2025-11-08T20:56:49"/>
    <x v="1"/>
    <s v="Plaquettes de finition"/>
    <s v="150725"/>
    <s v="ADOUL WASSIM"/>
    <n v="5"/>
    <x v="0"/>
    <x v="0"/>
    <s v="PLAQUETTES"/>
    <s v="356x26 RPI"/>
    <n v="47.8"/>
  </r>
  <r>
    <d v="2025-11-09T06:55:02"/>
    <x v="1"/>
    <s v="Plaquettes de finition"/>
    <s v="U080365"/>
    <s v="ALAVOINE SAMUEL"/>
    <n v="5"/>
    <x v="0"/>
    <x v="0"/>
    <s v="PLAQUETTES"/>
    <s v="356x26 RPI"/>
    <n v="47.8"/>
  </r>
  <r>
    <d v="2025-11-10T23:48:05"/>
    <x v="1"/>
    <s v="Plaquettes de finition"/>
    <s v="j529800"/>
    <s v="MONTCHARMONT BAPTISTE"/>
    <n v="5"/>
    <x v="0"/>
    <x v="0"/>
    <s v="PLAQUETTES"/>
    <s v="356x26 RPI"/>
    <n v="47.8"/>
  </r>
  <r>
    <d v="2025-11-12T08:18:44"/>
    <x v="1"/>
    <s v="Plaquettes de finition"/>
    <s v="040725"/>
    <s v="BARGEOT LUCAS"/>
    <n v="5"/>
    <x v="0"/>
    <x v="0"/>
    <s v="PLAQUETTES"/>
    <s v="356x26 RPI"/>
    <n v="47.8"/>
  </r>
  <r>
    <d v="2025-11-12T10:27:07"/>
    <x v="1"/>
    <s v="Plaquettes de finition"/>
    <s v="020824"/>
    <s v="DA SILVA RENAUD"/>
    <n v="5"/>
    <x v="2"/>
    <x v="1"/>
    <s v="PLAQUETTES"/>
    <s v="TOUT DISQUES"/>
    <n v="47.8"/>
  </r>
  <r>
    <d v="2025-11-12T14:56:00"/>
    <x v="1"/>
    <s v="Plaquettes de finition"/>
    <s v="045F69CAA77080"/>
    <s v="TEIXEIRA FLORIAN"/>
    <n v="5"/>
    <x v="2"/>
    <x v="1"/>
    <s v="PLAQUETTES"/>
    <s v="302x26 RPI"/>
    <n v="47.8"/>
  </r>
  <r>
    <d v="2025-11-12T20:07:39"/>
    <x v="1"/>
    <s v="Plaquettes de finition"/>
    <s v="04551FC25C7780"/>
    <s v="CHEDRU VIANNEY"/>
    <n v="5"/>
    <x v="3"/>
    <x v="0"/>
    <s v="PLAQUETTES"/>
    <s v="330x28 RPE KO"/>
    <n v="47.8"/>
  </r>
  <r>
    <d v="2025-11-12T21:17:01"/>
    <x v="1"/>
    <s v="Plaquettes de finition"/>
    <s v="j529800"/>
    <s v="MONTCHARMONT BAPTISTE"/>
    <n v="5"/>
    <x v="3"/>
    <x v="0"/>
    <s v="PLAQUETTES"/>
    <s v="330x28 RPE KO"/>
    <n v="47.8"/>
  </r>
  <r>
    <d v="2025-11-12T21:37:15"/>
    <x v="1"/>
    <s v="Plaquettes de finition"/>
    <s v="130325"/>
    <s v="PAPONNEAU JULIEN"/>
    <n v="5"/>
    <x v="1"/>
    <x v="0"/>
    <s v="PLAQUETTES"/>
    <s v="304x28 RPE"/>
    <n v="47.8"/>
  </r>
  <r>
    <d v="2025-11-13T16:57:48"/>
    <x v="1"/>
    <s v="Plaquettes de finition"/>
    <s v="101224"/>
    <s v="CHAZEAU KYLIAN"/>
    <n v="5"/>
    <x v="1"/>
    <x v="0"/>
    <s v="PLAQUETTES"/>
    <s v="304x28 RPE"/>
    <n v="47.8"/>
  </r>
  <r>
    <d v="2025-11-13T18:50:22"/>
    <x v="1"/>
    <s v="Plaquettes de finition"/>
    <s v="04551FC25C7780"/>
    <s v="CHEDRU VIANNEY"/>
    <n v="5"/>
    <x v="0"/>
    <x v="0"/>
    <s v="PLAQUETTES"/>
    <s v="356x26 RPI"/>
    <n v="47.8"/>
  </r>
  <r>
    <d v="2025-11-13T18:50:37"/>
    <x v="1"/>
    <s v="Plaquettes de finition"/>
    <s v="04551FC25C7780"/>
    <s v="CHEDRU VIANNEY"/>
    <n v="5"/>
    <x v="3"/>
    <x v="0"/>
    <s v="PLAQUETTES"/>
    <s v="330x28 RPE KO"/>
    <n v="47.8"/>
  </r>
  <r>
    <d v="2025-11-14T01:23:02"/>
    <x v="1"/>
    <s v="Plaquettes de finition"/>
    <s v="U037238"/>
    <s v="PRIEUR OLIVIER"/>
    <n v="5"/>
    <x v="2"/>
    <x v="1"/>
    <s v="PLAQUETTES"/>
    <s v="302x26 RPI"/>
    <n v="47.8"/>
  </r>
  <r>
    <d v="2025-11-14T05:26:16"/>
    <x v="1"/>
    <s v="Plaquettes de finition"/>
    <s v="150725"/>
    <s v="ADOUL WASSIM"/>
    <n v="5"/>
    <x v="1"/>
    <x v="0"/>
    <s v="PLAQUETTES"/>
    <s v="304x28 RPE"/>
    <n v="47.8"/>
  </r>
  <r>
    <d v="2025-11-14T05:32:23"/>
    <x v="1"/>
    <s v="Plaquettes de finition"/>
    <s v="J529792"/>
    <s v="LEBRE CHRISTOPHE"/>
    <n v="5"/>
    <x v="2"/>
    <x v="1"/>
    <s v="PLAQUETTES"/>
    <s v="302x26 RPI"/>
    <n v="47.8"/>
  </r>
  <r>
    <d v="2025-11-14T05:32:50"/>
    <x v="1"/>
    <s v="Plaquettes de finition"/>
    <s v="J529792"/>
    <s v="LEBRE CHRISTOPHE"/>
    <n v="5"/>
    <x v="2"/>
    <x v="1"/>
    <s v="PLAQUETTES"/>
    <s v="302x26 RPI"/>
    <n v="47.8"/>
  </r>
  <r>
    <d v="2025-11-14T13:43:13"/>
    <x v="1"/>
    <s v="Plaquettes de finition"/>
    <s v="04551FC25C7780"/>
    <s v="CHEDRU VIANNEY"/>
    <n v="5"/>
    <x v="3"/>
    <x v="0"/>
    <s v="PLAQUETTES"/>
    <s v="330x28 RPE KO"/>
    <n v="47.8"/>
  </r>
  <r>
    <d v="2025-11-14T14:31:49"/>
    <x v="0"/>
    <s v="Plaquettes de finition"/>
    <s v="04551FC25C7780"/>
    <s v="CHEDRU VIANNEY"/>
    <n v="10"/>
    <x v="0"/>
    <x v="0"/>
    <s v="PLAQUETTES"/>
    <s v="356x26 RPI"/>
    <n v="109.7"/>
  </r>
  <r>
    <d v="2025-11-14T14:32:15"/>
    <x v="0"/>
    <s v="Plaquettes de finition"/>
    <s v="04551FC25C7780"/>
    <s v="CHEDRU VIANNEY"/>
    <n v="10"/>
    <x v="3"/>
    <x v="0"/>
    <s v="PLAQUETTES"/>
    <s v="330x14"/>
    <n v="109.7"/>
  </r>
  <r>
    <d v="2025-11-14T16:55:47"/>
    <x v="2"/>
    <s v="Plaquettes de finition"/>
    <s v="101224"/>
    <s v="CHAZEAU KYLIAN"/>
    <n v="5"/>
    <x v="3"/>
    <x v="2"/>
    <s v="PLAQUETTES"/>
    <s v="330x28 RPE KO"/>
    <n v="44.85"/>
  </r>
  <r>
    <d v="2025-11-14T17:28:10"/>
    <x v="1"/>
    <s v="Plaquettes de finition"/>
    <s v="04551FC25C7780"/>
    <s v="CHEDRU VIANNEY"/>
    <n v="5"/>
    <x v="0"/>
    <x v="0"/>
    <s v="PLAQUETTES"/>
    <s v="356x26 RPI"/>
    <n v="47.8"/>
  </r>
  <r>
    <d v="2025-11-14T22:07:11"/>
    <x v="1"/>
    <s v="Plaquettes de finition"/>
    <s v="U037238"/>
    <s v="PRIEUR OLIVIER"/>
    <n v="5"/>
    <x v="2"/>
    <x v="1"/>
    <s v="PLAQUETTES"/>
    <s v="302x26 RPI"/>
    <n v="47.8"/>
  </r>
  <r>
    <d v="2025-11-14T23:56:18"/>
    <x v="1"/>
    <s v="Plaquettes de finition"/>
    <s v="U561365"/>
    <s v="BALLY BENOIT"/>
    <n v="5"/>
    <x v="1"/>
    <x v="0"/>
    <s v="PLAQUETTES"/>
    <s v="304x28 RPE"/>
    <n v="47.8"/>
  </r>
  <r>
    <d v="2025-11-15T03:53:35"/>
    <x v="1"/>
    <s v="Plaquettes de finition"/>
    <s v="j529800"/>
    <s v="MONTCHARMONT BAPTISTE"/>
    <n v="5"/>
    <x v="3"/>
    <x v="0"/>
    <s v="PLAQUETTES"/>
    <s v="330x28 RPE KO"/>
    <n v="47.8"/>
  </r>
  <r>
    <d v="2025-11-15T07:19:39"/>
    <x v="1"/>
    <s v="Plaquettes de finition"/>
    <s v="150725"/>
    <s v="ADOUL WASSIM"/>
    <n v="5"/>
    <x v="1"/>
    <x v="0"/>
    <s v="PLAQUETTES"/>
    <s v="304x28 RPE"/>
    <n v="47.8"/>
  </r>
  <r>
    <d v="2025-11-15T19:29:58"/>
    <x v="1"/>
    <s v="Plaquettes de finition"/>
    <s v="U080365"/>
    <s v="ALAVOINE SAMUEL"/>
    <n v="5"/>
    <x v="3"/>
    <x v="0"/>
    <s v="PLAQUETTES"/>
    <s v="330x28 RPE KO"/>
    <n v="47.8"/>
  </r>
  <r>
    <d v="2025-11-15T19:30:18"/>
    <x v="0"/>
    <s v="Plaquettes de finition"/>
    <s v="U080365"/>
    <s v="ALAVOINE SAMUEL"/>
    <n v="10"/>
    <x v="3"/>
    <x v="0"/>
    <s v="PLAQUETTES"/>
    <s v="330x14"/>
    <n v="109.7"/>
  </r>
  <r>
    <d v="2025-11-15T19:31:06"/>
    <x v="1"/>
    <s v="Plaquettes de finition"/>
    <s v="U080365"/>
    <s v="ALAVOINE SAMUEL"/>
    <n v="5"/>
    <x v="0"/>
    <x v="0"/>
    <s v="PLAQUETTES"/>
    <s v="356x26 RPI"/>
    <n v="47.8"/>
  </r>
  <r>
    <d v="2025-11-16T17:19:40"/>
    <x v="1"/>
    <s v="Plaquettes de finition"/>
    <s v="U080365"/>
    <s v="ALAVOINE SAMUEL"/>
    <n v="5"/>
    <x v="0"/>
    <x v="0"/>
    <s v="PLAQUETTES"/>
    <s v="356x26 RPI"/>
    <n v="47.8"/>
  </r>
  <r>
    <d v="2025-11-16T17:19:58"/>
    <x v="1"/>
    <s v="Plaquettes de finition"/>
    <s v="U080365"/>
    <s v="ALAVOINE SAMUEL"/>
    <n v="5"/>
    <x v="3"/>
    <x v="0"/>
    <s v="PLAQUETTES"/>
    <s v="330x28 RPE KO"/>
    <n v="47.8"/>
  </r>
  <r>
    <d v="2025-11-17T07:45:14"/>
    <x v="1"/>
    <s v="Plaquettes de finition"/>
    <s v="101224"/>
    <s v="CHAZEAU KYLIAN"/>
    <n v="5"/>
    <x v="1"/>
    <x v="0"/>
    <s v="PLAQUETTES"/>
    <s v="304x28 RPE"/>
    <n v="47.8"/>
  </r>
  <r>
    <d v="2025-11-17T13:19:07"/>
    <x v="1"/>
    <s v="Plaquettes de finition"/>
    <s v="040725"/>
    <s v="BARGEOT LUCAS"/>
    <n v="5"/>
    <x v="0"/>
    <x v="0"/>
    <s v="PLAQUETTES"/>
    <s v="356x26 RPI"/>
    <n v="47.8"/>
  </r>
  <r>
    <d v="2025-11-17T14:19:59"/>
    <x v="1"/>
    <s v="Plaquettes de finition"/>
    <s v="040725"/>
    <s v="BARGEOT LUCAS"/>
    <n v="5"/>
    <x v="3"/>
    <x v="0"/>
    <s v="PLAQUETTES"/>
    <s v="330x28 RPE KO"/>
    <n v="47.8"/>
  </r>
  <r>
    <d v="2025-11-18T02:13:17"/>
    <x v="1"/>
    <s v="Plaquettes de finition"/>
    <s v="j529800"/>
    <s v="MONTCHARMONT BAPTISTE"/>
    <n v="5"/>
    <x v="0"/>
    <x v="0"/>
    <s v="PLAQUETTES"/>
    <s v="356x26 RPI"/>
    <n v="47.8"/>
  </r>
  <r>
    <d v="2025-11-18T13:09:29"/>
    <x v="1"/>
    <s v="Plaquettes de finition"/>
    <s v="SD75051"/>
    <s v="COMBALUZIER LUCAS"/>
    <n v="5"/>
    <x v="1"/>
    <x v="0"/>
    <s v="PLAQUETTES"/>
    <s v="304x28 RPE"/>
    <n v="47.8"/>
  </r>
  <r>
    <d v="2025-11-18T23:23:00"/>
    <x v="1"/>
    <s v="Plaquettes de finition"/>
    <s v="U037238"/>
    <s v="PRIEUR OLIVIER"/>
    <n v="5"/>
    <x v="2"/>
    <x v="1"/>
    <s v="PLAQUETTES"/>
    <s v="302x26 RPI"/>
    <n v="47.8"/>
  </r>
  <r>
    <d v="2025-11-19T00:05:12"/>
    <x v="1"/>
    <s v="Plaquettes de finition"/>
    <s v="j529800"/>
    <s v="MONTCHARMONT BAPTISTE"/>
    <n v="5"/>
    <x v="0"/>
    <x v="0"/>
    <s v="PLAQUETTES"/>
    <s v="356x26 RPI"/>
    <n v="47.8"/>
  </r>
  <r>
    <d v="2025-11-19T05:17:42"/>
    <x v="1"/>
    <s v="Plaquettes de finition"/>
    <s v="045F69CAA77080"/>
    <s v="TEIXEIRA FLORIAN"/>
    <n v="5"/>
    <x v="2"/>
    <x v="1"/>
    <s v="PLAQUETTES"/>
    <s v="302x26 RPI"/>
    <n v="47.8"/>
  </r>
  <r>
    <d v="2025-11-19T08:47:41"/>
    <x v="1"/>
    <s v="Plaquettes de finition"/>
    <s v="04551FC25C7780"/>
    <s v="CHEDRU VIANNEY"/>
    <n v="5"/>
    <x v="0"/>
    <x v="0"/>
    <s v="PLAQUETTES"/>
    <s v="356x26 RPI"/>
    <n v="47.8"/>
  </r>
  <r>
    <d v="2025-11-19T13:29:31"/>
    <x v="1"/>
    <s v="Plaquettes de finition"/>
    <s v="SD75051"/>
    <s v="COMBALUZIER LUCAS"/>
    <n v="5"/>
    <x v="1"/>
    <x v="0"/>
    <s v="PLAQUETTES"/>
    <s v="304x28 RPE"/>
    <n v="47.8"/>
  </r>
  <r>
    <d v="2025-11-19T19:51:50"/>
    <x v="1"/>
    <s v="Plaquettes de finition"/>
    <s v="u636817"/>
    <s v="MOCQUEREAU LYDIE"/>
    <n v="5"/>
    <x v="2"/>
    <x v="1"/>
    <s v="PLAQUETTES"/>
    <s v="302x26 RPI"/>
    <n v="47.8"/>
  </r>
  <r>
    <d v="2025-11-19T19:52:09"/>
    <x v="1"/>
    <s v="Plaquettes de finition"/>
    <s v="u636817"/>
    <s v="MOCQUEREAU LYDIE"/>
    <n v="5"/>
    <x v="2"/>
    <x v="1"/>
    <s v="PLAQUETTES"/>
    <s v="302x26 RPI"/>
    <n v="47.8"/>
  </r>
  <r>
    <d v="2025-11-20T03:47:55"/>
    <x v="1"/>
    <s v="Plaquettes de finition"/>
    <s v="j529800"/>
    <s v="MONTCHARMONT BAPTISTE"/>
    <n v="5"/>
    <x v="0"/>
    <x v="0"/>
    <s v="PLAQUETTES"/>
    <s v="356x26 RPI"/>
    <n v="47.8"/>
  </r>
  <r>
    <d v="2025-11-20T09:41:34"/>
    <x v="1"/>
    <s v="Plaquettes de finition"/>
    <s v="045F69CAA77080"/>
    <s v="TEIXEIRA FLORIAN"/>
    <n v="5"/>
    <x v="2"/>
    <x v="1"/>
    <s v="PLAQUETTES"/>
    <s v="302x26 RPI"/>
    <n v="47.8"/>
  </r>
  <r>
    <d v="2025-11-20T13:20:33"/>
    <x v="1"/>
    <s v="Plaquettes de finition"/>
    <s v="SD75051"/>
    <s v="COMBALUZIER LUCAS"/>
    <n v="5"/>
    <x v="1"/>
    <x v="0"/>
    <s v="PLAQUETTES"/>
    <s v="304x28 RPE"/>
    <n v="47.8"/>
  </r>
  <r>
    <d v="2025-11-20T21:53:05"/>
    <x v="1"/>
    <s v="Plaquettes de finition"/>
    <s v="U037238"/>
    <s v="PRIEUR OLIVIER"/>
    <n v="5"/>
    <x v="2"/>
    <x v="1"/>
    <s v="PLAQUETTES"/>
    <s v="302x26 RPI"/>
    <n v="47.8"/>
  </r>
  <r>
    <d v="2025-11-21T13:14:54"/>
    <x v="1"/>
    <s v="Plaquettes de finition"/>
    <s v="040725"/>
    <s v="BARGEOT LUCAS"/>
    <n v="5"/>
    <x v="3"/>
    <x v="0"/>
    <s v="PLAQUETTES"/>
    <s v="330x28 RPE KO"/>
    <n v="47.8"/>
  </r>
  <r>
    <d v="2025-11-21T14:19:07"/>
    <x v="1"/>
    <s v="Plaquettes de finition"/>
    <s v="SD75051"/>
    <s v="COMBALUZIER LUCAS"/>
    <n v="5"/>
    <x v="1"/>
    <x v="0"/>
    <s v="PLAQUETTES"/>
    <s v="304x28 RPE"/>
    <n v="47.8"/>
  </r>
  <r>
    <d v="2025-11-21T21:22:35"/>
    <x v="1"/>
    <s v="Plaquettes de finition"/>
    <s v="j529800"/>
    <s v="MONTCHARMONT BAPTISTE"/>
    <n v="5"/>
    <x v="3"/>
    <x v="0"/>
    <s v="PLAQUETTES"/>
    <s v="330x28 RPE KO"/>
    <n v="47.8"/>
  </r>
  <r>
    <d v="2025-11-22T00:39:53"/>
    <x v="1"/>
    <s v="Plaquettes de finition"/>
    <s v="U037238"/>
    <s v="PRIEUR OLIVIER"/>
    <n v="5"/>
    <x v="2"/>
    <x v="1"/>
    <s v="PLAQUETTES"/>
    <s v="302x26 RPI"/>
    <n v="47.8"/>
  </r>
  <r>
    <d v="2025-11-22T19:15:40"/>
    <x v="1"/>
    <s v="Plaquettes de finition"/>
    <s v="150725"/>
    <s v="ADOUL WASSIM"/>
    <n v="5"/>
    <x v="3"/>
    <x v="0"/>
    <s v="PLAQUETTES"/>
    <s v="330x28 RPE KO"/>
    <n v="47.8"/>
  </r>
  <r>
    <d v="2025-11-23T11:45:20"/>
    <x v="1"/>
    <s v="Plaquettes de finition"/>
    <s v="U080365"/>
    <s v="ALAVOINE SAMUEL"/>
    <n v="5"/>
    <x v="0"/>
    <x v="0"/>
    <s v="PLAQUETTES"/>
    <s v="356x26 RPI"/>
    <n v="47.8"/>
  </r>
  <r>
    <d v="2025-11-23T11:46:04"/>
    <x v="1"/>
    <s v="Plaquettes de finition"/>
    <s v="U080365"/>
    <s v="ALAVOINE SAMUEL"/>
    <n v="5"/>
    <x v="0"/>
    <x v="0"/>
    <s v="PLAQUETTES"/>
    <s v="356x26 RPI"/>
    <n v="47.8"/>
  </r>
  <r>
    <d v="2025-11-23T19:10:19"/>
    <x v="1"/>
    <s v="Plaquettes de finition"/>
    <s v="150725"/>
    <s v="ADOUL WASSIM"/>
    <n v="5"/>
    <x v="1"/>
    <x v="0"/>
    <s v="PLAQUETTES"/>
    <s v="304x28 RPE"/>
    <n v="47.8"/>
  </r>
  <r>
    <d v="2025-11-23T21:03:59"/>
    <x v="2"/>
    <s v="Plaquettes de finition"/>
    <s v="150725"/>
    <s v="ADOUL WASSIM"/>
    <n v="5"/>
    <x v="3"/>
    <x v="2"/>
    <s v="PLAQUETTES"/>
    <s v="330x28 RPE KO"/>
    <n v="44.85"/>
  </r>
  <r>
    <d v="2025-11-23T21:04:35"/>
    <x v="2"/>
    <s v="Plaquettes de finition"/>
    <s v="150725"/>
    <s v="ADOUL WASSIM"/>
    <n v="5"/>
    <x v="3"/>
    <x v="2"/>
    <s v="PLAQUETTES"/>
    <s v="330x28 RPE KO"/>
    <n v="44.85"/>
  </r>
  <r>
    <d v="2025-11-24T05:42:00"/>
    <x v="1"/>
    <s v="Plaquettes de finition"/>
    <s v="040725"/>
    <s v="BARGEOT LUCAS"/>
    <n v="5"/>
    <x v="3"/>
    <x v="0"/>
    <s v="PLAQUETTES"/>
    <s v="330x28 RPE KO"/>
    <n v="47.8"/>
  </r>
  <r>
    <d v="2025-11-24T07:03:02"/>
    <x v="1"/>
    <s v="Plaquettes de finition"/>
    <s v="040725"/>
    <s v="BARGEOT LUCAS"/>
    <n v="5"/>
    <x v="0"/>
    <x v="0"/>
    <s v="PLAQUETTES"/>
    <s v="356x26 RPI"/>
    <n v="47.8"/>
  </r>
  <r>
    <d v="2025-11-25T05:36:32"/>
    <x v="1"/>
    <s v="Plaquettes de finition"/>
    <s v="040725"/>
    <s v="BARGEOT LUCAS"/>
    <n v="5"/>
    <x v="0"/>
    <x v="0"/>
    <s v="PLAQUETTES"/>
    <s v="356x26 RPI"/>
    <n v="47.8"/>
  </r>
  <r>
    <d v="2025-11-25T05:36:47"/>
    <x v="1"/>
    <s v="Plaquettes de finition"/>
    <s v="040725"/>
    <s v="BARGEOT LUCAS"/>
    <n v="5"/>
    <x v="3"/>
    <x v="0"/>
    <s v="PLAQUETTES"/>
    <s v="330x28 RPE KO"/>
    <n v="47.8"/>
  </r>
  <r>
    <d v="2025-11-25T14:42:52"/>
    <x v="1"/>
    <s v="Plaquettes de finition"/>
    <s v="04551FC25C7780"/>
    <s v="CHEDRU VIANNEY"/>
    <n v="5"/>
    <x v="0"/>
    <x v="0"/>
    <s v="PLAQUETTES"/>
    <s v="356x26 RPI"/>
    <n v="47.8"/>
  </r>
  <r>
    <d v="2025-11-25T14:43:05"/>
    <x v="1"/>
    <s v="Plaquettes de finition"/>
    <s v="04551FC25C7780"/>
    <s v="CHEDRU VIANNEY"/>
    <n v="5"/>
    <x v="3"/>
    <x v="0"/>
    <s v="PLAQUETTES"/>
    <s v="330x28 RPE KO"/>
    <n v="47.8"/>
  </r>
  <r>
    <d v="2025-11-26T05:07:01"/>
    <x v="1"/>
    <s v="Plaquettes de finition"/>
    <s v="SD75051"/>
    <s v="COMBALUZIER LUCAS"/>
    <n v="5"/>
    <x v="1"/>
    <x v="0"/>
    <s v="PLAQUETTES"/>
    <s v="304x28 RPE"/>
    <n v="47.8"/>
  </r>
  <r>
    <d v="2025-11-26T06:45:48"/>
    <x v="1"/>
    <s v="Plaquettes de finition"/>
    <s v="u636817"/>
    <s v="MOCQUEREAU LYDIE"/>
    <n v="5"/>
    <x v="2"/>
    <x v="1"/>
    <s v="PLAQUETTES"/>
    <s v="302x26 RPI"/>
    <n v="47.8"/>
  </r>
  <r>
    <d v="2025-11-26T06:46:06"/>
    <x v="1"/>
    <s v="Plaquettes de finition"/>
    <s v="u636817"/>
    <s v="MOCQUEREAU LYDIE"/>
    <n v="5"/>
    <x v="2"/>
    <x v="1"/>
    <s v="PLAQUETTES"/>
    <s v="302x26 RPI"/>
    <n v="47.8"/>
  </r>
  <r>
    <d v="2025-11-26T13:07:58"/>
    <x v="1"/>
    <s v="Plaquettes de finition"/>
    <s v="045F69CAA77080"/>
    <s v="TEIXEIRA FLORIAN"/>
    <n v="5"/>
    <x v="2"/>
    <x v="1"/>
    <s v="PLAQUETTES"/>
    <s v="302x26 RPI"/>
    <n v="47.8"/>
  </r>
  <r>
    <d v="2025-11-26T13:11:44"/>
    <x v="1"/>
    <s v="Plaquettes de finition"/>
    <s v="04551FC25C7780"/>
    <s v="CHEDRU VIANNEY"/>
    <n v="5"/>
    <x v="0"/>
    <x v="0"/>
    <s v="PLAQUETTES"/>
    <s v="356x26 RPI"/>
    <n v="47.8"/>
  </r>
  <r>
    <d v="2025-11-26T13:12:32"/>
    <x v="1"/>
    <s v="Plaquettes de finition"/>
    <s v="04551FC25C7780"/>
    <s v="CHEDRU VIANNEY"/>
    <n v="5"/>
    <x v="3"/>
    <x v="0"/>
    <s v="PLAQUETTES"/>
    <s v="330x28 RPE KO"/>
    <n v="47.8"/>
  </r>
  <r>
    <d v="2025-11-26T14:52:45"/>
    <x v="1"/>
    <s v="Plaquettes de finition"/>
    <s v="101224"/>
    <s v="CHAZEAU KYLIAN"/>
    <n v="5"/>
    <x v="1"/>
    <x v="0"/>
    <s v="PLAQUETTES"/>
    <s v="304x28 RPE"/>
    <n v="47.8"/>
  </r>
  <r>
    <d v="2025-11-26T22:00:59"/>
    <x v="1"/>
    <s v="Plaquettes de finition"/>
    <s v="U037238"/>
    <s v="PRIEUR OLIVIER"/>
    <n v="5"/>
    <x v="2"/>
    <x v="1"/>
    <s v="PLAQUETTES"/>
    <s v="302x26 RPI"/>
    <n v="47.8"/>
  </r>
  <r>
    <d v="2025-11-27T16:35:08"/>
    <x v="1"/>
    <s v="Plaquettes de finition"/>
    <s v="045F69CAA77080"/>
    <s v="TEIXEIRA FLORIAN"/>
    <n v="5"/>
    <x v="2"/>
    <x v="1"/>
    <s v="PLAQUETTES"/>
    <s v="302x26 RPI"/>
    <n v="47.8"/>
  </r>
  <r>
    <d v="2025-11-27T21:53:21"/>
    <x v="1"/>
    <s v="Plaquettes de finition"/>
    <s v="j529800"/>
    <s v="MONTCHARMONT BAPTISTE"/>
    <n v="5"/>
    <x v="0"/>
    <x v="0"/>
    <s v="PLAQUETTES"/>
    <s v="356x26 RPI"/>
    <n v="47.8"/>
  </r>
  <r>
    <d v="2025-11-27T22:16:43"/>
    <x v="1"/>
    <s v="Plaquettes de finition"/>
    <s v="j529800"/>
    <s v="MONTCHARMONT BAPTISTE"/>
    <n v="5"/>
    <x v="0"/>
    <x v="0"/>
    <s v="PLAQUETTES"/>
    <s v="356x26 RPI"/>
    <n v="47.8"/>
  </r>
  <r>
    <d v="2025-11-28T00:37:32"/>
    <x v="1"/>
    <s v="Plaquettes de finition"/>
    <s v="j529800"/>
    <s v="MONTCHARMONT BAPTISTE"/>
    <n v="5"/>
    <x v="3"/>
    <x v="0"/>
    <s v="PLAQUETTES"/>
    <s v="330x28 RPE KO"/>
    <n v="47.8"/>
  </r>
  <r>
    <d v="2025-11-28T07:33:19"/>
    <x v="1"/>
    <s v="Plaquettes de finition"/>
    <s v="J529792"/>
    <s v="LEBRE CHRISTOPHE"/>
    <n v="5"/>
    <x v="2"/>
    <x v="1"/>
    <s v="PLAQUETTES"/>
    <s v="302x26 RPI"/>
    <n v="47.8"/>
  </r>
  <r>
    <d v="2025-11-28T07:33:40"/>
    <x v="1"/>
    <s v="Plaquettes de finition"/>
    <s v="J529792"/>
    <s v="LEBRE CHRISTOPHE"/>
    <n v="5"/>
    <x v="2"/>
    <x v="1"/>
    <s v="PLAQUETTES"/>
    <s v="302x26 RPI"/>
    <n v="47.8"/>
  </r>
  <r>
    <d v="2025-11-28T13:00:31"/>
    <x v="1"/>
    <s v="Plaquettes de finition"/>
    <s v="04551FC25C7780"/>
    <s v="CHEDRU VIANNEY"/>
    <n v="5"/>
    <x v="3"/>
    <x v="0"/>
    <s v="PLAQUETTES"/>
    <s v="330x28 RPE KO"/>
    <n v="47.8"/>
  </r>
  <r>
    <d v="2025-11-28T14:27:05"/>
    <x v="2"/>
    <s v="Plaquettes de finition"/>
    <s v="04551FC25C7780"/>
    <s v="CHEDRU VIANNEY"/>
    <n v="5"/>
    <x v="3"/>
    <x v="2"/>
    <s v="PLAQUETTES"/>
    <s v="330x28 RPE KO"/>
    <n v="44.85"/>
  </r>
  <r>
    <d v="2025-11-29T16:43:04"/>
    <x v="1"/>
    <s v="Plaquettes de finition"/>
    <s v="U080365"/>
    <s v="ALAVOINE SAMUEL"/>
    <n v="5"/>
    <x v="3"/>
    <x v="0"/>
    <s v="PLAQUETTES"/>
    <s v="330x28 RPE KO"/>
    <n v="47.8"/>
  </r>
  <r>
    <d v="2025-11-29T16:43:32"/>
    <x v="1"/>
    <s v="Plaquettes de finition"/>
    <s v="U080365"/>
    <s v="ALAVOINE SAMUEL"/>
    <n v="5"/>
    <x v="0"/>
    <x v="0"/>
    <s v="PLAQUETTES"/>
    <s v="356x26 RPI"/>
    <n v="47.8"/>
  </r>
  <r>
    <d v="2025-11-30T10:10:48"/>
    <x v="1"/>
    <s v="Plaquettes de finition"/>
    <s v="U080365"/>
    <s v="ALAVOINE SAMUEL"/>
    <n v="5"/>
    <x v="0"/>
    <x v="0"/>
    <s v="PLAQUETTES"/>
    <s v="356x26 RPI"/>
    <n v="47.8"/>
  </r>
  <r>
    <d v="2025-11-30T10:11:04"/>
    <x v="1"/>
    <s v="Plaquettes de finition"/>
    <s v="U080365"/>
    <s v="ALAVOINE SAMUEL"/>
    <n v="5"/>
    <x v="3"/>
    <x v="0"/>
    <s v="PLAQUETTES"/>
    <s v="330x28 RPE KO"/>
    <n v="47.8"/>
  </r>
  <r>
    <d v="2025-11-30T19:16:11"/>
    <x v="1"/>
    <s v="Plaquettes de finition"/>
    <s v="150725"/>
    <s v="ADOUL WASSIM"/>
    <n v="5"/>
    <x v="1"/>
    <x v="0"/>
    <s v="PLAQUETTES"/>
    <s v="304x28 RPE"/>
    <n v="47.8"/>
  </r>
  <r>
    <d v="2025-12-01T05:39:06"/>
    <x v="1"/>
    <s v="Plaquettes de finition"/>
    <s v="210325"/>
    <s v="DAUTUN ALLAN"/>
    <n v="5"/>
    <x v="2"/>
    <x v="1"/>
    <s v="PLAQUETTES"/>
    <s v="302x26 RPI"/>
    <n v="47.8"/>
  </r>
  <r>
    <d v="2025-12-01T05:39:27"/>
    <x v="1"/>
    <s v="Plaquettes de finition"/>
    <s v="210325"/>
    <s v="DAUTUN ALLAN"/>
    <n v="5"/>
    <x v="2"/>
    <x v="1"/>
    <s v="PLAQUETTES"/>
    <s v="302x26 RPI"/>
    <n v="47.8"/>
  </r>
  <r>
    <d v="2025-12-01T12:06:31"/>
    <x v="0"/>
    <s v="Plaquettes de finition"/>
    <s v="045C6ECAA77080"/>
    <s v="PERREIRA KEVIN"/>
    <n v="10"/>
    <x v="1"/>
    <x v="0"/>
    <s v="PLAQUETTES"/>
    <s v="304x28 RPE"/>
    <n v="109.7"/>
  </r>
  <r>
    <d v="2025-12-01T12:07:01"/>
    <x v="1"/>
    <s v="Plaquettes de finition"/>
    <s v="045C6ECAA77080"/>
    <s v="PERREIRA KEVIN"/>
    <n v="5"/>
    <x v="1"/>
    <x v="0"/>
    <s v="PLAQUETTES"/>
    <s v="304x28 RPE"/>
    <n v="47.8"/>
  </r>
  <r>
    <d v="2025-12-01T13:08:32"/>
    <x v="1"/>
    <s v="Plaquettes de finition"/>
    <s v="140325"/>
    <s v="BOUCLIER JONATHAN"/>
    <n v="5"/>
    <x v="2"/>
    <x v="1"/>
    <s v="PLAQUETTES"/>
    <s v="302x26 RPI"/>
    <n v="47.8"/>
  </r>
  <r>
    <d v="2025-12-01T13:11:29"/>
    <x v="1"/>
    <s v="Plaquettes de finition"/>
    <s v="SD75051"/>
    <s v="COMBALUZIER LUCAS"/>
    <n v="5"/>
    <x v="1"/>
    <x v="0"/>
    <s v="PLAQUETTES"/>
    <s v="304x28 RPE"/>
    <n v="47.8"/>
  </r>
  <r>
    <d v="2025-12-01T20:22:39"/>
    <x v="1"/>
    <s v="Plaquettes de finition"/>
    <s v="SE08251"/>
    <s v="FAYET AYMERIC"/>
    <n v="5"/>
    <x v="0"/>
    <x v="0"/>
    <s v="PLAQUETTES"/>
    <s v="356x26 RPI"/>
    <n v="47.8"/>
  </r>
  <r>
    <d v="2025-12-01T20:23:04"/>
    <x v="1"/>
    <s v="Plaquettes de finition"/>
    <s v="SE08251"/>
    <s v="FAYET AYMERIC"/>
    <n v="5"/>
    <x v="3"/>
    <x v="0"/>
    <s v="PLAQUETTES"/>
    <s v="330x28 RPE KO"/>
    <n v="47.8"/>
  </r>
  <r>
    <d v="2025-12-02T05:34:50"/>
    <x v="1"/>
    <s v="Plaquettes de finition"/>
    <s v="045C6ECAA77080"/>
    <s v="PERREIRA KEVIN"/>
    <n v="5"/>
    <x v="1"/>
    <x v="0"/>
    <s v="PLAQUETTES"/>
    <s v="304x28 RPE"/>
    <n v="47.8"/>
  </r>
  <r>
    <d v="2025-12-02T07:17:23"/>
    <x v="1"/>
    <s v="Plaquettes de finition"/>
    <s v="04551FC25C7780"/>
    <s v="CHEDRU VIANNEY"/>
    <n v="5"/>
    <x v="0"/>
    <x v="0"/>
    <s v="PLAQUETTES"/>
    <s v="356x26 RPI"/>
    <n v="47.8"/>
  </r>
  <r>
    <d v="2025-12-02T07:18:09"/>
    <x v="1"/>
    <s v="Plaquettes de finition"/>
    <s v="04551FC25C7780"/>
    <s v="CHEDRU VIANNEY"/>
    <n v="5"/>
    <x v="3"/>
    <x v="0"/>
    <s v="PLAQUETTES"/>
    <s v="330x28 RPE KO"/>
    <n v="47.8"/>
  </r>
  <r>
    <d v="2025-12-02T07:18:25"/>
    <x v="2"/>
    <s v="Plaquettes de finition"/>
    <s v="04551FC25C7780"/>
    <s v="CHEDRU VIANNEY"/>
    <n v="5"/>
    <x v="3"/>
    <x v="2"/>
    <s v="PLAQUETTES"/>
    <s v="330x28 RPE KO"/>
    <n v="44.85"/>
  </r>
  <r>
    <d v="2025-12-02T21:58:04"/>
    <x v="1"/>
    <s v="Plaquettes de finition"/>
    <s v="U037238"/>
    <s v="PRIEUR OLIVIER"/>
    <n v="5"/>
    <x v="2"/>
    <x v="1"/>
    <s v="PLAQUETTES"/>
    <s v="302x26 RPI"/>
    <n v="47.8"/>
  </r>
  <r>
    <d v="2025-12-03T01:26:18"/>
    <x v="1"/>
    <s v="Plaquettes de finition"/>
    <s v="130325"/>
    <s v="PAPONNEAU JULIEN"/>
    <n v="5"/>
    <x v="1"/>
    <x v="0"/>
    <s v="PLAQUETTES"/>
    <s v="304x28 RPE"/>
    <n v="47.8"/>
  </r>
  <r>
    <d v="2025-12-03T01:26:30"/>
    <x v="1"/>
    <s v="Plaquettes de finition"/>
    <s v="130325"/>
    <s v="PAPONNEAU JULIEN"/>
    <n v="5"/>
    <x v="1"/>
    <x v="0"/>
    <s v="PLAQUETTES"/>
    <s v="304x28 RPE"/>
    <n v="47.8"/>
  </r>
  <r>
    <d v="2025-12-03T06:25:06"/>
    <x v="1"/>
    <s v="Plaquettes de finition"/>
    <s v="045F69CAA77080"/>
    <s v="TEIXEIRA FLORIAN"/>
    <n v="5"/>
    <x v="2"/>
    <x v="1"/>
    <s v="PLAQUETTES"/>
    <s v="302x26 RPI"/>
    <n v="47.8"/>
  </r>
  <r>
    <d v="2025-12-03T07:00:17"/>
    <x v="1"/>
    <s v="Plaquettes de finition"/>
    <s v="04551FC25C7780"/>
    <s v="CHEDRU VIANNEY"/>
    <n v="5"/>
    <x v="3"/>
    <x v="0"/>
    <s v="PLAQUETTES"/>
    <s v="330x28 RPE KO"/>
    <n v="47.8"/>
  </r>
  <r>
    <d v="2025-12-03T07:00:34"/>
    <x v="1"/>
    <s v="Plaquettes de finition"/>
    <s v="04551FC25C7780"/>
    <s v="CHEDRU VIANNEY"/>
    <n v="5"/>
    <x v="0"/>
    <x v="0"/>
    <s v="PLAQUETTES"/>
    <s v="356x26 RPI"/>
    <n v="47.8"/>
  </r>
  <r>
    <d v="2025-12-03T07:21:58"/>
    <x v="1"/>
    <s v="Plaquettes de finition"/>
    <s v="045C6ECAA77080"/>
    <s v="PERREIRA KEVIN"/>
    <n v="5"/>
    <x v="1"/>
    <x v="0"/>
    <s v="PLAQUETTES"/>
    <s v="304x28 RPE"/>
    <n v="47.8"/>
  </r>
  <r>
    <d v="2025-12-04T04:24:09"/>
    <x v="1"/>
    <s v="Plaquettes de finition"/>
    <s v="j529800"/>
    <s v="MONTCHARMONT BAPTISTE"/>
    <n v="5"/>
    <x v="0"/>
    <x v="0"/>
    <s v="PLAQUETTES"/>
    <s v="356x26 RPI"/>
    <n v="47.8"/>
  </r>
  <r>
    <d v="2025-12-04T05:04:41"/>
    <x v="1"/>
    <s v="Plaquettes de finition"/>
    <s v="045F69CAA77080"/>
    <s v="TEIXEIRA FLORIAN"/>
    <n v="5"/>
    <x v="2"/>
    <x v="1"/>
    <s v="PLAQUETTES"/>
    <s v="302x26 RPI"/>
    <n v="47.8"/>
  </r>
  <r>
    <d v="2025-12-04T06:39:30"/>
    <x v="1"/>
    <s v="Plaquettes de finition"/>
    <s v="04551FC25C7780"/>
    <s v="CHEDRU VIANNEY"/>
    <n v="5"/>
    <x v="0"/>
    <x v="0"/>
    <s v="PLAQUETTES"/>
    <s v="356x26 RPI"/>
    <n v="47.8"/>
  </r>
  <r>
    <d v="2025-12-04T06:40:31"/>
    <x v="1"/>
    <s v="Plaquettes de finition"/>
    <s v="04551FC25C7780"/>
    <s v="CHEDRU VIANNEY"/>
    <n v="5"/>
    <x v="3"/>
    <x v="0"/>
    <s v="PLAQUETTES"/>
    <s v="330x28 RPE KO"/>
    <n v="47.8"/>
  </r>
  <r>
    <d v="2025-12-04T21:24:09"/>
    <x v="1"/>
    <s v="Plaquettes de finition"/>
    <s v="j529800"/>
    <s v="MONTCHARMONT BAPTISTE"/>
    <n v="5"/>
    <x v="0"/>
    <x v="0"/>
    <s v="PLAQUETTES"/>
    <s v="356x26 RPI"/>
    <n v="47.8"/>
  </r>
  <r>
    <d v="2025-12-04T23:27:09"/>
    <x v="1"/>
    <s v="Plaquettes de finition"/>
    <s v="U037238"/>
    <s v="PRIEUR OLIVIER"/>
    <n v="5"/>
    <x v="2"/>
    <x v="1"/>
    <s v="PLAQUETTES"/>
    <s v="302x26 RPI"/>
    <n v="47.8"/>
  </r>
  <r>
    <d v="2025-12-05T05:03:25"/>
    <x v="1"/>
    <s v="Plaquettes de finition"/>
    <s v="J529792"/>
    <s v="LEBRE CHRISTOPHE"/>
    <n v="5"/>
    <x v="2"/>
    <x v="1"/>
    <s v="PLAQUETTES"/>
    <s v="302x26 RPI"/>
    <n v="47.8"/>
  </r>
  <r>
    <d v="2025-12-05T05:04:03"/>
    <x v="1"/>
    <s v="Plaquettes de finition"/>
    <s v="J529792"/>
    <s v="LEBRE CHRISTOPHE"/>
    <n v="5"/>
    <x v="2"/>
    <x v="1"/>
    <s v="PLAQUETTES"/>
    <s v="302x26 RPI"/>
    <n v="47.8"/>
  </r>
  <r>
    <d v="2025-12-05T13:11:21"/>
    <x v="2"/>
    <s v="Plaquettes de finition"/>
    <s v="040725"/>
    <s v="BARGEOT LUCAS"/>
    <n v="5"/>
    <x v="3"/>
    <x v="2"/>
    <s v="PLAQUETTES"/>
    <s v="330x28 RPE KO"/>
    <n v="44.85"/>
  </r>
  <r>
    <d v="2025-12-05T14:18:59"/>
    <x v="1"/>
    <s v="Plaquettes de finition"/>
    <s v="040725"/>
    <s v="BARGEOT LUCAS"/>
    <n v="5"/>
    <x v="3"/>
    <x v="0"/>
    <s v="PLAQUETTES"/>
    <s v="330x28 RPE KO"/>
    <n v="47.8"/>
  </r>
  <r>
    <d v="2025-12-05T21:19:35"/>
    <x v="1"/>
    <s v="Plaquettes de finition"/>
    <s v="j529800"/>
    <s v="MONTCHARMONT BAPTISTE"/>
    <n v="5"/>
    <x v="3"/>
    <x v="0"/>
    <s v="PLAQUETTES"/>
    <s v="330x28 RPE KO"/>
    <n v="47.8"/>
  </r>
  <r>
    <d v="2025-12-05T21:21:21"/>
    <x v="1"/>
    <s v="Plaquettes de finition"/>
    <s v="U037238"/>
    <s v="PRIEUR OLIVIER"/>
    <n v="5"/>
    <x v="2"/>
    <x v="1"/>
    <s v="PLAQUETTES"/>
    <s v="302x26 RPI"/>
    <n v="47.8"/>
  </r>
  <r>
    <d v="2025-12-06T05:13:04"/>
    <x v="1"/>
    <s v="Plaquettes de finition"/>
    <s v="U080365"/>
    <s v="ALAVOINE SAMUEL"/>
    <n v="5"/>
    <x v="0"/>
    <x v="0"/>
    <s v="PLAQUETTES"/>
    <s v="356x26 RPI"/>
    <n v="47.8"/>
  </r>
  <r>
    <d v="2025-12-06T05:13:23"/>
    <x v="1"/>
    <s v="Plaquettes de finition"/>
    <s v="U080365"/>
    <s v="ALAVOINE SAMUEL"/>
    <n v="5"/>
    <x v="3"/>
    <x v="0"/>
    <s v="PLAQUETTES"/>
    <s v="330x28 RPE KO"/>
    <n v="47.8"/>
  </r>
  <r>
    <d v="2025-12-06T05:51:38"/>
    <x v="0"/>
    <s v="Plaquettes de finition"/>
    <s v="DELIAT C"/>
    <s v="DELIAT CHRISTOPHE"/>
    <n v="10"/>
    <x v="1"/>
    <x v="0"/>
    <s v="PLAQUETTES"/>
    <s v="304x28 RPE"/>
    <n v="109.7"/>
  </r>
  <r>
    <d v="2025-12-06T05:51:53"/>
    <x v="1"/>
    <s v="Plaquettes de finition"/>
    <s v="DELIAT C"/>
    <s v="DELIAT CHRISTOPHE"/>
    <n v="5"/>
    <x v="1"/>
    <x v="0"/>
    <s v="PLAQUETTES"/>
    <s v="304x28 RPE"/>
    <n v="47.8"/>
  </r>
  <r>
    <d v="2025-12-07T10:09:44"/>
    <x v="1"/>
    <s v="Plaquettes de finition"/>
    <s v="U080365"/>
    <s v="ALAVOINE SAMUEL"/>
    <n v="5"/>
    <x v="0"/>
    <x v="0"/>
    <s v="PLAQUETTES"/>
    <s v="356x26 RPI"/>
    <n v="47.8"/>
  </r>
  <r>
    <d v="2025-12-07T21:09:51"/>
    <x v="1"/>
    <s v="Plaquettes de finition"/>
    <s v="150725"/>
    <s v="ADOUL WASSIM"/>
    <n v="5"/>
    <x v="0"/>
    <x v="0"/>
    <s v="PLAQUETTES"/>
    <s v="356x26 RPI"/>
    <n v="47.8"/>
  </r>
  <r>
    <d v="2025-12-08T04:59:36"/>
    <x v="1"/>
    <s v="Plaquettes de finition"/>
    <s v="140325"/>
    <s v="BOUCLIER JONATHAN"/>
    <n v="5"/>
    <x v="2"/>
    <x v="1"/>
    <s v="PLAQUETTES"/>
    <s v="302x26 RPI"/>
    <n v="47.8"/>
  </r>
  <r>
    <d v="2025-12-08T05:20:14"/>
    <x v="1"/>
    <s v="Plaquettes de finition"/>
    <s v="040725"/>
    <s v="BARGEOT LUCAS"/>
    <n v="5"/>
    <x v="3"/>
    <x v="0"/>
    <s v="PLAQUETTES"/>
    <s v="330x28 RPE KO"/>
    <n v="47.8"/>
  </r>
  <r>
    <d v="2025-12-08T16:00:00"/>
    <x v="1"/>
    <s v="Plaquettes de finition"/>
    <s v="04551FC25C7780"/>
    <s v="CHEDRU VIANNEY"/>
    <n v="5"/>
    <x v="0"/>
    <x v="0"/>
    <s v="PLAQUETTES"/>
    <s v="356x26 RPI"/>
    <n v="47.8"/>
  </r>
  <r>
    <d v="2025-12-08T16:00:13"/>
    <x v="1"/>
    <s v="Plaquettes de finition"/>
    <s v="04551FC25C7780"/>
    <s v="CHEDRU VIANNEY"/>
    <n v="5"/>
    <x v="3"/>
    <x v="0"/>
    <s v="PLAQUETTES"/>
    <s v="330x28 RPE KO"/>
    <n v="47.8"/>
  </r>
  <r>
    <d v="2025-12-08T23:30:31"/>
    <x v="1"/>
    <s v="Plaquettes de finition"/>
    <s v="130325"/>
    <s v="PAPONNEAU JULIEN"/>
    <n v="5"/>
    <x v="1"/>
    <x v="0"/>
    <s v="PLAQUETTES"/>
    <s v="304x28 RPE"/>
    <n v="47.8"/>
  </r>
  <r>
    <d v="2025-12-09T03:52:56"/>
    <x v="1"/>
    <s v="Plaquettes de finition"/>
    <s v="U037238"/>
    <s v="PRIEUR OLIVIER"/>
    <n v="5"/>
    <x v="2"/>
    <x v="1"/>
    <s v="PLAQUETTES"/>
    <s v="302x26 RPI"/>
    <n v="47.8"/>
  </r>
  <r>
    <d v="2025-12-09T05:05:51"/>
    <x v="1"/>
    <s v="Plaquettes de finition"/>
    <s v="140325"/>
    <s v="BOUCLIER JONATHAN"/>
    <n v="5"/>
    <x v="2"/>
    <x v="1"/>
    <s v="PLAQUETTES"/>
    <s v="302x26 RPI"/>
    <n v="47.8"/>
  </r>
  <r>
    <d v="2025-12-09T23:09:05"/>
    <x v="1"/>
    <s v="Plaquettes de finition"/>
    <s v="130325"/>
    <s v="PAPONNEAU JULIEN"/>
    <n v="5"/>
    <x v="1"/>
    <x v="0"/>
    <s v="PLAQUETTES"/>
    <s v="304x28 RPE"/>
    <n v="47.8"/>
  </r>
  <r>
    <d v="2025-12-10T05:11:33"/>
    <x v="1"/>
    <s v="Plaquettes de finition"/>
    <s v="140325"/>
    <s v="BOUCLIER JONATHAN"/>
    <n v="5"/>
    <x v="2"/>
    <x v="1"/>
    <s v="PLAQUETTES"/>
    <s v="302x26 RPI"/>
    <n v="47.8"/>
  </r>
  <r>
    <d v="2025-12-10T18:09:37"/>
    <x v="1"/>
    <s v="Plaquettes de finition"/>
    <s v="04551FC25C7780"/>
    <s v="CHEDRU VIANNEY"/>
    <n v="5"/>
    <x v="0"/>
    <x v="0"/>
    <s v="PLAQUETTES"/>
    <s v="356x26 RPI"/>
    <n v="47.8"/>
  </r>
  <r>
    <d v="2025-12-11T01:01:11"/>
    <x v="1"/>
    <s v="Plaquettes de finition"/>
    <s v="U037238"/>
    <s v="PRIEUR OLIVIER"/>
    <n v="5"/>
    <x v="2"/>
    <x v="1"/>
    <s v="PLAQUETTES"/>
    <s v="302x26 RPI"/>
    <n v="47.8"/>
  </r>
  <r>
    <d v="2025-12-11T11:15:07"/>
    <x v="1"/>
    <s v="Plaquettes de finition"/>
    <s v="040725"/>
    <s v="BARGEOT LUCAS"/>
    <n v="5"/>
    <x v="0"/>
    <x v="0"/>
    <s v="PLAQUETTES"/>
    <s v="356x26 RPI"/>
    <n v="47.8"/>
  </r>
  <r>
    <d v="2025-12-11T19:45:03"/>
    <x v="1"/>
    <s v="Plaquettes de finition"/>
    <s v="045C6ECAA77080"/>
    <s v="PERREIRA KEVIN"/>
    <n v="5"/>
    <x v="1"/>
    <x v="0"/>
    <s v="PLAQUETTES"/>
    <s v="356x26 RPI"/>
    <n v="47.8"/>
  </r>
  <r>
    <d v="2025-12-11T21:55:00"/>
    <x v="1"/>
    <s v="Plaquettes de finition"/>
    <s v="j529800"/>
    <s v="MONTCHARMONT BAPTISTE"/>
    <n v="5"/>
    <x v="3"/>
    <x v="0"/>
    <s v="PLAQUETTES"/>
    <s v="330x28 RPE KO"/>
    <n v="47.8"/>
  </r>
  <r>
    <d v="2025-12-12T09:23:46"/>
    <x v="1"/>
    <s v="Plaquettes de finition"/>
    <s v="U109136"/>
    <s v="WIPLIE FREDERIC"/>
    <n v="5"/>
    <x v="1"/>
    <x v="0"/>
    <s v="PLAQUETTES"/>
    <s v="356x26 RPI"/>
    <n v="47.8"/>
  </r>
  <r>
    <d v="2025-12-12T16:55:32"/>
    <x v="0"/>
    <s v="Plaquettes de finition"/>
    <s v="04551FC25C7780"/>
    <s v="CHEDRU VIANNEY"/>
    <n v="10"/>
    <x v="0"/>
    <x v="0"/>
    <s v="PLAQUETTES"/>
    <s v="356x26 RPI"/>
    <n v="109.7"/>
  </r>
  <r>
    <d v="2025-12-12T16:55:47"/>
    <x v="1"/>
    <s v="Plaquettes de finition"/>
    <s v="04551FC25C7780"/>
    <s v="CHEDRU VIANNEY"/>
    <n v="5"/>
    <x v="0"/>
    <x v="0"/>
    <s v="PLAQUETTES"/>
    <s v="356x26 RPI"/>
    <n v="47.8"/>
  </r>
  <r>
    <d v="2025-12-12T16:57:14"/>
    <x v="2"/>
    <s v="Plaquettes de finition"/>
    <s v="04551FC25C7780"/>
    <s v="CHEDRU VIANNEY"/>
    <n v="5"/>
    <x v="3"/>
    <x v="2"/>
    <s v="PLAQUETTES"/>
    <s v="330x28 RPE KO"/>
    <n v="44.85"/>
  </r>
  <r>
    <d v="2025-12-12T16:57:30"/>
    <x v="1"/>
    <s v="Plaquettes de finition"/>
    <s v="04551FC25C7780"/>
    <s v="CHEDRU VIANNEY"/>
    <n v="5"/>
    <x v="3"/>
    <x v="0"/>
    <s v="PLAQUETTES"/>
    <s v="330x28 RPE KO"/>
    <n v="47.8"/>
  </r>
  <r>
    <d v="2025-12-12T16:58:27"/>
    <x v="0"/>
    <s v="Plaquettes de finition"/>
    <s v="04551FC25C7780"/>
    <s v="CHEDRU VIANNEY"/>
    <n v="10"/>
    <x v="3"/>
    <x v="0"/>
    <s v="PLAQUETTES"/>
    <s v="330x28 RPE KO"/>
    <n v="109.7"/>
  </r>
  <r>
    <d v="2025-12-12T19:18:38"/>
    <x v="1"/>
    <s v="Plaquettes de finition"/>
    <s v="045C6ECAA77080"/>
    <s v="PERREIRA KEVIN"/>
    <n v="5"/>
    <x v="1"/>
    <x v="0"/>
    <s v="PLAQUETTES"/>
    <s v="356x26 RPI"/>
    <n v="47.8"/>
  </r>
  <r>
    <d v="2025-12-12T22:05:35"/>
    <x v="1"/>
    <s v="Plaquettes de finition"/>
    <s v="U037238"/>
    <s v="PRIEUR OLIVIER"/>
    <n v="5"/>
    <x v="2"/>
    <x v="1"/>
    <s v="PLAQUETTES"/>
    <s v="302x26 RPI"/>
    <n v="47.8"/>
  </r>
  <r>
    <d v="2025-12-13T05:10:10"/>
    <x v="1"/>
    <s v="Plaquettes de finition"/>
    <s v="J529792"/>
    <s v="LEBRE CHRISTOPHE"/>
    <n v="5"/>
    <x v="2"/>
    <x v="1"/>
    <s v="PLAQUETTES"/>
    <s v="302x26 RPI"/>
    <n v="47.8"/>
  </r>
  <r>
    <d v="2025-12-13T05:10:39"/>
    <x v="1"/>
    <s v="Plaquettes de finition"/>
    <s v="J529792"/>
    <s v="LEBRE CHRISTOPHE"/>
    <n v="5"/>
    <x v="2"/>
    <x v="1"/>
    <s v="PLAQUETTES"/>
    <s v="302x26 RPI"/>
    <n v="47.8"/>
  </r>
  <r>
    <d v="2025-12-13T10:29:55"/>
    <x v="1"/>
    <s v="Plaquettes de finition"/>
    <s v="150725"/>
    <s v="ADOUL WASSIM"/>
    <n v="5"/>
    <x v="0"/>
    <x v="0"/>
    <s v="PLAQUETTES"/>
    <s v="356x26 RPI"/>
    <n v="47.8"/>
  </r>
  <r>
    <d v="2025-12-13T19:33:49"/>
    <x v="1"/>
    <s v="Plaquettes de finition"/>
    <s v="U080365"/>
    <s v="ALAVOINE SAMUEL"/>
    <n v="5"/>
    <x v="0"/>
    <x v="0"/>
    <s v="PLAQUETTES"/>
    <s v="356x26 RPI"/>
    <n v="47.8"/>
  </r>
  <r>
    <d v="2025-12-13T19:34:01"/>
    <x v="1"/>
    <s v="Plaquettes de finition"/>
    <s v="U080365"/>
    <s v="ALAVOINE SAMUEL"/>
    <n v="5"/>
    <x v="3"/>
    <x v="0"/>
    <s v="PLAQUETTES"/>
    <s v="330x28 RPE KO"/>
    <n v="47.8"/>
  </r>
  <r>
    <d v="2025-12-13T19:34:18"/>
    <x v="2"/>
    <s v="Plaquettes de finition"/>
    <s v="U080365"/>
    <s v="ALAVOINE SAMUEL"/>
    <n v="5"/>
    <x v="3"/>
    <x v="2"/>
    <s v="PLAQUETTES"/>
    <s v="330x28 RPE KO"/>
    <n v="44.85"/>
  </r>
  <r>
    <d v="2025-12-14T14:04:48"/>
    <x v="1"/>
    <s v="Plaquettes de finition"/>
    <s v="SD75051"/>
    <s v="COMBALUZIER LUCAS"/>
    <n v="5"/>
    <x v="1"/>
    <x v="0"/>
    <s v="PLAQUETTES"/>
    <s v="304x28 RPE"/>
    <n v="47.8"/>
  </r>
  <r>
    <d v="2025-12-15T05:28:37"/>
    <x v="1"/>
    <s v="Plaquettes de finition"/>
    <s v="045C6ECAA77080"/>
    <s v="PERREIRA KEVIN"/>
    <n v="5"/>
    <x v="1"/>
    <x v="0"/>
    <s v="PLAQUETTES"/>
    <s v="356x26 RPI"/>
    <n v="47.8"/>
  </r>
  <r>
    <d v="2025-12-15T05:36:10"/>
    <x v="1"/>
    <s v="Plaquettes de finition"/>
    <s v="04551FC25C7780"/>
    <s v="CHEDRU VIANNEY"/>
    <n v="5"/>
    <x v="0"/>
    <x v="0"/>
    <s v="PLAQUETTES"/>
    <s v="356x26 RPI"/>
    <n v="47.8"/>
  </r>
  <r>
    <d v="2025-12-15T05:36:39"/>
    <x v="1"/>
    <s v="Plaquettes de finition"/>
    <s v="04551FC25C7780"/>
    <s v="CHEDRU VIANNEY"/>
    <n v="5"/>
    <x v="3"/>
    <x v="0"/>
    <s v="PLAQUETTES"/>
    <s v="330x28 RPE KO"/>
    <n v="47.8"/>
  </r>
  <r>
    <d v="2025-12-15T11:42:35"/>
    <x v="1"/>
    <s v="Plaquettes de finition"/>
    <s v="045F69CAA77080"/>
    <s v="TEIXEIRA FLORIAN"/>
    <n v="5"/>
    <x v="2"/>
    <x v="1"/>
    <s v="PLAQUETTES"/>
    <s v="302x26 RPI"/>
    <n v="47.8"/>
  </r>
  <r>
    <d v="2025-12-15T11:42:49"/>
    <x v="1"/>
    <s v="Plaquettes de finition"/>
    <s v="045F69CAA77080"/>
    <s v="TEIXEIRA FLORIAN"/>
    <n v="5"/>
    <x v="2"/>
    <x v="1"/>
    <s v="PLAQUETTES"/>
    <s v="302x26 RPI"/>
    <n v="47.8"/>
  </r>
  <r>
    <d v="2025-12-15T14:27:10"/>
    <x v="1"/>
    <s v="Plaquettes de finition"/>
    <s v="SD75051"/>
    <s v="COMBALUZIER LUCAS"/>
    <n v="5"/>
    <x v="1"/>
    <x v="0"/>
    <s v="PLAQUETTES"/>
    <s v="304x28 RPE"/>
    <n v="47.8"/>
  </r>
  <r>
    <d v="2025-12-15T22:06:01"/>
    <x v="1"/>
    <s v="Plaquettes de finition"/>
    <s v="j529800"/>
    <s v="MONTCHARMONT BAPTISTE"/>
    <n v="5"/>
    <x v="0"/>
    <x v="0"/>
    <s v="PLAQUETTES"/>
    <s v="356x26 RPI"/>
    <n v="47.8"/>
  </r>
  <r>
    <d v="2025-12-16T02:53:52"/>
    <x v="1"/>
    <s v="Plaquettes de finition"/>
    <s v="U037238"/>
    <s v="PRIEUR OLIVIER"/>
    <n v="5"/>
    <x v="2"/>
    <x v="1"/>
    <s v="PLAQUETTES"/>
    <s v="302x26 RPI"/>
    <n v="47.8"/>
  </r>
  <r>
    <d v="2025-12-16T05:50:28"/>
    <x v="1"/>
    <s v="Plaquettes de finition"/>
    <s v="04551FC25C7780"/>
    <s v="CHEDRU VIANNEY"/>
    <n v="5"/>
    <x v="0"/>
    <x v="0"/>
    <s v="PLAQUETTES"/>
    <s v="356x26 RPI"/>
    <n v="47.8"/>
  </r>
  <r>
    <d v="2025-12-16T05:50:42"/>
    <x v="1"/>
    <s v="Plaquettes de finition"/>
    <s v="04551FC25C7780"/>
    <s v="CHEDRU VIANNEY"/>
    <n v="5"/>
    <x v="3"/>
    <x v="0"/>
    <s v="PLAQUETTES"/>
    <s v="330x28 RPE KO"/>
    <n v="47.8"/>
  </r>
  <r>
    <d v="2025-12-16T13:05:25"/>
    <x v="1"/>
    <s v="Plaquettes de finition"/>
    <s v="SD75051"/>
    <s v="COMBALUZIER LUCAS"/>
    <n v="5"/>
    <x v="1"/>
    <x v="0"/>
    <s v="PLAQUETTES"/>
    <s v="304x28 RPE"/>
    <n v="47.8"/>
  </r>
  <r>
    <d v="2025-12-17T13:12:21"/>
    <x v="1"/>
    <s v="Plaquettes de finition"/>
    <s v="u636817"/>
    <s v="MOCQUEREAU LYDIE"/>
    <n v="5"/>
    <x v="2"/>
    <x v="1"/>
    <s v="PLAQUETTES"/>
    <s v="302x26 RPI"/>
    <n v="47.8"/>
  </r>
  <r>
    <d v="2025-12-17T13:12:38"/>
    <x v="1"/>
    <s v="Plaquettes de finition"/>
    <s v="u636817"/>
    <s v="MOCQUEREAU LYDIE"/>
    <n v="5"/>
    <x v="2"/>
    <x v="1"/>
    <s v="PLAQUETTES"/>
    <s v="302x26 RPI"/>
    <n v="47.8"/>
  </r>
  <r>
    <d v="2025-12-17T13:15:14"/>
    <x v="1"/>
    <s v="Plaquettes de finition"/>
    <s v="SD75051"/>
    <s v="COMBALUZIER LUCAS"/>
    <n v="5"/>
    <x v="1"/>
    <x v="0"/>
    <s v="PLAQUETTES"/>
    <s v="356x26 RPI"/>
    <n v="47.8"/>
  </r>
  <r>
    <d v="2025-12-17T14:21:19"/>
    <x v="1"/>
    <s v="Plaquettes de finition"/>
    <s v="040725"/>
    <s v="BARGEOT LUCAS"/>
    <n v="5"/>
    <x v="3"/>
    <x v="0"/>
    <s v="PLAQUETTES"/>
    <s v="330x28 RPE KO"/>
    <n v="47.8"/>
  </r>
  <r>
    <d v="2025-12-17T17:19:42"/>
    <x v="1"/>
    <s v="Plaquettes de finition"/>
    <s v="SD75051"/>
    <s v="COMBALUZIER LUCAS"/>
    <n v="5"/>
    <x v="1"/>
    <x v="0"/>
    <s v="PLAQUETTES"/>
    <s v="356x26 RPI"/>
    <n v="47.8"/>
  </r>
  <r>
    <d v="2025-12-17T22:50:14"/>
    <x v="1"/>
    <s v="Plaquettes de finition"/>
    <s v="j529800"/>
    <s v="MONTCHARMONT BAPTISTE"/>
    <n v="5"/>
    <x v="3"/>
    <x v="0"/>
    <s v="PLAQUETTES"/>
    <s v="330x28 RPE KO"/>
    <n v="47.8"/>
  </r>
  <r>
    <d v="2025-12-18T04:06:21"/>
    <x v="1"/>
    <s v="Plaquettes de finition"/>
    <s v="U037238"/>
    <s v="PRIEUR OLIVIER"/>
    <n v="5"/>
    <x v="2"/>
    <x v="1"/>
    <s v="PLAQUETTES"/>
    <s v="302x26 RPI"/>
    <n v="47.8"/>
  </r>
  <r>
    <d v="2025-12-18T05:53:55"/>
    <x v="1"/>
    <s v="Plaquettes de finition"/>
    <s v="045C6ECAA77080"/>
    <s v="PERREIRA KEVIN"/>
    <n v="5"/>
    <x v="1"/>
    <x v="0"/>
    <s v="PLAQUETTES"/>
    <s v="356x26 RPI"/>
    <n v="47.8"/>
  </r>
  <r>
    <d v="2025-12-18T17:56:43"/>
    <x v="2"/>
    <s v="Plaquettes de finition"/>
    <s v="040725"/>
    <s v="BARGEOT LUCAS"/>
    <n v="5"/>
    <x v="3"/>
    <x v="2"/>
    <s v="PLAQUETTES"/>
    <s v="330x28 RPE KO"/>
    <n v="44.85"/>
  </r>
  <r>
    <d v="2025-12-18T19:42:09"/>
    <x v="1"/>
    <s v="Plaquettes de finition"/>
    <s v="SE08251"/>
    <s v="FAYET AYMERIC"/>
    <n v="5"/>
    <x v="1"/>
    <x v="0"/>
    <s v="PLAQUETTES"/>
    <s v="356x26 RPI"/>
    <n v="47.8"/>
  </r>
  <r>
    <d v="2025-12-19T04:31:53"/>
    <x v="1"/>
    <s v="Plaquettes de finition"/>
    <s v="j529800"/>
    <s v="MONTCHARMONT BAPTISTE"/>
    <n v="5"/>
    <x v="0"/>
    <x v="0"/>
    <s v="PLAQUETTES"/>
    <s v="356x26 RPI"/>
    <n v="47.8"/>
  </r>
  <r>
    <d v="2025-12-19T15:46:24"/>
    <x v="1"/>
    <s v="Plaquettes de finition"/>
    <s v="SD75051"/>
    <s v="COMBALUZIER LUCAS"/>
    <n v="5"/>
    <x v="1"/>
    <x v="0"/>
    <s v="PLAQUETTES"/>
    <s v="304x28 RPE"/>
    <n v="47.8"/>
  </r>
  <r>
    <d v="2025-12-19T15:55:00"/>
    <x v="1"/>
    <s v="Plaquettes de finition"/>
    <s v="040725"/>
    <s v="BARGEOT LUCAS"/>
    <n v="5"/>
    <x v="3"/>
    <x v="0"/>
    <s v="PLAQUETTES"/>
    <s v="330x28 RPE KO"/>
    <n v="47.8"/>
  </r>
  <r>
    <d v="2025-12-20T10:20:26"/>
    <x v="1"/>
    <s v="Plaquettes de finition"/>
    <s v="U080365"/>
    <s v="ALAVOINE SAMUEL"/>
    <n v="5"/>
    <x v="1"/>
    <x v="0"/>
    <s v="PLAQUETTES"/>
    <s v="356x26 RPI"/>
    <n v="47.8"/>
  </r>
  <r>
    <d v="2025-12-20T20:40:40"/>
    <x v="2"/>
    <s v="Plaquettes de finition"/>
    <s v="150725"/>
    <s v="ADOUL WASSIM"/>
    <n v="5"/>
    <x v="3"/>
    <x v="2"/>
    <s v="PLAQUETTES"/>
    <s v="330x28 RPE KO"/>
    <n v="44.85"/>
  </r>
  <r>
    <d v="2025-12-21T08:33:17"/>
    <x v="1"/>
    <s v="Plaquettes de finition"/>
    <s v="U080365"/>
    <s v="ALAVOINE SAMUEL"/>
    <n v="5"/>
    <x v="3"/>
    <x v="0"/>
    <s v="PLAQUETTES"/>
    <s v="330x28 RPE KO"/>
    <n v="47.8"/>
  </r>
  <r>
    <d v="2025-12-21T19:15:46"/>
    <x v="1"/>
    <s v="Plaquettes de finition"/>
    <s v="150725"/>
    <s v="ADOUL WASSIM"/>
    <n v="5"/>
    <x v="1"/>
    <x v="0"/>
    <s v="PLAQUETTES"/>
    <s v="356x26 RPI"/>
    <n v="47.8"/>
  </r>
  <r>
    <d v="2025-12-22T02:16:53"/>
    <x v="2"/>
    <s v="Plaquettes de finition"/>
    <s v="U109136"/>
    <s v="WIPLIE FREDERIC"/>
    <n v="5"/>
    <x v="3"/>
    <x v="2"/>
    <s v="PLAQUETTES"/>
    <s v="330x28 RPE KO"/>
    <n v="44.85"/>
  </r>
  <r>
    <d v="2025-12-22T05:39:36"/>
    <x v="0"/>
    <s v="Plaquettes de finition"/>
    <s v="SE08251"/>
    <s v="FAYET AYMERIC"/>
    <n v="10"/>
    <x v="1"/>
    <x v="0"/>
    <s v="PLAQUETTES"/>
    <s v="356x26 RPI"/>
    <n v="109.7"/>
  </r>
  <r>
    <d v="2025-12-22T06:11:06"/>
    <x v="1"/>
    <s v="Plaquettes de finition"/>
    <s v="040725"/>
    <s v="BARGEOT LUCAS"/>
    <n v="5"/>
    <x v="3"/>
    <x v="0"/>
    <s v="PLAQUETTES"/>
    <s v="330x28 RPE KO"/>
    <n v="47.8"/>
  </r>
  <r>
    <d v="2025-12-22T08:40:22"/>
    <x v="1"/>
    <s v="Plaquettes de finition"/>
    <s v="SE08251"/>
    <s v="FAYET AYMERIC"/>
    <n v="5"/>
    <x v="1"/>
    <x v="0"/>
    <s v="PLAQUETTES"/>
    <s v="356x26 RPI"/>
    <n v="47.8"/>
  </r>
  <r>
    <d v="2025-12-22T13:19:38"/>
    <x v="0"/>
    <s v="Plaquettes de finition"/>
    <s v="04551FC25C7780"/>
    <s v="CHEDRU VIANNEY"/>
    <n v="10"/>
    <x v="3"/>
    <x v="0"/>
    <s v="PLAQUETTES"/>
    <s v="330x28 RPE KO"/>
    <n v="109.7"/>
  </r>
  <r>
    <d v="2025-12-22T17:32:17"/>
    <x v="1"/>
    <s v="Plaquettes de finition"/>
    <s v="04551FC25C7780"/>
    <s v="CHEDRU VIANNEY"/>
    <n v="5"/>
    <x v="3"/>
    <x v="0"/>
    <s v="PLAQUETTES"/>
    <s v="330x28 RPE KO"/>
    <n v="47.8"/>
  </r>
  <r>
    <d v="2025-12-22T21:42:40"/>
    <x v="1"/>
    <s v="Plaquettes de finition"/>
    <s v="U037238"/>
    <s v="PRIEUR OLIVIER"/>
    <n v="5"/>
    <x v="2"/>
    <x v="1"/>
    <s v="PLAQUETTES"/>
    <s v="302x26 RPI"/>
    <n v="47.8"/>
  </r>
  <r>
    <d v="2025-12-23T05:56:44"/>
    <x v="1"/>
    <s v="Plaquettes de finition"/>
    <s v="040725"/>
    <s v="BARGEOT LUCAS"/>
    <n v="5"/>
    <x v="3"/>
    <x v="0"/>
    <s v="PLAQUETTES"/>
    <s v="330x28 RPE KO"/>
    <n v="47.8"/>
  </r>
  <r>
    <d v="2025-01-05T19:54:54"/>
    <x v="3"/>
    <s v="Plaquettes de finition positives"/>
    <s v="U080365"/>
    <s v="ALAVOINE SAMUEL"/>
    <n v="10"/>
    <x v="0"/>
    <x v="0"/>
    <s v="PLAQUETTES"/>
    <s v="290x12"/>
    <n v="87"/>
  </r>
  <r>
    <d v="2025-01-05T20:05:59"/>
    <x v="3"/>
    <s v="Plaquettes de finition positives"/>
    <s v="U080365"/>
    <s v="ALAVOINE SAMUEL"/>
    <n v="10"/>
    <x v="3"/>
    <x v="0"/>
    <s v="PLAQUETTES"/>
    <s v="290x12"/>
    <n v="87"/>
  </r>
  <r>
    <d v="2025-01-09T13:31:07"/>
    <x v="3"/>
    <s v="Plaquettes de finition positives"/>
    <s v="SE08251"/>
    <s v="FAYET AYMERIC"/>
    <n v="10"/>
    <x v="0"/>
    <x v="0"/>
    <s v="PLAQUETTES"/>
    <s v="290x12"/>
    <n v="87"/>
  </r>
  <r>
    <d v="2025-01-10T13:58:41"/>
    <x v="3"/>
    <s v="Plaquettes de finition positives"/>
    <s v="SE08251"/>
    <s v="FAYET AYMERIC"/>
    <n v="10"/>
    <x v="0"/>
    <x v="0"/>
    <s v="PLAQUETTES"/>
    <s v="330x14"/>
    <n v="87"/>
  </r>
  <r>
    <d v="2025-01-11T07:48:52"/>
    <x v="3"/>
    <s v="Plaquettes de finition positives"/>
    <s v="U109136"/>
    <s v="WIPLIE FREDERIC"/>
    <n v="20"/>
    <x v="0"/>
    <x v="0"/>
    <s v="PLAQUETTES"/>
    <s v="290x12"/>
    <n v="174"/>
  </r>
  <r>
    <d v="2025-01-13T11:33:46"/>
    <x v="3"/>
    <s v="Plaquettes de finition positives"/>
    <s v="SE08251"/>
    <s v="FAYET AYMERIC"/>
    <n v="10"/>
    <x v="3"/>
    <x v="0"/>
    <s v="PLAQUETTES"/>
    <s v="290x12"/>
    <n v="87"/>
  </r>
  <r>
    <d v="2025-01-15T23:58:32"/>
    <x v="3"/>
    <s v="Plaquettes de finition positives"/>
    <s v="101224"/>
    <s v="CHAZEAU KYLIAN"/>
    <n v="20"/>
    <x v="0"/>
    <x v="0"/>
    <s v="PLAQUETTES"/>
    <s v="290x12"/>
    <n v="174"/>
  </r>
  <r>
    <d v="2025-01-16T14:17:47"/>
    <x v="3"/>
    <s v="Plaquettes de finition positives"/>
    <s v="SD75051"/>
    <s v="COMBALUZIER LUCAS"/>
    <n v="10"/>
    <x v="0"/>
    <x v="0"/>
    <s v="PLAQUETTES"/>
    <s v="290x12"/>
    <n v="87"/>
  </r>
  <r>
    <d v="2025-01-16T23:25:02"/>
    <x v="3"/>
    <s v="Plaquettes de finition positives"/>
    <s v="101224"/>
    <s v="CHAZEAU KYLIAN"/>
    <n v="20"/>
    <x v="3"/>
    <x v="0"/>
    <s v="PLAQUETTES"/>
    <s v="290x12"/>
    <n v="174"/>
  </r>
  <r>
    <d v="2025-01-17T09:55:05"/>
    <x v="3"/>
    <s v="Plaquettes de finition positives"/>
    <s v="U080365"/>
    <s v="ALAVOINE SAMUEL"/>
    <n v="10"/>
    <x v="0"/>
    <x v="0"/>
    <s v="PLAQUETTES"/>
    <s v="290x12"/>
    <n v="87"/>
  </r>
  <r>
    <d v="2025-01-18T08:10:23"/>
    <x v="3"/>
    <s v="Plaquettes de finition positives"/>
    <s v="U080365"/>
    <s v="ALAVOINE SAMUEL"/>
    <n v="20"/>
    <x v="3"/>
    <x v="0"/>
    <s v="PLAQUETTES"/>
    <s v="290x12"/>
    <n v="174"/>
  </r>
  <r>
    <d v="2025-01-20T03:39:19"/>
    <x v="3"/>
    <s v="Plaquettes de finition positives"/>
    <s v="U515988"/>
    <s v="BLAHA"/>
    <n v="10"/>
    <x v="3"/>
    <x v="0"/>
    <s v="PLAQUETTES"/>
    <s v="290x12"/>
    <n v="87"/>
  </r>
  <r>
    <d v="2025-01-20T12:24:47"/>
    <x v="3"/>
    <s v="Plaquettes de finition positives"/>
    <s v="U568060"/>
    <s v="FAVIER STEVEN"/>
    <n v="20"/>
    <x v="3"/>
    <x v="0"/>
    <s v="PLAQUETTES"/>
    <s v="290x12"/>
    <n v="174"/>
  </r>
  <r>
    <d v="2025-01-20T23:41:57"/>
    <x v="3"/>
    <s v="Plaquettes de finition positives"/>
    <s v="3224"/>
    <s v="BIDOT MURIEL"/>
    <n v="10"/>
    <x v="0"/>
    <x v="0"/>
    <s v="PLAQUETTES"/>
    <s v="290x12"/>
    <n v="87"/>
  </r>
  <r>
    <d v="2025-01-21T18:03:55"/>
    <x v="3"/>
    <s v="Plaquettes de finition positives"/>
    <s v="101224"/>
    <s v="CHAZEAU KYLIAN"/>
    <n v="20"/>
    <x v="0"/>
    <x v="0"/>
    <s v="PLAQUETTES"/>
    <s v="290x12"/>
    <n v="174"/>
  </r>
  <r>
    <d v="2025-01-22T13:07:37"/>
    <x v="3"/>
    <s v="Plaquettes de finition positives"/>
    <s v="101224"/>
    <s v="CHAZEAU KYLIAN"/>
    <n v="20"/>
    <x v="0"/>
    <x v="0"/>
    <s v="PLAQUETTES"/>
    <s v="290x12"/>
    <n v="174"/>
  </r>
  <r>
    <d v="2025-01-23T18:27:07"/>
    <x v="3"/>
    <s v="Plaquettes de finition positives"/>
    <s v="101224"/>
    <s v="CHAZEAU KYLIAN"/>
    <n v="20"/>
    <x v="0"/>
    <x v="0"/>
    <s v="PLAQUETTES"/>
    <s v="290x12"/>
    <n v="174"/>
  </r>
  <r>
    <d v="2025-01-24T09:51:24"/>
    <x v="3"/>
    <s v="Plaquettes de finition positives"/>
    <s v="1234"/>
    <s v=" "/>
    <n v="10"/>
    <x v="3"/>
    <x v="0"/>
    <s v="PLAQUETTES"/>
    <s v="290x12"/>
    <n v="87"/>
  </r>
  <r>
    <d v="2025-01-24T18:07:24"/>
    <x v="3"/>
    <s v="Plaquettes de finition positives"/>
    <s v="101224"/>
    <s v="CHAZEAU KYLIAN"/>
    <n v="10"/>
    <x v="3"/>
    <x v="0"/>
    <s v="PLAQUETTES"/>
    <s v="290x12"/>
    <n v="87"/>
  </r>
  <r>
    <d v="2025-01-25T05:39:17"/>
    <x v="3"/>
    <s v="Plaquettes de finition positives"/>
    <s v="U080365"/>
    <s v="ALAVOINE SAMUEL"/>
    <n v="20"/>
    <x v="0"/>
    <x v="0"/>
    <s v="PLAQUETTES"/>
    <s v="290x12"/>
    <n v="174"/>
  </r>
  <r>
    <d v="2025-01-27T05:05:39"/>
    <x v="3"/>
    <s v="Plaquettes de finition positives"/>
    <s v="101224"/>
    <s v="CHAZEAU KYLIAN"/>
    <n v="20"/>
    <x v="3"/>
    <x v="0"/>
    <s v="PLAQUETTES"/>
    <s v="290x12"/>
    <n v="174"/>
  </r>
  <r>
    <d v="2025-01-28T01:47:55"/>
    <x v="3"/>
    <s v="Plaquettes de finition positives"/>
    <s v="SC95213"/>
    <s v="RABET PAULINE"/>
    <n v="10"/>
    <x v="0"/>
    <x v="0"/>
    <s v="PLAQUETTES"/>
    <s v="290x12"/>
    <n v="87"/>
  </r>
  <r>
    <d v="2025-01-28T05:08:38"/>
    <x v="3"/>
    <s v="Plaquettes de finition positives"/>
    <s v="101224"/>
    <s v="CHAZEAU KYLIAN"/>
    <n v="20"/>
    <x v="0"/>
    <x v="0"/>
    <s v="PLAQUETTES"/>
    <s v="290x12"/>
    <n v="174"/>
  </r>
  <r>
    <d v="2025-01-29T19:51:49"/>
    <x v="3"/>
    <s v="Plaquettes de finition positives"/>
    <s v="SE08251"/>
    <s v="FAYET AYMERIC"/>
    <n v="10"/>
    <x v="0"/>
    <x v="0"/>
    <s v="PLAQUETTES"/>
    <s v="290x12"/>
    <n v="87"/>
  </r>
  <r>
    <d v="2025-01-31T00:43:09"/>
    <x v="3"/>
    <s v="Plaquettes de finition positives"/>
    <s v="SC95213"/>
    <s v="RABET PAULINE"/>
    <n v="10"/>
    <x v="0"/>
    <x v="0"/>
    <s v="PLAQUETTES"/>
    <s v="330x14"/>
    <n v="87"/>
  </r>
  <r>
    <d v="2025-01-31T07:26:57"/>
    <x v="3"/>
    <s v="Plaquettes de finition positives"/>
    <s v="U080365"/>
    <s v="ALAVOINE SAMUEL"/>
    <n v="10"/>
    <x v="3"/>
    <x v="0"/>
    <s v="PLAQUETTES"/>
    <s v="290x12"/>
    <n v="87"/>
  </r>
  <r>
    <d v="2025-01-31T14:24:29"/>
    <x v="3"/>
    <s v="Plaquettes de finition positives"/>
    <s v="SE08251"/>
    <s v="FAYET AYMERIC"/>
    <n v="10"/>
    <x v="3"/>
    <x v="0"/>
    <s v="PLAQUETTES"/>
    <s v="290x12"/>
    <n v="87"/>
  </r>
  <r>
    <d v="2025-02-01T05:19:58"/>
    <x v="3"/>
    <s v="Plaquettes de finition positives"/>
    <s v="U080365"/>
    <s v="ALAVOINE SAMUEL"/>
    <n v="20"/>
    <x v="0"/>
    <x v="0"/>
    <s v="PLAQUETTES"/>
    <s v="290x12"/>
    <n v="174"/>
  </r>
  <r>
    <d v="2025-02-01T11:50:59"/>
    <x v="3"/>
    <s v="Plaquettes de finition positives"/>
    <s v="U080365"/>
    <s v="ALAVOINE SAMUEL"/>
    <n v="20"/>
    <x v="0"/>
    <x v="0"/>
    <s v="PLAQUETTES"/>
    <s v="330x14"/>
    <n v="174"/>
  </r>
  <r>
    <d v="2025-02-01T11:51:41"/>
    <x v="3"/>
    <s v="Plaquettes de finition positives"/>
    <s v="U080365"/>
    <s v="ALAVOINE SAMUEL"/>
    <n v="20"/>
    <x v="0"/>
    <x v="0"/>
    <s v="PLAQUETTES"/>
    <s v="330x14"/>
    <n v="174"/>
  </r>
  <r>
    <d v="2025-02-03T23:02:52"/>
    <x v="3"/>
    <s v="Plaquettes de finition positives"/>
    <s v="130124"/>
    <s v="MOHAMED ILDIRAY"/>
    <n v="20"/>
    <x v="3"/>
    <x v="0"/>
    <s v="PLAQUETTES"/>
    <s v="290x12"/>
    <n v="174"/>
  </r>
  <r>
    <d v="2025-02-04T15:59:42"/>
    <x v="3"/>
    <s v="Plaquettes de finition positives"/>
    <s v="SD75051"/>
    <s v="COMBALUZIER LUCAS"/>
    <n v="10"/>
    <x v="0"/>
    <x v="0"/>
    <s v="PLAQUETTES"/>
    <s v="330x14"/>
    <n v="87"/>
  </r>
  <r>
    <d v="2025-02-04T21:12:18"/>
    <x v="3"/>
    <s v="Plaquettes de finition positives"/>
    <s v="130124"/>
    <s v="MOHAMED ILDIRAY"/>
    <n v="20"/>
    <x v="0"/>
    <x v="0"/>
    <s v="PLAQUETTES"/>
    <s v="290x12"/>
    <n v="174"/>
  </r>
  <r>
    <d v="2025-02-05T11:46:23"/>
    <x v="3"/>
    <s v="Plaquettes de finition positives"/>
    <s v="SE08251"/>
    <s v="FAYET AYMERIC"/>
    <n v="10"/>
    <x v="0"/>
    <x v="0"/>
    <s v="PLAQUETTES"/>
    <s v="330x14"/>
    <n v="87"/>
  </r>
  <r>
    <d v="2025-02-05T21:26:08"/>
    <x v="3"/>
    <s v="Plaquettes de finition positives"/>
    <s v="101224"/>
    <s v="CHAZEAU KYLIAN"/>
    <n v="20"/>
    <x v="3"/>
    <x v="0"/>
    <s v="PLAQUETTES"/>
    <s v="290x12"/>
    <n v="174"/>
  </r>
  <r>
    <d v="2025-02-06T13:41:38"/>
    <x v="3"/>
    <s v="Plaquettes de finition positives"/>
    <s v="7236310"/>
    <s v="BRANDALY JEREMY"/>
    <n v="20"/>
    <x v="0"/>
    <x v="0"/>
    <s v="PLAQUETTES"/>
    <s v="330x14"/>
    <n v="174"/>
  </r>
  <r>
    <d v="2025-02-07T16:57:30"/>
    <x v="3"/>
    <s v="Plaquettes de finition positives"/>
    <s v="7236310"/>
    <s v="BRANDALY JEREMY"/>
    <n v="40"/>
    <x v="0"/>
    <x v="0"/>
    <s v="PLAQUETTES"/>
    <s v="290x12"/>
    <n v="348"/>
  </r>
  <r>
    <d v="2025-02-08T13:33:19"/>
    <x v="3"/>
    <s v="Plaquettes de finition positives"/>
    <s v="U109136"/>
    <s v="WIPLIE FREDERIC"/>
    <n v="10"/>
    <x v="0"/>
    <x v="0"/>
    <s v="PLAQUETTES"/>
    <s v="290x12"/>
    <n v="87"/>
  </r>
  <r>
    <d v="2025-02-09T16:08:24"/>
    <x v="3"/>
    <s v="Plaquettes de finition positives"/>
    <s v="SC95213"/>
    <s v="RABET PAULINE"/>
    <n v="10"/>
    <x v="3"/>
    <x v="0"/>
    <s v="PLAQUETTES"/>
    <s v="290x12"/>
    <n v="87"/>
  </r>
  <r>
    <d v="2025-02-09T23:43:49"/>
    <x v="3"/>
    <s v="Plaquettes de finition positives"/>
    <s v="U515988"/>
    <s v="BLAHA"/>
    <n v="20"/>
    <x v="0"/>
    <x v="0"/>
    <s v="PLAQUETTES"/>
    <s v="290x12"/>
    <n v="174"/>
  </r>
  <r>
    <d v="2025-02-10T23:05:03"/>
    <x v="3"/>
    <s v="Plaquettes de finition positives"/>
    <s v="SE08251"/>
    <s v="FAYET AYMERIC"/>
    <n v="10"/>
    <x v="0"/>
    <x v="0"/>
    <s v="PLAQUETTES"/>
    <s v="290x12"/>
    <n v="87"/>
  </r>
  <r>
    <d v="2025-02-11T16:20:57"/>
    <x v="3"/>
    <s v="Plaquettes de finition positives"/>
    <s v="101224"/>
    <s v="CHAZEAU KYLIAN"/>
    <n v="20"/>
    <x v="3"/>
    <x v="0"/>
    <s v="PLAQUETTES"/>
    <s v="290x12"/>
    <n v="174"/>
  </r>
  <r>
    <d v="2025-02-12T04:26:35"/>
    <x v="3"/>
    <s v="Plaquettes de finition positives"/>
    <s v="SE08251"/>
    <s v="FAYET AYMERIC"/>
    <n v="20"/>
    <x v="0"/>
    <x v="0"/>
    <s v="PLAQUETTES"/>
    <s v="330x14"/>
    <n v="174"/>
  </r>
  <r>
    <d v="2025-02-13T06:13:26"/>
    <x v="3"/>
    <s v="Plaquettes de finition positives"/>
    <s v="SD75051"/>
    <s v="COMBALUZIER LUCAS"/>
    <n v="10"/>
    <x v="3"/>
    <x v="0"/>
    <s v="PLAQUETTES"/>
    <s v="290x12"/>
    <n v="87"/>
  </r>
  <r>
    <d v="2025-02-13T08:41:20"/>
    <x v="3"/>
    <s v="Plaquettes de finition positives"/>
    <s v="7236310"/>
    <s v="BRANDALY JEREMY"/>
    <n v="10"/>
    <x v="0"/>
    <x v="0"/>
    <s v="PLAQUETTES"/>
    <s v="290x12"/>
    <n v="87"/>
  </r>
  <r>
    <d v="2025-02-13T16:38:06"/>
    <x v="3"/>
    <s v="Plaquettes de finition positives"/>
    <s v="101224"/>
    <s v="CHAZEAU KYLIAN"/>
    <n v="10"/>
    <x v="3"/>
    <x v="0"/>
    <s v="PLAQUETTES"/>
    <s v="290x12"/>
    <n v="87"/>
  </r>
  <r>
    <d v="2025-02-13T16:38:36"/>
    <x v="3"/>
    <s v="Plaquettes de finition positives"/>
    <s v="101224"/>
    <s v="CHAZEAU KYLIAN"/>
    <n v="10"/>
    <x v="0"/>
    <x v="0"/>
    <s v="PLAQUETTES"/>
    <s v="330x14"/>
    <n v="87"/>
  </r>
  <r>
    <d v="2025-02-15T05:35:23"/>
    <x v="3"/>
    <s v="Plaquettes de finition positives"/>
    <s v="U080365"/>
    <s v="ALAVOINE SAMUEL"/>
    <n v="10"/>
    <x v="0"/>
    <x v="0"/>
    <s v="PLAQUETTES"/>
    <s v="330x14"/>
    <n v="87"/>
  </r>
  <r>
    <d v="2025-02-15T05:37:00"/>
    <x v="3"/>
    <s v="Plaquettes de finition positives"/>
    <s v="U080365"/>
    <s v="ALAVOINE SAMUEL"/>
    <n v="10"/>
    <x v="3"/>
    <x v="0"/>
    <s v="PLAQUETTES"/>
    <s v="290x12"/>
    <n v="87"/>
  </r>
  <r>
    <d v="2025-02-16T23:02:54"/>
    <x v="3"/>
    <s v="Plaquettes de finition positives"/>
    <s v="U080365"/>
    <s v="ALAVOINE SAMUEL"/>
    <n v="10"/>
    <x v="0"/>
    <x v="0"/>
    <s v="PLAQUETTES"/>
    <s v="330x14"/>
    <n v="87"/>
  </r>
  <r>
    <d v="2025-02-17T11:34:19"/>
    <x v="3"/>
    <s v="Plaquettes de finition positives"/>
    <s v="101224"/>
    <s v="CHAZEAU KYLIAN"/>
    <n v="10"/>
    <x v="3"/>
    <x v="0"/>
    <s v="PLAQUETTES"/>
    <s v="290x12"/>
    <n v="87"/>
  </r>
  <r>
    <d v="2025-02-18T01:41:05"/>
    <x v="3"/>
    <s v="Plaquettes de finition positives"/>
    <s v="7236310"/>
    <s v="BRANDALY JEREMY"/>
    <n v="10"/>
    <x v="0"/>
    <x v="0"/>
    <s v="PLAQUETTES"/>
    <s v="290x12"/>
    <n v="87"/>
  </r>
  <r>
    <d v="2025-02-18T01:41:28"/>
    <x v="3"/>
    <s v="Plaquettes de finition positives"/>
    <s v="7236310"/>
    <s v="BRANDALY JEREMY"/>
    <n v="10"/>
    <x v="3"/>
    <x v="0"/>
    <s v="PLAQUETTES"/>
    <s v="290x12"/>
    <n v="87"/>
  </r>
  <r>
    <d v="2025-02-18T05:14:27"/>
    <x v="3"/>
    <s v="Plaquettes de finition positives"/>
    <s v="101224"/>
    <s v="CHAZEAU KYLIAN"/>
    <n v="10"/>
    <x v="0"/>
    <x v="0"/>
    <s v="PLAQUETTES"/>
    <s v="290x12"/>
    <n v="87"/>
  </r>
  <r>
    <d v="2025-02-19T08:21:08"/>
    <x v="3"/>
    <s v="Plaquettes de finition positives"/>
    <s v="101224"/>
    <s v="CHAZEAU KYLIAN"/>
    <n v="10"/>
    <x v="3"/>
    <x v="0"/>
    <s v="PLAQUETTES"/>
    <s v="290x12"/>
    <n v="87"/>
  </r>
  <r>
    <d v="2025-02-19T08:21:48"/>
    <x v="3"/>
    <s v="Plaquettes de finition positives"/>
    <s v="101224"/>
    <s v="CHAZEAU KYLIAN"/>
    <n v="10"/>
    <x v="3"/>
    <x v="0"/>
    <s v="PLAQUETTES"/>
    <s v="290x12"/>
    <n v="87"/>
  </r>
  <r>
    <d v="2025-02-20T05:10:18"/>
    <x v="3"/>
    <s v="Plaquettes de finition positives"/>
    <s v="101224"/>
    <s v="CHAZEAU KYLIAN"/>
    <n v="10"/>
    <x v="0"/>
    <x v="0"/>
    <s v="PLAQUETTES"/>
    <s v="330x14"/>
    <n v="87"/>
  </r>
  <r>
    <d v="2025-02-20T05:10:39"/>
    <x v="3"/>
    <s v="Plaquettes de finition positives"/>
    <s v="101224"/>
    <s v="CHAZEAU KYLIAN"/>
    <n v="10"/>
    <x v="3"/>
    <x v="0"/>
    <s v="PLAQUETTES"/>
    <s v="290x12"/>
    <n v="87"/>
  </r>
  <r>
    <d v="2025-02-21T17:04:40"/>
    <x v="3"/>
    <s v="Plaquettes de finition positives"/>
    <s v="280225"/>
    <s v="FERNANDES DOS SANTOS REMY"/>
    <n v="10"/>
    <x v="0"/>
    <x v="0"/>
    <s v="PLAQUETTES"/>
    <s v="330x14"/>
    <n v="87"/>
  </r>
  <r>
    <d v="2025-02-21T22:44:36"/>
    <x v="3"/>
    <s v="Plaquettes de finition positives"/>
    <s v="7236310"/>
    <s v="BRANDALY JEREMY"/>
    <n v="10"/>
    <x v="0"/>
    <x v="0"/>
    <s v="PLAQUETTES"/>
    <s v="290x12"/>
    <n v="87"/>
  </r>
  <r>
    <d v="2025-02-21T22:44:55"/>
    <x v="3"/>
    <s v="Plaquettes de finition positives"/>
    <s v="7236310"/>
    <s v="BRANDALY JEREMY"/>
    <n v="10"/>
    <x v="3"/>
    <x v="0"/>
    <s v="PLAQUETTES"/>
    <s v="290x12"/>
    <n v="87"/>
  </r>
  <r>
    <d v="2025-02-22T05:25:53"/>
    <x v="3"/>
    <s v="Plaquettes de finition positives"/>
    <s v="U109136"/>
    <s v="WIPLIE FREDERIC"/>
    <n v="10"/>
    <x v="0"/>
    <x v="0"/>
    <s v="PLAQUETTES"/>
    <s v="290x12"/>
    <n v="87"/>
  </r>
  <r>
    <d v="2025-02-23T19:41:19"/>
    <x v="3"/>
    <s v="Plaquettes de finition positives"/>
    <s v="1234"/>
    <s v=" "/>
    <n v="10"/>
    <x v="0"/>
    <x v="0"/>
    <s v="PLAQUETTES"/>
    <s v="330x14"/>
    <n v="87"/>
  </r>
  <r>
    <d v="2025-02-24T06:16:37"/>
    <x v="3"/>
    <s v="Plaquettes de finition positives"/>
    <s v="280225"/>
    <s v="FERNANDES DOS SANTOS REMY"/>
    <n v="10"/>
    <x v="0"/>
    <x v="0"/>
    <s v="PLAQUETTES"/>
    <s v="290x12"/>
    <n v="87"/>
  </r>
  <r>
    <d v="2025-02-24T06:21:07"/>
    <x v="3"/>
    <s v="Plaquettes de finition positives"/>
    <s v="280225"/>
    <s v="FERNANDES DOS SANTOS REMY"/>
    <n v="10"/>
    <x v="3"/>
    <x v="0"/>
    <s v="PLAQUETTES"/>
    <s v="290x12"/>
    <n v="87"/>
  </r>
  <r>
    <d v="2025-02-25T00:21:49"/>
    <x v="3"/>
    <s v="Plaquettes de finition positives"/>
    <s v="101224"/>
    <s v="CHAZEAU KYLIAN"/>
    <n v="10"/>
    <x v="0"/>
    <x v="0"/>
    <s v="PLAQUETTES"/>
    <s v="330x14"/>
    <n v="87"/>
  </r>
  <r>
    <d v="2025-02-25T00:22:13"/>
    <x v="3"/>
    <s v="Plaquettes de finition positives"/>
    <s v="101224"/>
    <s v="CHAZEAU KYLIAN"/>
    <n v="10"/>
    <x v="3"/>
    <x v="0"/>
    <s v="PLAQUETTES"/>
    <s v="290x12"/>
    <n v="87"/>
  </r>
  <r>
    <d v="2025-02-25T06:32:23"/>
    <x v="3"/>
    <s v="Plaquettes de finition positives"/>
    <s v="SE08251"/>
    <s v="FAYET AYMERIC"/>
    <n v="10"/>
    <x v="0"/>
    <x v="0"/>
    <s v="PLAQUETTES"/>
    <s v="330x14"/>
    <n v="87"/>
  </r>
  <r>
    <d v="2025-02-26T05:50:10"/>
    <x v="3"/>
    <s v="Plaquettes de finition positives"/>
    <s v="SE08251"/>
    <s v="FAYET AYMERIC"/>
    <n v="10"/>
    <x v="0"/>
    <x v="0"/>
    <s v="PLAQUETTES"/>
    <s v="330x14"/>
    <n v="87"/>
  </r>
  <r>
    <d v="2025-02-26T05:50:35"/>
    <x v="3"/>
    <s v="Plaquettes de finition positives"/>
    <s v="SE08251"/>
    <s v="FAYET AYMERIC"/>
    <n v="10"/>
    <x v="3"/>
    <x v="0"/>
    <s v="PLAQUETTES"/>
    <s v="290x12"/>
    <n v="87"/>
  </r>
  <r>
    <d v="2025-02-27T11:32:02"/>
    <x v="3"/>
    <s v="Plaquettes de finition positives"/>
    <s v="SE08251"/>
    <s v="FAYET AYMERIC"/>
    <n v="10"/>
    <x v="3"/>
    <x v="0"/>
    <s v="PLAQUETTES"/>
    <s v="290x12"/>
    <n v="87"/>
  </r>
  <r>
    <d v="2025-02-27T12:02:09"/>
    <x v="3"/>
    <s v="Plaquettes de finition positives"/>
    <s v="18498233"/>
    <s v="ALVES ARTHUR"/>
    <n v="10"/>
    <x v="3"/>
    <x v="0"/>
    <s v="PLAQUETTES"/>
    <s v="TOUT DISQUES"/>
    <n v="87"/>
  </r>
  <r>
    <d v="2025-02-28T11:23:24"/>
    <x v="3"/>
    <s v="Plaquettes de finition positives"/>
    <s v="U109136"/>
    <s v="WIPLIE FREDERIC"/>
    <n v="10"/>
    <x v="3"/>
    <x v="0"/>
    <s v="PLAQUETTES"/>
    <s v="290x12"/>
    <n v="87"/>
  </r>
  <r>
    <d v="2025-03-01T04:05:38"/>
    <x v="3"/>
    <s v="Plaquettes de finition positives"/>
    <s v="101224"/>
    <s v="CHAZEAU KYLIAN"/>
    <n v="10"/>
    <x v="3"/>
    <x v="0"/>
    <s v="PLAQUETTES"/>
    <s v="290x12"/>
    <n v="87"/>
  </r>
  <r>
    <d v="2025-03-02T17:37:10"/>
    <x v="3"/>
    <s v="Plaquettes de finition positives"/>
    <s v="U109136"/>
    <s v="WIPLIE FREDERIC"/>
    <n v="10"/>
    <x v="3"/>
    <x v="0"/>
    <s v="PLAQUETTES"/>
    <s v="290x12"/>
    <n v="87"/>
  </r>
  <r>
    <d v="2025-03-03T20:09:41"/>
    <x v="3"/>
    <s v="Plaquettes de finition positives"/>
    <s v="101224"/>
    <s v="CHAZEAU KYLIAN"/>
    <n v="10"/>
    <x v="3"/>
    <x v="0"/>
    <s v="PLAQUETTES"/>
    <s v="290x12"/>
    <n v="87"/>
  </r>
  <r>
    <d v="2025-03-04T17:52:00"/>
    <x v="3"/>
    <s v="Plaquettes de finition positives"/>
    <s v="101224"/>
    <s v="CHAZEAU KYLIAN"/>
    <n v="10"/>
    <x v="3"/>
    <x v="0"/>
    <s v="PLAQUETTES"/>
    <s v="290x12"/>
    <n v="87"/>
  </r>
  <r>
    <d v="2025-03-05T15:31:37"/>
    <x v="3"/>
    <s v="Plaquettes de finition positives"/>
    <s v="101224"/>
    <s v="CHAZEAU KYLIAN"/>
    <n v="10"/>
    <x v="3"/>
    <x v="0"/>
    <s v="PLAQUETTES"/>
    <s v="290x12"/>
    <n v="87"/>
  </r>
  <r>
    <d v="2025-03-06T05:38:06"/>
    <x v="3"/>
    <s v="Plaquettes de finition positives"/>
    <s v="7236310"/>
    <s v="BRANDALY JEREMY"/>
    <n v="10"/>
    <x v="0"/>
    <x v="0"/>
    <s v="PLAQUETTES"/>
    <s v="290x12"/>
    <n v="87"/>
  </r>
  <r>
    <d v="2025-03-06T05:39:42"/>
    <x v="3"/>
    <s v="Plaquettes de finition positives"/>
    <s v="7236310"/>
    <s v="BRANDALY JEREMY"/>
    <n v="10"/>
    <x v="0"/>
    <x v="0"/>
    <s v="PLAQUETTES"/>
    <s v="290x12"/>
    <n v="87"/>
  </r>
  <r>
    <d v="2025-03-06T13:28:27"/>
    <x v="3"/>
    <s v="Plaquettes de finition positives"/>
    <s v="101224"/>
    <s v="CHAZEAU KYLIAN"/>
    <n v="10"/>
    <x v="3"/>
    <x v="0"/>
    <s v="PLAQUETTES"/>
    <s v="290x12"/>
    <n v="87"/>
  </r>
  <r>
    <d v="2025-03-07T01:11:56"/>
    <x v="3"/>
    <s v="Plaquettes de finition positives"/>
    <s v="SE08251"/>
    <s v="FAYET AYMERIC"/>
    <n v="10"/>
    <x v="0"/>
    <x v="0"/>
    <s v="PLAQUETTES"/>
    <s v="330x14"/>
    <n v="87"/>
  </r>
  <r>
    <d v="2025-03-07T01:12:31"/>
    <x v="3"/>
    <s v="Plaquettes de finition positives"/>
    <s v="SE08251"/>
    <s v="FAYET AYMERIC"/>
    <n v="10"/>
    <x v="3"/>
    <x v="0"/>
    <s v="PLAQUETTES"/>
    <s v="290x12"/>
    <n v="87"/>
  </r>
  <r>
    <d v="2025-03-07T19:09:38"/>
    <x v="3"/>
    <s v="Plaquettes de finition positives"/>
    <s v="101224"/>
    <s v="CHAZEAU KYLIAN"/>
    <n v="10"/>
    <x v="3"/>
    <x v="0"/>
    <s v="PLAQUETTES"/>
    <s v="290x12"/>
    <n v="87"/>
  </r>
  <r>
    <d v="2025-03-07T19:10:05"/>
    <x v="3"/>
    <s v="Plaquettes de finition positives"/>
    <s v="101224"/>
    <s v="CHAZEAU KYLIAN"/>
    <n v="10"/>
    <x v="0"/>
    <x v="0"/>
    <s v="PLAQUETTES"/>
    <s v="330x14"/>
    <n v="87"/>
  </r>
  <r>
    <d v="2025-03-09T19:53:33"/>
    <x v="3"/>
    <s v="Plaquettes de finition positives"/>
    <s v="1234"/>
    <s v=" "/>
    <n v="10"/>
    <x v="0"/>
    <x v="0"/>
    <s v="PLAQUETTES"/>
    <s v="330x14"/>
    <n v="87"/>
  </r>
  <r>
    <d v="2025-03-09T23:08:31"/>
    <x v="3"/>
    <s v="Plaquettes de finition positives"/>
    <s v="1234"/>
    <s v=" "/>
    <n v="10"/>
    <x v="3"/>
    <x v="0"/>
    <s v="PLAQUETTES"/>
    <s v="290x12"/>
    <n v="87"/>
  </r>
  <r>
    <d v="2025-03-10T05:55:48"/>
    <x v="3"/>
    <s v="Plaquettes de finition positives"/>
    <s v="101224"/>
    <s v="CHAZEAU KYLIAN"/>
    <n v="10"/>
    <x v="3"/>
    <x v="0"/>
    <s v="PLAQUETTES"/>
    <s v="290x12"/>
    <n v="87"/>
  </r>
  <r>
    <d v="2025-03-10T13:47:54"/>
    <x v="3"/>
    <s v="Plaquettes de finition positives"/>
    <s v="SE08251"/>
    <s v="FAYET AYMERIC"/>
    <n v="10"/>
    <x v="0"/>
    <x v="0"/>
    <s v="PLAQUETTES"/>
    <s v="330x14"/>
    <n v="87"/>
  </r>
  <r>
    <d v="2025-03-11T05:06:47"/>
    <x v="3"/>
    <s v="Plaquettes de finition positives"/>
    <s v="101224"/>
    <s v="CHAZEAU KYLIAN"/>
    <n v="10"/>
    <x v="3"/>
    <x v="0"/>
    <s v="PLAQUETTES"/>
    <s v="290x12"/>
    <n v="87"/>
  </r>
  <r>
    <d v="2025-03-11T05:07:08"/>
    <x v="3"/>
    <s v="Plaquettes de finition positives"/>
    <s v="101224"/>
    <s v="CHAZEAU KYLIAN"/>
    <n v="10"/>
    <x v="0"/>
    <x v="0"/>
    <s v="PLAQUETTES"/>
    <s v="330x14"/>
    <n v="87"/>
  </r>
  <r>
    <d v="2025-03-11T18:40:03"/>
    <x v="3"/>
    <s v="Plaquettes de finition positives"/>
    <s v="280225"/>
    <s v="FERNANDES DOS SANTOS REMY"/>
    <n v="10"/>
    <x v="3"/>
    <x v="0"/>
    <s v="PLAQUETTES"/>
    <s v="290x12"/>
    <n v="87"/>
  </r>
  <r>
    <d v="2025-03-12T05:17:46"/>
    <x v="3"/>
    <s v="Plaquettes de finition positives"/>
    <s v="101224"/>
    <s v="CHAZEAU KYLIAN"/>
    <n v="10"/>
    <x v="0"/>
    <x v="0"/>
    <s v="PLAQUETTES"/>
    <s v="330x14"/>
    <n v="87"/>
  </r>
  <r>
    <d v="2025-03-12T13:50:37"/>
    <x v="3"/>
    <s v="Plaquettes de finition positives"/>
    <s v="SE08251"/>
    <s v="FAYET AYMERIC"/>
    <n v="10"/>
    <x v="3"/>
    <x v="0"/>
    <s v="PLAQUETTES"/>
    <s v="290x12"/>
    <n v="87"/>
  </r>
  <r>
    <d v="2025-03-12T20:54:39"/>
    <x v="3"/>
    <s v="Plaquettes de finition positives"/>
    <s v="SE08251"/>
    <s v="FAYET AYMERIC"/>
    <n v="10"/>
    <x v="0"/>
    <x v="0"/>
    <s v="PLAQUETTES"/>
    <s v="330x14"/>
    <n v="87"/>
  </r>
  <r>
    <d v="2025-03-13T11:44:27"/>
    <x v="3"/>
    <s v="Plaquettes de finition positives"/>
    <s v="101224"/>
    <s v="CHAZEAU KYLIAN"/>
    <n v="10"/>
    <x v="3"/>
    <x v="0"/>
    <s v="PLAQUETTES"/>
    <s v="290x12"/>
    <n v="87"/>
  </r>
  <r>
    <d v="2025-03-13T20:07:13"/>
    <x v="3"/>
    <s v="Plaquettes de finition positives"/>
    <s v="SE08251"/>
    <s v="FAYET AYMERIC"/>
    <n v="10"/>
    <x v="3"/>
    <x v="0"/>
    <s v="PLAQUETTES"/>
    <s v="290x12"/>
    <n v="87"/>
  </r>
  <r>
    <d v="2025-03-13T20:07:28"/>
    <x v="3"/>
    <s v="Plaquettes de finition positives"/>
    <s v="SE08251"/>
    <s v="FAYET AYMERIC"/>
    <n v="10"/>
    <x v="0"/>
    <x v="0"/>
    <s v="PLAQUETTES"/>
    <s v="330x14"/>
    <n v="87"/>
  </r>
  <r>
    <d v="2025-03-14T08:21:42"/>
    <x v="3"/>
    <s v="Plaquettes de finition positives"/>
    <s v="U109136"/>
    <s v="WIPLIE FREDERIC"/>
    <n v="10"/>
    <x v="3"/>
    <x v="0"/>
    <s v="PLAQUETTES"/>
    <s v="290x12"/>
    <n v="87"/>
  </r>
  <r>
    <d v="2025-03-14T17:09:52"/>
    <x v="3"/>
    <s v="Plaquettes de finition positives"/>
    <s v="SE08251"/>
    <s v="FAYET AYMERIC"/>
    <n v="10"/>
    <x v="3"/>
    <x v="0"/>
    <s v="PLAQUETTES"/>
    <s v="290x12"/>
    <n v="87"/>
  </r>
  <r>
    <d v="2025-03-16T18:01:46"/>
    <x v="3"/>
    <s v="Plaquettes de finition positives"/>
    <s v="U109136"/>
    <s v="WIPLIE FREDERIC"/>
    <n v="10"/>
    <x v="3"/>
    <x v="0"/>
    <s v="PLAQUETTES"/>
    <s v="290x12"/>
    <n v="87"/>
  </r>
  <r>
    <d v="2025-03-17T11:18:23"/>
    <x v="3"/>
    <s v="Plaquettes de finition positives"/>
    <s v="SE08251"/>
    <s v="FAYET AYMERIC"/>
    <n v="10"/>
    <x v="3"/>
    <x v="0"/>
    <s v="PLAQUETTES"/>
    <s v="290x12"/>
    <n v="87"/>
  </r>
  <r>
    <d v="2025-03-18T08:14:50"/>
    <x v="3"/>
    <s v="Plaquettes de finition positives"/>
    <s v="SE08251"/>
    <s v="FAYET AYMERIC"/>
    <n v="10"/>
    <x v="3"/>
    <x v="0"/>
    <s v="PLAQUETTES"/>
    <s v="290x12"/>
    <n v="87"/>
  </r>
  <r>
    <d v="2025-03-18T22:03:39"/>
    <x v="3"/>
    <s v="Plaquettes de finition positives"/>
    <s v="101224"/>
    <s v="CHAZEAU KYLIAN"/>
    <n v="10"/>
    <x v="3"/>
    <x v="0"/>
    <s v="PLAQUETTES"/>
    <s v="290x12"/>
    <n v="87"/>
  </r>
  <r>
    <d v="2025-03-20T13:21:39"/>
    <x v="3"/>
    <s v="Plaquettes de finition positives"/>
    <s v="SD75051"/>
    <s v="COMBALUZIER LUCAS"/>
    <n v="10"/>
    <x v="3"/>
    <x v="0"/>
    <s v="PLAQUETTES"/>
    <s v="290x12"/>
    <n v="87"/>
  </r>
  <r>
    <d v="2025-03-21T03:51:35"/>
    <x v="3"/>
    <s v="Plaquettes de finition positives"/>
    <s v="U505000"/>
    <s v="RECEVEUR BENOIT"/>
    <n v="10"/>
    <x v="3"/>
    <x v="0"/>
    <s v="PLAQUETTES"/>
    <s v="290x12"/>
    <n v="87"/>
  </r>
  <r>
    <d v="2025-03-21T14:32:29"/>
    <x v="3"/>
    <s v="Plaquettes de finition positives"/>
    <s v="7236310"/>
    <s v="BRANDALY JEREMY"/>
    <n v="10"/>
    <x v="0"/>
    <x v="0"/>
    <s v="PLAQUETTES"/>
    <s v="290x12"/>
    <n v="87"/>
  </r>
  <r>
    <d v="2025-03-21T22:18:39"/>
    <x v="3"/>
    <s v="Plaquettes de finition positives"/>
    <s v="U505000"/>
    <s v="RECEVEUR BENOIT"/>
    <n v="10"/>
    <x v="3"/>
    <x v="0"/>
    <s v="PLAQUETTES"/>
    <s v="290x12"/>
    <n v="87"/>
  </r>
  <r>
    <d v="2025-03-21T22:18:57"/>
    <x v="3"/>
    <s v="Plaquettes de finition positives"/>
    <s v="U505000"/>
    <s v="RECEVEUR BENOIT"/>
    <n v="10"/>
    <x v="0"/>
    <x v="0"/>
    <s v="PLAQUETTES"/>
    <s v="330x14"/>
    <n v="87"/>
  </r>
  <r>
    <d v="2025-03-23T17:43:51"/>
    <x v="3"/>
    <s v="Plaquettes de finition positives"/>
    <s v="1234"/>
    <s v=" "/>
    <n v="10"/>
    <x v="0"/>
    <x v="0"/>
    <s v="PLAQUETTES"/>
    <s v="330x14"/>
    <n v="87"/>
  </r>
  <r>
    <d v="2025-03-24T05:09:47"/>
    <x v="3"/>
    <s v="Plaquettes de finition positives"/>
    <s v="7236310"/>
    <s v="BRANDALY JEREMY"/>
    <n v="10"/>
    <x v="0"/>
    <x v="0"/>
    <s v="PLAQUETTES"/>
    <s v="330x14"/>
    <n v="87"/>
  </r>
  <r>
    <d v="2025-03-24T10:33:22"/>
    <x v="3"/>
    <s v="Plaquettes de finition positives"/>
    <s v="7236310"/>
    <s v="BRANDALY JEREMY"/>
    <n v="10"/>
    <x v="3"/>
    <x v="0"/>
    <s v="PLAQUETTES"/>
    <s v="290x12"/>
    <n v="87"/>
  </r>
  <r>
    <d v="2025-03-24T13:26:01"/>
    <x v="3"/>
    <s v="Plaquettes de finition positives"/>
    <s v="101224"/>
    <s v="CHAZEAU KYLIAN"/>
    <n v="10"/>
    <x v="0"/>
    <x v="0"/>
    <s v="PLAQUETTES"/>
    <s v="330x14"/>
    <n v="87"/>
  </r>
  <r>
    <d v="2025-03-24T13:26:42"/>
    <x v="3"/>
    <s v="Plaquettes de finition positives"/>
    <s v="101224"/>
    <s v="CHAZEAU KYLIAN"/>
    <n v="10"/>
    <x v="3"/>
    <x v="0"/>
    <s v="PLAQUETTES"/>
    <s v="290x12"/>
    <n v="87"/>
  </r>
  <r>
    <d v="2025-03-25T07:16:16"/>
    <x v="3"/>
    <s v="Plaquettes de finition positives"/>
    <s v="7236310"/>
    <s v="BRANDALY JEREMY"/>
    <n v="10"/>
    <x v="0"/>
    <x v="0"/>
    <s v="PLAQUETTES"/>
    <s v="290x12"/>
    <n v="87"/>
  </r>
  <r>
    <d v="2025-03-25T07:16:47"/>
    <x v="3"/>
    <s v="Plaquettes de finition positives"/>
    <s v="7236310"/>
    <s v="BRANDALY JEREMY"/>
    <n v="10"/>
    <x v="0"/>
    <x v="0"/>
    <s v="PLAQUETTES"/>
    <s v="330x14"/>
    <n v="87"/>
  </r>
  <r>
    <d v="2025-03-25T15:25:43"/>
    <x v="3"/>
    <s v="Plaquettes de finition positives"/>
    <s v="101224"/>
    <s v="CHAZEAU KYLIAN"/>
    <n v="10"/>
    <x v="3"/>
    <x v="0"/>
    <s v="PLAQUETTES"/>
    <s v="290x12"/>
    <n v="87"/>
  </r>
  <r>
    <d v="2025-03-26T14:08:47"/>
    <x v="3"/>
    <s v="Plaquettes de finition positives"/>
    <s v="101224"/>
    <s v="CHAZEAU KYLIAN"/>
    <n v="10"/>
    <x v="3"/>
    <x v="0"/>
    <s v="PLAQUETTES"/>
    <s v="290x12"/>
    <n v="87"/>
  </r>
  <r>
    <d v="2025-03-26T14:09:04"/>
    <x v="3"/>
    <s v="Plaquettes de finition positives"/>
    <s v="101224"/>
    <s v="CHAZEAU KYLIAN"/>
    <n v="10"/>
    <x v="0"/>
    <x v="0"/>
    <s v="PLAQUETTES"/>
    <s v="330x14"/>
    <n v="87"/>
  </r>
  <r>
    <d v="2025-03-28T04:32:51"/>
    <x v="3"/>
    <s v="Plaquettes de finition positives"/>
    <s v="SE08251"/>
    <s v="FAYET AYMERIC"/>
    <n v="10"/>
    <x v="3"/>
    <x v="0"/>
    <s v="PLAQUETTES"/>
    <s v="290x12"/>
    <n v="87"/>
  </r>
  <r>
    <d v="2025-03-28T22:26:09"/>
    <x v="3"/>
    <s v="Plaquettes de finition positives"/>
    <s v="SE08251"/>
    <s v="FAYET AYMERIC"/>
    <n v="10"/>
    <x v="3"/>
    <x v="0"/>
    <s v="PLAQUETTES"/>
    <s v="290x12"/>
    <n v="87"/>
  </r>
  <r>
    <d v="2025-03-30T17:21:52"/>
    <x v="3"/>
    <s v="Plaquettes de finition positives"/>
    <s v="U109136"/>
    <s v="WIPLIE FREDERIC"/>
    <n v="10"/>
    <x v="0"/>
    <x v="0"/>
    <s v="PLAQUETTES"/>
    <s v="290x12"/>
    <n v="87"/>
  </r>
  <r>
    <d v="2025-03-31T07:29:33"/>
    <x v="3"/>
    <s v="Plaquettes de finition positives"/>
    <s v="U505000"/>
    <s v="RECEVEUR BENOIT"/>
    <n v="10"/>
    <x v="3"/>
    <x v="0"/>
    <s v="PLAQUETTES"/>
    <s v="290x12"/>
    <n v="87"/>
  </r>
  <r>
    <d v="2025-03-31T09:58:49"/>
    <x v="3"/>
    <s v="Plaquettes de finition positives"/>
    <s v="12824586"/>
    <s v="DA SILVA FERNANDO"/>
    <n v="60"/>
    <x v="3"/>
    <x v="0"/>
    <s v="PLAQUETTES"/>
    <s v="TOUT DISQUES"/>
    <n v="522"/>
  </r>
  <r>
    <d v="2025-03-31T09:59:29"/>
    <x v="3"/>
    <s v="Plaquettes de finition positives"/>
    <s v="12824586"/>
    <s v="DA SILVA FERNANDO"/>
    <n v="40"/>
    <x v="3"/>
    <x v="0"/>
    <s v="PLAQUETTES"/>
    <s v="TOUT DISQUES"/>
    <n v="348"/>
  </r>
  <r>
    <d v="2025-04-01T13:36:54"/>
    <x v="3"/>
    <s v="Plaquettes de finition positives"/>
    <s v="SD88834"/>
    <s v="PEJOUX MELANIE"/>
    <n v="10"/>
    <x v="3"/>
    <x v="0"/>
    <s v="PLAQUETTES"/>
    <s v="290x12"/>
    <n v="87"/>
  </r>
  <r>
    <d v="2025-04-01T13:37:19"/>
    <x v="3"/>
    <s v="Plaquettes de finition positives"/>
    <s v="SD88834"/>
    <s v="PEJOUX MELANIE"/>
    <n v="10"/>
    <x v="0"/>
    <x v="0"/>
    <s v="PLAQUETTES"/>
    <s v="330x14"/>
    <n v="87"/>
  </r>
  <r>
    <d v="2025-04-02T12:12:51"/>
    <x v="3"/>
    <s v="Plaquettes de finition positives"/>
    <s v="101224"/>
    <s v="CHAZEAU KYLIAN"/>
    <n v="10"/>
    <x v="0"/>
    <x v="0"/>
    <s v="PLAQUETTES"/>
    <s v="330x14"/>
    <n v="87"/>
  </r>
  <r>
    <d v="2025-04-02T14:12:36"/>
    <x v="3"/>
    <s v="Plaquettes de finition positives"/>
    <s v="SE08251"/>
    <s v="FAYET AYMERIC"/>
    <n v="10"/>
    <x v="0"/>
    <x v="0"/>
    <s v="PLAQUETTES"/>
    <s v="330x14"/>
    <n v="87"/>
  </r>
  <r>
    <d v="2025-04-02T22:04:07"/>
    <x v="3"/>
    <s v="Plaquettes de finition positives"/>
    <s v="7236310"/>
    <s v="BRANDALY JEREMY"/>
    <n v="10"/>
    <x v="0"/>
    <x v="0"/>
    <s v="PLAQUETTES"/>
    <s v="290x12"/>
    <n v="87"/>
  </r>
  <r>
    <d v="2025-04-02T22:04:24"/>
    <x v="3"/>
    <s v="Plaquettes de finition positives"/>
    <s v="7236310"/>
    <s v="BRANDALY JEREMY"/>
    <n v="10"/>
    <x v="3"/>
    <x v="0"/>
    <s v="PLAQUETTES"/>
    <s v="290x12"/>
    <n v="87"/>
  </r>
  <r>
    <d v="2025-04-03T10:33:23"/>
    <x v="3"/>
    <s v="Plaquettes de finition positives"/>
    <s v="U505000"/>
    <s v="RECEVEUR BENOIT"/>
    <n v="10"/>
    <x v="3"/>
    <x v="0"/>
    <s v="PLAQUETTES"/>
    <s v="290x12"/>
    <n v="87"/>
  </r>
  <r>
    <d v="2025-04-03T10:33:56"/>
    <x v="3"/>
    <s v="Plaquettes de finition positives"/>
    <s v="U505000"/>
    <s v="RECEVEUR BENOIT"/>
    <n v="10"/>
    <x v="3"/>
    <x v="0"/>
    <s v="PLAQUETTES"/>
    <s v="290x12"/>
    <n v="87"/>
  </r>
  <r>
    <d v="2025-04-03T20:12:52"/>
    <x v="3"/>
    <s v="Plaquettes de finition positives"/>
    <s v="SE08251"/>
    <s v="FAYET AYMERIC"/>
    <n v="10"/>
    <x v="3"/>
    <x v="0"/>
    <s v="PLAQUETTES"/>
    <s v="290x12"/>
    <n v="87"/>
  </r>
  <r>
    <d v="2025-04-03T20:13:15"/>
    <x v="3"/>
    <s v="Plaquettes de finition positives"/>
    <s v="SE08251"/>
    <s v="FAYET AYMERIC"/>
    <n v="10"/>
    <x v="0"/>
    <x v="0"/>
    <s v="PLAQUETTES"/>
    <s v="330x14"/>
    <n v="87"/>
  </r>
  <r>
    <d v="2025-04-04T13:15:22"/>
    <x v="3"/>
    <s v="Plaquettes de finition positives"/>
    <s v="SE08251"/>
    <s v="FAYET AYMERIC"/>
    <n v="10"/>
    <x v="3"/>
    <x v="0"/>
    <s v="PLAQUETTES"/>
    <s v="290x12"/>
    <n v="87"/>
  </r>
  <r>
    <d v="2025-04-04T13:15:41"/>
    <x v="3"/>
    <s v="Plaquettes de finition positives"/>
    <s v="SE08251"/>
    <s v="FAYET AYMERIC"/>
    <n v="10"/>
    <x v="0"/>
    <x v="0"/>
    <s v="PLAQUETTES"/>
    <s v="330x14"/>
    <n v="87"/>
  </r>
  <r>
    <d v="2025-04-05T09:24:12"/>
    <x v="3"/>
    <s v="Plaquettes de finition positives"/>
    <s v="150725"/>
    <s v="ADOUL WASSIM"/>
    <n v="10"/>
    <x v="0"/>
    <x v="0"/>
    <s v="PLAQUETTES"/>
    <s v="330x14"/>
    <n v="87"/>
  </r>
  <r>
    <d v="2025-04-07T05:20:18"/>
    <x v="3"/>
    <s v="Plaquettes de finition positives"/>
    <s v="SE08251"/>
    <s v="FAYET AYMERIC"/>
    <n v="10"/>
    <x v="3"/>
    <x v="0"/>
    <s v="PLAQUETTES"/>
    <s v="290x12"/>
    <n v="87"/>
  </r>
  <r>
    <d v="2025-04-07T05:20:57"/>
    <x v="3"/>
    <s v="Plaquettes de finition positives"/>
    <s v="SE08251"/>
    <s v="FAYET AYMERIC"/>
    <n v="10"/>
    <x v="0"/>
    <x v="0"/>
    <s v="PLAQUETTES"/>
    <s v="330x14"/>
    <n v="87"/>
  </r>
  <r>
    <d v="2025-04-08T07:41:54"/>
    <x v="3"/>
    <s v="Plaquettes de finition positives"/>
    <s v="SE08251"/>
    <s v="FAYET AYMERIC"/>
    <n v="10"/>
    <x v="0"/>
    <x v="0"/>
    <s v="PLAQUETTES"/>
    <s v="330x14"/>
    <n v="87"/>
  </r>
  <r>
    <d v="2025-04-08T07:42:09"/>
    <x v="3"/>
    <s v="Plaquettes de finition positives"/>
    <s v="SE08251"/>
    <s v="FAYET AYMERIC"/>
    <n v="10"/>
    <x v="3"/>
    <x v="0"/>
    <s v="PLAQUETTES"/>
    <s v="290x12"/>
    <n v="87"/>
  </r>
  <r>
    <d v="2025-04-08T08:32:55"/>
    <x v="3"/>
    <s v="Plaquettes de finition positives"/>
    <s v="SF51433"/>
    <s v="BONTEMS COLINE"/>
    <n v="10"/>
    <x v="0"/>
    <x v="0"/>
    <s v="PLAQUETTES"/>
    <s v="TOUT DISQUES"/>
    <n v="87"/>
  </r>
  <r>
    <d v="2025-04-08T09:10:41"/>
    <x v="3"/>
    <s v="Plaquettes de finition positives"/>
    <s v="SF51433"/>
    <s v="BONTEMS COLINE"/>
    <n v="-10"/>
    <x v="0"/>
    <x v="0"/>
    <s v="PLAQUETTES"/>
    <s v="TOUT DISQUES"/>
    <n v="-87"/>
  </r>
  <r>
    <d v="2025-04-09T01:52:39"/>
    <x v="3"/>
    <s v="Plaquettes de finition positives"/>
    <s v="101224"/>
    <s v="CHAZEAU KYLIAN"/>
    <n v="10"/>
    <x v="3"/>
    <x v="0"/>
    <s v="PLAQUETTES"/>
    <s v="290x12"/>
    <n v="87"/>
  </r>
  <r>
    <d v="2025-04-09T01:52:54"/>
    <x v="3"/>
    <s v="Plaquettes de finition positives"/>
    <s v="101224"/>
    <s v="CHAZEAU KYLIAN"/>
    <n v="10"/>
    <x v="0"/>
    <x v="0"/>
    <s v="PLAQUETTES"/>
    <s v="330x14"/>
    <n v="87"/>
  </r>
  <r>
    <d v="2025-04-09T09:47:05"/>
    <x v="3"/>
    <s v="Plaquettes de finition positives"/>
    <s v="SE08251"/>
    <s v="FAYET AYMERIC"/>
    <n v="10"/>
    <x v="3"/>
    <x v="0"/>
    <s v="PLAQUETTES"/>
    <s v="290x12"/>
    <n v="87"/>
  </r>
  <r>
    <d v="2025-04-10T08:20:00"/>
    <x v="3"/>
    <s v="Plaquettes de finition positives"/>
    <s v="SE08251"/>
    <s v="FAYET AYMERIC"/>
    <n v="10"/>
    <x v="3"/>
    <x v="0"/>
    <s v="PLAQUETTES"/>
    <s v="290x12"/>
    <n v="87"/>
  </r>
  <r>
    <d v="2025-04-10T08:20:21"/>
    <x v="3"/>
    <s v="Plaquettes de finition positives"/>
    <s v="SE08251"/>
    <s v="FAYET AYMERIC"/>
    <n v="10"/>
    <x v="0"/>
    <x v="0"/>
    <s v="PLAQUETTES"/>
    <s v="330x14"/>
    <n v="87"/>
  </r>
  <r>
    <d v="2025-04-12T03:51:03"/>
    <x v="3"/>
    <s v="Plaquettes de finition positives"/>
    <s v="101224"/>
    <s v="CHAZEAU KYLIAN"/>
    <n v="10"/>
    <x v="3"/>
    <x v="0"/>
    <s v="PLAQUETTES"/>
    <s v="290x12"/>
    <n v="87"/>
  </r>
  <r>
    <d v="2025-04-13T22:49:38"/>
    <x v="3"/>
    <s v="Plaquettes de finition positives"/>
    <s v="U109136"/>
    <s v="WIPLIE FREDERIC"/>
    <n v="10"/>
    <x v="3"/>
    <x v="0"/>
    <s v="PLAQUETTES"/>
    <s v="290x12"/>
    <n v="87"/>
  </r>
  <r>
    <d v="2025-04-14T05:44:17"/>
    <x v="3"/>
    <s v="Plaquettes de finition positives"/>
    <s v="SD75051"/>
    <s v="COMBALUZIER LUCAS"/>
    <n v="10"/>
    <x v="3"/>
    <x v="0"/>
    <s v="PLAQUETTES"/>
    <s v="290x12"/>
    <n v="87"/>
  </r>
  <r>
    <d v="2025-04-14T14:04:07"/>
    <x v="3"/>
    <s v="Plaquettes de finition positives"/>
    <s v="101224"/>
    <s v="CHAZEAU KYLIAN"/>
    <n v="10"/>
    <x v="0"/>
    <x v="0"/>
    <s v="PLAQUETTES"/>
    <s v="330x14"/>
    <n v="87"/>
  </r>
  <r>
    <d v="2025-04-15T14:28:35"/>
    <x v="3"/>
    <s v="Plaquettes de finition positives"/>
    <s v="101224"/>
    <s v="CHAZEAU KYLIAN"/>
    <n v="10"/>
    <x v="3"/>
    <x v="0"/>
    <s v="PLAQUETTES"/>
    <s v="290x12"/>
    <n v="87"/>
  </r>
  <r>
    <d v="2025-04-15T14:28:50"/>
    <x v="3"/>
    <s v="Plaquettes de finition positives"/>
    <s v="101224"/>
    <s v="CHAZEAU KYLIAN"/>
    <n v="10"/>
    <x v="0"/>
    <x v="0"/>
    <s v="PLAQUETTES"/>
    <s v="290x12"/>
    <n v="87"/>
  </r>
  <r>
    <d v="2025-04-16T06:05:13"/>
    <x v="3"/>
    <s v="Plaquettes de finition positives"/>
    <s v="SD75051"/>
    <s v="COMBALUZIER LUCAS"/>
    <n v="10"/>
    <x v="3"/>
    <x v="0"/>
    <s v="PLAQUETTES"/>
    <s v="290x12"/>
    <n v="87"/>
  </r>
  <r>
    <d v="2025-04-16T06:05:34"/>
    <x v="3"/>
    <s v="Plaquettes de finition positives"/>
    <s v="SD75051"/>
    <s v="COMBALUZIER LUCAS"/>
    <n v="10"/>
    <x v="0"/>
    <x v="0"/>
    <s v="PLAQUETTES"/>
    <s v="330x14"/>
    <n v="87"/>
  </r>
  <r>
    <d v="2025-04-16T10:12:12"/>
    <x v="3"/>
    <s v="Plaquettes de finition positives"/>
    <s v="18498233"/>
    <s v="ALVES ARTHUR"/>
    <n v="10"/>
    <x v="0"/>
    <x v="0"/>
    <s v="PLAQUETTES"/>
    <s v="TOUT DISQUES"/>
    <n v="87"/>
  </r>
  <r>
    <d v="2025-04-17T00:25:46"/>
    <x v="3"/>
    <s v="Plaquettes de finition positives"/>
    <s v="j529800"/>
    <s v="MONTCHARMONT BAPTISTE"/>
    <n v="10"/>
    <x v="0"/>
    <x v="0"/>
    <s v="PLAQUETTES"/>
    <s v="290x12"/>
    <n v="87"/>
  </r>
  <r>
    <d v="2025-04-17T06:08:00"/>
    <x v="3"/>
    <s v="Plaquettes de finition positives"/>
    <s v="SD75051"/>
    <s v="COMBALUZIER LUCAS"/>
    <n v="10"/>
    <x v="3"/>
    <x v="0"/>
    <s v="PLAQUETTES"/>
    <s v="290x12"/>
    <n v="87"/>
  </r>
  <r>
    <d v="2025-04-17T15:19:18"/>
    <x v="3"/>
    <s v="Plaquettes de finition positives"/>
    <s v="101224"/>
    <s v="CHAZEAU KYLIAN"/>
    <n v="10"/>
    <x v="0"/>
    <x v="0"/>
    <s v="PLAQUETTES"/>
    <s v="330x14"/>
    <n v="87"/>
  </r>
  <r>
    <d v="2025-04-18T04:14:44"/>
    <x v="3"/>
    <s v="Plaquettes de finition positives"/>
    <s v="SE08251"/>
    <s v="FAYET AYMERIC"/>
    <n v="10"/>
    <x v="0"/>
    <x v="0"/>
    <s v="PLAQUETTES"/>
    <s v="330x14"/>
    <n v="87"/>
  </r>
  <r>
    <d v="2025-04-18T12:05:46"/>
    <x v="3"/>
    <s v="Plaquettes de finition positives"/>
    <s v="150725"/>
    <s v="ADOUL WASSIM"/>
    <n v="10"/>
    <x v="3"/>
    <x v="0"/>
    <s v="PLAQUETTES"/>
    <s v="290x12"/>
    <n v="87"/>
  </r>
  <r>
    <d v="2025-04-18T21:28:56"/>
    <x v="3"/>
    <s v="Plaquettes de finition positives"/>
    <s v="SE08251"/>
    <s v="FAYET AYMERIC"/>
    <n v="10"/>
    <x v="0"/>
    <x v="0"/>
    <s v="PLAQUETTES"/>
    <s v="330x14"/>
    <n v="87"/>
  </r>
  <r>
    <d v="2025-04-18T21:29:14"/>
    <x v="3"/>
    <s v="Plaquettes de finition positives"/>
    <s v="SE08251"/>
    <s v="FAYET AYMERIC"/>
    <n v="10"/>
    <x v="3"/>
    <x v="0"/>
    <s v="PLAQUETTES"/>
    <s v="290x12"/>
    <n v="87"/>
  </r>
  <r>
    <d v="2025-04-20T19:08:54"/>
    <x v="3"/>
    <s v="Plaquettes de finition positives"/>
    <s v="150725"/>
    <s v="ADOUL WASSIM"/>
    <n v="10"/>
    <x v="0"/>
    <x v="0"/>
    <s v="PLAQUETTES"/>
    <s v="330x14"/>
    <n v="87"/>
  </r>
  <r>
    <d v="2025-04-20T19:09:18"/>
    <x v="3"/>
    <s v="Plaquettes de finition positives"/>
    <s v="150725"/>
    <s v="ADOUL WASSIM"/>
    <n v="10"/>
    <x v="3"/>
    <x v="0"/>
    <s v="PLAQUETTES"/>
    <s v="290x12"/>
    <n v="87"/>
  </r>
  <r>
    <d v="2025-04-21T09:39:46"/>
    <x v="3"/>
    <s v="Plaquettes de finition positives"/>
    <s v="101224"/>
    <s v="CHAZEAU KYLIAN"/>
    <n v="10"/>
    <x v="3"/>
    <x v="0"/>
    <s v="PLAQUETTES"/>
    <s v="290x12"/>
    <n v="87"/>
  </r>
  <r>
    <d v="2025-04-21T16:56:44"/>
    <x v="3"/>
    <s v="Plaquettes de finition positives"/>
    <s v="150725"/>
    <s v="ADOUL WASSIM"/>
    <n v="10"/>
    <x v="0"/>
    <x v="0"/>
    <s v="PLAQUETTES"/>
    <s v="330x14"/>
    <n v="87"/>
  </r>
  <r>
    <d v="2025-04-21T16:57:13"/>
    <x v="3"/>
    <s v="Plaquettes de finition positives"/>
    <s v="150725"/>
    <s v="ADOUL WASSIM"/>
    <n v="10"/>
    <x v="3"/>
    <x v="0"/>
    <s v="PLAQUETTES"/>
    <s v="290x12"/>
    <n v="87"/>
  </r>
  <r>
    <d v="2025-04-22T21:20:14"/>
    <x v="3"/>
    <s v="Plaquettes de finition positives"/>
    <s v="SD75051"/>
    <s v="COMBALUZIER LUCAS"/>
    <n v="10"/>
    <x v="0"/>
    <x v="0"/>
    <s v="PLAQUETTES"/>
    <s v="330x14"/>
    <n v="87"/>
  </r>
  <r>
    <d v="2025-04-22T23:23:15"/>
    <x v="3"/>
    <s v="Plaquettes de finition positives"/>
    <s v="U109136"/>
    <s v="WIPLIE FREDERIC"/>
    <n v="10"/>
    <x v="3"/>
    <x v="0"/>
    <s v="PLAQUETTES"/>
    <s v="290x12"/>
    <n v="87"/>
  </r>
  <r>
    <d v="2025-04-23T06:09:44"/>
    <x v="3"/>
    <s v="Plaquettes de finition positives"/>
    <s v="101224"/>
    <s v="CHAZEAU KYLIAN"/>
    <n v="10"/>
    <x v="0"/>
    <x v="0"/>
    <s v="PLAQUETTES"/>
    <s v="330x14"/>
    <n v="87"/>
  </r>
  <r>
    <d v="2025-04-23T14:08:19"/>
    <x v="3"/>
    <s v="Plaquettes de finition positives"/>
    <s v="SE08251"/>
    <s v="FAYET AYMERIC"/>
    <n v="10"/>
    <x v="3"/>
    <x v="0"/>
    <s v="PLAQUETTES"/>
    <s v="290x12"/>
    <n v="87"/>
  </r>
  <r>
    <d v="2025-04-23T14:08:38"/>
    <x v="3"/>
    <s v="Plaquettes de finition positives"/>
    <s v="SE08251"/>
    <s v="FAYET AYMERIC"/>
    <n v="10"/>
    <x v="0"/>
    <x v="0"/>
    <s v="PLAQUETTES"/>
    <s v="330x14"/>
    <n v="87"/>
  </r>
  <r>
    <d v="2025-04-25T15:35:18"/>
    <x v="3"/>
    <s v="Plaquettes de finition positives"/>
    <s v="SE08251"/>
    <s v="FAYET AYMERIC"/>
    <n v="10"/>
    <x v="3"/>
    <x v="0"/>
    <s v="PLAQUETTES"/>
    <s v="290x12"/>
    <n v="87"/>
  </r>
  <r>
    <d v="2025-04-27T17:26:08"/>
    <x v="3"/>
    <s v="Plaquettes de finition positives"/>
    <s v="U109136"/>
    <s v="WIPLIE FREDERIC"/>
    <n v="10"/>
    <x v="3"/>
    <x v="0"/>
    <s v="PLAQUETTES"/>
    <s v="290x12"/>
    <n v="87"/>
  </r>
  <r>
    <d v="2025-04-28T05:16:37"/>
    <x v="3"/>
    <s v="Plaquettes de finition positives"/>
    <s v="SE08251"/>
    <s v="FAYET AYMERIC"/>
    <n v="10"/>
    <x v="3"/>
    <x v="0"/>
    <s v="PLAQUETTES"/>
    <s v="290x12"/>
    <n v="87"/>
  </r>
  <r>
    <d v="2025-04-29T08:28:35"/>
    <x v="3"/>
    <s v="Plaquettes de finition positives"/>
    <s v="SE08251"/>
    <s v="FAYET AYMERIC"/>
    <n v="10"/>
    <x v="0"/>
    <x v="0"/>
    <s v="PLAQUETTES"/>
    <s v="330x14"/>
    <n v="87"/>
  </r>
  <r>
    <d v="2025-04-29T08:28:58"/>
    <x v="3"/>
    <s v="Plaquettes de finition positives"/>
    <s v="SE08251"/>
    <s v="FAYET AYMERIC"/>
    <n v="10"/>
    <x v="3"/>
    <x v="0"/>
    <s v="PLAQUETTES"/>
    <s v="290x12"/>
    <n v="87"/>
  </r>
  <r>
    <d v="2025-04-30T05:24:25"/>
    <x v="3"/>
    <s v="Plaquettes de finition positives"/>
    <s v="SE08251"/>
    <s v="FAYET AYMERIC"/>
    <n v="10"/>
    <x v="3"/>
    <x v="0"/>
    <s v="PLAQUETTES"/>
    <s v="290x12"/>
    <n v="87"/>
  </r>
  <r>
    <d v="2025-04-30T05:26:08"/>
    <x v="3"/>
    <s v="Plaquettes de finition positives"/>
    <s v="SE08251"/>
    <s v="FAYET AYMERIC"/>
    <n v="10"/>
    <x v="0"/>
    <x v="0"/>
    <s v="PLAQUETTES"/>
    <s v="330x14"/>
    <n v="87"/>
  </r>
  <r>
    <d v="2025-04-30T22:09:27"/>
    <x v="3"/>
    <s v="Plaquettes de finition positives"/>
    <s v="101224"/>
    <s v="CHAZEAU KYLIAN"/>
    <n v="10"/>
    <x v="0"/>
    <x v="0"/>
    <s v="PLAQUETTES"/>
    <s v="330x14"/>
    <n v="87"/>
  </r>
  <r>
    <d v="2025-05-02T08:24:31"/>
    <x v="3"/>
    <s v="Plaquettes de finition positives"/>
    <s v="150725"/>
    <s v="ADOUL WASSIM"/>
    <n v="10"/>
    <x v="3"/>
    <x v="0"/>
    <s v="PLAQUETTES"/>
    <s v="290x12"/>
    <n v="87"/>
  </r>
  <r>
    <d v="2025-05-02T08:24:49"/>
    <x v="3"/>
    <s v="Plaquettes de finition positives"/>
    <s v="150725"/>
    <s v="ADOUL WASSIM"/>
    <n v="10"/>
    <x v="0"/>
    <x v="0"/>
    <s v="PLAQUETTES"/>
    <s v="330x14"/>
    <n v="87"/>
  </r>
  <r>
    <d v="2025-05-03T06:17:51"/>
    <x v="3"/>
    <s v="Plaquettes de finition positives"/>
    <s v="150725"/>
    <s v="ADOUL WASSIM"/>
    <n v="10"/>
    <x v="0"/>
    <x v="0"/>
    <s v="PLAQUETTES"/>
    <s v="330x14"/>
    <n v="87"/>
  </r>
  <r>
    <d v="2025-05-03T06:18:17"/>
    <x v="3"/>
    <s v="Plaquettes de finition positives"/>
    <s v="150725"/>
    <s v="ADOUL WASSIM"/>
    <n v="10"/>
    <x v="3"/>
    <x v="0"/>
    <s v="PLAQUETTES"/>
    <s v="290x12"/>
    <n v="87"/>
  </r>
  <r>
    <d v="2025-05-04T14:10:37"/>
    <x v="3"/>
    <s v="Plaquettes de finition positives"/>
    <s v="U080365"/>
    <s v="ALAVOINE SAMUEL"/>
    <n v="10"/>
    <x v="3"/>
    <x v="0"/>
    <s v="PLAQUETTES"/>
    <s v="290x12"/>
    <n v="87"/>
  </r>
  <r>
    <d v="2025-05-04T14:11:01"/>
    <x v="3"/>
    <s v="Plaquettes de finition positives"/>
    <s v="U080365"/>
    <s v="ALAVOINE SAMUEL"/>
    <n v="10"/>
    <x v="3"/>
    <x v="0"/>
    <s v="PLAQUETTES"/>
    <s v="290x12"/>
    <n v="87"/>
  </r>
  <r>
    <d v="2025-05-05T18:19:21"/>
    <x v="3"/>
    <s v="Plaquettes de finition positives"/>
    <s v="101224"/>
    <s v="CHAZEAU KYLIAN"/>
    <n v="10"/>
    <x v="3"/>
    <x v="0"/>
    <s v="PLAQUETTES"/>
    <s v="290x12"/>
    <n v="87"/>
  </r>
  <r>
    <d v="2025-05-05T18:19:38"/>
    <x v="3"/>
    <s v="Plaquettes de finition positives"/>
    <s v="101224"/>
    <s v="CHAZEAU KYLIAN"/>
    <n v="10"/>
    <x v="0"/>
    <x v="0"/>
    <s v="PLAQUETTES"/>
    <s v="330x14"/>
    <n v="87"/>
  </r>
  <r>
    <d v="2025-05-06T20:06:10"/>
    <x v="3"/>
    <s v="Plaquettes de finition positives"/>
    <s v="101224"/>
    <s v="CHAZEAU KYLIAN"/>
    <n v="10"/>
    <x v="0"/>
    <x v="0"/>
    <s v="PLAQUETTES"/>
    <s v="330x14"/>
    <n v="87"/>
  </r>
  <r>
    <d v="2025-05-06T20:06:25"/>
    <x v="3"/>
    <s v="Plaquettes de finition positives"/>
    <s v="101224"/>
    <s v="CHAZEAU KYLIAN"/>
    <n v="10"/>
    <x v="3"/>
    <x v="0"/>
    <s v="PLAQUETTES"/>
    <s v="290x12"/>
    <n v="87"/>
  </r>
  <r>
    <d v="2025-05-07T09:07:02"/>
    <x v="3"/>
    <s v="Plaquettes de finition positives"/>
    <s v="130325"/>
    <s v="PAPONNEAU JULIEN"/>
    <n v="10"/>
    <x v="3"/>
    <x v="0"/>
    <s v="PLAQUETTES"/>
    <s v="290x12"/>
    <n v="87"/>
  </r>
  <r>
    <d v="2025-05-07T09:07:19"/>
    <x v="3"/>
    <s v="Plaquettes de finition positives"/>
    <s v="130325"/>
    <s v="PAPONNEAU JULIEN"/>
    <n v="10"/>
    <x v="0"/>
    <x v="0"/>
    <s v="PLAQUETTES"/>
    <s v="330x14"/>
    <n v="87"/>
  </r>
  <r>
    <d v="2025-05-07T22:11:20"/>
    <x v="3"/>
    <s v="Plaquettes de finition positives"/>
    <s v="SE08251"/>
    <s v="FAYET AYMERIC"/>
    <n v="10"/>
    <x v="3"/>
    <x v="0"/>
    <s v="PLAQUETTES"/>
    <s v="290x12"/>
    <n v="87"/>
  </r>
  <r>
    <d v="2025-05-07T22:11:36"/>
    <x v="3"/>
    <s v="Plaquettes de finition positives"/>
    <s v="SE08251"/>
    <s v="FAYET AYMERIC"/>
    <n v="10"/>
    <x v="0"/>
    <x v="0"/>
    <s v="PLAQUETTES"/>
    <s v="330x14"/>
    <n v="87"/>
  </r>
  <r>
    <d v="2025-05-08T14:32:24"/>
    <x v="3"/>
    <s v="Plaquettes de finition positives"/>
    <s v="130124"/>
    <s v="MOHAMED ILDIRAY"/>
    <n v="10"/>
    <x v="0"/>
    <x v="0"/>
    <s v="PLAQUETTES"/>
    <s v="330x14"/>
    <n v="87"/>
  </r>
  <r>
    <d v="2025-05-08T14:32:46"/>
    <x v="3"/>
    <s v="Plaquettes de finition positives"/>
    <s v="130124"/>
    <s v="MOHAMED ILDIRAY"/>
    <n v="10"/>
    <x v="0"/>
    <x v="0"/>
    <s v="PLAQUETTES"/>
    <s v="330x14"/>
    <n v="87"/>
  </r>
  <r>
    <d v="2025-05-09T15:54:34"/>
    <x v="3"/>
    <s v="Plaquettes de finition positives"/>
    <s v="101224"/>
    <s v="CHAZEAU KYLIAN"/>
    <n v="10"/>
    <x v="3"/>
    <x v="0"/>
    <s v="PLAQUETTES"/>
    <s v="290x12"/>
    <n v="87"/>
  </r>
  <r>
    <d v="2025-05-09T15:54:47"/>
    <x v="3"/>
    <s v="Plaquettes de finition positives"/>
    <s v="101224"/>
    <s v="CHAZEAU KYLIAN"/>
    <n v="10"/>
    <x v="0"/>
    <x v="0"/>
    <s v="PLAQUETTES"/>
    <s v="330x14"/>
    <n v="87"/>
  </r>
  <r>
    <d v="2025-05-10T10:17:32"/>
    <x v="3"/>
    <s v="Plaquettes de finition positives"/>
    <s v="U109136"/>
    <s v="WIPLIE FREDERIC"/>
    <n v="10"/>
    <x v="0"/>
    <x v="0"/>
    <s v="PLAQUETTES"/>
    <s v="290x12"/>
    <n v="87"/>
  </r>
  <r>
    <d v="2025-05-11T06:57:33"/>
    <x v="3"/>
    <s v="Plaquettes de finition positives"/>
    <s v="U109136"/>
    <s v="WIPLIE FREDERIC"/>
    <n v="10"/>
    <x v="3"/>
    <x v="0"/>
    <s v="PLAQUETTES"/>
    <s v="290x12"/>
    <n v="87"/>
  </r>
  <r>
    <d v="2025-05-11T15:00:07"/>
    <x v="3"/>
    <s v="Plaquettes de finition positives"/>
    <s v="U109136"/>
    <s v="WIPLIE FREDERIC"/>
    <n v="10"/>
    <x v="3"/>
    <x v="0"/>
    <s v="PLAQUETTES"/>
    <s v="290x12"/>
    <n v="87"/>
  </r>
  <r>
    <d v="2025-05-12T00:44:26"/>
    <x v="3"/>
    <s v="Plaquettes de finition positives"/>
    <s v="sc95213"/>
    <s v="RABET PAULINE"/>
    <n v="10"/>
    <x v="0"/>
    <x v="0"/>
    <s v="PLAQUETTES"/>
    <s v="330x14"/>
    <n v="87"/>
  </r>
  <r>
    <d v="2025-05-12T00:45:12"/>
    <x v="3"/>
    <s v="Plaquettes de finition positives"/>
    <s v="sc95213"/>
    <s v="RABET PAULINE"/>
    <n v="10"/>
    <x v="3"/>
    <x v="0"/>
    <s v="PLAQUETTES"/>
    <s v="290x12"/>
    <n v="87"/>
  </r>
  <r>
    <d v="2025-05-12T13:14:10"/>
    <x v="3"/>
    <s v="Plaquettes de finition positives"/>
    <s v="SE08251"/>
    <s v="FAYET AYMERIC"/>
    <n v="10"/>
    <x v="0"/>
    <x v="0"/>
    <s v="PLAQUETTES"/>
    <s v="290x12"/>
    <n v="87"/>
  </r>
  <r>
    <d v="2025-05-12T13:14:25"/>
    <x v="3"/>
    <s v="Plaquettes de finition positives"/>
    <s v="SE08251"/>
    <s v="FAYET AYMERIC"/>
    <n v="10"/>
    <x v="3"/>
    <x v="0"/>
    <s v="PLAQUETTES"/>
    <s v="290x12"/>
    <n v="87"/>
  </r>
  <r>
    <d v="2025-05-15T05:52:01"/>
    <x v="3"/>
    <s v="Plaquettes de finition positives"/>
    <s v="101224"/>
    <s v="CHAZEAU KYLIAN"/>
    <n v="10"/>
    <x v="3"/>
    <x v="0"/>
    <s v="PLAQUETTES"/>
    <s v="290x12"/>
    <n v="87"/>
  </r>
  <r>
    <d v="2025-05-15T23:13:39"/>
    <x v="3"/>
    <s v="Plaquettes de finition positives"/>
    <s v="130325"/>
    <s v="PAPONNEAU JULIEN"/>
    <n v="10"/>
    <x v="3"/>
    <x v="0"/>
    <s v="PLAQUETTES"/>
    <s v="290x12"/>
    <n v="87"/>
  </r>
  <r>
    <d v="2025-05-17T01:54:44"/>
    <x v="3"/>
    <s v="Plaquettes de finition positives"/>
    <s v="130325"/>
    <s v="PAPONNEAU JULIEN"/>
    <n v="10"/>
    <x v="3"/>
    <x v="0"/>
    <s v="PLAQUETTES"/>
    <s v="290x12"/>
    <n v="87"/>
  </r>
  <r>
    <d v="2025-05-18T07:05:34"/>
    <x v="3"/>
    <s v="Plaquettes de finition positives"/>
    <s v="150725"/>
    <s v="ADOUL WASSIM"/>
    <n v="10"/>
    <x v="3"/>
    <x v="0"/>
    <s v="PLAQUETTES"/>
    <s v="290x12"/>
    <n v="87"/>
  </r>
  <r>
    <d v="2025-05-18T19:42:20"/>
    <x v="3"/>
    <s v="Plaquettes de finition positives"/>
    <s v="U080365"/>
    <s v="ALAVOINE SAMUEL"/>
    <n v="10"/>
    <x v="0"/>
    <x v="0"/>
    <s v="PLAQUETTES"/>
    <s v="330x14"/>
    <n v="87"/>
  </r>
  <r>
    <d v="2025-05-18T21:29:26"/>
    <x v="3"/>
    <s v="Plaquettes de finition positives"/>
    <s v="U080365"/>
    <s v="ALAVOINE SAMUEL"/>
    <n v="10"/>
    <x v="3"/>
    <x v="0"/>
    <s v="PLAQUETTES"/>
    <s v="290x12"/>
    <n v="87"/>
  </r>
  <r>
    <d v="2025-05-19T05:44:18"/>
    <x v="3"/>
    <s v="Plaquettes de finition positives"/>
    <s v="SE08251"/>
    <s v="FAYET AYMERIC"/>
    <n v="10"/>
    <x v="0"/>
    <x v="0"/>
    <s v="PLAQUETTES"/>
    <s v="330x14"/>
    <n v="87"/>
  </r>
  <r>
    <d v="2025-05-20T04:39:44"/>
    <x v="3"/>
    <s v="Plaquettes de finition positives"/>
    <s v="101224"/>
    <s v="CHAZEAU KYLIAN"/>
    <n v="10"/>
    <x v="0"/>
    <x v="0"/>
    <s v="PLAQUETTES"/>
    <s v="330x14"/>
    <n v="87"/>
  </r>
  <r>
    <d v="2025-05-20T05:22:05"/>
    <x v="3"/>
    <s v="Plaquettes de finition positives"/>
    <s v="SE08251"/>
    <s v="FAYET AYMERIC"/>
    <n v="10"/>
    <x v="0"/>
    <x v="0"/>
    <s v="PLAQUETTES"/>
    <s v="330x14"/>
    <n v="87"/>
  </r>
  <r>
    <d v="2025-05-20T12:25:21"/>
    <x v="3"/>
    <s v="Plaquettes de finition positives"/>
    <s v="SE08251"/>
    <s v="FAYET AYMERIC"/>
    <n v="10"/>
    <x v="3"/>
    <x v="0"/>
    <s v="PLAQUETTES"/>
    <s v="290x12"/>
    <n v="87"/>
  </r>
  <r>
    <d v="2025-05-21T05:54:44"/>
    <x v="3"/>
    <s v="Plaquettes de finition positives"/>
    <s v="SE08251"/>
    <s v="FAYET AYMERIC"/>
    <n v="10"/>
    <x v="3"/>
    <x v="0"/>
    <s v="PLAQUETTES"/>
    <s v="290x12"/>
    <n v="87"/>
  </r>
  <r>
    <d v="2025-05-21T09:16:15"/>
    <x v="3"/>
    <s v="Plaquettes de finition positives"/>
    <s v="SE08251"/>
    <s v="FAYET AYMERIC"/>
    <n v="10"/>
    <x v="0"/>
    <x v="0"/>
    <s v="PLAQUETTES"/>
    <s v="330x14"/>
    <n v="87"/>
  </r>
  <r>
    <d v="2025-05-22T00:18:36"/>
    <x v="3"/>
    <s v="Plaquettes de finition positives"/>
    <s v="101224"/>
    <s v="CHAZEAU KYLIAN"/>
    <n v="10"/>
    <x v="3"/>
    <x v="0"/>
    <s v="PLAQUETTES"/>
    <s v="290x12"/>
    <n v="87"/>
  </r>
  <r>
    <d v="2025-05-22T00:18:55"/>
    <x v="3"/>
    <s v="Plaquettes de finition positives"/>
    <s v="101224"/>
    <s v="CHAZEAU KYLIAN"/>
    <n v="10"/>
    <x v="0"/>
    <x v="0"/>
    <s v="PLAQUETTES"/>
    <s v="330x14"/>
    <n v="87"/>
  </r>
  <r>
    <d v="2025-05-22T19:50:49"/>
    <x v="3"/>
    <s v="Plaquettes de finition positives"/>
    <s v="SD75051"/>
    <s v="COMBALUZIER LUCAS"/>
    <n v="10"/>
    <x v="0"/>
    <x v="0"/>
    <s v="PLAQUETTES"/>
    <s v="330x14"/>
    <n v="87"/>
  </r>
  <r>
    <d v="2025-05-23T13:12:41"/>
    <x v="3"/>
    <s v="Plaquettes de finition positives"/>
    <s v="SD75051"/>
    <s v="COMBALUZIER LUCAS"/>
    <n v="10"/>
    <x v="0"/>
    <x v="0"/>
    <s v="PLAQUETTES"/>
    <s v="330x14"/>
    <n v="87"/>
  </r>
  <r>
    <d v="2025-05-25T18:06:06"/>
    <x v="3"/>
    <s v="Plaquettes de finition positives"/>
    <s v="U109136"/>
    <s v="WIPLIE FREDERIC"/>
    <n v="10"/>
    <x v="0"/>
    <x v="0"/>
    <s v="PLAQUETTES"/>
    <s v="330x14"/>
    <n v="87"/>
  </r>
  <r>
    <d v="2025-05-26T04:23:48"/>
    <x v="3"/>
    <s v="Plaquettes de finition positives"/>
    <s v="U109136"/>
    <s v="WIPLIE FREDERIC"/>
    <n v="10"/>
    <x v="0"/>
    <x v="0"/>
    <s v="PLAQUETTES"/>
    <s v="330x14"/>
    <n v="87"/>
  </r>
  <r>
    <d v="2025-05-26T05:33:39"/>
    <x v="3"/>
    <s v="Plaquettes de finition positives"/>
    <s v="U080365"/>
    <s v="ALAVOINE SAMUEL"/>
    <n v="10"/>
    <x v="3"/>
    <x v="0"/>
    <s v="PLAQUETTES"/>
    <s v="290x12"/>
    <n v="87"/>
  </r>
  <r>
    <d v="2025-05-26T05:34:14"/>
    <x v="3"/>
    <s v="Plaquettes de finition positives"/>
    <s v="U080365"/>
    <s v="ALAVOINE SAMUEL"/>
    <n v="10"/>
    <x v="0"/>
    <x v="0"/>
    <s v="PLAQUETTES"/>
    <s v="330x14"/>
    <n v="87"/>
  </r>
  <r>
    <d v="2025-05-26T11:22:07"/>
    <x v="3"/>
    <s v="Plaquettes de finition positives"/>
    <s v="U080365"/>
    <s v="ALAVOINE SAMUEL"/>
    <n v="10"/>
    <x v="3"/>
    <x v="0"/>
    <s v="PLAQUETTES"/>
    <s v="290x12"/>
    <n v="87"/>
  </r>
  <r>
    <d v="2025-05-29T02:43:42"/>
    <x v="3"/>
    <s v="Plaquettes de finition positives"/>
    <s v="SE08251"/>
    <s v="FAYET AYMERIC"/>
    <n v="10"/>
    <x v="3"/>
    <x v="0"/>
    <s v="PLAQUETTES"/>
    <s v="290x12"/>
    <n v="87"/>
  </r>
  <r>
    <d v="2025-05-29T21:25:48"/>
    <x v="3"/>
    <s v="Plaquettes de finition positives"/>
    <s v="SE08251"/>
    <s v="FAYET AYMERIC"/>
    <n v="10"/>
    <x v="3"/>
    <x v="0"/>
    <s v="PLAQUETTES"/>
    <s v="290x12"/>
    <n v="87"/>
  </r>
  <r>
    <d v="2025-05-31T10:03:35"/>
    <x v="3"/>
    <s v="Plaquettes de finition positives"/>
    <s v="150725"/>
    <s v="ADOUL WASSIM"/>
    <n v="10"/>
    <x v="3"/>
    <x v="0"/>
    <s v="PLAQUETTES"/>
    <s v="290x12"/>
    <n v="87"/>
  </r>
  <r>
    <d v="2025-06-02T13:27:24"/>
    <x v="3"/>
    <s v="Plaquettes de finition positives"/>
    <s v="SE08251"/>
    <s v="FAYET AYMERIC"/>
    <n v="10"/>
    <x v="3"/>
    <x v="0"/>
    <s v="PLAQUETTES"/>
    <s v="290x12"/>
    <n v="87"/>
  </r>
  <r>
    <d v="2025-06-02T13:27:40"/>
    <x v="3"/>
    <s v="Plaquettes de finition positives"/>
    <s v="SE08251"/>
    <s v="FAYET AYMERIC"/>
    <n v="10"/>
    <x v="0"/>
    <x v="0"/>
    <s v="PLAQUETTES"/>
    <s v="330x14"/>
    <n v="87"/>
  </r>
  <r>
    <d v="2025-06-02T23:11:49"/>
    <x v="3"/>
    <s v="Plaquettes de finition positives"/>
    <s v="SD75051"/>
    <s v="COMBALUZIER LUCAS"/>
    <n v="10"/>
    <x v="0"/>
    <x v="0"/>
    <s v="PLAQUETTES"/>
    <s v="330x14"/>
    <n v="87"/>
  </r>
  <r>
    <d v="2025-06-03T13:12:49"/>
    <x v="3"/>
    <s v="Plaquettes de finition positives"/>
    <s v="SE08251"/>
    <s v="FAYET AYMERIC"/>
    <n v="10"/>
    <x v="3"/>
    <x v="0"/>
    <s v="PLAQUETTES"/>
    <s v="290x12"/>
    <n v="87"/>
  </r>
  <r>
    <d v="2025-06-03T20:41:11"/>
    <x v="3"/>
    <s v="Plaquettes de finition positives"/>
    <s v="SE08251"/>
    <s v="FAYET AYMERIC"/>
    <n v="10"/>
    <x v="0"/>
    <x v="0"/>
    <s v="PLAQUETTES"/>
    <s v="290x12"/>
    <n v="87"/>
  </r>
  <r>
    <d v="2025-06-04T21:52:16"/>
    <x v="3"/>
    <s v="Plaquettes de finition positives"/>
    <s v="SD75051"/>
    <s v="COMBALUZIER LUCAS"/>
    <n v="10"/>
    <x v="0"/>
    <x v="0"/>
    <s v="PLAQUETTES"/>
    <s v="330x14"/>
    <n v="87"/>
  </r>
  <r>
    <d v="2025-06-05T14:23:52"/>
    <x v="3"/>
    <s v="Plaquettes de finition positives"/>
    <s v="SE08251"/>
    <s v="FAYET AYMERIC"/>
    <n v="10"/>
    <x v="0"/>
    <x v="0"/>
    <s v="PLAQUETTES"/>
    <s v="290x12"/>
    <n v="87"/>
  </r>
  <r>
    <d v="2025-06-05T14:24:11"/>
    <x v="3"/>
    <s v="Plaquettes de finition positives"/>
    <s v="SE08251"/>
    <s v="FAYET AYMERIC"/>
    <n v="10"/>
    <x v="3"/>
    <x v="0"/>
    <s v="PLAQUETTES"/>
    <s v="290x12"/>
    <n v="87"/>
  </r>
  <r>
    <d v="2025-06-06T08:19:22"/>
    <x v="3"/>
    <s v="Plaquettes de finition positives"/>
    <s v="U109136"/>
    <s v="WIPLIE FREDERIC"/>
    <n v="10"/>
    <x v="3"/>
    <x v="0"/>
    <s v="PLAQUETTES"/>
    <s v="290x12"/>
    <n v="87"/>
  </r>
  <r>
    <d v="2025-06-07T05:14:49"/>
    <x v="3"/>
    <s v="Plaquettes de finition positives"/>
    <s v="U109136"/>
    <s v="WIPLIE FREDERIC"/>
    <n v="10"/>
    <x v="0"/>
    <x v="0"/>
    <s v="PLAQUETTES"/>
    <s v="330x14"/>
    <n v="87"/>
  </r>
  <r>
    <d v="2025-06-09T03:07:07"/>
    <x v="3"/>
    <s v="Plaquettes de finition positives"/>
    <s v="150725"/>
    <s v="ADOUL WASSIM"/>
    <n v="10"/>
    <x v="0"/>
    <x v="0"/>
    <s v="PLAQUETTES"/>
    <s v="330x14"/>
    <n v="87"/>
  </r>
  <r>
    <d v="2025-06-09T13:33:57"/>
    <x v="3"/>
    <s v="Plaquettes de finition positives"/>
    <s v="SD75051"/>
    <s v="COMBALUZIER LUCAS"/>
    <n v="10"/>
    <x v="0"/>
    <x v="0"/>
    <s v="PLAQUETTES"/>
    <s v="330x14"/>
    <n v="87"/>
  </r>
  <r>
    <d v="2025-06-12T19:36:02"/>
    <x v="3"/>
    <s v="Plaquettes de finition positives"/>
    <s v="SD75051"/>
    <s v="COMBALUZIER LUCAS"/>
    <n v="10"/>
    <x v="3"/>
    <x v="0"/>
    <s v="PLAQUETTES"/>
    <s v="290x12"/>
    <n v="87"/>
  </r>
  <r>
    <d v="2025-06-12T23:42:15"/>
    <x v="3"/>
    <s v="Plaquettes de finition positives"/>
    <s v="101224"/>
    <s v="CHAZEAU KYLIAN"/>
    <n v="10"/>
    <x v="3"/>
    <x v="0"/>
    <s v="PLAQUETTES"/>
    <s v="290x12"/>
    <n v="87"/>
  </r>
  <r>
    <d v="2025-06-18T19:09:07"/>
    <x v="3"/>
    <s v="Plaquettes de finition positives"/>
    <s v="101224"/>
    <s v="CHAZEAU KYLIAN"/>
    <n v="10"/>
    <x v="0"/>
    <x v="0"/>
    <s v="PLAQUETTES"/>
    <s v="330x14"/>
    <n v="87"/>
  </r>
  <r>
    <d v="2025-06-19T06:18:04"/>
    <x v="3"/>
    <s v="Plaquettes de finition positives"/>
    <s v="SD75051"/>
    <s v="COMBALUZIER LUCAS"/>
    <n v="10"/>
    <x v="0"/>
    <x v="0"/>
    <s v="PLAQUETTES"/>
    <s v="330x14"/>
    <n v="87"/>
  </r>
  <r>
    <d v="2025-06-19T19:25:17"/>
    <x v="3"/>
    <s v="Plaquettes de finition positives"/>
    <s v="101224"/>
    <s v="CHAZEAU KYLIAN"/>
    <n v="10"/>
    <x v="0"/>
    <x v="0"/>
    <s v="PLAQUETTES"/>
    <s v="330x14"/>
    <n v="87"/>
  </r>
  <r>
    <d v="2025-06-20T13:30:47"/>
    <x v="3"/>
    <s v="Plaquettes de finition positives"/>
    <s v="101224"/>
    <s v="CHAZEAU KYLIAN"/>
    <n v="10"/>
    <x v="0"/>
    <x v="0"/>
    <s v="PLAQUETTES"/>
    <s v="330x14"/>
    <n v="87"/>
  </r>
  <r>
    <d v="2025-06-20T16:14:37"/>
    <x v="3"/>
    <s v="Plaquettes de finition positives"/>
    <s v="101224"/>
    <s v="CHAZEAU KYLIAN"/>
    <n v="10"/>
    <x v="3"/>
    <x v="0"/>
    <s v="PLAQUETTES"/>
    <s v="290x12"/>
    <n v="87"/>
  </r>
  <r>
    <d v="2025-06-21T07:25:00"/>
    <x v="3"/>
    <s v="Plaquettes de finition positives"/>
    <s v="U109136"/>
    <s v="WIPLIE FREDERIC"/>
    <n v="10"/>
    <x v="0"/>
    <x v="0"/>
    <s v="PLAQUETTES"/>
    <s v="330x14"/>
    <n v="87"/>
  </r>
  <r>
    <d v="2025-06-22T15:45:14"/>
    <x v="3"/>
    <s v="Plaquettes de finition positives"/>
    <s v="U080365"/>
    <s v="ALAVOINE SAMUEL"/>
    <n v="10"/>
    <x v="3"/>
    <x v="0"/>
    <s v="PLAQUETTES"/>
    <s v="290x12"/>
    <n v="87"/>
  </r>
  <r>
    <d v="2025-06-22T23:28:38"/>
    <x v="3"/>
    <s v="Plaquettes de finition positives"/>
    <s v="U109136"/>
    <s v="WIPLIE FREDERIC"/>
    <n v="10"/>
    <x v="0"/>
    <x v="0"/>
    <s v="PLAQUETTES"/>
    <s v="330x14"/>
    <n v="87"/>
  </r>
  <r>
    <d v="2025-06-23T06:48:16"/>
    <x v="3"/>
    <s v="Plaquettes de finition positives"/>
    <s v="101224"/>
    <s v="CHAZEAU KYLIAN"/>
    <n v="10"/>
    <x v="3"/>
    <x v="0"/>
    <s v="PLAQUETTES"/>
    <s v="290x12"/>
    <n v="87"/>
  </r>
  <r>
    <d v="2025-06-23T14:38:59"/>
    <x v="3"/>
    <s v="Plaquettes de finition positives"/>
    <s v="SE08251"/>
    <s v="FAYET AYMERIC"/>
    <n v="10"/>
    <x v="0"/>
    <x v="0"/>
    <s v="PLAQUETTES"/>
    <s v="330x14"/>
    <n v="87"/>
  </r>
  <r>
    <d v="2025-06-23T14:39:17"/>
    <x v="3"/>
    <s v="Plaquettes de finition positives"/>
    <s v="SE08251"/>
    <s v="FAYET AYMERIC"/>
    <n v="10"/>
    <x v="3"/>
    <x v="0"/>
    <s v="PLAQUETTES"/>
    <s v="290x12"/>
    <n v="87"/>
  </r>
  <r>
    <d v="2025-06-25T15:34:16"/>
    <x v="3"/>
    <s v="Plaquettes de finition positives"/>
    <s v="SE08251"/>
    <s v="FAYET AYMERIC"/>
    <n v="10"/>
    <x v="0"/>
    <x v="0"/>
    <s v="PLAQUETTES"/>
    <s v="330x14"/>
    <n v="87"/>
  </r>
  <r>
    <d v="2025-06-26T10:55:03"/>
    <x v="3"/>
    <s v="Plaquettes de finition positives"/>
    <s v="130124"/>
    <s v="MOHAMED ILDIRAY"/>
    <n v="10"/>
    <x v="0"/>
    <x v="0"/>
    <s v="PLAQUETTES"/>
    <s v="330x14"/>
    <n v="87"/>
  </r>
  <r>
    <d v="2025-06-26T21:09:47"/>
    <x v="3"/>
    <s v="Plaquettes de finition positives"/>
    <s v="SD75051"/>
    <s v="COMBALUZIER LUCAS"/>
    <n v="10"/>
    <x v="0"/>
    <x v="0"/>
    <s v="PLAQUETTES"/>
    <s v="330x14"/>
    <n v="87"/>
  </r>
  <r>
    <d v="2025-06-27T15:15:35"/>
    <x v="3"/>
    <s v="Plaquettes de finition positives"/>
    <s v="SE08251"/>
    <s v="FAYET AYMERIC"/>
    <n v="10"/>
    <x v="0"/>
    <x v="0"/>
    <s v="PLAQUETTES"/>
    <s v="330x14"/>
    <n v="87"/>
  </r>
  <r>
    <d v="2025-06-28T07:07:44"/>
    <x v="3"/>
    <s v="Plaquettes de finition positives"/>
    <s v="150725"/>
    <s v="ADOUL WASSIM"/>
    <n v="10"/>
    <x v="0"/>
    <x v="0"/>
    <s v="PLAQUETTES"/>
    <s v="330x14"/>
    <n v="87"/>
  </r>
  <r>
    <d v="2025-06-28T13:06:58"/>
    <x v="3"/>
    <s v="Plaquettes de finition positives"/>
    <s v="150725"/>
    <s v="ADOUL WASSIM"/>
    <n v="10"/>
    <x v="0"/>
    <x v="0"/>
    <s v="PLAQUETTES"/>
    <s v="330x14"/>
    <n v="87"/>
  </r>
  <r>
    <d v="2025-06-30T00:27:36"/>
    <x v="3"/>
    <s v="Plaquettes de finition positives"/>
    <s v="150725"/>
    <s v="ADOUL WASSIM"/>
    <n v="10"/>
    <x v="0"/>
    <x v="0"/>
    <s v="PLAQUETTES"/>
    <s v="330x14"/>
    <n v="87"/>
  </r>
  <r>
    <d v="2025-06-30T06:16:29"/>
    <x v="3"/>
    <s v="Plaquettes de finition positives"/>
    <s v="SE08251"/>
    <s v="FAYET AYMERIC"/>
    <n v="10"/>
    <x v="0"/>
    <x v="0"/>
    <s v="PLAQUETTES"/>
    <s v="330x14"/>
    <n v="87"/>
  </r>
  <r>
    <d v="2025-06-30T21:08:02"/>
    <x v="3"/>
    <s v="Plaquettes de finition positives"/>
    <s v="101224"/>
    <s v="CHAZEAU KYLIAN"/>
    <n v="10"/>
    <x v="0"/>
    <x v="0"/>
    <s v="PLAQUETTES"/>
    <s v="290x12"/>
    <n v="87"/>
  </r>
  <r>
    <d v="2025-07-01T23:21:22"/>
    <x v="3"/>
    <s v="Plaquettes de finition positives"/>
    <s v="101224"/>
    <s v="CHAZEAU KYLIAN"/>
    <n v="10"/>
    <x v="0"/>
    <x v="0"/>
    <s v="PLAQUETTES"/>
    <s v="290x12"/>
    <n v="87"/>
  </r>
  <r>
    <d v="2025-07-02T22:19:46"/>
    <x v="3"/>
    <s v="Plaquettes de finition positives"/>
    <s v="101224"/>
    <s v="CHAZEAU KYLIAN"/>
    <n v="10"/>
    <x v="0"/>
    <x v="0"/>
    <s v="PLAQUETTES"/>
    <s v="290x12"/>
    <n v="87"/>
  </r>
  <r>
    <d v="2025-07-03T07:18:12"/>
    <x v="3"/>
    <s v="Plaquettes de finition positives"/>
    <s v="SE08251"/>
    <s v="FAYET AYMERIC"/>
    <n v="10"/>
    <x v="0"/>
    <x v="0"/>
    <s v="PLAQUETTES"/>
    <s v="290x12"/>
    <n v="87"/>
  </r>
  <r>
    <d v="2025-07-04T01:47:16"/>
    <x v="3"/>
    <s v="Plaquettes de finition positives"/>
    <s v="101224"/>
    <s v="CHAZEAU KYLIAN"/>
    <n v="10"/>
    <x v="0"/>
    <x v="0"/>
    <s v="PLAQUETTES"/>
    <s v="290x12"/>
    <n v="87"/>
  </r>
  <r>
    <d v="2025-07-04T13:17:48"/>
    <x v="3"/>
    <s v="Plaquettes de finition positives"/>
    <s v="SD75051"/>
    <s v="COMBALUZIER LUCAS"/>
    <n v="10"/>
    <x v="0"/>
    <x v="0"/>
    <s v="PLAQUETTES"/>
    <s v="290x12"/>
    <n v="87"/>
  </r>
  <r>
    <d v="2025-07-04T13:18:13"/>
    <x v="3"/>
    <s v="Plaquettes de finition positives"/>
    <s v="SD75051"/>
    <s v="COMBALUZIER LUCAS"/>
    <n v="10"/>
    <x v="3"/>
    <x v="0"/>
    <s v="PLAQUETTES"/>
    <s v="330x14"/>
    <n v="87"/>
  </r>
  <r>
    <d v="2025-07-05T11:11:59"/>
    <x v="3"/>
    <s v="Plaquettes de finition positives"/>
    <s v="U109136"/>
    <s v="WIPLIE FREDERIC"/>
    <n v="10"/>
    <x v="0"/>
    <x v="0"/>
    <s v="PLAQUETTES"/>
    <s v="330x14"/>
    <n v="87"/>
  </r>
  <r>
    <d v="2025-07-06T21:33:15"/>
    <x v="3"/>
    <s v="Plaquettes de finition positives"/>
    <s v="U109136"/>
    <s v="WIPLIE FREDERIC"/>
    <n v="10"/>
    <x v="3"/>
    <x v="0"/>
    <s v="PLAQUETTES"/>
    <s v="330x14"/>
    <n v="87"/>
  </r>
  <r>
    <d v="2025-07-07T05:59:49"/>
    <x v="3"/>
    <s v="Plaquettes de finition positives"/>
    <s v="SD75051"/>
    <s v="COMBALUZIER LUCAS"/>
    <n v="10"/>
    <x v="0"/>
    <x v="0"/>
    <s v="PLAQUETTES"/>
    <s v="290x12"/>
    <n v="87"/>
  </r>
  <r>
    <d v="2025-07-07T06:00:39"/>
    <x v="3"/>
    <s v="Plaquettes de finition positives"/>
    <s v="SD75051"/>
    <s v="COMBALUZIER LUCAS"/>
    <n v="10"/>
    <x v="3"/>
    <x v="0"/>
    <s v="PLAQUETTES"/>
    <s v="330x14"/>
    <n v="87"/>
  </r>
  <r>
    <d v="2025-07-08T00:44:11"/>
    <x v="3"/>
    <s v="Plaquettes de finition positives"/>
    <s v="SE08251"/>
    <s v="FAYET AYMERIC"/>
    <n v="10"/>
    <x v="0"/>
    <x v="0"/>
    <s v="PLAQUETTES"/>
    <s v="290x12"/>
    <n v="87"/>
  </r>
  <r>
    <d v="2025-07-08T00:44:25"/>
    <x v="3"/>
    <s v="Plaquettes de finition positives"/>
    <s v="SE08251"/>
    <s v="FAYET AYMERIC"/>
    <n v="10"/>
    <x v="3"/>
    <x v="0"/>
    <s v="PLAQUETTES"/>
    <s v="330x14"/>
    <n v="87"/>
  </r>
  <r>
    <d v="2025-07-08T18:14:02"/>
    <x v="3"/>
    <s v="Plaquettes de finition positives"/>
    <s v="101224"/>
    <s v="CHAZEAU KYLIAN"/>
    <n v="10"/>
    <x v="0"/>
    <x v="0"/>
    <s v="PLAQUETTES"/>
    <s v="290x12"/>
    <n v="87"/>
  </r>
  <r>
    <d v="2025-07-09T07:23:10"/>
    <x v="3"/>
    <s v="Plaquettes de finition positives"/>
    <s v="SD75051"/>
    <s v="COMBALUZIER LUCAS"/>
    <n v="10"/>
    <x v="3"/>
    <x v="0"/>
    <s v="PLAQUETTES"/>
    <s v="330x14"/>
    <n v="87"/>
  </r>
  <r>
    <d v="2025-07-10T04:37:40"/>
    <x v="3"/>
    <s v="Plaquettes de finition positives"/>
    <s v="SE08251"/>
    <s v="FAYET AYMERIC"/>
    <n v="10"/>
    <x v="3"/>
    <x v="0"/>
    <s v="PLAQUETTES"/>
    <s v="330x14"/>
    <n v="87"/>
  </r>
  <r>
    <d v="2025-07-10T17:24:03"/>
    <x v="3"/>
    <s v="Plaquettes de finition positives"/>
    <s v="101224"/>
    <s v="CHAZEAU KYLIAN"/>
    <n v="10"/>
    <x v="3"/>
    <x v="0"/>
    <s v="PLAQUETTES"/>
    <s v="330x14"/>
    <n v="87"/>
  </r>
  <r>
    <d v="2025-07-16T03:48:31"/>
    <x v="3"/>
    <s v="Plaquettes de finition positives"/>
    <s v="SD75051"/>
    <s v="COMBALUZIER LUCAS"/>
    <n v="10"/>
    <x v="3"/>
    <x v="0"/>
    <s v="PLAQUETTES"/>
    <s v="330x14"/>
    <n v="87"/>
  </r>
  <r>
    <d v="2025-07-16T19:53:21"/>
    <x v="3"/>
    <s v="Plaquettes de finition positives"/>
    <s v="SE08251"/>
    <s v="FAYET AYMERIC"/>
    <n v="10"/>
    <x v="3"/>
    <x v="0"/>
    <s v="PLAQUETTES"/>
    <s v="330x14"/>
    <n v="87"/>
  </r>
  <r>
    <d v="2025-07-17T08:14:58"/>
    <x v="3"/>
    <s v="Plaquettes de finition positives"/>
    <s v="SD13196"/>
    <s v="FRADIN MAXIME"/>
    <n v="10"/>
    <x v="3"/>
    <x v="0"/>
    <s v="PLAQUETTES"/>
    <s v="330x14"/>
    <n v="87"/>
  </r>
  <r>
    <d v="2025-07-18T02:59:46"/>
    <x v="3"/>
    <s v="Plaquettes de finition positives"/>
    <s v="SD75051"/>
    <s v="COMBALUZIER LUCAS"/>
    <n v="10"/>
    <x v="3"/>
    <x v="0"/>
    <s v="PLAQUETTES"/>
    <s v="330x14"/>
    <n v="87"/>
  </r>
  <r>
    <d v="2025-07-18T10:32:20"/>
    <x v="3"/>
    <s v="Plaquettes de finition positives"/>
    <s v="U109136"/>
    <s v="WIPLIE FREDERIC"/>
    <n v="10"/>
    <x v="3"/>
    <x v="0"/>
    <s v="PLAQUETTES"/>
    <s v="330x14"/>
    <n v="87"/>
  </r>
  <r>
    <d v="2025-07-19T11:31:21"/>
    <x v="3"/>
    <s v="Plaquettes de finition positives"/>
    <s v="U109136"/>
    <s v="WIPLIE FREDERIC"/>
    <n v="10"/>
    <x v="0"/>
    <x v="0"/>
    <s v="PLAQUETTES"/>
    <s v="330x14"/>
    <n v="87"/>
  </r>
  <r>
    <d v="2025-07-21T07:58:19"/>
    <x v="3"/>
    <s v="Plaquettes de finition positives"/>
    <s v="SE08251"/>
    <s v="FAYET AYMERIC"/>
    <n v="10"/>
    <x v="3"/>
    <x v="0"/>
    <s v="PLAQUETTES"/>
    <s v="330x14"/>
    <n v="87"/>
  </r>
  <r>
    <d v="2025-07-21T21:04:32"/>
    <x v="3"/>
    <s v="Plaquettes de finition positives"/>
    <s v="101224"/>
    <s v="CHAZEAU KYLIAN"/>
    <n v="10"/>
    <x v="3"/>
    <x v="0"/>
    <s v="PLAQUETTES"/>
    <s v="330x14"/>
    <n v="87"/>
  </r>
  <r>
    <d v="2025-07-22T05:37:53"/>
    <x v="3"/>
    <s v="Plaquettes de finition positives"/>
    <s v="SE08251"/>
    <s v="FAYET AYMERIC"/>
    <n v="10"/>
    <x v="3"/>
    <x v="0"/>
    <s v="PLAQUETTES"/>
    <s v="330x14"/>
    <n v="87"/>
  </r>
  <r>
    <d v="2025-07-25T00:45:25"/>
    <x v="3"/>
    <s v="Plaquettes de finition positives"/>
    <s v="101224"/>
    <s v="CHAZEAU KYLIAN"/>
    <n v="10"/>
    <x v="3"/>
    <x v="0"/>
    <s v="PLAQUETTES"/>
    <s v="330x14"/>
    <n v="87"/>
  </r>
  <r>
    <d v="2025-07-25T08:12:54"/>
    <x v="3"/>
    <s v="Plaquettes de finition positives"/>
    <s v="U080365"/>
    <s v="ALAVOINE SAMUEL"/>
    <n v="10"/>
    <x v="0"/>
    <x v="0"/>
    <s v="PLAQUETTES"/>
    <s v="290x12"/>
    <n v="87"/>
  </r>
  <r>
    <d v="2025-07-25T08:14:31"/>
    <x v="3"/>
    <s v="Plaquettes de finition positives"/>
    <s v="U080365"/>
    <s v="ALAVOINE SAMUEL"/>
    <n v="10"/>
    <x v="3"/>
    <x v="0"/>
    <s v="PLAQUETTES"/>
    <s v="330x14"/>
    <n v="87"/>
  </r>
  <r>
    <d v="2025-07-25T19:50:34"/>
    <x v="3"/>
    <s v="Plaquettes de finition positives"/>
    <s v="040725"/>
    <s v="BARGEOT LUCAS"/>
    <n v="10"/>
    <x v="3"/>
    <x v="0"/>
    <s v="PLAQUETTES"/>
    <s v="330x14"/>
    <n v="87"/>
  </r>
  <r>
    <d v="2025-07-26T07:06:29"/>
    <x v="3"/>
    <s v="Plaquettes de finition positives"/>
    <s v="U080365"/>
    <s v="ALAVOINE SAMUEL"/>
    <n v="10"/>
    <x v="0"/>
    <x v="0"/>
    <s v="PLAQUETTES"/>
    <s v="290x12"/>
    <n v="87"/>
  </r>
  <r>
    <d v="2025-07-26T07:06:54"/>
    <x v="3"/>
    <s v="Plaquettes de finition positives"/>
    <s v="U080365"/>
    <s v="ALAVOINE SAMUEL"/>
    <n v="10"/>
    <x v="3"/>
    <x v="0"/>
    <s v="PLAQUETTES"/>
    <s v="330x14"/>
    <n v="87"/>
  </r>
  <r>
    <d v="2025-07-28T06:03:02"/>
    <x v="3"/>
    <s v="Plaquettes de finition positives"/>
    <s v="040725"/>
    <s v="BARGEOT LUCAS"/>
    <n v="10"/>
    <x v="0"/>
    <x v="0"/>
    <s v="PLAQUETTES"/>
    <s v="330x14"/>
    <n v="87"/>
  </r>
  <r>
    <d v="2025-07-28T06:03:24"/>
    <x v="3"/>
    <s v="Plaquettes de finition positives"/>
    <s v="040725"/>
    <s v="BARGEOT LUCAS"/>
    <n v="10"/>
    <x v="3"/>
    <x v="0"/>
    <s v="PLAQUETTES"/>
    <s v="330x14"/>
    <n v="87"/>
  </r>
  <r>
    <d v="2025-07-28T06:03:49"/>
    <x v="3"/>
    <s v="Plaquettes de finition positives"/>
    <s v="040725"/>
    <s v="BARGEOT LUCAS"/>
    <n v="10"/>
    <x v="0"/>
    <x v="0"/>
    <s v="PLAQUETTES"/>
    <s v="290x12"/>
    <n v="87"/>
  </r>
  <r>
    <d v="2025-07-29T06:05:57"/>
    <x v="3"/>
    <s v="Plaquettes de finition positives"/>
    <s v="040725"/>
    <s v="BARGEOT LUCAS"/>
    <n v="10"/>
    <x v="3"/>
    <x v="0"/>
    <s v="PLAQUETTES"/>
    <s v="330x14"/>
    <n v="87"/>
  </r>
  <r>
    <d v="2025-07-29T12:44:05"/>
    <x v="3"/>
    <s v="Plaquettes de finition positives"/>
    <s v="040725"/>
    <s v="BARGEOT LUCAS"/>
    <n v="10"/>
    <x v="3"/>
    <x v="0"/>
    <s v="PLAQUETTES"/>
    <s v="330x14"/>
    <n v="87"/>
  </r>
  <r>
    <d v="2025-07-30T06:39:59"/>
    <x v="3"/>
    <s v="Plaquettes de finition positives"/>
    <s v="040725"/>
    <s v="BARGEOT LUCAS"/>
    <n v="10"/>
    <x v="0"/>
    <x v="0"/>
    <s v="PLAQUETTES"/>
    <s v="290x12"/>
    <n v="87"/>
  </r>
  <r>
    <d v="2025-08-19T02:13:59"/>
    <x v="3"/>
    <s v="Plaquettes de finition positives"/>
    <s v="j529800"/>
    <s v="MONTCHARMONT BAPTISTE"/>
    <n v="10"/>
    <x v="3"/>
    <x v="0"/>
    <s v="PLAQUETTES"/>
    <s v="330x14"/>
    <n v="87"/>
  </r>
  <r>
    <d v="2025-08-20T00:34:35"/>
    <x v="3"/>
    <s v="Plaquettes de finition positives"/>
    <s v="j529800"/>
    <s v="MONTCHARMONT BAPTISTE"/>
    <n v="10"/>
    <x v="0"/>
    <x v="0"/>
    <s v="PLAQUETTES"/>
    <s v="330x14"/>
    <n v="87"/>
  </r>
  <r>
    <d v="2025-08-20T16:34:59"/>
    <x v="3"/>
    <s v="Plaquettes de finition positives"/>
    <s v="101224"/>
    <s v="CHAZEAU KYLIAN"/>
    <n v="10"/>
    <x v="3"/>
    <x v="0"/>
    <s v="PLAQUETTES"/>
    <s v="330x14"/>
    <n v="87"/>
  </r>
  <r>
    <d v="2025-08-20T23:54:23"/>
    <x v="3"/>
    <s v="Plaquettes de finition positives"/>
    <s v="280225"/>
    <s v="FERNANDES DOS SANTOS REMY"/>
    <n v="10"/>
    <x v="3"/>
    <x v="0"/>
    <s v="PLAQUETTES"/>
    <s v="330x14"/>
    <n v="87"/>
  </r>
  <r>
    <d v="2025-08-21T08:41:43"/>
    <x v="3"/>
    <s v="Plaquettes de finition positives"/>
    <s v="040725"/>
    <s v="BARGEOT LUCAS"/>
    <n v="10"/>
    <x v="3"/>
    <x v="0"/>
    <s v="PLAQUETTES"/>
    <s v="330x14"/>
    <n v="87"/>
  </r>
  <r>
    <d v="2025-08-21T20:09:20"/>
    <x v="3"/>
    <s v="Plaquettes de finition positives"/>
    <s v="101224"/>
    <s v="CHAZEAU KYLIAN"/>
    <n v="10"/>
    <x v="3"/>
    <x v="0"/>
    <s v="PLAQUETTES"/>
    <s v="330x14"/>
    <n v="87"/>
  </r>
  <r>
    <d v="2025-08-22T02:24:33"/>
    <x v="3"/>
    <s v="Plaquettes de finition positives"/>
    <s v="j529800"/>
    <s v="MONTCHARMONT BAPTISTE"/>
    <n v="10"/>
    <x v="3"/>
    <x v="0"/>
    <s v="PLAQUETTES"/>
    <s v="330x14"/>
    <n v="87"/>
  </r>
  <r>
    <d v="2025-08-22T10:00:23"/>
    <x v="3"/>
    <s v="Plaquettes de finition positives"/>
    <s v="U080365"/>
    <s v="ALAVOINE SAMUEL"/>
    <n v="10"/>
    <x v="3"/>
    <x v="0"/>
    <s v="PLAQUETTES"/>
    <s v="330x14"/>
    <n v="87"/>
  </r>
  <r>
    <d v="2025-08-22T19:08:52"/>
    <x v="3"/>
    <s v="Plaquettes de finition positives"/>
    <s v="040725"/>
    <s v="BARGEOT LUCAS"/>
    <n v="10"/>
    <x v="3"/>
    <x v="0"/>
    <s v="PLAQUETTES"/>
    <s v="330x14"/>
    <n v="87"/>
  </r>
  <r>
    <d v="2025-08-22T23:47:31"/>
    <x v="3"/>
    <s v="Plaquettes de finition positives"/>
    <s v="j529800"/>
    <s v="MONTCHARMONT BAPTISTE"/>
    <n v="10"/>
    <x v="3"/>
    <x v="0"/>
    <s v="PLAQUETTES"/>
    <s v="330x14"/>
    <n v="87"/>
  </r>
  <r>
    <d v="2025-08-23T07:43:29"/>
    <x v="3"/>
    <s v="Plaquettes de finition positives"/>
    <s v="U515988"/>
    <s v="BLAHA"/>
    <n v="10"/>
    <x v="3"/>
    <x v="0"/>
    <s v="PLAQUETTES"/>
    <s v="330x14"/>
    <n v="87"/>
  </r>
  <r>
    <d v="2025-08-23T11:19:04"/>
    <x v="3"/>
    <s v="Plaquettes de finition positives"/>
    <s v="U080365"/>
    <s v="ALAVOINE SAMUEL"/>
    <n v="10"/>
    <x v="3"/>
    <x v="0"/>
    <s v="PLAQUETTES"/>
    <s v="330x14"/>
    <n v="87"/>
  </r>
  <r>
    <d v="2025-08-25T15:21:06"/>
    <x v="3"/>
    <s v="Plaquettes de finition positives"/>
    <s v="040725"/>
    <s v="BARGEOT LUCAS"/>
    <n v="10"/>
    <x v="3"/>
    <x v="0"/>
    <s v="PLAQUETTES"/>
    <s v="330x14"/>
    <n v="87"/>
  </r>
  <r>
    <d v="2025-08-25T23:52:49"/>
    <x v="3"/>
    <s v="Plaquettes de finition positives"/>
    <s v="j529800"/>
    <s v="MONTCHARMONT BAPTISTE"/>
    <n v="10"/>
    <x v="3"/>
    <x v="0"/>
    <s v="PLAQUETTES"/>
    <s v="330x14"/>
    <n v="87"/>
  </r>
  <r>
    <d v="2025-08-26T06:16:05"/>
    <x v="3"/>
    <s v="Plaquettes de finition positives"/>
    <s v="U505000"/>
    <s v="RECEVEUR BENOIT"/>
    <n v="10"/>
    <x v="3"/>
    <x v="0"/>
    <s v="PLAQUETTES"/>
    <s v="330x14"/>
    <n v="87"/>
  </r>
  <r>
    <d v="2025-08-26T23:11:13"/>
    <x v="3"/>
    <s v="Plaquettes de finition positives"/>
    <s v="j529800"/>
    <s v="MONTCHARMONT BAPTISTE"/>
    <n v="10"/>
    <x v="3"/>
    <x v="0"/>
    <s v="PLAQUETTES"/>
    <s v="330x14"/>
    <n v="87"/>
  </r>
  <r>
    <d v="2025-08-29T19:19:05"/>
    <x v="3"/>
    <s v="Plaquettes de finition positives"/>
    <s v="040725"/>
    <s v="BARGEOT LUCAS"/>
    <n v="10"/>
    <x v="3"/>
    <x v="0"/>
    <s v="PLAQUETTES"/>
    <s v="330x14"/>
    <n v="87"/>
  </r>
  <r>
    <d v="2025-08-30T02:32:30"/>
    <x v="3"/>
    <s v="Plaquettes de finition positives"/>
    <s v="j529800"/>
    <s v="MONTCHARMONT BAPTISTE"/>
    <n v="10"/>
    <x v="3"/>
    <x v="0"/>
    <s v="PLAQUETTES"/>
    <s v="330x14"/>
    <n v="87"/>
  </r>
  <r>
    <d v="2025-08-30T11:25:38"/>
    <x v="3"/>
    <s v="Plaquettes de finition positives"/>
    <s v="U080365"/>
    <s v="ALAVOINE SAMUEL"/>
    <n v="10"/>
    <x v="3"/>
    <x v="0"/>
    <s v="PLAQUETTES"/>
    <s v="330x14"/>
    <n v="87"/>
  </r>
  <r>
    <d v="2025-09-01T03:14:31"/>
    <x v="3"/>
    <s v="Plaquettes de finition positives"/>
    <s v="U080365"/>
    <s v="ALAVOINE SAMUEL"/>
    <n v="10"/>
    <x v="3"/>
    <x v="0"/>
    <s v="PLAQUETTES"/>
    <s v="330x14"/>
    <n v="87"/>
  </r>
  <r>
    <d v="2025-09-01T06:41:21"/>
    <x v="3"/>
    <s v="Plaquettes de finition positives"/>
    <s v="J609988"/>
    <s v="AMALRIC VINCENT"/>
    <n v="10"/>
    <x v="3"/>
    <x v="0"/>
    <s v="PLAQUETTES"/>
    <s v="330x14"/>
    <n v="87"/>
  </r>
  <r>
    <d v="2025-09-02T09:15:17"/>
    <x v="3"/>
    <s v="Plaquettes de finition positives"/>
    <s v="040725"/>
    <s v="BARGEOT LUCAS"/>
    <n v="10"/>
    <x v="3"/>
    <x v="0"/>
    <s v="PLAQUETTES"/>
    <s v="330x14"/>
    <n v="87"/>
  </r>
  <r>
    <d v="2025-09-02T21:20:45"/>
    <x v="3"/>
    <s v="Plaquettes de finition positives"/>
    <s v="j529800"/>
    <s v="MONTCHARMONT BAPTISTE"/>
    <n v="10"/>
    <x v="3"/>
    <x v="0"/>
    <s v="PLAQUETTES"/>
    <s v="330x14"/>
    <n v="87"/>
  </r>
  <r>
    <d v="2025-09-03T06:25:10"/>
    <x v="3"/>
    <s v="Plaquettes de finition positives"/>
    <s v="040725"/>
    <s v="BARGEOT LUCAS"/>
    <n v="10"/>
    <x v="3"/>
    <x v="0"/>
    <s v="PLAQUETTES"/>
    <s v="330x14"/>
    <n v="87"/>
  </r>
  <r>
    <d v="2025-09-04T03:31:46"/>
    <x v="3"/>
    <s v="Plaquettes de finition positives"/>
    <s v="j529800"/>
    <s v="MONTCHARMONT BAPTISTE"/>
    <n v="10"/>
    <x v="3"/>
    <x v="0"/>
    <s v="PLAQUETTES"/>
    <s v="330x14"/>
    <n v="87"/>
  </r>
  <r>
    <d v="2025-09-08T23:24:22"/>
    <x v="3"/>
    <s v="Plaquettes de finition positives"/>
    <s v="j529800"/>
    <s v="MONTCHARMONT BAPTISTE"/>
    <n v="10"/>
    <x v="3"/>
    <x v="0"/>
    <s v="PLAQUETTES"/>
    <s v="330x14"/>
    <n v="87"/>
  </r>
  <r>
    <d v="2025-09-09T13:41:01"/>
    <x v="3"/>
    <s v="Plaquettes de finition positives"/>
    <s v="040725"/>
    <s v="BARGEOT LUCAS"/>
    <n v="10"/>
    <x v="3"/>
    <x v="0"/>
    <s v="PLAQUETTES"/>
    <s v="330x14"/>
    <n v="87"/>
  </r>
  <r>
    <d v="2025-09-09T21:40:50"/>
    <x v="3"/>
    <s v="Plaquettes de finition positives"/>
    <s v="j529800"/>
    <s v="MONTCHARMONT BAPTISTE"/>
    <n v="10"/>
    <x v="3"/>
    <x v="0"/>
    <s v="PLAQUETTES"/>
    <s v="330x14"/>
    <n v="87"/>
  </r>
  <r>
    <d v="2025-09-10T16:13:53"/>
    <x v="3"/>
    <s v="Plaquettes de finition positives"/>
    <s v="040725"/>
    <s v="BARGEOT LUCAS"/>
    <n v="10"/>
    <x v="3"/>
    <x v="0"/>
    <s v="PLAQUETTES"/>
    <s v="330x14"/>
    <n v="87"/>
  </r>
  <r>
    <d v="2025-09-11T02:24:03"/>
    <x v="3"/>
    <s v="Plaquettes de finition positives"/>
    <s v="j529800"/>
    <s v="MONTCHARMONT BAPTISTE"/>
    <n v="10"/>
    <x v="3"/>
    <x v="0"/>
    <s v="PLAQUETTES"/>
    <s v="330x14"/>
    <n v="87"/>
  </r>
  <r>
    <d v="2025-09-11T13:46:29"/>
    <x v="3"/>
    <s v="Plaquettes de finition positives"/>
    <s v="040725"/>
    <s v="BARGEOT LUCAS"/>
    <n v="10"/>
    <x v="0"/>
    <x v="0"/>
    <s v="PLAQUETTES"/>
    <s v="330x14"/>
    <n v="87"/>
  </r>
  <r>
    <d v="2025-09-12T00:04:16"/>
    <x v="3"/>
    <s v="Plaquettes de finition positives"/>
    <s v="j529800"/>
    <s v="MONTCHARMONT BAPTISTE"/>
    <n v="10"/>
    <x v="3"/>
    <x v="0"/>
    <s v="PLAQUETTES"/>
    <s v="330x14"/>
    <n v="87"/>
  </r>
  <r>
    <d v="2025-09-12T13:10:04"/>
    <x v="3"/>
    <s v="Plaquettes de finition positives"/>
    <s v="040725"/>
    <s v="BARGEOT LUCAS"/>
    <n v="10"/>
    <x v="3"/>
    <x v="0"/>
    <s v="PLAQUETTES"/>
    <s v="330x14"/>
    <n v="87"/>
  </r>
  <r>
    <d v="2025-09-12T21:17:35"/>
    <x v="3"/>
    <s v="Plaquettes de finition positives"/>
    <s v="j529800"/>
    <s v="MONTCHARMONT BAPTISTE"/>
    <n v="10"/>
    <x v="3"/>
    <x v="0"/>
    <s v="PLAQUETTES"/>
    <s v="330x14"/>
    <n v="87"/>
  </r>
  <r>
    <d v="2025-09-13T08:44:50"/>
    <x v="3"/>
    <s v="Plaquettes de finition positives"/>
    <s v="U109136"/>
    <s v="WIPLIE FREDERIC"/>
    <n v="10"/>
    <x v="3"/>
    <x v="0"/>
    <s v="PLAQUETTES"/>
    <s v="290x12"/>
    <n v="87"/>
  </r>
  <r>
    <d v="2025-09-15T00:38:06"/>
    <x v="3"/>
    <s v="Plaquettes de finition positives"/>
    <s v="U109136"/>
    <s v="WIPLIE FREDERIC"/>
    <n v="10"/>
    <x v="3"/>
    <x v="0"/>
    <s v="PLAQUETTES"/>
    <s v="330x14"/>
    <n v="87"/>
  </r>
  <r>
    <d v="2025-09-15T21:19:35"/>
    <x v="3"/>
    <s v="Plaquettes de finition positives"/>
    <s v="j529800"/>
    <s v="MONTCHARMONT BAPTISTE"/>
    <n v="10"/>
    <x v="3"/>
    <x v="0"/>
    <s v="PLAQUETTES"/>
    <s v="290x12"/>
    <n v="87"/>
  </r>
  <r>
    <d v="2025-09-16T17:43:12"/>
    <x v="3"/>
    <s v="Plaquettes de finition positives"/>
    <s v="101224"/>
    <s v="CHAZEAU KYLIAN"/>
    <n v="10"/>
    <x v="3"/>
    <x v="0"/>
    <s v="PLAQUETTES"/>
    <s v="290x12"/>
    <n v="87"/>
  </r>
  <r>
    <d v="2025-09-17T19:16:38"/>
    <x v="3"/>
    <s v="Plaquettes de finition positives"/>
    <s v="101224"/>
    <s v="CHAZEAU KYLIAN"/>
    <n v="10"/>
    <x v="3"/>
    <x v="0"/>
    <s v="PLAQUETTES"/>
    <s v="290x12"/>
    <n v="87"/>
  </r>
  <r>
    <d v="2025-09-17T21:11:46"/>
    <x v="3"/>
    <s v="Plaquettes de finition positives"/>
    <s v="j529800"/>
    <s v="MONTCHARMONT BAPTISTE"/>
    <n v="10"/>
    <x v="3"/>
    <x v="0"/>
    <s v="PLAQUETTES"/>
    <s v="290x12"/>
    <n v="87"/>
  </r>
  <r>
    <d v="2025-09-18T05:30:35"/>
    <x v="3"/>
    <s v="Plaquettes de finition positives"/>
    <s v="040725"/>
    <s v="BARGEOT LUCAS"/>
    <n v="10"/>
    <x v="3"/>
    <x v="0"/>
    <s v="PLAQUETTES"/>
    <s v="290x12"/>
    <n v="87"/>
  </r>
  <r>
    <d v="2025-09-18T05:31:06"/>
    <x v="3"/>
    <s v="Plaquettes de finition positives"/>
    <s v="040725"/>
    <s v="BARGEOT LUCAS"/>
    <n v="10"/>
    <x v="3"/>
    <x v="0"/>
    <s v="PLAQUETTES"/>
    <s v="290x12"/>
    <n v="87"/>
  </r>
  <r>
    <d v="2025-09-19T17:33:01"/>
    <x v="3"/>
    <s v="Plaquettes de finition positives"/>
    <s v="101224"/>
    <s v="CHAZEAU KYLIAN"/>
    <n v="10"/>
    <x v="3"/>
    <x v="0"/>
    <s v="PLAQUETTES"/>
    <s v="290x12"/>
    <n v="87"/>
  </r>
  <r>
    <d v="2025-09-21T20:13:43"/>
    <x v="3"/>
    <s v="Plaquettes de finition positives"/>
    <s v="150725"/>
    <s v="ADOUL WASSIM"/>
    <n v="10"/>
    <x v="3"/>
    <x v="0"/>
    <s v="PLAQUETTES"/>
    <s v="290x12"/>
    <n v="87"/>
  </r>
  <r>
    <d v="2025-09-22T16:55:35"/>
    <x v="3"/>
    <s v="Plaquettes de finition positives"/>
    <s v="040725"/>
    <s v="BARGEOT LUCAS"/>
    <n v="10"/>
    <x v="3"/>
    <x v="0"/>
    <s v="PLAQUETTES"/>
    <s v="290x12"/>
    <n v="87"/>
  </r>
  <r>
    <d v="2025-09-23T05:04:33"/>
    <x v="3"/>
    <s v="Plaquettes de finition positives"/>
    <s v="101224"/>
    <s v="CHAZEAU KYLIAN"/>
    <n v="10"/>
    <x v="3"/>
    <x v="0"/>
    <s v="PLAQUETTES"/>
    <s v="290x12"/>
    <n v="87"/>
  </r>
  <r>
    <d v="2025-09-24T03:22:18"/>
    <x v="3"/>
    <s v="Plaquettes de finition positives"/>
    <s v="j529800"/>
    <s v="MONTCHARMONT BAPTISTE"/>
    <n v="10"/>
    <x v="0"/>
    <x v="0"/>
    <s v="PLAQUETTES"/>
    <s v="290x12"/>
    <n v="87"/>
  </r>
  <r>
    <d v="2025-09-27T09:42:28"/>
    <x v="3"/>
    <s v="Plaquettes de finition positives"/>
    <s v="U109136"/>
    <s v="WIPLIE FREDERIC"/>
    <n v="10"/>
    <x v="3"/>
    <x v="0"/>
    <s v="PLAQUETTES"/>
    <s v="330x14"/>
    <n v="87"/>
  </r>
  <r>
    <d v="2025-09-29T05:28:20"/>
    <x v="3"/>
    <s v="Plaquettes de finition positives"/>
    <s v="SD75051"/>
    <s v="COMBALUZIER LUCAS"/>
    <n v="10"/>
    <x v="3"/>
    <x v="0"/>
    <s v="PLAQUETTES"/>
    <s v="330x14"/>
    <n v="87"/>
  </r>
  <r>
    <d v="2025-09-29T21:22:51"/>
    <x v="3"/>
    <s v="Plaquettes de finition positives"/>
    <s v="j529800"/>
    <s v="MONTCHARMONT BAPTISTE"/>
    <n v="10"/>
    <x v="3"/>
    <x v="0"/>
    <s v="PLAQUETTES"/>
    <s v="330x14"/>
    <n v="87"/>
  </r>
  <r>
    <d v="2025-09-29T21:23:09"/>
    <x v="3"/>
    <s v="Plaquettes de finition positives"/>
    <s v="j529800"/>
    <s v="MONTCHARMONT BAPTISTE"/>
    <n v="10"/>
    <x v="3"/>
    <x v="0"/>
    <s v="PLAQUETTES"/>
    <s v="330x14"/>
    <n v="87"/>
  </r>
  <r>
    <d v="2025-09-30T19:44:00"/>
    <x v="3"/>
    <s v="Plaquettes de finition positives"/>
    <s v="101224"/>
    <s v="CHAZEAU KYLIAN"/>
    <n v="10"/>
    <x v="3"/>
    <x v="0"/>
    <s v="PLAQUETTES"/>
    <s v="330x14"/>
    <n v="87"/>
  </r>
  <r>
    <d v="2025-09-30T21:25:44"/>
    <x v="3"/>
    <s v="Plaquettes de finition positives"/>
    <s v="j529800"/>
    <s v="MONTCHARMONT BAPTISTE"/>
    <n v="10"/>
    <x v="3"/>
    <x v="0"/>
    <s v="PLAQUETTES"/>
    <s v="330x14"/>
    <n v="87"/>
  </r>
  <r>
    <d v="2025-10-01T22:21:40"/>
    <x v="3"/>
    <s v="Plaquettes de finition positives"/>
    <s v="j529800"/>
    <s v="MONTCHARMONT BAPTISTE"/>
    <n v="10"/>
    <x v="3"/>
    <x v="0"/>
    <s v="PLAQUETTES"/>
    <s v="330x14"/>
    <n v="87"/>
  </r>
  <r>
    <d v="2025-10-02T07:54:29"/>
    <x v="3"/>
    <s v="Plaquettes de finition positives"/>
    <s v="040725"/>
    <s v="BARGEOT LUCAS"/>
    <n v="10"/>
    <x v="3"/>
    <x v="0"/>
    <s v="PLAQUETTES"/>
    <s v="330x14"/>
    <n v="87"/>
  </r>
  <r>
    <d v="2025-10-02T21:46:16"/>
    <x v="3"/>
    <s v="Plaquettes de finition positives"/>
    <s v="j529800"/>
    <s v="MONTCHARMONT BAPTISTE"/>
    <n v="10"/>
    <x v="3"/>
    <x v="0"/>
    <s v="PLAQUETTES"/>
    <s v="330x14"/>
    <n v="87"/>
  </r>
  <r>
    <d v="2025-10-03T15:07:40"/>
    <x v="3"/>
    <s v="Plaquettes de finition positives"/>
    <s v="101224"/>
    <s v="CHAZEAU KYLIAN"/>
    <n v="10"/>
    <x v="3"/>
    <x v="0"/>
    <s v="PLAQUETTES"/>
    <s v="330x14"/>
    <n v="87"/>
  </r>
  <r>
    <d v="2025-10-08T01:07:44"/>
    <x v="3"/>
    <s v="Plaquettes de finition positives"/>
    <s v="j529800"/>
    <s v="MONTCHARMONT BAPTISTE"/>
    <n v="10"/>
    <x v="3"/>
    <x v="0"/>
    <s v="PLAQUETTES"/>
    <s v="330x14"/>
    <n v="87"/>
  </r>
  <r>
    <d v="2025-10-13T21:31:52"/>
    <x v="3"/>
    <s v="Plaquettes de finition positives"/>
    <s v="130325"/>
    <s v="PAPONNEAU JULIEN"/>
    <n v="10"/>
    <x v="0"/>
    <x v="0"/>
    <s v="PLAQUETTES"/>
    <s v="290x12"/>
    <n v="87"/>
  </r>
  <r>
    <d v="2025-10-20T07:44:42"/>
    <x v="3"/>
    <s v="Plaquettes de finition positives"/>
    <s v="101224"/>
    <s v="CHAZEAU KYLIAN"/>
    <n v="10"/>
    <x v="3"/>
    <x v="0"/>
    <s v="PLAQUETTES"/>
    <s v="330x14"/>
    <n v="87"/>
  </r>
  <r>
    <d v="2025-10-20T21:18:53"/>
    <x v="3"/>
    <s v="Plaquettes de finition positives"/>
    <s v="j529800"/>
    <s v="MONTCHARMONT BAPTISTE"/>
    <n v="10"/>
    <x v="3"/>
    <x v="0"/>
    <s v="PLAQUETTES"/>
    <s v="330x14"/>
    <n v="87"/>
  </r>
  <r>
    <d v="2025-10-20T21:19:06"/>
    <x v="3"/>
    <s v="Plaquettes de finition positives"/>
    <s v="j529800"/>
    <s v="MONTCHARMONT BAPTISTE"/>
    <n v="10"/>
    <x v="0"/>
    <x v="0"/>
    <s v="PLAQUETTES"/>
    <s v="330x14"/>
    <n v="87"/>
  </r>
  <r>
    <d v="2025-10-21T10:20:52"/>
    <x v="3"/>
    <s v="Plaquettes de finition positives"/>
    <s v="101224"/>
    <s v="CHAZEAU KYLIAN"/>
    <n v="10"/>
    <x v="3"/>
    <x v="0"/>
    <s v="PLAQUETTES"/>
    <s v="330x14"/>
    <n v="87"/>
  </r>
  <r>
    <d v="2025-10-21T19:34:28"/>
    <x v="3"/>
    <s v="Plaquettes de finition positives"/>
    <s v="040725"/>
    <s v="BARGEOT LUCAS"/>
    <n v="10"/>
    <x v="3"/>
    <x v="0"/>
    <s v="PLAQUETTES"/>
    <s v="330x14"/>
    <n v="87"/>
  </r>
  <r>
    <d v="2025-10-22T15:49:30"/>
    <x v="3"/>
    <s v="Plaquettes de finition positives"/>
    <s v="040725"/>
    <s v="BARGEOT LUCAS"/>
    <n v="10"/>
    <x v="3"/>
    <x v="0"/>
    <s v="PLAQUETTES"/>
    <s v="330x14"/>
    <n v="87"/>
  </r>
  <r>
    <d v="2025-10-22T21:48:02"/>
    <x v="3"/>
    <s v="Plaquettes de finition positives"/>
    <s v="j529800"/>
    <s v="MONTCHARMONT BAPTISTE"/>
    <n v="10"/>
    <x v="3"/>
    <x v="0"/>
    <s v="PLAQUETTES"/>
    <s v="330x14"/>
    <n v="87"/>
  </r>
  <r>
    <d v="2025-10-23T03:27:52"/>
    <x v="3"/>
    <s v="Plaquettes de finition positives"/>
    <s v="j529800"/>
    <s v="MONTCHARMONT BAPTISTE"/>
    <n v="10"/>
    <x v="3"/>
    <x v="0"/>
    <s v="PLAQUETTES"/>
    <s v="330x14"/>
    <n v="87"/>
  </r>
  <r>
    <d v="2025-10-23T14:26:11"/>
    <x v="3"/>
    <s v="Plaquettes de finition positives"/>
    <s v="040725"/>
    <s v="BARGEOT LUCAS"/>
    <n v="10"/>
    <x v="3"/>
    <x v="0"/>
    <s v="PLAQUETTES"/>
    <s v="330x14"/>
    <n v="87"/>
  </r>
  <r>
    <d v="2025-11-04T21:20:44"/>
    <x v="3"/>
    <s v="Plaquettes de finition positives"/>
    <s v="j529800"/>
    <s v="MONTCHARMONT BAPTISTE"/>
    <n v="10"/>
    <x v="3"/>
    <x v="0"/>
    <s v="PLAQUETTES"/>
    <s v="330x14"/>
    <n v="87"/>
  </r>
  <r>
    <d v="2025-11-06T21:31:34"/>
    <x v="3"/>
    <s v="Plaquettes de finition positives"/>
    <s v="j529800"/>
    <s v="MONTCHARMONT BAPTISTE"/>
    <n v="10"/>
    <x v="3"/>
    <x v="0"/>
    <s v="PLAQUETTES"/>
    <s v="330x14"/>
    <n v="87"/>
  </r>
  <r>
    <d v="2025-11-07T01:50:47"/>
    <x v="3"/>
    <s v="Plaquettes de finition positives"/>
    <s v="j529800"/>
    <s v="MONTCHARMONT BAPTISTE"/>
    <n v="10"/>
    <x v="3"/>
    <x v="0"/>
    <s v="PLAQUETTES"/>
    <s v="330x14"/>
    <n v="87"/>
  </r>
  <r>
    <d v="2025-11-07T21:22:19"/>
    <x v="3"/>
    <s v="Plaquettes de finition positives"/>
    <s v="j529800"/>
    <s v="MONTCHARMONT BAPTISTE"/>
    <n v="10"/>
    <x v="3"/>
    <x v="0"/>
    <s v="PLAQUETTES"/>
    <s v="330x14"/>
    <n v="87"/>
  </r>
  <r>
    <d v="2025-11-08T11:16:23"/>
    <x v="3"/>
    <s v="Plaquettes de finition positives"/>
    <s v="DELIAT C"/>
    <s v="DELIAT CHRISTOPHE"/>
    <n v="10"/>
    <x v="3"/>
    <x v="0"/>
    <s v="PLAQUETTES"/>
    <s v="330x14"/>
    <n v="87"/>
  </r>
  <r>
    <d v="2025-11-09T04:08:00"/>
    <x v="3"/>
    <s v="Plaquettes de finition positives"/>
    <s v="150725"/>
    <s v="ADOUL WASSIM"/>
    <n v="10"/>
    <x v="3"/>
    <x v="0"/>
    <s v="PLAQUETTES"/>
    <s v="330x14"/>
    <n v="87"/>
  </r>
  <r>
    <d v="2025-11-09T06:56:42"/>
    <x v="3"/>
    <s v="Plaquettes de finition positives"/>
    <s v="U080365"/>
    <s v="ALAVOINE SAMUEL"/>
    <n v="10"/>
    <x v="3"/>
    <x v="0"/>
    <s v="PLAQUETTES"/>
    <s v="330x14"/>
    <n v="87"/>
  </r>
  <r>
    <d v="2025-11-10T05:41:00"/>
    <x v="3"/>
    <s v="Plaquettes de finition positives"/>
    <s v="040725"/>
    <s v="BARGEOT LUCAS"/>
    <n v="10"/>
    <x v="3"/>
    <x v="0"/>
    <s v="PLAQUETTES"/>
    <s v="330x14"/>
    <n v="87"/>
  </r>
  <r>
    <d v="2025-11-10T18:46:01"/>
    <x v="3"/>
    <s v="Plaquettes de finition positives"/>
    <s v="04551FC25C7780"/>
    <s v="CHEDRU VIANNEY"/>
    <n v="10"/>
    <x v="3"/>
    <x v="0"/>
    <s v="PLAQUETTES"/>
    <s v="330x14"/>
    <n v="87"/>
  </r>
  <r>
    <d v="2025-11-12T06:28:59"/>
    <x v="3"/>
    <s v="Plaquettes de finition positives"/>
    <s v="040725"/>
    <s v="BARGEOT LUCAS"/>
    <n v="10"/>
    <x v="3"/>
    <x v="0"/>
    <s v="PLAQUETTES"/>
    <s v="330x14"/>
    <n v="87"/>
  </r>
  <r>
    <d v="2025-11-18T15:38:08"/>
    <x v="3"/>
    <s v="Plaquettes de finition positives"/>
    <s v="040725"/>
    <s v="BARGEOT LUCAS"/>
    <n v="10"/>
    <x v="3"/>
    <x v="0"/>
    <s v="PLAQUETTES"/>
    <s v="330x14"/>
    <n v="87"/>
  </r>
  <r>
    <d v="2025-11-19T03:04:41"/>
    <x v="3"/>
    <s v="Plaquettes de finition positives"/>
    <s v="j529800"/>
    <s v="MONTCHARMONT BAPTISTE"/>
    <n v="10"/>
    <x v="3"/>
    <x v="0"/>
    <s v="PLAQUETTES"/>
    <s v="330x14"/>
    <n v="87"/>
  </r>
  <r>
    <d v="2025-11-19T08:40:35"/>
    <x v="3"/>
    <s v="Plaquettes de finition positives"/>
    <s v="12824586"/>
    <s v="DA SILVA FERNANDO"/>
    <n v="10"/>
    <x v="1"/>
    <x v="0"/>
    <s v="PLAQUETTES"/>
    <s v="TOUT DISQUES"/>
    <n v="87"/>
  </r>
  <r>
    <d v="2025-11-20T02:15:01"/>
    <x v="3"/>
    <s v="Plaquettes de finition positives"/>
    <s v="j529800"/>
    <s v="MONTCHARMONT BAPTISTE"/>
    <n v="10"/>
    <x v="3"/>
    <x v="0"/>
    <s v="PLAQUETTES"/>
    <s v="330x14"/>
    <n v="87"/>
  </r>
  <r>
    <d v="2025-11-20T12:47:41"/>
    <x v="3"/>
    <s v="Plaquettes de finition positives"/>
    <s v="04551FC25C7780"/>
    <s v="CHEDRU VIANNEY"/>
    <n v="10"/>
    <x v="3"/>
    <x v="0"/>
    <s v="PLAQUETTES"/>
    <s v="330x14"/>
    <n v="87"/>
  </r>
  <r>
    <d v="2025-12-09T14:36:37"/>
    <x v="3"/>
    <s v="Plaquettes de finition positives"/>
    <s v="04551FC25C7780"/>
    <s v="CHEDRU VIANNEY"/>
    <n v="10"/>
    <x v="3"/>
    <x v="0"/>
    <s v="PLAQUETTES"/>
    <s v="330x14"/>
    <n v="87"/>
  </r>
  <r>
    <d v="2025-12-09T23:53:42"/>
    <x v="3"/>
    <s v="Plaquettes de finition positives"/>
    <s v="j529800"/>
    <s v="MONTCHARMONT BAPTISTE"/>
    <n v="10"/>
    <x v="0"/>
    <x v="0"/>
    <s v="PLAQUETTES"/>
    <s v="330x14"/>
    <n v="87"/>
  </r>
  <r>
    <d v="2025-12-10T15:16:12"/>
    <x v="3"/>
    <s v="Plaquettes de finition positives"/>
    <s v="04551FC25C7780"/>
    <s v="CHEDRU VIANNEY"/>
    <n v="10"/>
    <x v="3"/>
    <x v="0"/>
    <s v="PLAQUETTES"/>
    <s v="330x14"/>
    <n v="87"/>
  </r>
  <r>
    <d v="2025-12-10T18:10:58"/>
    <x v="3"/>
    <s v="Plaquettes de finition positives"/>
    <s v="04551FC25C7780"/>
    <s v="CHEDRU VIANNEY"/>
    <n v="10"/>
    <x v="3"/>
    <x v="0"/>
    <s v="PLAQUETTES"/>
    <s v="330x14"/>
    <n v="87"/>
  </r>
  <r>
    <d v="2025-12-11T05:46:30"/>
    <x v="3"/>
    <s v="Plaquettes de finition positives"/>
    <s v="040725"/>
    <s v="BARGEOT LUCAS"/>
    <n v="10"/>
    <x v="3"/>
    <x v="0"/>
    <s v="PLAQUETTES"/>
    <s v="330x14"/>
    <n v="87"/>
  </r>
  <r>
    <d v="2025-12-16T22:50:44"/>
    <x v="3"/>
    <s v="Plaquettes de finition positives"/>
    <s v="j529800"/>
    <s v="MONTCHARMONT BAPTISTE"/>
    <n v="10"/>
    <x v="0"/>
    <x v="0"/>
    <s v="PLAQUETTES"/>
    <s v="330x14"/>
    <n v="87"/>
  </r>
  <r>
    <d v="2025-12-17T03:21:55"/>
    <x v="3"/>
    <s v="Plaquettes de finition positives"/>
    <s v="j529800"/>
    <s v="MONTCHARMONT BAPTISTE"/>
    <n v="10"/>
    <x v="0"/>
    <x v="0"/>
    <s v="PLAQUETTES"/>
    <s v="330x14"/>
    <n v="87"/>
  </r>
  <r>
    <d v="2025-12-17T21:15:45"/>
    <x v="3"/>
    <s v="Plaquettes de finition positives"/>
    <s v="j529800"/>
    <s v="MONTCHARMONT BAPTISTE"/>
    <n v="10"/>
    <x v="0"/>
    <x v="0"/>
    <s v="PLAQUETTES"/>
    <s v="330x14"/>
    <n v="87"/>
  </r>
  <r>
    <d v="2025-12-18T14:29:10"/>
    <x v="3"/>
    <s v="Plaquettes de finition positives"/>
    <s v="040725"/>
    <s v="BARGEOT LUCAS"/>
    <n v="10"/>
    <x v="0"/>
    <x v="0"/>
    <s v="PLAQUETTES"/>
    <s v="330x14"/>
    <n v="87"/>
  </r>
  <r>
    <d v="2025-12-19T13:05:48"/>
    <x v="3"/>
    <s v="Plaquettes de finition positives"/>
    <s v="040725"/>
    <s v="BARGEOT LUCAS"/>
    <n v="10"/>
    <x v="0"/>
    <x v="0"/>
    <s v="PLAQUETTES"/>
    <s v="330x14"/>
    <n v="87"/>
  </r>
  <r>
    <d v="2025-12-20T04:10:31"/>
    <x v="3"/>
    <s v="Plaquettes de finition positives"/>
    <s v="j529800"/>
    <s v="MONTCHARMONT BAPTISTE"/>
    <n v="10"/>
    <x v="0"/>
    <x v="0"/>
    <s v="PLAQUETTES"/>
    <s v="330x14"/>
    <n v="87"/>
  </r>
  <r>
    <d v="2025-12-20T18:08:55"/>
    <x v="3"/>
    <s v="Plaquettes de finition positives"/>
    <s v="150725"/>
    <s v="ADOUL WASSIM"/>
    <n v="10"/>
    <x v="0"/>
    <x v="0"/>
    <s v="PLAQUETTES"/>
    <s v="330x14"/>
    <n v="87"/>
  </r>
  <r>
    <d v="2025-12-21T08:33:35"/>
    <x v="3"/>
    <s v="Plaquettes de finition positives"/>
    <s v="U080365"/>
    <s v="ALAVOINE SAMUEL"/>
    <n v="10"/>
    <x v="0"/>
    <x v="0"/>
    <s v="PLAQUETTES"/>
    <s v="330x14"/>
    <n v="87"/>
  </r>
  <r>
    <d v="2025-12-22T06:11:49"/>
    <x v="3"/>
    <s v="Plaquettes de finition positives"/>
    <s v="040725"/>
    <s v="BARGEOT LUCAS"/>
    <n v="10"/>
    <x v="0"/>
    <x v="0"/>
    <s v="PLAQUETTES"/>
    <s v="330x14"/>
    <n v="87"/>
  </r>
  <r>
    <d v="2025-12-22T21:30:22"/>
    <x v="3"/>
    <s v="Plaquettes de finition positives"/>
    <s v="j529800"/>
    <s v="MONTCHARMONT BAPTISTE"/>
    <n v="10"/>
    <x v="0"/>
    <x v="0"/>
    <s v="PLAQUETTES"/>
    <s v="330x14"/>
    <n v="87"/>
  </r>
  <r>
    <d v="2025-12-23T05:55:22"/>
    <x v="3"/>
    <s v="Plaquettes de finition positives"/>
    <s v="040725"/>
    <s v="BARGEOT LUCAS"/>
    <n v="10"/>
    <x v="0"/>
    <x v="0"/>
    <s v="PLAQUETTES"/>
    <s v="330x14"/>
    <n v="87"/>
  </r>
  <r>
    <d v="2025-01-05T19:55:20"/>
    <x v="4"/>
    <s v="Plaquettes de finition triangulaires"/>
    <s v="U080365"/>
    <s v="ALAVOINE SAMUEL"/>
    <n v="20"/>
    <x v="0"/>
    <x v="0"/>
    <s v="PLAQUETTES"/>
    <s v="290x12"/>
    <n v="237.4"/>
  </r>
  <r>
    <d v="2025-01-05T19:55:46"/>
    <x v="5"/>
    <s v="Plaquettes de finition triangulaires"/>
    <s v="U080365"/>
    <s v="ALAVOINE SAMUEL"/>
    <n v="20"/>
    <x v="0"/>
    <x v="0"/>
    <s v="PLAQUETTES"/>
    <s v="330x14"/>
    <n v="277.60000000000002"/>
  </r>
  <r>
    <d v="2025-01-09T13:30:25"/>
    <x v="4"/>
    <s v="Plaquettes de finition triangulaires"/>
    <s v="SE08251"/>
    <s v="FAYET AYMERIC"/>
    <n v="20"/>
    <x v="0"/>
    <x v="0"/>
    <s v="PLAQUETTES"/>
    <s v="290x12"/>
    <n v="237.4"/>
  </r>
  <r>
    <d v="2025-01-16T00:07:13"/>
    <x v="4"/>
    <s v="Plaquettes de finition triangulaires"/>
    <s v="101224"/>
    <s v="CHAZEAU KYLIAN"/>
    <n v="20"/>
    <x v="0"/>
    <x v="0"/>
    <s v="PLAQUETTES"/>
    <s v="290x12"/>
    <n v="237.4"/>
  </r>
  <r>
    <d v="2025-01-16T09:32:47"/>
    <x v="5"/>
    <s v="Plaquettes de finition triangulaires"/>
    <s v="SE08251"/>
    <s v="FAYET AYMERIC"/>
    <n v="10"/>
    <x v="3"/>
    <x v="0"/>
    <s v="PLAQUETTES"/>
    <s v="290x12"/>
    <n v="138.80000000000001"/>
  </r>
  <r>
    <d v="2025-01-16T23:25:18"/>
    <x v="5"/>
    <s v="Plaquettes de finition triangulaires"/>
    <s v="101224"/>
    <s v="CHAZEAU KYLIAN"/>
    <n v="10"/>
    <x v="3"/>
    <x v="0"/>
    <s v="PLAQUETTES"/>
    <s v="290x12"/>
    <n v="138.80000000000001"/>
  </r>
  <r>
    <d v="2025-01-20T15:09:17"/>
    <x v="5"/>
    <s v="Plaquettes de finition triangulaires"/>
    <s v="101224"/>
    <s v="CHAZEAU KYLIAN"/>
    <n v="10"/>
    <x v="0"/>
    <x v="0"/>
    <s v="PLAQUETTES"/>
    <s v="290x12"/>
    <n v="138.80000000000001"/>
  </r>
  <r>
    <d v="2025-01-20T15:09:38"/>
    <x v="4"/>
    <s v="Plaquettes de finition triangulaires"/>
    <s v="101224"/>
    <s v="CHAZEAU KYLIAN"/>
    <n v="10"/>
    <x v="0"/>
    <x v="0"/>
    <s v="PLAQUETTES"/>
    <s v="290x12"/>
    <n v="118.7"/>
  </r>
  <r>
    <d v="2025-01-20T23:42:16"/>
    <x v="4"/>
    <s v="Plaquettes de finition triangulaires"/>
    <s v="3224"/>
    <s v="BIDOT MURIEL"/>
    <n v="10"/>
    <x v="0"/>
    <x v="0"/>
    <s v="PLAQUETTES"/>
    <s v="290x12"/>
    <n v="118.7"/>
  </r>
  <r>
    <d v="2025-01-20T23:42:38"/>
    <x v="5"/>
    <s v="Plaquettes de finition triangulaires"/>
    <s v="3224"/>
    <s v="BIDOT MURIEL"/>
    <n v="10"/>
    <x v="3"/>
    <x v="0"/>
    <s v="PLAQUETTES"/>
    <s v="290x12"/>
    <n v="138.80000000000001"/>
  </r>
  <r>
    <d v="2025-01-22T13:15:20"/>
    <x v="4"/>
    <s v="Plaquettes de finition triangulaires"/>
    <s v="130124"/>
    <s v="MOHAMED ILDIRAY"/>
    <n v="10"/>
    <x v="1"/>
    <x v="0"/>
    <s v="PLAQUETTES"/>
    <s v="304x28 RPE"/>
    <n v="118.7"/>
  </r>
  <r>
    <d v="2025-01-25T05:41:24"/>
    <x v="4"/>
    <s v="Plaquettes de finition triangulaires"/>
    <s v="U080365"/>
    <s v="ALAVOINE SAMUEL"/>
    <n v="10"/>
    <x v="0"/>
    <x v="0"/>
    <s v="PLAQUETTES"/>
    <s v="290x12"/>
    <n v="118.7"/>
  </r>
  <r>
    <d v="2025-01-25T05:41:51"/>
    <x v="5"/>
    <s v="Plaquettes de finition triangulaires"/>
    <s v="U080365"/>
    <s v="ALAVOINE SAMUEL"/>
    <n v="10"/>
    <x v="3"/>
    <x v="0"/>
    <s v="PLAQUETTES"/>
    <s v="290x12"/>
    <n v="138.80000000000001"/>
  </r>
  <r>
    <d v="2025-01-28T05:09:04"/>
    <x v="5"/>
    <s v="Plaquettes de finition triangulaires"/>
    <s v="101224"/>
    <s v="CHAZEAU KYLIAN"/>
    <n v="10"/>
    <x v="3"/>
    <x v="0"/>
    <s v="PLAQUETTES"/>
    <s v="290x12"/>
    <n v="138.80000000000001"/>
  </r>
  <r>
    <d v="2025-01-28T05:09:33"/>
    <x v="4"/>
    <s v="Plaquettes de finition triangulaires"/>
    <s v="101224"/>
    <s v="CHAZEAU KYLIAN"/>
    <n v="10"/>
    <x v="3"/>
    <x v="0"/>
    <s v="PLAQUETTES"/>
    <s v="290x12"/>
    <n v="118.7"/>
  </r>
  <r>
    <d v="2025-01-28T05:12:42"/>
    <x v="5"/>
    <s v="Plaquettes de finition triangulaires"/>
    <s v="101224"/>
    <s v="CHAZEAU KYLIAN"/>
    <n v="10"/>
    <x v="3"/>
    <x v="0"/>
    <s v="PLAQUETTES"/>
    <s v="290x12"/>
    <n v="138.80000000000001"/>
  </r>
  <r>
    <d v="2025-01-29T19:52:17"/>
    <x v="4"/>
    <s v="Plaquettes de finition triangulaires"/>
    <s v="SE08251"/>
    <s v="FAYET AYMERIC"/>
    <n v="10"/>
    <x v="0"/>
    <x v="0"/>
    <s v="PLAQUETTES"/>
    <s v="290x12"/>
    <n v="118.7"/>
  </r>
  <r>
    <d v="2025-01-31T07:53:51"/>
    <x v="5"/>
    <s v="Plaquettes de finition triangulaires"/>
    <s v="U080365"/>
    <s v="ALAVOINE SAMUEL"/>
    <n v="10"/>
    <x v="3"/>
    <x v="0"/>
    <s v="PLAQUETTES"/>
    <s v="290x12"/>
    <n v="138.80000000000001"/>
  </r>
  <r>
    <d v="2025-01-31T13:55:16"/>
    <x v="4"/>
    <s v="Plaquettes de finition triangulaires"/>
    <s v="3224"/>
    <s v="BIDOT MURIEL"/>
    <n v="10"/>
    <x v="1"/>
    <x v="0"/>
    <s v="PLAQUETTES"/>
    <s v="356x26 RPI"/>
    <n v="118.7"/>
  </r>
  <r>
    <d v="2025-01-31T13:55:50"/>
    <x v="4"/>
    <s v="Plaquettes de finition triangulaires"/>
    <s v="3224"/>
    <s v="BIDOT MURIEL"/>
    <n v="10"/>
    <x v="1"/>
    <x v="0"/>
    <s v="PLAQUETTES"/>
    <s v="356x26 RPI"/>
    <n v="118.7"/>
  </r>
  <r>
    <d v="2025-01-31T13:56:21"/>
    <x v="4"/>
    <s v="Plaquettes de finition triangulaires"/>
    <s v="3224"/>
    <s v="BIDOT MURIEL"/>
    <n v="-10"/>
    <x v="1"/>
    <x v="0"/>
    <s v="PLAQUETTES"/>
    <s v="356x26 RPI"/>
    <n v="-118.7"/>
  </r>
  <r>
    <d v="2025-02-03T05:53:10"/>
    <x v="4"/>
    <s v="Plaquettes de finition triangulaires"/>
    <s v="3224"/>
    <s v="BIDOT MURIEL"/>
    <n v="10"/>
    <x v="0"/>
    <x v="0"/>
    <s v="PLAQUETTES"/>
    <s v="290x12"/>
    <n v="118.7"/>
  </r>
  <r>
    <d v="2025-02-03T23:04:50"/>
    <x v="5"/>
    <s v="Plaquettes de finition triangulaires"/>
    <s v="130124"/>
    <s v="MOHAMED ILDIRAY"/>
    <n v="20"/>
    <x v="0"/>
    <x v="0"/>
    <s v="PLAQUETTES"/>
    <s v="330x14"/>
    <n v="277.60000000000002"/>
  </r>
  <r>
    <d v="2025-02-04T05:19:39"/>
    <x v="4"/>
    <s v="Plaquettes de finition triangulaires"/>
    <s v="U532976"/>
    <s v="LEFORT XAVIER"/>
    <n v="10"/>
    <x v="2"/>
    <x v="3"/>
    <s v="PLAQUETTES"/>
    <s v="302x26 RPI"/>
    <n v="118.7"/>
  </r>
  <r>
    <d v="2025-02-04T20:16:11"/>
    <x v="4"/>
    <s v="Plaquettes de finition triangulaires"/>
    <s v="SC95213"/>
    <s v="RABET PAULINE"/>
    <n v="10"/>
    <x v="1"/>
    <x v="0"/>
    <s v="PLAQUETTES"/>
    <s v="356x26 RPI"/>
    <n v="118.7"/>
  </r>
  <r>
    <d v="2025-02-06T13:41:06"/>
    <x v="4"/>
    <s v="Plaquettes de finition triangulaires"/>
    <s v="7236310"/>
    <s v="BRANDALY JEREMY"/>
    <n v="10"/>
    <x v="0"/>
    <x v="0"/>
    <s v="PLAQUETTES"/>
    <s v="330x14"/>
    <n v="118.7"/>
  </r>
  <r>
    <d v="2025-02-06T22:23:18"/>
    <x v="5"/>
    <s v="Plaquettes de finition triangulaires"/>
    <s v="101224"/>
    <s v="CHAZEAU KYLIAN"/>
    <n v="10"/>
    <x v="3"/>
    <x v="0"/>
    <s v="PLAQUETTES"/>
    <s v="290x12"/>
    <n v="138.80000000000001"/>
  </r>
  <r>
    <d v="2025-02-06T22:23:38"/>
    <x v="4"/>
    <s v="Plaquettes de finition triangulaires"/>
    <s v="101224"/>
    <s v="CHAZEAU KYLIAN"/>
    <n v="10"/>
    <x v="3"/>
    <x v="0"/>
    <s v="PLAQUETTES"/>
    <s v="290x12"/>
    <n v="118.7"/>
  </r>
  <r>
    <d v="2025-02-08T14:23:36"/>
    <x v="4"/>
    <s v="Plaquettes de finition triangulaires"/>
    <s v="U080365"/>
    <s v="ALAVOINE SAMUEL"/>
    <n v="10"/>
    <x v="1"/>
    <x v="0"/>
    <s v="PLAQUETTES"/>
    <s v="356x26 RPI"/>
    <n v="118.7"/>
  </r>
  <r>
    <d v="2025-02-09T09:14:20"/>
    <x v="5"/>
    <s v="Plaquettes de finition triangulaires"/>
    <s v="SC95213"/>
    <s v="RABET PAULINE"/>
    <n v="10"/>
    <x v="0"/>
    <x v="0"/>
    <s v="PLAQUETTES"/>
    <s v="290x12"/>
    <n v="138.80000000000001"/>
  </r>
  <r>
    <d v="2025-02-10T10:42:30"/>
    <x v="4"/>
    <s v="Plaquettes de finition triangulaires"/>
    <s v="7236310"/>
    <s v="BRANDALY JEREMY"/>
    <n v="10"/>
    <x v="0"/>
    <x v="0"/>
    <s v="PLAQUETTES"/>
    <s v="290x12"/>
    <n v="118.7"/>
  </r>
  <r>
    <d v="2025-02-10T22:56:33"/>
    <x v="5"/>
    <s v="Plaquettes de finition triangulaires"/>
    <s v="SE08251"/>
    <s v="FAYET AYMERIC"/>
    <n v="10"/>
    <x v="3"/>
    <x v="0"/>
    <s v="PLAQUETTES"/>
    <s v="290x12"/>
    <n v="138.80000000000001"/>
  </r>
  <r>
    <d v="2025-02-10T22:56:56"/>
    <x v="4"/>
    <s v="Plaquettes de finition triangulaires"/>
    <s v="SE08251"/>
    <s v="FAYET AYMERIC"/>
    <n v="10"/>
    <x v="3"/>
    <x v="0"/>
    <s v="PLAQUETTES"/>
    <s v="290x12"/>
    <n v="118.7"/>
  </r>
  <r>
    <d v="2025-02-11T19:53:04"/>
    <x v="4"/>
    <s v="Plaquettes de finition triangulaires"/>
    <s v="130124"/>
    <s v="MOHAMED ILDIRAY"/>
    <n v="10"/>
    <x v="1"/>
    <x v="0"/>
    <s v="PLAQUETTES"/>
    <s v="356x26 RPI"/>
    <n v="118.7"/>
  </r>
  <r>
    <d v="2025-02-13T22:31:22"/>
    <x v="5"/>
    <s v="Plaquettes de finition triangulaires"/>
    <s v="SE08251"/>
    <s v="FAYET AYMERIC"/>
    <n v="10"/>
    <x v="0"/>
    <x v="0"/>
    <s v="PLAQUETTES"/>
    <s v="330x14"/>
    <n v="138.80000000000001"/>
  </r>
  <r>
    <d v="2025-02-13T22:31:44"/>
    <x v="4"/>
    <s v="Plaquettes de finition triangulaires"/>
    <s v="SE08251"/>
    <s v="FAYET AYMERIC"/>
    <n v="10"/>
    <x v="0"/>
    <x v="0"/>
    <s v="PLAQUETTES"/>
    <s v="330x14"/>
    <n v="118.7"/>
  </r>
  <r>
    <d v="2025-02-16T23:47:00"/>
    <x v="4"/>
    <s v="Plaquettes de finition triangulaires"/>
    <s v="U109136"/>
    <s v="WIPLIE FREDERIC"/>
    <n v="10"/>
    <x v="1"/>
    <x v="0"/>
    <s v="PLAQUETTES"/>
    <s v="304x28 RPE"/>
    <n v="118.7"/>
  </r>
  <r>
    <d v="2025-02-17T11:34:45"/>
    <x v="5"/>
    <s v="Plaquettes de finition triangulaires"/>
    <s v="101224"/>
    <s v="CHAZEAU KYLIAN"/>
    <n v="10"/>
    <x v="3"/>
    <x v="0"/>
    <s v="PLAQUETTES"/>
    <s v="290x12"/>
    <n v="138.80000000000001"/>
  </r>
  <r>
    <d v="2025-02-17T11:35:04"/>
    <x v="4"/>
    <s v="Plaquettes de finition triangulaires"/>
    <s v="101224"/>
    <s v="CHAZEAU KYLIAN"/>
    <n v="10"/>
    <x v="3"/>
    <x v="0"/>
    <s v="PLAQUETTES"/>
    <s v="290x12"/>
    <n v="118.7"/>
  </r>
  <r>
    <d v="2025-02-18T05:14:51"/>
    <x v="5"/>
    <s v="Plaquettes de finition triangulaires"/>
    <s v="101224"/>
    <s v="CHAZEAU KYLIAN"/>
    <n v="10"/>
    <x v="3"/>
    <x v="0"/>
    <s v="PLAQUETTES"/>
    <s v="290x12"/>
    <n v="138.80000000000001"/>
  </r>
  <r>
    <d v="2025-02-19T08:20:49"/>
    <x v="5"/>
    <s v="Plaquettes de finition triangulaires"/>
    <s v="101224"/>
    <s v="CHAZEAU KYLIAN"/>
    <n v="10"/>
    <x v="3"/>
    <x v="0"/>
    <s v="PLAQUETTES"/>
    <s v="290x12"/>
    <n v="138.80000000000001"/>
  </r>
  <r>
    <d v="2025-02-19T16:13:14"/>
    <x v="4"/>
    <s v="Plaquettes de finition triangulaires"/>
    <s v="280225"/>
    <s v="FERNANDES DOS SANTOS REMY"/>
    <n v="10"/>
    <x v="1"/>
    <x v="0"/>
    <s v="PLAQUETTES"/>
    <s v="304x28 RPE"/>
    <n v="118.7"/>
  </r>
  <r>
    <d v="2025-02-21T13:16:47"/>
    <x v="4"/>
    <s v="Plaquettes de finition triangulaires"/>
    <s v="130124"/>
    <s v="MOHAMED ILDIRAY"/>
    <n v="10"/>
    <x v="1"/>
    <x v="0"/>
    <s v="PLAQUETTES"/>
    <s v="304x28 RPE"/>
    <n v="118.7"/>
  </r>
  <r>
    <d v="2025-02-21T14:09:20"/>
    <x v="5"/>
    <s v="Plaquettes de finition triangulaires"/>
    <s v="280225"/>
    <s v="FERNANDES DOS SANTOS REMY"/>
    <n v="10"/>
    <x v="3"/>
    <x v="0"/>
    <s v="PLAQUETTES"/>
    <s v="290x12"/>
    <n v="138.80000000000001"/>
  </r>
  <r>
    <d v="2025-02-21T14:09:47"/>
    <x v="4"/>
    <s v="Plaquettes de finition triangulaires"/>
    <s v="280225"/>
    <s v="FERNANDES DOS SANTOS REMY"/>
    <n v="10"/>
    <x v="0"/>
    <x v="0"/>
    <s v="PLAQUETTES"/>
    <s v="330x14"/>
    <n v="118.7"/>
  </r>
  <r>
    <d v="2025-02-22T05:25:32"/>
    <x v="5"/>
    <s v="Plaquettes de finition triangulaires"/>
    <s v="U109136"/>
    <s v="WIPLIE FREDERIC"/>
    <n v="10"/>
    <x v="3"/>
    <x v="0"/>
    <s v="PLAQUETTES"/>
    <s v="290x12"/>
    <n v="138.80000000000001"/>
  </r>
  <r>
    <d v="2025-02-24T06:16:12"/>
    <x v="4"/>
    <s v="Plaquettes de finition triangulaires"/>
    <s v="280225"/>
    <s v="FERNANDES DOS SANTOS REMY"/>
    <n v="10"/>
    <x v="3"/>
    <x v="0"/>
    <s v="PLAQUETTES"/>
    <s v="330x28 RPE KO"/>
    <n v="118.7"/>
  </r>
  <r>
    <d v="2025-02-24T21:08:21"/>
    <x v="4"/>
    <s v="Plaquettes de finition triangulaires"/>
    <s v="130124"/>
    <s v="MOHAMED ILDIRAY"/>
    <n v="10"/>
    <x v="1"/>
    <x v="0"/>
    <s v="PLAQUETTES"/>
    <s v="304x28 RPE"/>
    <n v="118.7"/>
  </r>
  <r>
    <d v="2025-02-26T05:49:49"/>
    <x v="4"/>
    <s v="Plaquettes de finition triangulaires"/>
    <s v="SE08251"/>
    <s v="FAYET AYMERIC"/>
    <n v="10"/>
    <x v="3"/>
    <x v="0"/>
    <s v="PLAQUETTES"/>
    <s v="290x12"/>
    <n v="118.7"/>
  </r>
  <r>
    <d v="2025-02-27T06:02:33"/>
    <x v="4"/>
    <s v="Plaquettes de finition triangulaires"/>
    <s v="280225"/>
    <s v="FERNANDES DOS SANTOS REMY"/>
    <n v="10"/>
    <x v="1"/>
    <x v="0"/>
    <s v="PLAQUETTES"/>
    <s v="304x28 RPE"/>
    <n v="118.7"/>
  </r>
  <r>
    <d v="2025-03-03T07:20:36"/>
    <x v="4"/>
    <s v="Plaquettes de finition triangulaires"/>
    <s v="SD75051"/>
    <s v="COMBALUZIER LUCAS"/>
    <n v="10"/>
    <x v="1"/>
    <x v="0"/>
    <s v="PLAQUETTES"/>
    <s v="304x28 RPE"/>
    <n v="118.7"/>
  </r>
  <r>
    <d v="2025-03-03T13:07:10"/>
    <x v="4"/>
    <s v="Plaquettes de finition triangulaires"/>
    <s v="101224"/>
    <s v="CHAZEAU KYLIAN"/>
    <n v="10"/>
    <x v="3"/>
    <x v="0"/>
    <s v="PLAQUETTES"/>
    <s v="290x12"/>
    <n v="118.7"/>
  </r>
  <r>
    <d v="2025-03-03T13:08:06"/>
    <x v="4"/>
    <s v="Plaquettes de finition triangulaires"/>
    <s v="101224"/>
    <s v="CHAZEAU KYLIAN"/>
    <n v="10"/>
    <x v="0"/>
    <x v="0"/>
    <s v="PLAQUETTES"/>
    <s v="356x26 RPI"/>
    <n v="118.7"/>
  </r>
  <r>
    <d v="2025-03-05T00:34:55"/>
    <x v="5"/>
    <s v="Plaquettes de finition triangulaires"/>
    <s v="SE08251"/>
    <s v="FAYET AYMERIC"/>
    <n v="10"/>
    <x v="3"/>
    <x v="0"/>
    <s v="PLAQUETTES"/>
    <s v="290x12"/>
    <n v="138.80000000000001"/>
  </r>
  <r>
    <d v="2025-03-05T05:53:24"/>
    <x v="4"/>
    <s v="Plaquettes de finition triangulaires"/>
    <s v="130325"/>
    <s v="PAPONNEAU JULIEN"/>
    <n v="10"/>
    <x v="1"/>
    <x v="0"/>
    <s v="PLAQUETTES"/>
    <s v="304x28 RPE"/>
    <n v="118.7"/>
  </r>
  <r>
    <d v="2025-03-06T13:28:54"/>
    <x v="5"/>
    <s v="Plaquettes de finition triangulaires"/>
    <s v="101224"/>
    <s v="CHAZEAU KYLIAN"/>
    <n v="10"/>
    <x v="3"/>
    <x v="0"/>
    <s v="PLAQUETTES"/>
    <s v="290x12"/>
    <n v="138.80000000000001"/>
  </r>
  <r>
    <d v="2025-03-07T05:11:26"/>
    <x v="4"/>
    <s v="Plaquettes de finition triangulaires"/>
    <s v="J534699"/>
    <s v="FABIAN CHARTON"/>
    <n v="10"/>
    <x v="2"/>
    <x v="3"/>
    <s v="PLAQUETTES"/>
    <s v="302x26 RPI"/>
    <n v="118.7"/>
  </r>
  <r>
    <d v="2025-03-07T22:33:54"/>
    <x v="4"/>
    <s v="Plaquettes de finition triangulaires"/>
    <s v="SE08251"/>
    <s v="FAYET AYMERIC"/>
    <n v="10"/>
    <x v="0"/>
    <x v="0"/>
    <s v="PLAQUETTES"/>
    <s v="330x14"/>
    <n v="118.7"/>
  </r>
  <r>
    <d v="2025-03-07T22:34:11"/>
    <x v="4"/>
    <s v="Plaquettes de finition triangulaires"/>
    <s v="SE08251"/>
    <s v="FAYET AYMERIC"/>
    <n v="10"/>
    <x v="3"/>
    <x v="0"/>
    <s v="PLAQUETTES"/>
    <s v="290x12"/>
    <n v="118.7"/>
  </r>
  <r>
    <d v="2025-03-07T22:34:32"/>
    <x v="5"/>
    <s v="Plaquettes de finition triangulaires"/>
    <s v="SE08251"/>
    <s v="FAYET AYMERIC"/>
    <n v="10"/>
    <x v="3"/>
    <x v="0"/>
    <s v="PLAQUETTES"/>
    <s v="290x12"/>
    <n v="138.80000000000001"/>
  </r>
  <r>
    <d v="2025-03-10T17:15:13"/>
    <x v="4"/>
    <s v="Plaquettes de finition triangulaires"/>
    <s v="280225"/>
    <s v="FERNANDES DOS SANTOS REMY"/>
    <n v="10"/>
    <x v="1"/>
    <x v="0"/>
    <s v="PLAQUETTES"/>
    <s v="304x28 RPE"/>
    <n v="118.7"/>
  </r>
  <r>
    <d v="2025-03-12T05:16:49"/>
    <x v="5"/>
    <s v="Plaquettes de finition triangulaires"/>
    <s v="101224"/>
    <s v="CHAZEAU KYLIAN"/>
    <n v="10"/>
    <x v="3"/>
    <x v="0"/>
    <s v="PLAQUETTES"/>
    <s v="290x12"/>
    <n v="138.80000000000001"/>
  </r>
  <r>
    <d v="2025-03-12T05:17:07"/>
    <x v="5"/>
    <s v="Plaquettes de finition triangulaires"/>
    <s v="101224"/>
    <s v="CHAZEAU KYLIAN"/>
    <n v="10"/>
    <x v="0"/>
    <x v="0"/>
    <s v="PLAQUETTES"/>
    <s v="330x14"/>
    <n v="138.80000000000001"/>
  </r>
  <r>
    <d v="2025-03-12T05:17:24"/>
    <x v="4"/>
    <s v="Plaquettes de finition triangulaires"/>
    <s v="101224"/>
    <s v="CHAZEAU KYLIAN"/>
    <n v="10"/>
    <x v="0"/>
    <x v="0"/>
    <s v="PLAQUETTES"/>
    <s v="330x14"/>
    <n v="118.7"/>
  </r>
  <r>
    <d v="2025-03-12T14:35:39"/>
    <x v="4"/>
    <s v="Plaquettes de finition triangulaires"/>
    <s v="280225"/>
    <s v="FERNANDES DOS SANTOS REMY"/>
    <n v="10"/>
    <x v="1"/>
    <x v="0"/>
    <s v="PLAQUETTES"/>
    <s v="304x28 RPE"/>
    <n v="118.7"/>
  </r>
  <r>
    <d v="2025-03-14T17:08:46"/>
    <x v="4"/>
    <s v="Plaquettes de finition triangulaires"/>
    <s v="SE08251"/>
    <s v="FAYET AYMERIC"/>
    <n v="10"/>
    <x v="3"/>
    <x v="0"/>
    <s v="PLAQUETTES"/>
    <s v="290x12"/>
    <n v="118.7"/>
  </r>
  <r>
    <d v="2025-03-16T18:05:02"/>
    <x v="4"/>
    <s v="Plaquettes de finition triangulaires"/>
    <s v="1234"/>
    <s v=" "/>
    <n v="10"/>
    <x v="1"/>
    <x v="0"/>
    <s v="PLAQUETTES"/>
    <s v="304x28 RPE"/>
    <n v="118.7"/>
  </r>
  <r>
    <d v="2025-03-18T08:15:09"/>
    <x v="4"/>
    <s v="Plaquettes de finition triangulaires"/>
    <s v="SE08251"/>
    <s v="FAYET AYMERIC"/>
    <n v="10"/>
    <x v="0"/>
    <x v="0"/>
    <s v="PLAQUETTES"/>
    <s v="356x26 RPI"/>
    <n v="118.7"/>
  </r>
  <r>
    <d v="2025-03-18T22:03:23"/>
    <x v="5"/>
    <s v="Plaquettes de finition triangulaires"/>
    <s v="101224"/>
    <s v="CHAZEAU KYLIAN"/>
    <n v="10"/>
    <x v="3"/>
    <x v="0"/>
    <s v="PLAQUETTES"/>
    <s v="290x12"/>
    <n v="138.80000000000001"/>
  </r>
  <r>
    <d v="2025-03-19T21:49:02"/>
    <x v="5"/>
    <s v="Plaquettes de finition triangulaires"/>
    <s v="101224"/>
    <s v="CHAZEAU KYLIAN"/>
    <n v="10"/>
    <x v="3"/>
    <x v="0"/>
    <s v="PLAQUETTES"/>
    <s v="290x12"/>
    <n v="138.80000000000001"/>
  </r>
  <r>
    <d v="2025-03-19T22:57:53"/>
    <x v="4"/>
    <s v="Plaquettes de finition triangulaires"/>
    <s v="101224"/>
    <s v="CHAZEAU KYLIAN"/>
    <n v="10"/>
    <x v="3"/>
    <x v="0"/>
    <s v="PLAQUETTES"/>
    <s v="290x12"/>
    <n v="118.7"/>
  </r>
  <r>
    <d v="2025-03-20T09:10:52"/>
    <x v="4"/>
    <s v="Plaquettes de finition triangulaires"/>
    <s v="280225"/>
    <s v="FERNANDES DOS SANTOS REMY"/>
    <n v="10"/>
    <x v="1"/>
    <x v="0"/>
    <s v="PLAQUETTES"/>
    <s v="304x28 RPE"/>
    <n v="118.7"/>
  </r>
  <r>
    <d v="2025-03-21T13:13:00"/>
    <x v="4"/>
    <s v="Plaquettes de finition triangulaires"/>
    <s v="130325"/>
    <s v="PAPONNEAU JULIEN"/>
    <n v="10"/>
    <x v="1"/>
    <x v="0"/>
    <s v="PLAQUETTES"/>
    <s v="304x28 RPE"/>
    <n v="118.7"/>
  </r>
  <r>
    <d v="2025-03-21T14:32:09"/>
    <x v="4"/>
    <s v="Plaquettes de finition triangulaires"/>
    <s v="7236310"/>
    <s v="BRANDALY JEREMY"/>
    <n v="10"/>
    <x v="3"/>
    <x v="0"/>
    <s v="PLAQUETTES"/>
    <s v="290x12"/>
    <n v="118.7"/>
  </r>
  <r>
    <d v="2025-03-24T13:27:05"/>
    <x v="5"/>
    <s v="Plaquettes de finition triangulaires"/>
    <s v="101224"/>
    <s v="CHAZEAU KYLIAN"/>
    <n v="10"/>
    <x v="0"/>
    <x v="0"/>
    <s v="PLAQUETTES"/>
    <s v="330x14"/>
    <n v="138.80000000000001"/>
  </r>
  <r>
    <d v="2025-03-26T06:32:34"/>
    <x v="4"/>
    <s v="Plaquettes de finition triangulaires"/>
    <s v="130325"/>
    <s v="PAPONNEAU JULIEN"/>
    <n v="10"/>
    <x v="1"/>
    <x v="0"/>
    <s v="PLAQUETTES"/>
    <s v="304x28 RPE"/>
    <n v="118.7"/>
  </r>
  <r>
    <d v="2025-03-26T14:08:09"/>
    <x v="4"/>
    <s v="Plaquettes de finition triangulaires"/>
    <s v="101224"/>
    <s v="CHAZEAU KYLIAN"/>
    <n v="10"/>
    <x v="3"/>
    <x v="0"/>
    <s v="PLAQUETTES"/>
    <s v="290x12"/>
    <n v="118.7"/>
  </r>
  <r>
    <d v="2025-03-26T14:08:32"/>
    <x v="5"/>
    <s v="Plaquettes de finition triangulaires"/>
    <s v="101224"/>
    <s v="CHAZEAU KYLIAN"/>
    <n v="10"/>
    <x v="3"/>
    <x v="0"/>
    <s v="PLAQUETTES"/>
    <s v="290x12"/>
    <n v="138.80000000000001"/>
  </r>
  <r>
    <d v="2025-03-27T13:14:32"/>
    <x v="4"/>
    <s v="Plaquettes de finition triangulaires"/>
    <s v="130124"/>
    <s v="MOHAMED ILDIRAY"/>
    <n v="10"/>
    <x v="1"/>
    <x v="0"/>
    <s v="PLAQUETTES"/>
    <s v="304x28 RPE"/>
    <n v="118.7"/>
  </r>
  <r>
    <d v="2025-03-28T22:08:05"/>
    <x v="4"/>
    <s v="Plaquettes de finition triangulaires"/>
    <s v="11737592"/>
    <s v="BLOCQUET DAVID"/>
    <n v="10"/>
    <x v="2"/>
    <x v="3"/>
    <s v="PLAQUETTES"/>
    <s v="302x26 RPI"/>
    <n v="118.7"/>
  </r>
  <r>
    <d v="2025-03-30T21:10:50"/>
    <x v="4"/>
    <s v="Plaquettes de finition triangulaires"/>
    <s v="U515988"/>
    <s v="BLAHA"/>
    <n v="10"/>
    <x v="1"/>
    <x v="0"/>
    <s v="PLAQUETTES"/>
    <s v="304x28 RPE"/>
    <n v="118.7"/>
  </r>
  <r>
    <d v="2025-03-31T07:28:55"/>
    <x v="5"/>
    <s v="Plaquettes de finition triangulaires"/>
    <s v="U505000"/>
    <s v="RECEVEUR BENOIT"/>
    <n v="10"/>
    <x v="3"/>
    <x v="0"/>
    <s v="PLAQUETTES"/>
    <s v="290x12"/>
    <n v="138.80000000000001"/>
  </r>
  <r>
    <d v="2025-03-31T07:29:14"/>
    <x v="4"/>
    <s v="Plaquettes de finition triangulaires"/>
    <s v="U505000"/>
    <s v="RECEVEUR BENOIT"/>
    <n v="10"/>
    <x v="3"/>
    <x v="0"/>
    <s v="PLAQUETTES"/>
    <s v="290x12"/>
    <n v="118.7"/>
  </r>
  <r>
    <d v="2025-03-31T13:28:13"/>
    <x v="4"/>
    <s v="Plaquettes de finition triangulaires"/>
    <s v="SE08251"/>
    <s v="FAYET AYMERIC"/>
    <n v="10"/>
    <x v="0"/>
    <x v="0"/>
    <s v="PLAQUETTES"/>
    <s v="356x26 RPI"/>
    <n v="118.7"/>
  </r>
  <r>
    <d v="2025-03-31T23:32:25"/>
    <x v="4"/>
    <s v="Plaquettes de finition triangulaires"/>
    <s v="130325"/>
    <s v="PAPONNEAU JULIEN"/>
    <n v="10"/>
    <x v="1"/>
    <x v="0"/>
    <s v="PLAQUETTES"/>
    <s v="304x28 RPE"/>
    <n v="118.7"/>
  </r>
  <r>
    <d v="2025-04-01T05:33:33"/>
    <x v="4"/>
    <s v="Plaquettes de finition triangulaires"/>
    <s v="130124"/>
    <s v="MOHAMED ILDIRAY"/>
    <n v="10"/>
    <x v="1"/>
    <x v="0"/>
    <s v="PLAQUETTES"/>
    <s v="304x28 RPE"/>
    <n v="118.7"/>
  </r>
  <r>
    <d v="2025-04-01T13:37:46"/>
    <x v="5"/>
    <s v="Plaquettes de finition triangulaires"/>
    <s v="SD88834"/>
    <s v="PEJOUX MELANIE"/>
    <n v="10"/>
    <x v="0"/>
    <x v="0"/>
    <s v="PLAQUETTES"/>
    <s v="330x14"/>
    <n v="138.80000000000001"/>
  </r>
  <r>
    <d v="2025-04-07T05:21:15"/>
    <x v="4"/>
    <s v="Plaquettes de finition triangulaires"/>
    <s v="SE08251"/>
    <s v="FAYET AYMERIC"/>
    <n v="1"/>
    <x v="0"/>
    <x v="0"/>
    <s v="PLAQUETTES"/>
    <s v="330x14"/>
    <n v="11.87"/>
  </r>
  <r>
    <d v="2025-04-07T05:21:42"/>
    <x v="4"/>
    <s v="Plaquettes de finition triangulaires"/>
    <s v="SE08251"/>
    <s v="FAYET AYMERIC"/>
    <n v="1"/>
    <x v="3"/>
    <x v="0"/>
    <s v="PLAQUETTES"/>
    <s v="290x12"/>
    <n v="11.87"/>
  </r>
  <r>
    <d v="2025-04-07T05:22:28"/>
    <x v="5"/>
    <s v="Plaquettes de finition triangulaires"/>
    <s v="SE08251"/>
    <s v="FAYET AYMERIC"/>
    <n v="1"/>
    <x v="3"/>
    <x v="0"/>
    <s v="PLAQUETTES"/>
    <s v="290x12"/>
    <n v="13.88"/>
  </r>
  <r>
    <d v="2025-04-07T05:22:50"/>
    <x v="5"/>
    <s v="Plaquettes de finition triangulaires"/>
    <s v="SE08251"/>
    <s v="FAYET AYMERIC"/>
    <n v="1"/>
    <x v="0"/>
    <x v="0"/>
    <s v="PLAQUETTES"/>
    <s v="330x14"/>
    <n v="13.88"/>
  </r>
  <r>
    <d v="2025-04-07T21:19:29"/>
    <x v="4"/>
    <s v="Plaquettes de finition triangulaires"/>
    <s v="130124"/>
    <s v="MOHAMED ILDIRAY"/>
    <n v="10"/>
    <x v="1"/>
    <x v="0"/>
    <s v="PLAQUETTES"/>
    <s v="304x28 RPE"/>
    <n v="118.7"/>
  </r>
  <r>
    <d v="2025-04-10T21:54:09"/>
    <x v="4"/>
    <s v="Plaquettes de finition triangulaires"/>
    <s v="130124"/>
    <s v="MOHAMED ILDIRAY"/>
    <n v="10"/>
    <x v="1"/>
    <x v="0"/>
    <s v="PLAQUETTES"/>
    <s v="304x28 RPE"/>
    <n v="118.7"/>
  </r>
  <r>
    <d v="2025-04-12T08:58:03"/>
    <x v="4"/>
    <s v="Plaquettes de finition triangulaires"/>
    <s v="150725"/>
    <s v="ADOUL WASSIM"/>
    <n v="10"/>
    <x v="1"/>
    <x v="0"/>
    <s v="PLAQUETTES"/>
    <s v="304x28 RPE"/>
    <n v="118.7"/>
  </r>
  <r>
    <d v="2025-04-13T23:32:41"/>
    <x v="4"/>
    <s v="Plaquettes de finition triangulaires"/>
    <s v="U109136"/>
    <s v="WIPLIE FREDERIC"/>
    <n v="10"/>
    <x v="1"/>
    <x v="0"/>
    <s v="PLAQUETTES"/>
    <s v="356x26 RPI"/>
    <n v="118.7"/>
  </r>
  <r>
    <d v="2025-04-14T05:44:42"/>
    <x v="4"/>
    <s v="Plaquettes de finition triangulaires"/>
    <s v="SD75051"/>
    <s v="COMBALUZIER LUCAS"/>
    <n v="10"/>
    <x v="3"/>
    <x v="0"/>
    <s v="PLAQUETTES"/>
    <s v="290x12"/>
    <n v="118.7"/>
  </r>
  <r>
    <d v="2025-04-14T05:45:15"/>
    <x v="5"/>
    <s v="Plaquettes de finition triangulaires"/>
    <s v="SD75051"/>
    <s v="COMBALUZIER LUCAS"/>
    <n v="10"/>
    <x v="3"/>
    <x v="0"/>
    <s v="PLAQUETTES"/>
    <s v="290x12"/>
    <n v="138.80000000000001"/>
  </r>
  <r>
    <d v="2025-04-15T19:05:23"/>
    <x v="5"/>
    <s v="Plaquettes de finition triangulaires"/>
    <s v="101224"/>
    <s v="CHAZEAU KYLIAN"/>
    <n v="10"/>
    <x v="3"/>
    <x v="0"/>
    <s v="PLAQUETTES"/>
    <s v="290x12"/>
    <n v="138.80000000000001"/>
  </r>
  <r>
    <d v="2025-04-15T22:25:24"/>
    <x v="4"/>
    <s v="Plaquettes de finition triangulaires"/>
    <s v="j529800"/>
    <s v="MONTCHARMONT BAPTISTE"/>
    <n v="10"/>
    <x v="2"/>
    <x v="3"/>
    <s v="PLAQUETTES"/>
    <s v="302x26 RPI"/>
    <n v="118.7"/>
  </r>
  <r>
    <d v="2025-04-16T22:34:54"/>
    <x v="4"/>
    <s v="Plaquettes de finition triangulaires"/>
    <s v="280225"/>
    <s v="FERNANDES DOS SANTOS REMY"/>
    <n v="10"/>
    <x v="1"/>
    <x v="0"/>
    <s v="PLAQUETTES"/>
    <s v="356x26 RPI"/>
    <n v="118.7"/>
  </r>
  <r>
    <d v="2025-04-18T04:15:05"/>
    <x v="4"/>
    <s v="Plaquettes de finition triangulaires"/>
    <s v="SE08251"/>
    <s v="FAYET AYMERIC"/>
    <n v="10"/>
    <x v="0"/>
    <x v="0"/>
    <s v="PLAQUETTES"/>
    <s v="330x14"/>
    <n v="118.7"/>
  </r>
  <r>
    <d v="2025-04-18T04:15:28"/>
    <x v="4"/>
    <s v="Plaquettes de finition triangulaires"/>
    <s v="SE08251"/>
    <s v="FAYET AYMERIC"/>
    <n v="10"/>
    <x v="3"/>
    <x v="0"/>
    <s v="PLAQUETTES"/>
    <s v="290x12"/>
    <n v="118.7"/>
  </r>
  <r>
    <d v="2025-04-18T21:29:41"/>
    <x v="5"/>
    <s v="Plaquettes de finition triangulaires"/>
    <s v="SE08251"/>
    <s v="FAYET AYMERIC"/>
    <n v="10"/>
    <x v="0"/>
    <x v="0"/>
    <s v="PLAQUETTES"/>
    <s v="330x14"/>
    <n v="138.80000000000001"/>
  </r>
  <r>
    <d v="2025-04-19T02:28:28"/>
    <x v="4"/>
    <s v="Plaquettes de finition triangulaires"/>
    <s v="280225"/>
    <s v="FERNANDES DOS SANTOS REMY"/>
    <n v="10"/>
    <x v="1"/>
    <x v="0"/>
    <s v="PLAQUETTES"/>
    <s v="356x26 RPI"/>
    <n v="118.7"/>
  </r>
  <r>
    <d v="2025-04-22T05:53:50"/>
    <x v="4"/>
    <s v="Plaquettes de finition triangulaires"/>
    <s v="130124"/>
    <s v="MOHAMED ILDIRAY"/>
    <n v="10"/>
    <x v="1"/>
    <x v="0"/>
    <s v="PLAQUETTES"/>
    <s v="304x28 RPE"/>
    <n v="118.7"/>
  </r>
  <r>
    <d v="2025-04-22T14:29:10"/>
    <x v="4"/>
    <s v="Plaquettes de finition triangulaires"/>
    <s v="SE08251"/>
    <s v="FAYET AYMERIC"/>
    <n v="10"/>
    <x v="3"/>
    <x v="0"/>
    <s v="PLAQUETTES"/>
    <s v="290x12"/>
    <n v="118.7"/>
  </r>
  <r>
    <d v="2025-04-22T14:29:28"/>
    <x v="5"/>
    <s v="Plaquettes de finition triangulaires"/>
    <s v="SE08251"/>
    <s v="FAYET AYMERIC"/>
    <n v="10"/>
    <x v="3"/>
    <x v="0"/>
    <s v="PLAQUETTES"/>
    <s v="290x12"/>
    <n v="138.80000000000001"/>
  </r>
  <r>
    <d v="2025-04-23T06:09:13"/>
    <x v="5"/>
    <s v="Plaquettes de finition triangulaires"/>
    <s v="101224"/>
    <s v="CHAZEAU KYLIAN"/>
    <n v="10"/>
    <x v="0"/>
    <x v="0"/>
    <s v="PLAQUETTES"/>
    <s v="330x14"/>
    <n v="138.80000000000001"/>
  </r>
  <r>
    <d v="2025-04-23T06:09:27"/>
    <x v="4"/>
    <s v="Plaquettes de finition triangulaires"/>
    <s v="101224"/>
    <s v="CHAZEAU KYLIAN"/>
    <n v="10"/>
    <x v="0"/>
    <x v="0"/>
    <s v="PLAQUETTES"/>
    <s v="330x14"/>
    <n v="118.7"/>
  </r>
  <r>
    <d v="2025-04-23T15:04:33"/>
    <x v="4"/>
    <s v="Plaquettes de finition triangulaires"/>
    <s v="280225"/>
    <s v="FERNANDES DOS SANTOS REMY"/>
    <n v="10"/>
    <x v="1"/>
    <x v="0"/>
    <s v="PLAQUETTES"/>
    <s v="304x28 RPE"/>
    <n v="118.7"/>
  </r>
  <r>
    <d v="2025-04-24T04:43:39"/>
    <x v="4"/>
    <s v="Plaquettes de finition triangulaires"/>
    <s v="130325"/>
    <s v="PAPONNEAU JULIEN"/>
    <n v="10"/>
    <x v="1"/>
    <x v="0"/>
    <s v="PLAQUETTES"/>
    <s v="304x28 RPE"/>
    <n v="118.7"/>
  </r>
  <r>
    <d v="2025-04-25T13:14:05"/>
    <x v="4"/>
    <s v="Plaquettes de finition triangulaires"/>
    <s v="280225"/>
    <s v="FERNANDES DOS SANTOS REMY"/>
    <n v="10"/>
    <x v="1"/>
    <x v="0"/>
    <s v="PLAQUETTES"/>
    <s v="304x28 RPE"/>
    <n v="118.7"/>
  </r>
  <r>
    <d v="2025-04-28T05:17:04"/>
    <x v="4"/>
    <s v="Plaquettes de finition triangulaires"/>
    <s v="SE08251"/>
    <s v="FAYET AYMERIC"/>
    <n v="10"/>
    <x v="3"/>
    <x v="0"/>
    <s v="PLAQUETTES"/>
    <s v="290x12"/>
    <n v="118.7"/>
  </r>
  <r>
    <d v="2025-04-29T18:59:48"/>
    <x v="4"/>
    <s v="Plaquettes de finition triangulaires"/>
    <s v="130325"/>
    <s v="PAPONNEAU JULIEN"/>
    <n v="10"/>
    <x v="1"/>
    <x v="0"/>
    <s v="PLAQUETTES"/>
    <s v="304x28 RPE"/>
    <n v="118.7"/>
  </r>
  <r>
    <d v="2025-04-29T22:36:05"/>
    <x v="4"/>
    <s v="Plaquettes de finition triangulaires"/>
    <s v="130124"/>
    <s v="MOHAMED ILDIRAY"/>
    <n v="10"/>
    <x v="1"/>
    <x v="0"/>
    <s v="PLAQUETTES"/>
    <s v="304x28 RPE"/>
    <n v="118.7"/>
  </r>
  <r>
    <d v="2025-04-30T05:26:28"/>
    <x v="5"/>
    <s v="Plaquettes de finition triangulaires"/>
    <s v="SE08251"/>
    <s v="FAYET AYMERIC"/>
    <n v="10"/>
    <x v="0"/>
    <x v="0"/>
    <s v="PLAQUETTES"/>
    <s v="330x14"/>
    <n v="138.80000000000001"/>
  </r>
  <r>
    <d v="2025-04-30T05:26:43"/>
    <x v="4"/>
    <s v="Plaquettes de finition triangulaires"/>
    <s v="SE08251"/>
    <s v="FAYET AYMERIC"/>
    <n v="10"/>
    <x v="0"/>
    <x v="0"/>
    <s v="PLAQUETTES"/>
    <s v="330x14"/>
    <n v="118.7"/>
  </r>
  <r>
    <d v="2025-04-30T21:27:36"/>
    <x v="4"/>
    <s v="Plaquettes de finition triangulaires"/>
    <s v="130124"/>
    <s v="MOHAMED ILDIRAY"/>
    <n v="10"/>
    <x v="1"/>
    <x v="0"/>
    <s v="PLAQUETTES"/>
    <s v="304x28 RPE"/>
    <n v="118.7"/>
  </r>
  <r>
    <d v="2025-05-04T14:10:09"/>
    <x v="5"/>
    <s v="Plaquettes de finition triangulaires"/>
    <s v="U080365"/>
    <s v="ALAVOINE SAMUEL"/>
    <n v="10"/>
    <x v="3"/>
    <x v="0"/>
    <s v="PLAQUETTES"/>
    <s v="290x12"/>
    <n v="138.80000000000001"/>
  </r>
  <r>
    <d v="2025-05-04T14:11:32"/>
    <x v="4"/>
    <s v="Plaquettes de finition triangulaires"/>
    <s v="U080365"/>
    <s v="ALAVOINE SAMUEL"/>
    <n v="10"/>
    <x v="0"/>
    <x v="0"/>
    <s v="PLAQUETTES"/>
    <s v="330x14"/>
    <n v="118.7"/>
  </r>
  <r>
    <d v="2025-05-04T14:14:16"/>
    <x v="4"/>
    <s v="Plaquettes de finition triangulaires"/>
    <s v="U080365"/>
    <s v="ALAVOINE SAMUEL"/>
    <n v="10"/>
    <x v="3"/>
    <x v="0"/>
    <s v="PLAQUETTES"/>
    <s v="290x12"/>
    <n v="118.7"/>
  </r>
  <r>
    <d v="2025-05-05T13:21:07"/>
    <x v="4"/>
    <s v="Plaquettes de finition triangulaires"/>
    <s v="130124"/>
    <s v="MOHAMED ILDIRAY"/>
    <n v="10"/>
    <x v="1"/>
    <x v="0"/>
    <s v="PLAQUETTES"/>
    <s v="304x28 RPE"/>
    <n v="118.7"/>
  </r>
  <r>
    <d v="2025-05-05T22:14:33"/>
    <x v="5"/>
    <s v="Plaquettes de finition triangulaires"/>
    <s v="SE08251"/>
    <s v="FAYET AYMERIC"/>
    <n v="10"/>
    <x v="0"/>
    <x v="0"/>
    <s v="PLAQUETTES"/>
    <s v="330x14"/>
    <n v="138.80000000000001"/>
  </r>
  <r>
    <d v="2025-05-06T23:23:42"/>
    <x v="4"/>
    <s v="Plaquettes de finition triangulaires"/>
    <s v="280225"/>
    <s v="FERNANDES DOS SANTOS REMY"/>
    <n v="10"/>
    <x v="1"/>
    <x v="0"/>
    <s v="PLAQUETTES"/>
    <s v="356x26 RPI"/>
    <n v="118.7"/>
  </r>
  <r>
    <d v="2025-05-07T22:11:56"/>
    <x v="4"/>
    <s v="Plaquettes de finition triangulaires"/>
    <s v="SE08251"/>
    <s v="FAYET AYMERIC"/>
    <n v="10"/>
    <x v="0"/>
    <x v="0"/>
    <s v="PLAQUETTES"/>
    <s v="330x14"/>
    <n v="118.7"/>
  </r>
  <r>
    <d v="2025-05-08T10:53:16"/>
    <x v="4"/>
    <s v="Plaquettes de finition triangulaires"/>
    <s v="U080365"/>
    <s v="ALAVOINE SAMUEL"/>
    <n v="10"/>
    <x v="2"/>
    <x v="3"/>
    <s v="PLAQUETTES"/>
    <s v="302x26 RPI"/>
    <n v="118.7"/>
  </r>
  <r>
    <d v="2025-05-08T14:33:07"/>
    <x v="5"/>
    <s v="Plaquettes de finition triangulaires"/>
    <s v="130124"/>
    <s v="MOHAMED ILDIRAY"/>
    <n v="10"/>
    <x v="0"/>
    <x v="0"/>
    <s v="PLAQUETTES"/>
    <s v="330x14"/>
    <n v="138.80000000000001"/>
  </r>
  <r>
    <d v="2025-05-08T14:33:24"/>
    <x v="4"/>
    <s v="Plaquettes de finition triangulaires"/>
    <s v="130124"/>
    <s v="MOHAMED ILDIRAY"/>
    <n v="10"/>
    <x v="3"/>
    <x v="0"/>
    <s v="PLAQUETTES"/>
    <s v="290x12"/>
    <n v="118.7"/>
  </r>
  <r>
    <d v="2025-05-09T16:55:17"/>
    <x v="4"/>
    <s v="Plaquettes de finition triangulaires"/>
    <s v="130124"/>
    <s v="MOHAMED ILDIRAY"/>
    <n v="10"/>
    <x v="1"/>
    <x v="0"/>
    <s v="PLAQUETTES"/>
    <s v="304x28 RPE"/>
    <n v="118.7"/>
  </r>
  <r>
    <d v="2025-05-12T05:21:37"/>
    <x v="4"/>
    <s v="Plaquettes de finition triangulaires"/>
    <s v="130124"/>
    <s v="MOHAMED ILDIRAY"/>
    <n v="10"/>
    <x v="1"/>
    <x v="0"/>
    <s v="PLAQUETTES"/>
    <s v="304x28 RPE"/>
    <n v="118.7"/>
  </r>
  <r>
    <d v="2025-05-12T11:20:45"/>
    <x v="5"/>
    <s v="Plaquettes de finition triangulaires"/>
    <s v="101224"/>
    <s v="CHAZEAU KYLIAN"/>
    <n v="10"/>
    <x v="3"/>
    <x v="0"/>
    <s v="PLAQUETTES"/>
    <s v="290x12"/>
    <n v="138.80000000000001"/>
  </r>
  <r>
    <d v="2025-05-12T11:21:03"/>
    <x v="4"/>
    <s v="Plaquettes de finition triangulaires"/>
    <s v="101224"/>
    <s v="CHAZEAU KYLIAN"/>
    <n v="10"/>
    <x v="0"/>
    <x v="0"/>
    <s v="PLAQUETTES"/>
    <s v="330x14"/>
    <n v="118.7"/>
  </r>
  <r>
    <d v="2025-05-14T05:15:05"/>
    <x v="4"/>
    <s v="Plaquettes de finition triangulaires"/>
    <s v="130124"/>
    <s v="MOHAMED ILDIRAY"/>
    <n v="10"/>
    <x v="1"/>
    <x v="0"/>
    <s v="PLAQUETTES"/>
    <s v="304x28 RPE"/>
    <n v="118.7"/>
  </r>
  <r>
    <d v="2025-05-15T13:38:45"/>
    <x v="4"/>
    <s v="Plaquettes de finition triangulaires"/>
    <s v="SE08251"/>
    <s v="FAYET AYMERIC"/>
    <n v="10"/>
    <x v="3"/>
    <x v="0"/>
    <s v="PLAQUETTES"/>
    <s v="290x12"/>
    <n v="118.7"/>
  </r>
  <r>
    <d v="2025-05-16T15:35:22"/>
    <x v="4"/>
    <s v="Plaquettes de finition triangulaires"/>
    <s v="SE08251"/>
    <s v="FAYET AYMERIC"/>
    <n v="10"/>
    <x v="0"/>
    <x v="0"/>
    <s v="PLAQUETTES"/>
    <s v="356x26 RPI"/>
    <n v="118.7"/>
  </r>
  <r>
    <d v="2025-05-18T06:19:50"/>
    <x v="4"/>
    <s v="Plaquettes de finition triangulaires"/>
    <s v="U109136"/>
    <s v="WIPLIE FREDERIC"/>
    <n v="10"/>
    <x v="1"/>
    <x v="0"/>
    <s v="PLAQUETTES"/>
    <s v="304x28 RPE"/>
    <n v="118.7"/>
  </r>
  <r>
    <d v="2025-05-19T05:45:36"/>
    <x v="5"/>
    <s v="Plaquettes de finition triangulaires"/>
    <s v="SE08251"/>
    <s v="FAYET AYMERIC"/>
    <n v="10"/>
    <x v="0"/>
    <x v="0"/>
    <s v="PLAQUETTES"/>
    <s v="330x14"/>
    <n v="138.80000000000001"/>
  </r>
  <r>
    <d v="2025-05-19T05:46:41"/>
    <x v="4"/>
    <s v="Plaquettes de finition triangulaires"/>
    <s v="SE08251"/>
    <s v="FAYET AYMERIC"/>
    <n v="10"/>
    <x v="3"/>
    <x v="0"/>
    <s v="PLAQUETTES"/>
    <s v="290x12"/>
    <n v="118.7"/>
  </r>
  <r>
    <d v="2025-05-19T05:47:07"/>
    <x v="5"/>
    <s v="Plaquettes de finition triangulaires"/>
    <s v="SE08251"/>
    <s v="FAYET AYMERIC"/>
    <n v="10"/>
    <x v="3"/>
    <x v="0"/>
    <s v="PLAQUETTES"/>
    <s v="290x12"/>
    <n v="138.80000000000001"/>
  </r>
  <r>
    <d v="2025-05-20T02:17:50"/>
    <x v="4"/>
    <s v="Plaquettes de finition triangulaires"/>
    <s v="130124"/>
    <s v="MOHAMED ILDIRAY"/>
    <n v="10"/>
    <x v="1"/>
    <x v="0"/>
    <s v="PLAQUETTES"/>
    <s v="304x28 RPE"/>
    <n v="118.7"/>
  </r>
  <r>
    <d v="2025-05-20T08:05:59"/>
    <x v="4"/>
    <s v="Plaquettes de finition triangulaires"/>
    <s v="SE08251"/>
    <s v="FAYET AYMERIC"/>
    <n v="10"/>
    <x v="0"/>
    <x v="0"/>
    <s v="PLAQUETTES"/>
    <s v="330x14"/>
    <n v="118.7"/>
  </r>
  <r>
    <d v="2025-05-20T21:07:45"/>
    <x v="4"/>
    <s v="Plaquettes de finition triangulaires"/>
    <s v="101123"/>
    <s v="BRUNET ANDREA"/>
    <n v="10"/>
    <x v="2"/>
    <x v="3"/>
    <s v="PLAQUETTES"/>
    <s v="302x26 RPI"/>
    <n v="118.7"/>
  </r>
  <r>
    <d v="2025-05-23T13:13:56"/>
    <x v="4"/>
    <s v="Plaquettes de finition triangulaires"/>
    <s v="SD75051"/>
    <s v="COMBALUZIER LUCAS"/>
    <n v="10"/>
    <x v="0"/>
    <x v="0"/>
    <s v="PLAQUETTES"/>
    <s v="330x14"/>
    <n v="118.7"/>
  </r>
  <r>
    <d v="2025-05-25T17:49:47"/>
    <x v="4"/>
    <s v="Plaquettes de finition triangulaires"/>
    <s v="150725"/>
    <s v="ADOUL WASSIM"/>
    <n v="10"/>
    <x v="1"/>
    <x v="0"/>
    <s v="PLAQUETTES"/>
    <s v="356x26 RPI"/>
    <n v="118.7"/>
  </r>
  <r>
    <d v="2025-05-25T19:43:53"/>
    <x v="5"/>
    <s v="Plaquettes de finition triangulaires"/>
    <s v="U109136"/>
    <s v="WIPLIE FREDERIC"/>
    <n v="10"/>
    <x v="0"/>
    <x v="0"/>
    <s v="PLAQUETTES"/>
    <s v="290x12"/>
    <n v="138.80000000000001"/>
  </r>
  <r>
    <d v="2025-05-26T13:53:26"/>
    <x v="5"/>
    <s v="Plaquettes de finition triangulaires"/>
    <s v="101224"/>
    <s v="CHAZEAU KYLIAN"/>
    <n v="10"/>
    <x v="0"/>
    <x v="0"/>
    <s v="PLAQUETTES"/>
    <s v="330x14"/>
    <n v="138.80000000000001"/>
  </r>
  <r>
    <d v="2025-05-26T13:53:43"/>
    <x v="4"/>
    <s v="Plaquettes de finition triangulaires"/>
    <s v="101224"/>
    <s v="CHAZEAU KYLIAN"/>
    <n v="10"/>
    <x v="3"/>
    <x v="0"/>
    <s v="PLAQUETTES"/>
    <s v="290x12"/>
    <n v="118.7"/>
  </r>
  <r>
    <d v="2025-05-28T01:44:30"/>
    <x v="4"/>
    <s v="Plaquettes de finition triangulaires"/>
    <s v="280225"/>
    <s v="FERNANDES DOS SANTOS REMY"/>
    <n v="10"/>
    <x v="1"/>
    <x v="0"/>
    <s v="PLAQUETTES"/>
    <s v="304x28 RPE"/>
    <n v="118.7"/>
  </r>
  <r>
    <d v="2025-05-28T02:05:21"/>
    <x v="4"/>
    <s v="Plaquettes de finition triangulaires"/>
    <s v="SE08251"/>
    <s v="FAYET AYMERIC"/>
    <n v="10"/>
    <x v="0"/>
    <x v="0"/>
    <s v="PLAQUETTES"/>
    <s v="356x26 RPI"/>
    <n v="118.7"/>
  </r>
  <r>
    <d v="2025-05-28T03:53:17"/>
    <x v="4"/>
    <s v="Plaquettes de finition triangulaires"/>
    <s v="250425"/>
    <s v="CHANDAR ABDER"/>
    <n v="10"/>
    <x v="2"/>
    <x v="3"/>
    <s v="PLAQUETTES"/>
    <s v="302x26 RPI"/>
    <n v="118.7"/>
  </r>
  <r>
    <d v="2025-05-29T13:19:07"/>
    <x v="4"/>
    <s v="Plaquettes de finition triangulaires"/>
    <s v="130124"/>
    <s v="MOHAMED ILDIRAY"/>
    <n v="10"/>
    <x v="1"/>
    <x v="0"/>
    <s v="PLAQUETTES"/>
    <s v="304x28 RPE"/>
    <n v="118.7"/>
  </r>
  <r>
    <d v="2025-05-29T15:45:55"/>
    <x v="4"/>
    <s v="Plaquettes de finition triangulaires"/>
    <s v="SD13196"/>
    <s v="FRADIN MAXIME"/>
    <n v="10"/>
    <x v="0"/>
    <x v="0"/>
    <s v="PLAQUETTES"/>
    <s v="356x26 RPI"/>
    <n v="118.7"/>
  </r>
  <r>
    <d v="2025-05-29T21:26:03"/>
    <x v="4"/>
    <s v="Plaquettes de finition triangulaires"/>
    <s v="SE08251"/>
    <s v="FAYET AYMERIC"/>
    <n v="10"/>
    <x v="3"/>
    <x v="0"/>
    <s v="PLAQUETTES"/>
    <s v="290x12"/>
    <n v="118.7"/>
  </r>
  <r>
    <d v="2025-05-30T01:32:01"/>
    <x v="4"/>
    <s v="Plaquettes de finition triangulaires"/>
    <s v="280225"/>
    <s v="FERNANDES DOS SANTOS REMY"/>
    <n v="10"/>
    <x v="1"/>
    <x v="0"/>
    <s v="PLAQUETTES"/>
    <s v="304x28 RPE"/>
    <n v="118.7"/>
  </r>
  <r>
    <d v="2025-06-02T02:46:14"/>
    <x v="4"/>
    <s v="Plaquettes de finition triangulaires"/>
    <s v="U109136"/>
    <s v="WIPLIE FREDERIC"/>
    <n v="10"/>
    <x v="1"/>
    <x v="0"/>
    <s v="PLAQUETTES"/>
    <s v="304x28 RPE"/>
    <n v="118.7"/>
  </r>
  <r>
    <d v="2025-06-02T14:10:43"/>
    <x v="5"/>
    <s v="Plaquettes de finition triangulaires"/>
    <s v="SE08251"/>
    <s v="FAYET AYMERIC"/>
    <n v="10"/>
    <x v="3"/>
    <x v="0"/>
    <s v="PLAQUETTES"/>
    <s v="290x12"/>
    <n v="138.80000000000001"/>
  </r>
  <r>
    <d v="2025-06-02T15:17:50"/>
    <x v="4"/>
    <s v="Plaquettes de finition triangulaires"/>
    <s v="280225"/>
    <s v="FERNANDES DOS SANTOS REMY"/>
    <n v="10"/>
    <x v="1"/>
    <x v="0"/>
    <s v="PLAQUETTES"/>
    <s v="304x28 RPE"/>
    <n v="118.7"/>
  </r>
  <r>
    <d v="2025-06-02T16:22:35"/>
    <x v="4"/>
    <s v="Plaquettes de finition triangulaires"/>
    <s v="280225"/>
    <s v="FERNANDES DOS SANTOS REMY"/>
    <n v="10"/>
    <x v="1"/>
    <x v="0"/>
    <s v="PLAQUETTES"/>
    <s v="304x28 RPE"/>
    <n v="118.7"/>
  </r>
  <r>
    <d v="2025-06-03T13:26:56"/>
    <x v="4"/>
    <s v="Plaquettes de finition triangulaires"/>
    <s v="280225"/>
    <s v="FERNANDES DOS SANTOS REMY"/>
    <n v="10"/>
    <x v="1"/>
    <x v="0"/>
    <s v="PLAQUETTES"/>
    <s v="304x28 RPE"/>
    <n v="118.7"/>
  </r>
  <r>
    <d v="2025-06-04T13:52:57"/>
    <x v="4"/>
    <s v="Plaquettes de finition triangulaires"/>
    <s v="SE08251"/>
    <s v="FAYET AYMERIC"/>
    <n v="10"/>
    <x v="0"/>
    <x v="0"/>
    <s v="PLAQUETTES"/>
    <s v="330x14"/>
    <n v="118.7"/>
  </r>
  <r>
    <d v="2025-06-05T14:24:31"/>
    <x v="4"/>
    <s v="Plaquettes de finition triangulaires"/>
    <s v="SE08251"/>
    <s v="FAYET AYMERIC"/>
    <n v="10"/>
    <x v="3"/>
    <x v="0"/>
    <s v="PLAQUETTES"/>
    <s v="290x12"/>
    <n v="118.7"/>
  </r>
  <r>
    <d v="2025-06-05T14:24:43"/>
    <x v="5"/>
    <s v="Plaquettes de finition triangulaires"/>
    <s v="SE08251"/>
    <s v="FAYET AYMERIC"/>
    <n v="10"/>
    <x v="3"/>
    <x v="0"/>
    <s v="PLAQUETTES"/>
    <s v="290x12"/>
    <n v="138.80000000000001"/>
  </r>
  <r>
    <d v="2025-06-05T14:25:05"/>
    <x v="5"/>
    <s v="Plaquettes de finition triangulaires"/>
    <s v="SE08251"/>
    <s v="FAYET AYMERIC"/>
    <n v="10"/>
    <x v="0"/>
    <x v="0"/>
    <s v="PLAQUETTES"/>
    <s v="330x14"/>
    <n v="138.80000000000001"/>
  </r>
  <r>
    <d v="2025-06-07T17:00:44"/>
    <x v="4"/>
    <s v="Plaquettes de finition triangulaires"/>
    <s v="J534699"/>
    <s v="FABIAN CHARTON"/>
    <n v="10"/>
    <x v="2"/>
    <x v="3"/>
    <s v="PLAQUETTES"/>
    <s v="302x26 RPI"/>
    <n v="118.7"/>
  </r>
  <r>
    <d v="2025-06-08T17:35:47"/>
    <x v="4"/>
    <s v="Plaquettes de finition triangulaires"/>
    <s v="150725"/>
    <s v="ADOUL WASSIM"/>
    <n v="10"/>
    <x v="1"/>
    <x v="0"/>
    <s v="PLAQUETTES"/>
    <s v="356x26 RPI"/>
    <n v="118.7"/>
  </r>
  <r>
    <d v="2025-06-09T06:26:53"/>
    <x v="4"/>
    <s v="Plaquettes de finition triangulaires"/>
    <s v="SE08251"/>
    <s v="FAYET AYMERIC"/>
    <n v="10"/>
    <x v="0"/>
    <x v="0"/>
    <s v="PLAQUETTES"/>
    <s v="330x14"/>
    <n v="118.7"/>
  </r>
  <r>
    <d v="2025-06-12T07:05:11"/>
    <x v="4"/>
    <s v="Plaquettes de finition triangulaires"/>
    <s v="SE08251"/>
    <s v="FAYET AYMERIC"/>
    <n v="10"/>
    <x v="3"/>
    <x v="0"/>
    <s v="PLAQUETTES"/>
    <s v="330x28 RPE KO"/>
    <n v="118.7"/>
  </r>
  <r>
    <d v="2025-06-16T06:05:00"/>
    <x v="4"/>
    <s v="Plaquettes de finition triangulaires"/>
    <s v="SD75051"/>
    <s v="COMBALUZIER LUCAS"/>
    <n v="10"/>
    <x v="3"/>
    <x v="0"/>
    <s v="PLAQUETTES"/>
    <s v="302x26 RPI"/>
    <n v="118.7"/>
  </r>
  <r>
    <d v="2025-06-16T13:23:18"/>
    <x v="4"/>
    <s v="Plaquettes de finition triangulaires"/>
    <s v="130124"/>
    <s v="MOHAMED ILDIRAY"/>
    <n v="10"/>
    <x v="1"/>
    <x v="0"/>
    <s v="PLAQUETTES"/>
    <s v="304x28 RPE"/>
    <n v="118.7"/>
  </r>
  <r>
    <d v="2025-06-17T20:21:18"/>
    <x v="4"/>
    <s v="Plaquettes de finition triangulaires"/>
    <s v="130124"/>
    <s v="MOHAMED ILDIRAY"/>
    <n v="10"/>
    <x v="1"/>
    <x v="0"/>
    <s v="PLAQUETTES"/>
    <s v="304x28 RPE"/>
    <n v="118.7"/>
  </r>
  <r>
    <d v="2025-06-19T06:18:24"/>
    <x v="5"/>
    <s v="Plaquettes de finition triangulaires"/>
    <s v="SD75051"/>
    <s v="COMBALUZIER LUCAS"/>
    <n v="10"/>
    <x v="0"/>
    <x v="0"/>
    <s v="PLAQUETTES"/>
    <s v="330x14"/>
    <n v="138.80000000000001"/>
  </r>
  <r>
    <d v="2025-06-19T22:15:13"/>
    <x v="4"/>
    <s v="Plaquettes de finition triangulaires"/>
    <s v="SE08251"/>
    <s v="FAYET AYMERIC"/>
    <n v="10"/>
    <x v="0"/>
    <x v="0"/>
    <s v="PLAQUETTES"/>
    <s v="330x14"/>
    <n v="118.7"/>
  </r>
  <r>
    <d v="2025-06-19T22:15:40"/>
    <x v="4"/>
    <s v="Plaquettes de finition triangulaires"/>
    <s v="SE08251"/>
    <s v="FAYET AYMERIC"/>
    <n v="10"/>
    <x v="3"/>
    <x v="0"/>
    <s v="PLAQUETTES"/>
    <s v="302x26 RPI"/>
    <n v="118.7"/>
  </r>
  <r>
    <d v="2025-06-20T17:34:23"/>
    <x v="4"/>
    <s v="Plaquettes de finition triangulaires"/>
    <s v="130124"/>
    <s v="MOHAMED ILDIRAY"/>
    <n v="10"/>
    <x v="1"/>
    <x v="0"/>
    <s v="PLAQUETTES"/>
    <s v="356x26 RPI"/>
    <n v="118.7"/>
  </r>
  <r>
    <d v="2025-06-21T00:27:11"/>
    <x v="5"/>
    <s v="Plaquettes de finition triangulaires"/>
    <s v="SE08251"/>
    <s v="FAYET AYMERIC"/>
    <n v="10"/>
    <x v="3"/>
    <x v="0"/>
    <s v="PLAQUETTES"/>
    <s v="290x12"/>
    <n v="138.80000000000001"/>
  </r>
  <r>
    <d v="2025-06-23T15:51:15"/>
    <x v="4"/>
    <s v="Plaquettes de finition triangulaires"/>
    <s v="SE08251"/>
    <s v="FAYET AYMERIC"/>
    <n v="10"/>
    <x v="0"/>
    <x v="0"/>
    <s v="PLAQUETTES"/>
    <s v="330x14"/>
    <n v="118.7"/>
  </r>
  <r>
    <d v="2025-06-23T15:51:33"/>
    <x v="5"/>
    <s v="Plaquettes de finition triangulaires"/>
    <s v="SE08251"/>
    <s v="FAYET AYMERIC"/>
    <n v="10"/>
    <x v="0"/>
    <x v="0"/>
    <s v="PLAQUETTES"/>
    <s v="330x14"/>
    <n v="138.80000000000001"/>
  </r>
  <r>
    <d v="2025-06-23T15:51:52"/>
    <x v="4"/>
    <s v="Plaquettes de finition triangulaires"/>
    <s v="SE08251"/>
    <s v="FAYET AYMERIC"/>
    <n v="10"/>
    <x v="3"/>
    <x v="0"/>
    <s v="PLAQUETTES"/>
    <s v="290x12"/>
    <n v="118.7"/>
  </r>
  <r>
    <d v="2025-06-23T15:52:11"/>
    <x v="5"/>
    <s v="Plaquettes de finition triangulaires"/>
    <s v="SE08251"/>
    <s v="FAYET AYMERIC"/>
    <n v="10"/>
    <x v="3"/>
    <x v="0"/>
    <s v="PLAQUETTES"/>
    <s v="290x12"/>
    <n v="138.80000000000001"/>
  </r>
  <r>
    <d v="2025-06-27T14:53:46"/>
    <x v="4"/>
    <s v="Plaquettes de finition triangulaires"/>
    <s v="280225"/>
    <s v="FERNANDES DOS SANTOS REMY"/>
    <n v="10"/>
    <x v="1"/>
    <x v="0"/>
    <s v="PLAQUETTES"/>
    <s v="356x26 RPI"/>
    <n v="118.7"/>
  </r>
  <r>
    <d v="2025-06-28T13:07:24"/>
    <x v="5"/>
    <s v="Plaquettes de finition triangulaires"/>
    <s v="150725"/>
    <s v="ADOUL WASSIM"/>
    <n v="10"/>
    <x v="0"/>
    <x v="0"/>
    <s v="PLAQUETTES"/>
    <s v="330x14"/>
    <n v="138.80000000000001"/>
  </r>
  <r>
    <d v="2025-06-28T13:09:10"/>
    <x v="4"/>
    <s v="Plaquettes de finition triangulaires"/>
    <s v="150725"/>
    <s v="ADOUL WASSIM"/>
    <n v="10"/>
    <x v="0"/>
    <x v="0"/>
    <s v="PLAQUETTES"/>
    <s v="330x14"/>
    <n v="118.7"/>
  </r>
  <r>
    <d v="2025-06-30T06:40:14"/>
    <x v="4"/>
    <s v="Plaquettes de finition triangulaires"/>
    <s v="SE08251"/>
    <s v="FAYET AYMERIC"/>
    <n v="10"/>
    <x v="0"/>
    <x v="0"/>
    <s v="PLAQUETTES"/>
    <s v="290x12"/>
    <n v="118.7"/>
  </r>
  <r>
    <d v="2025-06-30T06:42:45"/>
    <x v="4"/>
    <s v="Plaquettes de finition triangulaires"/>
    <s v="SE08251"/>
    <s v="FAYET AYMERIC"/>
    <n v="10"/>
    <x v="3"/>
    <x v="0"/>
    <s v="PLAQUETTES"/>
    <s v="304x28 RPE"/>
    <n v="118.7"/>
  </r>
  <r>
    <d v="2025-07-03T01:33:40"/>
    <x v="4"/>
    <s v="Plaquettes de finition triangulaires"/>
    <s v="130124"/>
    <s v="MOHAMED ILDIRAY"/>
    <n v="10"/>
    <x v="1"/>
    <x v="0"/>
    <s v="PLAQUETTES"/>
    <s v="356x26 RPI"/>
    <n v="118.7"/>
  </r>
  <r>
    <d v="2025-07-04T13:18:32"/>
    <x v="5"/>
    <s v="Plaquettes de finition triangulaires"/>
    <s v="SD75051"/>
    <s v="COMBALUZIER LUCAS"/>
    <n v="10"/>
    <x v="3"/>
    <x v="0"/>
    <s v="PLAQUETTES"/>
    <s v="330x14"/>
    <n v="138.80000000000001"/>
  </r>
  <r>
    <d v="2025-07-04T15:43:24"/>
    <x v="5"/>
    <s v="Plaquettes de finition triangulaires"/>
    <s v="SD75051"/>
    <s v="COMBALUZIER LUCAS"/>
    <n v="10"/>
    <x v="0"/>
    <x v="0"/>
    <s v="PLAQUETTES"/>
    <s v="290x12"/>
    <n v="138.80000000000001"/>
  </r>
  <r>
    <d v="2025-07-04T16:52:06"/>
    <x v="4"/>
    <s v="Plaquettes de finition triangulaires"/>
    <s v="SD75051"/>
    <s v="COMBALUZIER LUCAS"/>
    <n v="10"/>
    <x v="3"/>
    <x v="0"/>
    <s v="PLAQUETTES"/>
    <s v="330x14"/>
    <n v="118.7"/>
  </r>
  <r>
    <d v="2025-07-04T16:53:24"/>
    <x v="4"/>
    <s v="Plaquettes de finition triangulaires"/>
    <s v="SD75051"/>
    <s v="COMBALUZIER LUCAS"/>
    <n v="10"/>
    <x v="0"/>
    <x v="0"/>
    <s v="PLAQUETTES"/>
    <s v="290x12"/>
    <n v="118.7"/>
  </r>
  <r>
    <d v="2025-07-07T05:12:51"/>
    <x v="4"/>
    <s v="Plaquettes de finition triangulaires"/>
    <s v="140325"/>
    <s v="BOUCLIER JONATHAN"/>
    <n v="10"/>
    <x v="2"/>
    <x v="3"/>
    <s v="PLAQUETTES"/>
    <s v="302x26 RPI"/>
    <n v="118.7"/>
  </r>
  <r>
    <d v="2025-07-07T19:55:46"/>
    <x v="4"/>
    <s v="Plaquettes de finition triangulaires"/>
    <s v="130124"/>
    <s v="MOHAMED ILDIRAY"/>
    <n v="10"/>
    <x v="1"/>
    <x v="0"/>
    <s v="PLAQUETTES"/>
    <s v="356x26 RPI"/>
    <n v="118.7"/>
  </r>
  <r>
    <d v="2025-07-10T04:36:29"/>
    <x v="4"/>
    <s v="Plaquettes de finition triangulaires"/>
    <s v="SE08251"/>
    <s v="FAYET AYMERIC"/>
    <n v="10"/>
    <x v="0"/>
    <x v="0"/>
    <s v="PLAQUETTES"/>
    <s v="356x26 RPI"/>
    <n v="118.7"/>
  </r>
  <r>
    <d v="2025-07-10T04:37:56"/>
    <x v="4"/>
    <s v="Plaquettes de finition triangulaires"/>
    <s v="SE08251"/>
    <s v="FAYET AYMERIC"/>
    <n v="10"/>
    <x v="3"/>
    <x v="0"/>
    <s v="PLAQUETTES"/>
    <s v="330x14"/>
    <n v="118.7"/>
  </r>
  <r>
    <d v="2025-07-10T04:38:16"/>
    <x v="5"/>
    <s v="Plaquettes de finition triangulaires"/>
    <s v="SE08251"/>
    <s v="FAYET AYMERIC"/>
    <n v="10"/>
    <x v="3"/>
    <x v="0"/>
    <s v="PLAQUETTES"/>
    <s v="330x14"/>
    <n v="138.80000000000001"/>
  </r>
  <r>
    <d v="2025-07-11T13:12:16"/>
    <x v="4"/>
    <s v="Plaquettes de finition triangulaires"/>
    <s v="130124"/>
    <s v="MOHAMED ILDIRAY"/>
    <n v="10"/>
    <x v="1"/>
    <x v="0"/>
    <s v="PLAQUETTES"/>
    <s v="304x28 RPE"/>
    <n v="118.7"/>
  </r>
  <r>
    <d v="2025-07-15T05:04:45"/>
    <x v="4"/>
    <s v="Plaquettes de finition triangulaires"/>
    <s v="130124"/>
    <s v="MOHAMED ILDIRAY"/>
    <n v="10"/>
    <x v="1"/>
    <x v="0"/>
    <s v="PLAQUETTES"/>
    <s v="304x28 RPE"/>
    <n v="118.7"/>
  </r>
  <r>
    <d v="2025-07-15T06:49:26"/>
    <x v="4"/>
    <s v="Plaquettes de finition triangulaires"/>
    <s v="130124"/>
    <s v="MOHAMED ILDIRAY"/>
    <n v="10"/>
    <x v="0"/>
    <x v="0"/>
    <s v="PLAQUETTES"/>
    <s v="356x26 RPI"/>
    <n v="118.7"/>
  </r>
  <r>
    <d v="2025-07-17T21:52:21"/>
    <x v="4"/>
    <s v="Plaquettes de finition triangulaires"/>
    <s v="SD75051"/>
    <s v="COMBALUZIER LUCAS"/>
    <n v="10"/>
    <x v="0"/>
    <x v="0"/>
    <s v="PLAQUETTES"/>
    <s v="356x26 RPI"/>
    <n v="118.7"/>
  </r>
  <r>
    <d v="2025-07-18T13:10:45"/>
    <x v="4"/>
    <s v="Plaquettes de finition triangulaires"/>
    <s v="280225"/>
    <s v="FERNANDES DOS SANTOS REMY"/>
    <n v="10"/>
    <x v="1"/>
    <x v="0"/>
    <s v="PLAQUETTES"/>
    <s v="304x28 RPE"/>
    <n v="118.7"/>
  </r>
  <r>
    <d v="2025-07-18T13:27:25"/>
    <x v="4"/>
    <s v="Plaquettes de finition triangulaires"/>
    <s v="SE08251"/>
    <s v="FAYET AYMERIC"/>
    <n v="10"/>
    <x v="3"/>
    <x v="0"/>
    <s v="PLAQUETTES"/>
    <s v="330x14"/>
    <n v="118.7"/>
  </r>
  <r>
    <d v="2025-07-18T13:27:51"/>
    <x v="5"/>
    <s v="Plaquettes de finition triangulaires"/>
    <s v="SE08251"/>
    <s v="FAYET AYMERIC"/>
    <n v="10"/>
    <x v="3"/>
    <x v="0"/>
    <s v="PLAQUETTES"/>
    <s v="330x14"/>
    <n v="138.80000000000001"/>
  </r>
  <r>
    <d v="2025-07-18T21:59:50"/>
    <x v="4"/>
    <s v="Plaquettes de finition triangulaires"/>
    <s v="sc95213"/>
    <s v="RABET PAULINE"/>
    <n v="10"/>
    <x v="1"/>
    <x v="0"/>
    <s v="PLAQUETTES"/>
    <s v="302x26 RPI"/>
    <n v="118.7"/>
  </r>
  <r>
    <d v="2025-07-21T07:58:01"/>
    <x v="4"/>
    <s v="Plaquettes de finition triangulaires"/>
    <s v="SE08251"/>
    <s v="FAYET AYMERIC"/>
    <n v="10"/>
    <x v="0"/>
    <x v="0"/>
    <s v="PLAQUETTES"/>
    <s v="356x26 RPI"/>
    <n v="118.7"/>
  </r>
  <r>
    <d v="2025-07-21T21:04:46"/>
    <x v="4"/>
    <s v="Plaquettes de finition triangulaires"/>
    <s v="101224"/>
    <s v="CHAZEAU KYLIAN"/>
    <n v="10"/>
    <x v="3"/>
    <x v="0"/>
    <s v="PLAQUETTES"/>
    <s v="330x14"/>
    <n v="118.7"/>
  </r>
  <r>
    <d v="2025-07-21T21:05:02"/>
    <x v="5"/>
    <s v="Plaquettes de finition triangulaires"/>
    <s v="101224"/>
    <s v="CHAZEAU KYLIAN"/>
    <n v="10"/>
    <x v="3"/>
    <x v="0"/>
    <s v="PLAQUETTES"/>
    <s v="330x14"/>
    <n v="138.80000000000001"/>
  </r>
  <r>
    <d v="2025-07-21T21:55:07"/>
    <x v="4"/>
    <s v="Plaquettes de finition triangulaires"/>
    <s v="101123"/>
    <s v="BRUNET ANDREA"/>
    <n v="10"/>
    <x v="1"/>
    <x v="0"/>
    <s v="PLAQUETTES"/>
    <s v="304x28 RPE"/>
    <n v="118.7"/>
  </r>
  <r>
    <d v="2025-07-23T21:05:55"/>
    <x v="4"/>
    <s v="Plaquettes de finition triangulaires"/>
    <s v="130124"/>
    <s v="MOHAMED ILDIRAY"/>
    <n v="10"/>
    <x v="1"/>
    <x v="0"/>
    <s v="PLAQUETTES"/>
    <s v="304x28 RPE"/>
    <n v="118.7"/>
  </r>
  <r>
    <d v="2025-07-25T08:13:07"/>
    <x v="4"/>
    <s v="Plaquettes de finition triangulaires"/>
    <s v="U080365"/>
    <s v="ALAVOINE SAMUEL"/>
    <n v="10"/>
    <x v="0"/>
    <x v="0"/>
    <s v="PLAQUETTES"/>
    <s v="290x12"/>
    <n v="118.7"/>
  </r>
  <r>
    <d v="2025-07-25T08:13:21"/>
    <x v="5"/>
    <s v="Plaquettes de finition triangulaires"/>
    <s v="U080365"/>
    <s v="ALAVOINE SAMUEL"/>
    <n v="10"/>
    <x v="0"/>
    <x v="0"/>
    <s v="PLAQUETTES"/>
    <s v="290x12"/>
    <n v="138.80000000000001"/>
  </r>
  <r>
    <d v="2025-07-25T19:50:10"/>
    <x v="4"/>
    <s v="Plaquettes de finition triangulaires"/>
    <s v="040725"/>
    <s v="BARGEOT LUCAS"/>
    <n v="10"/>
    <x v="0"/>
    <x v="0"/>
    <s v="PLAQUETTES"/>
    <s v="330x14"/>
    <n v="118.7"/>
  </r>
  <r>
    <d v="2025-07-28T07:48:38"/>
    <x v="4"/>
    <s v="Plaquettes de finition triangulaires"/>
    <s v="040725"/>
    <s v="BARGEOT LUCAS"/>
    <n v="10"/>
    <x v="3"/>
    <x v="0"/>
    <s v="PLAQUETTES"/>
    <s v="330x14"/>
    <n v="118.7"/>
  </r>
  <r>
    <d v="2025-07-28T10:26:37"/>
    <x v="5"/>
    <s v="Plaquettes de finition triangulaires"/>
    <s v="040725"/>
    <s v="BARGEOT LUCAS"/>
    <n v="10"/>
    <x v="3"/>
    <x v="0"/>
    <s v="PLAQUETTES"/>
    <s v="330x14"/>
    <n v="138.80000000000001"/>
  </r>
  <r>
    <d v="2025-07-28T13:52:11"/>
    <x v="4"/>
    <s v="Plaquettes de finition triangulaires"/>
    <s v="140325"/>
    <s v="BOUCLIER JONATHAN"/>
    <n v="10"/>
    <x v="2"/>
    <x v="3"/>
    <s v="PLAQUETTES"/>
    <s v="302x26 RPI"/>
    <n v="118.7"/>
  </r>
  <r>
    <d v="2025-07-29T05:38:23"/>
    <x v="5"/>
    <s v="Plaquettes de finition triangulaires"/>
    <s v="040725"/>
    <s v="BARGEOT LUCAS"/>
    <n v="10"/>
    <x v="0"/>
    <x v="0"/>
    <s v="PLAQUETTES"/>
    <s v="290x12"/>
    <n v="138.80000000000001"/>
  </r>
  <r>
    <d v="2025-08-07T13:44:06"/>
    <x v="4"/>
    <s v="Plaquettes de finition triangulaires"/>
    <s v="SF51433"/>
    <s v="BONTEMS COLINE"/>
    <n v="10"/>
    <x v="1"/>
    <x v="0"/>
    <s v="PLAQUETTES"/>
    <s v="TOUT DISQUES"/>
    <n v="118.7"/>
  </r>
  <r>
    <d v="2025-08-18T05:30:07"/>
    <x v="4"/>
    <s v="Plaquettes de finition triangulaires"/>
    <s v="SD75051"/>
    <s v="COMBALUZIER LUCAS"/>
    <n v="10"/>
    <x v="1"/>
    <x v="0"/>
    <s v="PLAQUETTES"/>
    <s v="304x28 RPE"/>
    <n v="118.7"/>
  </r>
  <r>
    <d v="2025-08-20T05:41:55"/>
    <x v="4"/>
    <s v="Plaquettes de finition triangulaires"/>
    <s v="040725"/>
    <s v="BARGEOT LUCAS"/>
    <n v="10"/>
    <x v="0"/>
    <x v="0"/>
    <s v="PLAQUETTES"/>
    <s v="356x26 RPI"/>
    <n v="118.7"/>
  </r>
  <r>
    <d v="2025-08-23T05:46:45"/>
    <x v="4"/>
    <s v="Plaquettes de finition triangulaires"/>
    <s v="DELIAT C"/>
    <s v="DELIAT CHRISTOPHE"/>
    <n v="10"/>
    <x v="1"/>
    <x v="0"/>
    <s v="PLAQUETTES"/>
    <s v="304x28 RPE"/>
    <n v="118.7"/>
  </r>
  <r>
    <d v="2025-08-23T11:18:45"/>
    <x v="4"/>
    <s v="Plaquettes de finition triangulaires"/>
    <s v="U080365"/>
    <s v="ALAVOINE SAMUEL"/>
    <n v="10"/>
    <x v="3"/>
    <x v="0"/>
    <s v="PLAQUETTES"/>
    <s v="330x14"/>
    <n v="118.7"/>
  </r>
  <r>
    <d v="2025-08-23T11:19:32"/>
    <x v="5"/>
    <s v="Plaquettes de finition triangulaires"/>
    <s v="U080365"/>
    <s v="ALAVOINE SAMUEL"/>
    <n v="10"/>
    <x v="3"/>
    <x v="0"/>
    <s v="PLAQUETTES"/>
    <s v="330x14"/>
    <n v="138.80000000000001"/>
  </r>
  <r>
    <d v="2025-08-23T11:20:23"/>
    <x v="4"/>
    <s v="Plaquettes de finition triangulaires"/>
    <s v="U080365"/>
    <s v="ALAVOINE SAMUEL"/>
    <n v="10"/>
    <x v="0"/>
    <x v="0"/>
    <s v="PLAQUETTES"/>
    <s v="356x26 RPI"/>
    <n v="118.7"/>
  </r>
  <r>
    <d v="2025-08-26T06:27:01"/>
    <x v="4"/>
    <s v="Plaquettes de finition triangulaires"/>
    <s v="101123"/>
    <s v="BRUNET ANDREA"/>
    <n v="10"/>
    <x v="1"/>
    <x v="0"/>
    <s v="PLAQUETTES"/>
    <s v="304x28 RPE"/>
    <n v="118.7"/>
  </r>
  <r>
    <d v="2025-08-28T05:02:46"/>
    <x v="4"/>
    <s v="Plaquettes de finition triangulaires"/>
    <s v="101123"/>
    <s v="BRUNET ANDREA"/>
    <n v="10"/>
    <x v="1"/>
    <x v="0"/>
    <s v="PLAQUETTES"/>
    <s v="304x28 RPE"/>
    <n v="118.7"/>
  </r>
  <r>
    <d v="2025-08-29T05:28:58"/>
    <x v="4"/>
    <s v="Plaquettes de finition triangulaires"/>
    <s v="DELIAT C"/>
    <s v="DELIAT CHRISTOPHE"/>
    <n v="10"/>
    <x v="1"/>
    <x v="0"/>
    <s v="PLAQUETTES"/>
    <s v="304x28 RPE"/>
    <n v="118.7"/>
  </r>
  <r>
    <d v="2025-08-29T21:38:23"/>
    <x v="4"/>
    <s v="Plaquettes de finition triangulaires"/>
    <s v="j529800"/>
    <s v="MONTCHARMONT BAPTISTE"/>
    <n v="10"/>
    <x v="0"/>
    <x v="0"/>
    <s v="PLAQUETTES"/>
    <s v="356x26 RPI"/>
    <n v="118.7"/>
  </r>
  <r>
    <d v="2025-08-30T05:41:22"/>
    <x v="4"/>
    <s v="Plaquettes de finition triangulaires"/>
    <s v="DELIAT C"/>
    <s v="DELIAT CHRISTOPHE"/>
    <n v="10"/>
    <x v="2"/>
    <x v="3"/>
    <s v="PLAQUETTES"/>
    <s v="302x26 RPI"/>
    <n v="118.7"/>
  </r>
  <r>
    <d v="2025-08-30T09:01:48"/>
    <x v="5"/>
    <s v="Plaquettes de finition triangulaires"/>
    <s v="U080365"/>
    <s v="ALAVOINE SAMUEL"/>
    <n v="10"/>
    <x v="3"/>
    <x v="0"/>
    <s v="PLAQUETTES"/>
    <s v="330x14"/>
    <n v="138.80000000000001"/>
  </r>
  <r>
    <d v="2025-08-30T11:25:56"/>
    <x v="4"/>
    <s v="Plaquettes de finition triangulaires"/>
    <s v="U080365"/>
    <s v="ALAVOINE SAMUEL"/>
    <n v="10"/>
    <x v="3"/>
    <x v="0"/>
    <s v="PLAQUETTES"/>
    <s v="330x14"/>
    <n v="118.7"/>
  </r>
  <r>
    <d v="2025-09-01T05:38:15"/>
    <x v="4"/>
    <s v="Plaquettes de finition triangulaires"/>
    <s v="SD75051"/>
    <s v="COMBALUZIER LUCAS"/>
    <n v="10"/>
    <x v="1"/>
    <x v="0"/>
    <s v="PLAQUETTES"/>
    <s v="304x28 RPE"/>
    <n v="118.7"/>
  </r>
  <r>
    <d v="2025-09-01T21:34:13"/>
    <x v="4"/>
    <s v="Plaquettes de finition triangulaires"/>
    <s v="j529800"/>
    <s v="MONTCHARMONT BAPTISTE"/>
    <n v="10"/>
    <x v="0"/>
    <x v="0"/>
    <s v="PLAQUETTES"/>
    <s v="356x26 RPI"/>
    <n v="118.7"/>
  </r>
  <r>
    <d v="2025-09-01T23:04:45"/>
    <x v="5"/>
    <s v="Plaquettes de finition triangulaires"/>
    <s v="j529800"/>
    <s v="MONTCHARMONT BAPTISTE"/>
    <n v="10"/>
    <x v="3"/>
    <x v="0"/>
    <s v="PLAQUETTES"/>
    <s v="330x14"/>
    <n v="138.80000000000001"/>
  </r>
  <r>
    <d v="2025-09-03T23:30:02"/>
    <x v="5"/>
    <s v="Plaquettes de finition triangulaires"/>
    <s v="j529800"/>
    <s v="MONTCHARMONT BAPTISTE"/>
    <n v="10"/>
    <x v="3"/>
    <x v="0"/>
    <s v="PLAQUETTES"/>
    <s v="330x14"/>
    <n v="138.80000000000001"/>
  </r>
  <r>
    <d v="2025-09-04T20:36:27"/>
    <x v="4"/>
    <s v="Plaquettes de finition triangulaires"/>
    <s v="101224"/>
    <s v="CHAZEAU KYLIAN"/>
    <n v="10"/>
    <x v="0"/>
    <x v="0"/>
    <s v="PLAQUETTES"/>
    <s v="356x26 RPI"/>
    <n v="118.7"/>
  </r>
  <r>
    <d v="2025-09-05T05:27:43"/>
    <x v="4"/>
    <s v="Plaquettes de finition triangulaires"/>
    <s v="U551977"/>
    <s v="BASPINAR SELAHATTIN"/>
    <n v="10"/>
    <x v="1"/>
    <x v="0"/>
    <s v="PLAQUETTES"/>
    <s v="304x28 RPE"/>
    <n v="118.7"/>
  </r>
  <r>
    <d v="2025-09-05T14:55:05"/>
    <x v="4"/>
    <s v="Plaquettes de finition triangulaires"/>
    <s v="12824586"/>
    <s v="DA SILVA FERNANDO"/>
    <n v="10"/>
    <x v="1"/>
    <x v="0"/>
    <s v="PLAQUETTES"/>
    <s v="TOUT DISQUES"/>
    <n v="118.7"/>
  </r>
  <r>
    <d v="2025-09-06T09:27:48"/>
    <x v="4"/>
    <s v="Plaquettes de finition triangulaires"/>
    <s v="150725"/>
    <s v="ADOUL WASSIM"/>
    <n v="10"/>
    <x v="0"/>
    <x v="0"/>
    <s v="PLAQUETTES"/>
    <s v="356x26 RPI"/>
    <n v="118.7"/>
  </r>
  <r>
    <d v="2025-09-08T14:17:26"/>
    <x v="4"/>
    <s v="Plaquettes de finition triangulaires"/>
    <s v="SD75051"/>
    <s v="COMBALUZIER LUCAS"/>
    <n v="10"/>
    <x v="1"/>
    <x v="0"/>
    <s v="PLAQUETTES"/>
    <s v="304x28 RPE"/>
    <n v="118.7"/>
  </r>
  <r>
    <d v="2025-09-08T18:05:39"/>
    <x v="4"/>
    <s v="Plaquettes de finition triangulaires"/>
    <s v="040725"/>
    <s v="BARGEOT LUCAS"/>
    <n v="10"/>
    <x v="0"/>
    <x v="0"/>
    <s v="PLAQUETTES"/>
    <s v="356x26 RPI"/>
    <n v="118.7"/>
  </r>
  <r>
    <d v="2025-09-08T18:05:55"/>
    <x v="4"/>
    <s v="Plaquettes de finition triangulaires"/>
    <s v="040725"/>
    <s v="BARGEOT LUCAS"/>
    <n v="10"/>
    <x v="3"/>
    <x v="0"/>
    <s v="PLAQUETTES"/>
    <s v="330x14"/>
    <n v="118.7"/>
  </r>
  <r>
    <d v="2025-09-10T05:04:08"/>
    <x v="5"/>
    <s v="Plaquettes de finition triangulaires"/>
    <s v="101224"/>
    <s v="CHAZEAU KYLIAN"/>
    <n v="10"/>
    <x v="3"/>
    <x v="0"/>
    <s v="PLAQUETTES"/>
    <s v="330x14"/>
    <n v="138.80000000000001"/>
  </r>
  <r>
    <d v="2025-09-10T21:21:43"/>
    <x v="5"/>
    <s v="Plaquettes de finition triangulaires"/>
    <s v="j529800"/>
    <s v="MONTCHARMONT BAPTISTE"/>
    <n v="10"/>
    <x v="3"/>
    <x v="0"/>
    <s v="PLAQUETTES"/>
    <s v="330x14"/>
    <n v="138.80000000000001"/>
  </r>
  <r>
    <d v="2025-09-10T21:22:00"/>
    <x v="4"/>
    <s v="Plaquettes de finition triangulaires"/>
    <s v="j529800"/>
    <s v="MONTCHARMONT BAPTISTE"/>
    <n v="10"/>
    <x v="0"/>
    <x v="0"/>
    <s v="PLAQUETTES"/>
    <s v="356x26 RPI"/>
    <n v="118.7"/>
  </r>
  <r>
    <d v="2025-09-11T05:14:00"/>
    <x v="4"/>
    <s v="Plaquettes de finition triangulaires"/>
    <s v="101123"/>
    <s v="BRUNET ANDREA"/>
    <n v="10"/>
    <x v="1"/>
    <x v="0"/>
    <s v="PLAQUETTES"/>
    <s v="304x28 RPE"/>
    <n v="118.7"/>
  </r>
  <r>
    <d v="2025-09-11T13:45:56"/>
    <x v="5"/>
    <s v="Plaquettes de finition triangulaires"/>
    <s v="040725"/>
    <s v="BARGEOT LUCAS"/>
    <n v="10"/>
    <x v="3"/>
    <x v="0"/>
    <s v="PLAQUETTES"/>
    <s v="330x14"/>
    <n v="138.80000000000001"/>
  </r>
  <r>
    <d v="2025-09-11T13:46:10"/>
    <x v="4"/>
    <s v="Plaquettes de finition triangulaires"/>
    <s v="040725"/>
    <s v="BARGEOT LUCAS"/>
    <n v="10"/>
    <x v="3"/>
    <x v="0"/>
    <s v="PLAQUETTES"/>
    <s v="330x14"/>
    <n v="118.7"/>
  </r>
  <r>
    <d v="2025-09-12T06:26:04"/>
    <x v="4"/>
    <s v="Plaquettes de finition triangulaires"/>
    <s v="DELIAT C"/>
    <s v="DELIAT CHRISTOPHE"/>
    <n v="10"/>
    <x v="2"/>
    <x v="3"/>
    <s v="PLAQUETTES"/>
    <s v="302x26 RPI"/>
    <n v="118.7"/>
  </r>
  <r>
    <d v="2025-09-12T14:45:06"/>
    <x v="4"/>
    <s v="Plaquettes de finition triangulaires"/>
    <s v="040725"/>
    <s v="BARGEOT LUCAS"/>
    <n v="10"/>
    <x v="0"/>
    <x v="0"/>
    <s v="PLAQUETTES"/>
    <s v="356x26 RPI"/>
    <n v="118.7"/>
  </r>
  <r>
    <d v="2025-09-12T21:49:38"/>
    <x v="4"/>
    <s v="Plaquettes de finition triangulaires"/>
    <s v="101123"/>
    <s v="BRUNET ANDREA"/>
    <n v="10"/>
    <x v="1"/>
    <x v="0"/>
    <s v="PLAQUETTES"/>
    <s v="304x28 RPE"/>
    <n v="118.7"/>
  </r>
  <r>
    <d v="2025-09-15T08:12:25"/>
    <x v="4"/>
    <s v="Plaquettes de finition triangulaires"/>
    <s v="140325"/>
    <s v="BOUCLIER JONATHAN"/>
    <n v="10"/>
    <x v="2"/>
    <x v="3"/>
    <s v="PLAQUETTES"/>
    <s v="302x26 RPI"/>
    <n v="118.7"/>
  </r>
  <r>
    <d v="2025-09-16T14:15:22"/>
    <x v="5"/>
    <s v="Plaquettes de finition triangulaires"/>
    <s v="101224"/>
    <s v="CHAZEAU KYLIAN"/>
    <n v="10"/>
    <x v="3"/>
    <x v="0"/>
    <s v="PLAQUETTES"/>
    <s v="290x12"/>
    <n v="138.80000000000001"/>
  </r>
  <r>
    <d v="2025-09-16T17:48:25"/>
    <x v="4"/>
    <s v="Plaquettes de finition triangulaires"/>
    <s v="101224"/>
    <s v="CHAZEAU KYLIAN"/>
    <n v="10"/>
    <x v="3"/>
    <x v="0"/>
    <s v="PLAQUETTES"/>
    <s v="290x12"/>
    <n v="118.7"/>
  </r>
  <r>
    <d v="2025-09-16T17:48:39"/>
    <x v="4"/>
    <s v="Plaquettes de finition triangulaires"/>
    <s v="101224"/>
    <s v="CHAZEAU KYLIAN"/>
    <n v="10"/>
    <x v="0"/>
    <x v="0"/>
    <s v="PLAQUETTES"/>
    <s v="356x26 RPI"/>
    <n v="118.7"/>
  </r>
  <r>
    <d v="2025-09-17T13:59:11"/>
    <x v="4"/>
    <s v="Plaquettes de finition triangulaires"/>
    <s v="101123"/>
    <s v="BRUNET ANDREA"/>
    <n v="10"/>
    <x v="1"/>
    <x v="0"/>
    <s v="PLAQUETTES"/>
    <s v="304x28 RPE"/>
    <n v="118.7"/>
  </r>
  <r>
    <d v="2025-09-19T04:32:26"/>
    <x v="5"/>
    <s v="Plaquettes de finition triangulaires"/>
    <s v="j529800"/>
    <s v="MONTCHARMONT BAPTISTE"/>
    <n v="10"/>
    <x v="3"/>
    <x v="0"/>
    <s v="PLAQUETTES"/>
    <s v="290x12"/>
    <n v="138.80000000000001"/>
  </r>
  <r>
    <d v="2025-09-19T14:02:02"/>
    <x v="4"/>
    <s v="Plaquettes de finition triangulaires"/>
    <s v="101224"/>
    <s v="CHAZEAU KYLIAN"/>
    <n v="10"/>
    <x v="0"/>
    <x v="0"/>
    <s v="PLAQUETTES"/>
    <s v="356x26 RPI"/>
    <n v="118.7"/>
  </r>
  <r>
    <d v="2025-09-19T17:32:31"/>
    <x v="4"/>
    <s v="Plaquettes de finition triangulaires"/>
    <s v="101224"/>
    <s v="CHAZEAU KYLIAN"/>
    <n v="10"/>
    <x v="3"/>
    <x v="0"/>
    <s v="PLAQUETTES"/>
    <s v="290x12"/>
    <n v="118.7"/>
  </r>
  <r>
    <d v="2025-09-20T12:53:17"/>
    <x v="4"/>
    <s v="Plaquettes de finition triangulaires"/>
    <s v="U109136"/>
    <s v="WIPLIE FREDERIC"/>
    <n v="10"/>
    <x v="1"/>
    <x v="0"/>
    <s v="PLAQUETTES"/>
    <s v="304x28 RPE"/>
    <n v="118.7"/>
  </r>
  <r>
    <d v="2025-09-23T05:03:34"/>
    <x v="4"/>
    <s v="Plaquettes de finition triangulaires"/>
    <s v="101224"/>
    <s v="CHAZEAU KYLIAN"/>
    <n v="10"/>
    <x v="0"/>
    <x v="0"/>
    <s v="PLAQUETTES"/>
    <s v="356x26 RPI"/>
    <n v="118.7"/>
  </r>
  <r>
    <d v="2025-09-23T05:04:11"/>
    <x v="4"/>
    <s v="Plaquettes de finition triangulaires"/>
    <s v="101224"/>
    <s v="CHAZEAU KYLIAN"/>
    <n v="10"/>
    <x v="3"/>
    <x v="0"/>
    <s v="PLAQUETTES"/>
    <s v="290x12"/>
    <n v="118.7"/>
  </r>
  <r>
    <d v="2025-09-23T13:17:12"/>
    <x v="4"/>
    <s v="Plaquettes de finition triangulaires"/>
    <s v="SD75051"/>
    <s v="COMBALUZIER LUCAS"/>
    <n v="10"/>
    <x v="1"/>
    <x v="0"/>
    <s v="PLAQUETTES"/>
    <s v="304x28 RPE"/>
    <n v="118.7"/>
  </r>
  <r>
    <d v="2025-09-23T14:25:35"/>
    <x v="5"/>
    <s v="Plaquettes de finition triangulaires"/>
    <s v="040725"/>
    <s v="BARGEOT LUCAS"/>
    <n v="10"/>
    <x v="3"/>
    <x v="0"/>
    <s v="PLAQUETTES"/>
    <s v="290x12"/>
    <n v="138.80000000000001"/>
  </r>
  <r>
    <d v="2025-09-25T10:01:18"/>
    <x v="4"/>
    <s v="Plaquettes de finition triangulaires"/>
    <s v="101224"/>
    <s v="CHAZEAU KYLIAN"/>
    <n v="10"/>
    <x v="3"/>
    <x v="0"/>
    <s v="PLAQUETTES"/>
    <s v="330x28 RPE KO"/>
    <n v="118.7"/>
  </r>
  <r>
    <d v="2025-09-29T21:23:28"/>
    <x v="4"/>
    <s v="Plaquettes de finition triangulaires"/>
    <s v="j529800"/>
    <s v="MONTCHARMONT BAPTISTE"/>
    <n v="10"/>
    <x v="3"/>
    <x v="0"/>
    <s v="PLAQUETTES"/>
    <s v="330x14"/>
    <n v="118.7"/>
  </r>
  <r>
    <d v="2025-09-30T06:11:06"/>
    <x v="4"/>
    <s v="Plaquettes de finition triangulaires"/>
    <s v="SD75051"/>
    <s v="COMBALUZIER LUCAS"/>
    <n v="10"/>
    <x v="1"/>
    <x v="0"/>
    <s v="PLAQUETTES"/>
    <s v="304x28 RPE"/>
    <n v="118.7"/>
  </r>
  <r>
    <d v="2025-09-30T06:32:48"/>
    <x v="5"/>
    <s v="Plaquettes de finition triangulaires"/>
    <s v="040725"/>
    <s v="BARGEOT LUCAS"/>
    <n v="10"/>
    <x v="3"/>
    <x v="0"/>
    <s v="PLAQUETTES"/>
    <s v="330x14"/>
    <n v="138.80000000000001"/>
  </r>
  <r>
    <d v="2025-09-30T21:26:41"/>
    <x v="4"/>
    <s v="Plaquettes de finition triangulaires"/>
    <s v="j529800"/>
    <s v="MONTCHARMONT BAPTISTE"/>
    <n v="10"/>
    <x v="3"/>
    <x v="0"/>
    <s v="PLAQUETTES"/>
    <s v="330x14"/>
    <n v="118.7"/>
  </r>
  <r>
    <d v="2025-10-01T15:35:51"/>
    <x v="4"/>
    <s v="Plaquettes de finition triangulaires"/>
    <s v="101224"/>
    <s v="CHAZEAU KYLIAN"/>
    <n v="10"/>
    <x v="0"/>
    <x v="0"/>
    <s v="PLAQUETTES"/>
    <s v="356x26 RPI"/>
    <n v="118.7"/>
  </r>
  <r>
    <d v="2025-10-02T05:16:20"/>
    <x v="4"/>
    <s v="Plaquettes de finition triangulaires"/>
    <s v="SD75051"/>
    <s v="COMBALUZIER LUCAS"/>
    <n v="10"/>
    <x v="1"/>
    <x v="0"/>
    <s v="PLAQUETTES"/>
    <s v="304x28 RPE"/>
    <n v="118.7"/>
  </r>
  <r>
    <d v="2025-10-02T21:46:31"/>
    <x v="5"/>
    <s v="Plaquettes de finition triangulaires"/>
    <s v="j529800"/>
    <s v="MONTCHARMONT BAPTISTE"/>
    <n v="10"/>
    <x v="3"/>
    <x v="0"/>
    <s v="PLAQUETTES"/>
    <s v="330x14"/>
    <n v="138.80000000000001"/>
  </r>
  <r>
    <d v="2025-10-03T19:00:17"/>
    <x v="4"/>
    <s v="Plaquettes de finition triangulaires"/>
    <s v="101224"/>
    <s v="CHAZEAU KYLIAN"/>
    <n v="10"/>
    <x v="0"/>
    <x v="0"/>
    <s v="PLAQUETTES"/>
    <s v="356x26 RPI"/>
    <n v="118.7"/>
  </r>
  <r>
    <d v="2025-10-03T19:00:40"/>
    <x v="4"/>
    <s v="Plaquettes de finition triangulaires"/>
    <s v="101224"/>
    <s v="CHAZEAU KYLIAN"/>
    <n v="10"/>
    <x v="3"/>
    <x v="0"/>
    <s v="PLAQUETTES"/>
    <s v="330x14"/>
    <n v="118.7"/>
  </r>
  <r>
    <d v="2025-10-03T21:29:24"/>
    <x v="4"/>
    <s v="Plaquettes de finition triangulaires"/>
    <s v="130325"/>
    <s v="PAPONNEAU JULIEN"/>
    <n v="10"/>
    <x v="1"/>
    <x v="0"/>
    <s v="PLAQUETTES"/>
    <s v="304x28 RPE"/>
    <n v="118.7"/>
  </r>
  <r>
    <d v="2025-10-03T21:29:39"/>
    <x v="4"/>
    <s v="Plaquettes de finition triangulaires"/>
    <s v="130325"/>
    <s v="PAPONNEAU JULIEN"/>
    <n v="10"/>
    <x v="1"/>
    <x v="0"/>
    <s v="PLAQUETTES"/>
    <s v="304x28 RPE"/>
    <n v="118.7"/>
  </r>
  <r>
    <d v="2025-10-06T14:28:37"/>
    <x v="4"/>
    <s v="Plaquettes de finition triangulaires"/>
    <s v="SD75051"/>
    <s v="COMBALUZIER LUCAS"/>
    <n v="10"/>
    <x v="1"/>
    <x v="0"/>
    <s v="PLAQUETTES"/>
    <s v="304x28 RPE"/>
    <n v="118.7"/>
  </r>
  <r>
    <d v="2025-10-06T21:12:53"/>
    <x v="4"/>
    <s v="Plaquettes de finition triangulaires"/>
    <s v="j529800"/>
    <s v="MONTCHARMONT BAPTISTE"/>
    <n v="10"/>
    <x v="0"/>
    <x v="0"/>
    <s v="PLAQUETTES"/>
    <s v="356x26 RPI"/>
    <n v="118.7"/>
  </r>
  <r>
    <d v="2025-10-09T19:35:33"/>
    <x v="4"/>
    <s v="Plaquettes de finition triangulaires"/>
    <s v="J609988"/>
    <s v="AMALRIC VINCENT"/>
    <n v="10"/>
    <x v="1"/>
    <x v="0"/>
    <s v="PLAQUETTES"/>
    <s v="304x28 RPE"/>
    <n v="118.7"/>
  </r>
  <r>
    <d v="2025-10-10T13:29:14"/>
    <x v="4"/>
    <s v="Plaquettes de finition triangulaires"/>
    <s v="040725"/>
    <s v="BARGEOT LUCAS"/>
    <n v="10"/>
    <x v="0"/>
    <x v="0"/>
    <s v="PLAQUETTES"/>
    <s v="356x26 RPI"/>
    <n v="118.7"/>
  </r>
  <r>
    <d v="2025-10-12T20:45:09"/>
    <x v="4"/>
    <s v="Plaquettes de finition triangulaires"/>
    <s v="150725"/>
    <s v="ADOUL WASSIM"/>
    <n v="10"/>
    <x v="1"/>
    <x v="0"/>
    <s v="PLAQUETTES"/>
    <s v="304x28 RPE"/>
    <n v="118.7"/>
  </r>
  <r>
    <d v="2025-10-13T21:53:18"/>
    <x v="4"/>
    <s v="Plaquettes de finition triangulaires"/>
    <s v="j529800"/>
    <s v="MONTCHARMONT BAPTISTE"/>
    <n v="10"/>
    <x v="0"/>
    <x v="0"/>
    <s v="PLAQUETTES"/>
    <s v="356x26 RPI"/>
    <n v="118.7"/>
  </r>
  <r>
    <d v="2025-10-14T19:55:49"/>
    <x v="4"/>
    <s v="Plaquettes de finition triangulaires"/>
    <s v="101224"/>
    <s v="CHAZEAU KYLIAN"/>
    <n v="10"/>
    <x v="0"/>
    <x v="0"/>
    <s v="PLAQUETTES"/>
    <s v="356x26 RPI"/>
    <n v="118.7"/>
  </r>
  <r>
    <d v="2025-10-16T05:21:58"/>
    <x v="4"/>
    <s v="Plaquettes de finition triangulaires"/>
    <s v="SD75051"/>
    <s v="COMBALUZIER LUCAS"/>
    <n v="10"/>
    <x v="1"/>
    <x v="0"/>
    <s v="PLAQUETTES"/>
    <s v="304x28 RPE"/>
    <n v="118.7"/>
  </r>
  <r>
    <d v="2025-10-17T02:41:36"/>
    <x v="4"/>
    <s v="Plaquettes de finition triangulaires"/>
    <s v="j529800"/>
    <s v="MONTCHARMONT BAPTISTE"/>
    <n v="10"/>
    <x v="0"/>
    <x v="0"/>
    <s v="PLAQUETTES"/>
    <s v="356x26 RPI"/>
    <n v="118.7"/>
  </r>
  <r>
    <d v="2025-10-17T16:51:05"/>
    <x v="4"/>
    <s v="Plaquettes de finition triangulaires"/>
    <s v="101224"/>
    <s v="CHAZEAU KYLIAN"/>
    <n v="10"/>
    <x v="0"/>
    <x v="0"/>
    <s v="PLAQUETTES"/>
    <s v="356x26 RPI"/>
    <n v="118.7"/>
  </r>
  <r>
    <d v="2025-10-20T06:34:54"/>
    <x v="4"/>
    <s v="Plaquettes de finition triangulaires"/>
    <s v="U505000"/>
    <s v="RECEVEUR BENOIT"/>
    <n v="10"/>
    <x v="1"/>
    <x v="0"/>
    <s v="PLAQUETTES"/>
    <s v="304x28 RPE"/>
    <n v="118.7"/>
  </r>
  <r>
    <d v="2025-10-20T16:52:50"/>
    <x v="4"/>
    <s v="Plaquettes de finition triangulaires"/>
    <s v="040725"/>
    <s v="BARGEOT LUCAS"/>
    <n v="10"/>
    <x v="0"/>
    <x v="0"/>
    <s v="PLAQUETTES"/>
    <s v="356x26 RPI"/>
    <n v="118.7"/>
  </r>
  <r>
    <d v="2025-10-20T21:19:21"/>
    <x v="4"/>
    <s v="Plaquettes de finition triangulaires"/>
    <s v="j529800"/>
    <s v="MONTCHARMONT BAPTISTE"/>
    <n v="10"/>
    <x v="0"/>
    <x v="0"/>
    <s v="PLAQUETTES"/>
    <s v="330x14"/>
    <n v="118.7"/>
  </r>
  <r>
    <d v="2025-10-21T19:34:49"/>
    <x v="5"/>
    <s v="Plaquettes de finition triangulaires"/>
    <s v="040725"/>
    <s v="BARGEOT LUCAS"/>
    <n v="10"/>
    <x v="3"/>
    <x v="0"/>
    <s v="PLAQUETTES"/>
    <s v="330x14"/>
    <n v="138.80000000000001"/>
  </r>
  <r>
    <d v="2025-10-23T05:56:59"/>
    <x v="4"/>
    <s v="Plaquettes de finition triangulaires"/>
    <s v="045F69CAA77080"/>
    <s v="TEIXEIRA FLORIAN"/>
    <n v="10"/>
    <x v="2"/>
    <x v="3"/>
    <s v="PLAQUETTES"/>
    <s v="302x26 RPI"/>
    <n v="118.7"/>
  </r>
  <r>
    <d v="2025-10-23T13:11:40"/>
    <x v="4"/>
    <s v="Plaquettes de finition triangulaires"/>
    <s v="SD75051"/>
    <s v="COMBALUZIER LUCAS"/>
    <n v="10"/>
    <x v="1"/>
    <x v="0"/>
    <s v="PLAQUETTES"/>
    <s v="304x28 RPE"/>
    <n v="118.7"/>
  </r>
  <r>
    <d v="2025-10-23T14:37:55"/>
    <x v="4"/>
    <s v="Plaquettes de finition triangulaires"/>
    <s v="040725"/>
    <s v="BARGEOT LUCAS"/>
    <n v="10"/>
    <x v="3"/>
    <x v="0"/>
    <s v="PLAQUETTES"/>
    <s v="330x14"/>
    <n v="118.7"/>
  </r>
  <r>
    <d v="2025-10-24T13:10:02"/>
    <x v="4"/>
    <s v="Plaquettes de finition triangulaires"/>
    <s v="040725"/>
    <s v="BARGEOT LUCAS"/>
    <n v="10"/>
    <x v="1"/>
    <x v="0"/>
    <s v="PLAQUETTES"/>
    <s v="304x28 RPE"/>
    <n v="118.7"/>
  </r>
  <r>
    <d v="2025-10-24T21:30:30"/>
    <x v="4"/>
    <s v="Plaquettes de finition triangulaires"/>
    <s v="j529800"/>
    <s v="MONTCHARMONT BAPTISTE"/>
    <n v="10"/>
    <x v="3"/>
    <x v="0"/>
    <s v="PLAQUETTES"/>
    <s v="330x28 RPE KO"/>
    <n v="118.7"/>
  </r>
  <r>
    <d v="2025-10-27T05:09:21"/>
    <x v="4"/>
    <s v="Plaquettes de finition triangulaires"/>
    <s v="040725"/>
    <s v="BARGEOT LUCAS"/>
    <n v="10"/>
    <x v="3"/>
    <x v="0"/>
    <s v="PLAQUETTES"/>
    <s v="330x28 RPE KO"/>
    <n v="118.7"/>
  </r>
  <r>
    <d v="2025-10-28T09:31:57"/>
    <x v="4"/>
    <s v="Plaquettes de finition triangulaires"/>
    <s v="12824586"/>
    <s v="DA SILVA FERNANDO"/>
    <n v="10"/>
    <x v="1"/>
    <x v="0"/>
    <s v="PLAQUETTES"/>
    <s v="TOUT DISQUES"/>
    <n v="118.7"/>
  </r>
  <r>
    <d v="2025-10-28T15:27:23"/>
    <x v="4"/>
    <s v="Plaquettes de finition triangulaires"/>
    <s v="04551FC25C7780"/>
    <s v="CHEDRU VIANNEY"/>
    <n v="10"/>
    <x v="0"/>
    <x v="0"/>
    <s v="PLAQUETTES"/>
    <s v="356x26 RPI"/>
    <n v="118.7"/>
  </r>
  <r>
    <d v="2025-10-29T05:07:01"/>
    <x v="4"/>
    <s v="Plaquettes de finition triangulaires"/>
    <s v="SD75051"/>
    <s v="COMBALUZIER LUCAS"/>
    <n v="10"/>
    <x v="1"/>
    <x v="0"/>
    <s v="PLAQUETTES"/>
    <s v="304x28 RPE"/>
    <n v="118.7"/>
  </r>
  <r>
    <d v="2025-10-31T04:10:00"/>
    <x v="4"/>
    <s v="Plaquettes de finition triangulaires"/>
    <s v="j529800"/>
    <s v="MONTCHARMONT BAPTISTE"/>
    <n v="10"/>
    <x v="3"/>
    <x v="0"/>
    <s v="PLAQUETTES"/>
    <s v="330x28 RPE KO"/>
    <n v="118.7"/>
  </r>
  <r>
    <d v="2025-10-31T15:42:48"/>
    <x v="4"/>
    <s v="Plaquettes de finition triangulaires"/>
    <s v="101224"/>
    <s v="CHAZEAU KYLIAN"/>
    <n v="10"/>
    <x v="1"/>
    <x v="0"/>
    <s v="PLAQUETTES"/>
    <s v="304x28 RPE"/>
    <n v="118.7"/>
  </r>
  <r>
    <d v="2025-11-03T05:11:57"/>
    <x v="4"/>
    <s v="Plaquettes de finition triangulaires"/>
    <s v="101224"/>
    <s v="CHAZEAU KYLIAN"/>
    <n v="10"/>
    <x v="1"/>
    <x v="0"/>
    <s v="PLAQUETTES"/>
    <s v="304x28 RPE"/>
    <n v="118.7"/>
  </r>
  <r>
    <d v="2025-11-04T21:24:39"/>
    <x v="4"/>
    <s v="Plaquettes de finition triangulaires"/>
    <s v="130325"/>
    <s v="PAPONNEAU JULIEN"/>
    <n v="10"/>
    <x v="1"/>
    <x v="0"/>
    <s v="PLAQUETTES"/>
    <s v="304x28 RPE"/>
    <n v="118.7"/>
  </r>
  <r>
    <d v="2025-11-04T21:24:54"/>
    <x v="4"/>
    <s v="Plaquettes de finition triangulaires"/>
    <s v="130325"/>
    <s v="PAPONNEAU JULIEN"/>
    <n v="10"/>
    <x v="1"/>
    <x v="0"/>
    <s v="PLAQUETTES"/>
    <s v="304x28 RPE"/>
    <n v="118.7"/>
  </r>
  <r>
    <d v="2025-11-04T21:25:05"/>
    <x v="4"/>
    <s v="Plaquettes de finition triangulaires"/>
    <s v="130325"/>
    <s v="PAPONNEAU JULIEN"/>
    <n v="10"/>
    <x v="1"/>
    <x v="0"/>
    <s v="PLAQUETTES"/>
    <s v="304x28 RPE"/>
    <n v="118.7"/>
  </r>
  <r>
    <d v="2025-11-05T13:41:45"/>
    <x v="4"/>
    <s v="Plaquettes de finition triangulaires"/>
    <s v="040725"/>
    <s v="BARGEOT LUCAS"/>
    <n v="10"/>
    <x v="3"/>
    <x v="0"/>
    <s v="PLAQUETTES"/>
    <s v="330x28 RPE KO"/>
    <n v="118.7"/>
  </r>
  <r>
    <d v="2025-11-06T05:57:20"/>
    <x v="4"/>
    <s v="Plaquettes de finition triangulaires"/>
    <s v="04551FC25C7780"/>
    <s v="CHEDRU VIANNEY"/>
    <n v="10"/>
    <x v="3"/>
    <x v="0"/>
    <s v="PLAQUETTES"/>
    <s v="330x28 RPE KO"/>
    <n v="118.7"/>
  </r>
  <r>
    <d v="2025-11-06T13:45:08"/>
    <x v="5"/>
    <s v="Plaquettes de finition triangulaires"/>
    <s v="040725"/>
    <s v="BARGEOT LUCAS"/>
    <n v="10"/>
    <x v="3"/>
    <x v="0"/>
    <s v="PLAQUETTES"/>
    <s v="330x14"/>
    <n v="138.80000000000001"/>
  </r>
  <r>
    <d v="2025-11-07T21:22:37"/>
    <x v="4"/>
    <s v="Plaquettes de finition triangulaires"/>
    <s v="j529800"/>
    <s v="MONTCHARMONT BAPTISTE"/>
    <n v="10"/>
    <x v="3"/>
    <x v="0"/>
    <s v="PLAQUETTES"/>
    <s v="330x14"/>
    <n v="118.7"/>
  </r>
  <r>
    <d v="2025-11-08T07:24:41"/>
    <x v="4"/>
    <s v="Plaquettes de finition triangulaires"/>
    <s v="U080365"/>
    <s v="ALAVOINE SAMUEL"/>
    <n v="10"/>
    <x v="1"/>
    <x v="0"/>
    <s v="PLAQUETTES"/>
    <s v="304x28 RPE"/>
    <n v="118.7"/>
  </r>
  <r>
    <d v="2025-11-08T11:16:06"/>
    <x v="4"/>
    <s v="Plaquettes de finition triangulaires"/>
    <s v="DELIAT C"/>
    <s v="DELIAT CHRISTOPHE"/>
    <n v="10"/>
    <x v="3"/>
    <x v="0"/>
    <s v="PLAQUETTES"/>
    <s v="330x14"/>
    <n v="118.7"/>
  </r>
  <r>
    <d v="2025-11-08T20:57:38"/>
    <x v="5"/>
    <s v="Plaquettes de finition triangulaires"/>
    <s v="150725"/>
    <s v="ADOUL WASSIM"/>
    <n v="10"/>
    <x v="3"/>
    <x v="0"/>
    <s v="PLAQUETTES"/>
    <s v="330x14"/>
    <n v="138.80000000000001"/>
  </r>
  <r>
    <d v="2025-11-09T06:55:14"/>
    <x v="4"/>
    <s v="Plaquettes de finition triangulaires"/>
    <s v="U080365"/>
    <s v="ALAVOINE SAMUEL"/>
    <n v="10"/>
    <x v="0"/>
    <x v="0"/>
    <s v="PLAQUETTES"/>
    <s v="356x26 RPI"/>
    <n v="118.7"/>
  </r>
  <r>
    <d v="2025-11-09T06:57:06"/>
    <x v="4"/>
    <s v="Plaquettes de finition triangulaires"/>
    <s v="U080365"/>
    <s v="ALAVOINE SAMUEL"/>
    <n v="10"/>
    <x v="3"/>
    <x v="0"/>
    <s v="PLAQUETTES"/>
    <s v="330x14"/>
    <n v="118.7"/>
  </r>
  <r>
    <d v="2025-11-12T07:03:53"/>
    <x v="5"/>
    <s v="Plaquettes de finition triangulaires"/>
    <s v="040725"/>
    <s v="BARGEOT LUCAS"/>
    <n v="10"/>
    <x v="3"/>
    <x v="0"/>
    <s v="PLAQUETTES"/>
    <s v="330x14"/>
    <n v="138.80000000000001"/>
  </r>
  <r>
    <d v="2025-11-12T21:37:37"/>
    <x v="4"/>
    <s v="Plaquettes de finition triangulaires"/>
    <s v="130325"/>
    <s v="PAPONNEAU JULIEN"/>
    <n v="10"/>
    <x v="1"/>
    <x v="0"/>
    <s v="PLAQUETTES"/>
    <s v="304x28 RPE"/>
    <n v="118.7"/>
  </r>
  <r>
    <d v="2025-11-13T22:11:07"/>
    <x v="4"/>
    <s v="Plaquettes de finition triangulaires"/>
    <s v="j529800"/>
    <s v="MONTCHARMONT BAPTISTE"/>
    <n v="10"/>
    <x v="3"/>
    <x v="0"/>
    <s v="PLAQUETTES"/>
    <s v="330x28 RPE KO"/>
    <n v="118.7"/>
  </r>
  <r>
    <d v="2025-11-14T19:02:53"/>
    <x v="4"/>
    <s v="Plaquettes de finition triangulaires"/>
    <s v="101224"/>
    <s v="CHAZEAU KYLIAN"/>
    <n v="10"/>
    <x v="1"/>
    <x v="0"/>
    <s v="PLAQUETTES"/>
    <s v="304x28 RPE"/>
    <n v="118.7"/>
  </r>
  <r>
    <d v="2025-11-15T02:24:33"/>
    <x v="4"/>
    <s v="Plaquettes de finition triangulaires"/>
    <s v="j529800"/>
    <s v="MONTCHARMONT BAPTISTE"/>
    <n v="10"/>
    <x v="3"/>
    <x v="0"/>
    <s v="PLAQUETTES"/>
    <s v="330x28 RPE KO"/>
    <n v="118.7"/>
  </r>
  <r>
    <d v="2025-11-15T07:19:53"/>
    <x v="4"/>
    <s v="Plaquettes de finition triangulaires"/>
    <s v="150725"/>
    <s v="ADOUL WASSIM"/>
    <n v="10"/>
    <x v="1"/>
    <x v="0"/>
    <s v="PLAQUETTES"/>
    <s v="304x28 RPE"/>
    <n v="118.7"/>
  </r>
  <r>
    <d v="2025-11-16T03:10:50"/>
    <x v="4"/>
    <s v="Plaquettes de finition triangulaires"/>
    <s v="U080365"/>
    <s v="ALAVOINE SAMUEL"/>
    <n v="10"/>
    <x v="0"/>
    <x v="0"/>
    <s v="PLAQUETTES"/>
    <s v="356x26 RPI"/>
    <n v="118.7"/>
  </r>
  <r>
    <d v="2025-11-16T03:11:04"/>
    <x v="4"/>
    <s v="Plaquettes de finition triangulaires"/>
    <s v="U080365"/>
    <s v="ALAVOINE SAMUEL"/>
    <n v="10"/>
    <x v="3"/>
    <x v="0"/>
    <s v="PLAQUETTES"/>
    <s v="330x28 RPE KO"/>
    <n v="118.7"/>
  </r>
  <r>
    <d v="2025-11-18T13:09:51"/>
    <x v="4"/>
    <s v="Plaquettes de finition triangulaires"/>
    <s v="SD75051"/>
    <s v="COMBALUZIER LUCAS"/>
    <n v="10"/>
    <x v="1"/>
    <x v="0"/>
    <s v="PLAQUETTES"/>
    <s v="304x28 RPE"/>
    <n v="118.7"/>
  </r>
  <r>
    <d v="2025-11-19T00:16:40"/>
    <x v="4"/>
    <s v="Plaquettes de finition triangulaires"/>
    <s v="j529800"/>
    <s v="MONTCHARMONT BAPTISTE"/>
    <n v="10"/>
    <x v="0"/>
    <x v="0"/>
    <s v="PLAQUETTES"/>
    <s v="356x26 RPI"/>
    <n v="118.7"/>
  </r>
  <r>
    <d v="2025-11-19T13:29:49"/>
    <x v="4"/>
    <s v="Plaquettes de finition triangulaires"/>
    <s v="SD75051"/>
    <s v="COMBALUZIER LUCAS"/>
    <n v="10"/>
    <x v="1"/>
    <x v="0"/>
    <s v="PLAQUETTES"/>
    <s v="304x28 RPE"/>
    <n v="118.7"/>
  </r>
  <r>
    <d v="2025-11-20T06:04:23"/>
    <x v="4"/>
    <s v="Plaquettes de finition triangulaires"/>
    <s v="04551FC25C7780"/>
    <s v="CHEDRU VIANNEY"/>
    <n v="10"/>
    <x v="0"/>
    <x v="0"/>
    <s v="PLAQUETTES"/>
    <s v="356x26 RPI"/>
    <n v="118.7"/>
  </r>
  <r>
    <d v="2025-11-20T23:52:07"/>
    <x v="5"/>
    <s v="Plaquettes de finition triangulaires"/>
    <s v="j529800"/>
    <s v="MONTCHARMONT BAPTISTE"/>
    <n v="10"/>
    <x v="3"/>
    <x v="0"/>
    <s v="PLAQUETTES"/>
    <s v="330x14"/>
    <n v="138.80000000000001"/>
  </r>
  <r>
    <d v="2025-11-22T19:16:06"/>
    <x v="4"/>
    <s v="Plaquettes de finition triangulaires"/>
    <s v="150725"/>
    <s v="ADOUL WASSIM"/>
    <n v="10"/>
    <x v="3"/>
    <x v="0"/>
    <s v="PLAQUETTES"/>
    <s v="330x28 RPE KO"/>
    <n v="118.7"/>
  </r>
  <r>
    <d v="2025-11-23T17:18:30"/>
    <x v="4"/>
    <s v="Plaquettes de finition triangulaires"/>
    <s v="150725"/>
    <s v="ADOUL WASSIM"/>
    <n v="10"/>
    <x v="0"/>
    <x v="0"/>
    <s v="PLAQUETTES"/>
    <s v="356x26 RPI"/>
    <n v="118.7"/>
  </r>
  <r>
    <d v="2025-11-23T19:10:35"/>
    <x v="4"/>
    <s v="Plaquettes de finition triangulaires"/>
    <s v="150725"/>
    <s v="ADOUL WASSIM"/>
    <n v="10"/>
    <x v="1"/>
    <x v="0"/>
    <s v="PLAQUETTES"/>
    <s v="304x28 RPE"/>
    <n v="118.7"/>
  </r>
  <r>
    <d v="2025-11-24T05:42:15"/>
    <x v="4"/>
    <s v="Plaquettes de finition triangulaires"/>
    <s v="040725"/>
    <s v="BARGEOT LUCAS"/>
    <n v="10"/>
    <x v="3"/>
    <x v="0"/>
    <s v="PLAQUETTES"/>
    <s v="330x28 RPE KO"/>
    <n v="118.7"/>
  </r>
  <r>
    <d v="2025-11-24T07:03:18"/>
    <x v="4"/>
    <s v="Plaquettes de finition triangulaires"/>
    <s v="040725"/>
    <s v="BARGEOT LUCAS"/>
    <n v="10"/>
    <x v="0"/>
    <x v="0"/>
    <s v="PLAQUETTES"/>
    <s v="356x26 RPI"/>
    <n v="118.7"/>
  </r>
  <r>
    <d v="2025-11-26T13:12:00"/>
    <x v="4"/>
    <s v="Plaquettes de finition triangulaires"/>
    <s v="04551FC25C7780"/>
    <s v="CHEDRU VIANNEY"/>
    <n v="10"/>
    <x v="0"/>
    <x v="0"/>
    <s v="PLAQUETTES"/>
    <s v="356x26 RPI"/>
    <n v="118.7"/>
  </r>
  <r>
    <d v="2025-11-28T00:40:19"/>
    <x v="4"/>
    <s v="Plaquettes de finition triangulaires"/>
    <s v="j529800"/>
    <s v="MONTCHARMONT BAPTISTE"/>
    <n v="10"/>
    <x v="3"/>
    <x v="0"/>
    <s v="PLAQUETTES"/>
    <s v="330x28 RPE KO"/>
    <n v="118.7"/>
  </r>
  <r>
    <d v="2025-11-29T18:19:49"/>
    <x v="4"/>
    <s v="Plaquettes de finition triangulaires"/>
    <s v="150725"/>
    <s v="ADOUL WASSIM"/>
    <n v="10"/>
    <x v="3"/>
    <x v="0"/>
    <s v="PLAQUETTES"/>
    <s v="330x28 RPE KO"/>
    <n v="118.7"/>
  </r>
  <r>
    <d v="2025-12-01T05:37:42"/>
    <x v="4"/>
    <s v="Plaquettes de finition triangulaires"/>
    <s v="210325"/>
    <s v="DAUTUN ALLAN"/>
    <n v="10"/>
    <x v="2"/>
    <x v="3"/>
    <s v="PLAQUETTES"/>
    <s v="302x26 RPI"/>
    <n v="118.7"/>
  </r>
  <r>
    <d v="2025-12-01T05:37:54"/>
    <x v="4"/>
    <s v="Plaquettes de finition triangulaires"/>
    <s v="210325"/>
    <s v="DAUTUN ALLAN"/>
    <n v="10"/>
    <x v="2"/>
    <x v="3"/>
    <s v="PLAQUETTES"/>
    <s v="302x26 RPI"/>
    <n v="118.7"/>
  </r>
  <r>
    <d v="2025-12-01T12:07:24"/>
    <x v="4"/>
    <s v="Plaquettes de finition triangulaires"/>
    <s v="045C6ECAA77080"/>
    <s v="PERREIRA KEVIN"/>
    <n v="10"/>
    <x v="1"/>
    <x v="0"/>
    <s v="PLAQUETTES"/>
    <s v="304x28 RPE"/>
    <n v="118.7"/>
  </r>
  <r>
    <d v="2025-12-01T13:11:51"/>
    <x v="4"/>
    <s v="Plaquettes de finition triangulaires"/>
    <s v="SD75051"/>
    <s v="COMBALUZIER LUCAS"/>
    <n v="10"/>
    <x v="1"/>
    <x v="0"/>
    <s v="PLAQUETTES"/>
    <s v="304x28 RPE"/>
    <n v="118.7"/>
  </r>
  <r>
    <d v="2025-12-01T21:41:33"/>
    <x v="4"/>
    <s v="Plaquettes de finition triangulaires"/>
    <s v="j529800"/>
    <s v="MONTCHARMONT BAPTISTE"/>
    <n v="10"/>
    <x v="0"/>
    <x v="0"/>
    <s v="PLAQUETTES"/>
    <s v="356x26 RPI"/>
    <n v="118.7"/>
  </r>
  <r>
    <d v="2025-12-02T07:18:42"/>
    <x v="4"/>
    <s v="Plaquettes de finition triangulaires"/>
    <s v="04551FC25C7780"/>
    <s v="CHEDRU VIANNEY"/>
    <n v="10"/>
    <x v="3"/>
    <x v="0"/>
    <s v="PLAQUETTES"/>
    <s v="330x28 RPE KO"/>
    <n v="118.7"/>
  </r>
  <r>
    <d v="2025-12-03T06:59:23"/>
    <x v="4"/>
    <s v="Plaquettes de finition triangulaires"/>
    <s v="04551FC25C7780"/>
    <s v="CHEDRU VIANNEY"/>
    <n v="10"/>
    <x v="0"/>
    <x v="0"/>
    <s v="PLAQUETTES"/>
    <s v="356x26 RPI"/>
    <n v="118.7"/>
  </r>
  <r>
    <d v="2025-12-04T06:39:15"/>
    <x v="4"/>
    <s v="Plaquettes de finition triangulaires"/>
    <s v="04551FC25C7780"/>
    <s v="CHEDRU VIANNEY"/>
    <n v="10"/>
    <x v="0"/>
    <x v="0"/>
    <s v="PLAQUETTES"/>
    <s v="356x26 RPI"/>
    <n v="118.7"/>
  </r>
  <r>
    <d v="2025-12-06T05:12:31"/>
    <x v="4"/>
    <s v="Plaquettes de finition triangulaires"/>
    <s v="U080365"/>
    <s v="ALAVOINE SAMUEL"/>
    <n v="10"/>
    <x v="0"/>
    <x v="0"/>
    <s v="PLAQUETTES"/>
    <s v="356x26 RPI"/>
    <n v="118.7"/>
  </r>
  <r>
    <d v="2025-12-06T05:14:06"/>
    <x v="5"/>
    <s v="Plaquettes de finition triangulaires"/>
    <s v="U080365"/>
    <s v="ALAVOINE SAMUEL"/>
    <n v="10"/>
    <x v="3"/>
    <x v="0"/>
    <s v="PLAQUETTES"/>
    <s v="330x28 RPE KO"/>
    <n v="138.80000000000001"/>
  </r>
  <r>
    <d v="2025-12-06T05:52:13"/>
    <x v="4"/>
    <s v="Plaquettes de finition triangulaires"/>
    <s v="DELIAT C"/>
    <s v="DELIAT CHRISTOPHE"/>
    <n v="10"/>
    <x v="1"/>
    <x v="0"/>
    <s v="PLAQUETTES"/>
    <s v="304x28 RPE"/>
    <n v="118.7"/>
  </r>
  <r>
    <d v="2025-12-07T10:10:04"/>
    <x v="4"/>
    <s v="Plaquettes de finition triangulaires"/>
    <s v="U080365"/>
    <s v="ALAVOINE SAMUEL"/>
    <n v="10"/>
    <x v="3"/>
    <x v="0"/>
    <s v="PLAQUETTES"/>
    <s v="330x28 RPE KO"/>
    <n v="118.7"/>
  </r>
  <r>
    <d v="2025-12-08T05:10:13"/>
    <x v="4"/>
    <s v="Plaquettes de finition triangulaires"/>
    <s v="140325"/>
    <s v="BOUCLIER JONATHAN"/>
    <n v="10"/>
    <x v="2"/>
    <x v="3"/>
    <s v="PLAQUETTES"/>
    <s v="302x26 RPI"/>
    <n v="118.7"/>
  </r>
  <r>
    <d v="2025-12-08T23:51:28"/>
    <x v="4"/>
    <s v="Plaquettes de finition triangulaires"/>
    <s v="j529800"/>
    <s v="MONTCHARMONT BAPTISTE"/>
    <n v="10"/>
    <x v="3"/>
    <x v="0"/>
    <s v="PLAQUETTES"/>
    <s v="330x28 RPE KO"/>
    <n v="118.7"/>
  </r>
  <r>
    <d v="2025-12-09T18:57:50"/>
    <x v="4"/>
    <s v="Plaquettes de finition triangulaires"/>
    <s v="04551FC25C7780"/>
    <s v="CHEDRU VIANNEY"/>
    <n v="10"/>
    <x v="3"/>
    <x v="0"/>
    <s v="PLAQUETTES"/>
    <s v="330x14"/>
    <n v="118.7"/>
  </r>
  <r>
    <d v="2025-12-11T11:15:20"/>
    <x v="4"/>
    <s v="Plaquettes de finition triangulaires"/>
    <s v="040725"/>
    <s v="BARGEOT LUCAS"/>
    <n v="10"/>
    <x v="0"/>
    <x v="0"/>
    <s v="PLAQUETTES"/>
    <s v="356x26 RPI"/>
    <n v="118.7"/>
  </r>
  <r>
    <d v="2025-12-11T19:15:59"/>
    <x v="5"/>
    <s v="Plaquettes de finition triangulaires"/>
    <s v="U505000"/>
    <s v="RECEVEUR BENOIT"/>
    <n v="10"/>
    <x v="3"/>
    <x v="0"/>
    <s v="PLAQUETTES"/>
    <s v="330x14"/>
    <n v="138.80000000000001"/>
  </r>
  <r>
    <d v="2025-12-12T16:56:03"/>
    <x v="4"/>
    <s v="Plaquettes de finition triangulaires"/>
    <s v="04551FC25C7780"/>
    <s v="CHEDRU VIANNEY"/>
    <n v="10"/>
    <x v="0"/>
    <x v="0"/>
    <s v="PLAQUETTES"/>
    <s v="356x26 RPI"/>
    <n v="118.7"/>
  </r>
  <r>
    <d v="2025-12-12T16:58:58"/>
    <x v="4"/>
    <s v="Plaquettes de finition triangulaires"/>
    <s v="04551FC25C7780"/>
    <s v="CHEDRU VIANNEY"/>
    <n v="10"/>
    <x v="3"/>
    <x v="0"/>
    <s v="PLAQUETTES"/>
    <s v="330x28 RPE KO"/>
    <n v="118.7"/>
  </r>
  <r>
    <d v="2025-12-15T05:29:00"/>
    <x v="4"/>
    <s v="Plaquettes de finition triangulaires"/>
    <s v="045C6ECAA77080"/>
    <s v="PERREIRA KEVIN"/>
    <n v="10"/>
    <x v="1"/>
    <x v="0"/>
    <s v="PLAQUETTES"/>
    <s v="356x26 RPI"/>
    <n v="118.7"/>
  </r>
  <r>
    <d v="2025-12-15T05:36:26"/>
    <x v="4"/>
    <s v="Plaquettes de finition triangulaires"/>
    <s v="04551FC25C7780"/>
    <s v="CHEDRU VIANNEY"/>
    <n v="10"/>
    <x v="0"/>
    <x v="0"/>
    <s v="PLAQUETTES"/>
    <s v="356x26 RPI"/>
    <n v="118.7"/>
  </r>
  <r>
    <d v="2025-12-16T22:51:46"/>
    <x v="5"/>
    <s v="Plaquettes de finition triangulaires"/>
    <s v="j529800"/>
    <s v="MONTCHARMONT BAPTISTE"/>
    <n v="10"/>
    <x v="0"/>
    <x v="0"/>
    <s v="PLAQUETTES"/>
    <s v="330x14"/>
    <n v="138.80000000000001"/>
  </r>
  <r>
    <d v="2025-12-17T13:15:41"/>
    <x v="4"/>
    <s v="Plaquettes de finition triangulaires"/>
    <s v="SD75051"/>
    <s v="COMBALUZIER LUCAS"/>
    <n v="10"/>
    <x v="1"/>
    <x v="0"/>
    <s v="PLAQUETTES"/>
    <s v="356x26 RPI"/>
    <n v="118.7"/>
  </r>
  <r>
    <d v="2025-12-17T18:20:12"/>
    <x v="4"/>
    <s v="Plaquettes de finition triangulaires"/>
    <s v="040725"/>
    <s v="BARGEOT LUCAS"/>
    <n v="10"/>
    <x v="0"/>
    <x v="0"/>
    <s v="PLAQUETTES"/>
    <s v="330x14"/>
    <n v="118.7"/>
  </r>
  <r>
    <d v="2025-12-17T21:16:14"/>
    <x v="4"/>
    <s v="Plaquettes de finition triangulaires"/>
    <s v="j529800"/>
    <s v="MONTCHARMONT BAPTISTE"/>
    <n v="10"/>
    <x v="3"/>
    <x v="0"/>
    <s v="PLAQUETTES"/>
    <s v="330x28 RPE KO"/>
    <n v="118.7"/>
  </r>
  <r>
    <d v="2025-12-18T14:28:50"/>
    <x v="4"/>
    <s v="Plaquettes de finition triangulaires"/>
    <s v="040725"/>
    <s v="BARGEOT LUCAS"/>
    <n v="10"/>
    <x v="0"/>
    <x v="0"/>
    <s v="PLAQUETTES"/>
    <s v="330x14"/>
    <n v="118.7"/>
  </r>
  <r>
    <d v="2025-12-19T21:58:39"/>
    <x v="4"/>
    <s v="Plaquettes de finition triangulaires"/>
    <s v="j529800"/>
    <s v="MONTCHARMONT BAPTISTE"/>
    <n v="10"/>
    <x v="0"/>
    <x v="0"/>
    <s v="PLAQUETTES"/>
    <s v="330x14"/>
    <n v="118.7"/>
  </r>
  <r>
    <d v="2025-12-20T10:25:23"/>
    <x v="4"/>
    <s v="Plaquettes de finition triangulaires"/>
    <s v="U080365"/>
    <s v="ALAVOINE SAMUEL"/>
    <n v="10"/>
    <x v="1"/>
    <x v="0"/>
    <s v="PLAQUETTES"/>
    <s v="356x26 RPI"/>
    <n v="118.7"/>
  </r>
  <r>
    <d v="2025-12-21T00:09:58"/>
    <x v="5"/>
    <s v="Plaquettes de finition triangulaires"/>
    <s v="150725"/>
    <s v="ADOUL WASSIM"/>
    <n v="10"/>
    <x v="0"/>
    <x v="0"/>
    <s v="PLAQUETTES"/>
    <s v="330x14"/>
    <n v="138.80000000000001"/>
  </r>
  <r>
    <d v="2025-12-22T02:15:49"/>
    <x v="4"/>
    <s v="Plaquettes de finition triangulaires"/>
    <s v="U109136"/>
    <s v="WIPLIE FREDERIC"/>
    <n v="10"/>
    <x v="0"/>
    <x v="0"/>
    <s v="PLAQUETTES"/>
    <s v="330x14"/>
    <n v="118.7"/>
  </r>
  <r>
    <d v="2025-12-22T05:38:25"/>
    <x v="4"/>
    <s v="Plaquettes de finition triangulaires"/>
    <s v="SE08251"/>
    <s v="FAYET AYMERIC"/>
    <n v="10"/>
    <x v="1"/>
    <x v="0"/>
    <s v="PLAQUETTES"/>
    <s v="356x26 RPI"/>
    <n v="118.7"/>
  </r>
  <r>
    <d v="2025-12-22T06:11:29"/>
    <x v="4"/>
    <s v="Plaquettes de finition triangulaires"/>
    <s v="040725"/>
    <s v="BARGEOT LUCAS"/>
    <n v="10"/>
    <x v="3"/>
    <x v="0"/>
    <s v="PLAQUETTES"/>
    <s v="330x28 RPE KO"/>
    <n v="118.7"/>
  </r>
  <r>
    <d v="2025-12-22T06:12:12"/>
    <x v="5"/>
    <s v="Plaquettes de finition triangulaires"/>
    <s v="040725"/>
    <s v="BARGEOT LUCAS"/>
    <n v="10"/>
    <x v="0"/>
    <x v="0"/>
    <s v="PLAQUETTES"/>
    <s v="330x14"/>
    <n v="138.80000000000001"/>
  </r>
  <r>
    <d v="2025-06-02T14:28:09"/>
    <x v="6"/>
    <s v="Plaquettes de gorges"/>
    <s v="18498233"/>
    <s v="ALVES ARTHUR"/>
    <n v="10"/>
    <x v="0"/>
    <x v="3"/>
    <s v="PLAQUETTES"/>
    <s v="TOUT DISQUES"/>
    <n v="188"/>
  </r>
  <r>
    <d v="2025-06-02T14:28:19"/>
    <x v="6"/>
    <s v="Plaquettes de gorges"/>
    <s v="18498233"/>
    <s v="ALVES ARTHUR"/>
    <n v="-10"/>
    <x v="0"/>
    <x v="3"/>
    <s v="PLAQUETTES"/>
    <s v="TOUT DISQUES"/>
    <n v="-188"/>
  </r>
  <r>
    <d v="2025-06-02T14:32:43"/>
    <x v="6"/>
    <s v="Plaquettes de gorges"/>
    <s v="1234SECOURS"/>
    <s v="SECOURS"/>
    <n v="10"/>
    <x v="0"/>
    <x v="3"/>
    <s v="PLAQUETTES"/>
    <s v="330x14"/>
    <n v="188"/>
  </r>
  <r>
    <d v="2025-06-04T23:25:06"/>
    <x v="6"/>
    <s v="Plaquettes de gorges"/>
    <s v="SD75051"/>
    <s v="COMBALUZIER LUCAS"/>
    <n v="10"/>
    <x v="0"/>
    <x v="3"/>
    <s v="PLAQUETTES"/>
    <s v="330x14"/>
    <n v="188"/>
  </r>
  <r>
    <d v="2025-06-08T17:19:56"/>
    <x v="6"/>
    <s v="Plaquettes de gorges"/>
    <s v="U109136"/>
    <s v="WIPLIE FREDERIC"/>
    <n v="10"/>
    <x v="0"/>
    <x v="3"/>
    <s v="PLAQUETTES"/>
    <s v="330x14"/>
    <n v="188"/>
  </r>
  <r>
    <d v="2025-06-18T03:44:06"/>
    <x v="6"/>
    <s v="Plaquettes de gorges"/>
    <s v="SE08251"/>
    <s v="FAYET AYMERIC"/>
    <n v="10"/>
    <x v="0"/>
    <x v="3"/>
    <s v="PLAQUETTES"/>
    <s v="330x14"/>
    <n v="188"/>
  </r>
  <r>
    <d v="2025-06-19T22:15:57"/>
    <x v="6"/>
    <s v="Plaquettes de gorges"/>
    <s v="SE08251"/>
    <s v="FAYET AYMERIC"/>
    <n v="10"/>
    <x v="0"/>
    <x v="3"/>
    <s v="PLAQUETTES"/>
    <s v="330x14"/>
    <n v="188"/>
  </r>
  <r>
    <d v="2025-06-23T05:54:54"/>
    <x v="6"/>
    <s v="Plaquettes de gorges"/>
    <s v="101224"/>
    <s v="CHAZEAU KYLIAN"/>
    <n v="10"/>
    <x v="0"/>
    <x v="3"/>
    <s v="PLAQUETTES"/>
    <s v="330x14"/>
    <n v="188"/>
  </r>
  <r>
    <d v="2025-07-03T17:50:55"/>
    <x v="6"/>
    <s v="Plaquettes de gorges"/>
    <s v="SD75051"/>
    <s v="COMBALUZIER LUCAS"/>
    <n v="10"/>
    <x v="0"/>
    <x v="3"/>
    <s v="PLAQUETTES"/>
    <s v="330x14"/>
    <n v="188"/>
  </r>
  <r>
    <d v="2025-07-07T05:06:48"/>
    <x v="6"/>
    <s v="Plaquettes de gorges"/>
    <s v="SD75051"/>
    <s v="COMBALUZIER LUCAS"/>
    <n v="10"/>
    <x v="3"/>
    <x v="3"/>
    <s v="PLAQUETTES"/>
    <s v="330x14"/>
    <n v="188"/>
  </r>
  <r>
    <d v="2025-07-10T04:37:21"/>
    <x v="6"/>
    <s v="Plaquettes de gorges"/>
    <s v="SE08251"/>
    <s v="FAYET AYMERIC"/>
    <n v="10"/>
    <x v="3"/>
    <x v="3"/>
    <s v="PLAQUETTES"/>
    <s v="330x14"/>
    <n v="188"/>
  </r>
  <r>
    <d v="2025-07-19T11:31:04"/>
    <x v="6"/>
    <s v="Plaquettes de gorges"/>
    <s v="U109136"/>
    <s v="WIPLIE FREDERIC"/>
    <n v="10"/>
    <x v="3"/>
    <x v="3"/>
    <s v="PLAQUETTES"/>
    <s v="330x14"/>
    <n v="188"/>
  </r>
  <r>
    <d v="2025-07-25T08:14:15"/>
    <x v="6"/>
    <s v="Plaquettes de gorges"/>
    <s v="U080365"/>
    <s v="ALAVOINE SAMUEL"/>
    <n v="10"/>
    <x v="3"/>
    <x v="3"/>
    <s v="PLAQUETTES"/>
    <s v="330x14"/>
    <n v="188"/>
  </r>
  <r>
    <d v="2025-07-28T09:17:32"/>
    <x v="6"/>
    <s v="Plaquettes de gorges"/>
    <s v="18498233"/>
    <s v="ALVES ARTHUR"/>
    <n v="10"/>
    <x v="0"/>
    <x v="3"/>
    <s v="PLAQUETTES"/>
    <s v="TOUT DISQUES"/>
    <n v="188"/>
  </r>
  <r>
    <d v="2025-08-19T08:47:26"/>
    <x v="6"/>
    <s v="Plaquettes de gorges"/>
    <s v="040725"/>
    <s v="BARGEOT LUCAS"/>
    <n v="10"/>
    <x v="3"/>
    <x v="3"/>
    <s v="PLAQUETTES"/>
    <s v="330x14"/>
    <n v="188"/>
  </r>
  <r>
    <d v="2025-08-22T10:52:43"/>
    <x v="6"/>
    <s v="Plaquettes de gorges"/>
    <s v="U080365"/>
    <s v="ALAVOINE SAMUEL"/>
    <n v="10"/>
    <x v="3"/>
    <x v="3"/>
    <s v="PLAQUETTES"/>
    <s v="330x14"/>
    <n v="188"/>
  </r>
  <r>
    <d v="2025-08-26T06:14:58"/>
    <x v="6"/>
    <s v="Plaquettes de gorges"/>
    <s v="U505000"/>
    <s v="RECEVEUR BENOIT"/>
    <n v="10"/>
    <x v="3"/>
    <x v="3"/>
    <s v="PLAQUETTES"/>
    <s v="330x14"/>
    <n v="188"/>
  </r>
  <r>
    <d v="2025-09-01T14:10:41"/>
    <x v="6"/>
    <s v="Plaquettes de gorges"/>
    <s v="101224"/>
    <s v="CHAZEAU KYLIAN"/>
    <n v="10"/>
    <x v="3"/>
    <x v="3"/>
    <s v="PLAQUETTES"/>
    <s v="330x14"/>
    <n v="188"/>
  </r>
  <r>
    <d v="2025-09-03T21:19:43"/>
    <x v="6"/>
    <s v="Plaquettes de gorges"/>
    <s v="j529800"/>
    <s v="MONTCHARMONT BAPTISTE"/>
    <n v="10"/>
    <x v="3"/>
    <x v="3"/>
    <s v="PLAQUETTES"/>
    <s v="330x14"/>
    <n v="188"/>
  </r>
  <r>
    <d v="2025-09-05T09:17:52"/>
    <x v="6"/>
    <s v="Plaquettes de gorges"/>
    <s v="020824"/>
    <s v="DA SILVA RENAUD"/>
    <n v="60"/>
    <x v="3"/>
    <x v="3"/>
    <s v="PLAQUETTES"/>
    <s v="TOUT DISQUES"/>
    <n v="1128"/>
  </r>
  <r>
    <d v="2025-09-11T02:24:16"/>
    <x v="6"/>
    <s v="Plaquettes de gorges"/>
    <s v="j529800"/>
    <s v="MONTCHARMONT BAPTISTE"/>
    <n v="10"/>
    <x v="3"/>
    <x v="3"/>
    <s v="PLAQUETTES"/>
    <s v="330x14"/>
    <n v="188"/>
  </r>
  <r>
    <d v="2025-09-13T06:51:19"/>
    <x v="6"/>
    <s v="Plaquettes de gorges"/>
    <s v="U109136"/>
    <s v="WIPLIE FREDERIC"/>
    <n v="10"/>
    <x v="3"/>
    <x v="3"/>
    <s v="PLAQUETTES"/>
    <s v="330x14"/>
    <n v="188"/>
  </r>
  <r>
    <d v="2025-09-27T09:42:44"/>
    <x v="6"/>
    <s v="Plaquettes de gorges"/>
    <s v="U109136"/>
    <s v="WIPLIE FREDERIC"/>
    <n v="10"/>
    <x v="3"/>
    <x v="3"/>
    <s v="PLAQUETTES"/>
    <s v="330x14"/>
    <n v="188"/>
  </r>
  <r>
    <d v="2025-09-30T19:58:25"/>
    <x v="6"/>
    <s v="Plaquettes de gorges"/>
    <s v="101224"/>
    <s v="CHAZEAU KYLIAN"/>
    <n v="10"/>
    <x v="3"/>
    <x v="3"/>
    <s v="PLAQUETTES"/>
    <s v="330x14"/>
    <n v="188"/>
  </r>
  <r>
    <d v="2025-10-02T06:47:34"/>
    <x v="6"/>
    <s v="Plaquettes de gorges"/>
    <s v="040725"/>
    <s v="BARGEOT LUCAS"/>
    <n v="10"/>
    <x v="3"/>
    <x v="3"/>
    <s v="PLAQUETTES"/>
    <s v="330x14"/>
    <n v="188"/>
  </r>
  <r>
    <d v="2025-10-20T19:19:50"/>
    <x v="6"/>
    <s v="Plaquettes de gorges"/>
    <s v="040725"/>
    <s v="BARGEOT LUCAS"/>
    <n v="10"/>
    <x v="3"/>
    <x v="3"/>
    <s v="PLAQUETTES"/>
    <s v="330x14"/>
    <n v="188"/>
  </r>
  <r>
    <d v="2025-10-23T00:38:27"/>
    <x v="6"/>
    <s v="Plaquettes de gorges"/>
    <s v="j529800"/>
    <s v="MONTCHARMONT BAPTISTE"/>
    <n v="10"/>
    <x v="3"/>
    <x v="3"/>
    <s v="PLAQUETTES"/>
    <s v="330x14"/>
    <n v="188"/>
  </r>
  <r>
    <d v="2025-11-06T21:46:14"/>
    <x v="6"/>
    <s v="Plaquettes de gorges"/>
    <s v="j529800"/>
    <s v="MONTCHARMONT BAPTISTE"/>
    <n v="10"/>
    <x v="3"/>
    <x v="3"/>
    <s v="PLAQUETTES"/>
    <s v="330x14"/>
    <n v="188"/>
  </r>
  <r>
    <d v="2025-11-09T02:56:38"/>
    <x v="6"/>
    <s v="Plaquettes de gorges"/>
    <s v="150725"/>
    <s v="ADOUL WASSIM"/>
    <n v="10"/>
    <x v="3"/>
    <x v="3"/>
    <s v="PLAQUETTES"/>
    <s v="330x14"/>
    <n v="188"/>
  </r>
  <r>
    <d v="2025-11-10T21:04:32"/>
    <x v="6"/>
    <s v="Plaquettes de gorges"/>
    <s v="j529800"/>
    <s v="MONTCHARMONT BAPTISTE"/>
    <n v="10"/>
    <x v="3"/>
    <x v="3"/>
    <s v="PLAQUETTES"/>
    <s v="330x14"/>
    <n v="188"/>
  </r>
  <r>
    <d v="2025-11-20T12:00:30"/>
    <x v="6"/>
    <s v="Plaquettes de gorges"/>
    <s v="04551FC25C7780"/>
    <s v="CHEDRU VIANNEY"/>
    <n v="10"/>
    <x v="3"/>
    <x v="3"/>
    <s v="PLAQUETTES"/>
    <s v="330x14"/>
    <n v="188"/>
  </r>
  <r>
    <d v="2025-12-11T14:11:07"/>
    <x v="6"/>
    <s v="Plaquettes de gorges"/>
    <s v="04551FC25C7780"/>
    <s v="CHEDRU VIANNEY"/>
    <n v="10"/>
    <x v="0"/>
    <x v="3"/>
    <s v="PLAQUETTES"/>
    <s v="330x14"/>
    <n v="188"/>
  </r>
  <r>
    <d v="2025-12-18T14:28:26"/>
    <x v="6"/>
    <s v="Plaquettes de gorges"/>
    <s v="040725"/>
    <s v="BARGEOT LUCAS"/>
    <n v="10"/>
    <x v="0"/>
    <x v="3"/>
    <s v="PLAQUETTES"/>
    <s v="330x14"/>
    <n v="188"/>
  </r>
  <r>
    <d v="2025-12-20T18:08:27"/>
    <x v="6"/>
    <s v="Plaquettes de gorges"/>
    <s v="150725"/>
    <s v="ADOUL WASSIM"/>
    <n v="10"/>
    <x v="0"/>
    <x v="3"/>
    <s v="PLAQUETTES"/>
    <s v="330x14"/>
    <n v="188"/>
  </r>
  <r>
    <d v="2025-12-22T02:19:34"/>
    <x v="6"/>
    <s v="Plaquettes de gorges"/>
    <s v="U109136"/>
    <s v="WIPLIE FREDERIC"/>
    <n v="10"/>
    <x v="0"/>
    <x v="3"/>
    <s v="PLAQUETTES"/>
    <s v="330x14"/>
    <n v="188"/>
  </r>
  <r>
    <d v="2025-01-02T16:06:03"/>
    <x v="7"/>
    <s v="Plaquettes d'ébauches carrées"/>
    <s v="101123"/>
    <s v="BRUNET ANDREA"/>
    <n v="10"/>
    <x v="2"/>
    <x v="4"/>
    <s v="PLAQUETTES"/>
    <s v="302x26 RPI"/>
    <n v="71.2"/>
  </r>
  <r>
    <d v="2025-01-04T01:00:59"/>
    <x v="7"/>
    <s v="Plaquettes d'ébauches carrées"/>
    <s v="SE08251"/>
    <s v="FAYET AYMERIC"/>
    <n v="10"/>
    <x v="3"/>
    <x v="2"/>
    <s v="PLAQUETTES"/>
    <s v="290x12"/>
    <n v="71.2"/>
  </r>
  <r>
    <d v="2025-01-04T06:51:15"/>
    <x v="7"/>
    <s v="Plaquettes d'ébauches carrées"/>
    <s v="U080365"/>
    <s v="ALAVOINE SAMUEL"/>
    <n v="20"/>
    <x v="2"/>
    <x v="2"/>
    <s v="PLAQUETTES"/>
    <s v="283x26 RPI"/>
    <n v="142.4"/>
  </r>
  <r>
    <d v="2025-01-04T06:52:06"/>
    <x v="7"/>
    <s v="Plaquettes d'ébauches carrées"/>
    <s v="U080365"/>
    <s v="ALAVOINE SAMUEL"/>
    <n v="10"/>
    <x v="2"/>
    <x v="2"/>
    <s v="PLAQUETTES"/>
    <s v="283x26 RPI"/>
    <n v="71.2"/>
  </r>
  <r>
    <d v="2025-01-05T20:05:36"/>
    <x v="7"/>
    <s v="Plaquettes d'ébauches carrées"/>
    <s v="U080365"/>
    <s v="ALAVOINE SAMUEL"/>
    <n v="20"/>
    <x v="3"/>
    <x v="2"/>
    <s v="PLAQUETTES"/>
    <s v="290x12"/>
    <n v="142.4"/>
  </r>
  <r>
    <d v="2025-01-07T14:05:55"/>
    <x v="7"/>
    <s v="Plaquettes d'ébauches carrées"/>
    <s v="SE08251"/>
    <s v="FAYET AYMERIC"/>
    <n v="10"/>
    <x v="0"/>
    <x v="2"/>
    <s v="PLAQUETTES"/>
    <s v="290x12"/>
    <n v="71.2"/>
  </r>
  <r>
    <d v="2025-01-08T14:59:35"/>
    <x v="7"/>
    <s v="Plaquettes d'ébauches carrées"/>
    <s v="SE08251"/>
    <s v="FAYET AYMERIC"/>
    <n v="10"/>
    <x v="0"/>
    <x v="2"/>
    <s v="PLAQUETTES"/>
    <s v="290x12"/>
    <n v="71.2"/>
  </r>
  <r>
    <d v="2025-01-08T22:13:36"/>
    <x v="7"/>
    <s v="Plaquettes d'ébauches carrées"/>
    <s v="SD75051"/>
    <s v="COMBALUZIER LUCAS"/>
    <n v="10"/>
    <x v="1"/>
    <x v="2"/>
    <s v="PLAQUETTES"/>
    <s v="356x26 RPI"/>
    <n v="71.2"/>
  </r>
  <r>
    <d v="2025-01-09T13:34:57"/>
    <x v="7"/>
    <s v="Plaquettes d'ébauches carrées"/>
    <s v="SE08251"/>
    <s v="FAYET AYMERIC"/>
    <n v="20"/>
    <x v="0"/>
    <x v="3"/>
    <s v="PLAQUETTES"/>
    <s v="290x12"/>
    <n v="142.4"/>
  </r>
  <r>
    <d v="2025-01-10T07:10:15"/>
    <x v="7"/>
    <s v="Plaquettes d'ébauches carrées"/>
    <s v="U080365"/>
    <s v="ALAVOINE SAMUEL"/>
    <n v="20"/>
    <x v="1"/>
    <x v="2"/>
    <s v="PLAQUETTES"/>
    <s v="356x26 RPI"/>
    <n v="142.4"/>
  </r>
  <r>
    <d v="2025-01-10T16:06:50"/>
    <x v="7"/>
    <s v="Plaquettes d'ébauches carrées"/>
    <s v="130124"/>
    <s v="MOHAMED ILDIRAY"/>
    <n v="10"/>
    <x v="1"/>
    <x v="3"/>
    <s v="PLAQUETTES"/>
    <s v="356x26 RPI"/>
    <n v="71.2"/>
  </r>
  <r>
    <d v="2025-01-11T04:39:48"/>
    <x v="7"/>
    <s v="Plaquettes d'ébauches carrées"/>
    <s v="u636817"/>
    <s v="MOCQUEREAU LYDIE"/>
    <n v="10"/>
    <x v="2"/>
    <x v="2"/>
    <s v="PLAQUETTES"/>
    <s v="302x26 RPI"/>
    <n v="71.2"/>
  </r>
  <r>
    <d v="2025-01-12T23:17:00"/>
    <x v="7"/>
    <s v="Plaquettes d'ébauches carrées"/>
    <s v="U109136"/>
    <s v="WIPLIE FREDERIC"/>
    <n v="10"/>
    <x v="0"/>
    <x v="3"/>
    <s v="PLAQUETTES"/>
    <s v="290x12"/>
    <n v="71.2"/>
  </r>
  <r>
    <d v="2025-01-13T05:20:18"/>
    <x v="7"/>
    <s v="Plaquettes d'ébauches carrées"/>
    <s v="SE08251"/>
    <s v="FAYET AYMERIC"/>
    <n v="20"/>
    <x v="0"/>
    <x v="3"/>
    <s v="PLAQUETTES"/>
    <s v="290x12"/>
    <n v="142.4"/>
  </r>
  <r>
    <d v="2025-01-13T09:09:37"/>
    <x v="7"/>
    <s v="Plaquettes d'ébauches carrées"/>
    <s v="11737592"/>
    <s v="BLOCQUET DAVID"/>
    <n v="10"/>
    <x v="2"/>
    <x v="2"/>
    <s v="PLAQUETTES"/>
    <s v="302x26 RPI"/>
    <n v="71.2"/>
  </r>
  <r>
    <d v="2025-01-14T20:23:11"/>
    <x v="7"/>
    <s v="Plaquettes d'ébauches carrées"/>
    <s v="u636817"/>
    <s v="MOCQUEREAU LYDIE"/>
    <n v="20"/>
    <x v="2"/>
    <x v="3"/>
    <s v="PLAQUETTES"/>
    <s v="302x26 RPI"/>
    <n v="142.4"/>
  </r>
  <r>
    <d v="2025-01-14T21:15:49"/>
    <x v="7"/>
    <s v="Plaquettes d'ébauches carrées"/>
    <s v="U037238"/>
    <s v="PRIEUR OLIVIER"/>
    <n v="10"/>
    <x v="2"/>
    <x v="3"/>
    <s v="PLAQUETTES"/>
    <s v="302x26 RPI"/>
    <n v="71.2"/>
  </r>
  <r>
    <d v="2025-01-15T10:59:59"/>
    <x v="7"/>
    <s v="Plaquettes d'ébauches carrées"/>
    <s v="SE08251"/>
    <s v="FAYET AYMERIC"/>
    <n v="10"/>
    <x v="0"/>
    <x v="2"/>
    <s v="PLAQUETTES"/>
    <s v="290x12"/>
    <n v="71.2"/>
  </r>
  <r>
    <d v="2025-01-15T21:15:16"/>
    <x v="7"/>
    <s v="Plaquettes d'ébauches carrées"/>
    <s v="101123"/>
    <s v="BRUNET ANDREA"/>
    <n v="20"/>
    <x v="2"/>
    <x v="2"/>
    <s v="PLAQUETTES"/>
    <s v="302x26 RPI"/>
    <n v="142.4"/>
  </r>
  <r>
    <d v="2025-01-16T07:00:23"/>
    <x v="7"/>
    <s v="Plaquettes d'ébauches carrées"/>
    <s v="SE08251"/>
    <s v="FAYET AYMERIC"/>
    <n v="10"/>
    <x v="0"/>
    <x v="2"/>
    <s v="PLAQUETTES"/>
    <s v="290x12"/>
    <n v="71.2"/>
  </r>
  <r>
    <d v="2025-01-16T21:04:47"/>
    <x v="7"/>
    <s v="Plaquettes d'ébauches carrées"/>
    <s v="130124"/>
    <s v="MOHAMED ILDIRAY"/>
    <n v="10"/>
    <x v="1"/>
    <x v="3"/>
    <s v="PLAQUETTES"/>
    <s v="304x28 RPE"/>
    <n v="71.2"/>
  </r>
  <r>
    <d v="2025-01-17T13:18:05"/>
    <x v="7"/>
    <s v="Plaquettes d'ébauches carrées"/>
    <s v="SD75051"/>
    <s v="COMBALUZIER LUCAS"/>
    <n v="10"/>
    <x v="0"/>
    <x v="2"/>
    <s v="PLAQUETTES"/>
    <s v="290x12"/>
    <n v="71.2"/>
  </r>
  <r>
    <d v="2025-01-18T11:26:04"/>
    <x v="7"/>
    <s v="Plaquettes d'ébauches carrées"/>
    <s v="U080365"/>
    <s v="ALAVOINE SAMUEL"/>
    <n v="10"/>
    <x v="0"/>
    <x v="2"/>
    <s v="PLAQUETTES"/>
    <s v="290x12"/>
    <n v="71.2"/>
  </r>
  <r>
    <d v="2025-01-19T17:09:42"/>
    <x v="7"/>
    <s v="Plaquettes d'ébauches carrées"/>
    <s v="U109136"/>
    <s v="WIPLIE FREDERIC"/>
    <n v="10"/>
    <x v="1"/>
    <x v="2"/>
    <s v="PLAQUETTES"/>
    <s v="304x28 RPE"/>
    <n v="71.2"/>
  </r>
  <r>
    <d v="2025-01-20T05:13:19"/>
    <x v="7"/>
    <s v="Plaquettes d'ébauches carrées"/>
    <s v="SD75051"/>
    <s v="COMBALUZIER LUCAS"/>
    <n v="10"/>
    <x v="1"/>
    <x v="3"/>
    <s v="PLAQUETTES"/>
    <s v="304x28 RPE"/>
    <n v="71.2"/>
  </r>
  <r>
    <d v="2025-01-20T13:29:54"/>
    <x v="7"/>
    <s v="Plaquettes d'ébauches carrées"/>
    <s v="U037238"/>
    <s v="PRIEUR OLIVIER"/>
    <n v="10"/>
    <x v="2"/>
    <x v="3"/>
    <s v="PLAQUETTES"/>
    <s v="302x26 RPI"/>
    <n v="71.2"/>
  </r>
  <r>
    <d v="2025-01-21T18:03:23"/>
    <x v="7"/>
    <s v="Plaquettes d'ébauches carrées"/>
    <s v="101224"/>
    <s v="CHAZEAU KYLIAN"/>
    <n v="20"/>
    <x v="0"/>
    <x v="2"/>
    <s v="PLAQUETTES"/>
    <s v="290x12"/>
    <n v="142.4"/>
  </r>
  <r>
    <d v="2025-01-23T00:15:33"/>
    <x v="7"/>
    <s v="Plaquettes d'ébauches carrées"/>
    <s v="11737592"/>
    <s v="BLOCQUET DAVID"/>
    <n v="10"/>
    <x v="2"/>
    <x v="4"/>
    <s v="PLAQUETTES"/>
    <s v="302x26 RPI"/>
    <n v="71.2"/>
  </r>
  <r>
    <d v="2025-01-23T00:16:26"/>
    <x v="7"/>
    <s v="Plaquettes d'ébauches carrées"/>
    <s v="11737592"/>
    <s v="BLOCQUET DAVID"/>
    <n v="10"/>
    <x v="2"/>
    <x v="3"/>
    <s v="PLAQUETTES"/>
    <s v="302x26 RPI"/>
    <n v="71.2"/>
  </r>
  <r>
    <d v="2025-01-23T05:10:27"/>
    <x v="7"/>
    <s v="Plaquettes d'ébauches carrées"/>
    <s v="SD75051"/>
    <s v="COMBALUZIER LUCAS"/>
    <n v="10"/>
    <x v="1"/>
    <x v="2"/>
    <s v="PLAQUETTES"/>
    <s v="304x28 RPE"/>
    <n v="71.2"/>
  </r>
  <r>
    <d v="2025-01-23T16:12:19"/>
    <x v="7"/>
    <s v="Plaquettes d'ébauches carrées"/>
    <s v="101224"/>
    <s v="CHAZEAU KYLIAN"/>
    <n v="10"/>
    <x v="0"/>
    <x v="2"/>
    <s v="PLAQUETTES"/>
    <s v="290x12"/>
    <n v="71.2"/>
  </r>
  <r>
    <d v="2025-01-23T16:21:30"/>
    <x v="7"/>
    <s v="Plaquettes d'ébauches carrées"/>
    <s v="101123"/>
    <s v="BRUNET ANDREA"/>
    <n v="10"/>
    <x v="2"/>
    <x v="3"/>
    <s v="PLAQUETTES"/>
    <s v="302x26 RPI"/>
    <n v="71.2"/>
  </r>
  <r>
    <d v="2025-01-25T05:38:18"/>
    <x v="7"/>
    <s v="Plaquettes d'ébauches carrées"/>
    <s v="U080365"/>
    <s v="ALAVOINE SAMUEL"/>
    <n v="20"/>
    <x v="0"/>
    <x v="2"/>
    <s v="PLAQUETTES"/>
    <s v="290x12"/>
    <n v="142.4"/>
  </r>
  <r>
    <d v="2025-01-27T05:19:43"/>
    <x v="7"/>
    <s v="Plaquettes d'ébauches carrées"/>
    <s v="130124"/>
    <s v="MOHAMED ILDIRAY"/>
    <n v="10"/>
    <x v="1"/>
    <x v="2"/>
    <s v="PLAQUETTES"/>
    <s v="356x26 RPI"/>
    <n v="71.2"/>
  </r>
  <r>
    <d v="2025-01-27T13:23:39"/>
    <x v="7"/>
    <s v="Plaquettes d'ébauches carrées"/>
    <s v="12824586"/>
    <s v="DA SILVA FERNANDO"/>
    <n v="10"/>
    <x v="2"/>
    <x v="3"/>
    <s v="PLAQUETTES"/>
    <s v="TOUT DISQUES"/>
    <n v="71.2"/>
  </r>
  <r>
    <d v="2025-01-27T23:14:34"/>
    <x v="7"/>
    <s v="Plaquettes d'ébauches carrées"/>
    <s v="SD75051"/>
    <s v="COMBALUZIER LUCAS"/>
    <n v="10"/>
    <x v="1"/>
    <x v="3"/>
    <s v="PLAQUETTES"/>
    <s v="356x26 RPI"/>
    <n v="71.2"/>
  </r>
  <r>
    <d v="2025-01-28T00:38:08"/>
    <x v="7"/>
    <s v="Plaquettes d'ébauches carrées"/>
    <s v="u636817"/>
    <s v="MOCQUEREAU LYDIE"/>
    <n v="20"/>
    <x v="2"/>
    <x v="2"/>
    <s v="PLAQUETTES"/>
    <s v="302x26 RPI"/>
    <n v="142.4"/>
  </r>
  <r>
    <d v="2025-01-28T00:38:50"/>
    <x v="7"/>
    <s v="Plaquettes d'ébauches carrées"/>
    <s v="u636817"/>
    <s v="MOCQUEREAU LYDIE"/>
    <n v="10"/>
    <x v="2"/>
    <x v="3"/>
    <s v="PLAQUETTES"/>
    <s v="302x26 RPI"/>
    <n v="71.2"/>
  </r>
  <r>
    <d v="2025-01-28T05:10:23"/>
    <x v="7"/>
    <s v="Plaquettes d'ébauches carrées"/>
    <s v="101224"/>
    <s v="CHAZEAU KYLIAN"/>
    <n v="10"/>
    <x v="3"/>
    <x v="2"/>
    <s v="PLAQUETTES"/>
    <s v="290x12"/>
    <n v="71.2"/>
  </r>
  <r>
    <d v="2025-01-28T19:45:46"/>
    <x v="7"/>
    <s v="Plaquettes d'ébauches carrées"/>
    <s v="SE08251"/>
    <s v="FAYET AYMERIC"/>
    <n v="10"/>
    <x v="3"/>
    <x v="3"/>
    <s v="PLAQUETTES"/>
    <s v="330x28 RPE KO"/>
    <n v="71.2"/>
  </r>
  <r>
    <d v="2025-01-29T05:16:04"/>
    <x v="7"/>
    <s v="Plaquettes d'ébauches carrées"/>
    <s v="101123"/>
    <s v="BRUNET ANDREA"/>
    <n v="10"/>
    <x v="2"/>
    <x v="2"/>
    <s v="PLAQUETTES"/>
    <s v="302x26 RPI"/>
    <n v="71.2"/>
  </r>
  <r>
    <d v="2025-01-29T13:10:39"/>
    <x v="7"/>
    <s v="Plaquettes d'ébauches carrées"/>
    <s v="11737592"/>
    <s v="BLOCQUET DAVID"/>
    <n v="20"/>
    <x v="2"/>
    <x v="3"/>
    <s v="PLAQUETTES"/>
    <s v="302x26 RPI"/>
    <n v="142.4"/>
  </r>
  <r>
    <d v="2025-01-29T17:15:19"/>
    <x v="7"/>
    <s v="Plaquettes d'ébauches carrées"/>
    <s v="SE08251"/>
    <s v="FAYET AYMERIC"/>
    <n v="10"/>
    <x v="0"/>
    <x v="3"/>
    <s v="PLAQUETTES"/>
    <s v="290x12"/>
    <n v="71.2"/>
  </r>
  <r>
    <d v="2025-01-30T05:38:03"/>
    <x v="7"/>
    <s v="Plaquettes d'ébauches carrées"/>
    <s v="U037238"/>
    <s v="PRIEUR OLIVIER"/>
    <n v="10"/>
    <x v="2"/>
    <x v="3"/>
    <s v="PLAQUETTES"/>
    <s v="302x26 RPI"/>
    <n v="71.2"/>
  </r>
  <r>
    <d v="2025-01-31T13:53:51"/>
    <x v="7"/>
    <s v="Plaquettes d'ébauches carrées"/>
    <s v="3224"/>
    <s v="BIDOT MURIEL"/>
    <n v="10"/>
    <x v="1"/>
    <x v="2"/>
    <s v="PLAQUETTES"/>
    <s v="356x26 RPI"/>
    <n v="71.2"/>
  </r>
  <r>
    <d v="2025-01-31T14:36:46"/>
    <x v="7"/>
    <s v="Plaquettes d'ébauches carrées"/>
    <s v="3224"/>
    <s v="BIDOT MURIEL"/>
    <n v="10"/>
    <x v="1"/>
    <x v="2"/>
    <s v="PLAQUETTES"/>
    <s v="304x28 RPE"/>
    <n v="71.2"/>
  </r>
  <r>
    <d v="2025-01-31T14:38:40"/>
    <x v="7"/>
    <s v="Plaquettes d'ébauches carrées"/>
    <s v="3224"/>
    <s v="BIDOT MURIEL"/>
    <n v="-10"/>
    <x v="1"/>
    <x v="2"/>
    <s v="PLAQUETTES"/>
    <s v="304x28 RPE"/>
    <n v="-71.2"/>
  </r>
  <r>
    <d v="2025-02-01T03:44:55"/>
    <x v="7"/>
    <s v="Plaquettes d'ébauches carrées"/>
    <s v="u636817"/>
    <s v="MOCQUEREAU LYDIE"/>
    <n v="20"/>
    <x v="2"/>
    <x v="2"/>
    <s v="PLAQUETTES"/>
    <s v="302x26 RPI"/>
    <n v="142.4"/>
  </r>
  <r>
    <d v="2025-02-03T05:15:39"/>
    <x v="7"/>
    <s v="Plaquettes d'ébauches carrées"/>
    <s v="3224"/>
    <s v="BIDOT MURIEL"/>
    <n v="10"/>
    <x v="1"/>
    <x v="2"/>
    <s v="PLAQUETTES"/>
    <s v="356x26 RPI"/>
    <n v="71.2"/>
  </r>
  <r>
    <d v="2025-02-03T05:52:48"/>
    <x v="7"/>
    <s v="Plaquettes d'ébauches carrées"/>
    <s v="3224"/>
    <s v="BIDOT MURIEL"/>
    <n v="10"/>
    <x v="3"/>
    <x v="2"/>
    <s v="PLAQUETTES"/>
    <s v="290x12"/>
    <n v="71.2"/>
  </r>
  <r>
    <d v="2025-02-03T21:26:23"/>
    <x v="7"/>
    <s v="Plaquettes d'ébauches carrées"/>
    <s v="U037238"/>
    <s v="PRIEUR OLIVIER"/>
    <n v="10"/>
    <x v="2"/>
    <x v="3"/>
    <s v="PLAQUETTES"/>
    <s v="302x26 RPI"/>
    <n v="71.2"/>
  </r>
  <r>
    <d v="2025-02-04T05:20:08"/>
    <x v="7"/>
    <s v="Plaquettes d'ébauches carrées"/>
    <s v="U532976"/>
    <s v="LEFORT XAVIER"/>
    <n v="10"/>
    <x v="2"/>
    <x v="3"/>
    <s v="PLAQUETTES"/>
    <s v="302x26 RPI"/>
    <n v="71.2"/>
  </r>
  <r>
    <d v="2025-02-04T13:30:59"/>
    <x v="7"/>
    <s v="Plaquettes d'ébauches carrées"/>
    <s v="SD75051"/>
    <s v="COMBALUZIER LUCAS"/>
    <n v="10"/>
    <x v="0"/>
    <x v="2"/>
    <s v="PLAQUETTES"/>
    <s v="330x14"/>
    <n v="71.2"/>
  </r>
  <r>
    <d v="2025-02-05T07:53:09"/>
    <x v="7"/>
    <s v="Plaquettes d'ébauches carrées"/>
    <s v="SE08251"/>
    <s v="FAYET AYMERIC"/>
    <n v="10"/>
    <x v="0"/>
    <x v="3"/>
    <s v="PLAQUETTES"/>
    <s v="330x14"/>
    <n v="71.2"/>
  </r>
  <r>
    <d v="2025-02-05T10:25:45"/>
    <x v="7"/>
    <s v="Plaquettes d'ébauches carrées"/>
    <s v="12824586"/>
    <s v="DA SILVA FERNANDO"/>
    <n v="10"/>
    <x v="3"/>
    <x v="2"/>
    <s v="PLAQUETTES"/>
    <s v="TOUT DISQUES"/>
    <n v="71.2"/>
  </r>
  <r>
    <d v="2025-02-06T17:05:54"/>
    <x v="7"/>
    <s v="Plaquettes d'ébauches carrées"/>
    <s v="SD75051"/>
    <s v="COMBALUZIER LUCAS"/>
    <n v="10"/>
    <x v="1"/>
    <x v="2"/>
    <s v="PLAQUETTES"/>
    <s v="356x26 RPI"/>
    <n v="71.2"/>
  </r>
  <r>
    <d v="2025-02-06T21:44:06"/>
    <x v="7"/>
    <s v="Plaquettes d'ébauches carrées"/>
    <s v="U037238"/>
    <s v="PRIEUR OLIVIER"/>
    <n v="10"/>
    <x v="2"/>
    <x v="3"/>
    <s v="PLAQUETTES"/>
    <s v="302x26 RPI"/>
    <n v="71.2"/>
  </r>
  <r>
    <d v="2025-02-06T22:57:22"/>
    <x v="7"/>
    <s v="Plaquettes d'ébauches carrées"/>
    <s v="101224"/>
    <s v="CHAZEAU KYLIAN"/>
    <n v="10"/>
    <x v="3"/>
    <x v="2"/>
    <s v="PLAQUETTES"/>
    <s v="290x12"/>
    <n v="71.2"/>
  </r>
  <r>
    <d v="2025-02-08T07:04:01"/>
    <x v="7"/>
    <s v="Plaquettes d'ébauches carrées"/>
    <s v="U109136"/>
    <s v="WIPLIE FREDERIC"/>
    <n v="20"/>
    <x v="0"/>
    <x v="2"/>
    <s v="PLAQUETTES"/>
    <s v="290x12"/>
    <n v="142.4"/>
  </r>
  <r>
    <d v="2025-02-10T10:46:30"/>
    <x v="7"/>
    <s v="Plaquettes d'ébauches carrées"/>
    <s v="7236310"/>
    <s v="BRANDALY JEREMY"/>
    <n v="20"/>
    <x v="0"/>
    <x v="3"/>
    <s v="PLAQUETTES"/>
    <s v="356x26 RPI"/>
    <n v="142.4"/>
  </r>
  <r>
    <d v="2025-02-11T05:24:20"/>
    <x v="7"/>
    <s v="Plaquettes d'ébauches carrées"/>
    <s v="SD75051"/>
    <s v="COMBALUZIER LUCAS"/>
    <n v="10"/>
    <x v="1"/>
    <x v="2"/>
    <s v="PLAQUETTES"/>
    <s v="356x26 RPI"/>
    <n v="71.2"/>
  </r>
  <r>
    <d v="2025-02-11T06:26:15"/>
    <x v="7"/>
    <s v="Plaquettes d'ébauches carrées"/>
    <s v="140325"/>
    <s v="BOUCLIER JONATHAN"/>
    <n v="10"/>
    <x v="2"/>
    <x v="2"/>
    <s v="PLAQUETTES"/>
    <s v="302x26 RPI"/>
    <n v="71.2"/>
  </r>
  <r>
    <d v="2025-02-11T13:27:30"/>
    <x v="7"/>
    <s v="Plaquettes d'ébauches carrées"/>
    <s v="U037238"/>
    <s v="PRIEUR OLIVIER"/>
    <n v="10"/>
    <x v="2"/>
    <x v="4"/>
    <s v="PLAQUETTES"/>
    <s v="302x26 RPI"/>
    <n v="71.2"/>
  </r>
  <r>
    <d v="2025-02-12T04:26:08"/>
    <x v="7"/>
    <s v="Plaquettes d'ébauches carrées"/>
    <s v="SE08251"/>
    <s v="FAYET AYMERIC"/>
    <n v="20"/>
    <x v="0"/>
    <x v="2"/>
    <s v="PLAQUETTES"/>
    <s v="290x12"/>
    <n v="142.4"/>
  </r>
  <r>
    <d v="2025-02-12T15:01:30"/>
    <x v="7"/>
    <s v="Plaquettes d'ébauches carrées"/>
    <s v="U373626"/>
    <s v="CHARRIER ROMAIN"/>
    <n v="10"/>
    <x v="0"/>
    <x v="2"/>
    <s v="PLAQUETTES"/>
    <s v="290x12"/>
    <n v="71.2"/>
  </r>
  <r>
    <d v="2025-02-12T15:01:47"/>
    <x v="7"/>
    <s v="Plaquettes d'ébauches carrées"/>
    <s v="U373626"/>
    <s v="CHARRIER ROMAIN"/>
    <n v="-10"/>
    <x v="0"/>
    <x v="2"/>
    <s v="PLAQUETTES"/>
    <s v="290x12"/>
    <n v="-71.2"/>
  </r>
  <r>
    <d v="2025-02-14T19:41:06"/>
    <x v="7"/>
    <s v="Plaquettes d'ébauches carrées"/>
    <s v="101123"/>
    <s v="BRUNET ANDREA"/>
    <n v="10"/>
    <x v="2"/>
    <x v="2"/>
    <s v="PLAQUETTES"/>
    <s v="302x26 RPI"/>
    <n v="71.2"/>
  </r>
  <r>
    <d v="2025-02-14T19:41:32"/>
    <x v="7"/>
    <s v="Plaquettes d'ébauches carrées"/>
    <s v="101123"/>
    <s v="BRUNET ANDREA"/>
    <n v="10"/>
    <x v="2"/>
    <x v="4"/>
    <s v="PLAQUETTES"/>
    <s v="302x26 RPI"/>
    <n v="71.2"/>
  </r>
  <r>
    <d v="2025-02-15T05:36:31"/>
    <x v="7"/>
    <s v="Plaquettes d'ébauches carrées"/>
    <s v="U080365"/>
    <s v="ALAVOINE SAMUEL"/>
    <n v="10"/>
    <x v="0"/>
    <x v="2"/>
    <s v="PLAQUETTES"/>
    <s v="330x14"/>
    <n v="71.2"/>
  </r>
  <r>
    <d v="2025-02-17T05:09:17"/>
    <x v="7"/>
    <s v="Plaquettes d'ébauches carrées"/>
    <s v="100225"/>
    <s v="PRUNEAU WILLIAM"/>
    <n v="10"/>
    <x v="1"/>
    <x v="2"/>
    <s v="PLAQUETTES"/>
    <s v="304x28 RPE"/>
    <n v="71.2"/>
  </r>
  <r>
    <d v="2025-02-17T05:12:37"/>
    <x v="7"/>
    <s v="Plaquettes d'ébauches carrées"/>
    <s v="130124"/>
    <s v="MOHAMED ILDIRAY"/>
    <n v="10"/>
    <x v="1"/>
    <x v="2"/>
    <s v="PLAQUETTES"/>
    <s v="304x28 RPE"/>
    <n v="71.2"/>
  </r>
  <r>
    <d v="2025-02-17T05:13:30"/>
    <x v="7"/>
    <s v="Plaquettes d'ébauches carrées"/>
    <s v="130124"/>
    <s v="MOHAMED ILDIRAY"/>
    <n v="10"/>
    <x v="1"/>
    <x v="3"/>
    <s v="PLAQUETTES"/>
    <s v="304x28 RPE"/>
    <n v="71.2"/>
  </r>
  <r>
    <d v="2025-02-17T10:17:20"/>
    <x v="7"/>
    <s v="Plaquettes d'ébauches carrées"/>
    <s v="101224"/>
    <s v="CHAZEAU KYLIAN"/>
    <n v="10"/>
    <x v="3"/>
    <x v="2"/>
    <s v="PLAQUETTES"/>
    <s v="290x12"/>
    <n v="71.2"/>
  </r>
  <r>
    <d v="2025-02-18T02:53:45"/>
    <x v="7"/>
    <s v="Plaquettes d'ébauches carrées"/>
    <s v="140325"/>
    <s v="BOUCLIER JONATHAN"/>
    <n v="10"/>
    <x v="2"/>
    <x v="2"/>
    <s v="PLAQUETTES"/>
    <s v="302x26 RPI"/>
    <n v="71.2"/>
  </r>
  <r>
    <d v="2025-02-18T14:20:08"/>
    <x v="7"/>
    <s v="Plaquettes d'ébauches carrées"/>
    <s v="3224"/>
    <s v="BIDOT MURIEL"/>
    <n v="10"/>
    <x v="1"/>
    <x v="2"/>
    <s v="PLAQUETTES"/>
    <s v="304x28 RPE"/>
    <n v="71.2"/>
  </r>
  <r>
    <d v="2025-02-18T23:10:08"/>
    <x v="7"/>
    <s v="Plaquettes d'ébauches carrées"/>
    <s v="7236310"/>
    <s v="BRANDALY JEREMY"/>
    <n v="10"/>
    <x v="0"/>
    <x v="3"/>
    <s v="PLAQUETTES"/>
    <s v="330x14"/>
    <n v="71.2"/>
  </r>
  <r>
    <d v="2025-02-18T23:10:33"/>
    <x v="7"/>
    <s v="Plaquettes d'ébauches carrées"/>
    <s v="7236310"/>
    <s v="BRANDALY JEREMY"/>
    <n v="10"/>
    <x v="3"/>
    <x v="3"/>
    <s v="PLAQUETTES"/>
    <s v="290x12"/>
    <n v="71.2"/>
  </r>
  <r>
    <d v="2025-02-19T00:29:41"/>
    <x v="7"/>
    <s v="Plaquettes d'ébauches carrées"/>
    <s v="u636817"/>
    <s v="MOCQUEREAU LYDIE"/>
    <n v="10"/>
    <x v="2"/>
    <x v="3"/>
    <s v="PLAQUETTES"/>
    <s v="302x26 RPI"/>
    <n v="71.2"/>
  </r>
  <r>
    <d v="2025-02-19T08:22:53"/>
    <x v="7"/>
    <s v="Plaquettes d'ébauches carrées"/>
    <s v="101224"/>
    <s v="CHAZEAU KYLIAN"/>
    <n v="10"/>
    <x v="0"/>
    <x v="2"/>
    <s v="PLAQUETTES"/>
    <s v="330x14"/>
    <n v="71.2"/>
  </r>
  <r>
    <d v="2025-02-19T08:23:26"/>
    <x v="7"/>
    <s v="Plaquettes d'ébauches carrées"/>
    <s v="101224"/>
    <s v="CHAZEAU KYLIAN"/>
    <n v="10"/>
    <x v="3"/>
    <x v="2"/>
    <s v="PLAQUETTES"/>
    <s v="290x12"/>
    <n v="71.2"/>
  </r>
  <r>
    <d v="2025-02-19T18:21:00"/>
    <x v="7"/>
    <s v="Plaquettes d'ébauches carrées"/>
    <s v="280225"/>
    <s v="FERNANDES DOS SANTOS REMY"/>
    <n v="10"/>
    <x v="1"/>
    <x v="2"/>
    <s v="PLAQUETTES"/>
    <s v="304x28 RPE"/>
    <n v="71.2"/>
  </r>
  <r>
    <d v="2025-02-19T21:31:59"/>
    <x v="7"/>
    <s v="Plaquettes d'ébauches carrées"/>
    <s v="SD75051"/>
    <s v="COMBALUZIER LUCAS"/>
    <n v="10"/>
    <x v="1"/>
    <x v="2"/>
    <s v="PLAQUETTES"/>
    <s v="304x28 RPE"/>
    <n v="71.2"/>
  </r>
  <r>
    <d v="2025-02-21T17:53:06"/>
    <x v="7"/>
    <s v="Plaquettes d'ébauches carrées"/>
    <s v="280225"/>
    <s v="FERNANDES DOS SANTOS REMY"/>
    <n v="10"/>
    <x v="3"/>
    <x v="3"/>
    <s v="PLAQUETTES"/>
    <s v="290x12"/>
    <n v="71.2"/>
  </r>
  <r>
    <d v="2025-02-22T05:25:13"/>
    <x v="7"/>
    <s v="Plaquettes d'ébauches carrées"/>
    <s v="U109136"/>
    <s v="WIPLIE FREDERIC"/>
    <n v="10"/>
    <x v="0"/>
    <x v="3"/>
    <s v="PLAQUETTES"/>
    <s v="330x14"/>
    <n v="71.2"/>
  </r>
  <r>
    <d v="2025-02-24T13:40:20"/>
    <x v="7"/>
    <s v="Plaquettes d'ébauches carrées"/>
    <s v="SD75051"/>
    <s v="COMBALUZIER LUCAS"/>
    <n v="10"/>
    <x v="0"/>
    <x v="2"/>
    <s v="PLAQUETTES"/>
    <s v="330x14"/>
    <n v="71.2"/>
  </r>
  <r>
    <d v="2025-02-25T05:25:51"/>
    <x v="7"/>
    <s v="Plaquettes d'ébauches carrées"/>
    <s v="11737592"/>
    <s v="BLOCQUET DAVID"/>
    <n v="10"/>
    <x v="2"/>
    <x v="2"/>
    <s v="PLAQUETTES"/>
    <s v="302x26 RPI"/>
    <n v="71.2"/>
  </r>
  <r>
    <d v="2025-02-25T06:26:32"/>
    <x v="7"/>
    <s v="Plaquettes d'ébauches carrées"/>
    <s v="SE08251"/>
    <s v="FAYET AYMERIC"/>
    <n v="10"/>
    <x v="3"/>
    <x v="2"/>
    <s v="PLAQUETTES"/>
    <s v="290x12"/>
    <n v="71.2"/>
  </r>
  <r>
    <d v="2025-02-25T13:22:08"/>
    <x v="7"/>
    <s v="Plaquettes d'ébauches carrées"/>
    <s v="140325"/>
    <s v="BOUCLIER JONATHAN"/>
    <n v="10"/>
    <x v="2"/>
    <x v="2"/>
    <s v="PLAQUETTES"/>
    <s v="302x26 RPI"/>
    <n v="71.2"/>
  </r>
  <r>
    <d v="2025-02-25T16:31:21"/>
    <x v="7"/>
    <s v="Plaquettes d'ébauches carrées"/>
    <s v="u636817"/>
    <s v="MOCQUEREAU LYDIE"/>
    <n v="10"/>
    <x v="2"/>
    <x v="3"/>
    <s v="PLAQUETTES"/>
    <s v="302x26 RPI"/>
    <n v="71.2"/>
  </r>
  <r>
    <d v="2025-02-26T05:53:01"/>
    <x v="7"/>
    <s v="Plaquettes d'ébauches carrées"/>
    <s v="280225"/>
    <s v="FERNANDES DOS SANTOS REMY"/>
    <n v="10"/>
    <x v="1"/>
    <x v="2"/>
    <s v="PLAQUETTES"/>
    <s v="304x28 RPE"/>
    <n v="71.2"/>
  </r>
  <r>
    <d v="2025-02-26T21:57:10"/>
    <x v="7"/>
    <s v="Plaquettes d'ébauches carrées"/>
    <s v="U037238"/>
    <s v="PRIEUR OLIVIER"/>
    <n v="10"/>
    <x v="2"/>
    <x v="3"/>
    <s v="PLAQUETTES"/>
    <s v="302x26 RPI"/>
    <n v="71.2"/>
  </r>
  <r>
    <d v="2025-02-26T22:14:23"/>
    <x v="7"/>
    <s v="Plaquettes d'ébauches carrées"/>
    <s v="101224"/>
    <s v="CHAZEAU KYLIAN"/>
    <n v="10"/>
    <x v="3"/>
    <x v="2"/>
    <s v="PLAQUETTES"/>
    <s v="290x12"/>
    <n v="71.2"/>
  </r>
  <r>
    <d v="2025-02-28T03:09:15"/>
    <x v="7"/>
    <s v="Plaquettes d'ébauches carrées"/>
    <s v="101224"/>
    <s v="CHAZEAU KYLIAN"/>
    <n v="10"/>
    <x v="3"/>
    <x v="2"/>
    <s v="PLAQUETTES"/>
    <s v="290x12"/>
    <n v="71.2"/>
  </r>
  <r>
    <d v="2025-02-28T13:59:21"/>
    <x v="7"/>
    <s v="Plaquettes d'ébauches carrées"/>
    <s v="140325"/>
    <s v="BOUCLIER JONATHAN"/>
    <n v="10"/>
    <x v="2"/>
    <x v="2"/>
    <s v="PLAQUETTES"/>
    <s v="302x26 RPI"/>
    <n v="71.2"/>
  </r>
  <r>
    <d v="2025-02-28T21:10:45"/>
    <x v="7"/>
    <s v="Plaquettes d'ébauches carrées"/>
    <s v="130124"/>
    <s v="MOHAMED ILDIRAY"/>
    <n v="10"/>
    <x v="1"/>
    <x v="2"/>
    <s v="PLAQUETTES"/>
    <s v="304x28 RPE"/>
    <n v="71.2"/>
  </r>
  <r>
    <d v="2025-03-03T02:28:39"/>
    <x v="7"/>
    <s v="Plaquettes d'ébauches carrées"/>
    <s v="U109136"/>
    <s v="WIPLIE FREDERIC"/>
    <n v="10"/>
    <x v="0"/>
    <x v="2"/>
    <s v="PLAQUETTES"/>
    <s v="356x26 RPI"/>
    <n v="71.2"/>
  </r>
  <r>
    <d v="2025-03-04T05:43:14"/>
    <x v="7"/>
    <s v="Plaquettes d'ébauches carrées"/>
    <s v="140325"/>
    <s v="BOUCLIER JONATHAN"/>
    <n v="10"/>
    <x v="2"/>
    <x v="2"/>
    <s v="PLAQUETTES"/>
    <s v="302x26 RPI"/>
    <n v="71.2"/>
  </r>
  <r>
    <d v="2025-03-04T09:39:33"/>
    <x v="7"/>
    <s v="Plaquettes d'ébauches carrées"/>
    <s v="u636817"/>
    <s v="MOCQUEREAU LYDIE"/>
    <n v="10"/>
    <x v="2"/>
    <x v="3"/>
    <s v="PLAQUETTES"/>
    <s v="302x26 RPI"/>
    <n v="71.2"/>
  </r>
  <r>
    <d v="2025-03-04T13:14:18"/>
    <x v="7"/>
    <s v="Plaquettes d'ébauches carrées"/>
    <s v="101123"/>
    <s v="BRUNET ANDREA"/>
    <n v="10"/>
    <x v="2"/>
    <x v="4"/>
    <s v="PLAQUETTES"/>
    <s v="302x26 RPI"/>
    <n v="71.2"/>
  </r>
  <r>
    <d v="2025-03-04T19:43:45"/>
    <x v="7"/>
    <s v="Plaquettes d'ébauches carrées"/>
    <s v="U037238"/>
    <s v="PRIEUR OLIVIER"/>
    <n v="10"/>
    <x v="2"/>
    <x v="3"/>
    <s v="PLAQUETTES"/>
    <s v="302x26 RPI"/>
    <n v="71.2"/>
  </r>
  <r>
    <d v="2025-03-05T00:33:55"/>
    <x v="7"/>
    <s v="Plaquettes d'ébauches carrées"/>
    <s v="SE08251"/>
    <s v="FAYET AYMERIC"/>
    <n v="10"/>
    <x v="0"/>
    <x v="2"/>
    <s v="PLAQUETTES"/>
    <s v="290x12"/>
    <n v="71.2"/>
  </r>
  <r>
    <d v="2025-03-05T00:34:13"/>
    <x v="7"/>
    <s v="Plaquettes d'ébauches carrées"/>
    <s v="SE08251"/>
    <s v="FAYET AYMERIC"/>
    <n v="10"/>
    <x v="0"/>
    <x v="2"/>
    <s v="PLAQUETTES"/>
    <s v="356x26 RPI"/>
    <n v="71.2"/>
  </r>
  <r>
    <d v="2025-03-06T04:33:31"/>
    <x v="7"/>
    <s v="Plaquettes d'ébauches carrées"/>
    <s v="11737592"/>
    <s v="BLOCQUET DAVID"/>
    <n v="10"/>
    <x v="2"/>
    <x v="2"/>
    <s v="PLAQUETTES"/>
    <s v="302x26 RPI"/>
    <n v="71.2"/>
  </r>
  <r>
    <d v="2025-03-06T05:38:26"/>
    <x v="7"/>
    <s v="Plaquettes d'ébauches carrées"/>
    <s v="7236310"/>
    <s v="BRANDALY JEREMY"/>
    <n v="10"/>
    <x v="0"/>
    <x v="3"/>
    <s v="PLAQUETTES"/>
    <s v="290x12"/>
    <n v="71.2"/>
  </r>
  <r>
    <d v="2025-03-06T13:25:36"/>
    <x v="7"/>
    <s v="Plaquettes d'ébauches carrées"/>
    <s v="101224"/>
    <s v="CHAZEAU KYLIAN"/>
    <n v="10"/>
    <x v="3"/>
    <x v="2"/>
    <s v="PLAQUETTES"/>
    <s v="290x12"/>
    <n v="71.2"/>
  </r>
  <r>
    <d v="2025-03-07T05:10:06"/>
    <x v="7"/>
    <s v="Plaquettes d'ébauches carrées"/>
    <s v="J534699"/>
    <s v="FABIAN CHARTON"/>
    <n v="10"/>
    <x v="2"/>
    <x v="3"/>
    <s v="PLAQUETTES"/>
    <s v="302x26 RPI"/>
    <n v="71.2"/>
  </r>
  <r>
    <d v="2025-03-07T05:11:53"/>
    <x v="7"/>
    <s v="Plaquettes d'ébauches carrées"/>
    <s v="J534699"/>
    <s v="FABIAN CHARTON"/>
    <n v="10"/>
    <x v="2"/>
    <x v="2"/>
    <s v="PLAQUETTES"/>
    <s v="302x26 RPI"/>
    <n v="71.2"/>
  </r>
  <r>
    <d v="2025-03-07T22:33:27"/>
    <x v="7"/>
    <s v="Plaquettes d'ébauches carrées"/>
    <s v="SE08251"/>
    <s v="FAYET AYMERIC"/>
    <n v="10"/>
    <x v="3"/>
    <x v="2"/>
    <s v="PLAQUETTES"/>
    <s v="290x12"/>
    <n v="71.2"/>
  </r>
  <r>
    <d v="2025-03-10T07:12:51"/>
    <x v="7"/>
    <s v="Plaquettes d'ébauches carrées"/>
    <s v="U037238"/>
    <s v="PRIEUR OLIVIER"/>
    <n v="10"/>
    <x v="2"/>
    <x v="3"/>
    <s v="PLAQUETTES"/>
    <s v="302x26 RPI"/>
    <n v="71.2"/>
  </r>
  <r>
    <d v="2025-03-10T13:12:50"/>
    <x v="7"/>
    <s v="Plaquettes d'ébauches carrées"/>
    <s v="12824586"/>
    <s v="DA SILVA FERNANDO"/>
    <n v="20"/>
    <x v="2"/>
    <x v="3"/>
    <s v="PLAQUETTES"/>
    <s v="TOUT DISQUES"/>
    <n v="142.4"/>
  </r>
  <r>
    <d v="2025-03-10T13:25:45"/>
    <x v="7"/>
    <s v="Plaquettes d'ébauches carrées"/>
    <s v="SE08251"/>
    <s v="FAYET AYMERIC"/>
    <n v="10"/>
    <x v="0"/>
    <x v="2"/>
    <s v="PLAQUETTES"/>
    <s v="330x14"/>
    <n v="71.2"/>
  </r>
  <r>
    <d v="2025-03-10T13:26:55"/>
    <x v="7"/>
    <s v="Plaquettes d'ébauches carrées"/>
    <s v="SE08251"/>
    <s v="FAYET AYMERIC"/>
    <n v="10"/>
    <x v="3"/>
    <x v="2"/>
    <s v="PLAQUETTES"/>
    <s v="290x12"/>
    <n v="71.2"/>
  </r>
  <r>
    <d v="2025-03-10T13:44:16"/>
    <x v="7"/>
    <s v="Plaquettes d'ébauches carrées"/>
    <s v="u543010"/>
    <s v="GIBBES AGNES"/>
    <n v="10"/>
    <x v="2"/>
    <x v="3"/>
    <s v="PLAQUETTES"/>
    <s v="302x26 RPI"/>
    <n v="71.2"/>
  </r>
  <r>
    <d v="2025-03-10T21:33:35"/>
    <x v="7"/>
    <s v="Plaquettes d'ébauches carrées"/>
    <s v="140325"/>
    <s v="BOUCLIER JONATHAN"/>
    <n v="10"/>
    <x v="2"/>
    <x v="2"/>
    <s v="PLAQUETTES"/>
    <s v="302x26 RPI"/>
    <n v="71.2"/>
  </r>
  <r>
    <d v="2025-03-10T21:34:38"/>
    <x v="7"/>
    <s v="Plaquettes d'ébauches carrées"/>
    <s v="140325"/>
    <s v="BOUCLIER JONATHAN"/>
    <n v="10"/>
    <x v="2"/>
    <x v="4"/>
    <s v="PLAQUETTES"/>
    <s v="302x26 RPI"/>
    <n v="71.2"/>
  </r>
  <r>
    <d v="2025-03-11T18:29:42"/>
    <x v="7"/>
    <s v="Plaquettes d'ébauches carrées"/>
    <s v="280225"/>
    <s v="FERNANDES DOS SANTOS REMY"/>
    <n v="10"/>
    <x v="0"/>
    <x v="2"/>
    <s v="PLAQUETTES"/>
    <s v="290x12"/>
    <n v="71.2"/>
  </r>
  <r>
    <d v="2025-03-12T00:41:40"/>
    <x v="7"/>
    <s v="Plaquettes d'ébauches carrées"/>
    <s v="u636817"/>
    <s v="MOCQUEREAU LYDIE"/>
    <n v="10"/>
    <x v="2"/>
    <x v="3"/>
    <s v="PLAQUETTES"/>
    <s v="302x26 RPI"/>
    <n v="71.2"/>
  </r>
  <r>
    <d v="2025-03-12T13:49:35"/>
    <x v="7"/>
    <s v="Plaquettes d'ébauches carrées"/>
    <s v="SE08251"/>
    <s v="FAYET AYMERIC"/>
    <n v="10"/>
    <x v="3"/>
    <x v="2"/>
    <s v="PLAQUETTES"/>
    <s v="290x12"/>
    <n v="71.2"/>
  </r>
  <r>
    <d v="2025-03-13T07:21:17"/>
    <x v="7"/>
    <s v="Plaquettes d'ébauches carrées"/>
    <s v="101123"/>
    <s v="BRUNET ANDREA"/>
    <n v="10"/>
    <x v="2"/>
    <x v="2"/>
    <s v="PLAQUETTES"/>
    <s v="302x26 RPI"/>
    <n v="71.2"/>
  </r>
  <r>
    <d v="2025-03-13T23:13:56"/>
    <x v="7"/>
    <s v="Plaquettes d'ébauches carrées"/>
    <s v="SD75051"/>
    <s v="COMBALUZIER LUCAS"/>
    <n v="10"/>
    <x v="0"/>
    <x v="3"/>
    <s v="PLAQUETTES"/>
    <s v="330x14"/>
    <n v="71.2"/>
  </r>
  <r>
    <d v="2025-03-14T21:08:03"/>
    <x v="7"/>
    <s v="Plaquettes d'ébauches carrées"/>
    <s v="140325"/>
    <s v="BOUCLIER JONATHAN"/>
    <n v="10"/>
    <x v="2"/>
    <x v="2"/>
    <s v="PLAQUETTES"/>
    <s v="302x26 RPI"/>
    <n v="71.2"/>
  </r>
  <r>
    <d v="2025-03-14T21:47:01"/>
    <x v="7"/>
    <s v="Plaquettes d'ébauches carrées"/>
    <s v="SD13196"/>
    <s v="FRADIN MAXIME"/>
    <n v="10"/>
    <x v="3"/>
    <x v="2"/>
    <s v="PLAQUETTES"/>
    <s v="290x12"/>
    <n v="71.2"/>
  </r>
  <r>
    <d v="2025-03-15T05:06:12"/>
    <x v="7"/>
    <s v="Plaquettes d'ébauches carrées"/>
    <s v="J529792"/>
    <s v="LEBRE CHRISTOPHE"/>
    <n v="10"/>
    <x v="2"/>
    <x v="3"/>
    <s v="PLAQUETTES"/>
    <s v="302x26 RPI"/>
    <n v="71.2"/>
  </r>
  <r>
    <d v="2025-03-15T05:06:36"/>
    <x v="7"/>
    <s v="Plaquettes d'ébauches carrées"/>
    <s v="J529792"/>
    <s v="LEBRE CHRISTOPHE"/>
    <n v="10"/>
    <x v="2"/>
    <x v="3"/>
    <s v="PLAQUETTES"/>
    <s v="302x26 RPI"/>
    <n v="71.2"/>
  </r>
  <r>
    <d v="2025-03-16T18:01:25"/>
    <x v="7"/>
    <s v="Plaquettes d'ébauches carrées"/>
    <s v="U109136"/>
    <s v="WIPLIE FREDERIC"/>
    <n v="10"/>
    <x v="0"/>
    <x v="3"/>
    <s v="PLAQUETTES"/>
    <s v="356x26 RPI"/>
    <n v="71.2"/>
  </r>
  <r>
    <d v="2025-03-18T12:40:45"/>
    <x v="7"/>
    <s v="Plaquettes d'ébauches carrées"/>
    <s v="u543010"/>
    <s v="GIBBES AGNES"/>
    <n v="10"/>
    <x v="2"/>
    <x v="3"/>
    <s v="PLAQUETTES"/>
    <s v="302x26 RPI"/>
    <n v="71.2"/>
  </r>
  <r>
    <d v="2025-03-19T15:22:12"/>
    <x v="7"/>
    <s v="Plaquettes d'ébauches carrées"/>
    <s v="140325"/>
    <s v="BOUCLIER JONATHAN"/>
    <n v="10"/>
    <x v="2"/>
    <x v="2"/>
    <s v="PLAQUETTES"/>
    <s v="302x26 RPI"/>
    <n v="71.2"/>
  </r>
  <r>
    <d v="2025-03-19T15:22:32"/>
    <x v="7"/>
    <s v="Plaquettes d'ébauches carrées"/>
    <s v="140325"/>
    <s v="BOUCLIER JONATHAN"/>
    <n v="10"/>
    <x v="2"/>
    <x v="4"/>
    <s v="PLAQUETTES"/>
    <s v="302x26 RPI"/>
    <n v="71.2"/>
  </r>
  <r>
    <d v="2025-03-19T17:03:24"/>
    <x v="7"/>
    <s v="Plaquettes d'ébauches carrées"/>
    <s v="u636817"/>
    <s v="MOCQUEREAU LYDIE"/>
    <n v="10"/>
    <x v="2"/>
    <x v="3"/>
    <s v="PLAQUETTES"/>
    <s v="302x26 RPI"/>
    <n v="71.2"/>
  </r>
  <r>
    <d v="2025-03-19T17:03:46"/>
    <x v="7"/>
    <s v="Plaquettes d'ébauches carrées"/>
    <s v="u636817"/>
    <s v="MOCQUEREAU LYDIE"/>
    <n v="10"/>
    <x v="2"/>
    <x v="3"/>
    <s v="PLAQUETTES"/>
    <s v="302x26 RPI"/>
    <n v="71.2"/>
  </r>
  <r>
    <d v="2025-03-19T21:48:08"/>
    <x v="7"/>
    <s v="Plaquettes d'ébauches carrées"/>
    <s v="101224"/>
    <s v="CHAZEAU KYLIAN"/>
    <n v="10"/>
    <x v="3"/>
    <x v="3"/>
    <s v="PLAQUETTES"/>
    <s v="290x12"/>
    <n v="71.2"/>
  </r>
  <r>
    <d v="2025-03-20T09:37:37"/>
    <x v="7"/>
    <s v="Plaquettes d'ébauches carrées"/>
    <s v="12824586"/>
    <s v="DA SILVA FERNANDO"/>
    <n v="10"/>
    <x v="2"/>
    <x v="2"/>
    <s v="PLAQUETTES"/>
    <s v="TOUT DISQUES"/>
    <n v="71.2"/>
  </r>
  <r>
    <d v="2025-03-20T13:21:19"/>
    <x v="7"/>
    <s v="Plaquettes d'ébauches carrées"/>
    <s v="SD75051"/>
    <s v="COMBALUZIER LUCAS"/>
    <n v="10"/>
    <x v="0"/>
    <x v="2"/>
    <s v="PLAQUETTES"/>
    <s v="356x26 RPI"/>
    <n v="71.2"/>
  </r>
  <r>
    <d v="2025-03-20T21:10:11"/>
    <x v="7"/>
    <s v="Plaquettes d'ébauches carrées"/>
    <s v="U037238"/>
    <s v="PRIEUR OLIVIER"/>
    <n v="10"/>
    <x v="2"/>
    <x v="3"/>
    <s v="PLAQUETTES"/>
    <s v="302x26 RPI"/>
    <n v="71.2"/>
  </r>
  <r>
    <d v="2025-03-20T21:10:53"/>
    <x v="7"/>
    <s v="Plaquettes d'ébauches carrées"/>
    <s v="U037238"/>
    <s v="PRIEUR OLIVIER"/>
    <n v="10"/>
    <x v="2"/>
    <x v="3"/>
    <s v="PLAQUETTES"/>
    <s v="302x26 RPI"/>
    <n v="71.2"/>
  </r>
  <r>
    <d v="2025-03-24T05:10:38"/>
    <x v="7"/>
    <s v="Plaquettes d'ébauches carrées"/>
    <s v="7236310"/>
    <s v="BRANDALY JEREMY"/>
    <n v="10"/>
    <x v="3"/>
    <x v="3"/>
    <s v="PLAQUETTES"/>
    <s v="290x12"/>
    <n v="71.2"/>
  </r>
  <r>
    <d v="2025-03-24T13:25:25"/>
    <x v="7"/>
    <s v="Plaquettes d'ébauches carrées"/>
    <s v="101224"/>
    <s v="CHAZEAU KYLIAN"/>
    <n v="10"/>
    <x v="3"/>
    <x v="2"/>
    <s v="PLAQUETTES"/>
    <s v="290x12"/>
    <n v="71.2"/>
  </r>
  <r>
    <d v="2025-03-26T05:40:11"/>
    <x v="7"/>
    <s v="Plaquettes d'ébauches carrées"/>
    <s v="7236310"/>
    <s v="BRANDALY JEREMY"/>
    <n v="10"/>
    <x v="0"/>
    <x v="3"/>
    <s v="PLAQUETTES"/>
    <s v="330x14"/>
    <n v="71.2"/>
  </r>
  <r>
    <d v="2025-03-26T05:40:55"/>
    <x v="7"/>
    <s v="Plaquettes d'ébauches carrées"/>
    <s v="7236310"/>
    <s v="BRANDALY JEREMY"/>
    <n v="10"/>
    <x v="3"/>
    <x v="3"/>
    <s v="PLAQUETTES"/>
    <s v="290x12"/>
    <n v="71.2"/>
  </r>
  <r>
    <d v="2025-03-27T01:58:33"/>
    <x v="7"/>
    <s v="Plaquettes d'ébauches carrées"/>
    <s v="11737592"/>
    <s v="BLOCQUET DAVID"/>
    <n v="10"/>
    <x v="2"/>
    <x v="4"/>
    <s v="PLAQUETTES"/>
    <s v="302x26 RPI"/>
    <n v="71.2"/>
  </r>
  <r>
    <d v="2025-03-27T06:26:21"/>
    <x v="7"/>
    <s v="Plaquettes d'ébauches carrées"/>
    <s v="140325"/>
    <s v="BOUCLIER JONATHAN"/>
    <n v="10"/>
    <x v="2"/>
    <x v="2"/>
    <s v="PLAQUETTES"/>
    <s v="302x26 RPI"/>
    <n v="71.2"/>
  </r>
  <r>
    <d v="2025-03-27T06:26:37"/>
    <x v="7"/>
    <s v="Plaquettes d'ébauches carrées"/>
    <s v="140325"/>
    <s v="BOUCLIER JONATHAN"/>
    <n v="10"/>
    <x v="2"/>
    <x v="4"/>
    <s v="PLAQUETTES"/>
    <s v="302x26 RPI"/>
    <n v="71.2"/>
  </r>
  <r>
    <d v="2025-03-27T06:48:52"/>
    <x v="7"/>
    <s v="Plaquettes d'ébauches carrées"/>
    <s v="7236310"/>
    <s v="BRANDALY JEREMY"/>
    <n v="10"/>
    <x v="0"/>
    <x v="3"/>
    <s v="PLAQUETTES"/>
    <s v="356x26 RPI"/>
    <n v="71.2"/>
  </r>
  <r>
    <d v="2025-03-27T13:41:30"/>
    <x v="7"/>
    <s v="Plaquettes d'ébauches carrées"/>
    <s v="101123"/>
    <s v="BRUNET ANDREA"/>
    <n v="10"/>
    <x v="2"/>
    <x v="4"/>
    <s v="PLAQUETTES"/>
    <s v="302x26 RPI"/>
    <n v="71.2"/>
  </r>
  <r>
    <d v="2025-03-27T21:30:52"/>
    <x v="7"/>
    <s v="Plaquettes d'ébauches carrées"/>
    <s v="SE08251"/>
    <s v="FAYET AYMERIC"/>
    <n v="10"/>
    <x v="0"/>
    <x v="3"/>
    <s v="PLAQUETTES"/>
    <s v="356x26 RPI"/>
    <n v="71.2"/>
  </r>
  <r>
    <d v="2025-03-27T21:31:18"/>
    <x v="7"/>
    <s v="Plaquettes d'ébauches carrées"/>
    <s v="SE08251"/>
    <s v="FAYET AYMERIC"/>
    <n v="10"/>
    <x v="3"/>
    <x v="2"/>
    <s v="PLAQUETTES"/>
    <s v="290x12"/>
    <n v="71.2"/>
  </r>
  <r>
    <d v="2025-03-28T22:09:19"/>
    <x v="7"/>
    <s v="Plaquettes d'ébauches carrées"/>
    <s v="11737592"/>
    <s v="BLOCQUET DAVID"/>
    <n v="10"/>
    <x v="2"/>
    <x v="3"/>
    <s v="PLAQUETTES"/>
    <s v="302x26 RPI"/>
    <n v="71.2"/>
  </r>
  <r>
    <d v="2025-03-30T17:12:00"/>
    <x v="7"/>
    <s v="Plaquettes d'ébauches carrées"/>
    <s v="J534699"/>
    <s v="FABIAN CHARTON"/>
    <n v="10"/>
    <x v="2"/>
    <x v="2"/>
    <s v="PLAQUETTES"/>
    <s v="302x26 RPI"/>
    <n v="71.2"/>
  </r>
  <r>
    <d v="2025-03-30T17:13:58"/>
    <x v="7"/>
    <s v="Plaquettes d'ébauches carrées"/>
    <s v="J534699"/>
    <s v="FABIAN CHARTON"/>
    <n v="10"/>
    <x v="2"/>
    <x v="4"/>
    <s v="PLAQUETTES"/>
    <s v="302x26 RPI"/>
    <n v="71.2"/>
  </r>
  <r>
    <d v="2025-03-30T17:14:32"/>
    <x v="7"/>
    <s v="Plaquettes d'ébauches carrées"/>
    <s v="J534699"/>
    <s v="FABIAN CHARTON"/>
    <n v="10"/>
    <x v="2"/>
    <x v="3"/>
    <s v="PLAQUETTES"/>
    <s v="302x26 RPI"/>
    <n v="71.2"/>
  </r>
  <r>
    <d v="2025-03-30T17:20:47"/>
    <x v="7"/>
    <s v="Plaquettes d'ébauches carrées"/>
    <s v="U109136"/>
    <s v="WIPLIE FREDERIC"/>
    <n v="10"/>
    <x v="0"/>
    <x v="2"/>
    <s v="PLAQUETTES"/>
    <s v="356x26 RPI"/>
    <n v="71.2"/>
  </r>
  <r>
    <d v="2025-03-31T05:04:28"/>
    <x v="7"/>
    <s v="Plaquettes d'ébauches carrées"/>
    <s v="101123"/>
    <s v="BRUNET ANDREA"/>
    <n v="10"/>
    <x v="2"/>
    <x v="3"/>
    <s v="PLAQUETTES"/>
    <s v="302x26 RPI"/>
    <n v="71.2"/>
  </r>
  <r>
    <d v="2025-03-31T18:11:22"/>
    <x v="7"/>
    <s v="Plaquettes d'ébauches carrées"/>
    <s v="11737592"/>
    <s v="BLOCQUET DAVID"/>
    <n v="10"/>
    <x v="2"/>
    <x v="4"/>
    <s v="PLAQUETTES"/>
    <s v="302x26 RPI"/>
    <n v="71.2"/>
  </r>
  <r>
    <d v="2025-03-31T22:46:54"/>
    <x v="7"/>
    <s v="Plaquettes d'ébauches carrées"/>
    <s v="u636817"/>
    <s v="MOCQUEREAU LYDIE"/>
    <n v="10"/>
    <x v="2"/>
    <x v="3"/>
    <s v="PLAQUETTES"/>
    <s v="302x26 RPI"/>
    <n v="71.2"/>
  </r>
  <r>
    <d v="2025-04-02T14:11:47"/>
    <x v="7"/>
    <s v="Plaquettes d'ébauches carrées"/>
    <s v="SE08251"/>
    <s v="FAYET AYMERIC"/>
    <n v="10"/>
    <x v="0"/>
    <x v="2"/>
    <s v="PLAQUETTES"/>
    <s v="330x14"/>
    <n v="71.2"/>
  </r>
  <r>
    <d v="2025-04-02T19:06:13"/>
    <x v="7"/>
    <s v="Plaquettes d'ébauches carrées"/>
    <s v="11737592"/>
    <s v="BLOCQUET DAVID"/>
    <n v="10"/>
    <x v="2"/>
    <x v="4"/>
    <s v="PLAQUETTES"/>
    <s v="302x26 RPI"/>
    <n v="71.2"/>
  </r>
  <r>
    <d v="2025-04-03T13:16:21"/>
    <x v="7"/>
    <s v="Plaquettes d'ébauches carrées"/>
    <s v="280225"/>
    <s v="FERNANDES DOS SANTOS REMY"/>
    <n v="10"/>
    <x v="0"/>
    <x v="3"/>
    <s v="PLAQUETTES"/>
    <s v="330x14"/>
    <n v="71.2"/>
  </r>
  <r>
    <d v="2025-04-03T21:06:39"/>
    <x v="7"/>
    <s v="Plaquettes d'ébauches carrées"/>
    <s v="140325"/>
    <s v="BOUCLIER JONATHAN"/>
    <n v="10"/>
    <x v="2"/>
    <x v="2"/>
    <s v="PLAQUETTES"/>
    <s v="302x26 RPI"/>
    <n v="71.2"/>
  </r>
  <r>
    <d v="2025-04-03T21:06:58"/>
    <x v="7"/>
    <s v="Plaquettes d'ébauches carrées"/>
    <s v="140325"/>
    <s v="BOUCLIER JONATHAN"/>
    <n v="10"/>
    <x v="2"/>
    <x v="4"/>
    <s v="PLAQUETTES"/>
    <s v="302x26 RPI"/>
    <n v="71.2"/>
  </r>
  <r>
    <d v="2025-04-04T01:51:28"/>
    <x v="7"/>
    <s v="Plaquettes d'ébauches carrées"/>
    <s v="u636817"/>
    <s v="MOCQUEREAU LYDIE"/>
    <n v="10"/>
    <x v="2"/>
    <x v="3"/>
    <s v="PLAQUETTES"/>
    <s v="302x26 RPI"/>
    <n v="71.2"/>
  </r>
  <r>
    <d v="2025-04-04T01:51:49"/>
    <x v="7"/>
    <s v="Plaquettes d'ébauches carrées"/>
    <s v="u636817"/>
    <s v="MOCQUEREAU LYDIE"/>
    <n v="10"/>
    <x v="2"/>
    <x v="3"/>
    <s v="PLAQUETTES"/>
    <s v="302x26 RPI"/>
    <n v="71.2"/>
  </r>
  <r>
    <d v="2025-04-05T03:39:03"/>
    <x v="7"/>
    <s v="Plaquettes d'ébauches carrées"/>
    <s v="140325"/>
    <s v="BOUCLIER JONATHAN"/>
    <n v="10"/>
    <x v="2"/>
    <x v="4"/>
    <s v="PLAQUETTES"/>
    <s v="302x26 RPI"/>
    <n v="71.2"/>
  </r>
  <r>
    <d v="2025-04-05T05:05:57"/>
    <x v="7"/>
    <s v="Plaquettes d'ébauches carrées"/>
    <s v="U532948"/>
    <s v="BACHELERY CEDRIC"/>
    <n v="10"/>
    <x v="2"/>
    <x v="2"/>
    <s v="PLAQUETTES"/>
    <s v="302x26 RPI"/>
    <n v="71.2"/>
  </r>
  <r>
    <d v="2025-04-07T05:12:18"/>
    <x v="7"/>
    <s v="Plaquettes d'ébauches carrées"/>
    <s v="SE08251"/>
    <s v="FAYET AYMERIC"/>
    <n v="10"/>
    <x v="0"/>
    <x v="2"/>
    <s v="PLAQUETTES"/>
    <s v="330x14"/>
    <n v="71.2"/>
  </r>
  <r>
    <d v="2025-04-07T05:13:51"/>
    <x v="7"/>
    <s v="Plaquettes d'ébauches carrées"/>
    <s v="SE08251"/>
    <s v="FAYET AYMERIC"/>
    <n v="10"/>
    <x v="3"/>
    <x v="2"/>
    <s v="PLAQUETTES"/>
    <s v="290x12"/>
    <n v="71.2"/>
  </r>
  <r>
    <d v="2025-04-07T21:23:30"/>
    <x v="7"/>
    <s v="Plaquettes d'ébauches carrées"/>
    <s v="U037238"/>
    <s v="PRIEUR OLIVIER"/>
    <n v="10"/>
    <x v="2"/>
    <x v="3"/>
    <s v="PLAQUETTES"/>
    <s v="302x26 RPI"/>
    <n v="71.2"/>
  </r>
  <r>
    <d v="2025-04-08T05:50:58"/>
    <x v="7"/>
    <s v="Plaquettes d'ébauches carrées"/>
    <s v="SE08251"/>
    <s v="FAYET AYMERIC"/>
    <n v="10"/>
    <x v="3"/>
    <x v="2"/>
    <s v="PLAQUETTES"/>
    <s v="290x12"/>
    <n v="71.2"/>
  </r>
  <r>
    <d v="2025-04-08T08:17:13"/>
    <x v="7"/>
    <s v="Plaquettes d'ébauches carrées"/>
    <s v="11737592"/>
    <s v="BLOCQUET DAVID"/>
    <n v="10"/>
    <x v="2"/>
    <x v="3"/>
    <s v="PLAQUETTES"/>
    <s v="302x26 RPI"/>
    <n v="71.2"/>
  </r>
  <r>
    <d v="2025-04-08T17:49:03"/>
    <x v="7"/>
    <s v="Plaquettes d'ébauches carrées"/>
    <s v="u636817"/>
    <s v="MOCQUEREAU LYDIE"/>
    <n v="10"/>
    <x v="2"/>
    <x v="3"/>
    <s v="PLAQUETTES"/>
    <s v="302x26 RPI"/>
    <n v="71.2"/>
  </r>
  <r>
    <d v="2025-04-08T21:22:57"/>
    <x v="7"/>
    <s v="Plaquettes d'ébauches carrées"/>
    <s v="101123"/>
    <s v="BRUNET ANDREA"/>
    <n v="10"/>
    <x v="2"/>
    <x v="2"/>
    <s v="PLAQUETTES"/>
    <s v="302x26 RPI"/>
    <n v="71.2"/>
  </r>
  <r>
    <d v="2025-04-09T08:37:40"/>
    <x v="7"/>
    <s v="Plaquettes d'ébauches carrées"/>
    <s v="SE08251"/>
    <s v="FAYET AYMERIC"/>
    <n v="10"/>
    <x v="3"/>
    <x v="2"/>
    <s v="PLAQUETTES"/>
    <s v="290x12"/>
    <n v="71.2"/>
  </r>
  <r>
    <d v="2025-04-10T13:10:46"/>
    <x v="7"/>
    <s v="Plaquettes d'ébauches carrées"/>
    <s v="140325"/>
    <s v="BOUCLIER JONATHAN"/>
    <n v="10"/>
    <x v="2"/>
    <x v="2"/>
    <s v="PLAQUETTES"/>
    <s v="302x26 RPI"/>
    <n v="71.2"/>
  </r>
  <r>
    <d v="2025-04-10T13:11:45"/>
    <x v="7"/>
    <s v="Plaquettes d'ébauches carrées"/>
    <s v="140325"/>
    <s v="BOUCLIER JONATHAN"/>
    <n v="10"/>
    <x v="2"/>
    <x v="4"/>
    <s v="PLAQUETTES"/>
    <s v="302x26 RPI"/>
    <n v="71.2"/>
  </r>
  <r>
    <d v="2025-04-10T21:45:46"/>
    <x v="7"/>
    <s v="Plaquettes d'ébauches carrées"/>
    <s v="101123"/>
    <s v="BRUNET ANDREA"/>
    <n v="10"/>
    <x v="2"/>
    <x v="3"/>
    <s v="PLAQUETTES"/>
    <s v="302x26 RPI"/>
    <n v="71.2"/>
  </r>
  <r>
    <d v="2025-04-11T04:28:11"/>
    <x v="7"/>
    <s v="Plaquettes d'ébauches carrées"/>
    <s v="J609988"/>
    <s v="AMALRIC VINCENT"/>
    <n v="10"/>
    <x v="2"/>
    <x v="4"/>
    <s v="PLAQUETTES"/>
    <s v="302x26 RPI"/>
    <n v="71.2"/>
  </r>
  <r>
    <d v="2025-04-11T13:55:39"/>
    <x v="7"/>
    <s v="Plaquettes d'ébauches carrées"/>
    <s v="SD75051"/>
    <s v="COMBALUZIER LUCAS"/>
    <n v="10"/>
    <x v="3"/>
    <x v="2"/>
    <s v="PLAQUETTES"/>
    <s v="290x12"/>
    <n v="71.2"/>
  </r>
  <r>
    <d v="2025-04-14T05:08:48"/>
    <x v="7"/>
    <s v="Plaquettes d'ébauches carrées"/>
    <s v="SD75051"/>
    <s v="COMBALUZIER LUCAS"/>
    <n v="10"/>
    <x v="0"/>
    <x v="2"/>
    <s v="PLAQUETTES"/>
    <s v="356x26 RPI"/>
    <n v="71.2"/>
  </r>
  <r>
    <d v="2025-04-14T13:36:24"/>
    <x v="7"/>
    <s v="Plaquettes d'ébauches carrées"/>
    <s v="U037238"/>
    <s v="PRIEUR OLIVIER"/>
    <n v="10"/>
    <x v="2"/>
    <x v="3"/>
    <s v="PLAQUETTES"/>
    <s v="302x26 RPI"/>
    <n v="71.2"/>
  </r>
  <r>
    <d v="2025-04-15T05:21:16"/>
    <x v="7"/>
    <s v="Plaquettes d'ébauches carrées"/>
    <s v="140325"/>
    <s v="BOUCLIER JONATHAN"/>
    <n v="10"/>
    <x v="2"/>
    <x v="4"/>
    <s v="PLAQUETTES"/>
    <s v="302x26 RPI"/>
    <n v="71.2"/>
  </r>
  <r>
    <d v="2025-04-15T22:24:58"/>
    <x v="7"/>
    <s v="Plaquettes d'ébauches carrées"/>
    <s v="j529800"/>
    <s v="MONTCHARMONT BAPTISTE"/>
    <n v="10"/>
    <x v="2"/>
    <x v="3"/>
    <s v="PLAQUETTES"/>
    <s v="302x26 RPI"/>
    <n v="71.2"/>
  </r>
  <r>
    <d v="2025-04-16T05:28:11"/>
    <x v="7"/>
    <s v="Plaquettes d'ébauches carrées"/>
    <s v="SD75051"/>
    <s v="COMBALUZIER LUCAS"/>
    <n v="10"/>
    <x v="0"/>
    <x v="2"/>
    <s v="PLAQUETTES"/>
    <s v="330x14"/>
    <n v="71.2"/>
  </r>
  <r>
    <d v="2025-04-16T06:59:33"/>
    <x v="7"/>
    <s v="Plaquettes d'ébauches carrées"/>
    <s v="140325"/>
    <s v="BOUCLIER JONATHAN"/>
    <n v="10"/>
    <x v="2"/>
    <x v="2"/>
    <s v="PLAQUETTES"/>
    <s v="302x26 RPI"/>
    <n v="71.2"/>
  </r>
  <r>
    <d v="2025-04-16T07:01:15"/>
    <x v="7"/>
    <s v="Plaquettes d'ébauches carrées"/>
    <s v="140325"/>
    <s v="BOUCLIER JONATHAN"/>
    <n v="10"/>
    <x v="2"/>
    <x v="4"/>
    <s v="PLAQUETTES"/>
    <s v="302x26 RPI"/>
    <n v="71.2"/>
  </r>
  <r>
    <d v="2025-04-17T06:07:08"/>
    <x v="7"/>
    <s v="Plaquettes d'ébauches carrées"/>
    <s v="SD75051"/>
    <s v="COMBALUZIER LUCAS"/>
    <n v="10"/>
    <x v="0"/>
    <x v="2"/>
    <s v="PLAQUETTES"/>
    <s v="330x14"/>
    <n v="71.2"/>
  </r>
  <r>
    <d v="2025-04-17T06:08:17"/>
    <x v="7"/>
    <s v="Plaquettes d'ébauches carrées"/>
    <s v="SD75051"/>
    <s v="COMBALUZIER LUCAS"/>
    <n v="10"/>
    <x v="3"/>
    <x v="2"/>
    <s v="PLAQUETTES"/>
    <s v="290x12"/>
    <n v="71.2"/>
  </r>
  <r>
    <d v="2025-04-17T13:16:52"/>
    <x v="7"/>
    <s v="Plaquettes d'ébauches carrées"/>
    <s v="U037238"/>
    <s v="PRIEUR OLIVIER"/>
    <n v="10"/>
    <x v="2"/>
    <x v="3"/>
    <s v="PLAQUETTES"/>
    <s v="302x26 RPI"/>
    <n v="71.2"/>
  </r>
  <r>
    <d v="2025-04-18T04:11:57"/>
    <x v="7"/>
    <s v="Plaquettes d'ébauches carrées"/>
    <s v="280225"/>
    <s v="FERNANDES DOS SANTOS REMY"/>
    <n v="10"/>
    <x v="1"/>
    <x v="3"/>
    <s v="PLAQUETTES"/>
    <s v="356x26 RPI"/>
    <n v="71.2"/>
  </r>
  <r>
    <d v="2025-04-18T17:42:02"/>
    <x v="7"/>
    <s v="Plaquettes d'ébauches carrées"/>
    <s v="210325"/>
    <s v="DAUTUN ALLAN"/>
    <n v="10"/>
    <x v="2"/>
    <x v="2"/>
    <s v="PLAQUETTES"/>
    <s v="302x26 RPI"/>
    <n v="71.2"/>
  </r>
  <r>
    <d v="2025-04-18T17:42:23"/>
    <x v="7"/>
    <s v="Plaquettes d'ébauches carrées"/>
    <s v="210325"/>
    <s v="DAUTUN ALLAN"/>
    <n v="10"/>
    <x v="2"/>
    <x v="4"/>
    <s v="PLAQUETTES"/>
    <s v="302x26 RPI"/>
    <n v="71.2"/>
  </r>
  <r>
    <d v="2025-04-21T05:07:37"/>
    <x v="7"/>
    <s v="Plaquettes d'ébauches carrées"/>
    <s v="101123"/>
    <s v="BRUNET ANDREA"/>
    <n v="10"/>
    <x v="2"/>
    <x v="3"/>
    <s v="PLAQUETTES"/>
    <s v="302x26 RPI"/>
    <n v="71.2"/>
  </r>
  <r>
    <d v="2025-04-22T14:28:47"/>
    <x v="7"/>
    <s v="Plaquettes d'ébauches carrées"/>
    <s v="SE08251"/>
    <s v="FAYET AYMERIC"/>
    <n v="10"/>
    <x v="3"/>
    <x v="2"/>
    <s v="PLAQUETTES"/>
    <s v="290x12"/>
    <n v="71.2"/>
  </r>
  <r>
    <d v="2025-04-22T21:40:20"/>
    <x v="7"/>
    <s v="Plaquettes d'ébauches carrées"/>
    <s v="u636817"/>
    <s v="MOCQUEREAU LYDIE"/>
    <n v="10"/>
    <x v="2"/>
    <x v="3"/>
    <s v="PLAQUETTES"/>
    <s v="302x26 RPI"/>
    <n v="71.2"/>
  </r>
  <r>
    <d v="2025-04-22T21:40:46"/>
    <x v="7"/>
    <s v="Plaquettes d'ébauches carrées"/>
    <s v="u636817"/>
    <s v="MOCQUEREAU LYDIE"/>
    <n v="10"/>
    <x v="2"/>
    <x v="3"/>
    <s v="PLAQUETTES"/>
    <s v="302x26 RPI"/>
    <n v="71.2"/>
  </r>
  <r>
    <d v="2025-04-24T18:26:09"/>
    <x v="7"/>
    <s v="Plaquettes d'ébauches carrées"/>
    <s v="250425"/>
    <s v="CHANDAR ABDER"/>
    <n v="10"/>
    <x v="2"/>
    <x v="4"/>
    <s v="PLAQUETTES"/>
    <s v="302x26 RPI"/>
    <n v="71.2"/>
  </r>
  <r>
    <d v="2025-04-24T20:52:05"/>
    <x v="7"/>
    <s v="Plaquettes d'ébauches carrées"/>
    <s v="SE08251"/>
    <s v="FAYET AYMERIC"/>
    <n v="10"/>
    <x v="0"/>
    <x v="2"/>
    <s v="PLAQUETTES"/>
    <s v="356x26 RPI"/>
    <n v="71.2"/>
  </r>
  <r>
    <d v="2025-04-24T20:52:40"/>
    <x v="7"/>
    <s v="Plaquettes d'ébauches carrées"/>
    <s v="SE08251"/>
    <s v="FAYET AYMERIC"/>
    <n v="10"/>
    <x v="3"/>
    <x v="2"/>
    <s v="PLAQUETTES"/>
    <s v="290x12"/>
    <n v="71.2"/>
  </r>
  <r>
    <d v="2025-04-24T22:20:51"/>
    <x v="7"/>
    <s v="Plaquettes d'ébauches carrées"/>
    <s v="140325"/>
    <s v="BOUCLIER JONATHAN"/>
    <n v="10"/>
    <x v="2"/>
    <x v="4"/>
    <s v="PLAQUETTES"/>
    <s v="302x26 RPI"/>
    <n v="71.2"/>
  </r>
  <r>
    <d v="2025-04-25T05:22:46"/>
    <x v="7"/>
    <s v="Plaquettes d'ébauches carrées"/>
    <s v="DELIAT C"/>
    <s v="DELIAT CHRISTOPHE"/>
    <n v="10"/>
    <x v="2"/>
    <x v="3"/>
    <s v="PLAQUETTES"/>
    <s v="302x26 RPI"/>
    <n v="71.2"/>
  </r>
  <r>
    <d v="2025-04-26T06:40:24"/>
    <x v="7"/>
    <s v="Plaquettes d'ébauches carrées"/>
    <s v="DELIAT C"/>
    <s v="DELIAT CHRISTOPHE"/>
    <n v="10"/>
    <x v="2"/>
    <x v="2"/>
    <s v="PLAQUETTES"/>
    <s v="302x26 RPI"/>
    <n v="71.2"/>
  </r>
  <r>
    <d v="2025-04-27T17:52:16"/>
    <x v="7"/>
    <s v="Plaquettes d'ébauches carrées"/>
    <s v="J534699"/>
    <s v="FABIAN CHARTON"/>
    <n v="10"/>
    <x v="2"/>
    <x v="3"/>
    <s v="PLAQUETTES"/>
    <s v="302x26 RPI"/>
    <n v="71.2"/>
  </r>
  <r>
    <d v="2025-04-27T17:52:52"/>
    <x v="7"/>
    <s v="Plaquettes d'ébauches carrées"/>
    <s v="J534699"/>
    <s v="FABIAN CHARTON"/>
    <n v="10"/>
    <x v="2"/>
    <x v="3"/>
    <s v="PLAQUETTES"/>
    <s v="302x26 RPI"/>
    <n v="71.2"/>
  </r>
  <r>
    <d v="2025-04-27T17:55:10"/>
    <x v="7"/>
    <s v="Plaquettes d'ébauches carrées"/>
    <s v="J534699"/>
    <s v="FABIAN CHARTON"/>
    <n v="10"/>
    <x v="2"/>
    <x v="4"/>
    <s v="PLAQUETTES"/>
    <s v="302x26 RPI"/>
    <n v="71.2"/>
  </r>
  <r>
    <d v="2025-04-27T17:56:36"/>
    <x v="7"/>
    <s v="Plaquettes d'ébauches carrées"/>
    <s v="J534699"/>
    <s v="FABIAN CHARTON"/>
    <n v="10"/>
    <x v="2"/>
    <x v="2"/>
    <s v="PLAQUETTES"/>
    <s v="302x26 RPI"/>
    <n v="71.2"/>
  </r>
  <r>
    <d v="2025-04-28T05:16:18"/>
    <x v="7"/>
    <s v="Plaquettes d'ébauches carrées"/>
    <s v="SE08251"/>
    <s v="FAYET AYMERIC"/>
    <n v="10"/>
    <x v="3"/>
    <x v="2"/>
    <s v="PLAQUETTES"/>
    <s v="290x12"/>
    <n v="71.2"/>
  </r>
  <r>
    <d v="2025-04-28T15:01:19"/>
    <x v="7"/>
    <s v="Plaquettes d'ébauches carrées"/>
    <s v="140325"/>
    <s v="BOUCLIER JONATHAN"/>
    <n v="10"/>
    <x v="2"/>
    <x v="2"/>
    <s v="PLAQUETTES"/>
    <s v="302x26 RPI"/>
    <n v="71.2"/>
  </r>
  <r>
    <d v="2025-04-28T15:02:51"/>
    <x v="7"/>
    <s v="Plaquettes d'ébauches carrées"/>
    <s v="140325"/>
    <s v="BOUCLIER JONATHAN"/>
    <n v="10"/>
    <x v="2"/>
    <x v="4"/>
    <s v="PLAQUETTES"/>
    <s v="302x26 RPI"/>
    <n v="71.2"/>
  </r>
  <r>
    <d v="2025-04-29T22:35:20"/>
    <x v="7"/>
    <s v="Plaquettes d'ébauches carrées"/>
    <s v="U037238"/>
    <s v="PRIEUR OLIVIER"/>
    <n v="10"/>
    <x v="2"/>
    <x v="3"/>
    <s v="PLAQUETTES"/>
    <s v="302x26 RPI"/>
    <n v="71.2"/>
  </r>
  <r>
    <d v="2025-04-30T05:23:03"/>
    <x v="7"/>
    <s v="Plaquettes d'ébauches carrées"/>
    <s v="SE08251"/>
    <s v="FAYET AYMERIC"/>
    <n v="10"/>
    <x v="0"/>
    <x v="3"/>
    <s v="PLAQUETTES"/>
    <s v="330x14"/>
    <n v="71.2"/>
  </r>
  <r>
    <d v="2025-04-30T05:23:43"/>
    <x v="7"/>
    <s v="Plaquettes d'ébauches carrées"/>
    <s v="SE08251"/>
    <s v="FAYET AYMERIC"/>
    <n v="10"/>
    <x v="3"/>
    <x v="3"/>
    <s v="PLAQUETTES"/>
    <s v="290x12"/>
    <n v="71.2"/>
  </r>
  <r>
    <d v="2025-04-30T17:19:29"/>
    <x v="7"/>
    <s v="Plaquettes d'ébauches carrées"/>
    <s v="140325"/>
    <s v="BOUCLIER JONATHAN"/>
    <n v="10"/>
    <x v="2"/>
    <x v="2"/>
    <s v="PLAQUETTES"/>
    <s v="302x26 RPI"/>
    <n v="71.2"/>
  </r>
  <r>
    <d v="2025-05-02T09:52:45"/>
    <x v="7"/>
    <s v="Plaquettes d'ébauches carrées"/>
    <s v="J534699"/>
    <s v="FABIAN CHARTON"/>
    <n v="10"/>
    <x v="2"/>
    <x v="2"/>
    <s v="PLAQUETTES"/>
    <s v="302x26 RPI"/>
    <n v="71.2"/>
  </r>
  <r>
    <d v="2025-05-02T09:54:50"/>
    <x v="7"/>
    <s v="Plaquettes d'ébauches carrées"/>
    <s v="J534699"/>
    <s v="FABIAN CHARTON"/>
    <n v="10"/>
    <x v="2"/>
    <x v="3"/>
    <s v="PLAQUETTES"/>
    <s v="302x26 RPI"/>
    <n v="71.2"/>
  </r>
  <r>
    <d v="2025-05-05T22:13:05"/>
    <x v="7"/>
    <s v="Plaquettes d'ébauches carrées"/>
    <s v="SE08251"/>
    <s v="FAYET AYMERIC"/>
    <n v="10"/>
    <x v="0"/>
    <x v="3"/>
    <s v="PLAQUETTES"/>
    <s v="330x14"/>
    <n v="71.2"/>
  </r>
  <r>
    <d v="2025-05-05T22:13:42"/>
    <x v="7"/>
    <s v="Plaquettes d'ébauches carrées"/>
    <s v="SE08251"/>
    <s v="FAYET AYMERIC"/>
    <n v="10"/>
    <x v="3"/>
    <x v="3"/>
    <s v="PLAQUETTES"/>
    <s v="290x12"/>
    <n v="71.2"/>
  </r>
  <r>
    <d v="2025-05-06T02:31:30"/>
    <x v="7"/>
    <s v="Plaquettes d'ébauches carrées"/>
    <s v="250425"/>
    <s v="CHANDAR ABDER"/>
    <n v="10"/>
    <x v="2"/>
    <x v="4"/>
    <s v="PLAQUETTES"/>
    <s v="302x26 RPI"/>
    <n v="71.2"/>
  </r>
  <r>
    <d v="2025-05-06T08:00:21"/>
    <x v="7"/>
    <s v="Plaquettes d'ébauches carrées"/>
    <s v="SF51433"/>
    <s v="BONTEMS COLINE"/>
    <n v="10"/>
    <x v="2"/>
    <x v="4"/>
    <s v="PLAQUETTES"/>
    <s v="TOUT DISQUES"/>
    <n v="71.2"/>
  </r>
  <r>
    <d v="2025-05-07T05:37:21"/>
    <x v="7"/>
    <s v="Plaquettes d'ébauches carrées"/>
    <s v="u636817"/>
    <s v="MOCQUEREAU LYDIE"/>
    <n v="10"/>
    <x v="2"/>
    <x v="3"/>
    <s v="PLAQUETTES"/>
    <s v="302x26 RPI"/>
    <n v="71.2"/>
  </r>
  <r>
    <d v="2025-05-07T11:38:37"/>
    <x v="7"/>
    <s v="Plaquettes d'ébauches carrées"/>
    <s v="140325"/>
    <s v="BOUCLIER JONATHAN"/>
    <n v="10"/>
    <x v="2"/>
    <x v="2"/>
    <s v="PLAQUETTES"/>
    <s v="302x26 RPI"/>
    <n v="71.2"/>
  </r>
  <r>
    <d v="2025-05-07T21:47:47"/>
    <x v="7"/>
    <s v="Plaquettes d'ébauches carrées"/>
    <s v="SE08251"/>
    <s v="FAYET AYMERIC"/>
    <n v="10"/>
    <x v="3"/>
    <x v="3"/>
    <s v="PLAQUETTES"/>
    <s v="290x12"/>
    <n v="71.2"/>
  </r>
  <r>
    <d v="2025-05-08T09:09:42"/>
    <x v="7"/>
    <s v="Plaquettes d'ébauches carrées"/>
    <s v="140325"/>
    <s v="BOUCLIER JONATHAN"/>
    <n v="10"/>
    <x v="2"/>
    <x v="2"/>
    <s v="PLAQUETTES"/>
    <s v="302x26 RPI"/>
    <n v="71.2"/>
  </r>
  <r>
    <d v="2025-05-08T09:10:04"/>
    <x v="7"/>
    <s v="Plaquettes d'ébauches carrées"/>
    <s v="140325"/>
    <s v="BOUCLIER JONATHAN"/>
    <n v="-10"/>
    <x v="2"/>
    <x v="2"/>
    <s v="PLAQUETTES"/>
    <s v="302x26 RPI"/>
    <n v="-71.2"/>
  </r>
  <r>
    <d v="2025-05-08T09:10:19"/>
    <x v="7"/>
    <s v="Plaquettes d'ébauches carrées"/>
    <s v="140325"/>
    <s v="BOUCLIER JONATHAN"/>
    <n v="10"/>
    <x v="2"/>
    <x v="2"/>
    <s v="PLAQUETTES"/>
    <s v="302x26 RPI"/>
    <n v="71.2"/>
  </r>
  <r>
    <d v="2025-05-08T09:10:52"/>
    <x v="7"/>
    <s v="Plaquettes d'ébauches carrées"/>
    <s v="140325"/>
    <s v="BOUCLIER JONATHAN"/>
    <n v="10"/>
    <x v="2"/>
    <x v="4"/>
    <s v="PLAQUETTES"/>
    <s v="302x26 RPI"/>
    <n v="71.2"/>
  </r>
  <r>
    <d v="2025-05-08T10:53:37"/>
    <x v="7"/>
    <s v="Plaquettes d'ébauches carrées"/>
    <s v="U080365"/>
    <s v="ALAVOINE SAMUEL"/>
    <n v="10"/>
    <x v="2"/>
    <x v="3"/>
    <s v="PLAQUETTES"/>
    <s v="302x26 RPI"/>
    <n v="71.2"/>
  </r>
  <r>
    <d v="2025-05-08T14:07:55"/>
    <x v="7"/>
    <s v="Plaquettes d'ébauches carrées"/>
    <s v="U037238"/>
    <s v="PRIEUR OLIVIER"/>
    <n v="10"/>
    <x v="2"/>
    <x v="3"/>
    <s v="PLAQUETTES"/>
    <s v="302x26 RPI"/>
    <n v="71.2"/>
  </r>
  <r>
    <d v="2025-05-08T21:56:38"/>
    <x v="7"/>
    <s v="Plaquettes d'ébauches carrées"/>
    <s v="250425"/>
    <s v="CHANDAR ABDER"/>
    <n v="10"/>
    <x v="2"/>
    <x v="2"/>
    <s v="PLAQUETTES"/>
    <s v="302x26 RPI"/>
    <n v="71.2"/>
  </r>
  <r>
    <d v="2025-05-09T21:17:42"/>
    <x v="7"/>
    <s v="Plaquettes d'ébauches carrées"/>
    <s v="SE08251"/>
    <s v="FAYET AYMERIC"/>
    <n v="10"/>
    <x v="3"/>
    <x v="2"/>
    <s v="PLAQUETTES"/>
    <s v="290x12"/>
    <n v="71.2"/>
  </r>
  <r>
    <d v="2025-05-13T07:08:09"/>
    <x v="7"/>
    <s v="Plaquettes d'ébauches carrées"/>
    <s v="101224"/>
    <s v="CHAZEAU KYLIAN"/>
    <n v="10"/>
    <x v="0"/>
    <x v="2"/>
    <s v="PLAQUETTES"/>
    <s v="356x26 RPI"/>
    <n v="71.2"/>
  </r>
  <r>
    <d v="2025-05-13T19:04:20"/>
    <x v="7"/>
    <s v="Plaquettes d'ébauches carrées"/>
    <s v="250425"/>
    <s v="CHANDAR ABDER"/>
    <n v="10"/>
    <x v="2"/>
    <x v="4"/>
    <s v="PLAQUETTES"/>
    <s v="302x26 RPI"/>
    <n v="71.2"/>
  </r>
  <r>
    <d v="2025-05-14T13:19:56"/>
    <x v="7"/>
    <s v="Plaquettes d'ébauches carrées"/>
    <s v="SE08251"/>
    <s v="FAYET AYMERIC"/>
    <n v="10"/>
    <x v="3"/>
    <x v="3"/>
    <s v="PLAQUETTES"/>
    <s v="290x12"/>
    <n v="71.2"/>
  </r>
  <r>
    <d v="2025-05-15T15:00:29"/>
    <x v="7"/>
    <s v="Plaquettes d'ébauches carrées"/>
    <s v="250425"/>
    <s v="CHANDAR ABDER"/>
    <n v="10"/>
    <x v="2"/>
    <x v="2"/>
    <s v="PLAQUETTES"/>
    <s v="302x26 RPI"/>
    <n v="71.2"/>
  </r>
  <r>
    <d v="2025-05-15T20:55:54"/>
    <x v="7"/>
    <s v="Plaquettes d'ébauches carrées"/>
    <s v="250425"/>
    <s v="CHANDAR ABDER"/>
    <n v="10"/>
    <x v="2"/>
    <x v="2"/>
    <s v="PLAQUETTES"/>
    <s v="302x26 RPI"/>
    <n v="71.2"/>
  </r>
  <r>
    <d v="2025-05-15T22:48:59"/>
    <x v="7"/>
    <s v="Plaquettes d'ébauches carrées"/>
    <s v="u636817"/>
    <s v="MOCQUEREAU LYDIE"/>
    <n v="10"/>
    <x v="2"/>
    <x v="3"/>
    <s v="PLAQUETTES"/>
    <s v="302x26 RPI"/>
    <n v="71.2"/>
  </r>
  <r>
    <d v="2025-05-15T22:49:26"/>
    <x v="7"/>
    <s v="Plaquettes d'ébauches carrées"/>
    <s v="u636817"/>
    <s v="MOCQUEREAU LYDIE"/>
    <n v="10"/>
    <x v="2"/>
    <x v="3"/>
    <s v="PLAQUETTES"/>
    <s v="302x26 RPI"/>
    <n v="71.2"/>
  </r>
  <r>
    <d v="2025-05-16T03:55:26"/>
    <x v="7"/>
    <s v="Plaquettes d'ébauches carrées"/>
    <s v="140325"/>
    <s v="BOUCLIER JONATHAN"/>
    <n v="10"/>
    <x v="2"/>
    <x v="4"/>
    <s v="PLAQUETTES"/>
    <s v="302x26 RPI"/>
    <n v="71.2"/>
  </r>
  <r>
    <d v="2025-05-16T03:55:58"/>
    <x v="7"/>
    <s v="Plaquettes d'ébauches carrées"/>
    <s v="140325"/>
    <s v="BOUCLIER JONATHAN"/>
    <n v="10"/>
    <x v="2"/>
    <x v="2"/>
    <s v="PLAQUETTES"/>
    <s v="302x26 RPI"/>
    <n v="71.2"/>
  </r>
  <r>
    <d v="2025-05-16T08:39:37"/>
    <x v="7"/>
    <s v="Plaquettes d'ébauches carrées"/>
    <s v="J534699"/>
    <s v="FABIAN CHARTON"/>
    <n v="10"/>
    <x v="2"/>
    <x v="4"/>
    <s v="PLAQUETTES"/>
    <s v="302x26 RPI"/>
    <n v="71.2"/>
  </r>
  <r>
    <d v="2025-05-16T08:40:07"/>
    <x v="7"/>
    <s v="Plaquettes d'ébauches carrées"/>
    <s v="J534699"/>
    <s v="FABIAN CHARTON"/>
    <n v="10"/>
    <x v="2"/>
    <x v="2"/>
    <s v="PLAQUETTES"/>
    <s v="302x26 RPI"/>
    <n v="71.2"/>
  </r>
  <r>
    <d v="2025-05-16T15:34:53"/>
    <x v="7"/>
    <s v="Plaquettes d'ébauches carrées"/>
    <s v="SE08251"/>
    <s v="FAYET AYMERIC"/>
    <n v="10"/>
    <x v="0"/>
    <x v="2"/>
    <s v="PLAQUETTES"/>
    <s v="356x26 RPI"/>
    <n v="71.2"/>
  </r>
  <r>
    <d v="2025-05-19T05:46:24"/>
    <x v="7"/>
    <s v="Plaquettes d'ébauches carrées"/>
    <s v="SE08251"/>
    <s v="FAYET AYMERIC"/>
    <n v="10"/>
    <x v="3"/>
    <x v="2"/>
    <s v="PLAQUETTES"/>
    <s v="290x12"/>
    <n v="71.2"/>
  </r>
  <r>
    <d v="2025-05-19T12:05:53"/>
    <x v="7"/>
    <s v="Plaquettes d'ébauches carrées"/>
    <s v="250425"/>
    <s v="CHANDAR ABDER"/>
    <n v="10"/>
    <x v="2"/>
    <x v="4"/>
    <s v="PLAQUETTES"/>
    <s v="302x26 RPI"/>
    <n v="71.2"/>
  </r>
  <r>
    <d v="2025-05-19T13:20:22"/>
    <x v="7"/>
    <s v="Plaquettes d'ébauches carrées"/>
    <s v="SD75051"/>
    <s v="COMBALUZIER LUCAS"/>
    <n v="10"/>
    <x v="0"/>
    <x v="2"/>
    <s v="PLAQUETTES"/>
    <s v="330x14"/>
    <n v="71.2"/>
  </r>
  <r>
    <d v="2025-05-19T13:29:03"/>
    <x v="7"/>
    <s v="Plaquettes d'ébauches carrées"/>
    <s v="u636817"/>
    <s v="MOCQUEREAU LYDIE"/>
    <n v="10"/>
    <x v="2"/>
    <x v="2"/>
    <s v="PLAQUETTES"/>
    <s v="302x26 RPI"/>
    <n v="71.2"/>
  </r>
  <r>
    <d v="2025-05-19T13:30:19"/>
    <x v="7"/>
    <s v="Plaquettes d'ébauches carrées"/>
    <s v="u636817"/>
    <s v="MOCQUEREAU LYDIE"/>
    <n v="10"/>
    <x v="2"/>
    <x v="4"/>
    <s v="PLAQUETTES"/>
    <s v="302x26 RPI"/>
    <n v="71.2"/>
  </r>
  <r>
    <d v="2025-05-20T05:21:41"/>
    <x v="7"/>
    <s v="Plaquettes d'ébauches carrées"/>
    <s v="SE08251"/>
    <s v="FAYET AYMERIC"/>
    <n v="10"/>
    <x v="0"/>
    <x v="3"/>
    <s v="PLAQUETTES"/>
    <s v="330x14"/>
    <n v="71.2"/>
  </r>
  <r>
    <d v="2025-05-20T21:07:26"/>
    <x v="7"/>
    <s v="Plaquettes d'ébauches carrées"/>
    <s v="101123"/>
    <s v="BRUNET ANDREA"/>
    <n v="10"/>
    <x v="2"/>
    <x v="3"/>
    <s v="PLAQUETTES"/>
    <s v="302x26 RPI"/>
    <n v="71.2"/>
  </r>
  <r>
    <d v="2025-05-21T05:56:32"/>
    <x v="7"/>
    <s v="Plaquettes d'ébauches carrées"/>
    <s v="SE08251"/>
    <s v="FAYET AYMERIC"/>
    <n v="10"/>
    <x v="3"/>
    <x v="2"/>
    <s v="PLAQUETTES"/>
    <s v="290x12"/>
    <n v="71.2"/>
  </r>
  <r>
    <d v="2025-05-22T13:52:08"/>
    <x v="7"/>
    <s v="Plaquettes d'ébauches carrées"/>
    <s v="140325"/>
    <s v="BOUCLIER JONATHAN"/>
    <n v="10"/>
    <x v="2"/>
    <x v="4"/>
    <s v="PLAQUETTES"/>
    <s v="302x26 RPI"/>
    <n v="71.2"/>
  </r>
  <r>
    <d v="2025-05-23T04:53:09"/>
    <x v="7"/>
    <s v="Plaquettes d'ébauches carrées"/>
    <s v="210325"/>
    <s v="DAUTUN ALLAN"/>
    <n v="10"/>
    <x v="2"/>
    <x v="2"/>
    <s v="PLAQUETTES"/>
    <s v="302x26 RPI"/>
    <n v="71.2"/>
  </r>
  <r>
    <d v="2025-05-23T04:53:27"/>
    <x v="7"/>
    <s v="Plaquettes d'ébauches carrées"/>
    <s v="210325"/>
    <s v="DAUTUN ALLAN"/>
    <n v="10"/>
    <x v="2"/>
    <x v="4"/>
    <s v="PLAQUETTES"/>
    <s v="302x26 RPI"/>
    <n v="71.2"/>
  </r>
  <r>
    <d v="2025-05-23T22:32:43"/>
    <x v="7"/>
    <s v="Plaquettes d'ébauches carrées"/>
    <s v="101123"/>
    <s v="BRUNET ANDREA"/>
    <n v="10"/>
    <x v="2"/>
    <x v="3"/>
    <s v="PLAQUETTES"/>
    <s v="302x26 RPI"/>
    <n v="71.2"/>
  </r>
  <r>
    <d v="2025-05-23T22:33:02"/>
    <x v="7"/>
    <s v="Plaquettes d'ébauches carrées"/>
    <s v="101123"/>
    <s v="BRUNET ANDREA"/>
    <n v="10"/>
    <x v="2"/>
    <x v="3"/>
    <s v="PLAQUETTES"/>
    <s v="302x26 RPI"/>
    <n v="71.2"/>
  </r>
  <r>
    <d v="2025-05-26T14:23:34"/>
    <x v="7"/>
    <s v="Plaquettes d'ébauches carrées"/>
    <s v="101224"/>
    <s v="CHAZEAU KYLIAN"/>
    <n v="10"/>
    <x v="0"/>
    <x v="3"/>
    <s v="PLAQUETTES"/>
    <s v="330x14"/>
    <n v="71.2"/>
  </r>
  <r>
    <d v="2025-05-27T01:08:35"/>
    <x v="7"/>
    <s v="Plaquettes d'ébauches carrées"/>
    <s v="250425"/>
    <s v="CHANDAR ABDER"/>
    <n v="10"/>
    <x v="2"/>
    <x v="2"/>
    <s v="PLAQUETTES"/>
    <s v="302x26 RPI"/>
    <n v="71.2"/>
  </r>
  <r>
    <d v="2025-05-27T05:36:17"/>
    <x v="7"/>
    <s v="Plaquettes d'ébauches carrées"/>
    <s v="140325"/>
    <s v="BOUCLIER JONATHAN"/>
    <n v="10"/>
    <x v="2"/>
    <x v="2"/>
    <s v="PLAQUETTES"/>
    <s v="302x26 RPI"/>
    <n v="71.2"/>
  </r>
  <r>
    <d v="2025-05-27T22:12:36"/>
    <x v="7"/>
    <s v="Plaquettes d'ébauches carrées"/>
    <s v="SE08251"/>
    <s v="FAYET AYMERIC"/>
    <n v="10"/>
    <x v="0"/>
    <x v="3"/>
    <s v="PLAQUETTES"/>
    <s v="356x26 RPI"/>
    <n v="71.2"/>
  </r>
  <r>
    <d v="2025-05-27T22:13:07"/>
    <x v="7"/>
    <s v="Plaquettes d'ébauches carrées"/>
    <s v="SE08251"/>
    <s v="FAYET AYMERIC"/>
    <n v="10"/>
    <x v="3"/>
    <x v="3"/>
    <s v="PLAQUETTES"/>
    <s v="290x12"/>
    <n v="71.2"/>
  </r>
  <r>
    <d v="2025-05-28T03:52:56"/>
    <x v="7"/>
    <s v="Plaquettes d'ébauches carrées"/>
    <s v="250425"/>
    <s v="CHANDAR ABDER"/>
    <n v="10"/>
    <x v="2"/>
    <x v="2"/>
    <s v="PLAQUETTES"/>
    <s v="302x26 RPI"/>
    <n v="71.2"/>
  </r>
  <r>
    <d v="2025-05-28T07:54:18"/>
    <x v="7"/>
    <s v="Plaquettes d'ébauches carrées"/>
    <s v="SF51433"/>
    <s v="BONTEMS COLINE"/>
    <n v="10"/>
    <x v="2"/>
    <x v="2"/>
    <s v="PLAQUETTES"/>
    <s v="TOUT DISQUES"/>
    <n v="71.2"/>
  </r>
  <r>
    <d v="2025-05-29T15:42:00"/>
    <x v="7"/>
    <s v="Plaquettes d'ébauches carrées"/>
    <s v="U561365"/>
    <s v="BALLY BENOIT"/>
    <n v="10"/>
    <x v="2"/>
    <x v="3"/>
    <s v="PLAQUETTES"/>
    <s v="302x26 RPI"/>
    <n v="71.2"/>
  </r>
  <r>
    <d v="2025-05-29T21:23:23"/>
    <x v="7"/>
    <s v="Plaquettes d'ébauches carrées"/>
    <s v="SE08251"/>
    <s v="FAYET AYMERIC"/>
    <n v="10"/>
    <x v="3"/>
    <x v="2"/>
    <s v="PLAQUETTES"/>
    <s v="290x12"/>
    <n v="71.2"/>
  </r>
  <r>
    <d v="2025-05-30T16:10:34"/>
    <x v="7"/>
    <s v="Plaquettes d'ébauches carrées"/>
    <s v="130124"/>
    <s v="MOHAMED ILDIRAY"/>
    <n v="10"/>
    <x v="1"/>
    <x v="3"/>
    <s v="PLAQUETTES"/>
    <s v="304x28 RPE"/>
    <n v="71.2"/>
  </r>
  <r>
    <d v="2025-05-31T01:24:46"/>
    <x v="7"/>
    <s v="Plaquettes d'ébauches carrées"/>
    <s v="250425"/>
    <s v="CHANDAR ABDER"/>
    <n v="10"/>
    <x v="2"/>
    <x v="2"/>
    <s v="PLAQUETTES"/>
    <s v="302x26 RPI"/>
    <n v="71.2"/>
  </r>
  <r>
    <d v="2025-06-02T11:42:31"/>
    <x v="7"/>
    <s v="Plaquettes d'ébauches carrées"/>
    <s v="101123"/>
    <s v="BRUNET ANDREA"/>
    <n v="10"/>
    <x v="2"/>
    <x v="3"/>
    <s v="PLAQUETTES"/>
    <s v="302x26 RPI"/>
    <n v="71.2"/>
  </r>
  <r>
    <d v="2025-06-02T11:50:14"/>
    <x v="7"/>
    <s v="Plaquettes d'ébauches carrées"/>
    <s v="210325"/>
    <s v="DAUTUN ALLAN"/>
    <n v="10"/>
    <x v="2"/>
    <x v="2"/>
    <s v="PLAQUETTES"/>
    <s v="302x26 RPI"/>
    <n v="71.2"/>
  </r>
  <r>
    <d v="2025-06-02T15:49:09"/>
    <x v="7"/>
    <s v="Plaquettes d'ébauches carrées"/>
    <s v="250425"/>
    <s v="CHANDAR ABDER"/>
    <n v="10"/>
    <x v="2"/>
    <x v="3"/>
    <s v="PLAQUETTES"/>
    <s v="302x26 RPI"/>
    <n v="71.2"/>
  </r>
  <r>
    <d v="2025-06-02T18:26:43"/>
    <x v="7"/>
    <s v="Plaquettes d'ébauches carrées"/>
    <s v="250425"/>
    <s v="CHANDAR ABDER"/>
    <n v="10"/>
    <x v="2"/>
    <x v="3"/>
    <s v="PLAQUETTES"/>
    <s v="302x26 RPI"/>
    <n v="71.2"/>
  </r>
  <r>
    <d v="2025-06-02T21:26:26"/>
    <x v="7"/>
    <s v="Plaquettes d'ébauches carrées"/>
    <s v="SD75051"/>
    <s v="COMBALUZIER LUCAS"/>
    <n v="10"/>
    <x v="0"/>
    <x v="3"/>
    <s v="PLAQUETTES"/>
    <s v="330x14"/>
    <n v="71.2"/>
  </r>
  <r>
    <d v="2025-06-02T21:40:23"/>
    <x v="7"/>
    <s v="Plaquettes d'ébauches carrées"/>
    <s v="140325"/>
    <s v="BOUCLIER JONATHAN"/>
    <n v="10"/>
    <x v="2"/>
    <x v="2"/>
    <s v="PLAQUETTES"/>
    <s v="302x26 RPI"/>
    <n v="71.2"/>
  </r>
  <r>
    <d v="2025-06-03T18:29:40"/>
    <x v="7"/>
    <s v="Plaquettes d'ébauches carrées"/>
    <s v="250425"/>
    <s v="CHANDAR ABDER"/>
    <n v="10"/>
    <x v="2"/>
    <x v="3"/>
    <s v="PLAQUETTES"/>
    <s v="302x26 RPI"/>
    <n v="71.2"/>
  </r>
  <r>
    <d v="2025-06-03T18:29:57"/>
    <x v="7"/>
    <s v="Plaquettes d'ébauches carrées"/>
    <s v="250425"/>
    <s v="CHANDAR ABDER"/>
    <n v="10"/>
    <x v="2"/>
    <x v="3"/>
    <s v="PLAQUETTES"/>
    <s v="302x26 RPI"/>
    <n v="71.2"/>
  </r>
  <r>
    <d v="2025-06-04T21:06:46"/>
    <x v="7"/>
    <s v="Plaquettes d'ébauches carrées"/>
    <s v="140325"/>
    <s v="BOUCLIER JONATHAN"/>
    <n v="10"/>
    <x v="2"/>
    <x v="4"/>
    <s v="PLAQUETTES"/>
    <s v="302x26 RPI"/>
    <n v="71.2"/>
  </r>
  <r>
    <d v="2025-06-04T21:47:01"/>
    <x v="7"/>
    <s v="Plaquettes d'ébauches carrées"/>
    <s v="SD75051"/>
    <s v="COMBALUZIER LUCAS"/>
    <n v="10"/>
    <x v="0"/>
    <x v="2"/>
    <s v="PLAQUETTES"/>
    <s v="330x14"/>
    <n v="71.2"/>
  </r>
  <r>
    <d v="2025-06-04T21:47:29"/>
    <x v="7"/>
    <s v="Plaquettes d'ébauches carrées"/>
    <s v="SD75051"/>
    <s v="COMBALUZIER LUCAS"/>
    <n v="10"/>
    <x v="0"/>
    <x v="2"/>
    <s v="PLAQUETTES"/>
    <s v="330x14"/>
    <n v="71.2"/>
  </r>
  <r>
    <d v="2025-06-05T03:23:07"/>
    <x v="7"/>
    <s v="Plaquettes d'ébauches carrées"/>
    <s v="u636817"/>
    <s v="MOCQUEREAU LYDIE"/>
    <n v="10"/>
    <x v="2"/>
    <x v="3"/>
    <s v="PLAQUETTES"/>
    <s v="302x26 RPI"/>
    <n v="71.2"/>
  </r>
  <r>
    <d v="2025-06-06T03:51:27"/>
    <x v="7"/>
    <s v="Plaquettes d'ébauches carrées"/>
    <s v="140325"/>
    <s v="BOUCLIER JONATHAN"/>
    <n v="10"/>
    <x v="2"/>
    <x v="2"/>
    <s v="PLAQUETTES"/>
    <s v="302x26 RPI"/>
    <n v="71.2"/>
  </r>
  <r>
    <d v="2025-06-06T13:07:41"/>
    <x v="7"/>
    <s v="Plaquettes d'ébauches carrées"/>
    <s v="250425"/>
    <s v="CHANDAR ABDER"/>
    <n v="10"/>
    <x v="2"/>
    <x v="2"/>
    <s v="PLAQUETTES"/>
    <s v="302x26 RPI"/>
    <n v="71.2"/>
  </r>
  <r>
    <d v="2025-06-06T21:37:33"/>
    <x v="7"/>
    <s v="Plaquettes d'ébauches carrées"/>
    <s v="140325"/>
    <s v="BOUCLIER JONATHAN"/>
    <n v="10"/>
    <x v="2"/>
    <x v="4"/>
    <s v="PLAQUETTES"/>
    <s v="302x26 RPI"/>
    <n v="71.2"/>
  </r>
  <r>
    <d v="2025-06-07T04:09:18"/>
    <x v="7"/>
    <s v="Plaquettes d'ébauches carrées"/>
    <s v="u636817"/>
    <s v="MOCQUEREAU LYDIE"/>
    <n v="10"/>
    <x v="2"/>
    <x v="3"/>
    <s v="PLAQUETTES"/>
    <s v="302x26 RPI"/>
    <n v="71.2"/>
  </r>
  <r>
    <d v="2025-06-07T05:31:32"/>
    <x v="7"/>
    <s v="Plaquettes d'ébauches carrées"/>
    <s v="DELIAT C"/>
    <s v="DELIAT CHRISTOPHE"/>
    <n v="10"/>
    <x v="2"/>
    <x v="4"/>
    <s v="PLAQUETTES"/>
    <s v="302x26 RPI"/>
    <n v="71.2"/>
  </r>
  <r>
    <d v="2025-06-07T16:58:55"/>
    <x v="7"/>
    <s v="Plaquettes d'ébauches carrées"/>
    <s v="J534699"/>
    <s v="FABIAN CHARTON"/>
    <n v="10"/>
    <x v="2"/>
    <x v="2"/>
    <s v="PLAQUETTES"/>
    <s v="302x26 RPI"/>
    <n v="71.2"/>
  </r>
  <r>
    <d v="2025-06-07T17:00:17"/>
    <x v="7"/>
    <s v="Plaquettes d'ébauches carrées"/>
    <s v="J534699"/>
    <s v="FABIAN CHARTON"/>
    <n v="10"/>
    <x v="2"/>
    <x v="3"/>
    <s v="PLAQUETTES"/>
    <s v="302x26 RPI"/>
    <n v="71.2"/>
  </r>
  <r>
    <d v="2025-06-08T17:36:34"/>
    <x v="7"/>
    <s v="Plaquettes d'ébauches carrées"/>
    <s v="150725"/>
    <s v="ADOUL WASSIM"/>
    <n v="10"/>
    <x v="1"/>
    <x v="3"/>
    <s v="PLAQUETTES"/>
    <s v="356x26 RPI"/>
    <n v="71.2"/>
  </r>
  <r>
    <d v="2025-06-09T05:43:08"/>
    <x v="7"/>
    <s v="Plaquettes d'ébauches carrées"/>
    <s v="U532976"/>
    <s v="LEFORT XAVIER"/>
    <n v="10"/>
    <x v="2"/>
    <x v="2"/>
    <s v="PLAQUETTES"/>
    <s v="302x26 RPI"/>
    <n v="71.2"/>
  </r>
  <r>
    <d v="2025-06-09T06:26:16"/>
    <x v="7"/>
    <s v="Plaquettes d'ébauches carrées"/>
    <s v="SE08251"/>
    <s v="FAYET AYMERIC"/>
    <n v="10"/>
    <x v="3"/>
    <x v="2"/>
    <s v="PLAQUETTES"/>
    <s v="302x26 RPI"/>
    <n v="71.2"/>
  </r>
  <r>
    <d v="2025-06-10T08:10:41"/>
    <x v="7"/>
    <s v="Plaquettes d'ébauches carrées"/>
    <s v="12824586"/>
    <s v="DA SILVA FERNANDO"/>
    <n v="10"/>
    <x v="1"/>
    <x v="2"/>
    <s v="PLAQUETTES"/>
    <s v="TOUT DISQUES"/>
    <n v="71.2"/>
  </r>
  <r>
    <d v="2025-06-10T21:19:29"/>
    <x v="7"/>
    <s v="Plaquettes d'ébauches carrées"/>
    <s v="101123"/>
    <s v="BRUNET ANDREA"/>
    <n v="10"/>
    <x v="2"/>
    <x v="3"/>
    <s v="PLAQUETTES"/>
    <s v="302x26 RPI"/>
    <n v="71.2"/>
  </r>
  <r>
    <d v="2025-06-11T13:26:46"/>
    <x v="7"/>
    <s v="Plaquettes d'ébauches carrées"/>
    <s v="SD75051"/>
    <s v="COMBALUZIER LUCAS"/>
    <n v="10"/>
    <x v="3"/>
    <x v="2"/>
    <s v="PLAQUETTES"/>
    <s v="330x28 RPE KO"/>
    <n v="71.2"/>
  </r>
  <r>
    <d v="2025-06-12T13:47:39"/>
    <x v="7"/>
    <s v="Plaquettes d'ébauches carrées"/>
    <s v="140325"/>
    <s v="BOUCLIER JONATHAN"/>
    <n v="10"/>
    <x v="2"/>
    <x v="2"/>
    <s v="PLAQUETTES"/>
    <s v="302x26 RPI"/>
    <n v="71.2"/>
  </r>
  <r>
    <d v="2025-06-13T08:14:25"/>
    <x v="7"/>
    <s v="Plaquettes d'ébauches carrées"/>
    <s v="J534699"/>
    <s v="FABIAN CHARTON"/>
    <n v="10"/>
    <x v="2"/>
    <x v="3"/>
    <s v="PLAQUETTES"/>
    <s v="302x26 RPI"/>
    <n v="71.2"/>
  </r>
  <r>
    <d v="2025-06-13T08:15:18"/>
    <x v="7"/>
    <s v="Plaquettes d'ébauches carrées"/>
    <s v="J534699"/>
    <s v="FABIAN CHARTON"/>
    <n v="10"/>
    <x v="2"/>
    <x v="4"/>
    <s v="PLAQUETTES"/>
    <s v="302x26 RPI"/>
    <n v="71.2"/>
  </r>
  <r>
    <d v="2025-06-13T22:24:08"/>
    <x v="7"/>
    <s v="Plaquettes d'ébauches carrées"/>
    <s v="101123"/>
    <s v="BRUNET ANDREA"/>
    <n v="10"/>
    <x v="2"/>
    <x v="3"/>
    <s v="PLAQUETTES"/>
    <s v="302x26 RPI"/>
    <n v="71.2"/>
  </r>
  <r>
    <d v="2025-06-16T00:32:37"/>
    <x v="7"/>
    <s v="Plaquettes d'ébauches carrées"/>
    <s v="U080365"/>
    <s v="ALAVOINE SAMUEL"/>
    <n v="10"/>
    <x v="2"/>
    <x v="2"/>
    <s v="PLAQUETTES"/>
    <s v="302x26 RPI"/>
    <n v="71.2"/>
  </r>
  <r>
    <d v="2025-06-16T06:04:39"/>
    <x v="7"/>
    <s v="Plaquettes d'ébauches carrées"/>
    <s v="SD75051"/>
    <s v="COMBALUZIER LUCAS"/>
    <n v="10"/>
    <x v="0"/>
    <x v="3"/>
    <s v="PLAQUETTES"/>
    <s v="356x26 RPI"/>
    <n v="71.2"/>
  </r>
  <r>
    <d v="2025-06-16T16:22:43"/>
    <x v="7"/>
    <s v="Plaquettes d'ébauches carrées"/>
    <s v="210325"/>
    <s v="DAUTUN ALLAN"/>
    <n v="10"/>
    <x v="2"/>
    <x v="2"/>
    <s v="PLAQUETTES"/>
    <s v="302x26 RPI"/>
    <n v="71.2"/>
  </r>
  <r>
    <d v="2025-06-16T16:23:01"/>
    <x v="7"/>
    <s v="Plaquettes d'ébauches carrées"/>
    <s v="210325"/>
    <s v="DAUTUN ALLAN"/>
    <n v="10"/>
    <x v="2"/>
    <x v="2"/>
    <s v="PLAQUETTES"/>
    <s v="302x26 RPI"/>
    <n v="71.2"/>
  </r>
  <r>
    <d v="2025-06-16T23:34:42"/>
    <x v="7"/>
    <s v="Plaquettes d'ébauches carrées"/>
    <s v="SE08251"/>
    <s v="FAYET AYMERIC"/>
    <n v="10"/>
    <x v="3"/>
    <x v="2"/>
    <s v="PLAQUETTES"/>
    <s v="302x26 RPI"/>
    <n v="71.2"/>
  </r>
  <r>
    <d v="2025-06-16T23:59:24"/>
    <x v="7"/>
    <s v="Plaquettes d'ébauches carrées"/>
    <s v="U505000"/>
    <s v="RECEVEUR BENOIT"/>
    <n v="10"/>
    <x v="2"/>
    <x v="3"/>
    <s v="PLAQUETTES"/>
    <s v="302x26 RPI"/>
    <n v="71.2"/>
  </r>
  <r>
    <d v="2025-06-17T08:21:19"/>
    <x v="7"/>
    <s v="Plaquettes d'ébauches carrées"/>
    <s v="u636817"/>
    <s v="MOCQUEREAU LYDIE"/>
    <n v="10"/>
    <x v="2"/>
    <x v="3"/>
    <s v="PLAQUETTES"/>
    <s v="302x26 RPI"/>
    <n v="71.2"/>
  </r>
  <r>
    <d v="2025-06-17T08:21:50"/>
    <x v="7"/>
    <s v="Plaquettes d'ébauches carrées"/>
    <s v="u636817"/>
    <s v="MOCQUEREAU LYDIE"/>
    <n v="10"/>
    <x v="2"/>
    <x v="3"/>
    <s v="PLAQUETTES"/>
    <s v="302x26 RPI"/>
    <n v="71.2"/>
  </r>
  <r>
    <d v="2025-06-17T13:38:49"/>
    <x v="7"/>
    <s v="Plaquettes d'ébauches carrées"/>
    <s v="U037238"/>
    <s v="PRIEUR OLIVIER"/>
    <n v="10"/>
    <x v="2"/>
    <x v="3"/>
    <s v="PLAQUETTES"/>
    <s v="302x26 RPI"/>
    <n v="71.2"/>
  </r>
  <r>
    <d v="2025-06-18T03:30:27"/>
    <x v="7"/>
    <s v="Plaquettes d'ébauches carrées"/>
    <s v="U505000"/>
    <s v="RECEVEUR BENOIT"/>
    <n v="10"/>
    <x v="2"/>
    <x v="3"/>
    <s v="PLAQUETTES"/>
    <s v="302x26 RPI"/>
    <n v="71.2"/>
  </r>
  <r>
    <d v="2025-06-18T05:35:50"/>
    <x v="7"/>
    <s v="Plaquettes d'ébauches carrées"/>
    <s v="140325"/>
    <s v="BOUCLIER JONATHAN"/>
    <n v="10"/>
    <x v="2"/>
    <x v="2"/>
    <s v="PLAQUETTES"/>
    <s v="302x26 RPI"/>
    <n v="71.2"/>
  </r>
  <r>
    <d v="2025-06-19T22:14:17"/>
    <x v="7"/>
    <s v="Plaquettes d'ébauches carrées"/>
    <s v="SE08251"/>
    <s v="FAYET AYMERIC"/>
    <n v="10"/>
    <x v="3"/>
    <x v="2"/>
    <s v="PLAQUETTES"/>
    <s v="302x26 RPI"/>
    <n v="71.2"/>
  </r>
  <r>
    <d v="2025-06-19T22:14:49"/>
    <x v="7"/>
    <s v="Plaquettes d'ébauches carrées"/>
    <s v="SE08251"/>
    <s v="FAYET AYMERIC"/>
    <n v="10"/>
    <x v="0"/>
    <x v="2"/>
    <s v="PLAQUETTES"/>
    <s v="330x14"/>
    <n v="71.2"/>
  </r>
  <r>
    <d v="2025-06-20T05:25:54"/>
    <x v="7"/>
    <s v="Plaquettes d'ébauches carrées"/>
    <s v="DELIAT C"/>
    <s v="DELIAT CHRISTOPHE"/>
    <n v="10"/>
    <x v="2"/>
    <x v="4"/>
    <s v="PLAQUETTES"/>
    <s v="302x26 RPI"/>
    <n v="71.2"/>
  </r>
  <r>
    <d v="2025-06-20T17:35:52"/>
    <x v="7"/>
    <s v="Plaquettes d'ébauches carrées"/>
    <s v="130124"/>
    <s v="MOHAMED ILDIRAY"/>
    <n v="10"/>
    <x v="1"/>
    <x v="3"/>
    <s v="PLAQUETTES"/>
    <s v="356x26 RPI"/>
    <n v="71.2"/>
  </r>
  <r>
    <d v="2025-06-20T23:17:50"/>
    <x v="7"/>
    <s v="Plaquettes d'ébauches carrées"/>
    <s v="140325"/>
    <s v="BOUCLIER JONATHAN"/>
    <n v="10"/>
    <x v="2"/>
    <x v="3"/>
    <s v="PLAQUETTES"/>
    <s v="302x26 RPI"/>
    <n v="71.2"/>
  </r>
  <r>
    <d v="2025-06-23T14:38:39"/>
    <x v="7"/>
    <s v="Plaquettes d'ébauches carrées"/>
    <s v="SE08251"/>
    <s v="FAYET AYMERIC"/>
    <n v="10"/>
    <x v="3"/>
    <x v="2"/>
    <s v="PLAQUETTES"/>
    <s v="290x12"/>
    <n v="71.2"/>
  </r>
  <r>
    <d v="2025-06-24T03:38:29"/>
    <x v="7"/>
    <s v="Plaquettes d'ébauches carrées"/>
    <s v="u636817"/>
    <s v="MOCQUEREAU LYDIE"/>
    <n v="10"/>
    <x v="2"/>
    <x v="3"/>
    <s v="PLAQUETTES"/>
    <s v="302x26 RPI"/>
    <n v="71.2"/>
  </r>
  <r>
    <d v="2025-06-24T03:38:54"/>
    <x v="7"/>
    <s v="Plaquettes d'ébauches carrées"/>
    <s v="u636817"/>
    <s v="MOCQUEREAU LYDIE"/>
    <n v="10"/>
    <x v="2"/>
    <x v="2"/>
    <s v="PLAQUETTES"/>
    <s v="302x26 RPI"/>
    <n v="71.2"/>
  </r>
  <r>
    <d v="2025-06-24T05:30:59"/>
    <x v="7"/>
    <s v="Plaquettes d'ébauches carrées"/>
    <s v="U037238"/>
    <s v="PRIEUR OLIVIER"/>
    <n v="10"/>
    <x v="2"/>
    <x v="3"/>
    <s v="PLAQUETTES"/>
    <s v="302x26 RPI"/>
    <n v="71.2"/>
  </r>
  <r>
    <d v="2025-06-25T03:58:29"/>
    <x v="7"/>
    <s v="Plaquettes d'ébauches carrées"/>
    <s v="140325"/>
    <s v="BOUCLIER JONATHAN"/>
    <n v="10"/>
    <x v="2"/>
    <x v="2"/>
    <s v="PLAQUETTES"/>
    <s v="302x26 RPI"/>
    <n v="71.2"/>
  </r>
  <r>
    <d v="2025-06-25T21:32:50"/>
    <x v="7"/>
    <s v="Plaquettes d'ébauches carrées"/>
    <s v="140325"/>
    <s v="BOUCLIER JONATHAN"/>
    <n v="10"/>
    <x v="2"/>
    <x v="4"/>
    <s v="PLAQUETTES"/>
    <s v="302x26 RPI"/>
    <n v="71.2"/>
  </r>
  <r>
    <d v="2025-06-27T10:12:46"/>
    <x v="7"/>
    <s v="Plaquettes d'ébauches carrées"/>
    <s v="U109136"/>
    <s v="WIPLIE FREDERIC"/>
    <n v="10"/>
    <x v="1"/>
    <x v="3"/>
    <s v="PLAQUETTES"/>
    <s v="356x26 RPI"/>
    <n v="71.2"/>
  </r>
  <r>
    <d v="2025-06-27T17:46:49"/>
    <x v="7"/>
    <s v="Plaquettes d'ébauches carrées"/>
    <s v="SE08251"/>
    <s v="FAYET AYMERIC"/>
    <n v="10"/>
    <x v="2"/>
    <x v="4"/>
    <s v="PLAQUETTES"/>
    <s v="302x26 RPI"/>
    <n v="71.2"/>
  </r>
  <r>
    <d v="2025-06-27T21:20:28"/>
    <x v="7"/>
    <s v="Plaquettes d'ébauches carrées"/>
    <s v="SD75051"/>
    <s v="COMBALUZIER LUCAS"/>
    <n v="10"/>
    <x v="0"/>
    <x v="3"/>
    <s v="PLAQUETTES"/>
    <s v="330x14"/>
    <n v="71.2"/>
  </r>
  <r>
    <d v="2025-06-28T05:29:16"/>
    <x v="7"/>
    <s v="Plaquettes d'ébauches carrées"/>
    <s v="DELIAT C"/>
    <s v="DELIAT CHRISTOPHE"/>
    <n v="10"/>
    <x v="2"/>
    <x v="4"/>
    <s v="PLAQUETTES"/>
    <s v="302x26 RPI"/>
    <n v="71.2"/>
  </r>
  <r>
    <d v="2025-06-30T19:29:26"/>
    <x v="7"/>
    <s v="Plaquettes d'ébauches carrées"/>
    <s v="140325"/>
    <s v="BOUCLIER JONATHAN"/>
    <n v="10"/>
    <x v="2"/>
    <x v="2"/>
    <s v="PLAQUETTES"/>
    <s v="302x26 RPI"/>
    <n v="71.2"/>
  </r>
  <r>
    <d v="2025-06-30T19:30:25"/>
    <x v="7"/>
    <s v="Plaquettes d'ébauches carrées"/>
    <s v="140325"/>
    <s v="BOUCLIER JONATHAN"/>
    <n v="10"/>
    <x v="2"/>
    <x v="4"/>
    <s v="PLAQUETTES"/>
    <s v="302x26 RPI"/>
    <n v="71.2"/>
  </r>
  <r>
    <d v="2025-07-01T08:58:19"/>
    <x v="7"/>
    <s v="Plaquettes d'ébauches carrées"/>
    <s v="SE08251"/>
    <s v="FAYET AYMERIC"/>
    <n v="10"/>
    <x v="0"/>
    <x v="3"/>
    <s v="PLAQUETTES"/>
    <s v="290x12"/>
    <n v="71.2"/>
  </r>
  <r>
    <d v="2025-07-02T07:59:32"/>
    <x v="7"/>
    <s v="Plaquettes d'ébauches carrées"/>
    <s v="250425"/>
    <s v="CHANDAR ABDER"/>
    <n v="10"/>
    <x v="2"/>
    <x v="2"/>
    <s v="PLAQUETTES"/>
    <s v="302x26 RPI"/>
    <n v="71.2"/>
  </r>
  <r>
    <d v="2025-07-03T01:33:21"/>
    <x v="7"/>
    <s v="Plaquettes d'ébauches carrées"/>
    <s v="130124"/>
    <s v="MOHAMED ILDIRAY"/>
    <n v="10"/>
    <x v="1"/>
    <x v="3"/>
    <s v="PLAQUETTES"/>
    <s v="356x26 RPI"/>
    <n v="71.2"/>
  </r>
  <r>
    <d v="2025-07-04T05:36:17"/>
    <x v="7"/>
    <s v="Plaquettes d'ébauches carrées"/>
    <s v="DELIAT C"/>
    <s v="DELIAT CHRISTOPHE"/>
    <n v="10"/>
    <x v="2"/>
    <x v="2"/>
    <s v="PLAQUETTES"/>
    <s v="302x26 RPI"/>
    <n v="71.2"/>
  </r>
  <r>
    <d v="2025-07-04T05:36:56"/>
    <x v="7"/>
    <s v="Plaquettes d'ébauches carrées"/>
    <s v="DELIAT C"/>
    <s v="DELIAT CHRISTOPHE"/>
    <n v="10"/>
    <x v="2"/>
    <x v="4"/>
    <s v="PLAQUETTES"/>
    <s v="302x26 RPI"/>
    <n v="71.2"/>
  </r>
  <r>
    <d v="2025-07-04T08:54:44"/>
    <x v="7"/>
    <s v="Plaquettes d'ébauches carrées"/>
    <s v="12824586"/>
    <s v="DA SILVA FERNANDO"/>
    <n v="10"/>
    <x v="2"/>
    <x v="2"/>
    <s v="PLAQUETTES"/>
    <s v="TOUT DISQUES"/>
    <n v="71.2"/>
  </r>
  <r>
    <d v="2025-07-07T05:13:06"/>
    <x v="7"/>
    <s v="Plaquettes d'ébauches carrées"/>
    <s v="140325"/>
    <s v="BOUCLIER JONATHAN"/>
    <n v="10"/>
    <x v="2"/>
    <x v="3"/>
    <s v="PLAQUETTES"/>
    <s v="302x26 RPI"/>
    <n v="71.2"/>
  </r>
  <r>
    <d v="2025-07-07T07:53:27"/>
    <x v="7"/>
    <s v="Plaquettes d'ébauches carrées"/>
    <s v="020824"/>
    <s v="DA SILVA RENAUD"/>
    <n v="10"/>
    <x v="3"/>
    <x v="3"/>
    <s v="PLAQUETTES"/>
    <s v="TOUT DISQUES"/>
    <n v="71.2"/>
  </r>
  <r>
    <d v="2025-07-08T12:07:07"/>
    <x v="7"/>
    <s v="Plaquettes d'ébauches carrées"/>
    <s v="140325"/>
    <s v="BOUCLIER JONATHAN"/>
    <n v="10"/>
    <x v="2"/>
    <x v="2"/>
    <s v="PLAQUETTES"/>
    <s v="302x26 RPI"/>
    <n v="71.2"/>
  </r>
  <r>
    <d v="2025-07-08T12:07:59"/>
    <x v="7"/>
    <s v="Plaquettes d'ébauches carrées"/>
    <s v="140325"/>
    <s v="BOUCLIER JONATHAN"/>
    <n v="10"/>
    <x v="2"/>
    <x v="4"/>
    <s v="PLAQUETTES"/>
    <s v="302x26 RPI"/>
    <n v="71.2"/>
  </r>
  <r>
    <d v="2025-07-08T22:31:07"/>
    <x v="7"/>
    <s v="Plaquettes d'ébauches carrées"/>
    <s v="250425"/>
    <s v="CHANDAR ABDER"/>
    <n v="10"/>
    <x v="2"/>
    <x v="2"/>
    <s v="PLAQUETTES"/>
    <s v="302x26 RPI"/>
    <n v="71.2"/>
  </r>
  <r>
    <d v="2025-07-10T00:16:46"/>
    <x v="7"/>
    <s v="Plaquettes d'ébauches carrées"/>
    <s v="250425"/>
    <s v="CHANDAR ABDER"/>
    <n v="10"/>
    <x v="2"/>
    <x v="2"/>
    <s v="PLAQUETTES"/>
    <s v="302x26 RPI"/>
    <n v="71.2"/>
  </r>
  <r>
    <d v="2025-07-10T05:19:35"/>
    <x v="7"/>
    <s v="Plaquettes d'ébauches carrées"/>
    <s v="SD75051"/>
    <s v="COMBALUZIER LUCAS"/>
    <n v="10"/>
    <x v="0"/>
    <x v="3"/>
    <s v="PLAQUETTES"/>
    <s v="356x26 RPI"/>
    <n v="71.2"/>
  </r>
  <r>
    <d v="2025-07-11T02:43:08"/>
    <x v="7"/>
    <s v="Plaquettes d'ébauches carrées"/>
    <s v="250425"/>
    <s v="CHANDAR ABDER"/>
    <n v="10"/>
    <x v="2"/>
    <x v="2"/>
    <s v="PLAQUETTES"/>
    <s v="302x26 RPI"/>
    <n v="71.2"/>
  </r>
  <r>
    <d v="2025-07-11T05:13:51"/>
    <x v="7"/>
    <s v="Plaquettes d'ébauches carrées"/>
    <s v="J534699"/>
    <s v="FABIAN CHARTON"/>
    <n v="10"/>
    <x v="2"/>
    <x v="2"/>
    <s v="PLAQUETTES"/>
    <s v="302x26 RPI"/>
    <n v="71.2"/>
  </r>
  <r>
    <d v="2025-07-11T05:15:35"/>
    <x v="7"/>
    <s v="Plaquettes d'ébauches carrées"/>
    <s v="J534699"/>
    <s v="FABIAN CHARTON"/>
    <n v="10"/>
    <x v="2"/>
    <x v="3"/>
    <s v="PLAQUETTES"/>
    <s v="302x26 RPI"/>
    <n v="71.2"/>
  </r>
  <r>
    <d v="2025-07-13T17:48:43"/>
    <x v="7"/>
    <s v="Plaquettes d'ébauches carrées"/>
    <s v="J534699"/>
    <s v="FABIAN CHARTON"/>
    <n v="10"/>
    <x v="2"/>
    <x v="2"/>
    <s v="PLAQUETTES"/>
    <s v="302x26 RPI"/>
    <n v="71.2"/>
  </r>
  <r>
    <d v="2025-07-13T17:49:59"/>
    <x v="7"/>
    <s v="Plaquettes d'ébauches carrées"/>
    <s v="J534699"/>
    <s v="FABIAN CHARTON"/>
    <n v="10"/>
    <x v="2"/>
    <x v="4"/>
    <s v="PLAQUETTES"/>
    <s v="302x26 RPI"/>
    <n v="71.2"/>
  </r>
  <r>
    <d v="2025-07-15T05:04:14"/>
    <x v="7"/>
    <s v="Plaquettes d'ébauches carrées"/>
    <s v="130124"/>
    <s v="MOHAMED ILDIRAY"/>
    <n v="10"/>
    <x v="1"/>
    <x v="3"/>
    <s v="PLAQUETTES"/>
    <s v="304x28 RPE"/>
    <n v="71.2"/>
  </r>
  <r>
    <d v="2025-07-15T12:23:55"/>
    <x v="7"/>
    <s v="Plaquettes d'ébauches carrées"/>
    <s v="210325"/>
    <s v="DAUTUN ALLAN"/>
    <n v="10"/>
    <x v="2"/>
    <x v="2"/>
    <s v="PLAQUETTES"/>
    <s v="302x26 RPI"/>
    <n v="71.2"/>
  </r>
  <r>
    <d v="2025-07-15T13:26:01"/>
    <x v="7"/>
    <s v="Plaquettes d'ébauches carrées"/>
    <s v="SE08251"/>
    <s v="FAYET AYMERIC"/>
    <n v="10"/>
    <x v="0"/>
    <x v="2"/>
    <s v="PLAQUETTES"/>
    <s v="290x12"/>
    <n v="71.2"/>
  </r>
  <r>
    <d v="2025-07-15T16:52:42"/>
    <x v="7"/>
    <s v="Plaquettes d'ébauches carrées"/>
    <s v="250425"/>
    <s v="CHANDAR ABDER"/>
    <n v="10"/>
    <x v="2"/>
    <x v="2"/>
    <s v="PLAQUETTES"/>
    <s v="302x26 RPI"/>
    <n v="71.2"/>
  </r>
  <r>
    <d v="2025-07-16T04:23:54"/>
    <x v="7"/>
    <s v="Plaquettes d'ébauches carrées"/>
    <s v="140325"/>
    <s v="BOUCLIER JONATHAN"/>
    <n v="10"/>
    <x v="2"/>
    <x v="2"/>
    <s v="PLAQUETTES"/>
    <s v="302x26 RPI"/>
    <n v="71.2"/>
  </r>
  <r>
    <d v="2025-07-16T04:24:52"/>
    <x v="7"/>
    <s v="Plaquettes d'ébauches carrées"/>
    <s v="140325"/>
    <s v="BOUCLIER JONATHAN"/>
    <n v="10"/>
    <x v="2"/>
    <x v="4"/>
    <s v="PLAQUETTES"/>
    <s v="302x26 RPI"/>
    <n v="71.2"/>
  </r>
  <r>
    <d v="2025-07-16T09:05:27"/>
    <x v="7"/>
    <s v="Plaquettes d'ébauches carrées"/>
    <s v="U037238"/>
    <s v="PRIEUR OLIVIER"/>
    <n v="10"/>
    <x v="2"/>
    <x v="3"/>
    <s v="PLAQUETTES"/>
    <s v="302x26 RPI"/>
    <n v="71.2"/>
  </r>
  <r>
    <d v="2025-07-16T17:38:54"/>
    <x v="7"/>
    <s v="Plaquettes d'ébauches carrées"/>
    <s v="250425"/>
    <s v="CHANDAR ABDER"/>
    <n v="10"/>
    <x v="2"/>
    <x v="2"/>
    <s v="PLAQUETTES"/>
    <s v="302x26 RPI"/>
    <n v="71.2"/>
  </r>
  <r>
    <d v="2025-07-17T08:15:54"/>
    <x v="7"/>
    <s v="Plaquettes d'ébauches carrées"/>
    <s v="SD13196"/>
    <s v="FRADIN MAXIME"/>
    <n v="10"/>
    <x v="0"/>
    <x v="2"/>
    <s v="PLAQUETTES"/>
    <s v="290x12"/>
    <n v="71.2"/>
  </r>
  <r>
    <d v="2025-07-18T05:30:12"/>
    <x v="7"/>
    <s v="Plaquettes d'ébauches carrées"/>
    <s v="J534699"/>
    <s v="FABIAN CHARTON"/>
    <n v="10"/>
    <x v="2"/>
    <x v="2"/>
    <s v="PLAQUETTES"/>
    <s v="302x26 RPI"/>
    <n v="71.2"/>
  </r>
  <r>
    <d v="2025-07-18T05:30:57"/>
    <x v="7"/>
    <s v="Plaquettes d'ébauches carrées"/>
    <s v="J534699"/>
    <s v="FABIAN CHARTON"/>
    <n v="10"/>
    <x v="2"/>
    <x v="4"/>
    <s v="PLAQUETTES"/>
    <s v="302x26 RPI"/>
    <n v="71.2"/>
  </r>
  <r>
    <d v="2025-07-18T05:31:38"/>
    <x v="7"/>
    <s v="Plaquettes d'ébauches carrées"/>
    <s v="J534699"/>
    <s v="FABIAN CHARTON"/>
    <n v="10"/>
    <x v="2"/>
    <x v="3"/>
    <s v="PLAQUETTES"/>
    <s v="302x26 RPI"/>
    <n v="71.2"/>
  </r>
  <r>
    <d v="2025-07-18T21:59:23"/>
    <x v="7"/>
    <s v="Plaquettes d'ébauches carrées"/>
    <s v="sc95213"/>
    <s v="RABET PAULINE"/>
    <n v="10"/>
    <x v="1"/>
    <x v="3"/>
    <s v="PLAQUETTES"/>
    <s v="302x26 RPI"/>
    <n v="71.2"/>
  </r>
  <r>
    <d v="2025-07-19T05:17:06"/>
    <x v="7"/>
    <s v="Plaquettes d'ébauches carrées"/>
    <s v="DELIAT C"/>
    <s v="DELIAT CHRISTOPHE"/>
    <n v="10"/>
    <x v="2"/>
    <x v="4"/>
    <s v="PLAQUETTES"/>
    <s v="302x26 RPI"/>
    <n v="71.2"/>
  </r>
  <r>
    <d v="2025-07-19T05:17:21"/>
    <x v="7"/>
    <s v="Plaquettes d'ébauches carrées"/>
    <s v="DELIAT C"/>
    <s v="DELIAT CHRISTOPHE"/>
    <n v="10"/>
    <x v="2"/>
    <x v="3"/>
    <s v="PLAQUETTES"/>
    <s v="302x26 RPI"/>
    <n v="71.2"/>
  </r>
  <r>
    <d v="2025-07-21T11:02:46"/>
    <x v="7"/>
    <s v="Plaquettes d'ébauches carrées"/>
    <s v="250425"/>
    <s v="CHANDAR ABDER"/>
    <n v="10"/>
    <x v="2"/>
    <x v="2"/>
    <s v="PLAQUETTES"/>
    <s v="302x26 RPI"/>
    <n v="71.2"/>
  </r>
  <r>
    <d v="2025-07-22T10:12:48"/>
    <x v="7"/>
    <s v="Plaquettes d'ébauches carrées"/>
    <s v="12824586"/>
    <s v="DA SILVA FERNANDO"/>
    <n v="10"/>
    <x v="1"/>
    <x v="2"/>
    <s v="PLAQUETTES"/>
    <s v="TOUT DISQUES"/>
    <n v="71.2"/>
  </r>
  <r>
    <d v="2025-07-23T12:00:26"/>
    <x v="7"/>
    <s v="Plaquettes d'ébauches carrées"/>
    <s v="250425"/>
    <s v="CHANDAR ABDER"/>
    <n v="10"/>
    <x v="2"/>
    <x v="2"/>
    <s v="PLAQUETTES"/>
    <s v="302x26 RPI"/>
    <n v="71.2"/>
  </r>
  <r>
    <d v="2025-07-24T05:44:55"/>
    <x v="7"/>
    <s v="Plaquettes d'ébauches carrées"/>
    <s v="j529800"/>
    <s v="MONTCHARMONT BAPTISTE"/>
    <n v="10"/>
    <x v="0"/>
    <x v="3"/>
    <s v="PLAQUETTES"/>
    <s v="356x26 RPI"/>
    <n v="71.2"/>
  </r>
  <r>
    <d v="2025-07-24T10:25:30"/>
    <x v="7"/>
    <s v="Plaquettes d'ébauches carrées"/>
    <s v="250425"/>
    <s v="CHANDAR ABDER"/>
    <n v="10"/>
    <x v="2"/>
    <x v="2"/>
    <s v="PLAQUETTES"/>
    <s v="302x26 RPI"/>
    <n v="71.2"/>
  </r>
  <r>
    <d v="2025-07-24T10:25:52"/>
    <x v="7"/>
    <s v="Plaquettes d'ébauches carrées"/>
    <s v="250425"/>
    <s v="CHANDAR ABDER"/>
    <n v="10"/>
    <x v="2"/>
    <x v="2"/>
    <s v="PLAQUETTES"/>
    <s v="302x26 RPI"/>
    <n v="71.2"/>
  </r>
  <r>
    <d v="2025-07-24T15:44:07"/>
    <x v="7"/>
    <s v="Plaquettes d'ébauches carrées"/>
    <s v="140325"/>
    <s v="BOUCLIER JONATHAN"/>
    <n v="10"/>
    <x v="2"/>
    <x v="2"/>
    <s v="PLAQUETTES"/>
    <s v="302x26 RPI"/>
    <n v="71.2"/>
  </r>
  <r>
    <d v="2025-07-24T15:44:36"/>
    <x v="7"/>
    <s v="Plaquettes d'ébauches carrées"/>
    <s v="140325"/>
    <s v="BOUCLIER JONATHAN"/>
    <n v="10"/>
    <x v="2"/>
    <x v="4"/>
    <s v="PLAQUETTES"/>
    <s v="302x26 RPI"/>
    <n v="71.2"/>
  </r>
  <r>
    <d v="2025-07-24T17:51:42"/>
    <x v="7"/>
    <s v="Plaquettes d'ébauches carrées"/>
    <s v="040725"/>
    <s v="BARGEOT LUCAS"/>
    <n v="10"/>
    <x v="3"/>
    <x v="3"/>
    <s v="PLAQUETTES"/>
    <s v="330x14"/>
    <n v="71.2"/>
  </r>
  <r>
    <d v="2025-07-25T08:13:55"/>
    <x v="7"/>
    <s v="Plaquettes d'ébauches carrées"/>
    <s v="U080365"/>
    <s v="ALAVOINE SAMUEL"/>
    <n v="10"/>
    <x v="0"/>
    <x v="3"/>
    <s v="PLAQUETTES"/>
    <s v="290x12"/>
    <n v="71.2"/>
  </r>
  <r>
    <d v="2025-07-25T21:53:06"/>
    <x v="7"/>
    <s v="Plaquettes d'ébauches carrées"/>
    <s v="130124"/>
    <s v="MOHAMED ILDIRAY"/>
    <n v="10"/>
    <x v="1"/>
    <x v="3"/>
    <s v="PLAQUETTES"/>
    <s v="304x28 RPE"/>
    <n v="71.2"/>
  </r>
  <r>
    <d v="2025-07-26T05:04:08"/>
    <x v="7"/>
    <s v="Plaquettes d'ébauches carrées"/>
    <s v="DELIAT C"/>
    <s v="DELIAT CHRISTOPHE"/>
    <n v="10"/>
    <x v="2"/>
    <x v="2"/>
    <s v="PLAQUETTES"/>
    <s v="302x26 RPI"/>
    <n v="71.2"/>
  </r>
  <r>
    <d v="2025-07-26T05:18:20"/>
    <x v="7"/>
    <s v="Plaquettes d'ébauches carrées"/>
    <s v="DELIAT C"/>
    <s v="DELIAT CHRISTOPHE"/>
    <n v="10"/>
    <x v="2"/>
    <x v="2"/>
    <s v="PLAQUETTES"/>
    <s v="302x26 RPI"/>
    <n v="71.2"/>
  </r>
  <r>
    <d v="2025-07-26T05:18:38"/>
    <x v="7"/>
    <s v="Plaquettes d'ébauches carrées"/>
    <s v="DELIAT C"/>
    <s v="DELIAT CHRISTOPHE"/>
    <n v="10"/>
    <x v="2"/>
    <x v="3"/>
    <s v="PLAQUETTES"/>
    <s v="302x26 RPI"/>
    <n v="71.2"/>
  </r>
  <r>
    <d v="2025-07-28T13:52:39"/>
    <x v="7"/>
    <s v="Plaquettes d'ébauches carrées"/>
    <s v="140325"/>
    <s v="BOUCLIER JONATHAN"/>
    <n v="10"/>
    <x v="2"/>
    <x v="3"/>
    <s v="PLAQUETTES"/>
    <s v="302x26 RPI"/>
    <n v="71.2"/>
  </r>
  <r>
    <d v="2025-07-29T05:55:18"/>
    <x v="7"/>
    <s v="Plaquettes d'ébauches carrées"/>
    <s v="u636817"/>
    <s v="MOCQUEREAU LYDIE"/>
    <n v="10"/>
    <x v="2"/>
    <x v="3"/>
    <s v="PLAQUETTES"/>
    <s v="302x26 RPI"/>
    <n v="71.2"/>
  </r>
  <r>
    <d v="2025-07-29T05:55:42"/>
    <x v="7"/>
    <s v="Plaquettes d'ébauches carrées"/>
    <s v="u636817"/>
    <s v="MOCQUEREAU LYDIE"/>
    <n v="10"/>
    <x v="2"/>
    <x v="3"/>
    <s v="PLAQUETTES"/>
    <s v="302x26 RPI"/>
    <n v="71.2"/>
  </r>
  <r>
    <d v="2025-07-30T14:06:52"/>
    <x v="7"/>
    <s v="Plaquettes d'ébauches carrées"/>
    <s v="140325"/>
    <s v="BOUCLIER JONATHAN"/>
    <n v="10"/>
    <x v="2"/>
    <x v="3"/>
    <s v="PLAQUETTES"/>
    <s v="302x26 RPI"/>
    <n v="71.2"/>
  </r>
  <r>
    <d v="2025-07-31T05:19:27"/>
    <x v="7"/>
    <s v="Plaquettes d'ébauches carrées"/>
    <s v="u636817"/>
    <s v="MOCQUEREAU LYDIE"/>
    <n v="10"/>
    <x v="2"/>
    <x v="2"/>
    <s v="PLAQUETTES"/>
    <s v="302x26 RPI"/>
    <n v="71.2"/>
  </r>
  <r>
    <d v="2025-07-31T13:17:02"/>
    <x v="7"/>
    <s v="Plaquettes d'ébauches carrées"/>
    <s v="140325"/>
    <s v="BOUCLIER JONATHAN"/>
    <n v="10"/>
    <x v="2"/>
    <x v="4"/>
    <s v="PLAQUETTES"/>
    <s v="302x26 RPI"/>
    <n v="71.2"/>
  </r>
  <r>
    <d v="2025-08-14T09:41:01"/>
    <x v="7"/>
    <s v="Plaquettes d'ébauches carrées"/>
    <s v="u636817"/>
    <s v="MOCQUEREAU LYDIE"/>
    <n v="10"/>
    <x v="2"/>
    <x v="3"/>
    <s v="PLAQUETTES"/>
    <s v="302x26 RPI"/>
    <n v="71.2"/>
  </r>
  <r>
    <d v="2025-08-18T05:08:50"/>
    <x v="7"/>
    <s v="Plaquettes d'ébauches carrées"/>
    <s v="140325"/>
    <s v="BOUCLIER JONATHAN"/>
    <n v="10"/>
    <x v="2"/>
    <x v="2"/>
    <s v="PLAQUETTES"/>
    <s v="302x26 RPI"/>
    <n v="71.2"/>
  </r>
  <r>
    <d v="2025-08-18T05:10:08"/>
    <x v="7"/>
    <s v="Plaquettes d'ébauches carrées"/>
    <s v="140325"/>
    <s v="BOUCLIER JONATHAN"/>
    <n v="10"/>
    <x v="2"/>
    <x v="4"/>
    <s v="PLAQUETTES"/>
    <s v="302x26 RPI"/>
    <n v="71.2"/>
  </r>
  <r>
    <d v="2025-08-18T13:25:23"/>
    <x v="7"/>
    <s v="Plaquettes d'ébauches carrées"/>
    <s v="210325"/>
    <s v="DAUTUN ALLAN"/>
    <n v="10"/>
    <x v="2"/>
    <x v="2"/>
    <s v="PLAQUETTES"/>
    <s v="302x26 RPI"/>
    <n v="71.2"/>
  </r>
  <r>
    <d v="2025-08-18T13:25:39"/>
    <x v="7"/>
    <s v="Plaquettes d'ébauches carrées"/>
    <s v="210325"/>
    <s v="DAUTUN ALLAN"/>
    <n v="10"/>
    <x v="2"/>
    <x v="4"/>
    <s v="PLAQUETTES"/>
    <s v="302x26 RPI"/>
    <n v="71.2"/>
  </r>
  <r>
    <d v="2025-08-18T21:49:24"/>
    <x v="7"/>
    <s v="Plaquettes d'ébauches carrées"/>
    <s v="U037238"/>
    <s v="PRIEUR OLIVIER"/>
    <n v="10"/>
    <x v="2"/>
    <x v="3"/>
    <s v="PLAQUETTES"/>
    <s v="302x26 RPI"/>
    <n v="71.2"/>
  </r>
  <r>
    <d v="2025-08-20T13:33:56"/>
    <x v="7"/>
    <s v="Plaquettes d'ébauches carrées"/>
    <s v="U561365"/>
    <s v="BALLY BENOIT"/>
    <n v="10"/>
    <x v="2"/>
    <x v="3"/>
    <s v="PLAQUETTES"/>
    <s v="302x26 RPI"/>
    <n v="71.2"/>
  </r>
  <r>
    <d v="2025-08-21T13:50:23"/>
    <x v="7"/>
    <s v="Plaquettes d'ébauches carrées"/>
    <s v="3224"/>
    <s v="BIDOT MURIEL"/>
    <n v="10"/>
    <x v="1"/>
    <x v="3"/>
    <s v="PLAQUETTES"/>
    <s v="304x28 RPE"/>
    <n v="71.2"/>
  </r>
  <r>
    <d v="2025-08-22T03:29:47"/>
    <x v="7"/>
    <s v="Plaquettes d'ébauches carrées"/>
    <s v="250425"/>
    <s v="CHANDAR ABDER"/>
    <n v="10"/>
    <x v="2"/>
    <x v="2"/>
    <s v="PLAQUETTES"/>
    <s v="302x26 RPI"/>
    <n v="71.2"/>
  </r>
  <r>
    <d v="2025-08-22T05:32:04"/>
    <x v="7"/>
    <s v="Plaquettes d'ébauches carrées"/>
    <s v="J534699"/>
    <s v="FABIAN CHARTON"/>
    <n v="10"/>
    <x v="2"/>
    <x v="2"/>
    <s v="PLAQUETTES"/>
    <s v="302x26 RPI"/>
    <n v="71.2"/>
  </r>
  <r>
    <d v="2025-08-22T05:32:55"/>
    <x v="7"/>
    <s v="Plaquettes d'ébauches carrées"/>
    <s v="J534699"/>
    <s v="FABIAN CHARTON"/>
    <n v="10"/>
    <x v="2"/>
    <x v="4"/>
    <s v="PLAQUETTES"/>
    <s v="302x26 RPI"/>
    <n v="71.2"/>
  </r>
  <r>
    <d v="2025-08-22T05:33:55"/>
    <x v="7"/>
    <s v="Plaquettes d'ébauches carrées"/>
    <s v="J534699"/>
    <s v="FABIAN CHARTON"/>
    <n v="10"/>
    <x v="2"/>
    <x v="3"/>
    <s v="PLAQUETTES"/>
    <s v="302x26 RPI"/>
    <n v="71.2"/>
  </r>
  <r>
    <d v="2025-08-22T20:22:20"/>
    <x v="7"/>
    <s v="Plaquettes d'ébauches carrées"/>
    <s v="210325"/>
    <s v="DAUTUN ALLAN"/>
    <n v="10"/>
    <x v="2"/>
    <x v="2"/>
    <s v="PLAQUETTES"/>
    <s v="302x26 RPI"/>
    <n v="71.2"/>
  </r>
  <r>
    <d v="2025-08-26T06:15:45"/>
    <x v="7"/>
    <s v="Plaquettes d'ébauches carrées"/>
    <s v="U505000"/>
    <s v="RECEVEUR BENOIT"/>
    <n v="10"/>
    <x v="3"/>
    <x v="3"/>
    <s v="PLAQUETTES"/>
    <s v="330x14"/>
    <n v="71.2"/>
  </r>
  <r>
    <d v="2025-08-26T06:28:19"/>
    <x v="7"/>
    <s v="Plaquettes d'ébauches carrées"/>
    <s v="101123"/>
    <s v="BRUNET ANDREA"/>
    <n v="10"/>
    <x v="2"/>
    <x v="3"/>
    <s v="PLAQUETTES"/>
    <s v="302x26 RPI"/>
    <n v="71.2"/>
  </r>
  <r>
    <d v="2025-08-26T13:07:02"/>
    <x v="7"/>
    <s v="Plaquettes d'ébauches carrées"/>
    <s v="140325"/>
    <s v="BOUCLIER JONATHAN"/>
    <n v="10"/>
    <x v="2"/>
    <x v="4"/>
    <s v="PLAQUETTES"/>
    <s v="302x26 RPI"/>
    <n v="71.2"/>
  </r>
  <r>
    <d v="2025-08-28T13:12:09"/>
    <x v="7"/>
    <s v="Plaquettes d'ébauches carrées"/>
    <s v="140325"/>
    <s v="BOUCLIER JONATHAN"/>
    <n v="10"/>
    <x v="2"/>
    <x v="2"/>
    <s v="PLAQUETTES"/>
    <s v="302x26 RPI"/>
    <n v="71.2"/>
  </r>
  <r>
    <d v="2025-08-28T16:23:09"/>
    <x v="7"/>
    <s v="Plaquettes d'ébauches carrées"/>
    <s v="u636817"/>
    <s v="MOCQUEREAU LYDIE"/>
    <n v="10"/>
    <x v="2"/>
    <x v="3"/>
    <s v="PLAQUETTES"/>
    <s v="302x26 RPI"/>
    <n v="71.2"/>
  </r>
  <r>
    <d v="2025-08-28T16:23:35"/>
    <x v="7"/>
    <s v="Plaquettes d'ébauches carrées"/>
    <s v="u636817"/>
    <s v="MOCQUEREAU LYDIE"/>
    <n v="10"/>
    <x v="2"/>
    <x v="3"/>
    <s v="PLAQUETTES"/>
    <s v="302x26 RPI"/>
    <n v="71.2"/>
  </r>
  <r>
    <d v="2025-08-29T05:17:05"/>
    <x v="7"/>
    <s v="Plaquettes d'ébauches carrées"/>
    <s v="U080365"/>
    <s v="ALAVOINE SAMUEL"/>
    <n v="10"/>
    <x v="0"/>
    <x v="3"/>
    <s v="PLAQUETTES"/>
    <s v="356x26 RPI"/>
    <n v="71.2"/>
  </r>
  <r>
    <d v="2025-08-29T05:27:46"/>
    <x v="7"/>
    <s v="Plaquettes d'ébauches carrées"/>
    <s v="DELIAT C"/>
    <s v="DELIAT CHRISTOPHE"/>
    <n v="10"/>
    <x v="1"/>
    <x v="3"/>
    <s v="PLAQUETTES"/>
    <s v="304x28 RPE"/>
    <n v="71.2"/>
  </r>
  <r>
    <d v="2025-08-29T13:26:54"/>
    <x v="7"/>
    <s v="Plaquettes d'ébauches carrées"/>
    <s v="140325"/>
    <s v="BOUCLIER JONATHAN"/>
    <n v="10"/>
    <x v="2"/>
    <x v="4"/>
    <s v="PLAQUETTES"/>
    <s v="302x26 RPI"/>
    <n v="71.2"/>
  </r>
  <r>
    <d v="2025-08-29T13:27:30"/>
    <x v="7"/>
    <s v="Plaquettes d'ébauches carrées"/>
    <s v="140325"/>
    <s v="BOUCLIER JONATHAN"/>
    <n v="10"/>
    <x v="2"/>
    <x v="2"/>
    <s v="PLAQUETTES"/>
    <s v="302x26 RPI"/>
    <n v="71.2"/>
  </r>
  <r>
    <d v="2025-08-30T05:39:57"/>
    <x v="7"/>
    <s v="Plaquettes d'ébauches carrées"/>
    <s v="DELIAT C"/>
    <s v="DELIAT CHRISTOPHE"/>
    <n v="10"/>
    <x v="2"/>
    <x v="2"/>
    <s v="PLAQUETTES"/>
    <s v="302x26 RPI"/>
    <n v="71.2"/>
  </r>
  <r>
    <d v="2025-08-30T05:40:49"/>
    <x v="7"/>
    <s v="Plaquettes d'ébauches carrées"/>
    <s v="DELIAT C"/>
    <s v="DELIAT CHRISTOPHE"/>
    <n v="10"/>
    <x v="2"/>
    <x v="4"/>
    <s v="PLAQUETTES"/>
    <s v="302x26 RPI"/>
    <n v="71.2"/>
  </r>
  <r>
    <d v="2025-08-30T05:41:07"/>
    <x v="7"/>
    <s v="Plaquettes d'ébauches carrées"/>
    <s v="DELIAT C"/>
    <s v="DELIAT CHRISTOPHE"/>
    <n v="10"/>
    <x v="2"/>
    <x v="3"/>
    <s v="PLAQUETTES"/>
    <s v="302x26 RPI"/>
    <n v="71.2"/>
  </r>
  <r>
    <d v="2025-08-31T09:02:53"/>
    <x v="7"/>
    <s v="Plaquettes d'ébauches carrées"/>
    <s v="140325"/>
    <s v="BOUCLIER JONATHAN"/>
    <n v="10"/>
    <x v="2"/>
    <x v="3"/>
    <s v="PLAQUETTES"/>
    <s v="302x26 RPI"/>
    <n v="71.2"/>
  </r>
  <r>
    <d v="2025-09-01T05:36:49"/>
    <x v="7"/>
    <s v="Plaquettes d'ébauches carrées"/>
    <s v="SD75051"/>
    <s v="COMBALUZIER LUCAS"/>
    <n v="10"/>
    <x v="1"/>
    <x v="3"/>
    <s v="PLAQUETTES"/>
    <s v="304x28 RPE"/>
    <n v="71.2"/>
  </r>
  <r>
    <d v="2025-09-01T06:40:48"/>
    <x v="7"/>
    <s v="Plaquettes d'ébauches carrées"/>
    <s v="J609988"/>
    <s v="AMALRIC VINCENT"/>
    <n v="10"/>
    <x v="0"/>
    <x v="3"/>
    <s v="PLAQUETTES"/>
    <s v="356x26 RPI"/>
    <n v="71.2"/>
  </r>
  <r>
    <d v="2025-09-01T21:26:39"/>
    <x v="7"/>
    <s v="Plaquettes d'ébauches carrées"/>
    <s v="U037238"/>
    <s v="PRIEUR OLIVIER"/>
    <n v="10"/>
    <x v="2"/>
    <x v="3"/>
    <s v="PLAQUETTES"/>
    <s v="302x26 RPI"/>
    <n v="71.2"/>
  </r>
  <r>
    <d v="2025-09-01T23:11:54"/>
    <x v="7"/>
    <s v="Plaquettes d'ébauches carrées"/>
    <s v="250425"/>
    <s v="CHANDAR ABDER"/>
    <n v="10"/>
    <x v="2"/>
    <x v="2"/>
    <s v="PLAQUETTES"/>
    <s v="302x26 RPI"/>
    <n v="71.2"/>
  </r>
  <r>
    <d v="2025-09-02T20:44:33"/>
    <x v="7"/>
    <s v="Plaquettes d'ébauches carrées"/>
    <s v="210325"/>
    <s v="DAUTUN ALLAN"/>
    <n v="10"/>
    <x v="2"/>
    <x v="2"/>
    <s v="PLAQUETTES"/>
    <s v="302x26 RPI"/>
    <n v="71.2"/>
  </r>
  <r>
    <d v="2025-09-02T20:44:45"/>
    <x v="7"/>
    <s v="Plaquettes d'ébauches carrées"/>
    <s v="210325"/>
    <s v="DAUTUN ALLAN"/>
    <n v="10"/>
    <x v="2"/>
    <x v="4"/>
    <s v="PLAQUETTES"/>
    <s v="302x26 RPI"/>
    <n v="71.2"/>
  </r>
  <r>
    <d v="2025-09-03T05:52:41"/>
    <x v="7"/>
    <s v="Plaquettes d'ébauches carrées"/>
    <s v="140325"/>
    <s v="BOUCLIER JONATHAN"/>
    <n v="10"/>
    <x v="2"/>
    <x v="4"/>
    <s v="PLAQUETTES"/>
    <s v="302x26 RPI"/>
    <n v="71.2"/>
  </r>
  <r>
    <d v="2025-09-03T22:32:22"/>
    <x v="7"/>
    <s v="Plaquettes d'ébauches carrées"/>
    <s v="250425"/>
    <s v="CHANDAR ABDER"/>
    <n v="10"/>
    <x v="2"/>
    <x v="2"/>
    <s v="PLAQUETTES"/>
    <s v="302x26 RPI"/>
    <n v="71.2"/>
  </r>
  <r>
    <d v="2025-09-04T20:53:45"/>
    <x v="7"/>
    <s v="Plaquettes d'ébauches carrées"/>
    <s v="210325"/>
    <s v="DAUTUN ALLAN"/>
    <n v="10"/>
    <x v="2"/>
    <x v="2"/>
    <s v="PLAQUETTES"/>
    <s v="302x26 RPI"/>
    <n v="71.2"/>
  </r>
  <r>
    <d v="2025-09-04T20:53:58"/>
    <x v="7"/>
    <s v="Plaquettes d'ébauches carrées"/>
    <s v="210325"/>
    <s v="DAUTUN ALLAN"/>
    <n v="10"/>
    <x v="2"/>
    <x v="4"/>
    <s v="PLAQUETTES"/>
    <s v="302x26 RPI"/>
    <n v="71.2"/>
  </r>
  <r>
    <d v="2025-09-05T00:45:23"/>
    <x v="7"/>
    <s v="Plaquettes d'ébauches carrées"/>
    <s v="250425"/>
    <s v="CHANDAR ABDER"/>
    <n v="10"/>
    <x v="2"/>
    <x v="2"/>
    <s v="PLAQUETTES"/>
    <s v="302x26 RPI"/>
    <n v="71.2"/>
  </r>
  <r>
    <d v="2025-09-05T05:11:25"/>
    <x v="7"/>
    <s v="Plaquettes d'ébauches carrées"/>
    <s v="J534699"/>
    <s v="FABIAN CHARTON"/>
    <n v="10"/>
    <x v="2"/>
    <x v="2"/>
    <s v="PLAQUETTES"/>
    <s v="302x26 RPI"/>
    <n v="71.2"/>
  </r>
  <r>
    <d v="2025-09-05T05:12:49"/>
    <x v="7"/>
    <s v="Plaquettes d'ébauches carrées"/>
    <s v="J534699"/>
    <s v="FABIAN CHARTON"/>
    <n v="10"/>
    <x v="2"/>
    <x v="3"/>
    <s v="PLAQUETTES"/>
    <s v="302x26 RPI"/>
    <n v="71.2"/>
  </r>
  <r>
    <d v="2025-09-05T21:55:42"/>
    <x v="7"/>
    <s v="Plaquettes d'ébauches carrées"/>
    <s v="j529800"/>
    <s v="MONTCHARMONT BAPTISTE"/>
    <n v="10"/>
    <x v="0"/>
    <x v="3"/>
    <s v="PLAQUETTES"/>
    <s v="356x26 RPI"/>
    <n v="71.2"/>
  </r>
  <r>
    <d v="2025-09-08T12:21:02"/>
    <x v="7"/>
    <s v="Plaquettes d'ébauches carrées"/>
    <s v="210325"/>
    <s v="DAUTUN ALLAN"/>
    <n v="10"/>
    <x v="2"/>
    <x v="2"/>
    <s v="PLAQUETTES"/>
    <s v="302x26 RPI"/>
    <n v="71.2"/>
  </r>
  <r>
    <d v="2025-09-08T14:14:13"/>
    <x v="7"/>
    <s v="Plaquettes d'ébauches carrées"/>
    <s v="040725"/>
    <s v="BARGEOT LUCAS"/>
    <n v="10"/>
    <x v="3"/>
    <x v="2"/>
    <s v="PLAQUETTES"/>
    <s v="330x28 RPE KO"/>
    <n v="71.2"/>
  </r>
  <r>
    <d v="2025-09-08T14:46:35"/>
    <x v="7"/>
    <s v="Plaquettes d'ébauches carrées"/>
    <s v="140325"/>
    <s v="BOUCLIER JONATHAN"/>
    <n v="10"/>
    <x v="2"/>
    <x v="2"/>
    <s v="PLAQUETTES"/>
    <s v="302x26 RPI"/>
    <n v="71.2"/>
  </r>
  <r>
    <d v="2025-09-08T15:16:34"/>
    <x v="7"/>
    <s v="Plaquettes d'ébauches carrées"/>
    <s v="u636817"/>
    <s v="MOCQUEREAU LYDIE"/>
    <n v="10"/>
    <x v="2"/>
    <x v="3"/>
    <s v="PLAQUETTES"/>
    <s v="302x26 RPI"/>
    <n v="71.2"/>
  </r>
  <r>
    <d v="2025-09-08T23:08:26"/>
    <x v="7"/>
    <s v="Plaquettes d'ébauches carrées"/>
    <s v="U037238"/>
    <s v="PRIEUR OLIVIER"/>
    <n v="10"/>
    <x v="2"/>
    <x v="3"/>
    <s v="PLAQUETTES"/>
    <s v="302x26 RPI"/>
    <n v="71.2"/>
  </r>
  <r>
    <d v="2025-09-09T12:49:30"/>
    <x v="7"/>
    <s v="Plaquettes d'ébauches carrées"/>
    <s v="210325"/>
    <s v="DAUTUN ALLAN"/>
    <n v="10"/>
    <x v="2"/>
    <x v="4"/>
    <s v="PLAQUETTES"/>
    <s v="302x26 RPI"/>
    <n v="71.2"/>
  </r>
  <r>
    <d v="2025-09-09T13:35:13"/>
    <x v="7"/>
    <s v="Plaquettes d'ébauches carrées"/>
    <s v="SD75051"/>
    <s v="COMBALUZIER LUCAS"/>
    <n v="10"/>
    <x v="1"/>
    <x v="3"/>
    <s v="PLAQUETTES"/>
    <s v="304x28 RPE"/>
    <n v="71.2"/>
  </r>
  <r>
    <d v="2025-09-10T01:47:44"/>
    <x v="7"/>
    <s v="Plaquettes d'ébauches carrées"/>
    <s v="U037238"/>
    <s v="PRIEUR OLIVIER"/>
    <n v="10"/>
    <x v="2"/>
    <x v="4"/>
    <s v="PLAQUETTES"/>
    <s v="302x26 RPI"/>
    <n v="71.2"/>
  </r>
  <r>
    <d v="2025-09-11T00:11:58"/>
    <x v="7"/>
    <s v="Plaquettes d'ébauches carrées"/>
    <s v="j529800"/>
    <s v="MONTCHARMONT BAPTISTE"/>
    <n v="10"/>
    <x v="0"/>
    <x v="3"/>
    <s v="PLAQUETTES"/>
    <s v="356x26 RPI"/>
    <n v="71.2"/>
  </r>
  <r>
    <d v="2025-09-11T05:13:00"/>
    <x v="7"/>
    <s v="Plaquettes d'ébauches carrées"/>
    <s v="171124"/>
    <s v="GONIN AGNES"/>
    <n v="10"/>
    <x v="2"/>
    <x v="3"/>
    <s v="PLAQUETTES"/>
    <s v="302x26 RPI"/>
    <n v="71.2"/>
  </r>
  <r>
    <d v="2025-09-11T13:07:26"/>
    <x v="7"/>
    <s v="Plaquettes d'ébauches carrées"/>
    <s v="140325"/>
    <s v="BOUCLIER JONATHAN"/>
    <n v="10"/>
    <x v="2"/>
    <x v="2"/>
    <s v="PLAQUETTES"/>
    <s v="302x26 RPI"/>
    <n v="71.2"/>
  </r>
  <r>
    <d v="2025-09-11T13:08:13"/>
    <x v="7"/>
    <s v="Plaquettes d'ébauches carrées"/>
    <s v="140325"/>
    <s v="BOUCLIER JONATHAN"/>
    <n v="10"/>
    <x v="2"/>
    <x v="4"/>
    <s v="PLAQUETTES"/>
    <s v="302x26 RPI"/>
    <n v="71.2"/>
  </r>
  <r>
    <d v="2025-09-11T13:11:48"/>
    <x v="7"/>
    <s v="Plaquettes d'ébauches carrées"/>
    <s v="u636817"/>
    <s v="MOCQUEREAU LYDIE"/>
    <n v="10"/>
    <x v="2"/>
    <x v="3"/>
    <s v="PLAQUETTES"/>
    <s v="302x26 RPI"/>
    <n v="71.2"/>
  </r>
  <r>
    <d v="2025-09-11T21:26:59"/>
    <x v="7"/>
    <s v="Plaquettes d'ébauches carrées"/>
    <s v="j529800"/>
    <s v="MONTCHARMONT BAPTISTE"/>
    <n v="10"/>
    <x v="3"/>
    <x v="3"/>
    <s v="PLAQUETTES"/>
    <s v="330x14"/>
    <n v="71.2"/>
  </r>
  <r>
    <d v="2025-09-11T22:00:27"/>
    <x v="7"/>
    <s v="Plaquettes d'ébauches carrées"/>
    <s v="U037238"/>
    <s v="PRIEUR OLIVIER"/>
    <n v="10"/>
    <x v="2"/>
    <x v="3"/>
    <s v="PLAQUETTES"/>
    <s v="302x26 RPI"/>
    <n v="71.2"/>
  </r>
  <r>
    <d v="2025-09-11T23:36:55"/>
    <x v="7"/>
    <s v="Plaquettes d'ébauches carrées"/>
    <s v="250425"/>
    <s v="CHANDAR ABDER"/>
    <n v="10"/>
    <x v="2"/>
    <x v="4"/>
    <s v="PLAQUETTES"/>
    <s v="302x26 RPI"/>
    <n v="71.2"/>
  </r>
  <r>
    <d v="2025-09-12T06:24:41"/>
    <x v="7"/>
    <s v="Plaquettes d'ébauches carrées"/>
    <s v="DELIAT C"/>
    <s v="DELIAT CHRISTOPHE"/>
    <n v="10"/>
    <x v="2"/>
    <x v="2"/>
    <s v="PLAQUETTES"/>
    <s v="302x26 RPI"/>
    <n v="71.2"/>
  </r>
  <r>
    <d v="2025-09-12T06:25:19"/>
    <x v="7"/>
    <s v="Plaquettes d'ébauches carrées"/>
    <s v="DELIAT C"/>
    <s v="DELIAT CHRISTOPHE"/>
    <n v="10"/>
    <x v="2"/>
    <x v="4"/>
    <s v="PLAQUETTES"/>
    <s v="302x26 RPI"/>
    <n v="71.2"/>
  </r>
  <r>
    <d v="2025-09-12T06:26:21"/>
    <x v="7"/>
    <s v="Plaquettes d'ébauches carrées"/>
    <s v="DELIAT C"/>
    <s v="DELIAT CHRISTOPHE"/>
    <n v="10"/>
    <x v="2"/>
    <x v="3"/>
    <s v="PLAQUETTES"/>
    <s v="302x26 RPI"/>
    <n v="71.2"/>
  </r>
  <r>
    <d v="2025-09-13T01:18:09"/>
    <x v="7"/>
    <s v="Plaquettes d'ébauches carrées"/>
    <s v="j529800"/>
    <s v="MONTCHARMONT BAPTISTE"/>
    <n v="10"/>
    <x v="0"/>
    <x v="3"/>
    <s v="PLAQUETTES"/>
    <s v="356x26 RPI"/>
    <n v="71.2"/>
  </r>
  <r>
    <d v="2025-09-15T15:54:53"/>
    <x v="7"/>
    <s v="Plaquettes d'ébauches carrées"/>
    <s v="210325"/>
    <s v="DAUTUN ALLAN"/>
    <n v="10"/>
    <x v="2"/>
    <x v="2"/>
    <s v="PLAQUETTES"/>
    <s v="302x26 RPI"/>
    <n v="71.2"/>
  </r>
  <r>
    <d v="2025-09-15T15:55:11"/>
    <x v="7"/>
    <s v="Plaquettes d'ébauches carrées"/>
    <s v="210325"/>
    <s v="DAUTUN ALLAN"/>
    <n v="10"/>
    <x v="2"/>
    <x v="4"/>
    <s v="PLAQUETTES"/>
    <s v="302x26 RPI"/>
    <n v="71.2"/>
  </r>
  <r>
    <d v="2025-09-15T21:12:00"/>
    <x v="7"/>
    <s v="Plaquettes d'ébauches carrées"/>
    <s v="U037238"/>
    <s v="PRIEUR OLIVIER"/>
    <n v="10"/>
    <x v="2"/>
    <x v="3"/>
    <s v="PLAQUETTES"/>
    <s v="302x26 RPI"/>
    <n v="71.2"/>
  </r>
  <r>
    <d v="2025-09-15T23:46:57"/>
    <x v="7"/>
    <s v="Plaquettes d'ébauches carrées"/>
    <s v="250425"/>
    <s v="CHANDAR ABDER"/>
    <n v="10"/>
    <x v="2"/>
    <x v="4"/>
    <s v="PLAQUETTES"/>
    <s v="302x26 RPI"/>
    <n v="71.2"/>
  </r>
  <r>
    <d v="2025-09-16T05:14:24"/>
    <x v="7"/>
    <s v="Plaquettes d'ébauches carrées"/>
    <s v="140325"/>
    <s v="BOUCLIER JONATHAN"/>
    <n v="10"/>
    <x v="2"/>
    <x v="3"/>
    <s v="PLAQUETTES"/>
    <s v="302x26 RPI"/>
    <n v="71.2"/>
  </r>
  <r>
    <d v="2025-09-16T05:27:39"/>
    <x v="7"/>
    <s v="Plaquettes d'ébauches carrées"/>
    <s v="u636817"/>
    <s v="MOCQUEREAU LYDIE"/>
    <n v="10"/>
    <x v="2"/>
    <x v="4"/>
    <s v="PLAQUETTES"/>
    <s v="302x26 RPI"/>
    <n v="71.2"/>
  </r>
  <r>
    <d v="2025-09-16T06:04:49"/>
    <x v="7"/>
    <s v="Plaquettes d'ébauches carrées"/>
    <s v="SD75051"/>
    <s v="COMBALUZIER LUCAS"/>
    <n v="10"/>
    <x v="1"/>
    <x v="3"/>
    <s v="PLAQUETTES"/>
    <s v="304x28 RPE"/>
    <n v="71.2"/>
  </r>
  <r>
    <d v="2025-09-17T00:36:53"/>
    <x v="7"/>
    <s v="Plaquettes d'ébauches carrées"/>
    <s v="U037238"/>
    <s v="PRIEUR OLIVIER"/>
    <n v="10"/>
    <x v="2"/>
    <x v="3"/>
    <s v="PLAQUETTES"/>
    <s v="302x26 RPI"/>
    <n v="71.2"/>
  </r>
  <r>
    <d v="2025-09-17T01:31:48"/>
    <x v="7"/>
    <s v="Plaquettes d'ébauches carrées"/>
    <s v="250425"/>
    <s v="CHANDAR ABDER"/>
    <n v="10"/>
    <x v="2"/>
    <x v="2"/>
    <s v="PLAQUETTES"/>
    <s v="302x26 RPI"/>
    <n v="71.2"/>
  </r>
  <r>
    <d v="2025-09-18T05:02:42"/>
    <x v="7"/>
    <s v="Plaquettes d'ébauches carrées"/>
    <s v="140325"/>
    <s v="BOUCLIER JONATHAN"/>
    <n v="10"/>
    <x v="2"/>
    <x v="3"/>
    <s v="PLAQUETTES"/>
    <s v="302x26 RPI"/>
    <n v="71.2"/>
  </r>
  <r>
    <d v="2025-09-19T01:08:15"/>
    <x v="7"/>
    <s v="Plaquettes d'ébauches carrées"/>
    <s v="j529800"/>
    <s v="MONTCHARMONT BAPTISTE"/>
    <n v="10"/>
    <x v="0"/>
    <x v="3"/>
    <s v="PLAQUETTES"/>
    <s v="356x26 RPI"/>
    <n v="71.2"/>
  </r>
  <r>
    <d v="2025-09-19T05:08:27"/>
    <x v="7"/>
    <s v="Plaquettes d'ébauches carrées"/>
    <s v="DELIAT C"/>
    <s v="DELIAT CHRISTOPHE"/>
    <n v="10"/>
    <x v="2"/>
    <x v="2"/>
    <s v="PLAQUETTES"/>
    <s v="302x26 RPI"/>
    <n v="71.2"/>
  </r>
  <r>
    <d v="2025-09-19T05:08:58"/>
    <x v="7"/>
    <s v="Plaquettes d'ébauches carrées"/>
    <s v="DELIAT C"/>
    <s v="DELIAT CHRISTOPHE"/>
    <n v="10"/>
    <x v="2"/>
    <x v="4"/>
    <s v="PLAQUETTES"/>
    <s v="302x26 RPI"/>
    <n v="71.2"/>
  </r>
  <r>
    <d v="2025-09-19T05:09:21"/>
    <x v="7"/>
    <s v="Plaquettes d'ébauches carrées"/>
    <s v="DELIAT C"/>
    <s v="DELIAT CHRISTOPHE"/>
    <n v="10"/>
    <x v="2"/>
    <x v="3"/>
    <s v="PLAQUETTES"/>
    <s v="302x26 RPI"/>
    <n v="71.2"/>
  </r>
  <r>
    <d v="2025-09-19T17:43:19"/>
    <x v="7"/>
    <s v="Plaquettes d'ébauches carrées"/>
    <s v="101224"/>
    <s v="CHAZEAU KYLIAN"/>
    <n v="10"/>
    <x v="0"/>
    <x v="3"/>
    <s v="PLAQUETTES"/>
    <s v="356x26 RPI"/>
    <n v="71.2"/>
  </r>
  <r>
    <d v="2025-09-20T01:07:49"/>
    <x v="7"/>
    <s v="Plaquettes d'ébauches carrées"/>
    <s v="250425"/>
    <s v="CHANDAR ABDER"/>
    <n v="10"/>
    <x v="2"/>
    <x v="4"/>
    <s v="PLAQUETTES"/>
    <s v="302x26 RPI"/>
    <n v="71.2"/>
  </r>
  <r>
    <d v="2025-09-22T04:57:23"/>
    <x v="7"/>
    <s v="Plaquettes d'ébauches carrées"/>
    <s v="171124"/>
    <s v="GONIN AGNES"/>
    <n v="10"/>
    <x v="2"/>
    <x v="3"/>
    <s v="PLAQUETTES"/>
    <s v="302x26 RPI"/>
    <n v="71.2"/>
  </r>
  <r>
    <d v="2025-09-22T04:57:50"/>
    <x v="7"/>
    <s v="Plaquettes d'ébauches carrées"/>
    <s v="171124"/>
    <s v="GONIN AGNES"/>
    <n v="10"/>
    <x v="2"/>
    <x v="3"/>
    <s v="PLAQUETTES"/>
    <s v="302x26 RPI"/>
    <n v="71.2"/>
  </r>
  <r>
    <d v="2025-09-22T13:21:26"/>
    <x v="7"/>
    <s v="Plaquettes d'ébauches carrées"/>
    <s v="SD75051"/>
    <s v="COMBALUZIER LUCAS"/>
    <n v="10"/>
    <x v="1"/>
    <x v="3"/>
    <s v="PLAQUETTES"/>
    <s v="304x28 RPE"/>
    <n v="71.2"/>
  </r>
  <r>
    <d v="2025-09-22T22:09:40"/>
    <x v="7"/>
    <s v="Plaquettes d'ébauches carrées"/>
    <s v="U037238"/>
    <s v="PRIEUR OLIVIER"/>
    <n v="10"/>
    <x v="2"/>
    <x v="3"/>
    <s v="PLAQUETTES"/>
    <s v="302x26 RPI"/>
    <n v="71.2"/>
  </r>
  <r>
    <d v="2025-09-23T12:50:47"/>
    <x v="7"/>
    <s v="Plaquettes d'ébauches carrées"/>
    <s v="210325"/>
    <s v="DAUTUN ALLAN"/>
    <n v="10"/>
    <x v="2"/>
    <x v="2"/>
    <s v="PLAQUETTES"/>
    <s v="302x26 RPI"/>
    <n v="71.2"/>
  </r>
  <r>
    <d v="2025-09-23T13:17:58"/>
    <x v="7"/>
    <s v="Plaquettes d'ébauches carrées"/>
    <s v="140325"/>
    <s v="BOUCLIER JONATHAN"/>
    <n v="10"/>
    <x v="2"/>
    <x v="2"/>
    <s v="PLAQUETTES"/>
    <s v="302x26 RPI"/>
    <n v="71.2"/>
  </r>
  <r>
    <d v="2025-09-23T16:19:16"/>
    <x v="7"/>
    <s v="Plaquettes d'ébauches carrées"/>
    <s v="u636817"/>
    <s v="MOCQUEREAU LYDIE"/>
    <n v="10"/>
    <x v="2"/>
    <x v="3"/>
    <s v="PLAQUETTES"/>
    <s v="302x26 RPI"/>
    <n v="71.2"/>
  </r>
  <r>
    <d v="2025-09-24T00:28:12"/>
    <x v="7"/>
    <s v="Plaquettes d'ébauches carrées"/>
    <s v="250425"/>
    <s v="CHANDAR ABDER"/>
    <n v="10"/>
    <x v="2"/>
    <x v="4"/>
    <s v="PLAQUETTES"/>
    <s v="302x26 RPI"/>
    <n v="71.2"/>
  </r>
  <r>
    <d v="2025-09-24T13:38:55"/>
    <x v="7"/>
    <s v="Plaquettes d'ébauches carrées"/>
    <s v="12824586"/>
    <s v="DA SILVA FERNANDO"/>
    <n v="10"/>
    <x v="1"/>
    <x v="2"/>
    <s v="PLAQUETTES"/>
    <s v="TOUT DISQUES"/>
    <n v="71.2"/>
  </r>
  <r>
    <d v="2025-09-24T14:05:45"/>
    <x v="7"/>
    <s v="Plaquettes d'ébauches carrées"/>
    <s v="140325"/>
    <s v="BOUCLIER JONATHAN"/>
    <n v="10"/>
    <x v="2"/>
    <x v="2"/>
    <s v="PLAQUETTES"/>
    <s v="302x26 RPI"/>
    <n v="71.2"/>
  </r>
  <r>
    <d v="2025-09-24T14:06:40"/>
    <x v="7"/>
    <s v="Plaquettes d'ébauches carrées"/>
    <s v="140325"/>
    <s v="BOUCLIER JONATHAN"/>
    <n v="10"/>
    <x v="2"/>
    <x v="3"/>
    <s v="PLAQUETTES"/>
    <s v="302x26 RPI"/>
    <n v="71.2"/>
  </r>
  <r>
    <d v="2025-09-25T05:37:15"/>
    <x v="7"/>
    <s v="Plaquettes d'ébauches carrées"/>
    <s v="171124"/>
    <s v="GONIN AGNES"/>
    <n v="10"/>
    <x v="2"/>
    <x v="3"/>
    <s v="PLAQUETTES"/>
    <s v="302x26 RPI"/>
    <n v="71.2"/>
  </r>
  <r>
    <d v="2025-09-25T05:37:44"/>
    <x v="7"/>
    <s v="Plaquettes d'ébauches carrées"/>
    <s v="171124"/>
    <s v="GONIN AGNES"/>
    <n v="10"/>
    <x v="2"/>
    <x v="3"/>
    <s v="PLAQUETTES"/>
    <s v="302x26 RPI"/>
    <n v="71.2"/>
  </r>
  <r>
    <d v="2025-09-25T12:12:26"/>
    <x v="7"/>
    <s v="Plaquettes d'ébauches carrées"/>
    <s v="101224"/>
    <s v="CHAZEAU KYLIAN"/>
    <n v="10"/>
    <x v="0"/>
    <x v="3"/>
    <s v="PLAQUETTES"/>
    <s v="356x26 RPI"/>
    <n v="71.2"/>
  </r>
  <r>
    <d v="2025-09-25T12:12:42"/>
    <x v="7"/>
    <s v="Plaquettes d'ébauches carrées"/>
    <s v="101224"/>
    <s v="CHAZEAU KYLIAN"/>
    <n v="10"/>
    <x v="3"/>
    <x v="3"/>
    <s v="PLAQUETTES"/>
    <s v="330x28 RPE KO"/>
    <n v="71.2"/>
  </r>
  <r>
    <d v="2025-09-25T14:04:18"/>
    <x v="7"/>
    <s v="Plaquettes d'ébauches carrées"/>
    <s v="12824586"/>
    <s v="DA SILVA FERNANDO"/>
    <n v="10"/>
    <x v="2"/>
    <x v="2"/>
    <s v="PLAQUETTES"/>
    <s v="TOUT DISQUES"/>
    <n v="71.2"/>
  </r>
  <r>
    <d v="2025-09-26T01:08:37"/>
    <x v="7"/>
    <s v="Plaquettes d'ébauches carrées"/>
    <s v="250425"/>
    <s v="CHANDAR ABDER"/>
    <n v="10"/>
    <x v="2"/>
    <x v="4"/>
    <s v="PLAQUETTES"/>
    <s v="302x26 RPI"/>
    <n v="71.2"/>
  </r>
  <r>
    <d v="2025-09-26T13:53:46"/>
    <x v="7"/>
    <s v="Plaquettes d'ébauches carrées"/>
    <s v="140325"/>
    <s v="BOUCLIER JONATHAN"/>
    <n v="10"/>
    <x v="2"/>
    <x v="4"/>
    <s v="PLAQUETTES"/>
    <s v="302x26 RPI"/>
    <n v="71.2"/>
  </r>
  <r>
    <d v="2025-09-26T21:19:12"/>
    <x v="7"/>
    <s v="Plaquettes d'ébauches carrées"/>
    <s v="U037238"/>
    <s v="PRIEUR OLIVIER"/>
    <n v="10"/>
    <x v="2"/>
    <x v="3"/>
    <s v="PLAQUETTES"/>
    <s v="302x26 RPI"/>
    <n v="71.2"/>
  </r>
  <r>
    <d v="2025-09-28T16:44:08"/>
    <x v="7"/>
    <s v="Plaquettes d'ébauches carrées"/>
    <s v="210325"/>
    <s v="DAUTUN ALLAN"/>
    <n v="10"/>
    <x v="2"/>
    <x v="2"/>
    <s v="PLAQUETTES"/>
    <s v="302x26 RPI"/>
    <n v="71.2"/>
  </r>
  <r>
    <d v="2025-09-29T13:26:20"/>
    <x v="7"/>
    <s v="Plaquettes d'ébauches carrées"/>
    <s v="045F69CAA77080"/>
    <s v="TEIXEIRA FLORIAN"/>
    <n v="10"/>
    <x v="2"/>
    <x v="3"/>
    <s v="PLAQUETTES"/>
    <s v="302x26 RPI"/>
    <n v="71.2"/>
  </r>
  <r>
    <d v="2025-09-29T22:06:55"/>
    <x v="7"/>
    <s v="Plaquettes d'ébauches carrées"/>
    <s v="U037238"/>
    <s v="PRIEUR OLIVIER"/>
    <n v="10"/>
    <x v="2"/>
    <x v="3"/>
    <s v="PLAQUETTES"/>
    <s v="302x26 RPI"/>
    <n v="71.2"/>
  </r>
  <r>
    <d v="2025-09-30T05:08:29"/>
    <x v="7"/>
    <s v="Plaquettes d'ébauches carrées"/>
    <s v="040725"/>
    <s v="BARGEOT LUCAS"/>
    <n v="10"/>
    <x v="0"/>
    <x v="3"/>
    <s v="PLAQUETTES"/>
    <s v="356x26 RPI"/>
    <n v="71.2"/>
  </r>
  <r>
    <d v="2025-10-01T11:18:44"/>
    <x v="7"/>
    <s v="Plaquettes d'ébauches carrées"/>
    <s v="140325"/>
    <s v="BOUCLIER JONATHAN"/>
    <n v="10"/>
    <x v="2"/>
    <x v="2"/>
    <s v="PLAQUETTES"/>
    <s v="302x26 RPI"/>
    <n v="71.2"/>
  </r>
  <r>
    <d v="2025-10-01T12:33:15"/>
    <x v="7"/>
    <s v="Plaquettes d'ébauches carrées"/>
    <s v="140325"/>
    <s v="BOUCLIER JONATHAN"/>
    <n v="10"/>
    <x v="2"/>
    <x v="4"/>
    <s v="PLAQUETTES"/>
    <s v="302x26 RPI"/>
    <n v="71.2"/>
  </r>
  <r>
    <d v="2025-10-01T15:31:37"/>
    <x v="7"/>
    <s v="Plaquettes d'ébauches carrées"/>
    <s v="101224"/>
    <s v="CHAZEAU KYLIAN"/>
    <n v="10"/>
    <x v="3"/>
    <x v="3"/>
    <s v="PLAQUETTES"/>
    <s v="330x14"/>
    <n v="71.2"/>
  </r>
  <r>
    <d v="2025-10-01T15:32:41"/>
    <x v="7"/>
    <s v="Plaquettes d'ébauches carrées"/>
    <s v="101224"/>
    <s v="CHAZEAU KYLIAN"/>
    <n v="10"/>
    <x v="0"/>
    <x v="3"/>
    <s v="PLAQUETTES"/>
    <s v="356x26 RPI"/>
    <n v="71.2"/>
  </r>
  <r>
    <d v="2025-10-01T21:54:17"/>
    <x v="7"/>
    <s v="Plaquettes d'ébauches carrées"/>
    <s v="250425"/>
    <s v="CHANDAR ABDER"/>
    <n v="10"/>
    <x v="2"/>
    <x v="4"/>
    <s v="PLAQUETTES"/>
    <s v="302x26 RPI"/>
    <n v="71.2"/>
  </r>
  <r>
    <d v="2025-10-02T05:15:36"/>
    <x v="7"/>
    <s v="Plaquettes d'ébauches carrées"/>
    <s v="SD75051"/>
    <s v="COMBALUZIER LUCAS"/>
    <n v="10"/>
    <x v="1"/>
    <x v="3"/>
    <s v="PLAQUETTES"/>
    <s v="304x28 RPE"/>
    <n v="71.2"/>
  </r>
  <r>
    <d v="2025-10-02T20:49:59"/>
    <x v="7"/>
    <s v="Plaquettes d'ébauches carrées"/>
    <s v="210325"/>
    <s v="DAUTUN ALLAN"/>
    <n v="10"/>
    <x v="2"/>
    <x v="2"/>
    <s v="PLAQUETTES"/>
    <s v="302x26 RPI"/>
    <n v="71.2"/>
  </r>
  <r>
    <d v="2025-10-02T20:50:24"/>
    <x v="7"/>
    <s v="Plaquettes d'ébauches carrées"/>
    <s v="210325"/>
    <s v="DAUTUN ALLAN"/>
    <n v="10"/>
    <x v="2"/>
    <x v="4"/>
    <s v="PLAQUETTES"/>
    <s v="302x26 RPI"/>
    <n v="71.2"/>
  </r>
  <r>
    <d v="2025-10-03T13:15:18"/>
    <x v="7"/>
    <s v="Plaquettes d'ébauches carrées"/>
    <s v="045F69CAA77080"/>
    <s v="TEIXEIRA FLORIAN"/>
    <n v="10"/>
    <x v="2"/>
    <x v="3"/>
    <s v="PLAQUETTES"/>
    <s v="302x26 RPI"/>
    <n v="71.2"/>
  </r>
  <r>
    <d v="2025-10-04T03:14:00"/>
    <x v="7"/>
    <s v="Plaquettes d'ébauches carrées"/>
    <s v="250425"/>
    <s v="CHANDAR ABDER"/>
    <n v="10"/>
    <x v="2"/>
    <x v="4"/>
    <s v="PLAQUETTES"/>
    <s v="302x26 RPI"/>
    <n v="71.2"/>
  </r>
  <r>
    <d v="2025-10-04T08:26:29"/>
    <x v="7"/>
    <s v="Plaquettes d'ébauches carrées"/>
    <s v="DELIAT C"/>
    <s v="DELIAT CHRISTOPHE"/>
    <n v="10"/>
    <x v="2"/>
    <x v="2"/>
    <s v="PLAQUETTES"/>
    <s v="302x26 RPI"/>
    <n v="71.2"/>
  </r>
  <r>
    <d v="2025-10-04T08:26:43"/>
    <x v="7"/>
    <s v="Plaquettes d'ébauches carrées"/>
    <s v="DELIAT C"/>
    <s v="DELIAT CHRISTOPHE"/>
    <n v="10"/>
    <x v="2"/>
    <x v="4"/>
    <s v="PLAQUETTES"/>
    <s v="302x26 RPI"/>
    <n v="71.2"/>
  </r>
  <r>
    <d v="2025-10-04T08:27:28"/>
    <x v="7"/>
    <s v="Plaquettes d'ébauches carrées"/>
    <s v="DELIAT C"/>
    <s v="DELIAT CHRISTOPHE"/>
    <n v="10"/>
    <x v="2"/>
    <x v="3"/>
    <s v="PLAQUETTES"/>
    <s v="302x26 RPI"/>
    <n v="71.2"/>
  </r>
  <r>
    <d v="2025-10-06T05:10:07"/>
    <x v="7"/>
    <s v="Plaquettes d'ébauches carrées"/>
    <s v="U505000"/>
    <s v="RECEVEUR BENOIT"/>
    <n v="10"/>
    <x v="1"/>
    <x v="3"/>
    <s v="PLAQUETTES"/>
    <s v="304x28 RPE"/>
    <n v="71.2"/>
  </r>
  <r>
    <d v="2025-10-06T17:19:16"/>
    <x v="7"/>
    <s v="Plaquettes d'ébauches carrées"/>
    <s v="u636817"/>
    <s v="MOCQUEREAU LYDIE"/>
    <n v="10"/>
    <x v="2"/>
    <x v="3"/>
    <s v="PLAQUETTES"/>
    <s v="302x26 RPI"/>
    <n v="71.2"/>
  </r>
  <r>
    <d v="2025-10-06T17:19:38"/>
    <x v="7"/>
    <s v="Plaquettes d'ébauches carrées"/>
    <s v="u636817"/>
    <s v="MOCQUEREAU LYDIE"/>
    <n v="10"/>
    <x v="2"/>
    <x v="3"/>
    <s v="PLAQUETTES"/>
    <s v="302x26 RPI"/>
    <n v="71.2"/>
  </r>
  <r>
    <d v="2025-10-06T21:16:09"/>
    <x v="7"/>
    <s v="Plaquettes d'ébauches carrées"/>
    <s v="U037238"/>
    <s v="PRIEUR OLIVIER"/>
    <n v="10"/>
    <x v="2"/>
    <x v="3"/>
    <s v="PLAQUETTES"/>
    <s v="302x26 RPI"/>
    <n v="71.2"/>
  </r>
  <r>
    <d v="2025-10-07T15:09:16"/>
    <x v="7"/>
    <s v="Plaquettes d'ébauches carrées"/>
    <s v="J609988"/>
    <s v="AMALRIC VINCENT"/>
    <n v="10"/>
    <x v="1"/>
    <x v="3"/>
    <s v="PLAQUETTES"/>
    <s v="304x28 RPE"/>
    <n v="71.2"/>
  </r>
  <r>
    <d v="2025-10-07T21:17:41"/>
    <x v="7"/>
    <s v="Plaquettes d'ébauches carrées"/>
    <s v="U037238"/>
    <s v="PRIEUR OLIVIER"/>
    <n v="10"/>
    <x v="2"/>
    <x v="3"/>
    <s v="PLAQUETTES"/>
    <s v="302x26 RPI"/>
    <n v="71.2"/>
  </r>
  <r>
    <d v="2025-10-07T22:47:46"/>
    <x v="7"/>
    <s v="Plaquettes d'ébauches carrées"/>
    <s v="250425"/>
    <s v="CHANDAR ABDER"/>
    <n v="10"/>
    <x v="2"/>
    <x v="4"/>
    <s v="PLAQUETTES"/>
    <s v="302x26 RPI"/>
    <n v="71.2"/>
  </r>
  <r>
    <d v="2025-10-08T21:13:06"/>
    <x v="7"/>
    <s v="Plaquettes d'ébauches carrées"/>
    <s v="U037238"/>
    <s v="PRIEUR OLIVIER"/>
    <n v="10"/>
    <x v="2"/>
    <x v="3"/>
    <s v="PLAQUETTES"/>
    <s v="302x26 RPI"/>
    <n v="71.2"/>
  </r>
  <r>
    <d v="2025-10-08T23:16:24"/>
    <x v="7"/>
    <s v="Plaquettes d'ébauches carrées"/>
    <s v="j529800"/>
    <s v="MONTCHARMONT BAPTISTE"/>
    <n v="10"/>
    <x v="0"/>
    <x v="3"/>
    <s v="PLAQUETTES"/>
    <s v="356x26 RPI"/>
    <n v="71.2"/>
  </r>
  <r>
    <d v="2025-10-09T05:06:25"/>
    <x v="7"/>
    <s v="Plaquettes d'ébauches carrées"/>
    <s v="045F69CAA77080"/>
    <s v="TEIXEIRA FLORIAN"/>
    <n v="10"/>
    <x v="2"/>
    <x v="3"/>
    <s v="PLAQUETTES"/>
    <s v="302x26 RPI"/>
    <n v="71.2"/>
  </r>
  <r>
    <d v="2025-10-09T13:32:17"/>
    <x v="7"/>
    <s v="Plaquettes d'ébauches carrées"/>
    <s v="u636817"/>
    <s v="MOCQUEREAU LYDIE"/>
    <n v="10"/>
    <x v="2"/>
    <x v="2"/>
    <s v="PLAQUETTES"/>
    <s v="302x26 RPI"/>
    <n v="71.2"/>
  </r>
  <r>
    <d v="2025-10-09T13:32:37"/>
    <x v="7"/>
    <s v="Plaquettes d'ébauches carrées"/>
    <s v="u636817"/>
    <s v="MOCQUEREAU LYDIE"/>
    <n v="10"/>
    <x v="2"/>
    <x v="4"/>
    <s v="PLAQUETTES"/>
    <s v="302x26 RPI"/>
    <n v="71.2"/>
  </r>
  <r>
    <d v="2025-10-09T13:44:30"/>
    <x v="7"/>
    <s v="Plaquettes d'ébauches carrées"/>
    <s v="J609988"/>
    <s v="AMALRIC VINCENT"/>
    <n v="10"/>
    <x v="1"/>
    <x v="2"/>
    <s v="PLAQUETTES"/>
    <s v="304x28 RPE"/>
    <n v="71.2"/>
  </r>
  <r>
    <d v="2025-10-10T13:28:44"/>
    <x v="7"/>
    <s v="Plaquettes d'ébauches carrées"/>
    <s v="040725"/>
    <s v="BARGEOT LUCAS"/>
    <n v="10"/>
    <x v="0"/>
    <x v="3"/>
    <s v="PLAQUETTES"/>
    <s v="356x26 RPI"/>
    <n v="71.2"/>
  </r>
  <r>
    <d v="2025-10-10T14:25:17"/>
    <x v="7"/>
    <s v="Plaquettes d'ébauches carrées"/>
    <s v="040725"/>
    <s v="BARGEOT LUCAS"/>
    <n v="10"/>
    <x v="3"/>
    <x v="3"/>
    <s v="PLAQUETTES"/>
    <s v="330x28 RPE KO"/>
    <n v="71.2"/>
  </r>
  <r>
    <d v="2025-10-12T17:03:48"/>
    <x v="7"/>
    <s v="Plaquettes d'ébauches carrées"/>
    <s v="DELIAT C"/>
    <s v="DELIAT CHRISTOPHE"/>
    <n v="10"/>
    <x v="2"/>
    <x v="2"/>
    <s v="PLAQUETTES"/>
    <s v="302x26 RPI"/>
    <n v="71.2"/>
  </r>
  <r>
    <d v="2025-10-12T17:05:03"/>
    <x v="7"/>
    <s v="Plaquettes d'ébauches carrées"/>
    <s v="DELIAT C"/>
    <s v="DELIAT CHRISTOPHE"/>
    <n v="10"/>
    <x v="2"/>
    <x v="4"/>
    <s v="PLAQUETTES"/>
    <s v="302x26 RPI"/>
    <n v="71.2"/>
  </r>
  <r>
    <d v="2025-10-12T17:05:26"/>
    <x v="7"/>
    <s v="Plaquettes d'ébauches carrées"/>
    <s v="DELIAT C"/>
    <s v="DELIAT CHRISTOPHE"/>
    <n v="10"/>
    <x v="2"/>
    <x v="3"/>
    <s v="PLAQUETTES"/>
    <s v="302x26 RPI"/>
    <n v="71.2"/>
  </r>
  <r>
    <d v="2025-10-13T05:22:57"/>
    <x v="7"/>
    <s v="Plaquettes d'ébauches carrées"/>
    <s v="140325"/>
    <s v="BOUCLIER JONATHAN"/>
    <n v="10"/>
    <x v="2"/>
    <x v="2"/>
    <s v="PLAQUETTES"/>
    <s v="302x26 RPI"/>
    <n v="71.2"/>
  </r>
  <r>
    <d v="2025-10-13T21:15:40"/>
    <x v="7"/>
    <s v="Plaquettes d'ébauches carrées"/>
    <s v="U037238"/>
    <s v="PRIEUR OLIVIER"/>
    <n v="10"/>
    <x v="2"/>
    <x v="3"/>
    <s v="PLAQUETTES"/>
    <s v="302x26 RPI"/>
    <n v="71.2"/>
  </r>
  <r>
    <d v="2025-10-13T23:02:11"/>
    <x v="7"/>
    <s v="Plaquettes d'ébauches carrées"/>
    <s v="250425"/>
    <s v="CHANDAR ABDER"/>
    <n v="10"/>
    <x v="2"/>
    <x v="4"/>
    <s v="PLAQUETTES"/>
    <s v="302x26 RPI"/>
    <n v="71.2"/>
  </r>
  <r>
    <d v="2025-10-14T20:36:08"/>
    <x v="7"/>
    <s v="Plaquettes d'ébauches carrées"/>
    <s v="210325"/>
    <s v="DAUTUN ALLAN"/>
    <n v="10"/>
    <x v="2"/>
    <x v="2"/>
    <s v="PLAQUETTES"/>
    <s v="302x26 RPI"/>
    <n v="71.2"/>
  </r>
  <r>
    <d v="2025-10-14T20:36:39"/>
    <x v="7"/>
    <s v="Plaquettes d'ébauches carrées"/>
    <s v="210325"/>
    <s v="DAUTUN ALLAN"/>
    <n v="10"/>
    <x v="2"/>
    <x v="4"/>
    <s v="PLAQUETTES"/>
    <s v="302x26 RPI"/>
    <n v="71.2"/>
  </r>
  <r>
    <d v="2025-10-16T05:04:25"/>
    <x v="7"/>
    <s v="Plaquettes d'ébauches carrées"/>
    <s v="140325"/>
    <s v="BOUCLIER JONATHAN"/>
    <n v="10"/>
    <x v="2"/>
    <x v="4"/>
    <s v="PLAQUETTES"/>
    <s v="302x26 RPI"/>
    <n v="71.2"/>
  </r>
  <r>
    <d v="2025-10-16T08:51:05"/>
    <x v="7"/>
    <s v="Plaquettes d'ébauches carrées"/>
    <s v="040725"/>
    <s v="BARGEOT LUCAS"/>
    <n v="10"/>
    <x v="3"/>
    <x v="2"/>
    <s v="PLAQUETTES"/>
    <s v="330x28 RPE KO"/>
    <n v="71.2"/>
  </r>
  <r>
    <d v="2025-10-17T13:01:15"/>
    <x v="7"/>
    <s v="Plaquettes d'ébauches carrées"/>
    <s v="045F69CAA77080"/>
    <s v="TEIXEIRA FLORIAN"/>
    <n v="10"/>
    <x v="2"/>
    <x v="3"/>
    <s v="PLAQUETTES"/>
    <s v="302x26 RPI"/>
    <n v="71.2"/>
  </r>
  <r>
    <d v="2025-10-18T12:43:36"/>
    <x v="7"/>
    <s v="Plaquettes d'ébauches carrées"/>
    <s v="DELIAT C"/>
    <s v="DELIAT CHRISTOPHE"/>
    <n v="10"/>
    <x v="2"/>
    <x v="2"/>
    <s v="PLAQUETTES"/>
    <s v="302x26 RPI"/>
    <n v="71.2"/>
  </r>
  <r>
    <d v="2025-10-19T17:58:01"/>
    <x v="7"/>
    <s v="Plaquettes d'ébauches carrées"/>
    <s v="DELIAT C"/>
    <s v="DELIAT CHRISTOPHE"/>
    <n v="10"/>
    <x v="2"/>
    <x v="4"/>
    <s v="PLAQUETTES"/>
    <s v="302x26 RPI"/>
    <n v="71.2"/>
  </r>
  <r>
    <d v="2025-10-20T07:27:20"/>
    <x v="7"/>
    <s v="Plaquettes d'ébauches carrées"/>
    <s v="101224"/>
    <s v="CHAZEAU KYLIAN"/>
    <n v="10"/>
    <x v="3"/>
    <x v="3"/>
    <s v="PLAQUETTES"/>
    <s v="330x14"/>
    <n v="71.2"/>
  </r>
  <r>
    <d v="2025-10-20T13:04:16"/>
    <x v="7"/>
    <s v="Plaquettes d'ébauches carrées"/>
    <s v="u636817"/>
    <s v="MOCQUEREAU LYDIE"/>
    <n v="10"/>
    <x v="2"/>
    <x v="4"/>
    <s v="PLAQUETTES"/>
    <s v="302x26 RPI"/>
    <n v="71.2"/>
  </r>
  <r>
    <d v="2025-10-20T19:20:34"/>
    <x v="7"/>
    <s v="Plaquettes d'ébauches carrées"/>
    <s v="040725"/>
    <s v="BARGEOT LUCAS"/>
    <n v="10"/>
    <x v="3"/>
    <x v="3"/>
    <s v="PLAQUETTES"/>
    <s v="330x14"/>
    <n v="71.2"/>
  </r>
  <r>
    <d v="2025-10-20T19:28:49"/>
    <x v="7"/>
    <s v="Plaquettes d'ébauches carrées"/>
    <s v="u636817"/>
    <s v="MOCQUEREAU LYDIE"/>
    <n v="10"/>
    <x v="2"/>
    <x v="3"/>
    <s v="PLAQUETTES"/>
    <s v="302x26 RPI"/>
    <n v="71.2"/>
  </r>
  <r>
    <d v="2025-10-20T22:22:03"/>
    <x v="7"/>
    <s v="Plaquettes d'ébauches carrées"/>
    <s v="250425"/>
    <s v="CHANDAR ABDER"/>
    <n v="10"/>
    <x v="2"/>
    <x v="4"/>
    <s v="PLAQUETTES"/>
    <s v="302x26 RPI"/>
    <n v="71.2"/>
  </r>
  <r>
    <d v="2025-10-21T13:13:09"/>
    <x v="7"/>
    <s v="Plaquettes d'ébauches carrées"/>
    <s v="SD75051"/>
    <s v="COMBALUZIER LUCAS"/>
    <n v="10"/>
    <x v="1"/>
    <x v="3"/>
    <s v="PLAQUETTES"/>
    <s v="304x28 RPE"/>
    <n v="71.2"/>
  </r>
  <r>
    <d v="2025-10-22T12:43:41"/>
    <x v="7"/>
    <s v="Plaquettes d'ébauches carrées"/>
    <s v="210325"/>
    <s v="DAUTUN ALLAN"/>
    <n v="10"/>
    <x v="2"/>
    <x v="2"/>
    <s v="PLAQUETTES"/>
    <s v="302x26 RPI"/>
    <n v="71.2"/>
  </r>
  <r>
    <d v="2025-10-22T22:22:39"/>
    <x v="7"/>
    <s v="Plaquettes d'ébauches carrées"/>
    <s v="250425"/>
    <s v="CHANDAR ABDER"/>
    <n v="10"/>
    <x v="2"/>
    <x v="4"/>
    <s v="PLAQUETTES"/>
    <s v="302x26 RPI"/>
    <n v="71.2"/>
  </r>
  <r>
    <d v="2025-10-24T03:22:13"/>
    <x v="7"/>
    <s v="Plaquettes d'ébauches carrées"/>
    <s v="U037238"/>
    <s v="PRIEUR OLIVIER"/>
    <n v="10"/>
    <x v="2"/>
    <x v="3"/>
    <s v="PLAQUETTES"/>
    <s v="302x26 RPI"/>
    <n v="71.2"/>
  </r>
  <r>
    <d v="2025-10-24T08:46:21"/>
    <x v="7"/>
    <s v="Plaquettes d'ébauches carrées"/>
    <s v="DELIAT C"/>
    <s v="DELIAT CHRISTOPHE"/>
    <n v="10"/>
    <x v="2"/>
    <x v="4"/>
    <s v="PLAQUETTES"/>
    <s v="302x26 RPI"/>
    <n v="71.2"/>
  </r>
  <r>
    <d v="2025-10-24T13:11:00"/>
    <x v="7"/>
    <s v="Plaquettes d'ébauches carrées"/>
    <s v="040725"/>
    <s v="BARGEOT LUCAS"/>
    <n v="10"/>
    <x v="0"/>
    <x v="3"/>
    <s v="PLAQUETTES"/>
    <s v="356x26 RPI"/>
    <n v="71.2"/>
  </r>
  <r>
    <d v="2025-10-25T05:28:59"/>
    <x v="7"/>
    <s v="Plaquettes d'ébauches carrées"/>
    <s v="DELIAT C"/>
    <s v="DELIAT CHRISTOPHE"/>
    <n v="10"/>
    <x v="2"/>
    <x v="2"/>
    <s v="PLAQUETTES"/>
    <s v="302x26 RPI"/>
    <n v="71.2"/>
  </r>
  <r>
    <d v="2025-10-27T02:03:08"/>
    <x v="7"/>
    <s v="Plaquettes d'ébauches carrées"/>
    <s v="J529792"/>
    <s v="LEBRE CHRISTOPHE"/>
    <n v="10"/>
    <x v="2"/>
    <x v="4"/>
    <s v="PLAQUETTES"/>
    <s v="302x26 RPI"/>
    <n v="71.2"/>
  </r>
  <r>
    <d v="2025-10-27T02:03:31"/>
    <x v="7"/>
    <s v="Plaquettes d'ébauches carrées"/>
    <s v="J529792"/>
    <s v="LEBRE CHRISTOPHE"/>
    <n v="10"/>
    <x v="2"/>
    <x v="2"/>
    <s v="PLAQUETTES"/>
    <s v="302x26 RPI"/>
    <n v="71.2"/>
  </r>
  <r>
    <d v="2025-10-27T05:03:26"/>
    <x v="7"/>
    <s v="Plaquettes d'ébauches carrées"/>
    <s v="SD75051"/>
    <s v="COMBALUZIER LUCAS"/>
    <n v="10"/>
    <x v="1"/>
    <x v="3"/>
    <s v="PLAQUETTES"/>
    <s v="304x28 RPE"/>
    <n v="71.2"/>
  </r>
  <r>
    <d v="2025-10-27T13:21:30"/>
    <x v="7"/>
    <s v="Plaquettes d'ébauches carrées"/>
    <s v="045F69CAA77080"/>
    <s v="TEIXEIRA FLORIAN"/>
    <n v="10"/>
    <x v="2"/>
    <x v="3"/>
    <s v="PLAQUETTES"/>
    <s v="302x26 RPI"/>
    <n v="71.2"/>
  </r>
  <r>
    <d v="2025-10-28T05:02:20"/>
    <x v="7"/>
    <s v="Plaquettes d'ébauches carrées"/>
    <s v="140325"/>
    <s v="BOUCLIER JONATHAN"/>
    <n v="10"/>
    <x v="2"/>
    <x v="2"/>
    <s v="PLAQUETTES"/>
    <s v="302x26 RPI"/>
    <n v="71.2"/>
  </r>
  <r>
    <d v="2025-10-28T15:26:59"/>
    <x v="7"/>
    <s v="Plaquettes d'ébauches carrées"/>
    <s v="04551FC25C7780"/>
    <s v="CHEDRU VIANNEY"/>
    <n v="10"/>
    <x v="3"/>
    <x v="3"/>
    <s v="PLAQUETTES"/>
    <s v="330x28 RPE KO"/>
    <n v="71.2"/>
  </r>
  <r>
    <d v="2025-10-28T19:16:02"/>
    <x v="7"/>
    <s v="Plaquettes d'ébauches carrées"/>
    <s v="045F69CAA77080"/>
    <s v="TEIXEIRA FLORIAN"/>
    <n v="10"/>
    <x v="2"/>
    <x v="3"/>
    <s v="PLAQUETTES"/>
    <s v="302x26 RPI"/>
    <n v="71.2"/>
  </r>
  <r>
    <d v="2025-10-28T20:45:58"/>
    <x v="7"/>
    <s v="Plaquettes d'ébauches carrées"/>
    <s v="210325"/>
    <s v="DAUTUN ALLAN"/>
    <n v="10"/>
    <x v="2"/>
    <x v="2"/>
    <s v="PLAQUETTES"/>
    <s v="302x26 RPI"/>
    <n v="71.2"/>
  </r>
  <r>
    <d v="2025-10-28T20:46:44"/>
    <x v="7"/>
    <s v="Plaquettes d'ébauches carrées"/>
    <s v="210325"/>
    <s v="DAUTUN ALLAN"/>
    <n v="10"/>
    <x v="2"/>
    <x v="4"/>
    <s v="PLAQUETTES"/>
    <s v="302x26 RPI"/>
    <n v="71.2"/>
  </r>
  <r>
    <d v="2025-10-29T00:56:43"/>
    <x v="7"/>
    <s v="Plaquettes d'ébauches carrées"/>
    <s v="250425"/>
    <s v="CHANDAR ABDER"/>
    <n v="10"/>
    <x v="2"/>
    <x v="4"/>
    <s v="PLAQUETTES"/>
    <s v="302x26 RPI"/>
    <n v="71.2"/>
  </r>
  <r>
    <d v="2025-10-29T13:53:01"/>
    <x v="7"/>
    <s v="Plaquettes d'ébauches carrées"/>
    <s v="045F69CAA77080"/>
    <s v="TEIXEIRA FLORIAN"/>
    <n v="10"/>
    <x v="2"/>
    <x v="3"/>
    <s v="PLAQUETTES"/>
    <s v="302x26 RPI"/>
    <n v="71.2"/>
  </r>
  <r>
    <d v="2025-10-29T14:17:25"/>
    <x v="7"/>
    <s v="Plaquettes d'ébauches carrées"/>
    <s v="04551FC25C7780"/>
    <s v="CHEDRU VIANNEY"/>
    <n v="10"/>
    <x v="0"/>
    <x v="3"/>
    <s v="PLAQUETTES"/>
    <s v="356x26 RPI"/>
    <n v="71.2"/>
  </r>
  <r>
    <d v="2025-10-29T21:46:21"/>
    <x v="7"/>
    <s v="Plaquettes d'ébauches carrées"/>
    <s v="U037238"/>
    <s v="PRIEUR OLIVIER"/>
    <n v="10"/>
    <x v="2"/>
    <x v="3"/>
    <s v="PLAQUETTES"/>
    <s v="302x26 RPI"/>
    <n v="71.2"/>
  </r>
  <r>
    <d v="2025-10-31T13:15:41"/>
    <x v="7"/>
    <s v="Plaquettes d'ébauches carrées"/>
    <s v="04551FC25C7780"/>
    <s v="CHEDRU VIANNEY"/>
    <n v="10"/>
    <x v="0"/>
    <x v="3"/>
    <s v="PLAQUETTES"/>
    <s v="356x26 RPI"/>
    <n v="71.2"/>
  </r>
  <r>
    <d v="2025-11-01T03:22:57"/>
    <x v="7"/>
    <s v="Plaquettes d'ébauches carrées"/>
    <s v="250425"/>
    <s v="CHANDAR ABDER"/>
    <n v="10"/>
    <x v="2"/>
    <x v="4"/>
    <s v="PLAQUETTES"/>
    <s v="302x26 RPI"/>
    <n v="71.2"/>
  </r>
  <r>
    <d v="2025-11-02T16:41:07"/>
    <x v="7"/>
    <s v="Plaquettes d'ébauches carrées"/>
    <s v="J529792"/>
    <s v="LEBRE CHRISTOPHE"/>
    <n v="10"/>
    <x v="2"/>
    <x v="3"/>
    <s v="PLAQUETTES"/>
    <s v="302x26 RPI"/>
    <n v="71.2"/>
  </r>
  <r>
    <d v="2025-11-02T16:41:28"/>
    <x v="7"/>
    <s v="Plaquettes d'ébauches carrées"/>
    <s v="J529792"/>
    <s v="LEBRE CHRISTOPHE"/>
    <n v="10"/>
    <x v="2"/>
    <x v="3"/>
    <s v="PLAQUETTES"/>
    <s v="302x26 RPI"/>
    <n v="71.2"/>
  </r>
  <r>
    <d v="2025-11-03T09:10:00"/>
    <x v="7"/>
    <s v="Plaquettes d'ébauches carrées"/>
    <s v="045F69CAA77080"/>
    <s v="TEIXEIRA FLORIAN"/>
    <n v="10"/>
    <x v="2"/>
    <x v="3"/>
    <s v="PLAQUETTES"/>
    <s v="302x26 RPI"/>
    <n v="71.2"/>
  </r>
  <r>
    <d v="2025-11-03T13:19:34"/>
    <x v="7"/>
    <s v="Plaquettes d'ébauches carrées"/>
    <s v="u636817"/>
    <s v="MOCQUEREAU LYDIE"/>
    <n v="10"/>
    <x v="2"/>
    <x v="2"/>
    <s v="PLAQUETTES"/>
    <s v="302x26 RPI"/>
    <n v="71.2"/>
  </r>
  <r>
    <d v="2025-11-03T13:21:44"/>
    <x v="7"/>
    <s v="Plaquettes d'ébauches carrées"/>
    <s v="u636817"/>
    <s v="MOCQUEREAU LYDIE"/>
    <n v="10"/>
    <x v="2"/>
    <x v="4"/>
    <s v="PLAQUETTES"/>
    <s v="302x26 RPI"/>
    <n v="71.2"/>
  </r>
  <r>
    <d v="2025-11-04T14:12:36"/>
    <x v="7"/>
    <s v="Plaquettes d'ébauches carrées"/>
    <s v="SD75051"/>
    <s v="COMBALUZIER LUCAS"/>
    <n v="10"/>
    <x v="1"/>
    <x v="3"/>
    <s v="PLAQUETTES"/>
    <s v="304x28 RPE"/>
    <n v="71.2"/>
  </r>
  <r>
    <d v="2025-11-04T15:37:39"/>
    <x v="7"/>
    <s v="Plaquettes d'ébauches carrées"/>
    <s v="u636817"/>
    <s v="MOCQUEREAU LYDIE"/>
    <n v="10"/>
    <x v="2"/>
    <x v="4"/>
    <s v="PLAQUETTES"/>
    <s v="302x26 RPI"/>
    <n v="71.2"/>
  </r>
  <r>
    <d v="2025-11-04T21:19:05"/>
    <x v="7"/>
    <s v="Plaquettes d'ébauches carrées"/>
    <s v="250425"/>
    <s v="CHANDAR ABDER"/>
    <n v="10"/>
    <x v="2"/>
    <x v="4"/>
    <s v="PLAQUETTES"/>
    <s v="302x26 RPI"/>
    <n v="71.2"/>
  </r>
  <r>
    <d v="2025-11-05T05:01:56"/>
    <x v="7"/>
    <s v="Plaquettes d'ébauches carrées"/>
    <s v="045F69CAA77080"/>
    <s v="TEIXEIRA FLORIAN"/>
    <n v="10"/>
    <x v="2"/>
    <x v="3"/>
    <s v="PLAQUETTES"/>
    <s v="302x26 RPI"/>
    <n v="71.2"/>
  </r>
  <r>
    <d v="2025-11-05T13:07:55"/>
    <x v="7"/>
    <s v="Plaquettes d'ébauches carrées"/>
    <s v="140325"/>
    <s v="BOUCLIER JONATHAN"/>
    <n v="10"/>
    <x v="2"/>
    <x v="2"/>
    <s v="PLAQUETTES"/>
    <s v="302x26 RPI"/>
    <n v="71.2"/>
  </r>
  <r>
    <d v="2025-11-05T13:08:48"/>
    <x v="7"/>
    <s v="Plaquettes d'ébauches carrées"/>
    <s v="140325"/>
    <s v="BOUCLIER JONATHAN"/>
    <n v="10"/>
    <x v="2"/>
    <x v="4"/>
    <s v="PLAQUETTES"/>
    <s v="302x26 RPI"/>
    <n v="71.2"/>
  </r>
  <r>
    <d v="2025-11-05T13:09:06"/>
    <x v="7"/>
    <s v="Plaquettes d'ébauches carrées"/>
    <s v="140325"/>
    <s v="BOUCLIER JONATHAN"/>
    <n v="10"/>
    <x v="2"/>
    <x v="3"/>
    <s v="PLAQUETTES"/>
    <s v="302x26 RPI"/>
    <n v="71.2"/>
  </r>
  <r>
    <d v="2025-11-05T13:40:58"/>
    <x v="7"/>
    <s v="Plaquettes d'ébauches carrées"/>
    <s v="040725"/>
    <s v="BARGEOT LUCAS"/>
    <n v="10"/>
    <x v="3"/>
    <x v="2"/>
    <s v="PLAQUETTES"/>
    <s v="330x28 RPE KO"/>
    <n v="71.2"/>
  </r>
  <r>
    <d v="2025-11-06T05:04:51"/>
    <x v="7"/>
    <s v="Plaquettes d'ébauches carrées"/>
    <s v="045F69CAA77080"/>
    <s v="TEIXEIRA FLORIAN"/>
    <n v="10"/>
    <x v="2"/>
    <x v="3"/>
    <s v="PLAQUETTES"/>
    <s v="302x26 RPI"/>
    <n v="71.2"/>
  </r>
  <r>
    <d v="2025-11-07T05:59:31"/>
    <x v="7"/>
    <s v="Plaquettes d'ébauches carrées"/>
    <s v="J534699"/>
    <s v="FABIAN CHARTON"/>
    <n v="10"/>
    <x v="2"/>
    <x v="2"/>
    <s v="PLAQUETTES"/>
    <s v="302x26 RPI"/>
    <n v="71.2"/>
  </r>
  <r>
    <d v="2025-11-07T06:01:05"/>
    <x v="7"/>
    <s v="Plaquettes d'ébauches carrées"/>
    <s v="J534699"/>
    <s v="FABIAN CHARTON"/>
    <n v="10"/>
    <x v="2"/>
    <x v="4"/>
    <s v="PLAQUETTES"/>
    <s v="302x26 RPI"/>
    <n v="71.2"/>
  </r>
  <r>
    <d v="2025-11-07T23:15:27"/>
    <x v="7"/>
    <s v="Plaquettes d'ébauches carrées"/>
    <s v="U037238"/>
    <s v="PRIEUR OLIVIER"/>
    <n v="10"/>
    <x v="2"/>
    <x v="3"/>
    <s v="PLAQUETTES"/>
    <s v="302x26 RPI"/>
    <n v="71.2"/>
  </r>
  <r>
    <d v="2025-11-08T05:39:12"/>
    <x v="7"/>
    <s v="Plaquettes d'ébauches carrées"/>
    <s v="J529792"/>
    <s v="LEBRE CHRISTOPHE"/>
    <n v="10"/>
    <x v="2"/>
    <x v="3"/>
    <s v="PLAQUETTES"/>
    <s v="302x26 RPI"/>
    <n v="71.2"/>
  </r>
  <r>
    <d v="2025-11-08T05:39:29"/>
    <x v="7"/>
    <s v="Plaquettes d'ébauches carrées"/>
    <s v="J529792"/>
    <s v="LEBRE CHRISTOPHE"/>
    <n v="10"/>
    <x v="2"/>
    <x v="3"/>
    <s v="PLAQUETTES"/>
    <s v="302x26 RPI"/>
    <n v="71.2"/>
  </r>
  <r>
    <d v="2025-11-09T06:54:45"/>
    <x v="7"/>
    <s v="Plaquettes d'ébauches carrées"/>
    <s v="U080365"/>
    <s v="ALAVOINE SAMUEL"/>
    <n v="10"/>
    <x v="0"/>
    <x v="3"/>
    <s v="PLAQUETTES"/>
    <s v="356x26 RPI"/>
    <n v="71.2"/>
  </r>
  <r>
    <d v="2025-11-09T06:56:22"/>
    <x v="7"/>
    <s v="Plaquettes d'ébauches carrées"/>
    <s v="U080365"/>
    <s v="ALAVOINE SAMUEL"/>
    <n v="10"/>
    <x v="3"/>
    <x v="3"/>
    <s v="PLAQUETTES"/>
    <s v="330x14"/>
    <n v="71.2"/>
  </r>
  <r>
    <d v="2025-11-12T05:50:41"/>
    <x v="7"/>
    <s v="Plaquettes d'ébauches carrées"/>
    <s v="SD75051"/>
    <s v="COMBALUZIER LUCAS"/>
    <n v="10"/>
    <x v="1"/>
    <x v="3"/>
    <s v="PLAQUETTES"/>
    <s v="304x28 RPE"/>
    <n v="71.2"/>
  </r>
  <r>
    <d v="2025-11-12T10:21:59"/>
    <x v="7"/>
    <s v="Plaquettes d'ébauches carrées"/>
    <s v="020824"/>
    <s v="DA SILVA RENAUD"/>
    <n v="10"/>
    <x v="0"/>
    <x v="3"/>
    <s v="PLAQUETTES"/>
    <s v="TOUT DISQUES"/>
    <n v="71.2"/>
  </r>
  <r>
    <d v="2025-11-13T23:00:10"/>
    <x v="7"/>
    <s v="Plaquettes d'ébauches carrées"/>
    <s v="130325"/>
    <s v="PAPONNEAU JULIEN"/>
    <n v="10"/>
    <x v="1"/>
    <x v="2"/>
    <s v="PLAQUETTES"/>
    <s v="304x28 RPE"/>
    <n v="71.2"/>
  </r>
  <r>
    <d v="2025-11-14T15:57:28"/>
    <x v="7"/>
    <s v="Plaquettes d'ébauches carrées"/>
    <s v="04551FC25C7780"/>
    <s v="CHEDRU VIANNEY"/>
    <n v="10"/>
    <x v="0"/>
    <x v="3"/>
    <s v="PLAQUETTES"/>
    <s v="356x26 RPI"/>
    <n v="71.2"/>
  </r>
  <r>
    <d v="2025-11-14T16:07:43"/>
    <x v="7"/>
    <s v="Plaquettes d'ébauches carrées"/>
    <s v="045F69CAA77080"/>
    <s v="TEIXEIRA FLORIAN"/>
    <n v="10"/>
    <x v="2"/>
    <x v="3"/>
    <s v="PLAQUETTES"/>
    <s v="302x26 RPI"/>
    <n v="71.2"/>
  </r>
  <r>
    <d v="2025-11-14T17:28:29"/>
    <x v="7"/>
    <s v="Plaquettes d'ébauches carrées"/>
    <s v="04551FC25C7780"/>
    <s v="CHEDRU VIANNEY"/>
    <n v="10"/>
    <x v="3"/>
    <x v="3"/>
    <s v="PLAQUETTES"/>
    <s v="330x28 RPE KO"/>
    <n v="71.2"/>
  </r>
  <r>
    <d v="2025-11-14T18:49:09"/>
    <x v="7"/>
    <s v="Plaquettes d'ébauches carrées"/>
    <s v="210325"/>
    <s v="DAUTUN ALLAN"/>
    <n v="10"/>
    <x v="2"/>
    <x v="2"/>
    <s v="PLAQUETTES"/>
    <s v="302x26 RPI"/>
    <n v="71.2"/>
  </r>
  <r>
    <d v="2025-11-14T18:49:41"/>
    <x v="7"/>
    <s v="Plaquettes d'ébauches carrées"/>
    <s v="210325"/>
    <s v="DAUTUN ALLAN"/>
    <n v="10"/>
    <x v="2"/>
    <x v="4"/>
    <s v="PLAQUETTES"/>
    <s v="302x26 RPI"/>
    <n v="71.2"/>
  </r>
  <r>
    <d v="2025-11-15T06:12:51"/>
    <x v="7"/>
    <s v="Plaquettes d'ébauches carrées"/>
    <s v="DELIAT C"/>
    <s v="DELIAT CHRISTOPHE"/>
    <n v="10"/>
    <x v="2"/>
    <x v="2"/>
    <s v="PLAQUETTES"/>
    <s v="302x26 RPI"/>
    <n v="71.2"/>
  </r>
  <r>
    <d v="2025-11-16T03:02:15"/>
    <x v="7"/>
    <s v="Plaquettes d'ébauches carrées"/>
    <s v="U080365"/>
    <s v="ALAVOINE SAMUEL"/>
    <n v="10"/>
    <x v="0"/>
    <x v="3"/>
    <s v="PLAQUETTES"/>
    <s v="356x26 RPI"/>
    <n v="71.2"/>
  </r>
  <r>
    <d v="2025-11-16T03:02:36"/>
    <x v="7"/>
    <s v="Plaquettes d'ébauches carrées"/>
    <s v="U080365"/>
    <s v="ALAVOINE SAMUEL"/>
    <n v="10"/>
    <x v="3"/>
    <x v="3"/>
    <s v="PLAQUETTES"/>
    <s v="330x28 RPE KO"/>
    <n v="71.2"/>
  </r>
  <r>
    <d v="2025-11-17T13:09:16"/>
    <x v="7"/>
    <s v="Plaquettes d'ébauches carrées"/>
    <s v="SD75051"/>
    <s v="COMBALUZIER LUCAS"/>
    <n v="10"/>
    <x v="1"/>
    <x v="3"/>
    <s v="PLAQUETTES"/>
    <s v="304x28 RPE"/>
    <n v="71.2"/>
  </r>
  <r>
    <d v="2025-11-19T01:02:46"/>
    <x v="7"/>
    <s v="Plaquettes d'ébauches carrées"/>
    <s v="250425"/>
    <s v="CHANDAR ABDER"/>
    <n v="10"/>
    <x v="2"/>
    <x v="4"/>
    <s v="PLAQUETTES"/>
    <s v="302x26 RPI"/>
    <n v="71.2"/>
  </r>
  <r>
    <d v="2025-11-19T05:18:00"/>
    <x v="7"/>
    <s v="Plaquettes d'ébauches carrées"/>
    <s v="045F69CAA77080"/>
    <s v="TEIXEIRA FLORIAN"/>
    <n v="10"/>
    <x v="2"/>
    <x v="3"/>
    <s v="PLAQUETTES"/>
    <s v="302x26 RPI"/>
    <n v="71.2"/>
  </r>
  <r>
    <d v="2025-11-19T09:54:20"/>
    <x v="7"/>
    <s v="Plaquettes d'ébauches carrées"/>
    <s v="045F69CAA77080"/>
    <s v="TEIXEIRA FLORIAN"/>
    <n v="10"/>
    <x v="2"/>
    <x v="3"/>
    <s v="PLAQUETTES"/>
    <s v="302x26 RPI"/>
    <n v="71.2"/>
  </r>
  <r>
    <d v="2025-11-19T13:28:49"/>
    <x v="7"/>
    <s v="Plaquettes d'ébauches carrées"/>
    <s v="SD75051"/>
    <s v="COMBALUZIER LUCAS"/>
    <n v="10"/>
    <x v="1"/>
    <x v="3"/>
    <s v="PLAQUETTES"/>
    <s v="304x28 RPE"/>
    <n v="71.2"/>
  </r>
  <r>
    <d v="2025-11-20T09:41:50"/>
    <x v="7"/>
    <s v="Plaquettes d'ébauches carrées"/>
    <s v="045F69CAA77080"/>
    <s v="TEIXEIRA FLORIAN"/>
    <n v="10"/>
    <x v="2"/>
    <x v="3"/>
    <s v="PLAQUETTES"/>
    <s v="302x26 RPI"/>
    <n v="71.2"/>
  </r>
  <r>
    <d v="2025-11-21T00:10:51"/>
    <x v="7"/>
    <s v="Plaquettes d'ébauches carrées"/>
    <s v="250425"/>
    <s v="CHANDAR ABDER"/>
    <n v="10"/>
    <x v="2"/>
    <x v="4"/>
    <s v="PLAQUETTES"/>
    <s v="302x26 RPI"/>
    <n v="71.2"/>
  </r>
  <r>
    <d v="2025-11-21T06:49:40"/>
    <x v="7"/>
    <s v="Plaquettes d'ébauches carrées"/>
    <s v="DELIAT C"/>
    <s v="DELIAT CHRISTOPHE"/>
    <n v="10"/>
    <x v="2"/>
    <x v="4"/>
    <s v="PLAQUETTES"/>
    <s v="302x26 RPI"/>
    <n v="71.2"/>
  </r>
  <r>
    <d v="2025-11-22T05:02:45"/>
    <x v="7"/>
    <s v="Plaquettes d'ébauches carrées"/>
    <s v="DELIAT C"/>
    <s v="DELIAT CHRISTOPHE"/>
    <n v="10"/>
    <x v="2"/>
    <x v="2"/>
    <s v="PLAQUETTES"/>
    <s v="302x26 RPI"/>
    <n v="71.2"/>
  </r>
  <r>
    <d v="2025-11-23T17:18:10"/>
    <x v="7"/>
    <s v="Plaquettes d'ébauches carrées"/>
    <s v="150725"/>
    <s v="ADOUL WASSIM"/>
    <n v="10"/>
    <x v="0"/>
    <x v="3"/>
    <s v="PLAQUETTES"/>
    <s v="356x26 RPI"/>
    <n v="71.2"/>
  </r>
  <r>
    <d v="2025-11-24T05:02:42"/>
    <x v="7"/>
    <s v="Plaquettes d'ébauches carrées"/>
    <s v="140325"/>
    <s v="BOUCLIER JONATHAN"/>
    <n v="10"/>
    <x v="2"/>
    <x v="2"/>
    <s v="PLAQUETTES"/>
    <s v="302x26 RPI"/>
    <n v="71.2"/>
  </r>
  <r>
    <d v="2025-11-24T05:03:21"/>
    <x v="7"/>
    <s v="Plaquettes d'ébauches carrées"/>
    <s v="140325"/>
    <s v="BOUCLIER JONATHAN"/>
    <n v="10"/>
    <x v="2"/>
    <x v="4"/>
    <s v="PLAQUETTES"/>
    <s v="302x26 RPI"/>
    <n v="71.2"/>
  </r>
  <r>
    <d v="2025-11-24T05:05:46"/>
    <x v="7"/>
    <s v="Plaquettes d'ébauches carrées"/>
    <s v="SD75051"/>
    <s v="COMBALUZIER LUCAS"/>
    <n v="10"/>
    <x v="0"/>
    <x v="3"/>
    <s v="PLAQUETTES"/>
    <s v="304x28 RPE"/>
    <n v="71.2"/>
  </r>
  <r>
    <d v="2025-11-24T06:39:24"/>
    <x v="7"/>
    <s v="Plaquettes d'ébauches carrées"/>
    <s v="u636817"/>
    <s v="MOCQUEREAU LYDIE"/>
    <n v="10"/>
    <x v="2"/>
    <x v="3"/>
    <s v="PLAQUETTES"/>
    <s v="302x26 RPI"/>
    <n v="71.2"/>
  </r>
  <r>
    <d v="2025-11-24T06:39:48"/>
    <x v="7"/>
    <s v="Plaquettes d'ébauches carrées"/>
    <s v="u636817"/>
    <s v="MOCQUEREAU LYDIE"/>
    <n v="10"/>
    <x v="2"/>
    <x v="3"/>
    <s v="PLAQUETTES"/>
    <s v="302x26 RPI"/>
    <n v="71.2"/>
  </r>
  <r>
    <d v="2025-11-24T07:02:26"/>
    <x v="7"/>
    <s v="Plaquettes d'ébauches carrées"/>
    <s v="040725"/>
    <s v="BARGEOT LUCAS"/>
    <n v="10"/>
    <x v="3"/>
    <x v="3"/>
    <s v="PLAQUETTES"/>
    <s v="330x28 RPE KO"/>
    <n v="71.2"/>
  </r>
  <r>
    <d v="2025-11-24T21:49:02"/>
    <x v="7"/>
    <s v="Plaquettes d'ébauches carrées"/>
    <s v="250425"/>
    <s v="CHANDAR ABDER"/>
    <n v="10"/>
    <x v="2"/>
    <x v="4"/>
    <s v="PLAQUETTES"/>
    <s v="302x26 RPI"/>
    <n v="71.2"/>
  </r>
  <r>
    <d v="2025-11-25T05:21:16"/>
    <x v="7"/>
    <s v="Plaquettes d'ébauches carrées"/>
    <s v="040725"/>
    <s v="BARGEOT LUCAS"/>
    <n v="10"/>
    <x v="0"/>
    <x v="3"/>
    <s v="PLAQUETTES"/>
    <s v="356x26 RPI"/>
    <n v="71.2"/>
  </r>
  <r>
    <d v="2025-11-25T05:44:49"/>
    <x v="7"/>
    <s v="Plaquettes d'ébauches carrées"/>
    <s v="040725"/>
    <s v="BARGEOT LUCAS"/>
    <n v="10"/>
    <x v="3"/>
    <x v="3"/>
    <s v="PLAQUETTES"/>
    <s v="330x28 RPE KO"/>
    <n v="71.2"/>
  </r>
  <r>
    <d v="2025-11-25T09:02:54"/>
    <x v="7"/>
    <s v="Plaquettes d'ébauches carrées"/>
    <s v="12824586"/>
    <s v="DA SILVA FERNANDO"/>
    <n v="10"/>
    <x v="2"/>
    <x v="2"/>
    <s v="PLAQUETTES"/>
    <s v="TOUT DISQUES"/>
    <n v="71.2"/>
  </r>
  <r>
    <d v="2025-11-26T05:06:40"/>
    <x v="7"/>
    <s v="Plaquettes d'ébauches carrées"/>
    <s v="SD75051"/>
    <s v="COMBALUZIER LUCAS"/>
    <n v="10"/>
    <x v="1"/>
    <x v="3"/>
    <s v="PLAQUETTES"/>
    <s v="304x28 RPE"/>
    <n v="71.2"/>
  </r>
  <r>
    <d v="2025-11-26T22:01:19"/>
    <x v="7"/>
    <s v="Plaquettes d'ébauches carrées"/>
    <s v="U037238"/>
    <s v="PRIEUR OLIVIER"/>
    <n v="10"/>
    <x v="2"/>
    <x v="3"/>
    <s v="PLAQUETTES"/>
    <s v="302x26 RPI"/>
    <n v="71.2"/>
  </r>
  <r>
    <d v="2025-11-26T23:54:23"/>
    <x v="7"/>
    <s v="Plaquettes d'ébauches carrées"/>
    <s v="250425"/>
    <s v="CHANDAR ABDER"/>
    <n v="10"/>
    <x v="2"/>
    <x v="4"/>
    <s v="PLAQUETTES"/>
    <s v="302x26 RPI"/>
    <n v="71.2"/>
  </r>
  <r>
    <d v="2025-11-27T08:54:57"/>
    <x v="7"/>
    <s v="Plaquettes d'ébauches carrées"/>
    <s v="12824586"/>
    <s v="DA SILVA FERNANDO"/>
    <n v="10"/>
    <x v="2"/>
    <x v="2"/>
    <s v="PLAQUETTES"/>
    <s v="TOUT DISQUES"/>
    <n v="71.2"/>
  </r>
  <r>
    <d v="2025-11-27T21:22:41"/>
    <x v="7"/>
    <s v="Plaquettes d'ébauches carrées"/>
    <s v="250425"/>
    <s v="CHANDAR ABDER"/>
    <n v="10"/>
    <x v="2"/>
    <x v="4"/>
    <s v="PLAQUETTES"/>
    <s v="302x26 RPI"/>
    <n v="71.2"/>
  </r>
  <r>
    <d v="2025-11-28T13:00:10"/>
    <x v="7"/>
    <s v="Plaquettes d'ébauches carrées"/>
    <s v="04551FC25C7780"/>
    <s v="CHEDRU VIANNEY"/>
    <n v="10"/>
    <x v="3"/>
    <x v="3"/>
    <s v="PLAQUETTES"/>
    <s v="330x28 RPE KO"/>
    <n v="71.2"/>
  </r>
  <r>
    <d v="2025-11-28T13:45:31"/>
    <x v="7"/>
    <s v="Plaquettes d'ébauches carrées"/>
    <s v="045C6ECAA77080"/>
    <s v="PERREIRA KEVIN"/>
    <n v="10"/>
    <x v="1"/>
    <x v="3"/>
    <s v="PLAQUETTES"/>
    <s v="304x28 RPE"/>
    <n v="71.2"/>
  </r>
  <r>
    <d v="2025-11-28T14:25:06"/>
    <x v="7"/>
    <s v="Plaquettes d'ébauches carrées"/>
    <s v="04551FC25C7780"/>
    <s v="CHEDRU VIANNEY"/>
    <n v="10"/>
    <x v="0"/>
    <x v="3"/>
    <s v="PLAQUETTES"/>
    <s v="356x26 RPI"/>
    <n v="71.2"/>
  </r>
  <r>
    <d v="2025-11-29T05:08:53"/>
    <x v="7"/>
    <s v="Plaquettes d'ébauches carrées"/>
    <s v="DELIAT C"/>
    <s v="DELIAT CHRISTOPHE"/>
    <n v="10"/>
    <x v="2"/>
    <x v="4"/>
    <s v="PLAQUETTES"/>
    <s v="302x26 RPI"/>
    <n v="71.2"/>
  </r>
  <r>
    <d v="2025-11-30T10:09:58"/>
    <x v="7"/>
    <s v="Plaquettes d'ébauches carrées"/>
    <s v="U080365"/>
    <s v="ALAVOINE SAMUEL"/>
    <n v="10"/>
    <x v="3"/>
    <x v="3"/>
    <s v="PLAQUETTES"/>
    <s v="330x28 RPE KO"/>
    <n v="71.2"/>
  </r>
  <r>
    <d v="2025-11-30T10:10:31"/>
    <x v="7"/>
    <s v="Plaquettes d'ébauches carrées"/>
    <s v="U080365"/>
    <s v="ALAVOINE SAMUEL"/>
    <n v="10"/>
    <x v="0"/>
    <x v="3"/>
    <s v="PLAQUETTES"/>
    <s v="356x26 RPI"/>
    <n v="71.2"/>
  </r>
  <r>
    <d v="2025-12-01T01:01:05"/>
    <x v="7"/>
    <s v="Plaquettes d'ébauches carrées"/>
    <s v="DELIAT C"/>
    <s v="DELIAT CHRISTOPHE"/>
    <n v="10"/>
    <x v="2"/>
    <x v="2"/>
    <s v="PLAQUETTES"/>
    <s v="302x26 RPI"/>
    <n v="71.2"/>
  </r>
  <r>
    <d v="2025-12-01T05:15:38"/>
    <x v="7"/>
    <s v="Plaquettes d'ébauches carrées"/>
    <s v="045C6ECAA77080"/>
    <s v="PERREIRA KEVIN"/>
    <n v="10"/>
    <x v="1"/>
    <x v="3"/>
    <s v="PLAQUETTES"/>
    <s v="304x28 RPE"/>
    <n v="71.2"/>
  </r>
  <r>
    <d v="2025-12-01T21:54:40"/>
    <x v="7"/>
    <s v="Plaquettes d'ébauches carrées"/>
    <s v="250425"/>
    <s v="CHANDAR ABDER"/>
    <n v="10"/>
    <x v="2"/>
    <x v="4"/>
    <s v="PLAQUETTES"/>
    <s v="302x26 RPI"/>
    <n v="71.2"/>
  </r>
  <r>
    <d v="2025-12-02T15:27:05"/>
    <x v="7"/>
    <s v="Plaquettes d'ébauches carrées"/>
    <s v="140325"/>
    <s v="BOUCLIER JONATHAN"/>
    <n v="10"/>
    <x v="2"/>
    <x v="3"/>
    <s v="PLAQUETTES"/>
    <s v="302x26 RPI"/>
    <n v="71.2"/>
  </r>
  <r>
    <d v="2025-12-02T20:00:03"/>
    <x v="7"/>
    <s v="Plaquettes d'ébauches carrées"/>
    <s v="u636817"/>
    <s v="MOCQUEREAU LYDIE"/>
    <n v="10"/>
    <x v="2"/>
    <x v="2"/>
    <s v="PLAQUETTES"/>
    <s v="302x26 RPI"/>
    <n v="71.2"/>
  </r>
  <r>
    <d v="2025-12-02T20:00:27"/>
    <x v="7"/>
    <s v="Plaquettes d'ébauches carrées"/>
    <s v="u636817"/>
    <s v="MOCQUEREAU LYDIE"/>
    <n v="10"/>
    <x v="2"/>
    <x v="4"/>
    <s v="PLAQUETTES"/>
    <s v="302x26 RPI"/>
    <n v="71.2"/>
  </r>
  <r>
    <d v="2025-12-02T21:58:37"/>
    <x v="7"/>
    <s v="Plaquettes d'ébauches carrées"/>
    <s v="250425"/>
    <s v="CHANDAR ABDER"/>
    <n v="10"/>
    <x v="2"/>
    <x v="4"/>
    <s v="PLAQUETTES"/>
    <s v="302x26 RPI"/>
    <n v="71.2"/>
  </r>
  <r>
    <d v="2025-12-03T06:59:00"/>
    <x v="7"/>
    <s v="Plaquettes d'ébauches carrées"/>
    <s v="04551FC25C7780"/>
    <s v="CHEDRU VIANNEY"/>
    <n v="10"/>
    <x v="3"/>
    <x v="3"/>
    <s v="PLAQUETTES"/>
    <s v="330x28 RPE KO"/>
    <n v="71.2"/>
  </r>
  <r>
    <d v="2025-12-03T12:24:10"/>
    <x v="7"/>
    <s v="Plaquettes d'ébauches carrées"/>
    <s v="210325"/>
    <s v="DAUTUN ALLAN"/>
    <n v="10"/>
    <x v="2"/>
    <x v="4"/>
    <s v="PLAQUETTES"/>
    <s v="302x26 RPI"/>
    <n v="71.2"/>
  </r>
  <r>
    <d v="2025-12-03T12:24:25"/>
    <x v="7"/>
    <s v="Plaquettes d'ébauches carrées"/>
    <s v="210325"/>
    <s v="DAUTUN ALLAN"/>
    <n v="10"/>
    <x v="2"/>
    <x v="4"/>
    <s v="PLAQUETTES"/>
    <s v="302x26 RPI"/>
    <n v="71.2"/>
  </r>
  <r>
    <d v="2025-12-04T05:04:59"/>
    <x v="7"/>
    <s v="Plaquettes d'ébauches carrées"/>
    <s v="045F69CAA77080"/>
    <s v="TEIXEIRA FLORIAN"/>
    <n v="10"/>
    <x v="2"/>
    <x v="3"/>
    <s v="PLAQUETTES"/>
    <s v="302x26 RPI"/>
    <n v="71.2"/>
  </r>
  <r>
    <d v="2025-12-04T06:39:48"/>
    <x v="7"/>
    <s v="Plaquettes d'ébauches carrées"/>
    <s v="04551FC25C7780"/>
    <s v="CHEDRU VIANNEY"/>
    <n v="10"/>
    <x v="3"/>
    <x v="3"/>
    <s v="PLAQUETTES"/>
    <s v="330x28 RPE KO"/>
    <n v="71.2"/>
  </r>
  <r>
    <d v="2025-12-05T05:30:20"/>
    <x v="7"/>
    <s v="Plaquettes d'ébauches carrées"/>
    <s v="J529792"/>
    <s v="LEBRE CHRISTOPHE"/>
    <n v="10"/>
    <x v="2"/>
    <x v="3"/>
    <s v="PLAQUETTES"/>
    <s v="302x26 RPI"/>
    <n v="71.2"/>
  </r>
  <r>
    <d v="2025-12-05T05:30:49"/>
    <x v="7"/>
    <s v="Plaquettes d'ébauches carrées"/>
    <s v="J529792"/>
    <s v="LEBRE CHRISTOPHE"/>
    <n v="10"/>
    <x v="2"/>
    <x v="3"/>
    <s v="PLAQUETTES"/>
    <s v="302x26 RPI"/>
    <n v="71.2"/>
  </r>
  <r>
    <d v="2025-12-06T05:12:07"/>
    <x v="7"/>
    <s v="Plaquettes d'ébauches carrées"/>
    <s v="U080365"/>
    <s v="ALAVOINE SAMUEL"/>
    <n v="10"/>
    <x v="0"/>
    <x v="3"/>
    <s v="PLAQUETTES"/>
    <s v="356x26 RPI"/>
    <n v="71.2"/>
  </r>
  <r>
    <d v="2025-12-06T05:50:59"/>
    <x v="7"/>
    <s v="Plaquettes d'ébauches carrées"/>
    <s v="DELIAT C"/>
    <s v="DELIAT CHRISTOPHE"/>
    <n v="10"/>
    <x v="1"/>
    <x v="3"/>
    <s v="PLAQUETTES"/>
    <s v="304x28 RPE"/>
    <n v="71.2"/>
  </r>
  <r>
    <d v="2025-12-06T05:56:18"/>
    <x v="7"/>
    <s v="Plaquettes d'ébauches carrées"/>
    <s v="DELIAT C"/>
    <s v="DELIAT CHRISTOPHE"/>
    <n v="10"/>
    <x v="2"/>
    <x v="2"/>
    <s v="PLAQUETTES"/>
    <s v="302x26 RPI"/>
    <n v="71.2"/>
  </r>
  <r>
    <d v="2025-12-08T05:00:04"/>
    <x v="7"/>
    <s v="Plaquettes d'ébauches carrées"/>
    <s v="140325"/>
    <s v="BOUCLIER JONATHAN"/>
    <n v="10"/>
    <x v="2"/>
    <x v="3"/>
    <s v="PLAQUETTES"/>
    <s v="302x26 RPI"/>
    <n v="71.2"/>
  </r>
  <r>
    <d v="2025-12-08T15:59:23"/>
    <x v="7"/>
    <s v="Plaquettes d'ébauches carrées"/>
    <s v="04551FC25C7780"/>
    <s v="CHEDRU VIANNEY"/>
    <n v="10"/>
    <x v="3"/>
    <x v="3"/>
    <s v="PLAQUETTES"/>
    <s v="330x28 RPE KO"/>
    <n v="71.2"/>
  </r>
  <r>
    <d v="2025-12-08T23:29:39"/>
    <x v="7"/>
    <s v="Plaquettes d'ébauches carrées"/>
    <s v="130325"/>
    <s v="PAPONNEAU JULIEN"/>
    <n v="10"/>
    <x v="1"/>
    <x v="3"/>
    <s v="PLAQUETTES"/>
    <s v="304x28 RPE"/>
    <n v="71.2"/>
  </r>
  <r>
    <d v="2025-12-09T05:21:55"/>
    <x v="7"/>
    <s v="Plaquettes d'ébauches carrées"/>
    <s v="u636817"/>
    <s v="MOCQUEREAU LYDIE"/>
    <n v="10"/>
    <x v="2"/>
    <x v="4"/>
    <s v="PLAQUETTES"/>
    <s v="302x26 RPI"/>
    <n v="71.2"/>
  </r>
  <r>
    <d v="2025-12-09T06:11:25"/>
    <x v="7"/>
    <s v="Plaquettes d'ébauches carrées"/>
    <s v="140325"/>
    <s v="BOUCLIER JONATHAN"/>
    <n v="10"/>
    <x v="2"/>
    <x v="3"/>
    <s v="PLAQUETTES"/>
    <s v="302x26 RPI"/>
    <n v="71.2"/>
  </r>
  <r>
    <d v="2025-12-09T14:35:21"/>
    <x v="7"/>
    <s v="Plaquettes d'ébauches carrées"/>
    <s v="04551FC25C7780"/>
    <s v="CHEDRU VIANNEY"/>
    <n v="10"/>
    <x v="0"/>
    <x v="3"/>
    <s v="PLAQUETTES"/>
    <s v="356x26 RPI"/>
    <n v="71.2"/>
  </r>
  <r>
    <d v="2025-12-10T01:10:35"/>
    <x v="7"/>
    <s v="Plaquettes d'ébauches carrées"/>
    <s v="250425"/>
    <s v="CHANDAR ABDER"/>
    <n v="10"/>
    <x v="2"/>
    <x v="4"/>
    <s v="PLAQUETTES"/>
    <s v="302x26 RPI"/>
    <n v="71.2"/>
  </r>
  <r>
    <d v="2025-12-10T05:12:04"/>
    <x v="7"/>
    <s v="Plaquettes d'ébauches carrées"/>
    <s v="140325"/>
    <s v="BOUCLIER JONATHAN"/>
    <n v="10"/>
    <x v="2"/>
    <x v="3"/>
    <s v="PLAQUETTES"/>
    <s v="302x26 RPI"/>
    <n v="71.2"/>
  </r>
  <r>
    <d v="2025-12-10T18:13:10"/>
    <x v="7"/>
    <s v="Plaquettes d'ébauches carrées"/>
    <s v="04551FC25C7780"/>
    <s v="CHEDRU VIANNEY"/>
    <n v="10"/>
    <x v="3"/>
    <x v="3"/>
    <s v="PLAQUETTES"/>
    <s v="330x14"/>
    <n v="71.2"/>
  </r>
  <r>
    <d v="2025-12-11T01:48:51"/>
    <x v="7"/>
    <s v="Plaquettes d'ébauches carrées"/>
    <s v="250425"/>
    <s v="CHANDAR ABDER"/>
    <n v="10"/>
    <x v="2"/>
    <x v="4"/>
    <s v="PLAQUETTES"/>
    <s v="302x26 RPI"/>
    <n v="71.2"/>
  </r>
  <r>
    <d v="2025-12-11T05:28:48"/>
    <x v="7"/>
    <s v="Plaquettes d'ébauches carrées"/>
    <s v="140325"/>
    <s v="BOUCLIER JONATHAN"/>
    <n v="10"/>
    <x v="2"/>
    <x v="3"/>
    <s v="PLAQUETTES"/>
    <s v="302x26 RPI"/>
    <n v="71.2"/>
  </r>
  <r>
    <d v="2025-12-11T19:44:30"/>
    <x v="7"/>
    <s v="Plaquettes d'ébauches carrées"/>
    <s v="045C6ECAA77080"/>
    <s v="PERREIRA KEVIN"/>
    <n v="10"/>
    <x v="1"/>
    <x v="3"/>
    <s v="PLAQUETTES"/>
    <s v="356x26 RPI"/>
    <n v="71.2"/>
  </r>
  <r>
    <d v="2025-12-12T16:54:10"/>
    <x v="7"/>
    <s v="Plaquettes d'ébauches carrées"/>
    <s v="04551FC25C7780"/>
    <s v="CHEDRU VIANNEY"/>
    <n v="10"/>
    <x v="0"/>
    <x v="3"/>
    <s v="PLAQUETTES"/>
    <s v="356x26 RPI"/>
    <n v="71.2"/>
  </r>
  <r>
    <d v="2025-12-12T16:59:31"/>
    <x v="7"/>
    <s v="Plaquettes d'ébauches carrées"/>
    <s v="04551FC25C7780"/>
    <s v="CHEDRU VIANNEY"/>
    <n v="10"/>
    <x v="3"/>
    <x v="3"/>
    <s v="PLAQUETTES"/>
    <s v="330x28 RPE KO"/>
    <n v="71.2"/>
  </r>
  <r>
    <d v="2025-12-13T00:36:29"/>
    <x v="7"/>
    <s v="Plaquettes d'ébauches carrées"/>
    <s v="250425"/>
    <s v="CHANDAR ABDER"/>
    <n v="10"/>
    <x v="2"/>
    <x v="4"/>
    <s v="PLAQUETTES"/>
    <s v="302x26 RPI"/>
    <n v="71.2"/>
  </r>
  <r>
    <d v="2025-12-13T19:34:47"/>
    <x v="7"/>
    <s v="Plaquettes d'ébauches carrées"/>
    <s v="U080365"/>
    <s v="ALAVOINE SAMUEL"/>
    <n v="10"/>
    <x v="3"/>
    <x v="2"/>
    <s v="PLAQUETTES"/>
    <s v="330x28 RPE KO"/>
    <n v="71.2"/>
  </r>
  <r>
    <d v="2025-12-13T19:35:01"/>
    <x v="7"/>
    <s v="Plaquettes d'ébauches carrées"/>
    <s v="U080365"/>
    <s v="ALAVOINE SAMUEL"/>
    <n v="10"/>
    <x v="0"/>
    <x v="3"/>
    <s v="PLAQUETTES"/>
    <s v="356x26 RPI"/>
    <n v="71.2"/>
  </r>
  <r>
    <d v="2025-12-14T17:06:13"/>
    <x v="7"/>
    <s v="Plaquettes d'ébauches carrées"/>
    <s v="DELIAT C"/>
    <s v="DELIAT CHRISTOPHE"/>
    <n v="10"/>
    <x v="2"/>
    <x v="3"/>
    <s v="PLAQUETTES"/>
    <s v="302x26 RPI"/>
    <n v="71.2"/>
  </r>
  <r>
    <d v="2025-12-15T12:18:37"/>
    <x v="7"/>
    <s v="Plaquettes d'ébauches carrées"/>
    <s v="210325"/>
    <s v="DAUTUN ALLAN"/>
    <n v="10"/>
    <x v="2"/>
    <x v="2"/>
    <s v="PLAQUETTES"/>
    <s v="302x26 RPI"/>
    <n v="71.2"/>
  </r>
  <r>
    <d v="2025-12-15T12:19:08"/>
    <x v="7"/>
    <s v="Plaquettes d'ébauches carrées"/>
    <s v="210325"/>
    <s v="DAUTUN ALLAN"/>
    <n v="10"/>
    <x v="2"/>
    <x v="4"/>
    <s v="PLAQUETTES"/>
    <s v="302x26 RPI"/>
    <n v="71.2"/>
  </r>
  <r>
    <d v="2025-12-16T12:58:56"/>
    <x v="7"/>
    <s v="Plaquettes d'ébauches carrées"/>
    <s v="140325"/>
    <s v="BOUCLIER JONATHAN"/>
    <n v="10"/>
    <x v="2"/>
    <x v="2"/>
    <s v="PLAQUETTES"/>
    <s v="302x26 RPI"/>
    <n v="71.2"/>
  </r>
  <r>
    <d v="2025-12-16T12:59:16"/>
    <x v="7"/>
    <s v="Plaquettes d'ébauches carrées"/>
    <s v="140325"/>
    <s v="BOUCLIER JONATHAN"/>
    <n v="10"/>
    <x v="2"/>
    <x v="2"/>
    <s v="PLAQUETTES"/>
    <s v="302x26 RPI"/>
    <n v="71.2"/>
  </r>
  <r>
    <d v="2025-12-16T13:11:46"/>
    <x v="7"/>
    <s v="Plaquettes d'ébauches carrées"/>
    <s v="u636817"/>
    <s v="MOCQUEREAU LYDIE"/>
    <n v="10"/>
    <x v="2"/>
    <x v="3"/>
    <s v="PLAQUETTES"/>
    <s v="302x26 RPI"/>
    <n v="71.2"/>
  </r>
  <r>
    <d v="2025-12-16T13:12:32"/>
    <x v="7"/>
    <s v="Plaquettes d'ébauches carrées"/>
    <s v="u636817"/>
    <s v="MOCQUEREAU LYDIE"/>
    <n v="10"/>
    <x v="2"/>
    <x v="3"/>
    <s v="PLAQUETTES"/>
    <s v="302x26 RPI"/>
    <n v="71.2"/>
  </r>
  <r>
    <d v="2025-12-16T23:50:38"/>
    <x v="7"/>
    <s v="Plaquettes d'ébauches carrées"/>
    <s v="250425"/>
    <s v="CHANDAR ABDER"/>
    <n v="10"/>
    <x v="2"/>
    <x v="4"/>
    <s v="PLAQUETTES"/>
    <s v="302x26 RPI"/>
    <n v="71.2"/>
  </r>
  <r>
    <d v="2025-12-18T08:39:03"/>
    <x v="7"/>
    <s v="Plaquettes d'ébauches carrées"/>
    <s v="045F69CAA77080"/>
    <s v="TEIXEIRA FLORIAN"/>
    <n v="10"/>
    <x v="2"/>
    <x v="3"/>
    <s v="PLAQUETTES"/>
    <s v="302x26 RPI"/>
    <n v="71.2"/>
  </r>
  <r>
    <d v="2025-12-18T11:17:52"/>
    <x v="7"/>
    <s v="Plaquettes d'ébauches carrées"/>
    <s v="210325"/>
    <s v="DAUTUN ALLAN"/>
    <n v="10"/>
    <x v="2"/>
    <x v="4"/>
    <s v="PLAQUETTES"/>
    <s v="302x26 RPI"/>
    <n v="71.2"/>
  </r>
  <r>
    <d v="2025-12-18T19:41:55"/>
    <x v="7"/>
    <s v="Plaquettes d'ébauches carrées"/>
    <s v="SE08251"/>
    <s v="FAYET AYMERIC"/>
    <n v="10"/>
    <x v="1"/>
    <x v="3"/>
    <s v="PLAQUETTES"/>
    <s v="356x26 RPI"/>
    <n v="71.2"/>
  </r>
  <r>
    <d v="2025-12-19T13:43:41"/>
    <x v="7"/>
    <s v="Plaquettes d'ébauches carrées"/>
    <s v="040725"/>
    <s v="BARGEOT LUCAS"/>
    <n v="10"/>
    <x v="3"/>
    <x v="2"/>
    <s v="PLAQUETTES"/>
    <s v="330x28 RPE KO"/>
    <n v="71.2"/>
  </r>
  <r>
    <d v="2025-12-20T00:32:09"/>
    <x v="7"/>
    <s v="Plaquettes d'ébauches carrées"/>
    <s v="250425"/>
    <s v="CHANDAR ABDER"/>
    <n v="10"/>
    <x v="2"/>
    <x v="4"/>
    <s v="PLAQUETTES"/>
    <s v="302x26 RPI"/>
    <n v="71.2"/>
  </r>
  <r>
    <d v="2025-12-22T05:37:44"/>
    <x v="7"/>
    <s v="Plaquettes d'ébauches carrées"/>
    <s v="SE08251"/>
    <s v="FAYET AYMERIC"/>
    <n v="10"/>
    <x v="1"/>
    <x v="3"/>
    <s v="PLAQUETTES"/>
    <s v="356x26 RPI"/>
    <n v="71.2"/>
  </r>
  <r>
    <d v="2025-12-22T21:35:44"/>
    <x v="7"/>
    <s v="Plaquettes d'ébauches carrées"/>
    <s v="250425"/>
    <s v="CHANDAR ABDER"/>
    <n v="10"/>
    <x v="2"/>
    <x v="4"/>
    <s v="PLAQUETTES"/>
    <s v="302x26 RPI"/>
    <n v="71.2"/>
  </r>
  <r>
    <d v="2025-01-02T14:36:00"/>
    <x v="8"/>
    <s v="Plaquettes d'ébauches rhombiques"/>
    <s v="101224"/>
    <s v="CHAZEAU KYLIAN"/>
    <n v="20"/>
    <x v="3"/>
    <x v="2"/>
    <s v="PLAQUETTES"/>
    <s v="290x12"/>
    <n v="140"/>
  </r>
  <r>
    <d v="2025-01-02T16:05:39"/>
    <x v="8"/>
    <s v="Plaquettes d'ébauches rhombiques"/>
    <s v="101123"/>
    <s v="BRUNET ANDREA"/>
    <n v="10"/>
    <x v="2"/>
    <x v="4"/>
    <s v="PLAQUETTES"/>
    <s v="302x26 RPI"/>
    <n v="70"/>
  </r>
  <r>
    <d v="2025-01-02T16:42:32"/>
    <x v="8"/>
    <s v="Plaquettes d'ébauches rhombiques"/>
    <s v="130124"/>
    <s v="MOHAMED ILDIRAY"/>
    <n v="10"/>
    <x v="1"/>
    <x v="2"/>
    <s v="PLAQUETTES"/>
    <s v="356x26 RPI"/>
    <n v="70"/>
  </r>
  <r>
    <d v="2025-01-02T16:42:56"/>
    <x v="8"/>
    <s v="Plaquettes d'ébauches rhombiques"/>
    <s v="130124"/>
    <s v="MOHAMED ILDIRAY"/>
    <n v="10"/>
    <x v="1"/>
    <x v="2"/>
    <s v="PLAQUETTES"/>
    <s v="356x26 RPI"/>
    <n v="70"/>
  </r>
  <r>
    <d v="2025-01-03T17:11:14"/>
    <x v="8"/>
    <s v="Plaquettes d'ébauches rhombiques"/>
    <s v="101224"/>
    <s v="CHAZEAU KYLIAN"/>
    <n v="10"/>
    <x v="3"/>
    <x v="2"/>
    <s v="PLAQUETTES"/>
    <s v="290x12"/>
    <n v="70"/>
  </r>
  <r>
    <d v="2025-01-04T06:50:32"/>
    <x v="8"/>
    <s v="Plaquettes d'ébauches rhombiques"/>
    <s v="U080365"/>
    <s v="ALAVOINE SAMUEL"/>
    <n v="20"/>
    <x v="2"/>
    <x v="2"/>
    <s v="PLAQUETTES"/>
    <s v="283x26 RPI"/>
    <n v="140"/>
  </r>
  <r>
    <d v="2025-01-05T19:56:12"/>
    <x v="8"/>
    <s v="Plaquettes d'ébauches rhombiques"/>
    <s v="U080365"/>
    <s v="ALAVOINE SAMUEL"/>
    <n v="20"/>
    <x v="3"/>
    <x v="2"/>
    <s v="PLAQUETTES"/>
    <s v="290x12"/>
    <n v="140"/>
  </r>
  <r>
    <d v="2025-01-05T19:56:34"/>
    <x v="8"/>
    <s v="Plaquettes d'ébauches rhombiques"/>
    <s v="U080365"/>
    <s v="ALAVOINE SAMUEL"/>
    <n v="20"/>
    <x v="0"/>
    <x v="2"/>
    <s v="PLAQUETTES"/>
    <s v="290x12"/>
    <n v="140"/>
  </r>
  <r>
    <d v="2025-01-06T19:56:01"/>
    <x v="8"/>
    <s v="Plaquettes d'ébauches rhombiques"/>
    <s v="SE08251"/>
    <s v="FAYET AYMERIC"/>
    <n v="20"/>
    <x v="0"/>
    <x v="2"/>
    <s v="PLAQUETTES"/>
    <s v="290x12"/>
    <n v="140"/>
  </r>
  <r>
    <d v="2025-01-07T03:41:02"/>
    <x v="8"/>
    <s v="Plaquettes d'ébauches rhombiques"/>
    <s v="u636817"/>
    <s v="MOCQUEREAU LYDIE"/>
    <n v="10"/>
    <x v="2"/>
    <x v="2"/>
    <s v="PLAQUETTES"/>
    <s v="302x26 RPI"/>
    <n v="70"/>
  </r>
  <r>
    <d v="2025-01-07T14:06:17"/>
    <x v="8"/>
    <s v="Plaquettes d'ébauches rhombiques"/>
    <s v="SE08251"/>
    <s v="FAYET AYMERIC"/>
    <n v="10"/>
    <x v="0"/>
    <x v="2"/>
    <s v="PLAQUETTES"/>
    <s v="290x12"/>
    <n v="70"/>
  </r>
  <r>
    <d v="2025-01-08T06:30:16"/>
    <x v="8"/>
    <s v="Plaquettes d'ébauches rhombiques"/>
    <s v="101224"/>
    <s v="CHAZEAU KYLIAN"/>
    <n v="20"/>
    <x v="0"/>
    <x v="2"/>
    <s v="PLAQUETTES"/>
    <s v="290x12"/>
    <n v="140"/>
  </r>
  <r>
    <d v="2025-01-08T14:59:54"/>
    <x v="8"/>
    <s v="Plaquettes d'ébauches rhombiques"/>
    <s v="SE08251"/>
    <s v="FAYET AYMERIC"/>
    <n v="10"/>
    <x v="0"/>
    <x v="3"/>
    <s v="PLAQUETTES"/>
    <s v="290x12"/>
    <n v="70"/>
  </r>
  <r>
    <d v="2025-01-09T07:32:54"/>
    <x v="8"/>
    <s v="Plaquettes d'ébauches rhombiques"/>
    <s v="101224"/>
    <s v="CHAZEAU KYLIAN"/>
    <n v="20"/>
    <x v="0"/>
    <x v="2"/>
    <s v="PLAQUETTES"/>
    <s v="330x14"/>
    <n v="140"/>
  </r>
  <r>
    <d v="2025-01-09T13:35:15"/>
    <x v="8"/>
    <s v="Plaquettes d'ébauches rhombiques"/>
    <s v="SE08251"/>
    <s v="FAYET AYMERIC"/>
    <n v="10"/>
    <x v="0"/>
    <x v="2"/>
    <s v="PLAQUETTES"/>
    <s v="290x12"/>
    <n v="70"/>
  </r>
  <r>
    <d v="2025-01-09T21:16:33"/>
    <x v="8"/>
    <s v="Plaquettes d'ébauches rhombiques"/>
    <s v="SD75051"/>
    <s v="COMBALUZIER LUCAS"/>
    <n v="10"/>
    <x v="1"/>
    <x v="2"/>
    <s v="PLAQUETTES"/>
    <s v="356x26 RPI"/>
    <n v="70"/>
  </r>
  <r>
    <d v="2025-01-10T05:34:09"/>
    <x v="8"/>
    <s v="Plaquettes d'ébauches rhombiques"/>
    <s v="U109136"/>
    <s v="WIPLIE FREDERIC"/>
    <n v="20"/>
    <x v="0"/>
    <x v="3"/>
    <s v="PLAQUETTES"/>
    <s v="290x12"/>
    <n v="140"/>
  </r>
  <r>
    <d v="2025-01-10T07:09:45"/>
    <x v="8"/>
    <s v="Plaquettes d'ébauches rhombiques"/>
    <s v="U080365"/>
    <s v="ALAVOINE SAMUEL"/>
    <n v="30"/>
    <x v="1"/>
    <x v="2"/>
    <s v="PLAQUETTES"/>
    <s v="356x26 RPI"/>
    <n v="210"/>
  </r>
  <r>
    <d v="2025-01-10T14:00:09"/>
    <x v="8"/>
    <s v="Plaquettes d'ébauches rhombiques"/>
    <s v="SE08251"/>
    <s v="FAYET AYMERIC"/>
    <n v="10"/>
    <x v="0"/>
    <x v="3"/>
    <s v="PLAQUETTES"/>
    <s v="330x14"/>
    <n v="70"/>
  </r>
  <r>
    <d v="2025-01-11T04:40:16"/>
    <x v="8"/>
    <s v="Plaquettes d'ébauches rhombiques"/>
    <s v="u636817"/>
    <s v="MOCQUEREAU LYDIE"/>
    <n v="10"/>
    <x v="2"/>
    <x v="2"/>
    <s v="PLAQUETTES"/>
    <s v="302x26 RPI"/>
    <n v="70"/>
  </r>
  <r>
    <d v="2025-01-11T10:19:06"/>
    <x v="8"/>
    <s v="Plaquettes d'ébauches rhombiques"/>
    <s v="U109136"/>
    <s v="WIPLIE FREDERIC"/>
    <n v="20"/>
    <x v="3"/>
    <x v="3"/>
    <s v="PLAQUETTES"/>
    <s v="290x12"/>
    <n v="140"/>
  </r>
  <r>
    <d v="2025-01-12T23:16:42"/>
    <x v="8"/>
    <s v="Plaquettes d'ébauches rhombiques"/>
    <s v="U109136"/>
    <s v="WIPLIE FREDERIC"/>
    <n v="10"/>
    <x v="0"/>
    <x v="3"/>
    <s v="PLAQUETTES"/>
    <s v="290x12"/>
    <n v="70"/>
  </r>
  <r>
    <d v="2025-01-13T15:54:54"/>
    <x v="8"/>
    <s v="Plaquettes d'ébauches rhombiques"/>
    <s v="SD75051"/>
    <s v="COMBALUZIER LUCAS"/>
    <n v="10"/>
    <x v="1"/>
    <x v="2"/>
    <s v="PLAQUETTES"/>
    <s v="304x28 RPE"/>
    <n v="70"/>
  </r>
  <r>
    <d v="2025-01-13T22:34:11"/>
    <x v="8"/>
    <s v="Plaquettes d'ébauches rhombiques"/>
    <s v="130124"/>
    <s v="MOHAMED ILDIRAY"/>
    <n v="10"/>
    <x v="1"/>
    <x v="2"/>
    <s v="PLAQUETTES"/>
    <s v="304x28 RPE"/>
    <n v="70"/>
  </r>
  <r>
    <d v="2025-01-14T04:04:13"/>
    <x v="8"/>
    <s v="Plaquettes d'ébauches rhombiques"/>
    <s v="101224"/>
    <s v="CHAZEAU KYLIAN"/>
    <n v="20"/>
    <x v="0"/>
    <x v="2"/>
    <s v="PLAQUETTES"/>
    <s v="290x12"/>
    <n v="140"/>
  </r>
  <r>
    <d v="2025-01-14T20:21:57"/>
    <x v="8"/>
    <s v="Plaquettes d'ébauches rhombiques"/>
    <s v="u636817"/>
    <s v="MOCQUEREAU LYDIE"/>
    <n v="20"/>
    <x v="2"/>
    <x v="1"/>
    <s v="PLAQUETTES"/>
    <s v="302x26 RPI"/>
    <n v="140"/>
  </r>
  <r>
    <d v="2025-01-14T21:09:34"/>
    <x v="8"/>
    <s v="Plaquettes d'ébauches rhombiques"/>
    <s v="130124"/>
    <s v="MOHAMED ILDIRAY"/>
    <n v="10"/>
    <x v="1"/>
    <x v="2"/>
    <s v="PLAQUETTES"/>
    <s v="304x28 RPE"/>
    <n v="70"/>
  </r>
  <r>
    <d v="2025-01-15T11:00:28"/>
    <x v="8"/>
    <s v="Plaquettes d'ébauches rhombiques"/>
    <s v="SE08251"/>
    <s v="FAYET AYMERIC"/>
    <n v="10"/>
    <x v="0"/>
    <x v="2"/>
    <s v="PLAQUETTES"/>
    <s v="290x12"/>
    <n v="70"/>
  </r>
  <r>
    <d v="2025-01-15T21:15:56"/>
    <x v="8"/>
    <s v="Plaquettes d'ébauches rhombiques"/>
    <s v="101123"/>
    <s v="BRUNET ANDREA"/>
    <n v="20"/>
    <x v="2"/>
    <x v="4"/>
    <s v="PLAQUETTES"/>
    <s v="302x26 RPI"/>
    <n v="140"/>
  </r>
  <r>
    <d v="2025-01-16T06:59:55"/>
    <x v="8"/>
    <s v="Plaquettes d'ébauches rhombiques"/>
    <s v="SE08251"/>
    <s v="FAYET AYMERIC"/>
    <n v="20"/>
    <x v="0"/>
    <x v="2"/>
    <s v="PLAQUETTES"/>
    <s v="290x12"/>
    <n v="140"/>
  </r>
  <r>
    <d v="2025-01-16T13:59:26"/>
    <x v="8"/>
    <s v="Plaquettes d'ébauches rhombiques"/>
    <s v="SC95213"/>
    <s v="RABET PAULINE"/>
    <n v="10"/>
    <x v="1"/>
    <x v="2"/>
    <s v="PLAQUETTES"/>
    <s v="304x28 RPE"/>
    <n v="70"/>
  </r>
  <r>
    <d v="2025-01-16T13:59:57"/>
    <x v="8"/>
    <s v="Plaquettes d'ébauches rhombiques"/>
    <s v="SC95213"/>
    <s v="RABET PAULINE"/>
    <n v="10"/>
    <x v="1"/>
    <x v="3"/>
    <s v="PLAQUETTES"/>
    <s v="304x28 RPE"/>
    <n v="70"/>
  </r>
  <r>
    <d v="2025-01-16T21:04:26"/>
    <x v="8"/>
    <s v="Plaquettes d'ébauches rhombiques"/>
    <s v="130124"/>
    <s v="MOHAMED ILDIRAY"/>
    <n v="10"/>
    <x v="1"/>
    <x v="3"/>
    <s v="PLAQUETTES"/>
    <s v="304x28 RPE"/>
    <n v="70"/>
  </r>
  <r>
    <d v="2025-01-16T23:24:28"/>
    <x v="8"/>
    <s v="Plaquettes d'ébauches rhombiques"/>
    <s v="101224"/>
    <s v="CHAZEAU KYLIAN"/>
    <n v="20"/>
    <x v="3"/>
    <x v="2"/>
    <s v="PLAQUETTES"/>
    <s v="290x12"/>
    <n v="140"/>
  </r>
  <r>
    <d v="2025-01-17T13:18:34"/>
    <x v="8"/>
    <s v="Plaquettes d'ébauches rhombiques"/>
    <s v="SD75051"/>
    <s v="COMBALUZIER LUCAS"/>
    <n v="10"/>
    <x v="0"/>
    <x v="2"/>
    <s v="PLAQUETTES"/>
    <s v="290x12"/>
    <n v="70"/>
  </r>
  <r>
    <d v="2025-01-18T11:25:01"/>
    <x v="8"/>
    <s v="Plaquettes d'ébauches rhombiques"/>
    <s v="U080365"/>
    <s v="ALAVOINE SAMUEL"/>
    <n v="10"/>
    <x v="0"/>
    <x v="2"/>
    <s v="PLAQUETTES"/>
    <s v="290x12"/>
    <n v="70"/>
  </r>
  <r>
    <d v="2025-01-18T11:25:37"/>
    <x v="8"/>
    <s v="Plaquettes d'ébauches rhombiques"/>
    <s v="U080365"/>
    <s v="ALAVOINE SAMUEL"/>
    <n v="10"/>
    <x v="3"/>
    <x v="2"/>
    <s v="PLAQUETTES"/>
    <s v="290x12"/>
    <n v="70"/>
  </r>
  <r>
    <d v="2025-01-19T17:09:15"/>
    <x v="8"/>
    <s v="Plaquettes d'ébauches rhombiques"/>
    <s v="U109136"/>
    <s v="WIPLIE FREDERIC"/>
    <n v="10"/>
    <x v="1"/>
    <x v="3"/>
    <s v="PLAQUETTES"/>
    <s v="304x28 RPE"/>
    <n v="70"/>
  </r>
  <r>
    <d v="2025-01-20T05:12:58"/>
    <x v="8"/>
    <s v="Plaquettes d'ébauches rhombiques"/>
    <s v="SD75051"/>
    <s v="COMBALUZIER LUCAS"/>
    <n v="10"/>
    <x v="1"/>
    <x v="3"/>
    <s v="PLAQUETTES"/>
    <s v="304x28 RPE"/>
    <n v="70"/>
  </r>
  <r>
    <d v="2025-01-20T15:08:51"/>
    <x v="8"/>
    <s v="Plaquettes d'ébauches rhombiques"/>
    <s v="101224"/>
    <s v="CHAZEAU KYLIAN"/>
    <n v="20"/>
    <x v="0"/>
    <x v="2"/>
    <s v="PLAQUETTES"/>
    <s v="290x12"/>
    <n v="140"/>
  </r>
  <r>
    <d v="2025-01-21T05:12:06"/>
    <x v="8"/>
    <s v="Plaquettes d'ébauches rhombiques"/>
    <s v="SD75051"/>
    <s v="COMBALUZIER LUCAS"/>
    <n v="10"/>
    <x v="1"/>
    <x v="2"/>
    <s v="PLAQUETTES"/>
    <s v="304x28 RPE"/>
    <n v="70"/>
  </r>
  <r>
    <d v="2025-01-21T21:53:19"/>
    <x v="8"/>
    <s v="Plaquettes d'ébauches rhombiques"/>
    <s v="SE08251"/>
    <s v="FAYET AYMERIC"/>
    <n v="10"/>
    <x v="0"/>
    <x v="2"/>
    <s v="PLAQUETTES"/>
    <s v="290x12"/>
    <n v="70"/>
  </r>
  <r>
    <d v="2025-01-22T05:29:17"/>
    <x v="8"/>
    <s v="Plaquettes d'ébauches rhombiques"/>
    <s v="SD75051"/>
    <s v="COMBALUZIER LUCAS"/>
    <n v="20"/>
    <x v="1"/>
    <x v="2"/>
    <s v="PLAQUETTES"/>
    <s v="304x28 RPE"/>
    <n v="140"/>
  </r>
  <r>
    <d v="2025-01-22T13:07:57"/>
    <x v="8"/>
    <s v="Plaquettes d'ébauches rhombiques"/>
    <s v="101224"/>
    <s v="CHAZEAU KYLIAN"/>
    <n v="10"/>
    <x v="0"/>
    <x v="2"/>
    <s v="PLAQUETTES"/>
    <s v="290x12"/>
    <n v="70"/>
  </r>
  <r>
    <d v="2025-01-23T05:10:49"/>
    <x v="8"/>
    <s v="Plaquettes d'ébauches rhombiques"/>
    <s v="SD75051"/>
    <s v="COMBALUZIER LUCAS"/>
    <n v="10"/>
    <x v="1"/>
    <x v="2"/>
    <s v="PLAQUETTES"/>
    <s v="304x28 RPE"/>
    <n v="70"/>
  </r>
  <r>
    <d v="2025-01-23T16:11:50"/>
    <x v="8"/>
    <s v="Plaquettes d'ébauches rhombiques"/>
    <s v="101224"/>
    <s v="CHAZEAU KYLIAN"/>
    <n v="20"/>
    <x v="0"/>
    <x v="2"/>
    <s v="PLAQUETTES"/>
    <s v="290x12"/>
    <n v="140"/>
  </r>
  <r>
    <d v="2025-01-23T16:21:53"/>
    <x v="8"/>
    <s v="Plaquettes d'ébauches rhombiques"/>
    <s v="101123"/>
    <s v="BRUNET ANDREA"/>
    <n v="10"/>
    <x v="2"/>
    <x v="4"/>
    <s v="PLAQUETTES"/>
    <s v="302x26 RPI"/>
    <n v="70"/>
  </r>
  <r>
    <d v="2025-01-24T17:18:49"/>
    <x v="8"/>
    <s v="Plaquettes d'ébauches rhombiques"/>
    <s v="101224"/>
    <s v="CHAZEAU KYLIAN"/>
    <n v="20"/>
    <x v="3"/>
    <x v="2"/>
    <s v="PLAQUETTES"/>
    <s v="290x12"/>
    <n v="140"/>
  </r>
  <r>
    <d v="2025-01-25T05:38:45"/>
    <x v="8"/>
    <s v="Plaquettes d'ébauches rhombiques"/>
    <s v="U080365"/>
    <s v="ALAVOINE SAMUEL"/>
    <n v="20"/>
    <x v="3"/>
    <x v="2"/>
    <s v="PLAQUETTES"/>
    <s v="290x12"/>
    <n v="140"/>
  </r>
  <r>
    <d v="2025-01-27T05:19:21"/>
    <x v="8"/>
    <s v="Plaquettes d'ébauches rhombiques"/>
    <s v="130124"/>
    <s v="MOHAMED ILDIRAY"/>
    <n v="10"/>
    <x v="1"/>
    <x v="2"/>
    <s v="PLAQUETTES"/>
    <s v="356x26 RPI"/>
    <n v="70"/>
  </r>
  <r>
    <d v="2025-01-28T00:37:40"/>
    <x v="8"/>
    <s v="Plaquettes d'ébauches rhombiques"/>
    <s v="u636817"/>
    <s v="MOCQUEREAU LYDIE"/>
    <n v="20"/>
    <x v="2"/>
    <x v="2"/>
    <s v="PLAQUETTES"/>
    <s v="302x26 RPI"/>
    <n v="140"/>
  </r>
  <r>
    <d v="2025-01-28T00:39:26"/>
    <x v="8"/>
    <s v="Plaquettes d'ébauches rhombiques"/>
    <s v="u636817"/>
    <s v="MOCQUEREAU LYDIE"/>
    <n v="10"/>
    <x v="2"/>
    <x v="1"/>
    <s v="PLAQUETTES"/>
    <s v="302x26 RPI"/>
    <n v="70"/>
  </r>
  <r>
    <d v="2025-01-28T05:09:59"/>
    <x v="8"/>
    <s v="Plaquettes d'ébauches rhombiques"/>
    <s v="101224"/>
    <s v="CHAZEAU KYLIAN"/>
    <n v="20"/>
    <x v="3"/>
    <x v="2"/>
    <s v="PLAQUETTES"/>
    <s v="290x12"/>
    <n v="140"/>
  </r>
  <r>
    <d v="2025-01-28T19:46:04"/>
    <x v="8"/>
    <s v="Plaquettes d'ébauches rhombiques"/>
    <s v="SE08251"/>
    <s v="FAYET AYMERIC"/>
    <n v="10"/>
    <x v="0"/>
    <x v="2"/>
    <s v="PLAQUETTES"/>
    <s v="290x12"/>
    <n v="70"/>
  </r>
  <r>
    <d v="2025-01-29T05:16:25"/>
    <x v="8"/>
    <s v="Plaquettes d'ébauches rhombiques"/>
    <s v="101123"/>
    <s v="BRUNET ANDREA"/>
    <n v="10"/>
    <x v="2"/>
    <x v="4"/>
    <s v="PLAQUETTES"/>
    <s v="302x26 RPI"/>
    <n v="70"/>
  </r>
  <r>
    <d v="2025-01-29T06:37:39"/>
    <x v="8"/>
    <s v="Plaquettes d'ébauches rhombiques"/>
    <s v="130124"/>
    <s v="MOHAMED ILDIRAY"/>
    <n v="10"/>
    <x v="1"/>
    <x v="2"/>
    <s v="PLAQUETTES"/>
    <s v="356x26 RPI"/>
    <n v="70"/>
  </r>
  <r>
    <d v="2025-01-29T17:15:46"/>
    <x v="8"/>
    <s v="Plaquettes d'ébauches rhombiques"/>
    <s v="SE08251"/>
    <s v="FAYET AYMERIC"/>
    <n v="20"/>
    <x v="3"/>
    <x v="3"/>
    <s v="PLAQUETTES"/>
    <s v="290x12"/>
    <n v="140"/>
  </r>
  <r>
    <d v="2025-01-31T13:51:40"/>
    <x v="8"/>
    <s v="Plaquettes d'ébauches rhombiques"/>
    <s v="3224"/>
    <s v="BIDOT MURIEL"/>
    <n v="20"/>
    <x v="1"/>
    <x v="2"/>
    <s v="PLAQUETTES"/>
    <s v="356x26 RPI"/>
    <n v="140"/>
  </r>
  <r>
    <d v="2025-01-31T13:52:18"/>
    <x v="8"/>
    <s v="Plaquettes d'ébauches rhombiques"/>
    <s v="3224"/>
    <s v="BIDOT MURIEL"/>
    <n v="-20"/>
    <x v="1"/>
    <x v="2"/>
    <s v="PLAQUETTES"/>
    <s v="356x26 RPI"/>
    <n v="-140"/>
  </r>
  <r>
    <d v="2025-01-31T20:15:43"/>
    <x v="8"/>
    <s v="Plaquettes d'ébauches rhombiques"/>
    <s v="SE08251"/>
    <s v="FAYET AYMERIC"/>
    <n v="20"/>
    <x v="0"/>
    <x v="3"/>
    <s v="PLAQUETTES"/>
    <s v="290x12"/>
    <n v="140"/>
  </r>
  <r>
    <d v="2025-02-01T03:45:24"/>
    <x v="8"/>
    <s v="Plaquettes d'ébauches rhombiques"/>
    <s v="u636817"/>
    <s v="MOCQUEREAU LYDIE"/>
    <n v="20"/>
    <x v="2"/>
    <x v="4"/>
    <s v="PLAQUETTES"/>
    <s v="302x26 RPI"/>
    <n v="140"/>
  </r>
  <r>
    <d v="2025-02-03T05:15:17"/>
    <x v="8"/>
    <s v="Plaquettes d'ébauches rhombiques"/>
    <s v="3224"/>
    <s v="BIDOT MURIEL"/>
    <n v="20"/>
    <x v="1"/>
    <x v="2"/>
    <s v="PLAQUETTES"/>
    <s v="356x26 RPI"/>
    <n v="140"/>
  </r>
  <r>
    <d v="2025-02-03T05:49:15"/>
    <x v="8"/>
    <s v="Plaquettes d'ébauches rhombiques"/>
    <s v="3224"/>
    <s v="BIDOT MURIEL"/>
    <n v="20"/>
    <x v="0"/>
    <x v="2"/>
    <s v="PLAQUETTES"/>
    <s v="290x12"/>
    <n v="140"/>
  </r>
  <r>
    <d v="2025-02-03T23:03:40"/>
    <x v="8"/>
    <s v="Plaquettes d'ébauches rhombiques"/>
    <s v="130124"/>
    <s v="MOHAMED ILDIRAY"/>
    <n v="20"/>
    <x v="0"/>
    <x v="2"/>
    <s v="PLAQUETTES"/>
    <s v="330x14"/>
    <n v="140"/>
  </r>
  <r>
    <d v="2025-02-04T00:31:03"/>
    <x v="8"/>
    <s v="Plaquettes d'ébauches rhombiques"/>
    <s v="U037238"/>
    <s v="PRIEUR OLIVIER"/>
    <n v="10"/>
    <x v="2"/>
    <x v="1"/>
    <s v="PLAQUETTES"/>
    <s v="302x26 RPI"/>
    <n v="70"/>
  </r>
  <r>
    <d v="2025-02-04T05:19:13"/>
    <x v="8"/>
    <s v="Plaquettes d'ébauches rhombiques"/>
    <s v="U532976"/>
    <s v="LEFORT XAVIER"/>
    <n v="10"/>
    <x v="2"/>
    <x v="1"/>
    <s v="PLAQUETTES"/>
    <s v="302x26 RPI"/>
    <n v="70"/>
  </r>
  <r>
    <d v="2025-02-04T20:16:35"/>
    <x v="8"/>
    <s v="Plaquettes d'ébauches rhombiques"/>
    <s v="SC95213"/>
    <s v="RABET PAULINE"/>
    <n v="20"/>
    <x v="1"/>
    <x v="2"/>
    <s v="PLAQUETTES"/>
    <s v="356x26 RPI"/>
    <n v="140"/>
  </r>
  <r>
    <d v="2025-02-05T07:52:52"/>
    <x v="8"/>
    <s v="Plaquettes d'ébauches rhombiques"/>
    <s v="SE08251"/>
    <s v="FAYET AYMERIC"/>
    <n v="10"/>
    <x v="0"/>
    <x v="3"/>
    <s v="PLAQUETTES"/>
    <s v="330x14"/>
    <n v="70"/>
  </r>
  <r>
    <d v="2025-02-05T21:25:33"/>
    <x v="8"/>
    <s v="Plaquettes d'ébauches rhombiques"/>
    <s v="101224"/>
    <s v="CHAZEAU KYLIAN"/>
    <n v="20"/>
    <x v="0"/>
    <x v="2"/>
    <s v="PLAQUETTES"/>
    <s v="290x12"/>
    <n v="140"/>
  </r>
  <r>
    <d v="2025-02-06T17:06:17"/>
    <x v="8"/>
    <s v="Plaquettes d'ébauches rhombiques"/>
    <s v="SD75051"/>
    <s v="COMBALUZIER LUCAS"/>
    <n v="10"/>
    <x v="1"/>
    <x v="2"/>
    <s v="PLAQUETTES"/>
    <s v="356x26 RPI"/>
    <n v="70"/>
  </r>
  <r>
    <d v="2025-02-06T22:57:02"/>
    <x v="8"/>
    <s v="Plaquettes d'ébauches rhombiques"/>
    <s v="101224"/>
    <s v="CHAZEAU KYLIAN"/>
    <n v="10"/>
    <x v="3"/>
    <x v="2"/>
    <s v="PLAQUETTES"/>
    <s v="290x12"/>
    <n v="70"/>
  </r>
  <r>
    <d v="2025-02-07T07:15:57"/>
    <x v="8"/>
    <s v="Plaquettes d'ébauches rhombiques"/>
    <s v="U080365"/>
    <s v="ALAVOINE SAMUEL"/>
    <n v="10"/>
    <x v="1"/>
    <x v="0"/>
    <s v="PLAQUETTES"/>
    <s v="356x26 RPI"/>
    <n v="70"/>
  </r>
  <r>
    <d v="2025-02-07T13:23:42"/>
    <x v="8"/>
    <s v="Plaquettes d'ébauches rhombiques"/>
    <s v="7236310"/>
    <s v="BRANDALY JEREMY"/>
    <n v="20"/>
    <x v="0"/>
    <x v="3"/>
    <s v="PLAQUETTES"/>
    <s v="290x12"/>
    <n v="140"/>
  </r>
  <r>
    <d v="2025-02-07T13:39:24"/>
    <x v="8"/>
    <s v="Plaquettes d'ébauches rhombiques"/>
    <s v="SD75051"/>
    <s v="COMBALUZIER LUCAS"/>
    <n v="10"/>
    <x v="1"/>
    <x v="2"/>
    <s v="PLAQUETTES"/>
    <s v="356x26 RPI"/>
    <n v="70"/>
  </r>
  <r>
    <d v="2025-02-08T07:03:39"/>
    <x v="8"/>
    <s v="Plaquettes d'ébauches rhombiques"/>
    <s v="U109136"/>
    <s v="WIPLIE FREDERIC"/>
    <n v="20"/>
    <x v="0"/>
    <x v="3"/>
    <s v="PLAQUETTES"/>
    <s v="290x12"/>
    <n v="140"/>
  </r>
  <r>
    <d v="2025-02-10T10:42:08"/>
    <x v="8"/>
    <s v="Plaquettes d'ébauches rhombiques"/>
    <s v="7236310"/>
    <s v="BRANDALY JEREMY"/>
    <n v="20"/>
    <x v="0"/>
    <x v="3"/>
    <s v="PLAQUETTES"/>
    <s v="290x12"/>
    <n v="140"/>
  </r>
  <r>
    <d v="2025-02-10T14:30:52"/>
    <x v="8"/>
    <s v="Plaquettes d'ébauches rhombiques"/>
    <s v="130124"/>
    <s v="MOHAMED ILDIRAY"/>
    <n v="10"/>
    <x v="1"/>
    <x v="2"/>
    <s v="PLAQUETTES"/>
    <s v="356x26 RPI"/>
    <n v="70"/>
  </r>
  <r>
    <d v="2025-02-10T18:28:12"/>
    <x v="8"/>
    <s v="Plaquettes d'ébauches rhombiques"/>
    <s v="130124"/>
    <s v="MOHAMED ILDIRAY"/>
    <n v="10"/>
    <x v="1"/>
    <x v="3"/>
    <s v="PLAQUETTES"/>
    <s v="356x26 RPI"/>
    <n v="70"/>
  </r>
  <r>
    <d v="2025-02-10T22:55:26"/>
    <x v="8"/>
    <s v="Plaquettes d'ébauches rhombiques"/>
    <s v="SE08251"/>
    <s v="FAYET AYMERIC"/>
    <n v="20"/>
    <x v="3"/>
    <x v="2"/>
    <s v="PLAQUETTES"/>
    <s v="290x12"/>
    <n v="140"/>
  </r>
  <r>
    <d v="2025-02-11T05:20:52"/>
    <x v="8"/>
    <s v="Plaquettes d'ébauches rhombiques"/>
    <s v="SD75051"/>
    <s v="COMBALUZIER LUCAS"/>
    <n v="10"/>
    <x v="1"/>
    <x v="2"/>
    <s v="PLAQUETTES"/>
    <s v="356x26 RPI"/>
    <n v="70"/>
  </r>
  <r>
    <d v="2025-02-11T05:21:22"/>
    <x v="8"/>
    <s v="Plaquettes d'ébauches rhombiques"/>
    <s v="SD75051"/>
    <s v="COMBALUZIER LUCAS"/>
    <n v="10"/>
    <x v="1"/>
    <x v="2"/>
    <s v="PLAQUETTES"/>
    <s v="356x26 RPI"/>
    <n v="70"/>
  </r>
  <r>
    <d v="2025-02-11T06:25:53"/>
    <x v="8"/>
    <s v="Plaquettes d'ébauches rhombiques"/>
    <s v="140325"/>
    <s v="BOUCLIER JONATHAN"/>
    <n v="10"/>
    <x v="2"/>
    <x v="2"/>
    <s v="PLAQUETTES"/>
    <s v="302x26 RPI"/>
    <n v="70"/>
  </r>
  <r>
    <d v="2025-02-11T13:28:12"/>
    <x v="8"/>
    <s v="Plaquettes d'ébauches rhombiques"/>
    <s v="U037238"/>
    <s v="PRIEUR OLIVIER"/>
    <n v="10"/>
    <x v="2"/>
    <x v="1"/>
    <s v="PLAQUETTES"/>
    <s v="302x26 RPI"/>
    <n v="70"/>
  </r>
  <r>
    <d v="2025-02-12T04:25:44"/>
    <x v="8"/>
    <s v="Plaquettes d'ébauches rhombiques"/>
    <s v="SE08251"/>
    <s v="FAYET AYMERIC"/>
    <n v="10"/>
    <x v="0"/>
    <x v="2"/>
    <s v="PLAQUETTES"/>
    <s v="290x12"/>
    <n v="70"/>
  </r>
  <r>
    <d v="2025-02-12T04:34:23"/>
    <x v="8"/>
    <s v="Plaquettes d'ébauches rhombiques"/>
    <s v="SE08251"/>
    <s v="FAYET AYMERIC"/>
    <n v="10"/>
    <x v="3"/>
    <x v="2"/>
    <s v="PLAQUETTES"/>
    <s v="290x12"/>
    <n v="70"/>
  </r>
  <r>
    <d v="2025-02-12T14:35:35"/>
    <x v="8"/>
    <s v="Plaquettes d'ébauches rhombiques"/>
    <s v="1234SECOURS"/>
    <s v="SECOURS"/>
    <n v="10"/>
    <x v="1"/>
    <x v="2"/>
    <s v="PLAQUETTES"/>
    <s v="302x26 RPI"/>
    <n v="70"/>
  </r>
  <r>
    <d v="2025-02-12T14:35:52"/>
    <x v="8"/>
    <s v="Plaquettes d'ébauches rhombiques"/>
    <s v="1234SECOURS"/>
    <s v="SECOURS"/>
    <n v="-10"/>
    <x v="1"/>
    <x v="2"/>
    <s v="PLAQUETTES"/>
    <s v="302x26 RPI"/>
    <n v="-70"/>
  </r>
  <r>
    <d v="2025-02-13T08:22:44"/>
    <x v="8"/>
    <s v="Plaquettes d'ébauches rhombiques"/>
    <s v="SD75051"/>
    <s v="COMBALUZIER LUCAS"/>
    <n v="10"/>
    <x v="1"/>
    <x v="2"/>
    <s v="PLAQUETTES"/>
    <s v="356x26 RPI"/>
    <n v="70"/>
  </r>
  <r>
    <d v="2025-02-13T08:40:52"/>
    <x v="8"/>
    <s v="Plaquettes d'ébauches rhombiques"/>
    <s v="7236310"/>
    <s v="BRANDALY JEREMY"/>
    <n v="10"/>
    <x v="0"/>
    <x v="3"/>
    <s v="PLAQUETTES"/>
    <s v="330x14"/>
    <n v="70"/>
  </r>
  <r>
    <d v="2025-02-13T22:29:13"/>
    <x v="8"/>
    <s v="Plaquettes d'ébauches rhombiques"/>
    <s v="SE08251"/>
    <s v="FAYET AYMERIC"/>
    <n v="10"/>
    <x v="0"/>
    <x v="2"/>
    <s v="PLAQUETTES"/>
    <s v="330x14"/>
    <n v="70"/>
  </r>
  <r>
    <d v="2025-02-13T22:29:36"/>
    <x v="8"/>
    <s v="Plaquettes d'ébauches rhombiques"/>
    <s v="SE08251"/>
    <s v="FAYET AYMERIC"/>
    <n v="10"/>
    <x v="3"/>
    <x v="2"/>
    <s v="PLAQUETTES"/>
    <s v="290x12"/>
    <n v="70"/>
  </r>
  <r>
    <d v="2025-02-14T19:40:43"/>
    <x v="8"/>
    <s v="Plaquettes d'ébauches rhombiques"/>
    <s v="101123"/>
    <s v="BRUNET ANDREA"/>
    <n v="10"/>
    <x v="2"/>
    <x v="2"/>
    <s v="PLAQUETTES"/>
    <s v="302x26 RPI"/>
    <n v="70"/>
  </r>
  <r>
    <d v="2025-02-14T19:41:50"/>
    <x v="8"/>
    <s v="Plaquettes d'ébauches rhombiques"/>
    <s v="101123"/>
    <s v="BRUNET ANDREA"/>
    <n v="10"/>
    <x v="2"/>
    <x v="4"/>
    <s v="PLAQUETTES"/>
    <s v="302x26 RPI"/>
    <n v="70"/>
  </r>
  <r>
    <d v="2025-02-15T05:35:45"/>
    <x v="8"/>
    <s v="Plaquettes d'ébauches rhombiques"/>
    <s v="U080365"/>
    <s v="ALAVOINE SAMUEL"/>
    <n v="10"/>
    <x v="3"/>
    <x v="3"/>
    <s v="PLAQUETTES"/>
    <s v="290x12"/>
    <n v="70"/>
  </r>
  <r>
    <d v="2025-02-15T05:36:06"/>
    <x v="8"/>
    <s v="Plaquettes d'ébauches rhombiques"/>
    <s v="U080365"/>
    <s v="ALAVOINE SAMUEL"/>
    <n v="10"/>
    <x v="0"/>
    <x v="3"/>
    <s v="PLAQUETTES"/>
    <s v="330x14"/>
    <n v="70"/>
  </r>
  <r>
    <d v="2025-02-16T20:34:54"/>
    <x v="8"/>
    <s v="Plaquettes d'ébauches rhombiques"/>
    <s v="U109136"/>
    <s v="WIPLIE FREDERIC"/>
    <n v="10"/>
    <x v="1"/>
    <x v="2"/>
    <s v="PLAQUETTES"/>
    <s v="304x28 RPE"/>
    <n v="70"/>
  </r>
  <r>
    <d v="2025-02-16T23:03:18"/>
    <x v="8"/>
    <s v="Plaquettes d'ébauches rhombiques"/>
    <s v="U080365"/>
    <s v="ALAVOINE SAMUEL"/>
    <n v="10"/>
    <x v="0"/>
    <x v="3"/>
    <s v="PLAQUETTES"/>
    <s v="330x14"/>
    <n v="70"/>
  </r>
  <r>
    <d v="2025-02-17T05:09:38"/>
    <x v="8"/>
    <s v="Plaquettes d'ébauches rhombiques"/>
    <s v="100225"/>
    <s v="PRUNEAU WILLIAM"/>
    <n v="10"/>
    <x v="1"/>
    <x v="3"/>
    <s v="PLAQUETTES"/>
    <s v="304x28 RPE"/>
    <n v="70"/>
  </r>
  <r>
    <d v="2025-02-17T05:12:52"/>
    <x v="8"/>
    <s v="Plaquettes d'ébauches rhombiques"/>
    <s v="130124"/>
    <s v="MOHAMED ILDIRAY"/>
    <n v="10"/>
    <x v="1"/>
    <x v="2"/>
    <s v="PLAQUETTES"/>
    <s v="304x28 RPE"/>
    <n v="70"/>
  </r>
  <r>
    <d v="2025-02-17T10:16:46"/>
    <x v="8"/>
    <s v="Plaquettes d'ébauches rhombiques"/>
    <s v="101224"/>
    <s v="CHAZEAU KYLIAN"/>
    <n v="10"/>
    <x v="0"/>
    <x v="2"/>
    <s v="PLAQUETTES"/>
    <s v="290x12"/>
    <n v="70"/>
  </r>
  <r>
    <d v="2025-02-17T10:17:00"/>
    <x v="8"/>
    <s v="Plaquettes d'ébauches rhombiques"/>
    <s v="101224"/>
    <s v="CHAZEAU KYLIAN"/>
    <n v="10"/>
    <x v="0"/>
    <x v="2"/>
    <s v="PLAQUETTES"/>
    <s v="290x12"/>
    <n v="70"/>
  </r>
  <r>
    <d v="2025-02-17T21:14:44"/>
    <x v="8"/>
    <s v="Plaquettes d'ébauches rhombiques"/>
    <s v="SD75051"/>
    <s v="COMBALUZIER LUCAS"/>
    <n v="10"/>
    <x v="1"/>
    <x v="3"/>
    <s v="PLAQUETTES"/>
    <s v="304x28 RPE"/>
    <n v="70"/>
  </r>
  <r>
    <d v="2025-02-18T02:53:17"/>
    <x v="8"/>
    <s v="Plaquettes d'ébauches rhombiques"/>
    <s v="140325"/>
    <s v="BOUCLIER JONATHAN"/>
    <n v="10"/>
    <x v="2"/>
    <x v="2"/>
    <s v="PLAQUETTES"/>
    <s v="302x26 RPI"/>
    <n v="70"/>
  </r>
  <r>
    <d v="2025-02-18T03:12:59"/>
    <x v="8"/>
    <s v="Plaquettes d'ébauches rhombiques"/>
    <s v="7236310"/>
    <s v="BRANDALY JEREMY"/>
    <n v="10"/>
    <x v="0"/>
    <x v="3"/>
    <s v="PLAQUETTES"/>
    <s v="330x14"/>
    <n v="70"/>
  </r>
  <r>
    <d v="2025-02-18T05:13:38"/>
    <x v="8"/>
    <s v="Plaquettes d'ébauches rhombiques"/>
    <s v="101224"/>
    <s v="CHAZEAU KYLIAN"/>
    <n v="10"/>
    <x v="0"/>
    <x v="2"/>
    <s v="PLAQUETTES"/>
    <s v="330x14"/>
    <n v="70"/>
  </r>
  <r>
    <d v="2025-02-18T05:14:00"/>
    <x v="8"/>
    <s v="Plaquettes d'ébauches rhombiques"/>
    <s v="101224"/>
    <s v="CHAZEAU KYLIAN"/>
    <n v="10"/>
    <x v="3"/>
    <x v="2"/>
    <s v="PLAQUETTES"/>
    <s v="290x12"/>
    <n v="70"/>
  </r>
  <r>
    <d v="2025-02-18T14:19:29"/>
    <x v="8"/>
    <s v="Plaquettes d'ébauches rhombiques"/>
    <s v="3224"/>
    <s v="BIDOT MURIEL"/>
    <n v="10"/>
    <x v="1"/>
    <x v="2"/>
    <s v="PLAQUETTES"/>
    <s v="304x28 RPE"/>
    <n v="70"/>
  </r>
  <r>
    <d v="2025-02-18T14:19:50"/>
    <x v="8"/>
    <s v="Plaquettes d'ébauches rhombiques"/>
    <s v="3224"/>
    <s v="BIDOT MURIEL"/>
    <n v="10"/>
    <x v="1"/>
    <x v="2"/>
    <s v="PLAQUETTES"/>
    <s v="304x28 RPE"/>
    <n v="70"/>
  </r>
  <r>
    <d v="2025-02-18T23:10:52"/>
    <x v="8"/>
    <s v="Plaquettes d'ébauches rhombiques"/>
    <s v="7236310"/>
    <s v="BRANDALY JEREMY"/>
    <n v="10"/>
    <x v="0"/>
    <x v="3"/>
    <s v="PLAQUETTES"/>
    <s v="330x14"/>
    <n v="70"/>
  </r>
  <r>
    <d v="2025-02-19T08:22:11"/>
    <x v="8"/>
    <s v="Plaquettes d'ébauches rhombiques"/>
    <s v="101224"/>
    <s v="CHAZEAU KYLIAN"/>
    <n v="10"/>
    <x v="0"/>
    <x v="2"/>
    <s v="PLAQUETTES"/>
    <s v="330x14"/>
    <n v="70"/>
  </r>
  <r>
    <d v="2025-02-19T08:23:10"/>
    <x v="8"/>
    <s v="Plaquettes d'ébauches rhombiques"/>
    <s v="101224"/>
    <s v="CHAZEAU KYLIAN"/>
    <n v="10"/>
    <x v="3"/>
    <x v="2"/>
    <s v="PLAQUETTES"/>
    <s v="290x12"/>
    <n v="70"/>
  </r>
  <r>
    <d v="2025-02-19T21:31:40"/>
    <x v="8"/>
    <s v="Plaquettes d'ébauches rhombiques"/>
    <s v="SD75051"/>
    <s v="COMBALUZIER LUCAS"/>
    <n v="10"/>
    <x v="1"/>
    <x v="2"/>
    <s v="PLAQUETTES"/>
    <s v="304x28 RPE"/>
    <n v="70"/>
  </r>
  <r>
    <d v="2025-02-19T21:32:21"/>
    <x v="8"/>
    <s v="Plaquettes d'ébauches rhombiques"/>
    <s v="SD75051"/>
    <s v="COMBALUZIER LUCAS"/>
    <n v="10"/>
    <x v="1"/>
    <x v="3"/>
    <s v="PLAQUETTES"/>
    <s v="304x28 RPE"/>
    <n v="70"/>
  </r>
  <r>
    <d v="2025-02-20T05:09:29"/>
    <x v="8"/>
    <s v="Plaquettes d'ébauches rhombiques"/>
    <s v="101224"/>
    <s v="CHAZEAU KYLIAN"/>
    <n v="10"/>
    <x v="3"/>
    <x v="2"/>
    <s v="PLAQUETTES"/>
    <s v="290x12"/>
    <n v="70"/>
  </r>
  <r>
    <d v="2025-02-20T05:09:48"/>
    <x v="8"/>
    <s v="Plaquettes d'ébauches rhombiques"/>
    <s v="101224"/>
    <s v="CHAZEAU KYLIAN"/>
    <n v="10"/>
    <x v="0"/>
    <x v="2"/>
    <s v="PLAQUETTES"/>
    <s v="330x14"/>
    <n v="70"/>
  </r>
  <r>
    <d v="2025-02-20T19:03:07"/>
    <x v="8"/>
    <s v="Plaquettes d'ébauches rhombiques"/>
    <s v="280225"/>
    <s v="FERNANDES DOS SANTOS REMY"/>
    <n v="10"/>
    <x v="1"/>
    <x v="0"/>
    <s v="PLAQUETTES"/>
    <s v="304x28 RPE"/>
    <n v="70"/>
  </r>
  <r>
    <d v="2025-02-21T14:10:07"/>
    <x v="8"/>
    <s v="Plaquettes d'ébauches rhombiques"/>
    <s v="280225"/>
    <s v="FERNANDES DOS SANTOS REMY"/>
    <n v="10"/>
    <x v="3"/>
    <x v="0"/>
    <s v="PLAQUETTES"/>
    <s v="290x12"/>
    <n v="70"/>
  </r>
  <r>
    <d v="2025-02-21T17:53:22"/>
    <x v="8"/>
    <s v="Plaquettes d'ébauches rhombiques"/>
    <s v="280225"/>
    <s v="FERNANDES DOS SANTOS REMY"/>
    <n v="10"/>
    <x v="0"/>
    <x v="3"/>
    <s v="PLAQUETTES"/>
    <s v="290x12"/>
    <n v="70"/>
  </r>
  <r>
    <d v="2025-02-21T22:32:55"/>
    <x v="8"/>
    <s v="Plaquettes d'ébauches rhombiques"/>
    <s v="SD75051"/>
    <s v="COMBALUZIER LUCAS"/>
    <n v="10"/>
    <x v="1"/>
    <x v="2"/>
    <s v="PLAQUETTES"/>
    <s v="304x28 RPE"/>
    <n v="70"/>
  </r>
  <r>
    <d v="2025-02-21T22:33:18"/>
    <x v="8"/>
    <s v="Plaquettes d'ébauches rhombiques"/>
    <s v="SD75051"/>
    <s v="COMBALUZIER LUCAS"/>
    <n v="10"/>
    <x v="1"/>
    <x v="3"/>
    <s v="PLAQUETTES"/>
    <s v="304x28 RPE"/>
    <n v="70"/>
  </r>
  <r>
    <d v="2025-02-22T05:24:35"/>
    <x v="8"/>
    <s v="Plaquettes d'ébauches rhombiques"/>
    <s v="U109136"/>
    <s v="WIPLIE FREDERIC"/>
    <n v="10"/>
    <x v="0"/>
    <x v="2"/>
    <s v="PLAQUETTES"/>
    <s v="330x14"/>
    <n v="70"/>
  </r>
  <r>
    <d v="2025-02-24T06:17:24"/>
    <x v="8"/>
    <s v="Plaquettes d'ébauches rhombiques"/>
    <s v="280225"/>
    <s v="FERNANDES DOS SANTOS REMY"/>
    <n v="10"/>
    <x v="3"/>
    <x v="3"/>
    <s v="PLAQUETTES"/>
    <s v="330x28 RPE KO"/>
    <n v="70"/>
  </r>
  <r>
    <d v="2025-02-24T06:58:59"/>
    <x v="8"/>
    <s v="Plaquettes d'ébauches rhombiques"/>
    <s v="280225"/>
    <s v="FERNANDES DOS SANTOS REMY"/>
    <n v="10"/>
    <x v="1"/>
    <x v="3"/>
    <s v="PLAQUETTES"/>
    <s v="304x28 RPE"/>
    <n v="70"/>
  </r>
  <r>
    <d v="2025-02-24T13:39:59"/>
    <x v="8"/>
    <s v="Plaquettes d'ébauches rhombiques"/>
    <s v="SD75051"/>
    <s v="COMBALUZIER LUCAS"/>
    <n v="10"/>
    <x v="0"/>
    <x v="2"/>
    <s v="PLAQUETTES"/>
    <s v="330x14"/>
    <n v="70"/>
  </r>
  <r>
    <d v="2025-02-24T13:40:39"/>
    <x v="8"/>
    <s v="Plaquettes d'ébauches rhombiques"/>
    <s v="SD75051"/>
    <s v="COMBALUZIER LUCAS"/>
    <n v="10"/>
    <x v="3"/>
    <x v="2"/>
    <s v="PLAQUETTES"/>
    <s v="290x12"/>
    <n v="70"/>
  </r>
  <r>
    <d v="2025-02-25T04:38:19"/>
    <x v="8"/>
    <s v="Plaquettes d'ébauches rhombiques"/>
    <s v="101224"/>
    <s v="CHAZEAU KYLIAN"/>
    <n v="10"/>
    <x v="0"/>
    <x v="3"/>
    <s v="PLAQUETTES"/>
    <s v="330x14"/>
    <n v="70"/>
  </r>
  <r>
    <d v="2025-02-25T06:14:49"/>
    <x v="8"/>
    <s v="Plaquettes d'ébauches rhombiques"/>
    <s v="280225"/>
    <s v="FERNANDES DOS SANTOS REMY"/>
    <n v="10"/>
    <x v="1"/>
    <x v="3"/>
    <s v="PLAQUETTES"/>
    <s v="304x28 RPE"/>
    <n v="70"/>
  </r>
  <r>
    <d v="2025-02-25T06:26:17"/>
    <x v="8"/>
    <s v="Plaquettes d'ébauches rhombiques"/>
    <s v="SE08251"/>
    <s v="FAYET AYMERIC"/>
    <n v="10"/>
    <x v="3"/>
    <x v="2"/>
    <s v="PLAQUETTES"/>
    <s v="290x12"/>
    <n v="70"/>
  </r>
  <r>
    <d v="2025-02-25T21:15:16"/>
    <x v="8"/>
    <s v="Plaquettes d'ébauches rhombiques"/>
    <s v="101224"/>
    <s v="CHAZEAU KYLIAN"/>
    <n v="10"/>
    <x v="0"/>
    <x v="3"/>
    <s v="PLAQUETTES"/>
    <s v="330x14"/>
    <n v="70"/>
  </r>
  <r>
    <d v="2025-02-25T21:15:42"/>
    <x v="8"/>
    <s v="Plaquettes d'ébauches rhombiques"/>
    <s v="101224"/>
    <s v="CHAZEAU KYLIAN"/>
    <n v="10"/>
    <x v="0"/>
    <x v="3"/>
    <s v="PLAQUETTES"/>
    <s v="330x14"/>
    <n v="70"/>
  </r>
  <r>
    <d v="2025-02-26T05:52:46"/>
    <x v="8"/>
    <s v="Plaquettes d'ébauches rhombiques"/>
    <s v="280225"/>
    <s v="FERNANDES DOS SANTOS REMY"/>
    <n v="10"/>
    <x v="1"/>
    <x v="2"/>
    <s v="PLAQUETTES"/>
    <s v="304x28 RPE"/>
    <n v="70"/>
  </r>
  <r>
    <d v="2025-02-26T14:06:06"/>
    <x v="8"/>
    <s v="Plaquettes d'ébauches rhombiques"/>
    <s v="SD75051"/>
    <s v="COMBALUZIER LUCAS"/>
    <n v="10"/>
    <x v="1"/>
    <x v="3"/>
    <s v="PLAQUETTES"/>
    <s v="304x28 RPE"/>
    <n v="70"/>
  </r>
  <r>
    <d v="2025-02-26T22:14:06"/>
    <x v="8"/>
    <s v="Plaquettes d'ébauches rhombiques"/>
    <s v="101224"/>
    <s v="CHAZEAU KYLIAN"/>
    <n v="10"/>
    <x v="3"/>
    <x v="2"/>
    <s v="PLAQUETTES"/>
    <s v="290x12"/>
    <n v="70"/>
  </r>
  <r>
    <d v="2025-02-27T12:46:24"/>
    <x v="8"/>
    <s v="Plaquettes d'ébauches rhombiques"/>
    <s v="SE08251"/>
    <s v="FAYET AYMERIC"/>
    <n v="10"/>
    <x v="0"/>
    <x v="3"/>
    <s v="PLAQUETTES"/>
    <s v="356x26 RPI"/>
    <n v="70"/>
  </r>
  <r>
    <d v="2025-02-27T13:17:58"/>
    <x v="8"/>
    <s v="Plaquettes d'ébauches rhombiques"/>
    <s v="140325"/>
    <s v="BOUCLIER JONATHAN"/>
    <n v="10"/>
    <x v="2"/>
    <x v="2"/>
    <s v="PLAQUETTES"/>
    <s v="302x26 RPI"/>
    <n v="70"/>
  </r>
  <r>
    <d v="2025-02-28T03:09:00"/>
    <x v="8"/>
    <s v="Plaquettes d'ébauches rhombiques"/>
    <s v="101224"/>
    <s v="CHAZEAU KYLIAN"/>
    <n v="10"/>
    <x v="3"/>
    <x v="2"/>
    <s v="PLAQUETTES"/>
    <s v="290x12"/>
    <n v="70"/>
  </r>
  <r>
    <d v="2025-02-28T03:09:34"/>
    <x v="8"/>
    <s v="Plaquettes d'ébauches rhombiques"/>
    <s v="101224"/>
    <s v="CHAZEAU KYLIAN"/>
    <n v="10"/>
    <x v="0"/>
    <x v="2"/>
    <s v="PLAQUETTES"/>
    <s v="356x26 RPI"/>
    <n v="70"/>
  </r>
  <r>
    <d v="2025-02-28T13:53:45"/>
    <x v="8"/>
    <s v="Plaquettes d'ébauches rhombiques"/>
    <s v="SD75051"/>
    <s v="COMBALUZIER LUCAS"/>
    <n v="10"/>
    <x v="1"/>
    <x v="3"/>
    <s v="PLAQUETTES"/>
    <s v="304x28 RPE"/>
    <n v="70"/>
  </r>
  <r>
    <d v="2025-02-28T21:10:31"/>
    <x v="8"/>
    <s v="Plaquettes d'ébauches rhombiques"/>
    <s v="130124"/>
    <s v="MOHAMED ILDIRAY"/>
    <n v="10"/>
    <x v="1"/>
    <x v="2"/>
    <s v="PLAQUETTES"/>
    <s v="304x28 RPE"/>
    <n v="70"/>
  </r>
  <r>
    <d v="2025-02-28T21:11:25"/>
    <x v="8"/>
    <s v="Plaquettes d'ébauches rhombiques"/>
    <s v="130124"/>
    <s v="MOHAMED ILDIRAY"/>
    <n v="10"/>
    <x v="1"/>
    <x v="3"/>
    <s v="PLAQUETTES"/>
    <s v="304x28 RPE"/>
    <n v="70"/>
  </r>
  <r>
    <d v="2025-03-02T10:58:12"/>
    <x v="8"/>
    <s v="Plaquettes d'ébauches rhombiques"/>
    <s v="SE08251"/>
    <s v="FAYET AYMERIC"/>
    <n v="10"/>
    <x v="0"/>
    <x v="2"/>
    <s v="PLAQUETTES"/>
    <s v="356x26 RPI"/>
    <n v="70"/>
  </r>
  <r>
    <d v="2025-03-02T19:21:29"/>
    <x v="8"/>
    <s v="Plaquettes d'ébauches rhombiques"/>
    <s v="U109136"/>
    <s v="WIPLIE FREDERIC"/>
    <n v="10"/>
    <x v="0"/>
    <x v="3"/>
    <s v="PLAQUETTES"/>
    <s v="290x12"/>
    <n v="70"/>
  </r>
  <r>
    <d v="2025-03-03T06:24:52"/>
    <x v="8"/>
    <s v="Plaquettes d'ébauches rhombiques"/>
    <s v="140325"/>
    <s v="BOUCLIER JONATHAN"/>
    <n v="10"/>
    <x v="2"/>
    <x v="4"/>
    <s v="PLAQUETTES"/>
    <s v="302x26 RPI"/>
    <n v="70"/>
  </r>
  <r>
    <d v="2025-03-03T08:19:23"/>
    <x v="8"/>
    <s v="Plaquettes d'ébauches rhombiques"/>
    <s v="7236310"/>
    <s v="BRANDALY JEREMY"/>
    <n v="10"/>
    <x v="0"/>
    <x v="3"/>
    <s v="PLAQUETTES"/>
    <s v="290x12"/>
    <n v="70"/>
  </r>
  <r>
    <d v="2025-03-03T08:19:51"/>
    <x v="8"/>
    <s v="Plaquettes d'ébauches rhombiques"/>
    <s v="7236310"/>
    <s v="BRANDALY JEREMY"/>
    <n v="10"/>
    <x v="3"/>
    <x v="3"/>
    <s v="PLAQUETTES"/>
    <s v="290x12"/>
    <n v="70"/>
  </r>
  <r>
    <d v="2025-03-03T13:07:49"/>
    <x v="8"/>
    <s v="Plaquettes d'ébauches rhombiques"/>
    <s v="101224"/>
    <s v="CHAZEAU KYLIAN"/>
    <n v="10"/>
    <x v="0"/>
    <x v="3"/>
    <s v="PLAQUETTES"/>
    <s v="356x26 RPI"/>
    <n v="70"/>
  </r>
  <r>
    <d v="2025-03-04T07:20:11"/>
    <x v="8"/>
    <s v="Plaquettes d'ébauches rhombiques"/>
    <s v="130325"/>
    <s v="PAPONNEAU JULIEN"/>
    <n v="10"/>
    <x v="1"/>
    <x v="3"/>
    <s v="PLAQUETTES"/>
    <s v="304x28 RPE"/>
    <n v="70"/>
  </r>
  <r>
    <d v="2025-03-04T13:14:49"/>
    <x v="8"/>
    <s v="Plaquettes d'ébauches rhombiques"/>
    <s v="101123"/>
    <s v="BRUNET ANDREA"/>
    <n v="10"/>
    <x v="2"/>
    <x v="4"/>
    <s v="PLAQUETTES"/>
    <s v="302x26 RPI"/>
    <n v="70"/>
  </r>
  <r>
    <d v="2025-03-04T19:59:11"/>
    <x v="8"/>
    <s v="Plaquettes d'ébauches rhombiques"/>
    <s v="101224"/>
    <s v="CHAZEAU KYLIAN"/>
    <n v="10"/>
    <x v="0"/>
    <x v="2"/>
    <s v="PLAQUETTES"/>
    <s v="356x26 RPI"/>
    <n v="70"/>
  </r>
  <r>
    <d v="2025-03-04T19:59:25"/>
    <x v="8"/>
    <s v="Plaquettes d'ébauches rhombiques"/>
    <s v="101224"/>
    <s v="CHAZEAU KYLIAN"/>
    <n v="10"/>
    <x v="3"/>
    <x v="2"/>
    <s v="PLAQUETTES"/>
    <s v="290x12"/>
    <n v="70"/>
  </r>
  <r>
    <d v="2025-03-05T05:52:54"/>
    <x v="8"/>
    <s v="Plaquettes d'ébauches rhombiques"/>
    <s v="130325"/>
    <s v="PAPONNEAU JULIEN"/>
    <n v="10"/>
    <x v="1"/>
    <x v="3"/>
    <s v="PLAQUETTES"/>
    <s v="304x28 RPE"/>
    <n v="70"/>
  </r>
  <r>
    <d v="2025-03-05T05:54:00"/>
    <x v="8"/>
    <s v="Plaquettes d'ébauches rhombiques"/>
    <s v="140325"/>
    <s v="BOUCLIER JONATHAN"/>
    <n v="10"/>
    <x v="2"/>
    <x v="2"/>
    <s v="PLAQUETTES"/>
    <s v="302x26 RPI"/>
    <n v="70"/>
  </r>
  <r>
    <d v="2025-03-05T05:54:23"/>
    <x v="8"/>
    <s v="Plaquettes d'ébauches rhombiques"/>
    <s v="140325"/>
    <s v="BOUCLIER JONATHAN"/>
    <n v="10"/>
    <x v="2"/>
    <x v="4"/>
    <s v="PLAQUETTES"/>
    <s v="302x26 RPI"/>
    <n v="70"/>
  </r>
  <r>
    <d v="2025-03-05T15:31:00"/>
    <x v="8"/>
    <s v="Plaquettes d'ébauches rhombiques"/>
    <s v="101224"/>
    <s v="CHAZEAU KYLIAN"/>
    <n v="10"/>
    <x v="3"/>
    <x v="2"/>
    <s v="PLAQUETTES"/>
    <s v="290x12"/>
    <n v="70"/>
  </r>
  <r>
    <d v="2025-03-05T15:31:17"/>
    <x v="8"/>
    <s v="Plaquettes d'ébauches rhombiques"/>
    <s v="101224"/>
    <s v="CHAZEAU KYLIAN"/>
    <n v="10"/>
    <x v="0"/>
    <x v="2"/>
    <s v="PLAQUETTES"/>
    <s v="356x26 RPI"/>
    <n v="70"/>
  </r>
  <r>
    <d v="2025-03-06T05:37:47"/>
    <x v="8"/>
    <s v="Plaquettes d'ébauches rhombiques"/>
    <s v="7236310"/>
    <s v="BRANDALY JEREMY"/>
    <n v="10"/>
    <x v="0"/>
    <x v="3"/>
    <s v="PLAQUETTES"/>
    <s v="290x12"/>
    <n v="70"/>
  </r>
  <r>
    <d v="2025-03-06T13:25:23"/>
    <x v="8"/>
    <s v="Plaquettes d'ébauches rhombiques"/>
    <s v="101224"/>
    <s v="CHAZEAU KYLIAN"/>
    <n v="10"/>
    <x v="3"/>
    <x v="2"/>
    <s v="PLAQUETTES"/>
    <s v="290x12"/>
    <n v="70"/>
  </r>
  <r>
    <d v="2025-03-06T13:45:44"/>
    <x v="8"/>
    <s v="Plaquettes d'ébauches rhombiques"/>
    <s v="130124"/>
    <s v="MOHAMED ILDIRAY"/>
    <n v="10"/>
    <x v="1"/>
    <x v="3"/>
    <s v="PLAQUETTES"/>
    <s v="304x28 RPE"/>
    <n v="70"/>
  </r>
  <r>
    <d v="2025-03-07T01:11:28"/>
    <x v="8"/>
    <s v="Plaquettes d'ébauches rhombiques"/>
    <s v="SE08251"/>
    <s v="FAYET AYMERIC"/>
    <n v="10"/>
    <x v="0"/>
    <x v="2"/>
    <s v="PLAQUETTES"/>
    <s v="330x14"/>
    <n v="70"/>
  </r>
  <r>
    <d v="2025-03-07T05:10:42"/>
    <x v="8"/>
    <s v="Plaquettes d'ébauches rhombiques"/>
    <s v="J534699"/>
    <s v="FABIAN CHARTON"/>
    <n v="10"/>
    <x v="2"/>
    <x v="2"/>
    <s v="PLAQUETTES"/>
    <s v="302x26 RPI"/>
    <n v="70"/>
  </r>
  <r>
    <d v="2025-03-07T16:12:41"/>
    <x v="8"/>
    <s v="Plaquettes d'ébauches rhombiques"/>
    <s v="101123"/>
    <s v="BRUNET ANDREA"/>
    <n v="10"/>
    <x v="2"/>
    <x v="2"/>
    <s v="PLAQUETTES"/>
    <s v="302x26 RPI"/>
    <n v="70"/>
  </r>
  <r>
    <d v="2025-03-07T22:33:01"/>
    <x v="8"/>
    <s v="Plaquettes d'ébauches rhombiques"/>
    <s v="SE08251"/>
    <s v="FAYET AYMERIC"/>
    <n v="10"/>
    <x v="0"/>
    <x v="2"/>
    <s v="PLAQUETTES"/>
    <s v="290x12"/>
    <n v="70"/>
  </r>
  <r>
    <d v="2025-03-08T01:25:16"/>
    <x v="8"/>
    <s v="Plaquettes d'ébauches rhombiques"/>
    <s v="280225"/>
    <s v="FERNANDES DOS SANTOS REMY"/>
    <n v="10"/>
    <x v="1"/>
    <x v="3"/>
    <s v="PLAQUETTES"/>
    <s v="304x28 RPE"/>
    <n v="70"/>
  </r>
  <r>
    <d v="2025-03-10T13:25:23"/>
    <x v="8"/>
    <s v="Plaquettes d'ébauches rhombiques"/>
    <s v="SE08251"/>
    <s v="FAYET AYMERIC"/>
    <n v="10"/>
    <x v="0"/>
    <x v="2"/>
    <s v="PLAQUETTES"/>
    <s v="330x14"/>
    <n v="70"/>
  </r>
  <r>
    <d v="2025-03-10T13:26:25"/>
    <x v="8"/>
    <s v="Plaquettes d'ébauches rhombiques"/>
    <s v="SE08251"/>
    <s v="FAYET AYMERIC"/>
    <n v="10"/>
    <x v="3"/>
    <x v="2"/>
    <s v="PLAQUETTES"/>
    <s v="290x12"/>
    <n v="70"/>
  </r>
  <r>
    <d v="2025-03-10T17:14:47"/>
    <x v="8"/>
    <s v="Plaquettes d'ébauches rhombiques"/>
    <s v="280225"/>
    <s v="FERNANDES DOS SANTOS REMY"/>
    <n v="10"/>
    <x v="1"/>
    <x v="3"/>
    <s v="PLAQUETTES"/>
    <s v="304x28 RPE"/>
    <n v="70"/>
  </r>
  <r>
    <d v="2025-03-10T21:33:19"/>
    <x v="8"/>
    <s v="Plaquettes d'ébauches rhombiques"/>
    <s v="140325"/>
    <s v="BOUCLIER JONATHAN"/>
    <n v="10"/>
    <x v="2"/>
    <x v="2"/>
    <s v="PLAQUETTES"/>
    <s v="302x26 RPI"/>
    <n v="70"/>
  </r>
  <r>
    <d v="2025-03-10T21:34:16"/>
    <x v="8"/>
    <s v="Plaquettes d'ébauches rhombiques"/>
    <s v="140325"/>
    <s v="BOUCLIER JONATHAN"/>
    <n v="10"/>
    <x v="2"/>
    <x v="4"/>
    <s v="PLAQUETTES"/>
    <s v="302x26 RPI"/>
    <n v="70"/>
  </r>
  <r>
    <d v="2025-03-11T05:07:42"/>
    <x v="8"/>
    <s v="Plaquettes d'ébauches rhombiques"/>
    <s v="101224"/>
    <s v="CHAZEAU KYLIAN"/>
    <n v="10"/>
    <x v="3"/>
    <x v="2"/>
    <s v="PLAQUETTES"/>
    <s v="290x12"/>
    <n v="70"/>
  </r>
  <r>
    <d v="2025-03-11T05:08:02"/>
    <x v="8"/>
    <s v="Plaquettes d'ébauches rhombiques"/>
    <s v="101224"/>
    <s v="CHAZEAU KYLIAN"/>
    <n v="10"/>
    <x v="0"/>
    <x v="2"/>
    <s v="PLAQUETTES"/>
    <s v="330x14"/>
    <n v="70"/>
  </r>
  <r>
    <d v="2025-03-11T05:19:49"/>
    <x v="8"/>
    <s v="Plaquettes d'ébauches rhombiques"/>
    <s v="130124"/>
    <s v="MOHAMED ILDIRAY"/>
    <n v="10"/>
    <x v="1"/>
    <x v="3"/>
    <s v="PLAQUETTES"/>
    <s v="304x28 RPE"/>
    <n v="70"/>
  </r>
  <r>
    <d v="2025-03-11T18:29:28"/>
    <x v="8"/>
    <s v="Plaquettes d'ébauches rhombiques"/>
    <s v="280225"/>
    <s v="FERNANDES DOS SANTOS REMY"/>
    <n v="10"/>
    <x v="3"/>
    <x v="2"/>
    <s v="PLAQUETTES"/>
    <s v="290x12"/>
    <n v="70"/>
  </r>
  <r>
    <d v="2025-03-12T05:16:01"/>
    <x v="8"/>
    <s v="Plaquettes d'ébauches rhombiques"/>
    <s v="101224"/>
    <s v="CHAZEAU KYLIAN"/>
    <n v="10"/>
    <x v="0"/>
    <x v="3"/>
    <s v="PLAQUETTES"/>
    <s v="330x14"/>
    <n v="70"/>
  </r>
  <r>
    <d v="2025-03-12T13:48:52"/>
    <x v="8"/>
    <s v="Plaquettes d'ébauches rhombiques"/>
    <s v="SE08251"/>
    <s v="FAYET AYMERIC"/>
    <n v="10"/>
    <x v="3"/>
    <x v="2"/>
    <s v="PLAQUETTES"/>
    <s v="290x12"/>
    <n v="70"/>
  </r>
  <r>
    <d v="2025-03-12T14:35:21"/>
    <x v="8"/>
    <s v="Plaquettes d'ébauches rhombiques"/>
    <s v="280225"/>
    <s v="FERNANDES DOS SANTOS REMY"/>
    <n v="10"/>
    <x v="1"/>
    <x v="3"/>
    <s v="PLAQUETTES"/>
    <s v="304x28 RPE"/>
    <n v="70"/>
  </r>
  <r>
    <d v="2025-03-13T07:20:57"/>
    <x v="8"/>
    <s v="Plaquettes d'ébauches rhombiques"/>
    <s v="101123"/>
    <s v="BRUNET ANDREA"/>
    <n v="10"/>
    <x v="2"/>
    <x v="2"/>
    <s v="PLAQUETTES"/>
    <s v="302x26 RPI"/>
    <n v="70"/>
  </r>
  <r>
    <d v="2025-03-13T07:22:01"/>
    <x v="8"/>
    <s v="Plaquettes d'ébauches rhombiques"/>
    <s v="101123"/>
    <s v="BRUNET ANDREA"/>
    <n v="10"/>
    <x v="2"/>
    <x v="4"/>
    <s v="PLAQUETTES"/>
    <s v="302x26 RPI"/>
    <n v="70"/>
  </r>
  <r>
    <d v="2025-03-13T11:44:43"/>
    <x v="8"/>
    <s v="Plaquettes d'ébauches rhombiques"/>
    <s v="101224"/>
    <s v="CHAZEAU KYLIAN"/>
    <n v="10"/>
    <x v="0"/>
    <x v="2"/>
    <s v="PLAQUETTES"/>
    <s v="330x14"/>
    <n v="70"/>
  </r>
  <r>
    <d v="2025-03-13T11:44:59"/>
    <x v="8"/>
    <s v="Plaquettes d'ébauches rhombiques"/>
    <s v="101224"/>
    <s v="CHAZEAU KYLIAN"/>
    <n v="10"/>
    <x v="3"/>
    <x v="2"/>
    <s v="PLAQUETTES"/>
    <s v="290x12"/>
    <n v="70"/>
  </r>
  <r>
    <d v="2025-03-13T23:13:26"/>
    <x v="8"/>
    <s v="Plaquettes d'ébauches rhombiques"/>
    <s v="SD75051"/>
    <s v="COMBALUZIER LUCAS"/>
    <n v="10"/>
    <x v="0"/>
    <x v="2"/>
    <s v="PLAQUETTES"/>
    <s v="330x14"/>
    <n v="70"/>
  </r>
  <r>
    <d v="2025-03-13T23:49:04"/>
    <x v="8"/>
    <s v="Plaquettes d'ébauches rhombiques"/>
    <s v="130325"/>
    <s v="PAPONNEAU JULIEN"/>
    <n v="10"/>
    <x v="1"/>
    <x v="3"/>
    <s v="PLAQUETTES"/>
    <s v="304x28 RPE"/>
    <n v="70"/>
  </r>
  <r>
    <d v="2025-03-14T15:54:19"/>
    <x v="8"/>
    <s v="Plaquettes d'ébauches rhombiques"/>
    <s v="SE08251"/>
    <s v="FAYET AYMERIC"/>
    <n v="10"/>
    <x v="0"/>
    <x v="3"/>
    <s v="PLAQUETTES"/>
    <s v="290x12"/>
    <n v="70"/>
  </r>
  <r>
    <d v="2025-03-14T15:54:37"/>
    <x v="8"/>
    <s v="Plaquettes d'ébauches rhombiques"/>
    <s v="SE08251"/>
    <s v="FAYET AYMERIC"/>
    <n v="10"/>
    <x v="3"/>
    <x v="3"/>
    <s v="PLAQUETTES"/>
    <s v="290x12"/>
    <n v="70"/>
  </r>
  <r>
    <d v="2025-03-14T21:07:29"/>
    <x v="8"/>
    <s v="Plaquettes d'ébauches rhombiques"/>
    <s v="140325"/>
    <s v="BOUCLIER JONATHAN"/>
    <n v="10"/>
    <x v="2"/>
    <x v="2"/>
    <s v="PLAQUETTES"/>
    <s v="302x26 RPI"/>
    <n v="70"/>
  </r>
  <r>
    <d v="2025-03-15T05:05:41"/>
    <x v="8"/>
    <s v="Plaquettes d'ébauches rhombiques"/>
    <s v="J529792"/>
    <s v="LEBRE CHRISTOPHE"/>
    <n v="10"/>
    <x v="2"/>
    <x v="1"/>
    <s v="PLAQUETTES"/>
    <s v="302x26 RPI"/>
    <n v="70"/>
  </r>
  <r>
    <d v="2025-03-15T05:07:10"/>
    <x v="8"/>
    <s v="Plaquettes d'ébauches rhombiques"/>
    <s v="J529792"/>
    <s v="LEBRE CHRISTOPHE"/>
    <n v="10"/>
    <x v="2"/>
    <x v="2"/>
    <s v="PLAQUETTES"/>
    <s v="302x26 RPI"/>
    <n v="70"/>
  </r>
  <r>
    <d v="2025-03-16T18:00:51"/>
    <x v="8"/>
    <s v="Plaquettes d'ébauches rhombiques"/>
    <s v="U109136"/>
    <s v="WIPLIE FREDERIC"/>
    <n v="10"/>
    <x v="3"/>
    <x v="2"/>
    <s v="PLAQUETTES"/>
    <s v="290x12"/>
    <n v="70"/>
  </r>
  <r>
    <d v="2025-03-17T05:20:13"/>
    <x v="8"/>
    <s v="Plaquettes d'ébauches rhombiques"/>
    <s v="SE08251"/>
    <s v="FAYET AYMERIC"/>
    <n v="10"/>
    <x v="3"/>
    <x v="3"/>
    <s v="PLAQUETTES"/>
    <s v="290x12"/>
    <n v="70"/>
  </r>
  <r>
    <d v="2025-03-17T05:20:38"/>
    <x v="8"/>
    <s v="Plaquettes d'ébauches rhombiques"/>
    <s v="SE08251"/>
    <s v="FAYET AYMERIC"/>
    <n v="10"/>
    <x v="0"/>
    <x v="3"/>
    <s v="PLAQUETTES"/>
    <s v="356x26 RPI"/>
    <n v="70"/>
  </r>
  <r>
    <d v="2025-03-17T16:00:27"/>
    <x v="8"/>
    <s v="Plaquettes d'ébauches rhombiques"/>
    <s v="130325"/>
    <s v="PAPONNEAU JULIEN"/>
    <n v="10"/>
    <x v="1"/>
    <x v="3"/>
    <s v="PLAQUETTES"/>
    <s v="304x28 RPE"/>
    <n v="70"/>
  </r>
  <r>
    <d v="2025-03-17T17:07:54"/>
    <x v="8"/>
    <s v="Plaquettes d'ébauches rhombiques"/>
    <s v="140325"/>
    <s v="BOUCLIER JONATHAN"/>
    <n v="10"/>
    <x v="2"/>
    <x v="4"/>
    <s v="PLAQUETTES"/>
    <s v="302x26 RPI"/>
    <n v="70"/>
  </r>
  <r>
    <d v="2025-03-18T01:55:37"/>
    <x v="8"/>
    <s v="Plaquettes d'ébauches rhombiques"/>
    <s v="101224"/>
    <s v="CHAZEAU KYLIAN"/>
    <n v="10"/>
    <x v="0"/>
    <x v="3"/>
    <s v="PLAQUETTES"/>
    <s v="356x26 RPI"/>
    <n v="70"/>
  </r>
  <r>
    <d v="2025-03-18T01:55:52"/>
    <x v="8"/>
    <s v="Plaquettes d'ébauches rhombiques"/>
    <s v="101224"/>
    <s v="CHAZEAU KYLIAN"/>
    <n v="10"/>
    <x v="3"/>
    <x v="3"/>
    <s v="PLAQUETTES"/>
    <s v="290x12"/>
    <n v="70"/>
  </r>
  <r>
    <d v="2025-03-18T05:20:25"/>
    <x v="8"/>
    <s v="Plaquettes d'ébauches rhombiques"/>
    <s v="280225"/>
    <s v="FERNANDES DOS SANTOS REMY"/>
    <n v="10"/>
    <x v="1"/>
    <x v="3"/>
    <s v="PLAQUETTES"/>
    <s v="304x28 RPE"/>
    <n v="70"/>
  </r>
  <r>
    <d v="2025-03-18T14:30:49"/>
    <x v="8"/>
    <s v="Plaquettes d'ébauches rhombiques"/>
    <s v="140325"/>
    <s v="BOUCLIER JONATHAN"/>
    <n v="10"/>
    <x v="2"/>
    <x v="2"/>
    <s v="PLAQUETTES"/>
    <s v="302x26 RPI"/>
    <n v="70"/>
  </r>
  <r>
    <d v="2025-03-18T22:03:54"/>
    <x v="8"/>
    <s v="Plaquettes d'ébauches rhombiques"/>
    <s v="101224"/>
    <s v="CHAZEAU KYLIAN"/>
    <n v="10"/>
    <x v="3"/>
    <x v="2"/>
    <s v="PLAQUETTES"/>
    <s v="290x12"/>
    <n v="70"/>
  </r>
  <r>
    <d v="2025-03-19T21:47:55"/>
    <x v="8"/>
    <s v="Plaquettes d'ébauches rhombiques"/>
    <s v="101224"/>
    <s v="CHAZEAU KYLIAN"/>
    <n v="10"/>
    <x v="3"/>
    <x v="3"/>
    <s v="PLAQUETTES"/>
    <s v="290x12"/>
    <n v="70"/>
  </r>
  <r>
    <d v="2025-03-19T21:48:24"/>
    <x v="8"/>
    <s v="Plaquettes d'ébauches rhombiques"/>
    <s v="101224"/>
    <s v="CHAZEAU KYLIAN"/>
    <n v="10"/>
    <x v="0"/>
    <x v="3"/>
    <s v="PLAQUETTES"/>
    <s v="356x26 RPI"/>
    <n v="70"/>
  </r>
  <r>
    <d v="2025-03-20T14:39:45"/>
    <x v="8"/>
    <s v="Plaquettes d'ébauches rhombiques"/>
    <s v="130325"/>
    <s v="PAPONNEAU JULIEN"/>
    <n v="10"/>
    <x v="1"/>
    <x v="3"/>
    <s v="PLAQUETTES"/>
    <s v="304x28 RPE"/>
    <n v="70"/>
  </r>
  <r>
    <d v="2025-03-20T18:40:22"/>
    <x v="8"/>
    <s v="Plaquettes d'ébauches rhombiques"/>
    <s v="140325"/>
    <s v="BOUCLIER JONATHAN"/>
    <n v="10"/>
    <x v="2"/>
    <x v="2"/>
    <s v="PLAQUETTES"/>
    <s v="302x26 RPI"/>
    <n v="70"/>
  </r>
  <r>
    <d v="2025-03-20T18:40:38"/>
    <x v="8"/>
    <s v="Plaquettes d'ébauches rhombiques"/>
    <s v="140325"/>
    <s v="BOUCLIER JONATHAN"/>
    <n v="10"/>
    <x v="2"/>
    <x v="4"/>
    <s v="PLAQUETTES"/>
    <s v="302x26 RPI"/>
    <n v="70"/>
  </r>
  <r>
    <d v="2025-03-21T13:13:22"/>
    <x v="8"/>
    <s v="Plaquettes d'ébauches rhombiques"/>
    <s v="130325"/>
    <s v="PAPONNEAU JULIEN"/>
    <n v="10"/>
    <x v="1"/>
    <x v="0"/>
    <s v="PLAQUETTES"/>
    <s v="304x28 RPE"/>
    <n v="70"/>
  </r>
  <r>
    <d v="2025-03-21T14:31:43"/>
    <x v="8"/>
    <s v="Plaquettes d'ébauches rhombiques"/>
    <s v="7236310"/>
    <s v="BRANDALY JEREMY"/>
    <n v="10"/>
    <x v="0"/>
    <x v="3"/>
    <s v="PLAQUETTES"/>
    <s v="356x26 RPI"/>
    <n v="70"/>
  </r>
  <r>
    <d v="2025-03-24T05:09:29"/>
    <x v="8"/>
    <s v="Plaquettes d'ébauches rhombiques"/>
    <s v="7236310"/>
    <s v="BRANDALY JEREMY"/>
    <n v="10"/>
    <x v="0"/>
    <x v="3"/>
    <s v="PLAQUETTES"/>
    <s v="330x14"/>
    <n v="70"/>
  </r>
  <r>
    <d v="2025-03-24T05:10:05"/>
    <x v="8"/>
    <s v="Plaquettes d'ébauches rhombiques"/>
    <s v="7236310"/>
    <s v="BRANDALY JEREMY"/>
    <n v="10"/>
    <x v="3"/>
    <x v="3"/>
    <s v="PLAQUETTES"/>
    <s v="290x12"/>
    <n v="70"/>
  </r>
  <r>
    <d v="2025-03-24T05:23:20"/>
    <x v="8"/>
    <s v="Plaquettes d'ébauches rhombiques"/>
    <s v="130325"/>
    <s v="PAPONNEAU JULIEN"/>
    <n v="10"/>
    <x v="1"/>
    <x v="3"/>
    <s v="PLAQUETTES"/>
    <s v="304x28 RPE"/>
    <n v="70"/>
  </r>
  <r>
    <d v="2025-03-24T13:24:49"/>
    <x v="8"/>
    <s v="Plaquettes d'ébauches rhombiques"/>
    <s v="101224"/>
    <s v="CHAZEAU KYLIAN"/>
    <n v="10"/>
    <x v="0"/>
    <x v="2"/>
    <s v="PLAQUETTES"/>
    <s v="330x14"/>
    <n v="70"/>
  </r>
  <r>
    <d v="2025-03-24T13:25:06"/>
    <x v="8"/>
    <s v="Plaquettes d'ébauches rhombiques"/>
    <s v="101224"/>
    <s v="CHAZEAU KYLIAN"/>
    <n v="10"/>
    <x v="3"/>
    <x v="2"/>
    <s v="PLAQUETTES"/>
    <s v="290x12"/>
    <n v="70"/>
  </r>
  <r>
    <d v="2025-03-25T06:41:45"/>
    <x v="8"/>
    <s v="Plaquettes d'ébauches rhombiques"/>
    <s v="130325"/>
    <s v="PAPONNEAU JULIEN"/>
    <n v="10"/>
    <x v="1"/>
    <x v="3"/>
    <s v="PLAQUETTES"/>
    <s v="304x28 RPE"/>
    <n v="70"/>
  </r>
  <r>
    <d v="2025-03-25T18:20:10"/>
    <x v="8"/>
    <s v="Plaquettes d'ébauches rhombiques"/>
    <s v="130124"/>
    <s v="MOHAMED ILDIRAY"/>
    <n v="10"/>
    <x v="1"/>
    <x v="3"/>
    <s v="PLAQUETTES"/>
    <s v="304x28 RPE"/>
    <n v="70"/>
  </r>
  <r>
    <d v="2025-03-26T00:36:32"/>
    <x v="8"/>
    <s v="Plaquettes d'ébauches rhombiques"/>
    <s v="U109136"/>
    <s v="WIPLIE FREDERIC"/>
    <n v="10"/>
    <x v="0"/>
    <x v="3"/>
    <s v="PLAQUETTES"/>
    <s v="330x14"/>
    <n v="70"/>
  </r>
  <r>
    <d v="2025-03-26T05:39:35"/>
    <x v="8"/>
    <s v="Plaquettes d'ébauches rhombiques"/>
    <s v="7236310"/>
    <s v="BRANDALY JEREMY"/>
    <n v="10"/>
    <x v="0"/>
    <x v="3"/>
    <s v="PLAQUETTES"/>
    <s v="330x14"/>
    <n v="70"/>
  </r>
  <r>
    <d v="2025-03-26T05:40:29"/>
    <x v="8"/>
    <s v="Plaquettes d'ébauches rhombiques"/>
    <s v="7236310"/>
    <s v="BRANDALY JEREMY"/>
    <n v="10"/>
    <x v="3"/>
    <x v="3"/>
    <s v="PLAQUETTES"/>
    <s v="290x12"/>
    <n v="70"/>
  </r>
  <r>
    <d v="2025-03-26T13:14:38"/>
    <x v="8"/>
    <s v="Plaquettes d'ébauches rhombiques"/>
    <s v="130124"/>
    <s v="MOHAMED ILDIRAY"/>
    <n v="10"/>
    <x v="1"/>
    <x v="3"/>
    <s v="PLAQUETTES"/>
    <s v="304x28 RPE"/>
    <n v="70"/>
  </r>
  <r>
    <d v="2025-03-27T01:03:33"/>
    <x v="8"/>
    <s v="Plaquettes d'ébauches rhombiques"/>
    <s v="U109136"/>
    <s v="WIPLIE FREDERIC"/>
    <n v="10"/>
    <x v="3"/>
    <x v="2"/>
    <s v="PLAQUETTES"/>
    <s v="290x12"/>
    <n v="70"/>
  </r>
  <r>
    <d v="2025-03-27T06:26:54"/>
    <x v="8"/>
    <s v="Plaquettes d'ébauches rhombiques"/>
    <s v="140325"/>
    <s v="BOUCLIER JONATHAN"/>
    <n v="10"/>
    <x v="2"/>
    <x v="2"/>
    <s v="PLAQUETTES"/>
    <s v="302x26 RPI"/>
    <n v="70"/>
  </r>
  <r>
    <d v="2025-03-27T06:27:09"/>
    <x v="8"/>
    <s v="Plaquettes d'ébauches rhombiques"/>
    <s v="140325"/>
    <s v="BOUCLIER JONATHAN"/>
    <n v="10"/>
    <x v="2"/>
    <x v="4"/>
    <s v="PLAQUETTES"/>
    <s v="302x26 RPI"/>
    <n v="70"/>
  </r>
  <r>
    <d v="2025-03-27T13:13:33"/>
    <x v="8"/>
    <s v="Plaquettes d'ébauches rhombiques"/>
    <s v="130124"/>
    <s v="MOHAMED ILDIRAY"/>
    <n v="10"/>
    <x v="1"/>
    <x v="3"/>
    <s v="PLAQUETTES"/>
    <s v="304x28 RPE"/>
    <n v="70"/>
  </r>
  <r>
    <d v="2025-03-27T13:40:36"/>
    <x v="8"/>
    <s v="Plaquettes d'ébauches rhombiques"/>
    <s v="101123"/>
    <s v="BRUNET ANDREA"/>
    <n v="10"/>
    <x v="2"/>
    <x v="2"/>
    <s v="PLAQUETTES"/>
    <s v="302x26 RPI"/>
    <n v="70"/>
  </r>
  <r>
    <d v="2025-03-28T14:11:21"/>
    <x v="8"/>
    <s v="Plaquettes d'ébauches rhombiques"/>
    <s v="101224"/>
    <s v="CHAZEAU KYLIAN"/>
    <n v="10"/>
    <x v="3"/>
    <x v="2"/>
    <s v="PLAQUETTES"/>
    <s v="290x12"/>
    <n v="70"/>
  </r>
  <r>
    <d v="2025-03-28T15:30:44"/>
    <x v="8"/>
    <s v="Plaquettes d'ébauches rhombiques"/>
    <s v="130124"/>
    <s v="MOHAMED ILDIRAY"/>
    <n v="10"/>
    <x v="1"/>
    <x v="3"/>
    <s v="PLAQUETTES"/>
    <s v="304x28 RPE"/>
    <n v="70"/>
  </r>
  <r>
    <d v="2025-03-29T00:44:28"/>
    <x v="8"/>
    <s v="Plaquettes d'ébauches rhombiques"/>
    <s v="SE08251"/>
    <s v="FAYET AYMERIC"/>
    <n v="10"/>
    <x v="3"/>
    <x v="3"/>
    <s v="PLAQUETTES"/>
    <s v="290x12"/>
    <n v="70"/>
  </r>
  <r>
    <d v="2025-03-30T17:11:27"/>
    <x v="8"/>
    <s v="Plaquettes d'ébauches rhombiques"/>
    <s v="J534699"/>
    <s v="FABIAN CHARTON"/>
    <n v="10"/>
    <x v="2"/>
    <x v="2"/>
    <s v="PLAQUETTES"/>
    <s v="302x26 RPI"/>
    <n v="70"/>
  </r>
  <r>
    <d v="2025-03-30T17:13:17"/>
    <x v="8"/>
    <s v="Plaquettes d'ébauches rhombiques"/>
    <s v="J534699"/>
    <s v="FABIAN CHARTON"/>
    <n v="10"/>
    <x v="2"/>
    <x v="4"/>
    <s v="PLAQUETTES"/>
    <s v="302x26 RPI"/>
    <n v="70"/>
  </r>
  <r>
    <d v="2025-03-30T17:20:32"/>
    <x v="8"/>
    <s v="Plaquettes d'ébauches rhombiques"/>
    <s v="U109136"/>
    <s v="WIPLIE FREDERIC"/>
    <n v="10"/>
    <x v="0"/>
    <x v="2"/>
    <s v="PLAQUETTES"/>
    <s v="290x12"/>
    <n v="70"/>
  </r>
  <r>
    <d v="2025-03-30T21:10:09"/>
    <x v="8"/>
    <s v="Plaquettes d'ébauches rhombiques"/>
    <s v="U515988"/>
    <s v="BLAHA"/>
    <n v="10"/>
    <x v="1"/>
    <x v="3"/>
    <s v="PLAQUETTES"/>
    <s v="304x28 RPE"/>
    <n v="70"/>
  </r>
  <r>
    <d v="2025-03-31T05:05:06"/>
    <x v="8"/>
    <s v="Plaquettes d'ébauches rhombiques"/>
    <s v="101123"/>
    <s v="BRUNET ANDREA"/>
    <n v="10"/>
    <x v="2"/>
    <x v="1"/>
    <s v="PLAQUETTES"/>
    <s v="302x26 RPI"/>
    <n v="70"/>
  </r>
  <r>
    <d v="2025-03-31T13:26:29"/>
    <x v="8"/>
    <s v="Plaquettes d'ébauches rhombiques"/>
    <s v="SE08251"/>
    <s v="FAYET AYMERIC"/>
    <n v="10"/>
    <x v="0"/>
    <x v="2"/>
    <s v="PLAQUETTES"/>
    <s v="356x26 RPI"/>
    <n v="70"/>
  </r>
  <r>
    <d v="2025-03-31T13:26:54"/>
    <x v="8"/>
    <s v="Plaquettes d'ébauches rhombiques"/>
    <s v="SE08251"/>
    <s v="FAYET AYMERIC"/>
    <n v="10"/>
    <x v="3"/>
    <x v="2"/>
    <s v="PLAQUETTES"/>
    <s v="290x12"/>
    <n v="70"/>
  </r>
  <r>
    <d v="2025-03-31T22:46:29"/>
    <x v="8"/>
    <s v="Plaquettes d'ébauches rhombiques"/>
    <s v="u636817"/>
    <s v="MOCQUEREAU LYDIE"/>
    <n v="10"/>
    <x v="2"/>
    <x v="1"/>
    <s v="PLAQUETTES"/>
    <s v="302x26 RPI"/>
    <n v="70"/>
  </r>
  <r>
    <d v="2025-04-01T14:10:51"/>
    <x v="8"/>
    <s v="Plaquettes d'ébauches rhombiques"/>
    <s v="SD88834"/>
    <s v="PEJOUX MELANIE"/>
    <n v="10"/>
    <x v="0"/>
    <x v="2"/>
    <s v="PLAQUETTES"/>
    <s v="330x14"/>
    <n v="70"/>
  </r>
  <r>
    <d v="2025-04-01T14:11:09"/>
    <x v="8"/>
    <s v="Plaquettes d'ébauches rhombiques"/>
    <s v="SD88834"/>
    <s v="PEJOUX MELANIE"/>
    <n v="10"/>
    <x v="3"/>
    <x v="2"/>
    <s v="PLAQUETTES"/>
    <s v="290x12"/>
    <n v="70"/>
  </r>
  <r>
    <d v="2025-04-02T04:01:54"/>
    <x v="8"/>
    <s v="Plaquettes d'ébauches rhombiques"/>
    <s v="140325"/>
    <s v="BOUCLIER JONATHAN"/>
    <n v="10"/>
    <x v="2"/>
    <x v="2"/>
    <s v="PLAQUETTES"/>
    <s v="302x26 RPI"/>
    <n v="70"/>
  </r>
  <r>
    <d v="2025-04-02T06:40:12"/>
    <x v="8"/>
    <s v="Plaquettes d'ébauches rhombiques"/>
    <s v="130124"/>
    <s v="MOHAMED ILDIRAY"/>
    <n v="10"/>
    <x v="1"/>
    <x v="3"/>
    <s v="PLAQUETTES"/>
    <s v="304x28 RPE"/>
    <n v="70"/>
  </r>
  <r>
    <d v="2025-04-02T14:12:09"/>
    <x v="8"/>
    <s v="Plaquettes d'ébauches rhombiques"/>
    <s v="SE08251"/>
    <s v="FAYET AYMERIC"/>
    <n v="10"/>
    <x v="0"/>
    <x v="2"/>
    <s v="PLAQUETTES"/>
    <s v="330x14"/>
    <n v="70"/>
  </r>
  <r>
    <d v="2025-04-02T14:22:06"/>
    <x v="8"/>
    <s v="Plaquettes d'ébauches rhombiques"/>
    <s v="SE08251"/>
    <s v="FAYET AYMERIC"/>
    <n v="10"/>
    <x v="3"/>
    <x v="3"/>
    <s v="PLAQUETTES"/>
    <s v="290x12"/>
    <n v="70"/>
  </r>
  <r>
    <d v="2025-04-02T19:05:23"/>
    <x v="8"/>
    <s v="Plaquettes d'ébauches rhombiques"/>
    <s v="11737592"/>
    <s v="BLOCQUET DAVID"/>
    <n v="10"/>
    <x v="2"/>
    <x v="1"/>
    <s v="PLAQUETTES"/>
    <s v="302x26 RPI"/>
    <n v="70"/>
  </r>
  <r>
    <d v="2025-04-02T22:04:53"/>
    <x v="8"/>
    <s v="Plaquettes d'ébauches rhombiques"/>
    <s v="7236310"/>
    <s v="BRANDALY JEREMY"/>
    <n v="10"/>
    <x v="0"/>
    <x v="3"/>
    <s v="PLAQUETTES"/>
    <s v="330x14"/>
    <n v="70"/>
  </r>
  <r>
    <d v="2025-04-02T22:05:07"/>
    <x v="8"/>
    <s v="Plaquettes d'ébauches rhombiques"/>
    <s v="7236310"/>
    <s v="BRANDALY JEREMY"/>
    <n v="10"/>
    <x v="3"/>
    <x v="3"/>
    <s v="PLAQUETTES"/>
    <s v="290x12"/>
    <n v="70"/>
  </r>
  <r>
    <d v="2025-04-02T23:53:15"/>
    <x v="8"/>
    <s v="Plaquettes d'ébauches rhombiques"/>
    <s v="140325"/>
    <s v="BOUCLIER JONATHAN"/>
    <n v="10"/>
    <x v="2"/>
    <x v="4"/>
    <s v="PLAQUETTES"/>
    <s v="302x26 RPI"/>
    <n v="70"/>
  </r>
  <r>
    <d v="2025-04-03T05:10:58"/>
    <x v="8"/>
    <s v="Plaquettes d'ébauches rhombiques"/>
    <s v="130124"/>
    <s v="MOHAMED ILDIRAY"/>
    <n v="10"/>
    <x v="1"/>
    <x v="3"/>
    <s v="PLAQUETTES"/>
    <s v="304x28 RPE"/>
    <n v="70"/>
  </r>
  <r>
    <d v="2025-04-03T13:16:06"/>
    <x v="8"/>
    <s v="Plaquettes d'ébauches rhombiques"/>
    <s v="280225"/>
    <s v="FERNANDES DOS SANTOS REMY"/>
    <n v="10"/>
    <x v="0"/>
    <x v="3"/>
    <s v="PLAQUETTES"/>
    <s v="330x14"/>
    <n v="70"/>
  </r>
  <r>
    <d v="2025-04-03T20:13:34"/>
    <x v="8"/>
    <s v="Plaquettes d'ébauches rhombiques"/>
    <s v="SE08251"/>
    <s v="FAYET AYMERIC"/>
    <n v="10"/>
    <x v="0"/>
    <x v="3"/>
    <s v="PLAQUETTES"/>
    <s v="290x12"/>
    <n v="70"/>
  </r>
  <r>
    <d v="2025-04-03T20:13:57"/>
    <x v="8"/>
    <s v="Plaquettes d'ébauches rhombiques"/>
    <s v="SE08251"/>
    <s v="FAYET AYMERIC"/>
    <n v="10"/>
    <x v="0"/>
    <x v="3"/>
    <s v="PLAQUETTES"/>
    <s v="330x14"/>
    <n v="70"/>
  </r>
  <r>
    <d v="2025-04-03T22:24:07"/>
    <x v="8"/>
    <s v="Plaquettes d'ébauches rhombiques"/>
    <s v="130325"/>
    <s v="PAPONNEAU JULIEN"/>
    <n v="10"/>
    <x v="1"/>
    <x v="3"/>
    <s v="PLAQUETTES"/>
    <s v="304x28 RPE"/>
    <n v="70"/>
  </r>
  <r>
    <d v="2025-04-04T18:50:35"/>
    <x v="8"/>
    <s v="Plaquettes d'ébauches rhombiques"/>
    <s v="SE08251"/>
    <s v="FAYET AYMERIC"/>
    <n v="10"/>
    <x v="0"/>
    <x v="2"/>
    <s v="PLAQUETTES"/>
    <s v="290x12"/>
    <n v="70"/>
  </r>
  <r>
    <d v="2025-04-04T20:49:24"/>
    <x v="8"/>
    <s v="Plaquettes d'ébauches rhombiques"/>
    <s v="SE08251"/>
    <s v="FAYET AYMERIC"/>
    <n v="10"/>
    <x v="3"/>
    <x v="3"/>
    <s v="PLAQUETTES"/>
    <s v="290x12"/>
    <n v="70"/>
  </r>
  <r>
    <d v="2025-04-04T21:09:51"/>
    <x v="8"/>
    <s v="Plaquettes d'ébauches rhombiques"/>
    <s v="140325"/>
    <s v="BOUCLIER JONATHAN"/>
    <n v="10"/>
    <x v="2"/>
    <x v="2"/>
    <s v="PLAQUETTES"/>
    <s v="302x26 RPI"/>
    <n v="70"/>
  </r>
  <r>
    <d v="2025-04-07T05:12:39"/>
    <x v="8"/>
    <s v="Plaquettes d'ébauches rhombiques"/>
    <s v="SE08251"/>
    <s v="FAYET AYMERIC"/>
    <n v="10"/>
    <x v="0"/>
    <x v="2"/>
    <s v="PLAQUETTES"/>
    <s v="330x14"/>
    <n v="70"/>
  </r>
  <r>
    <d v="2025-04-07T05:13:32"/>
    <x v="8"/>
    <s v="Plaquettes d'ébauches rhombiques"/>
    <s v="SE08251"/>
    <s v="FAYET AYMERIC"/>
    <n v="10"/>
    <x v="3"/>
    <x v="2"/>
    <s v="PLAQUETTES"/>
    <s v="290x12"/>
    <n v="70"/>
  </r>
  <r>
    <d v="2025-04-07T13:04:19"/>
    <x v="8"/>
    <s v="Plaquettes d'ébauches rhombiques"/>
    <s v="140325"/>
    <s v="BOUCLIER JONATHAN"/>
    <n v="10"/>
    <x v="2"/>
    <x v="2"/>
    <s v="PLAQUETTES"/>
    <s v="302x26 RPI"/>
    <n v="70"/>
  </r>
  <r>
    <d v="2025-04-07T21:19:05"/>
    <x v="8"/>
    <s v="Plaquettes d'ébauches rhombiques"/>
    <s v="130124"/>
    <s v="MOHAMED ILDIRAY"/>
    <n v="10"/>
    <x v="1"/>
    <x v="3"/>
    <s v="PLAQUETTES"/>
    <s v="304x28 RPE"/>
    <n v="70"/>
  </r>
  <r>
    <d v="2025-04-08T05:50:29"/>
    <x v="8"/>
    <s v="Plaquettes d'ébauches rhombiques"/>
    <s v="SE08251"/>
    <s v="FAYET AYMERIC"/>
    <n v="10"/>
    <x v="0"/>
    <x v="2"/>
    <s v="PLAQUETTES"/>
    <s v="330x14"/>
    <n v="70"/>
  </r>
  <r>
    <d v="2025-04-08T05:51:41"/>
    <x v="8"/>
    <s v="Plaquettes d'ébauches rhombiques"/>
    <s v="SE08251"/>
    <s v="FAYET AYMERIC"/>
    <n v="10"/>
    <x v="0"/>
    <x v="2"/>
    <s v="PLAQUETTES"/>
    <s v="330x14"/>
    <n v="70"/>
  </r>
  <r>
    <d v="2025-04-08T23:12:45"/>
    <x v="8"/>
    <s v="Plaquettes d'ébauches rhombiques"/>
    <s v="130124"/>
    <s v="MOHAMED ILDIRAY"/>
    <n v="10"/>
    <x v="1"/>
    <x v="3"/>
    <s v="PLAQUETTES"/>
    <s v="304x28 RPE"/>
    <n v="70"/>
  </r>
  <r>
    <d v="2025-04-09T08:37:21"/>
    <x v="8"/>
    <s v="Plaquettes d'ébauches rhombiques"/>
    <s v="SE08251"/>
    <s v="FAYET AYMERIC"/>
    <n v="10"/>
    <x v="3"/>
    <x v="2"/>
    <s v="PLAQUETTES"/>
    <s v="290x12"/>
    <n v="70"/>
  </r>
  <r>
    <d v="2025-04-09T09:46:07"/>
    <x v="8"/>
    <s v="Plaquettes d'ébauches rhombiques"/>
    <s v="SE08251"/>
    <s v="FAYET AYMERIC"/>
    <n v="10"/>
    <x v="0"/>
    <x v="2"/>
    <s v="PLAQUETTES"/>
    <s v="330x14"/>
    <n v="70"/>
  </r>
  <r>
    <d v="2025-04-09T13:17:56"/>
    <x v="8"/>
    <s v="Plaquettes d'ébauches rhombiques"/>
    <s v="140325"/>
    <s v="BOUCLIER JONATHAN"/>
    <n v="10"/>
    <x v="2"/>
    <x v="2"/>
    <s v="PLAQUETTES"/>
    <s v="302x26 RPI"/>
    <n v="70"/>
  </r>
  <r>
    <d v="2025-04-09T13:18:20"/>
    <x v="8"/>
    <s v="Plaquettes d'ébauches rhombiques"/>
    <s v="140325"/>
    <s v="BOUCLIER JONATHAN"/>
    <n v="10"/>
    <x v="2"/>
    <x v="4"/>
    <s v="PLAQUETTES"/>
    <s v="302x26 RPI"/>
    <n v="70"/>
  </r>
  <r>
    <d v="2025-04-10T14:44:12"/>
    <x v="8"/>
    <s v="Plaquettes d'ébauches rhombiques"/>
    <s v="SD75051"/>
    <s v="COMBALUZIER LUCAS"/>
    <n v="10"/>
    <x v="0"/>
    <x v="2"/>
    <s v="PLAQUETTES"/>
    <s v="356x26 RPI"/>
    <n v="70"/>
  </r>
  <r>
    <d v="2025-04-10T14:44:32"/>
    <x v="8"/>
    <s v="Plaquettes d'ébauches rhombiques"/>
    <s v="SD75051"/>
    <s v="COMBALUZIER LUCAS"/>
    <n v="10"/>
    <x v="3"/>
    <x v="2"/>
    <s v="PLAQUETTES"/>
    <s v="290x12"/>
    <n v="70"/>
  </r>
  <r>
    <d v="2025-04-10T21:53:49"/>
    <x v="8"/>
    <s v="Plaquettes d'ébauches rhombiques"/>
    <s v="130124"/>
    <s v="MOHAMED ILDIRAY"/>
    <n v="10"/>
    <x v="1"/>
    <x v="3"/>
    <s v="PLAQUETTES"/>
    <s v="304x28 RPE"/>
    <n v="70"/>
  </r>
  <r>
    <d v="2025-04-11T04:27:36"/>
    <x v="8"/>
    <s v="Plaquettes d'ébauches rhombiques"/>
    <s v="J609988"/>
    <s v="AMALRIC VINCENT"/>
    <n v="10"/>
    <x v="2"/>
    <x v="2"/>
    <s v="PLAQUETTES"/>
    <s v="302x26 RPI"/>
    <n v="70"/>
  </r>
  <r>
    <d v="2025-04-11T13:54:29"/>
    <x v="8"/>
    <s v="Plaquettes d'ébauches rhombiques"/>
    <s v="SD75051"/>
    <s v="COMBALUZIER LUCAS"/>
    <n v="10"/>
    <x v="0"/>
    <x v="2"/>
    <s v="PLAQUETTES"/>
    <s v="356x26 RPI"/>
    <n v="70"/>
  </r>
  <r>
    <d v="2025-04-11T16:03:53"/>
    <x v="8"/>
    <s v="Plaquettes d'ébauches rhombiques"/>
    <s v="130325"/>
    <s v="PAPONNEAU JULIEN"/>
    <n v="10"/>
    <x v="1"/>
    <x v="3"/>
    <s v="PLAQUETTES"/>
    <s v="304x28 RPE"/>
    <n v="70"/>
  </r>
  <r>
    <d v="2025-04-13T21:25:34"/>
    <x v="8"/>
    <s v="Plaquettes d'ébauches rhombiques"/>
    <s v="U109136"/>
    <s v="WIPLIE FREDERIC"/>
    <n v="10"/>
    <x v="3"/>
    <x v="2"/>
    <s v="PLAQUETTES"/>
    <s v="290x12"/>
    <n v="70"/>
  </r>
  <r>
    <d v="2025-04-14T05:02:03"/>
    <x v="8"/>
    <s v="Plaquettes d'ébauches rhombiques"/>
    <s v="140325"/>
    <s v="BOUCLIER JONATHAN"/>
    <n v="10"/>
    <x v="2"/>
    <x v="2"/>
    <s v="PLAQUETTES"/>
    <s v="302x26 RPI"/>
    <n v="70"/>
  </r>
  <r>
    <d v="2025-04-14T05:08:09"/>
    <x v="8"/>
    <s v="Plaquettes d'ébauches rhombiques"/>
    <s v="SD75051"/>
    <s v="COMBALUZIER LUCAS"/>
    <n v="10"/>
    <x v="0"/>
    <x v="2"/>
    <s v="PLAQUETTES"/>
    <s v="356x26 RPI"/>
    <n v="70"/>
  </r>
  <r>
    <d v="2025-04-14T05:08:29"/>
    <x v="8"/>
    <s v="Plaquettes d'ébauches rhombiques"/>
    <s v="SD75051"/>
    <s v="COMBALUZIER LUCAS"/>
    <n v="10"/>
    <x v="3"/>
    <x v="2"/>
    <s v="PLAQUETTES"/>
    <s v="290x12"/>
    <n v="70"/>
  </r>
  <r>
    <d v="2025-04-14T12:22:09"/>
    <x v="8"/>
    <s v="Plaquettes d'ébauches rhombiques"/>
    <s v="130325"/>
    <s v="PAPONNEAU JULIEN"/>
    <n v="10"/>
    <x v="1"/>
    <x v="3"/>
    <s v="PLAQUETTES"/>
    <s v="304x28 RPE"/>
    <n v="70"/>
  </r>
  <r>
    <d v="2025-04-14T13:27:39"/>
    <x v="8"/>
    <s v="Plaquettes d'ébauches rhombiques"/>
    <s v="130124"/>
    <s v="MOHAMED ILDIRAY"/>
    <n v="10"/>
    <x v="1"/>
    <x v="3"/>
    <s v="PLAQUETTES"/>
    <s v="304x28 RPE"/>
    <n v="70"/>
  </r>
  <r>
    <d v="2025-04-15T07:31:48"/>
    <x v="8"/>
    <s v="Plaquettes d'ébauches rhombiques"/>
    <s v="u636817"/>
    <s v="MOCQUEREAU LYDIE"/>
    <n v="10"/>
    <x v="2"/>
    <x v="1"/>
    <s v="PLAQUETTES"/>
    <s v="302x26 RPI"/>
    <n v="70"/>
  </r>
  <r>
    <d v="2025-04-15T14:28:06"/>
    <x v="8"/>
    <s v="Plaquettes d'ébauches rhombiques"/>
    <s v="101224"/>
    <s v="CHAZEAU KYLIAN"/>
    <n v="10"/>
    <x v="0"/>
    <x v="3"/>
    <s v="PLAQUETTES"/>
    <s v="330x14"/>
    <n v="70"/>
  </r>
  <r>
    <d v="2025-04-15T14:28:21"/>
    <x v="8"/>
    <s v="Plaquettes d'ébauches rhombiques"/>
    <s v="101224"/>
    <s v="CHAZEAU KYLIAN"/>
    <n v="10"/>
    <x v="0"/>
    <x v="3"/>
    <s v="PLAQUETTES"/>
    <s v="330x14"/>
    <n v="70"/>
  </r>
  <r>
    <d v="2025-04-15T22:40:25"/>
    <x v="8"/>
    <s v="Plaquettes d'ébauches rhombiques"/>
    <s v="280225"/>
    <s v="FERNANDES DOS SANTOS REMY"/>
    <n v="10"/>
    <x v="1"/>
    <x v="3"/>
    <s v="PLAQUETTES"/>
    <s v="356x26 RPI"/>
    <n v="70"/>
  </r>
  <r>
    <d v="2025-04-16T06:32:38"/>
    <x v="8"/>
    <s v="Plaquettes d'ébauches rhombiques"/>
    <s v="SD75051"/>
    <s v="COMBALUZIER LUCAS"/>
    <n v="10"/>
    <x v="0"/>
    <x v="2"/>
    <s v="PLAQUETTES"/>
    <s v="330x14"/>
    <n v="70"/>
  </r>
  <r>
    <d v="2025-04-16T06:59:18"/>
    <x v="8"/>
    <s v="Plaquettes d'ébauches rhombiques"/>
    <s v="140325"/>
    <s v="BOUCLIER JONATHAN"/>
    <n v="10"/>
    <x v="2"/>
    <x v="2"/>
    <s v="PLAQUETTES"/>
    <s v="302x26 RPI"/>
    <n v="70"/>
  </r>
  <r>
    <d v="2025-04-16T07:00:39"/>
    <x v="8"/>
    <s v="Plaquettes d'ébauches rhombiques"/>
    <s v="140325"/>
    <s v="BOUCLIER JONATHAN"/>
    <n v="10"/>
    <x v="2"/>
    <x v="4"/>
    <s v="PLAQUETTES"/>
    <s v="302x26 RPI"/>
    <n v="70"/>
  </r>
  <r>
    <d v="2025-04-16T15:28:47"/>
    <x v="8"/>
    <s v="Plaquettes d'ébauches rhombiques"/>
    <s v="210325"/>
    <s v="DAUTUN ALLAN"/>
    <n v="10"/>
    <x v="2"/>
    <x v="2"/>
    <s v="PLAQUETTES"/>
    <s v="302x26 RPI"/>
    <n v="70"/>
  </r>
  <r>
    <d v="2025-04-16T15:29:14"/>
    <x v="8"/>
    <s v="Plaquettes d'ébauches rhombiques"/>
    <s v="210325"/>
    <s v="DAUTUN ALLAN"/>
    <n v="10"/>
    <x v="2"/>
    <x v="4"/>
    <s v="PLAQUETTES"/>
    <s v="302x26 RPI"/>
    <n v="70"/>
  </r>
  <r>
    <d v="2025-04-17T06:06:37"/>
    <x v="8"/>
    <s v="Plaquettes d'ébauches rhombiques"/>
    <s v="SD75051"/>
    <s v="COMBALUZIER LUCAS"/>
    <n v="10"/>
    <x v="0"/>
    <x v="2"/>
    <s v="PLAQUETTES"/>
    <s v="330x14"/>
    <n v="70"/>
  </r>
  <r>
    <d v="2025-04-17T06:07:34"/>
    <x v="8"/>
    <s v="Plaquettes d'ébauches rhombiques"/>
    <s v="SD75051"/>
    <s v="COMBALUZIER LUCAS"/>
    <n v="10"/>
    <x v="3"/>
    <x v="2"/>
    <s v="PLAQUETTES"/>
    <s v="290x12"/>
    <n v="70"/>
  </r>
  <r>
    <d v="2025-04-18T03:43:19"/>
    <x v="8"/>
    <s v="Plaquettes d'ébauches rhombiques"/>
    <s v="280225"/>
    <s v="FERNANDES DOS SANTOS REMY"/>
    <n v="10"/>
    <x v="1"/>
    <x v="3"/>
    <s v="PLAQUETTES"/>
    <s v="356x26 RPI"/>
    <n v="70"/>
  </r>
  <r>
    <d v="2025-04-20T21:19:33"/>
    <x v="8"/>
    <s v="Plaquettes d'ébauches rhombiques"/>
    <s v="U109136"/>
    <s v="WIPLIE FREDERIC"/>
    <n v="10"/>
    <x v="1"/>
    <x v="3"/>
    <s v="PLAQUETTES"/>
    <s v="304x28 RPE"/>
    <n v="70"/>
  </r>
  <r>
    <d v="2025-04-21T05:08:22"/>
    <x v="8"/>
    <s v="Plaquettes d'ébauches rhombiques"/>
    <s v="101123"/>
    <s v="BRUNET ANDREA"/>
    <n v="10"/>
    <x v="2"/>
    <x v="1"/>
    <s v="PLAQUETTES"/>
    <s v="302x26 RPI"/>
    <n v="70"/>
  </r>
  <r>
    <d v="2025-04-21T06:27:52"/>
    <x v="8"/>
    <s v="Plaquettes d'ébauches rhombiques"/>
    <s v="130124"/>
    <s v="MOHAMED ILDIRAY"/>
    <n v="10"/>
    <x v="1"/>
    <x v="3"/>
    <s v="PLAQUETTES"/>
    <s v="304x28 RPE"/>
    <n v="70"/>
  </r>
  <r>
    <d v="2025-04-22T05:53:18"/>
    <x v="8"/>
    <s v="Plaquettes d'ébauches rhombiques"/>
    <s v="130124"/>
    <s v="MOHAMED ILDIRAY"/>
    <n v="10"/>
    <x v="1"/>
    <x v="3"/>
    <s v="PLAQUETTES"/>
    <s v="304x28 RPE"/>
    <n v="70"/>
  </r>
  <r>
    <d v="2025-04-22T14:28:29"/>
    <x v="8"/>
    <s v="Plaquettes d'ébauches rhombiques"/>
    <s v="SE08251"/>
    <s v="FAYET AYMERIC"/>
    <n v="10"/>
    <x v="3"/>
    <x v="2"/>
    <s v="PLAQUETTES"/>
    <s v="290x12"/>
    <n v="70"/>
  </r>
  <r>
    <d v="2025-04-22T21:19:48"/>
    <x v="8"/>
    <s v="Plaquettes d'ébauches rhombiques"/>
    <s v="SD75051"/>
    <s v="COMBALUZIER LUCAS"/>
    <n v="10"/>
    <x v="0"/>
    <x v="2"/>
    <s v="PLAQUETTES"/>
    <s v="330x14"/>
    <n v="70"/>
  </r>
  <r>
    <d v="2025-04-22T23:36:22"/>
    <x v="8"/>
    <s v="Plaquettes d'ébauches rhombiques"/>
    <s v="130325"/>
    <s v="PAPONNEAU JULIEN"/>
    <n v="10"/>
    <x v="1"/>
    <x v="3"/>
    <s v="PLAQUETTES"/>
    <s v="304x28 RPE"/>
    <n v="70"/>
  </r>
  <r>
    <d v="2025-04-23T21:25:45"/>
    <x v="8"/>
    <s v="Plaquettes d'ébauches rhombiques"/>
    <s v="SD75051"/>
    <s v="COMBALUZIER LUCAS"/>
    <n v="10"/>
    <x v="3"/>
    <x v="2"/>
    <s v="PLAQUETTES"/>
    <s v="290x12"/>
    <n v="70"/>
  </r>
  <r>
    <d v="2025-04-24T05:49:23"/>
    <x v="8"/>
    <s v="Plaquettes d'ébauches rhombiques"/>
    <s v="130124"/>
    <s v="MOHAMED ILDIRAY"/>
    <n v="10"/>
    <x v="1"/>
    <x v="3"/>
    <s v="PLAQUETTES"/>
    <s v="304x28 RPE"/>
    <n v="70"/>
  </r>
  <r>
    <d v="2025-04-24T18:27:14"/>
    <x v="8"/>
    <s v="Plaquettes d'ébauches rhombiques"/>
    <s v="250425"/>
    <s v="CHANDAR ABDER"/>
    <n v="10"/>
    <x v="2"/>
    <x v="4"/>
    <s v="PLAQUETTES"/>
    <s v="302x26 RPI"/>
    <n v="70"/>
  </r>
  <r>
    <d v="2025-04-24T18:55:09"/>
    <x v="8"/>
    <s v="Plaquettes d'ébauches rhombiques"/>
    <s v="280225"/>
    <s v="FERNANDES DOS SANTOS REMY"/>
    <n v="10"/>
    <x v="1"/>
    <x v="3"/>
    <s v="PLAQUETTES"/>
    <s v="304x28 RPE"/>
    <n v="70"/>
  </r>
  <r>
    <d v="2025-04-24T20:51:51"/>
    <x v="8"/>
    <s v="Plaquettes d'ébauches rhombiques"/>
    <s v="SE08251"/>
    <s v="FAYET AYMERIC"/>
    <n v="10"/>
    <x v="0"/>
    <x v="2"/>
    <s v="PLAQUETTES"/>
    <s v="290x12"/>
    <n v="70"/>
  </r>
  <r>
    <d v="2025-04-24T20:52:26"/>
    <x v="8"/>
    <s v="Plaquettes d'ébauches rhombiques"/>
    <s v="SE08251"/>
    <s v="FAYET AYMERIC"/>
    <n v="10"/>
    <x v="3"/>
    <x v="2"/>
    <s v="PLAQUETTES"/>
    <s v="290x12"/>
    <n v="70"/>
  </r>
  <r>
    <d v="2025-04-24T22:20:34"/>
    <x v="8"/>
    <s v="Plaquettes d'ébauches rhombiques"/>
    <s v="140325"/>
    <s v="BOUCLIER JONATHAN"/>
    <n v="10"/>
    <x v="2"/>
    <x v="4"/>
    <s v="PLAQUETTES"/>
    <s v="302x26 RPI"/>
    <n v="70"/>
  </r>
  <r>
    <d v="2025-04-25T17:58:40"/>
    <x v="8"/>
    <s v="Plaquettes d'ébauches rhombiques"/>
    <s v="SE08251"/>
    <s v="FAYET AYMERIC"/>
    <n v="10"/>
    <x v="0"/>
    <x v="3"/>
    <s v="PLAQUETTES"/>
    <s v="356x26 RPI"/>
    <n v="70"/>
  </r>
  <r>
    <d v="2025-04-25T17:59:00"/>
    <x v="8"/>
    <s v="Plaquettes d'ébauches rhombiques"/>
    <s v="SE08251"/>
    <s v="FAYET AYMERIC"/>
    <n v="10"/>
    <x v="3"/>
    <x v="3"/>
    <s v="PLAQUETTES"/>
    <s v="290x12"/>
    <n v="70"/>
  </r>
  <r>
    <d v="2025-04-25T18:04:11"/>
    <x v="8"/>
    <s v="Plaquettes d'ébauches rhombiques"/>
    <s v="280225"/>
    <s v="FERNANDES DOS SANTOS REMY"/>
    <n v="10"/>
    <x v="1"/>
    <x v="3"/>
    <s v="PLAQUETTES"/>
    <s v="304x28 RPE"/>
    <n v="70"/>
  </r>
  <r>
    <d v="2025-04-27T17:50:44"/>
    <x v="8"/>
    <s v="Plaquettes d'ébauches rhombiques"/>
    <s v="J534699"/>
    <s v="FABIAN CHARTON"/>
    <n v="10"/>
    <x v="2"/>
    <x v="1"/>
    <s v="PLAQUETTES"/>
    <s v="302x26 RPI"/>
    <n v="70"/>
  </r>
  <r>
    <d v="2025-04-27T17:54:32"/>
    <x v="8"/>
    <s v="Plaquettes d'ébauches rhombiques"/>
    <s v="J534699"/>
    <s v="FABIAN CHARTON"/>
    <n v="10"/>
    <x v="2"/>
    <x v="4"/>
    <s v="PLAQUETTES"/>
    <s v="302x26 RPI"/>
    <n v="70"/>
  </r>
  <r>
    <d v="2025-04-27T17:57:02"/>
    <x v="8"/>
    <s v="Plaquettes d'ébauches rhombiques"/>
    <s v="J534699"/>
    <s v="FABIAN CHARTON"/>
    <n v="10"/>
    <x v="2"/>
    <x v="2"/>
    <s v="PLAQUETTES"/>
    <s v="302x26 RPI"/>
    <n v="70"/>
  </r>
  <r>
    <d v="2025-04-28T05:07:01"/>
    <x v="8"/>
    <s v="Plaquettes d'ébauches rhombiques"/>
    <s v="280225"/>
    <s v="FERNANDES DOS SANTOS REMY"/>
    <n v="10"/>
    <x v="1"/>
    <x v="3"/>
    <s v="PLAQUETTES"/>
    <s v="304x28 RPE"/>
    <n v="70"/>
  </r>
  <r>
    <d v="2025-04-28T05:15:57"/>
    <x v="8"/>
    <s v="Plaquettes d'ébauches rhombiques"/>
    <s v="SE08251"/>
    <s v="FAYET AYMERIC"/>
    <n v="10"/>
    <x v="3"/>
    <x v="2"/>
    <s v="PLAQUETTES"/>
    <s v="290x12"/>
    <n v="70"/>
  </r>
  <r>
    <d v="2025-04-28T08:10:20"/>
    <x v="8"/>
    <s v="Plaquettes d'ébauches rhombiques"/>
    <s v="SE08251"/>
    <s v="FAYET AYMERIC"/>
    <n v="10"/>
    <x v="0"/>
    <x v="2"/>
    <s v="PLAQUETTES"/>
    <s v="356x26 RPI"/>
    <n v="70"/>
  </r>
  <r>
    <d v="2025-04-28T15:01:05"/>
    <x v="8"/>
    <s v="Plaquettes d'ébauches rhombiques"/>
    <s v="140325"/>
    <s v="BOUCLIER JONATHAN"/>
    <n v="10"/>
    <x v="2"/>
    <x v="2"/>
    <s v="PLAQUETTES"/>
    <s v="302x26 RPI"/>
    <n v="70"/>
  </r>
  <r>
    <d v="2025-04-28T15:02:17"/>
    <x v="8"/>
    <s v="Plaquettes d'ébauches rhombiques"/>
    <s v="140325"/>
    <s v="BOUCLIER JONATHAN"/>
    <n v="10"/>
    <x v="2"/>
    <x v="4"/>
    <s v="PLAQUETTES"/>
    <s v="302x26 RPI"/>
    <n v="70"/>
  </r>
  <r>
    <d v="2025-04-29T05:15:20"/>
    <x v="8"/>
    <s v="Plaquettes d'ébauches rhombiques"/>
    <s v="171124"/>
    <s v="GONIN AGNES"/>
    <n v="10"/>
    <x v="2"/>
    <x v="4"/>
    <s v="PLAQUETTES"/>
    <s v="302x26 RPI"/>
    <n v="70"/>
  </r>
  <r>
    <d v="2025-04-29T18:58:14"/>
    <x v="8"/>
    <s v="Plaquettes d'ébauches rhombiques"/>
    <s v="130325"/>
    <s v="PAPONNEAU JULIEN"/>
    <n v="10"/>
    <x v="1"/>
    <x v="3"/>
    <s v="PLAQUETTES"/>
    <s v="304x28 RPE"/>
    <n v="70"/>
  </r>
  <r>
    <d v="2025-04-29T18:58:42"/>
    <x v="8"/>
    <s v="Plaquettes d'ébauches rhombiques"/>
    <s v="130325"/>
    <s v="PAPONNEAU JULIEN"/>
    <n v="10"/>
    <x v="1"/>
    <x v="3"/>
    <s v="PLAQUETTES"/>
    <s v="304x28 RPE"/>
    <n v="70"/>
  </r>
  <r>
    <d v="2025-04-29T20:05:37"/>
    <x v="8"/>
    <s v="Plaquettes d'ébauches rhombiques"/>
    <s v="7236310"/>
    <s v="BRANDALY JEREMY"/>
    <n v="10"/>
    <x v="3"/>
    <x v="3"/>
    <s v="PLAQUETTES"/>
    <s v="290x12"/>
    <n v="70"/>
  </r>
  <r>
    <d v="2025-04-30T05:21:48"/>
    <x v="8"/>
    <s v="Plaquettes d'ébauches rhombiques"/>
    <s v="SE08251"/>
    <s v="FAYET AYMERIC"/>
    <n v="10"/>
    <x v="0"/>
    <x v="2"/>
    <s v="PLAQUETTES"/>
    <s v="290x12"/>
    <n v="70"/>
  </r>
  <r>
    <d v="2025-04-30T05:22:06"/>
    <x v="8"/>
    <s v="Plaquettes d'ébauches rhombiques"/>
    <s v="SE08251"/>
    <s v="FAYET AYMERIC"/>
    <n v="10"/>
    <x v="0"/>
    <x v="2"/>
    <s v="PLAQUETTES"/>
    <s v="290x12"/>
    <n v="70"/>
  </r>
  <r>
    <d v="2025-04-30T05:22:45"/>
    <x v="8"/>
    <s v="Plaquettes d'ébauches rhombiques"/>
    <s v="SE08251"/>
    <s v="FAYET AYMERIC"/>
    <n v="10"/>
    <x v="0"/>
    <x v="3"/>
    <s v="PLAQUETTES"/>
    <s v="330x14"/>
    <n v="70"/>
  </r>
  <r>
    <d v="2025-04-30T05:24:02"/>
    <x v="8"/>
    <s v="Plaquettes d'ébauches rhombiques"/>
    <s v="SE08251"/>
    <s v="FAYET AYMERIC"/>
    <n v="10"/>
    <x v="3"/>
    <x v="3"/>
    <s v="PLAQUETTES"/>
    <s v="290x12"/>
    <n v="70"/>
  </r>
  <r>
    <d v="2025-04-30T17:20:14"/>
    <x v="8"/>
    <s v="Plaquettes d'ébauches rhombiques"/>
    <s v="140325"/>
    <s v="BOUCLIER JONATHAN"/>
    <n v="10"/>
    <x v="2"/>
    <x v="4"/>
    <s v="PLAQUETTES"/>
    <s v="302x26 RPI"/>
    <n v="70"/>
  </r>
  <r>
    <d v="2025-04-30T21:26:50"/>
    <x v="8"/>
    <s v="Plaquettes d'ébauches rhombiques"/>
    <s v="130124"/>
    <s v="MOHAMED ILDIRAY"/>
    <n v="10"/>
    <x v="1"/>
    <x v="3"/>
    <s v="PLAQUETTES"/>
    <s v="304x28 RPE"/>
    <n v="70"/>
  </r>
  <r>
    <d v="2025-05-02T09:52:16"/>
    <x v="8"/>
    <s v="Plaquettes d'ébauches rhombiques"/>
    <s v="J534699"/>
    <s v="FABIAN CHARTON"/>
    <n v="10"/>
    <x v="2"/>
    <x v="2"/>
    <s v="PLAQUETTES"/>
    <s v="302x26 RPI"/>
    <n v="70"/>
  </r>
  <r>
    <d v="2025-05-02T09:53:35"/>
    <x v="8"/>
    <s v="Plaquettes d'ébauches rhombiques"/>
    <s v="J534699"/>
    <s v="FABIAN CHARTON"/>
    <n v="10"/>
    <x v="2"/>
    <x v="1"/>
    <s v="PLAQUETTES"/>
    <s v="302x26 RPI"/>
    <n v="70"/>
  </r>
  <r>
    <d v="2025-05-02T21:32:59"/>
    <x v="8"/>
    <s v="Plaquettes d'ébauches rhombiques"/>
    <s v="130124"/>
    <s v="MOHAMED ILDIRAY"/>
    <n v="10"/>
    <x v="1"/>
    <x v="3"/>
    <s v="PLAQUETTES"/>
    <s v="304x28 RPE"/>
    <n v="70"/>
  </r>
  <r>
    <d v="2025-05-03T04:53:59"/>
    <x v="8"/>
    <s v="Plaquettes d'ébauches rhombiques"/>
    <s v="210325"/>
    <s v="DAUTUN ALLAN"/>
    <n v="10"/>
    <x v="2"/>
    <x v="2"/>
    <s v="PLAQUETTES"/>
    <s v="302x26 RPI"/>
    <n v="70"/>
  </r>
  <r>
    <d v="2025-05-05T13:20:29"/>
    <x v="8"/>
    <s v="Plaquettes d'ébauches rhombiques"/>
    <s v="130124"/>
    <s v="MOHAMED ILDIRAY"/>
    <n v="10"/>
    <x v="1"/>
    <x v="3"/>
    <s v="PLAQUETTES"/>
    <s v="304x28 RPE"/>
    <n v="70"/>
  </r>
  <r>
    <d v="2025-05-05T22:12:49"/>
    <x v="8"/>
    <s v="Plaquettes d'ébauches rhombiques"/>
    <s v="SE08251"/>
    <s v="FAYET AYMERIC"/>
    <n v="10"/>
    <x v="0"/>
    <x v="3"/>
    <s v="PLAQUETTES"/>
    <s v="330x14"/>
    <n v="70"/>
  </r>
  <r>
    <d v="2025-05-05T22:13:28"/>
    <x v="8"/>
    <s v="Plaquettes d'ébauches rhombiques"/>
    <s v="SE08251"/>
    <s v="FAYET AYMERIC"/>
    <n v="10"/>
    <x v="3"/>
    <x v="3"/>
    <s v="PLAQUETTES"/>
    <s v="290x12"/>
    <n v="70"/>
  </r>
  <r>
    <d v="2025-05-06T02:20:54"/>
    <x v="8"/>
    <s v="Plaquettes d'ébauches rhombiques"/>
    <s v="280225"/>
    <s v="FERNANDES DOS SANTOS REMY"/>
    <n v="10"/>
    <x v="1"/>
    <x v="3"/>
    <s v="PLAQUETTES"/>
    <s v="304x28 RPE"/>
    <n v="70"/>
  </r>
  <r>
    <d v="2025-05-06T21:21:22"/>
    <x v="8"/>
    <s v="Plaquettes d'ébauches rhombiques"/>
    <s v="SE08251"/>
    <s v="FAYET AYMERIC"/>
    <n v="10"/>
    <x v="3"/>
    <x v="3"/>
    <s v="PLAQUETTES"/>
    <s v="290x12"/>
    <n v="70"/>
  </r>
  <r>
    <d v="2025-05-07T00:59:28"/>
    <x v="8"/>
    <s v="Plaquettes d'ébauches rhombiques"/>
    <s v="250425"/>
    <s v="CHANDAR ABDER"/>
    <n v="10"/>
    <x v="2"/>
    <x v="2"/>
    <s v="PLAQUETTES"/>
    <s v="302x26 RPI"/>
    <n v="70"/>
  </r>
  <r>
    <d v="2025-05-07T09:06:43"/>
    <x v="8"/>
    <s v="Plaquettes d'ébauches rhombiques"/>
    <s v="130325"/>
    <s v="PAPONNEAU JULIEN"/>
    <n v="10"/>
    <x v="3"/>
    <x v="0"/>
    <s v="PLAQUETTES"/>
    <s v="290x12"/>
    <n v="70"/>
  </r>
  <r>
    <d v="2025-05-07T21:47:02"/>
    <x v="8"/>
    <s v="Plaquettes d'ébauches rhombiques"/>
    <s v="SE08251"/>
    <s v="FAYET AYMERIC"/>
    <n v="10"/>
    <x v="0"/>
    <x v="3"/>
    <s v="PLAQUETTES"/>
    <s v="330x14"/>
    <n v="70"/>
  </r>
  <r>
    <d v="2025-05-07T21:47:27"/>
    <x v="8"/>
    <s v="Plaquettes d'ébauches rhombiques"/>
    <s v="SE08251"/>
    <s v="FAYET AYMERIC"/>
    <n v="10"/>
    <x v="0"/>
    <x v="3"/>
    <s v="PLAQUETTES"/>
    <s v="330x14"/>
    <n v="70"/>
  </r>
  <r>
    <d v="2025-05-08T03:27:29"/>
    <x v="8"/>
    <s v="Plaquettes d'ébauches rhombiques"/>
    <s v="280225"/>
    <s v="FERNANDES DOS SANTOS REMY"/>
    <n v="10"/>
    <x v="1"/>
    <x v="3"/>
    <s v="PLAQUETTES"/>
    <s v="356x26 RPI"/>
    <n v="70"/>
  </r>
  <r>
    <d v="2025-05-08T09:08:46"/>
    <x v="8"/>
    <s v="Plaquettes d'ébauches rhombiques"/>
    <s v="140325"/>
    <s v="BOUCLIER JONATHAN"/>
    <n v="10"/>
    <x v="2"/>
    <x v="2"/>
    <s v="PLAQUETTES"/>
    <s v="302x26 RPI"/>
    <n v="70"/>
  </r>
  <r>
    <d v="2025-05-08T09:10:37"/>
    <x v="8"/>
    <s v="Plaquettes d'ébauches rhombiques"/>
    <s v="140325"/>
    <s v="BOUCLIER JONATHAN"/>
    <n v="10"/>
    <x v="2"/>
    <x v="4"/>
    <s v="PLAQUETTES"/>
    <s v="302x26 RPI"/>
    <n v="70"/>
  </r>
  <r>
    <d v="2025-05-08T10:52:55"/>
    <x v="8"/>
    <s v="Plaquettes d'ébauches rhombiques"/>
    <s v="U080365"/>
    <s v="ALAVOINE SAMUEL"/>
    <n v="10"/>
    <x v="2"/>
    <x v="1"/>
    <s v="PLAQUETTES"/>
    <s v="302x26 RPI"/>
    <n v="70"/>
  </r>
  <r>
    <d v="2025-05-08T17:12:44"/>
    <x v="8"/>
    <s v="Plaquettes d'ébauches rhombiques"/>
    <s v="130124"/>
    <s v="MOHAMED ILDIRAY"/>
    <n v="10"/>
    <x v="0"/>
    <x v="3"/>
    <s v="PLAQUETTES"/>
    <s v="290x12"/>
    <n v="70"/>
  </r>
  <r>
    <d v="2025-05-09T08:44:16"/>
    <x v="8"/>
    <s v="Plaquettes d'ébauches rhombiques"/>
    <s v="U109136"/>
    <s v="WIPLIE FREDERIC"/>
    <n v="10"/>
    <x v="0"/>
    <x v="3"/>
    <s v="PLAQUETTES"/>
    <s v="330x14"/>
    <n v="70"/>
  </r>
  <r>
    <d v="2025-05-09T16:54:45"/>
    <x v="8"/>
    <s v="Plaquettes d'ébauches rhombiques"/>
    <s v="130124"/>
    <s v="MOHAMED ILDIRAY"/>
    <n v="10"/>
    <x v="1"/>
    <x v="3"/>
    <s v="PLAQUETTES"/>
    <s v="304x28 RPE"/>
    <n v="70"/>
  </r>
  <r>
    <d v="2025-05-09T21:17:24"/>
    <x v="8"/>
    <s v="Plaquettes d'ébauches rhombiques"/>
    <s v="SE08251"/>
    <s v="FAYET AYMERIC"/>
    <n v="10"/>
    <x v="3"/>
    <x v="3"/>
    <s v="PLAQUETTES"/>
    <s v="290x12"/>
    <n v="70"/>
  </r>
  <r>
    <d v="2025-05-12T05:20:52"/>
    <x v="8"/>
    <s v="Plaquettes d'ébauches rhombiques"/>
    <s v="130124"/>
    <s v="MOHAMED ILDIRAY"/>
    <n v="10"/>
    <x v="1"/>
    <x v="3"/>
    <s v="PLAQUETTES"/>
    <s v="304x28 RPE"/>
    <n v="70"/>
  </r>
  <r>
    <d v="2025-05-12T11:21:19"/>
    <x v="8"/>
    <s v="Plaquettes d'ébauches rhombiques"/>
    <s v="101224"/>
    <s v="CHAZEAU KYLIAN"/>
    <n v="10"/>
    <x v="0"/>
    <x v="3"/>
    <s v="PLAQUETTES"/>
    <s v="330x14"/>
    <n v="70"/>
  </r>
  <r>
    <d v="2025-05-12T11:21:37"/>
    <x v="8"/>
    <s v="Plaquettes d'ébauches rhombiques"/>
    <s v="101224"/>
    <s v="CHAZEAU KYLIAN"/>
    <n v="10"/>
    <x v="3"/>
    <x v="3"/>
    <s v="PLAQUETTES"/>
    <s v="290x12"/>
    <n v="70"/>
  </r>
  <r>
    <d v="2025-05-12T12:51:15"/>
    <x v="8"/>
    <s v="Plaquettes d'ébauches rhombiques"/>
    <s v="210325"/>
    <s v="DAUTUN ALLAN"/>
    <n v="10"/>
    <x v="2"/>
    <x v="2"/>
    <s v="PLAQUETTES"/>
    <s v="302x26 RPI"/>
    <n v="70"/>
  </r>
  <r>
    <d v="2025-05-12T12:51:31"/>
    <x v="8"/>
    <s v="Plaquettes d'ébauches rhombiques"/>
    <s v="210325"/>
    <s v="DAUTUN ALLAN"/>
    <n v="10"/>
    <x v="2"/>
    <x v="4"/>
    <s v="PLAQUETTES"/>
    <s v="302x26 RPI"/>
    <n v="70"/>
  </r>
  <r>
    <d v="2025-05-13T19:42:28"/>
    <x v="8"/>
    <s v="Plaquettes d'ébauches rhombiques"/>
    <s v="SE08251"/>
    <s v="FAYET AYMERIC"/>
    <n v="10"/>
    <x v="0"/>
    <x v="2"/>
    <s v="PLAQUETTES"/>
    <s v="356x26 RPI"/>
    <n v="70"/>
  </r>
  <r>
    <d v="2025-05-14T05:14:30"/>
    <x v="8"/>
    <s v="Plaquettes d'ébauches rhombiques"/>
    <s v="130124"/>
    <s v="MOHAMED ILDIRAY"/>
    <n v="10"/>
    <x v="1"/>
    <x v="3"/>
    <s v="PLAQUETTES"/>
    <s v="304x28 RPE"/>
    <n v="70"/>
  </r>
  <r>
    <d v="2025-05-14T13:20:16"/>
    <x v="8"/>
    <s v="Plaquettes d'ébauches rhombiques"/>
    <s v="SE08251"/>
    <s v="FAYET AYMERIC"/>
    <n v="10"/>
    <x v="3"/>
    <x v="3"/>
    <s v="PLAQUETTES"/>
    <s v="290x12"/>
    <n v="70"/>
  </r>
  <r>
    <d v="2025-05-15T13:37:47"/>
    <x v="8"/>
    <s v="Plaquettes d'ébauches rhombiques"/>
    <s v="SE08251"/>
    <s v="FAYET AYMERIC"/>
    <n v="10"/>
    <x v="0"/>
    <x v="2"/>
    <s v="PLAQUETTES"/>
    <s v="356x26 RPI"/>
    <n v="70"/>
  </r>
  <r>
    <d v="2025-05-15T13:38:07"/>
    <x v="8"/>
    <s v="Plaquettes d'ébauches rhombiques"/>
    <s v="SE08251"/>
    <s v="FAYET AYMERIC"/>
    <n v="10"/>
    <x v="3"/>
    <x v="3"/>
    <s v="PLAQUETTES"/>
    <s v="290x12"/>
    <n v="70"/>
  </r>
  <r>
    <d v="2025-05-15T15:00:46"/>
    <x v="8"/>
    <s v="Plaquettes d'ébauches rhombiques"/>
    <s v="250425"/>
    <s v="CHANDAR ABDER"/>
    <n v="10"/>
    <x v="2"/>
    <x v="4"/>
    <s v="PLAQUETTES"/>
    <s v="302x26 RPI"/>
    <n v="70"/>
  </r>
  <r>
    <d v="2025-05-15T23:14:19"/>
    <x v="8"/>
    <s v="Plaquettes d'ébauches rhombiques"/>
    <s v="130325"/>
    <s v="PAPONNEAU JULIEN"/>
    <n v="10"/>
    <x v="3"/>
    <x v="3"/>
    <s v="PLAQUETTES"/>
    <s v="290x12"/>
    <n v="70"/>
  </r>
  <r>
    <d v="2025-05-16T03:55:12"/>
    <x v="8"/>
    <s v="Plaquettes d'ébauches rhombiques"/>
    <s v="140325"/>
    <s v="BOUCLIER JONATHAN"/>
    <n v="10"/>
    <x v="2"/>
    <x v="4"/>
    <s v="PLAQUETTES"/>
    <s v="302x26 RPI"/>
    <n v="70"/>
  </r>
  <r>
    <d v="2025-05-16T03:55:43"/>
    <x v="8"/>
    <s v="Plaquettes d'ébauches rhombiques"/>
    <s v="140325"/>
    <s v="BOUCLIER JONATHAN"/>
    <n v="10"/>
    <x v="2"/>
    <x v="2"/>
    <s v="PLAQUETTES"/>
    <s v="302x26 RPI"/>
    <n v="70"/>
  </r>
  <r>
    <d v="2025-05-16T08:39:08"/>
    <x v="8"/>
    <s v="Plaquettes d'ébauches rhombiques"/>
    <s v="J534699"/>
    <s v="FABIAN CHARTON"/>
    <n v="10"/>
    <x v="2"/>
    <x v="4"/>
    <s v="PLAQUETTES"/>
    <s v="302x26 RPI"/>
    <n v="70"/>
  </r>
  <r>
    <d v="2025-05-16T08:40:32"/>
    <x v="8"/>
    <s v="Plaquettes d'ébauches rhombiques"/>
    <s v="J534699"/>
    <s v="FABIAN CHARTON"/>
    <n v="10"/>
    <x v="2"/>
    <x v="2"/>
    <s v="PLAQUETTES"/>
    <s v="302x26 RPI"/>
    <n v="70"/>
  </r>
  <r>
    <d v="2025-05-16T11:23:20"/>
    <x v="8"/>
    <s v="Plaquettes d'ébauches rhombiques"/>
    <s v="12824586"/>
    <s v="DA SILVA FERNANDO"/>
    <n v="10"/>
    <x v="1"/>
    <x v="2"/>
    <s v="PLAQUETTES"/>
    <s v="TOUT DISQUES"/>
    <n v="70"/>
  </r>
  <r>
    <d v="2025-05-16T13:12:46"/>
    <x v="8"/>
    <s v="Plaquettes d'ébauches rhombiques"/>
    <s v="280225"/>
    <s v="FERNANDES DOS SANTOS REMY"/>
    <n v="10"/>
    <x v="1"/>
    <x v="3"/>
    <s v="PLAQUETTES"/>
    <s v="304x28 RPE"/>
    <n v="70"/>
  </r>
  <r>
    <d v="2025-05-17T05:27:27"/>
    <x v="8"/>
    <s v="Plaquettes d'ébauches rhombiques"/>
    <s v="U109136"/>
    <s v="WIPLIE FREDERIC"/>
    <n v="10"/>
    <x v="1"/>
    <x v="3"/>
    <s v="PLAQUETTES"/>
    <s v="304x28 RPE"/>
    <n v="70"/>
  </r>
  <r>
    <d v="2025-05-19T04:14:05"/>
    <x v="8"/>
    <s v="Plaquettes d'ébauches rhombiques"/>
    <s v="101224"/>
    <s v="CHAZEAU KYLIAN"/>
    <n v="10"/>
    <x v="3"/>
    <x v="3"/>
    <s v="PLAQUETTES"/>
    <s v="290x12"/>
    <n v="70"/>
  </r>
  <r>
    <d v="2025-05-19T05:46:03"/>
    <x v="8"/>
    <s v="Plaquettes d'ébauches rhombiques"/>
    <s v="SE08251"/>
    <s v="FAYET AYMERIC"/>
    <n v="10"/>
    <x v="3"/>
    <x v="2"/>
    <s v="PLAQUETTES"/>
    <s v="290x12"/>
    <n v="70"/>
  </r>
  <r>
    <d v="2025-05-19T13:19:12"/>
    <x v="8"/>
    <s v="Plaquettes d'ébauches rhombiques"/>
    <s v="SD75051"/>
    <s v="COMBALUZIER LUCAS"/>
    <n v="10"/>
    <x v="0"/>
    <x v="2"/>
    <s v="PLAQUETTES"/>
    <s v="330x14"/>
    <n v="70"/>
  </r>
  <r>
    <d v="2025-05-19T13:29:21"/>
    <x v="8"/>
    <s v="Plaquettes d'ébauches rhombiques"/>
    <s v="u636817"/>
    <s v="MOCQUEREAU LYDIE"/>
    <n v="10"/>
    <x v="2"/>
    <x v="2"/>
    <s v="PLAQUETTES"/>
    <s v="302x26 RPI"/>
    <n v="70"/>
  </r>
  <r>
    <d v="2025-05-19T13:30:01"/>
    <x v="8"/>
    <s v="Plaquettes d'ébauches rhombiques"/>
    <s v="u636817"/>
    <s v="MOCQUEREAU LYDIE"/>
    <n v="10"/>
    <x v="2"/>
    <x v="4"/>
    <s v="PLAQUETTES"/>
    <s v="302x26 RPI"/>
    <n v="70"/>
  </r>
  <r>
    <d v="2025-05-20T02:17:15"/>
    <x v="8"/>
    <s v="Plaquettes d'ébauches rhombiques"/>
    <s v="130124"/>
    <s v="MOHAMED ILDIRAY"/>
    <n v="10"/>
    <x v="1"/>
    <x v="3"/>
    <s v="PLAQUETTES"/>
    <s v="304x28 RPE"/>
    <n v="70"/>
  </r>
  <r>
    <d v="2025-05-20T05:21:25"/>
    <x v="8"/>
    <s v="Plaquettes d'ébauches rhombiques"/>
    <s v="SE08251"/>
    <s v="FAYET AYMERIC"/>
    <n v="10"/>
    <x v="0"/>
    <x v="3"/>
    <s v="PLAQUETTES"/>
    <s v="330x14"/>
    <n v="70"/>
  </r>
  <r>
    <d v="2025-05-20T12:25:03"/>
    <x v="8"/>
    <s v="Plaquettes d'ébauches rhombiques"/>
    <s v="SE08251"/>
    <s v="FAYET AYMERIC"/>
    <n v="10"/>
    <x v="3"/>
    <x v="2"/>
    <s v="PLAQUETTES"/>
    <s v="290x12"/>
    <n v="70"/>
  </r>
  <r>
    <d v="2025-05-20T21:08:08"/>
    <x v="8"/>
    <s v="Plaquettes d'ébauches rhombiques"/>
    <s v="101123"/>
    <s v="BRUNET ANDREA"/>
    <n v="10"/>
    <x v="2"/>
    <x v="1"/>
    <s v="PLAQUETTES"/>
    <s v="302x26 RPI"/>
    <n v="70"/>
  </r>
  <r>
    <d v="2025-05-21T05:55:48"/>
    <x v="8"/>
    <s v="Plaquettes d'ébauches rhombiques"/>
    <s v="SE08251"/>
    <s v="FAYET AYMERIC"/>
    <n v="10"/>
    <x v="0"/>
    <x v="2"/>
    <s v="PLAQUETTES"/>
    <s v="330x14"/>
    <n v="70"/>
  </r>
  <r>
    <d v="2025-05-21T05:56:14"/>
    <x v="8"/>
    <s v="Plaquettes d'ébauches rhombiques"/>
    <s v="SE08251"/>
    <s v="FAYET AYMERIC"/>
    <n v="10"/>
    <x v="3"/>
    <x v="2"/>
    <s v="PLAQUETTES"/>
    <s v="290x12"/>
    <n v="70"/>
  </r>
  <r>
    <d v="2025-05-21T14:30:19"/>
    <x v="8"/>
    <s v="Plaquettes d'ébauches rhombiques"/>
    <s v="130325"/>
    <s v="PAPONNEAU JULIEN"/>
    <n v="10"/>
    <x v="1"/>
    <x v="3"/>
    <s v="PLAQUETTES"/>
    <s v="356x26 RPI"/>
    <n v="70"/>
  </r>
  <r>
    <d v="2025-05-22T13:51:33"/>
    <x v="8"/>
    <s v="Plaquettes d'ébauches rhombiques"/>
    <s v="140325"/>
    <s v="BOUCLIER JONATHAN"/>
    <n v="10"/>
    <x v="2"/>
    <x v="4"/>
    <s v="PLAQUETTES"/>
    <s v="302x26 RPI"/>
    <n v="70"/>
  </r>
  <r>
    <d v="2025-05-22T21:49:28"/>
    <x v="8"/>
    <s v="Plaquettes d'ébauches rhombiques"/>
    <s v="130124"/>
    <s v="MOHAMED ILDIRAY"/>
    <n v="10"/>
    <x v="1"/>
    <x v="3"/>
    <s v="PLAQUETTES"/>
    <s v="356x26 RPI"/>
    <n v="70"/>
  </r>
  <r>
    <d v="2025-05-23T04:53:45"/>
    <x v="8"/>
    <s v="Plaquettes d'ébauches rhombiques"/>
    <s v="210325"/>
    <s v="DAUTUN ALLAN"/>
    <n v="10"/>
    <x v="2"/>
    <x v="4"/>
    <s v="PLAQUETTES"/>
    <s v="302x26 RPI"/>
    <n v="70"/>
  </r>
  <r>
    <d v="2025-05-23T13:13:33"/>
    <x v="8"/>
    <s v="Plaquettes d'ébauches rhombiques"/>
    <s v="SD75051"/>
    <s v="COMBALUZIER LUCAS"/>
    <n v="10"/>
    <x v="0"/>
    <x v="2"/>
    <s v="PLAQUETTES"/>
    <s v="330x14"/>
    <n v="70"/>
  </r>
  <r>
    <d v="2025-05-26T05:34:31"/>
    <x v="8"/>
    <s v="Plaquettes d'ébauches rhombiques"/>
    <s v="U080365"/>
    <s v="ALAVOINE SAMUEL"/>
    <n v="10"/>
    <x v="0"/>
    <x v="3"/>
    <s v="PLAQUETTES"/>
    <s v="330x14"/>
    <n v="70"/>
  </r>
  <r>
    <d v="2025-05-26T06:32:22"/>
    <x v="8"/>
    <s v="Plaquettes d'ébauches rhombiques"/>
    <s v="140325"/>
    <s v="BOUCLIER JONATHAN"/>
    <n v="10"/>
    <x v="2"/>
    <x v="4"/>
    <s v="PLAQUETTES"/>
    <s v="302x26 RPI"/>
    <n v="70"/>
  </r>
  <r>
    <d v="2025-05-26T08:07:20"/>
    <x v="8"/>
    <s v="Plaquettes d'ébauches rhombiques"/>
    <s v="U080365"/>
    <s v="ALAVOINE SAMUEL"/>
    <n v="10"/>
    <x v="0"/>
    <x v="3"/>
    <s v="PLAQUETTES"/>
    <s v="330x14"/>
    <n v="70"/>
  </r>
  <r>
    <d v="2025-05-26T09:15:46"/>
    <x v="8"/>
    <s v="Plaquettes d'ébauches rhombiques"/>
    <s v="130325"/>
    <s v="PAPONNEAU JULIEN"/>
    <n v="10"/>
    <x v="1"/>
    <x v="3"/>
    <s v="PLAQUETTES"/>
    <s v="356x26 RPI"/>
    <n v="70"/>
  </r>
  <r>
    <d v="2025-05-26T11:20:47"/>
    <x v="8"/>
    <s v="Plaquettes d'ébauches rhombiques"/>
    <s v="U080365"/>
    <s v="ALAVOINE SAMUEL"/>
    <n v="10"/>
    <x v="0"/>
    <x v="3"/>
    <s v="PLAQUETTES"/>
    <s v="330x14"/>
    <n v="70"/>
  </r>
  <r>
    <d v="2025-05-27T22:12:22"/>
    <x v="8"/>
    <s v="Plaquettes d'ébauches rhombiques"/>
    <s v="SE08251"/>
    <s v="FAYET AYMERIC"/>
    <n v="10"/>
    <x v="0"/>
    <x v="3"/>
    <s v="PLAQUETTES"/>
    <s v="356x26 RPI"/>
    <n v="70"/>
  </r>
  <r>
    <d v="2025-05-27T22:12:52"/>
    <x v="8"/>
    <s v="Plaquettes d'ébauches rhombiques"/>
    <s v="SE08251"/>
    <s v="FAYET AYMERIC"/>
    <n v="10"/>
    <x v="3"/>
    <x v="3"/>
    <s v="PLAQUETTES"/>
    <s v="290x12"/>
    <n v="70"/>
  </r>
  <r>
    <d v="2025-05-28T01:43:42"/>
    <x v="8"/>
    <s v="Plaquettes d'ébauches rhombiques"/>
    <s v="280225"/>
    <s v="FERNANDES DOS SANTOS REMY"/>
    <n v="10"/>
    <x v="1"/>
    <x v="3"/>
    <s v="PLAQUETTES"/>
    <s v="304x28 RPE"/>
    <n v="70"/>
  </r>
  <r>
    <d v="2025-05-28T06:10:50"/>
    <x v="8"/>
    <s v="Plaquettes d'ébauches rhombiques"/>
    <s v="140325"/>
    <s v="BOUCLIER JONATHAN"/>
    <n v="10"/>
    <x v="2"/>
    <x v="4"/>
    <s v="PLAQUETTES"/>
    <s v="302x26 RPI"/>
    <n v="70"/>
  </r>
  <r>
    <d v="2025-05-28T21:19:59"/>
    <x v="8"/>
    <s v="Plaquettes d'ébauches rhombiques"/>
    <s v="280225"/>
    <s v="FERNANDES DOS SANTOS REMY"/>
    <n v="10"/>
    <x v="1"/>
    <x v="3"/>
    <s v="PLAQUETTES"/>
    <s v="304x28 RPE"/>
    <n v="70"/>
  </r>
  <r>
    <d v="2025-05-28T21:46:20"/>
    <x v="8"/>
    <s v="Plaquettes d'ébauches rhombiques"/>
    <s v="280225"/>
    <s v="FERNANDES DOS SANTOS REMY"/>
    <n v="10"/>
    <x v="2"/>
    <x v="4"/>
    <s v="PLAQUETTES"/>
    <s v="302x26 RPI"/>
    <n v="70"/>
  </r>
  <r>
    <d v="2025-05-29T05:41:51"/>
    <x v="8"/>
    <s v="Plaquettes d'ébauches rhombiques"/>
    <s v="U515988"/>
    <s v="BLAHA"/>
    <n v="10"/>
    <x v="2"/>
    <x v="1"/>
    <s v="PLAQUETTES"/>
    <s v="302x26 RPI"/>
    <n v="70"/>
  </r>
  <r>
    <d v="2025-05-29T12:37:47"/>
    <x v="8"/>
    <s v="Plaquettes d'ébauches rhombiques"/>
    <s v="210325"/>
    <s v="DAUTUN ALLAN"/>
    <n v="10"/>
    <x v="2"/>
    <x v="2"/>
    <s v="PLAQUETTES"/>
    <s v="302x26 RPI"/>
    <n v="70"/>
  </r>
  <r>
    <d v="2025-05-29T12:38:07"/>
    <x v="8"/>
    <s v="Plaquettes d'ébauches rhombiques"/>
    <s v="210325"/>
    <s v="DAUTUN ALLAN"/>
    <n v="10"/>
    <x v="2"/>
    <x v="4"/>
    <s v="PLAQUETTES"/>
    <s v="302x26 RPI"/>
    <n v="70"/>
  </r>
  <r>
    <d v="2025-05-29T15:42:58"/>
    <x v="8"/>
    <s v="Plaquettes d'ébauches rhombiques"/>
    <s v="U561365"/>
    <s v="BALLY BENOIT"/>
    <n v="10"/>
    <x v="2"/>
    <x v="1"/>
    <s v="PLAQUETTES"/>
    <s v="302x26 RPI"/>
    <n v="70"/>
  </r>
  <r>
    <d v="2025-05-29T21:23:09"/>
    <x v="8"/>
    <s v="Plaquettes d'ébauches rhombiques"/>
    <s v="SE08251"/>
    <s v="FAYET AYMERIC"/>
    <n v="10"/>
    <x v="3"/>
    <x v="2"/>
    <s v="PLAQUETTES"/>
    <s v="290x12"/>
    <n v="70"/>
  </r>
  <r>
    <d v="2025-05-30T16:10:19"/>
    <x v="8"/>
    <s v="Plaquettes d'ébauches rhombiques"/>
    <s v="130124"/>
    <s v="MOHAMED ILDIRAY"/>
    <n v="10"/>
    <x v="1"/>
    <x v="3"/>
    <s v="PLAQUETTES"/>
    <s v="304x28 RPE"/>
    <n v="70"/>
  </r>
  <r>
    <d v="2025-05-30T20:18:33"/>
    <x v="8"/>
    <s v="Plaquettes d'ébauches rhombiques"/>
    <s v="101224"/>
    <s v="CHAZEAU KYLIAN"/>
    <n v="10"/>
    <x v="3"/>
    <x v="2"/>
    <s v="PLAQUETTES"/>
    <s v="290x12"/>
    <n v="70"/>
  </r>
  <r>
    <d v="2025-06-02T05:42:17"/>
    <x v="8"/>
    <s v="Plaquettes d'ébauches rhombiques"/>
    <s v="130124"/>
    <s v="MOHAMED ILDIRAY"/>
    <n v="10"/>
    <x v="1"/>
    <x v="3"/>
    <s v="PLAQUETTES"/>
    <s v="304x28 RPE"/>
    <n v="70"/>
  </r>
  <r>
    <d v="2025-06-02T11:49:51"/>
    <x v="8"/>
    <s v="Plaquettes d'ébauches rhombiques"/>
    <s v="210325"/>
    <s v="DAUTUN ALLAN"/>
    <n v="10"/>
    <x v="2"/>
    <x v="2"/>
    <s v="PLAQUETTES"/>
    <s v="302x26 RPI"/>
    <n v="70"/>
  </r>
  <r>
    <d v="2025-06-02T11:50:53"/>
    <x v="8"/>
    <s v="Plaquettes d'ébauches rhombiques"/>
    <s v="210325"/>
    <s v="DAUTUN ALLAN"/>
    <n v="10"/>
    <x v="2"/>
    <x v="4"/>
    <s v="PLAQUETTES"/>
    <s v="302x26 RPI"/>
    <n v="70"/>
  </r>
  <r>
    <d v="2025-06-02T13:28:29"/>
    <x v="8"/>
    <s v="Plaquettes d'ébauches rhombiques"/>
    <s v="SE08251"/>
    <s v="FAYET AYMERIC"/>
    <n v="10"/>
    <x v="0"/>
    <x v="3"/>
    <s v="PLAQUETTES"/>
    <s v="330x14"/>
    <n v="70"/>
  </r>
  <r>
    <d v="2025-06-02T13:28:54"/>
    <x v="8"/>
    <s v="Plaquettes d'ébauches rhombiques"/>
    <s v="SE08251"/>
    <s v="FAYET AYMERIC"/>
    <n v="10"/>
    <x v="3"/>
    <x v="3"/>
    <s v="PLAQUETTES"/>
    <s v="290x12"/>
    <n v="70"/>
  </r>
  <r>
    <d v="2025-06-03T13:27:19"/>
    <x v="8"/>
    <s v="Plaquettes d'ébauches rhombiques"/>
    <s v="280225"/>
    <s v="FERNANDES DOS SANTOS REMY"/>
    <n v="10"/>
    <x v="1"/>
    <x v="3"/>
    <s v="PLAQUETTES"/>
    <s v="304x28 RPE"/>
    <n v="70"/>
  </r>
  <r>
    <d v="2025-06-03T16:33:29"/>
    <x v="8"/>
    <s v="Plaquettes d'ébauches rhombiques"/>
    <s v="SE08251"/>
    <s v="FAYET AYMERIC"/>
    <n v="10"/>
    <x v="3"/>
    <x v="2"/>
    <s v="PLAQUETTES"/>
    <s v="290x12"/>
    <n v="70"/>
  </r>
  <r>
    <d v="2025-06-04T03:13:27"/>
    <x v="8"/>
    <s v="Plaquettes d'ébauches rhombiques"/>
    <s v="140325"/>
    <s v="BOUCLIER JONATHAN"/>
    <n v="10"/>
    <x v="2"/>
    <x v="4"/>
    <s v="PLAQUETTES"/>
    <s v="302x26 RPI"/>
    <n v="70"/>
  </r>
  <r>
    <d v="2025-06-04T21:47:59"/>
    <x v="8"/>
    <s v="Plaquettes d'ébauches rhombiques"/>
    <s v="SD75051"/>
    <s v="COMBALUZIER LUCAS"/>
    <n v="10"/>
    <x v="0"/>
    <x v="2"/>
    <s v="PLAQUETTES"/>
    <s v="330x14"/>
    <n v="70"/>
  </r>
  <r>
    <d v="2025-06-05T13:56:14"/>
    <x v="8"/>
    <s v="Plaquettes d'ébauches rhombiques"/>
    <s v="280225"/>
    <s v="FERNANDES DOS SANTOS REMY"/>
    <n v="10"/>
    <x v="1"/>
    <x v="3"/>
    <s v="PLAQUETTES"/>
    <s v="356x26 RPI"/>
    <n v="70"/>
  </r>
  <r>
    <d v="2025-06-05T21:12:37"/>
    <x v="8"/>
    <s v="Plaquettes d'ébauches rhombiques"/>
    <s v="SD75051"/>
    <s v="COMBALUZIER LUCAS"/>
    <n v="10"/>
    <x v="0"/>
    <x v="2"/>
    <s v="PLAQUETTES"/>
    <s v="330x14"/>
    <n v="70"/>
  </r>
  <r>
    <d v="2025-06-06T03:51:05"/>
    <x v="8"/>
    <s v="Plaquettes d'ébauches rhombiques"/>
    <s v="140325"/>
    <s v="BOUCLIER JONATHAN"/>
    <n v="10"/>
    <x v="2"/>
    <x v="2"/>
    <s v="PLAQUETTES"/>
    <s v="302x26 RPI"/>
    <n v="70"/>
  </r>
  <r>
    <d v="2025-06-06T14:19:22"/>
    <x v="8"/>
    <s v="Plaquettes d'ébauches rhombiques"/>
    <s v="280225"/>
    <s v="FERNANDES DOS SANTOS REMY"/>
    <n v="10"/>
    <x v="1"/>
    <x v="3"/>
    <s v="PLAQUETTES"/>
    <s v="356x26 RPI"/>
    <n v="70"/>
  </r>
  <r>
    <d v="2025-06-06T14:43:57"/>
    <x v="8"/>
    <s v="Plaquettes d'ébauches rhombiques"/>
    <s v="U561365"/>
    <s v="BALLY BENOIT"/>
    <n v="10"/>
    <x v="2"/>
    <x v="1"/>
    <s v="PLAQUETTES"/>
    <s v="302x26 RPI"/>
    <n v="70"/>
  </r>
  <r>
    <d v="2025-06-06T15:34:34"/>
    <x v="8"/>
    <s v="Plaquettes d'ébauches rhombiques"/>
    <s v="SE08251"/>
    <s v="FAYET AYMERIC"/>
    <n v="10"/>
    <x v="0"/>
    <x v="2"/>
    <s v="PLAQUETTES"/>
    <s v="330x14"/>
    <n v="70"/>
  </r>
  <r>
    <d v="2025-06-06T15:34:52"/>
    <x v="8"/>
    <s v="Plaquettes d'ébauches rhombiques"/>
    <s v="SE08251"/>
    <s v="FAYET AYMERIC"/>
    <n v="10"/>
    <x v="3"/>
    <x v="3"/>
    <s v="PLAQUETTES"/>
    <s v="302x26 RPI"/>
    <n v="70"/>
  </r>
  <r>
    <d v="2025-06-06T21:37:17"/>
    <x v="8"/>
    <s v="Plaquettes d'ébauches rhombiques"/>
    <s v="140325"/>
    <s v="BOUCLIER JONATHAN"/>
    <n v="10"/>
    <x v="2"/>
    <x v="4"/>
    <s v="PLAQUETTES"/>
    <s v="302x26 RPI"/>
    <n v="70"/>
  </r>
  <r>
    <d v="2025-06-07T16:58:34"/>
    <x v="8"/>
    <s v="Plaquettes d'ébauches rhombiques"/>
    <s v="J534699"/>
    <s v="FABIAN CHARTON"/>
    <n v="10"/>
    <x v="2"/>
    <x v="2"/>
    <s v="PLAQUETTES"/>
    <s v="302x26 RPI"/>
    <n v="70"/>
  </r>
  <r>
    <d v="2025-06-07T16:59:48"/>
    <x v="8"/>
    <s v="Plaquettes d'ébauches rhombiques"/>
    <s v="J534699"/>
    <s v="FABIAN CHARTON"/>
    <n v="10"/>
    <x v="2"/>
    <x v="4"/>
    <s v="PLAQUETTES"/>
    <s v="302x26 RPI"/>
    <n v="70"/>
  </r>
  <r>
    <d v="2025-06-07T17:01:24"/>
    <x v="8"/>
    <s v="Plaquettes d'ébauches rhombiques"/>
    <s v="J534699"/>
    <s v="FABIAN CHARTON"/>
    <n v="10"/>
    <x v="2"/>
    <x v="1"/>
    <s v="PLAQUETTES"/>
    <s v="302x26 RPI"/>
    <n v="70"/>
  </r>
  <r>
    <d v="2025-06-09T05:43:34"/>
    <x v="8"/>
    <s v="Plaquettes d'ébauches rhombiques"/>
    <s v="U532976"/>
    <s v="LEFORT XAVIER"/>
    <n v="10"/>
    <x v="2"/>
    <x v="2"/>
    <s v="PLAQUETTES"/>
    <s v="302x26 RPI"/>
    <n v="70"/>
  </r>
  <r>
    <d v="2025-06-09T06:26:00"/>
    <x v="8"/>
    <s v="Plaquettes d'ébauches rhombiques"/>
    <s v="SE08251"/>
    <s v="FAYET AYMERIC"/>
    <n v="10"/>
    <x v="3"/>
    <x v="3"/>
    <s v="PLAQUETTES"/>
    <s v="302x26 RPI"/>
    <n v="70"/>
  </r>
  <r>
    <d v="2025-06-09T13:35:01"/>
    <x v="8"/>
    <s v="Plaquettes d'ébauches rhombiques"/>
    <s v="SD75051"/>
    <s v="COMBALUZIER LUCAS"/>
    <n v="10"/>
    <x v="0"/>
    <x v="3"/>
    <s v="PLAQUETTES"/>
    <s v="330x14"/>
    <n v="70"/>
  </r>
  <r>
    <d v="2025-06-10T02:19:35"/>
    <x v="8"/>
    <s v="Plaquettes d'ébauches rhombiques"/>
    <s v="U109136"/>
    <s v="WIPLIE FREDERIC"/>
    <n v="10"/>
    <x v="0"/>
    <x v="3"/>
    <s v="PLAQUETTES"/>
    <s v="356x26 RPI"/>
    <n v="70"/>
  </r>
  <r>
    <d v="2025-06-10T08:10:19"/>
    <x v="8"/>
    <s v="Plaquettes d'ébauches rhombiques"/>
    <s v="12824586"/>
    <s v="DA SILVA FERNANDO"/>
    <n v="10"/>
    <x v="2"/>
    <x v="2"/>
    <s v="PLAQUETTES"/>
    <s v="TOUT DISQUES"/>
    <n v="70"/>
  </r>
  <r>
    <d v="2025-06-10T23:30:27"/>
    <x v="8"/>
    <s v="Plaquettes d'ébauches rhombiques"/>
    <s v="130124"/>
    <s v="MOHAMED ILDIRAY"/>
    <n v="10"/>
    <x v="1"/>
    <x v="3"/>
    <s v="PLAQUETTES"/>
    <s v="304x28 RPE"/>
    <n v="70"/>
  </r>
  <r>
    <d v="2025-06-11T13:27:11"/>
    <x v="8"/>
    <s v="Plaquettes d'ébauches rhombiques"/>
    <s v="SD75051"/>
    <s v="COMBALUZIER LUCAS"/>
    <n v="10"/>
    <x v="3"/>
    <x v="2"/>
    <s v="PLAQUETTES"/>
    <s v="330x28 RPE KO"/>
    <n v="70"/>
  </r>
  <r>
    <d v="2025-06-12T05:14:43"/>
    <x v="8"/>
    <s v="Plaquettes d'ébauches rhombiques"/>
    <s v="280225"/>
    <s v="FERNANDES DOS SANTOS REMY"/>
    <n v="10"/>
    <x v="1"/>
    <x v="3"/>
    <s v="PLAQUETTES"/>
    <s v="304x28 RPE"/>
    <n v="70"/>
  </r>
  <r>
    <d v="2025-06-12T06:12:02"/>
    <x v="8"/>
    <s v="Plaquettes d'ébauches rhombiques"/>
    <s v="SE08251"/>
    <s v="FAYET AYMERIC"/>
    <n v="10"/>
    <x v="0"/>
    <x v="3"/>
    <s v="PLAQUETTES"/>
    <s v="356x26 RPI"/>
    <n v="70"/>
  </r>
  <r>
    <d v="2025-06-12T13:47:16"/>
    <x v="8"/>
    <s v="Plaquettes d'ébauches rhombiques"/>
    <s v="140325"/>
    <s v="BOUCLIER JONATHAN"/>
    <n v="10"/>
    <x v="2"/>
    <x v="2"/>
    <s v="PLAQUETTES"/>
    <s v="302x26 RPI"/>
    <n v="70"/>
  </r>
  <r>
    <d v="2025-06-13T05:21:32"/>
    <x v="8"/>
    <s v="Plaquettes d'ébauches rhombiques"/>
    <s v="DELIAT C"/>
    <s v="DELIAT CHRISTOPHE"/>
    <n v="10"/>
    <x v="2"/>
    <x v="4"/>
    <s v="PLAQUETTES"/>
    <s v="302x26 RPI"/>
    <n v="70"/>
  </r>
  <r>
    <d v="2025-06-13T16:17:45"/>
    <x v="8"/>
    <s v="Plaquettes d'ébauches rhombiques"/>
    <s v="SD75051"/>
    <s v="COMBALUZIER LUCAS"/>
    <n v="10"/>
    <x v="3"/>
    <x v="2"/>
    <s v="PLAQUETTES"/>
    <s v="302x26 RPI"/>
    <n v="70"/>
  </r>
  <r>
    <d v="2025-06-16T00:33:07"/>
    <x v="8"/>
    <s v="Plaquettes d'ébauches rhombiques"/>
    <s v="U080365"/>
    <s v="ALAVOINE SAMUEL"/>
    <n v="10"/>
    <x v="2"/>
    <x v="2"/>
    <s v="PLAQUETTES"/>
    <s v="302x26 RPI"/>
    <n v="70"/>
  </r>
  <r>
    <d v="2025-06-16T06:23:17"/>
    <x v="8"/>
    <s v="Plaquettes d'ébauches rhombiques"/>
    <s v="SD75051"/>
    <s v="COMBALUZIER LUCAS"/>
    <n v="10"/>
    <x v="3"/>
    <x v="3"/>
    <s v="PLAQUETTES"/>
    <s v="302x26 RPI"/>
    <n v="70"/>
  </r>
  <r>
    <d v="2025-06-16T16:23:19"/>
    <x v="8"/>
    <s v="Plaquettes d'ébauches rhombiques"/>
    <s v="210325"/>
    <s v="DAUTUN ALLAN"/>
    <n v="10"/>
    <x v="2"/>
    <x v="4"/>
    <s v="PLAQUETTES"/>
    <s v="302x26 RPI"/>
    <n v="70"/>
  </r>
  <r>
    <d v="2025-06-16T16:23:32"/>
    <x v="8"/>
    <s v="Plaquettes d'ébauches rhombiques"/>
    <s v="210325"/>
    <s v="DAUTUN ALLAN"/>
    <n v="10"/>
    <x v="2"/>
    <x v="4"/>
    <s v="PLAQUETTES"/>
    <s v="302x26 RPI"/>
    <n v="70"/>
  </r>
  <r>
    <d v="2025-06-16T22:03:17"/>
    <x v="8"/>
    <s v="Plaquettes d'ébauches rhombiques"/>
    <s v="280225"/>
    <s v="FERNANDES DOS SANTOS REMY"/>
    <n v="10"/>
    <x v="1"/>
    <x v="3"/>
    <s v="PLAQUETTES"/>
    <s v="304x28 RPE"/>
    <n v="70"/>
  </r>
  <r>
    <d v="2025-06-16T23:34:22"/>
    <x v="8"/>
    <s v="Plaquettes d'ébauches rhombiques"/>
    <s v="SE08251"/>
    <s v="FAYET AYMERIC"/>
    <n v="10"/>
    <x v="0"/>
    <x v="2"/>
    <s v="PLAQUETTES"/>
    <s v="356x26 RPI"/>
    <n v="70"/>
  </r>
  <r>
    <d v="2025-06-17T05:22:00"/>
    <x v="8"/>
    <s v="Plaquettes d'ébauches rhombiques"/>
    <s v="140325"/>
    <s v="BOUCLIER JONATHAN"/>
    <n v="10"/>
    <x v="2"/>
    <x v="2"/>
    <s v="PLAQUETTES"/>
    <s v="302x26 RPI"/>
    <n v="70"/>
  </r>
  <r>
    <d v="2025-06-17T21:19:02"/>
    <x v="8"/>
    <s v="Plaquettes d'ébauches rhombiques"/>
    <s v="280225"/>
    <s v="FERNANDES DOS SANTOS REMY"/>
    <n v="10"/>
    <x v="1"/>
    <x v="3"/>
    <s v="PLAQUETTES"/>
    <s v="304x28 RPE"/>
    <n v="70"/>
  </r>
  <r>
    <d v="2025-06-18T05:35:30"/>
    <x v="8"/>
    <s v="Plaquettes d'ébauches rhombiques"/>
    <s v="140325"/>
    <s v="BOUCLIER JONATHAN"/>
    <n v="10"/>
    <x v="2"/>
    <x v="2"/>
    <s v="PLAQUETTES"/>
    <s v="302x26 RPI"/>
    <n v="70"/>
  </r>
  <r>
    <d v="2025-06-19T07:32:49"/>
    <x v="8"/>
    <s v="Plaquettes d'ébauches rhombiques"/>
    <s v="SD75051"/>
    <s v="COMBALUZIER LUCAS"/>
    <n v="10"/>
    <x v="0"/>
    <x v="2"/>
    <s v="PLAQUETTES"/>
    <s v="330x14"/>
    <n v="70"/>
  </r>
  <r>
    <d v="2025-06-19T09:28:45"/>
    <x v="8"/>
    <s v="Plaquettes d'ébauches rhombiques"/>
    <s v="140325"/>
    <s v="BOUCLIER JONATHAN"/>
    <n v="10"/>
    <x v="2"/>
    <x v="4"/>
    <s v="PLAQUETTES"/>
    <s v="302x26 RPI"/>
    <n v="70"/>
  </r>
  <r>
    <d v="2025-06-19T22:14:05"/>
    <x v="8"/>
    <s v="Plaquettes d'ébauches rhombiques"/>
    <s v="SE08251"/>
    <s v="FAYET AYMERIC"/>
    <n v="10"/>
    <x v="3"/>
    <x v="2"/>
    <s v="PLAQUETTES"/>
    <s v="302x26 RPI"/>
    <n v="70"/>
  </r>
  <r>
    <d v="2025-06-19T22:14:30"/>
    <x v="8"/>
    <s v="Plaquettes d'ébauches rhombiques"/>
    <s v="SE08251"/>
    <s v="FAYET AYMERIC"/>
    <n v="10"/>
    <x v="0"/>
    <x v="2"/>
    <s v="PLAQUETTES"/>
    <s v="330x14"/>
    <n v="70"/>
  </r>
  <r>
    <d v="2025-06-20T17:35:33"/>
    <x v="8"/>
    <s v="Plaquettes d'ébauches rhombiques"/>
    <s v="130124"/>
    <s v="MOHAMED ILDIRAY"/>
    <n v="10"/>
    <x v="1"/>
    <x v="3"/>
    <s v="PLAQUETTES"/>
    <s v="356x26 RPI"/>
    <n v="70"/>
  </r>
  <r>
    <d v="2025-06-22T23:28:57"/>
    <x v="8"/>
    <s v="Plaquettes d'ébauches rhombiques"/>
    <s v="U109136"/>
    <s v="WIPLIE FREDERIC"/>
    <n v="10"/>
    <x v="0"/>
    <x v="3"/>
    <s v="PLAQUETTES"/>
    <s v="330x14"/>
    <n v="70"/>
  </r>
  <r>
    <d v="2025-06-23T14:38:08"/>
    <x v="8"/>
    <s v="Plaquettes d'ébauches rhombiques"/>
    <s v="SE08251"/>
    <s v="FAYET AYMERIC"/>
    <n v="10"/>
    <x v="0"/>
    <x v="2"/>
    <s v="PLAQUETTES"/>
    <s v="330x14"/>
    <n v="70"/>
  </r>
  <r>
    <d v="2025-06-23T14:38:24"/>
    <x v="8"/>
    <s v="Plaquettes d'ébauches rhombiques"/>
    <s v="SE08251"/>
    <s v="FAYET AYMERIC"/>
    <n v="10"/>
    <x v="3"/>
    <x v="2"/>
    <s v="PLAQUETTES"/>
    <s v="290x12"/>
    <n v="70"/>
  </r>
  <r>
    <d v="2025-06-25T05:55:28"/>
    <x v="8"/>
    <s v="Plaquettes d'ébauches rhombiques"/>
    <s v="130124"/>
    <s v="MOHAMED ILDIRAY"/>
    <n v="10"/>
    <x v="1"/>
    <x v="3"/>
    <s v="PLAQUETTES"/>
    <s v="356x26 RPI"/>
    <n v="70"/>
  </r>
  <r>
    <d v="2025-06-25T06:16:32"/>
    <x v="8"/>
    <s v="Plaquettes d'ébauches rhombiques"/>
    <s v="U561365"/>
    <s v="BALLY BENOIT"/>
    <n v="10"/>
    <x v="3"/>
    <x v="3"/>
    <s v="PLAQUETTES"/>
    <s v="304x28 RPE"/>
    <n v="70"/>
  </r>
  <r>
    <d v="2025-06-25T07:57:45"/>
    <x v="8"/>
    <s v="Plaquettes d'ébauches rhombiques"/>
    <s v="210325"/>
    <s v="DAUTUN ALLAN"/>
    <n v="10"/>
    <x v="2"/>
    <x v="2"/>
    <s v="PLAQUETTES"/>
    <s v="302x26 RPI"/>
    <n v="70"/>
  </r>
  <r>
    <d v="2025-06-25T07:57:58"/>
    <x v="8"/>
    <s v="Plaquettes d'ébauches rhombiques"/>
    <s v="210325"/>
    <s v="DAUTUN ALLAN"/>
    <n v="10"/>
    <x v="2"/>
    <x v="4"/>
    <s v="PLAQUETTES"/>
    <s v="302x26 RPI"/>
    <n v="70"/>
  </r>
  <r>
    <d v="2025-06-25T15:34:51"/>
    <x v="8"/>
    <s v="Plaquettes d'ébauches rhombiques"/>
    <s v="SE08251"/>
    <s v="FAYET AYMERIC"/>
    <n v="10"/>
    <x v="0"/>
    <x v="2"/>
    <s v="PLAQUETTES"/>
    <s v="330x14"/>
    <n v="70"/>
  </r>
  <r>
    <d v="2025-06-25T21:32:35"/>
    <x v="8"/>
    <s v="Plaquettes d'ébauches rhombiques"/>
    <s v="140325"/>
    <s v="BOUCLIER JONATHAN"/>
    <n v="10"/>
    <x v="2"/>
    <x v="4"/>
    <s v="PLAQUETTES"/>
    <s v="302x26 RPI"/>
    <n v="70"/>
  </r>
  <r>
    <d v="2025-06-27T10:12:27"/>
    <x v="8"/>
    <s v="Plaquettes d'ébauches rhombiques"/>
    <s v="U109136"/>
    <s v="WIPLIE FREDERIC"/>
    <n v="10"/>
    <x v="1"/>
    <x v="3"/>
    <s v="PLAQUETTES"/>
    <s v="356x26 RPI"/>
    <n v="70"/>
  </r>
  <r>
    <d v="2025-06-27T21:20:54"/>
    <x v="8"/>
    <s v="Plaquettes d'ébauches rhombiques"/>
    <s v="SD75051"/>
    <s v="COMBALUZIER LUCAS"/>
    <n v="10"/>
    <x v="0"/>
    <x v="3"/>
    <s v="PLAQUETTES"/>
    <s v="330x14"/>
    <n v="70"/>
  </r>
  <r>
    <d v="2025-06-29T17:53:39"/>
    <x v="8"/>
    <s v="Plaquettes d'ébauches rhombiques"/>
    <s v="U109136"/>
    <s v="WIPLIE FREDERIC"/>
    <n v="10"/>
    <x v="1"/>
    <x v="3"/>
    <s v="PLAQUETTES"/>
    <s v="356x26 RPI"/>
    <n v="70"/>
  </r>
  <r>
    <d v="2025-06-30T06:40:37"/>
    <x v="8"/>
    <s v="Plaquettes d'ébauches rhombiques"/>
    <s v="SE08251"/>
    <s v="FAYET AYMERIC"/>
    <n v="10"/>
    <x v="0"/>
    <x v="2"/>
    <s v="PLAQUETTES"/>
    <s v="290x12"/>
    <n v="70"/>
  </r>
  <r>
    <d v="2025-06-30T06:41:17"/>
    <x v="8"/>
    <s v="Plaquettes d'ébauches rhombiques"/>
    <s v="SE08251"/>
    <s v="FAYET AYMERIC"/>
    <n v="10"/>
    <x v="3"/>
    <x v="2"/>
    <s v="PLAQUETTES"/>
    <s v="304x28 RPE"/>
    <n v="70"/>
  </r>
  <r>
    <d v="2025-06-30T07:16:45"/>
    <x v="8"/>
    <s v="Plaquettes d'ébauches rhombiques"/>
    <s v="250425"/>
    <s v="CHANDAR ABDER"/>
    <n v="10"/>
    <x v="2"/>
    <x v="2"/>
    <s v="PLAQUETTES"/>
    <s v="302x26 RPI"/>
    <n v="70"/>
  </r>
  <r>
    <d v="2025-06-30T07:17:16"/>
    <x v="8"/>
    <s v="Plaquettes d'ébauches rhombiques"/>
    <s v="250425"/>
    <s v="CHANDAR ABDER"/>
    <n v="10"/>
    <x v="2"/>
    <x v="2"/>
    <s v="PLAQUETTES"/>
    <s v="302x26 RPI"/>
    <n v="70"/>
  </r>
  <r>
    <d v="2025-06-30T19:29:04"/>
    <x v="8"/>
    <s v="Plaquettes d'ébauches rhombiques"/>
    <s v="140325"/>
    <s v="BOUCLIER JONATHAN"/>
    <n v="10"/>
    <x v="2"/>
    <x v="2"/>
    <s v="PLAQUETTES"/>
    <s v="302x26 RPI"/>
    <n v="70"/>
  </r>
  <r>
    <d v="2025-06-30T19:30:09"/>
    <x v="8"/>
    <s v="Plaquettes d'ébauches rhombiques"/>
    <s v="140325"/>
    <s v="BOUCLIER JONATHAN"/>
    <n v="10"/>
    <x v="2"/>
    <x v="4"/>
    <s v="PLAQUETTES"/>
    <s v="302x26 RPI"/>
    <n v="70"/>
  </r>
  <r>
    <d v="2025-07-01T08:57:17"/>
    <x v="8"/>
    <s v="Plaquettes d'ébauches rhombiques"/>
    <s v="SE08251"/>
    <s v="FAYET AYMERIC"/>
    <n v="10"/>
    <x v="0"/>
    <x v="3"/>
    <s v="PLAQUETTES"/>
    <s v="290x12"/>
    <n v="70"/>
  </r>
  <r>
    <d v="2025-07-02T08:00:10"/>
    <x v="8"/>
    <s v="Plaquettes d'ébauches rhombiques"/>
    <s v="250425"/>
    <s v="CHANDAR ABDER"/>
    <n v="10"/>
    <x v="2"/>
    <x v="2"/>
    <s v="PLAQUETTES"/>
    <s v="302x26 RPI"/>
    <n v="70"/>
  </r>
  <r>
    <d v="2025-07-02T08:47:26"/>
    <x v="8"/>
    <s v="Plaquettes d'ébauches rhombiques"/>
    <s v="270725"/>
    <s v="GUIBERT EMERIC"/>
    <n v="10"/>
    <x v="2"/>
    <x v="1"/>
    <s v="PLAQUETTES"/>
    <s v="302x26 RPI"/>
    <n v="70"/>
  </r>
  <r>
    <d v="2025-07-03T01:33:07"/>
    <x v="8"/>
    <s v="Plaquettes d'ébauches rhombiques"/>
    <s v="130124"/>
    <s v="MOHAMED ILDIRAY"/>
    <n v="10"/>
    <x v="1"/>
    <x v="3"/>
    <s v="PLAQUETTES"/>
    <s v="356x26 RPI"/>
    <n v="70"/>
  </r>
  <r>
    <d v="2025-07-03T15:44:13"/>
    <x v="8"/>
    <s v="Plaquettes d'ébauches rhombiques"/>
    <s v="SD75051"/>
    <s v="COMBALUZIER LUCAS"/>
    <n v="10"/>
    <x v="0"/>
    <x v="3"/>
    <s v="PLAQUETTES"/>
    <s v="290x12"/>
    <n v="70"/>
  </r>
  <r>
    <d v="2025-07-04T15:02:15"/>
    <x v="8"/>
    <s v="Plaquettes d'ébauches rhombiques"/>
    <s v="SD75051"/>
    <s v="COMBALUZIER LUCAS"/>
    <n v="10"/>
    <x v="0"/>
    <x v="3"/>
    <s v="PLAQUETTES"/>
    <s v="290x12"/>
    <n v="70"/>
  </r>
  <r>
    <d v="2025-07-04T15:03:01"/>
    <x v="8"/>
    <s v="Plaquettes d'ébauches rhombiques"/>
    <s v="SD75051"/>
    <s v="COMBALUZIER LUCAS"/>
    <n v="10"/>
    <x v="3"/>
    <x v="3"/>
    <s v="PLAQUETTES"/>
    <s v="330x14"/>
    <n v="70"/>
  </r>
  <r>
    <d v="2025-07-04T15:44:27"/>
    <x v="8"/>
    <s v="Plaquettes d'ébauches rhombiques"/>
    <s v="SD75051"/>
    <s v="COMBALUZIER LUCAS"/>
    <n v="10"/>
    <x v="3"/>
    <x v="3"/>
    <s v="PLAQUETTES"/>
    <s v="330x14"/>
    <n v="70"/>
  </r>
  <r>
    <d v="2025-07-04T15:44:58"/>
    <x v="8"/>
    <s v="Plaquettes d'ébauches rhombiques"/>
    <s v="SD75051"/>
    <s v="COMBALUZIER LUCAS"/>
    <n v="10"/>
    <x v="0"/>
    <x v="3"/>
    <s v="PLAQUETTES"/>
    <s v="290x12"/>
    <n v="70"/>
  </r>
  <r>
    <d v="2025-07-04T21:04:04"/>
    <x v="8"/>
    <s v="Plaquettes d'ébauches rhombiques"/>
    <s v="130124"/>
    <s v="MOHAMED ILDIRAY"/>
    <n v="10"/>
    <x v="1"/>
    <x v="3"/>
    <s v="PLAQUETTES"/>
    <s v="356x26 RPI"/>
    <n v="70"/>
  </r>
  <r>
    <d v="2025-07-07T05:12:33"/>
    <x v="8"/>
    <s v="Plaquettes d'ébauches rhombiques"/>
    <s v="140325"/>
    <s v="BOUCLIER JONATHAN"/>
    <n v="10"/>
    <x v="2"/>
    <x v="4"/>
    <s v="PLAQUETTES"/>
    <s v="302x26 RPI"/>
    <n v="70"/>
  </r>
  <r>
    <d v="2025-07-07T06:33:40"/>
    <x v="8"/>
    <s v="Plaquettes d'ébauches rhombiques"/>
    <s v="270725"/>
    <s v="GUIBERT EMERIC"/>
    <n v="10"/>
    <x v="2"/>
    <x v="1"/>
    <s v="PLAQUETTES"/>
    <s v="302x26 RPI"/>
    <n v="70"/>
  </r>
  <r>
    <d v="2025-07-07T15:56:35"/>
    <x v="8"/>
    <s v="Plaquettes d'ébauches rhombiques"/>
    <s v="210325"/>
    <s v="DAUTUN ALLAN"/>
    <n v="10"/>
    <x v="2"/>
    <x v="2"/>
    <s v="PLAQUETTES"/>
    <s v="302x26 RPI"/>
    <n v="70"/>
  </r>
  <r>
    <d v="2025-07-07T15:57:05"/>
    <x v="8"/>
    <s v="Plaquettes d'ébauches rhombiques"/>
    <s v="210325"/>
    <s v="DAUTUN ALLAN"/>
    <n v="10"/>
    <x v="2"/>
    <x v="4"/>
    <s v="PLAQUETTES"/>
    <s v="302x26 RPI"/>
    <n v="70"/>
  </r>
  <r>
    <d v="2025-07-08T12:06:50"/>
    <x v="8"/>
    <s v="Plaquettes d'ébauches rhombiques"/>
    <s v="140325"/>
    <s v="BOUCLIER JONATHAN"/>
    <n v="10"/>
    <x v="2"/>
    <x v="2"/>
    <s v="PLAQUETTES"/>
    <s v="302x26 RPI"/>
    <n v="70"/>
  </r>
  <r>
    <d v="2025-07-08T12:07:40"/>
    <x v="8"/>
    <s v="Plaquettes d'ébauches rhombiques"/>
    <s v="140325"/>
    <s v="BOUCLIER JONATHAN"/>
    <n v="10"/>
    <x v="2"/>
    <x v="4"/>
    <s v="PLAQUETTES"/>
    <s v="302x26 RPI"/>
    <n v="70"/>
  </r>
  <r>
    <d v="2025-07-08T22:31:35"/>
    <x v="8"/>
    <s v="Plaquettes d'ébauches rhombiques"/>
    <s v="250425"/>
    <s v="CHANDAR ABDER"/>
    <n v="10"/>
    <x v="2"/>
    <x v="4"/>
    <s v="PLAQUETTES"/>
    <s v="302x26 RPI"/>
    <n v="70"/>
  </r>
  <r>
    <d v="2025-07-09T13:15:25"/>
    <x v="8"/>
    <s v="Plaquettes d'ébauches rhombiques"/>
    <s v="130124"/>
    <s v="MOHAMED ILDIRAY"/>
    <n v="10"/>
    <x v="1"/>
    <x v="3"/>
    <s v="PLAQUETTES"/>
    <s v="304x28 RPE"/>
    <n v="70"/>
  </r>
  <r>
    <d v="2025-07-10T05:19:13"/>
    <x v="8"/>
    <s v="Plaquettes d'ébauches rhombiques"/>
    <s v="SD75051"/>
    <s v="COMBALUZIER LUCAS"/>
    <n v="10"/>
    <x v="0"/>
    <x v="3"/>
    <s v="PLAQUETTES"/>
    <s v="356x26 RPI"/>
    <n v="70"/>
  </r>
  <r>
    <d v="2025-07-10T20:29:24"/>
    <x v="8"/>
    <s v="Plaquettes d'ébauches rhombiques"/>
    <s v="210325"/>
    <s v="DAUTUN ALLAN"/>
    <n v="10"/>
    <x v="2"/>
    <x v="2"/>
    <s v="PLAQUETTES"/>
    <s v="302x26 RPI"/>
    <n v="70"/>
  </r>
  <r>
    <d v="2025-07-10T20:29:40"/>
    <x v="8"/>
    <s v="Plaquettes d'ébauches rhombiques"/>
    <s v="210325"/>
    <s v="DAUTUN ALLAN"/>
    <n v="10"/>
    <x v="2"/>
    <x v="4"/>
    <s v="PLAQUETTES"/>
    <s v="302x26 RPI"/>
    <n v="70"/>
  </r>
  <r>
    <d v="2025-07-11T05:14:17"/>
    <x v="8"/>
    <s v="Plaquettes d'ébauches rhombiques"/>
    <s v="J534699"/>
    <s v="FABIAN CHARTON"/>
    <n v="10"/>
    <x v="2"/>
    <x v="1"/>
    <s v="PLAQUETTES"/>
    <s v="302x26 RPI"/>
    <n v="70"/>
  </r>
  <r>
    <d v="2025-07-11T05:15:13"/>
    <x v="8"/>
    <s v="Plaquettes d'ébauches rhombiques"/>
    <s v="J534699"/>
    <s v="FABIAN CHARTON"/>
    <n v="10"/>
    <x v="2"/>
    <x v="4"/>
    <s v="PLAQUETTES"/>
    <s v="302x26 RPI"/>
    <n v="70"/>
  </r>
  <r>
    <d v="2025-07-11T13:13:08"/>
    <x v="8"/>
    <s v="Plaquettes d'ébauches rhombiques"/>
    <s v="130124"/>
    <s v="MOHAMED ILDIRAY"/>
    <n v="10"/>
    <x v="1"/>
    <x v="3"/>
    <s v="PLAQUETTES"/>
    <s v="304x28 RPE"/>
    <n v="70"/>
  </r>
  <r>
    <d v="2025-07-13T17:48:22"/>
    <x v="8"/>
    <s v="Plaquettes d'ébauches rhombiques"/>
    <s v="J534699"/>
    <s v="FABIAN CHARTON"/>
    <n v="10"/>
    <x v="2"/>
    <x v="2"/>
    <s v="PLAQUETTES"/>
    <s v="302x26 RPI"/>
    <n v="70"/>
  </r>
  <r>
    <d v="2025-07-13T17:49:39"/>
    <x v="8"/>
    <s v="Plaquettes d'ébauches rhombiques"/>
    <s v="J534699"/>
    <s v="FABIAN CHARTON"/>
    <n v="10"/>
    <x v="2"/>
    <x v="4"/>
    <s v="PLAQUETTES"/>
    <s v="302x26 RPI"/>
    <n v="70"/>
  </r>
  <r>
    <d v="2025-07-13T19:45:37"/>
    <x v="8"/>
    <s v="Plaquettes d'ébauches rhombiques"/>
    <s v="U080365"/>
    <s v="ALAVOINE SAMUEL"/>
    <n v="10"/>
    <x v="0"/>
    <x v="3"/>
    <s v="PLAQUETTES"/>
    <s v="356x26 RPI"/>
    <n v="70"/>
  </r>
  <r>
    <d v="2025-07-13T22:21:04"/>
    <x v="8"/>
    <s v="Plaquettes d'ébauches rhombiques"/>
    <s v="U109136"/>
    <s v="WIPLIE FREDERIC"/>
    <n v="10"/>
    <x v="1"/>
    <x v="3"/>
    <s v="PLAQUETTES"/>
    <s v="304x28 RPE"/>
    <n v="70"/>
  </r>
  <r>
    <d v="2025-07-14T23:58:44"/>
    <x v="8"/>
    <s v="Plaquettes d'ébauches rhombiques"/>
    <s v="270725"/>
    <s v="GUIBERT EMERIC"/>
    <n v="10"/>
    <x v="2"/>
    <x v="1"/>
    <s v="PLAQUETTES"/>
    <s v="302x26 RPI"/>
    <n v="70"/>
  </r>
  <r>
    <d v="2025-07-15T05:04:00"/>
    <x v="8"/>
    <s v="Plaquettes d'ébauches rhombiques"/>
    <s v="130124"/>
    <s v="MOHAMED ILDIRAY"/>
    <n v="10"/>
    <x v="1"/>
    <x v="3"/>
    <s v="PLAQUETTES"/>
    <s v="304x28 RPE"/>
    <n v="70"/>
  </r>
  <r>
    <d v="2025-07-15T12:24:09"/>
    <x v="8"/>
    <s v="Plaquettes d'ébauches rhombiques"/>
    <s v="210325"/>
    <s v="DAUTUN ALLAN"/>
    <n v="10"/>
    <x v="2"/>
    <x v="4"/>
    <s v="PLAQUETTES"/>
    <s v="302x26 RPI"/>
    <n v="70"/>
  </r>
  <r>
    <d v="2025-07-15T13:25:43"/>
    <x v="8"/>
    <s v="Plaquettes d'ébauches rhombiques"/>
    <s v="SE08251"/>
    <s v="FAYET AYMERIC"/>
    <n v="10"/>
    <x v="3"/>
    <x v="2"/>
    <s v="PLAQUETTES"/>
    <s v="290x12"/>
    <n v="70"/>
  </r>
  <r>
    <d v="2025-07-16T04:23:40"/>
    <x v="8"/>
    <s v="Plaquettes d'ébauches rhombiques"/>
    <s v="140325"/>
    <s v="BOUCLIER JONATHAN"/>
    <n v="10"/>
    <x v="2"/>
    <x v="2"/>
    <s v="PLAQUETTES"/>
    <s v="302x26 RPI"/>
    <n v="70"/>
  </r>
  <r>
    <d v="2025-07-16T04:24:37"/>
    <x v="8"/>
    <s v="Plaquettes d'ébauches rhombiques"/>
    <s v="140325"/>
    <s v="BOUCLIER JONATHAN"/>
    <n v="10"/>
    <x v="2"/>
    <x v="4"/>
    <s v="PLAQUETTES"/>
    <s v="302x26 RPI"/>
    <n v="70"/>
  </r>
  <r>
    <d v="2025-07-16T04:37:10"/>
    <x v="8"/>
    <s v="Plaquettes d'ébauches rhombiques"/>
    <s v="130325"/>
    <s v="PAPONNEAU JULIEN"/>
    <n v="10"/>
    <x v="1"/>
    <x v="3"/>
    <s v="PLAQUETTES"/>
    <s v="304x28 RPE"/>
    <n v="70"/>
  </r>
  <r>
    <d v="2025-07-16T11:39:06"/>
    <x v="8"/>
    <s v="Plaquettes d'ébauches rhombiques"/>
    <s v="12824586"/>
    <s v="DA SILVA FERNANDO"/>
    <n v="10"/>
    <x v="1"/>
    <x v="2"/>
    <s v="PLAQUETTES"/>
    <s v="TOUT DISQUES"/>
    <n v="70"/>
  </r>
  <r>
    <d v="2025-07-16T19:53:43"/>
    <x v="8"/>
    <s v="Plaquettes d'ébauches rhombiques"/>
    <s v="SE08251"/>
    <s v="FAYET AYMERIC"/>
    <n v="10"/>
    <x v="3"/>
    <x v="2"/>
    <s v="PLAQUETTES"/>
    <s v="290x12"/>
    <n v="70"/>
  </r>
  <r>
    <d v="2025-07-17T05:07:46"/>
    <x v="8"/>
    <s v="Plaquettes d'ébauches rhombiques"/>
    <s v="130124"/>
    <s v="MOHAMED ILDIRAY"/>
    <n v="10"/>
    <x v="1"/>
    <x v="3"/>
    <s v="PLAQUETTES"/>
    <s v="304x28 RPE"/>
    <n v="70"/>
  </r>
  <r>
    <d v="2025-07-17T08:15:15"/>
    <x v="8"/>
    <s v="Plaquettes d'ébauches rhombiques"/>
    <s v="SD13196"/>
    <s v="FRADIN MAXIME"/>
    <n v="10"/>
    <x v="3"/>
    <x v="2"/>
    <s v="PLAQUETTES"/>
    <s v="290x12"/>
    <n v="70"/>
  </r>
  <r>
    <d v="2025-07-18T05:29:52"/>
    <x v="8"/>
    <s v="Plaquettes d'ébauches rhombiques"/>
    <s v="J534699"/>
    <s v="FABIAN CHARTON"/>
    <n v="10"/>
    <x v="2"/>
    <x v="2"/>
    <s v="PLAQUETTES"/>
    <s v="302x26 RPI"/>
    <n v="70"/>
  </r>
  <r>
    <d v="2025-07-18T05:31:19"/>
    <x v="8"/>
    <s v="Plaquettes d'ébauches rhombiques"/>
    <s v="J534699"/>
    <s v="FABIAN CHARTON"/>
    <n v="10"/>
    <x v="2"/>
    <x v="4"/>
    <s v="PLAQUETTES"/>
    <s v="302x26 RPI"/>
    <n v="70"/>
  </r>
  <r>
    <d v="2025-07-18T21:59:04"/>
    <x v="8"/>
    <s v="Plaquettes d'ébauches rhombiques"/>
    <s v="sc95213"/>
    <s v="RABET PAULINE"/>
    <n v="10"/>
    <x v="1"/>
    <x v="3"/>
    <s v="PLAQUETTES"/>
    <s v="302x26 RPI"/>
    <n v="70"/>
  </r>
  <r>
    <d v="2025-07-20T18:11:15"/>
    <x v="8"/>
    <s v="Plaquettes d'ébauches rhombiques"/>
    <s v="U080365"/>
    <s v="ALAVOINE SAMUEL"/>
    <n v="10"/>
    <x v="1"/>
    <x v="3"/>
    <s v="PLAQUETTES"/>
    <s v="304x28 RPE"/>
    <n v="70"/>
  </r>
  <r>
    <d v="2025-07-21T03:35:11"/>
    <x v="8"/>
    <s v="Plaquettes d'ébauches rhombiques"/>
    <s v="U109136"/>
    <s v="WIPLIE FREDERIC"/>
    <n v="10"/>
    <x v="3"/>
    <x v="3"/>
    <s v="PLAQUETTES"/>
    <s v="330x14"/>
    <n v="70"/>
  </r>
  <r>
    <d v="2025-07-21T12:40:25"/>
    <x v="8"/>
    <s v="Plaquettes d'ébauches rhombiques"/>
    <s v="SE08251"/>
    <s v="FAYET AYMERIC"/>
    <n v="10"/>
    <x v="0"/>
    <x v="3"/>
    <s v="PLAQUETTES"/>
    <s v="356x26 RPI"/>
    <n v="70"/>
  </r>
  <r>
    <d v="2025-07-21T17:53:22"/>
    <x v="8"/>
    <s v="Plaquettes d'ébauches rhombiques"/>
    <s v="270725"/>
    <s v="GUIBERT EMERIC"/>
    <n v="10"/>
    <x v="2"/>
    <x v="1"/>
    <s v="PLAQUETTES"/>
    <s v="302x26 RPI"/>
    <n v="70"/>
  </r>
  <r>
    <d v="2025-07-21T21:54:20"/>
    <x v="8"/>
    <s v="Plaquettes d'ébauches rhombiques"/>
    <s v="101123"/>
    <s v="BRUNET ANDREA"/>
    <n v="10"/>
    <x v="1"/>
    <x v="3"/>
    <s v="PLAQUETTES"/>
    <s v="304x28 RPE"/>
    <n v="70"/>
  </r>
  <r>
    <d v="2025-07-22T05:37:20"/>
    <x v="8"/>
    <s v="Plaquettes d'ébauches rhombiques"/>
    <s v="SE08251"/>
    <s v="FAYET AYMERIC"/>
    <n v="10"/>
    <x v="3"/>
    <x v="2"/>
    <s v="PLAQUETTES"/>
    <s v="290x12"/>
    <n v="70"/>
  </r>
  <r>
    <d v="2025-07-23T04:27:35"/>
    <x v="8"/>
    <s v="Plaquettes d'ébauches rhombiques"/>
    <s v="210325"/>
    <s v="DAUTUN ALLAN"/>
    <n v="10"/>
    <x v="2"/>
    <x v="2"/>
    <s v="PLAQUETTES"/>
    <s v="302x26 RPI"/>
    <n v="70"/>
  </r>
  <r>
    <d v="2025-07-23T04:27:59"/>
    <x v="8"/>
    <s v="Plaquettes d'ébauches rhombiques"/>
    <s v="210325"/>
    <s v="DAUTUN ALLAN"/>
    <n v="10"/>
    <x v="2"/>
    <x v="2"/>
    <s v="PLAQUETTES"/>
    <s v="302x26 RPI"/>
    <n v="70"/>
  </r>
  <r>
    <d v="2025-07-23T04:28:24"/>
    <x v="8"/>
    <s v="Plaquettes d'ébauches rhombiques"/>
    <s v="210325"/>
    <s v="DAUTUN ALLAN"/>
    <n v="10"/>
    <x v="2"/>
    <x v="4"/>
    <s v="PLAQUETTES"/>
    <s v="302x26 RPI"/>
    <n v="70"/>
  </r>
  <r>
    <d v="2025-07-23T20:22:10"/>
    <x v="8"/>
    <s v="Plaquettes d'ébauches rhombiques"/>
    <s v="130325"/>
    <s v="PAPONNEAU JULIEN"/>
    <n v="10"/>
    <x v="1"/>
    <x v="3"/>
    <s v="PLAQUETTES"/>
    <s v="304x28 RPE"/>
    <n v="70"/>
  </r>
  <r>
    <d v="2025-07-23T20:22:24"/>
    <x v="8"/>
    <s v="Plaquettes d'ébauches rhombiques"/>
    <s v="130325"/>
    <s v="PAPONNEAU JULIEN"/>
    <n v="10"/>
    <x v="1"/>
    <x v="3"/>
    <s v="PLAQUETTES"/>
    <s v="304x28 RPE"/>
    <n v="70"/>
  </r>
  <r>
    <d v="2025-07-23T20:24:03"/>
    <x v="8"/>
    <s v="Plaquettes d'ébauches rhombiques"/>
    <s v="140325"/>
    <s v="BOUCLIER JONATHAN"/>
    <n v="10"/>
    <x v="2"/>
    <x v="2"/>
    <s v="PLAQUETTES"/>
    <s v="302x26 RPI"/>
    <n v="70"/>
  </r>
  <r>
    <d v="2025-07-23T21:05:26"/>
    <x v="8"/>
    <s v="Plaquettes d'ébauches rhombiques"/>
    <s v="130124"/>
    <s v="MOHAMED ILDIRAY"/>
    <n v="10"/>
    <x v="1"/>
    <x v="3"/>
    <s v="PLAQUETTES"/>
    <s v="304x28 RPE"/>
    <n v="70"/>
  </r>
  <r>
    <d v="2025-07-24T05:45:16"/>
    <x v="8"/>
    <s v="Plaquettes d'ébauches rhombiques"/>
    <s v="j529800"/>
    <s v="MONTCHARMONT BAPTISTE"/>
    <n v="10"/>
    <x v="0"/>
    <x v="3"/>
    <s v="PLAQUETTES"/>
    <s v="356x26 RPI"/>
    <n v="70"/>
  </r>
  <r>
    <d v="2025-07-24T13:39:43"/>
    <x v="8"/>
    <s v="Plaquettes d'ébauches rhombiques"/>
    <s v="270725"/>
    <s v="GUIBERT EMERIC"/>
    <n v="10"/>
    <x v="2"/>
    <x v="1"/>
    <s v="PLAQUETTES"/>
    <s v="302x26 RPI"/>
    <n v="70"/>
  </r>
  <r>
    <d v="2025-07-24T15:43:53"/>
    <x v="8"/>
    <s v="Plaquettes d'ébauches rhombiques"/>
    <s v="140325"/>
    <s v="BOUCLIER JONATHAN"/>
    <n v="10"/>
    <x v="2"/>
    <x v="2"/>
    <s v="PLAQUETTES"/>
    <s v="302x26 RPI"/>
    <n v="70"/>
  </r>
  <r>
    <d v="2025-07-24T17:52:17"/>
    <x v="8"/>
    <s v="Plaquettes d'ébauches rhombiques"/>
    <s v="040725"/>
    <s v="BARGEOT LUCAS"/>
    <n v="10"/>
    <x v="3"/>
    <x v="3"/>
    <s v="PLAQUETTES"/>
    <s v="330x14"/>
    <n v="70"/>
  </r>
  <r>
    <d v="2025-07-25T08:13:41"/>
    <x v="8"/>
    <s v="Plaquettes d'ébauches rhombiques"/>
    <s v="U080365"/>
    <s v="ALAVOINE SAMUEL"/>
    <n v="10"/>
    <x v="0"/>
    <x v="3"/>
    <s v="PLAQUETTES"/>
    <s v="290x12"/>
    <n v="70"/>
  </r>
  <r>
    <d v="2025-07-25T21:52:48"/>
    <x v="8"/>
    <s v="Plaquettes d'ébauches rhombiques"/>
    <s v="130124"/>
    <s v="MOHAMED ILDIRAY"/>
    <n v="10"/>
    <x v="1"/>
    <x v="3"/>
    <s v="PLAQUETTES"/>
    <s v="304x28 RPE"/>
    <n v="70"/>
  </r>
  <r>
    <d v="2025-07-26T05:04:47"/>
    <x v="8"/>
    <s v="Plaquettes d'ébauches rhombiques"/>
    <s v="DELIAT C"/>
    <s v="DELIAT CHRISTOPHE"/>
    <n v="10"/>
    <x v="2"/>
    <x v="4"/>
    <s v="PLAQUETTES"/>
    <s v="302x26 RPI"/>
    <n v="70"/>
  </r>
  <r>
    <d v="2025-07-28T13:53:11"/>
    <x v="8"/>
    <s v="Plaquettes d'ébauches rhombiques"/>
    <s v="140325"/>
    <s v="BOUCLIER JONATHAN"/>
    <n v="10"/>
    <x v="2"/>
    <x v="1"/>
    <s v="PLAQUETTES"/>
    <s v="302x26 RPI"/>
    <n v="70"/>
  </r>
  <r>
    <d v="2025-07-28T19:00:21"/>
    <x v="8"/>
    <s v="Plaquettes d'ébauches rhombiques"/>
    <s v="U109136"/>
    <s v="WIPLIE FREDERIC"/>
    <n v="10"/>
    <x v="0"/>
    <x v="3"/>
    <s v="PLAQUETTES"/>
    <s v="290x12"/>
    <n v="70"/>
  </r>
  <r>
    <d v="2025-07-29T05:54:54"/>
    <x v="8"/>
    <s v="Plaquettes d'ébauches rhombiques"/>
    <s v="u636817"/>
    <s v="MOCQUEREAU LYDIE"/>
    <n v="10"/>
    <x v="2"/>
    <x v="1"/>
    <s v="PLAQUETTES"/>
    <s v="302x26 RPI"/>
    <n v="70"/>
  </r>
  <r>
    <d v="2025-07-29T08:25:33"/>
    <x v="8"/>
    <s v="Plaquettes d'ébauches rhombiques"/>
    <s v="020824"/>
    <s v="DA SILVA RENAUD"/>
    <n v="10"/>
    <x v="1"/>
    <x v="2"/>
    <s v="PLAQUETTES"/>
    <s v="TOUT DISQUES"/>
    <n v="70"/>
  </r>
  <r>
    <d v="2025-07-29T17:44:42"/>
    <x v="8"/>
    <s v="Plaquettes d'ébauches rhombiques"/>
    <s v="140325"/>
    <s v="BOUCLIER JONATHAN"/>
    <n v="10"/>
    <x v="2"/>
    <x v="4"/>
    <s v="PLAQUETTES"/>
    <s v="302x26 RPI"/>
    <n v="70"/>
  </r>
  <r>
    <d v="2025-07-30T06:40:19"/>
    <x v="8"/>
    <s v="Plaquettes d'ébauches rhombiques"/>
    <s v="040725"/>
    <s v="BARGEOT LUCAS"/>
    <n v="10"/>
    <x v="0"/>
    <x v="3"/>
    <s v="PLAQUETTES"/>
    <s v="290x12"/>
    <n v="70"/>
  </r>
  <r>
    <d v="2025-07-31T05:19:51"/>
    <x v="8"/>
    <s v="Plaquettes d'ébauches rhombiques"/>
    <s v="u636817"/>
    <s v="MOCQUEREAU LYDIE"/>
    <n v="10"/>
    <x v="2"/>
    <x v="2"/>
    <s v="PLAQUETTES"/>
    <s v="302x26 RPI"/>
    <n v="70"/>
  </r>
  <r>
    <d v="2025-07-31T13:16:47"/>
    <x v="8"/>
    <s v="Plaquettes d'ébauches rhombiques"/>
    <s v="140325"/>
    <s v="BOUCLIER JONATHAN"/>
    <n v="10"/>
    <x v="2"/>
    <x v="4"/>
    <s v="PLAQUETTES"/>
    <s v="302x26 RPI"/>
    <n v="70"/>
  </r>
  <r>
    <d v="2025-08-14T09:40:31"/>
    <x v="8"/>
    <s v="Plaquettes d'ébauches rhombiques"/>
    <s v="u636817"/>
    <s v="MOCQUEREAU LYDIE"/>
    <n v="10"/>
    <x v="2"/>
    <x v="4"/>
    <s v="PLAQUETTES"/>
    <s v="302x26 RPI"/>
    <n v="70"/>
  </r>
  <r>
    <d v="2025-08-18T05:08:33"/>
    <x v="8"/>
    <s v="Plaquettes d'ébauches rhombiques"/>
    <s v="140325"/>
    <s v="BOUCLIER JONATHAN"/>
    <n v="10"/>
    <x v="2"/>
    <x v="2"/>
    <s v="PLAQUETTES"/>
    <s v="302x26 RPI"/>
    <n v="70"/>
  </r>
  <r>
    <d v="2025-08-18T05:09:53"/>
    <x v="8"/>
    <s v="Plaquettes d'ébauches rhombiques"/>
    <s v="140325"/>
    <s v="BOUCLIER JONATHAN"/>
    <n v="10"/>
    <x v="2"/>
    <x v="4"/>
    <s v="PLAQUETTES"/>
    <s v="302x26 RPI"/>
    <n v="70"/>
  </r>
  <r>
    <d v="2025-08-18T05:29:48"/>
    <x v="8"/>
    <s v="Plaquettes d'ébauches rhombiques"/>
    <s v="SD75051"/>
    <s v="COMBALUZIER LUCAS"/>
    <n v="10"/>
    <x v="1"/>
    <x v="0"/>
    <s v="PLAQUETTES"/>
    <s v="304x28 RPE"/>
    <n v="70"/>
  </r>
  <r>
    <d v="2025-08-18T13:25:58"/>
    <x v="8"/>
    <s v="Plaquettes d'ébauches rhombiques"/>
    <s v="210325"/>
    <s v="DAUTUN ALLAN"/>
    <n v="10"/>
    <x v="2"/>
    <x v="2"/>
    <s v="PLAQUETTES"/>
    <s v="302x26 RPI"/>
    <n v="70"/>
  </r>
  <r>
    <d v="2025-08-19T01:48:58"/>
    <x v="8"/>
    <s v="Plaquettes d'ébauches rhombiques"/>
    <s v="j529800"/>
    <s v="MONTCHARMONT BAPTISTE"/>
    <n v="10"/>
    <x v="3"/>
    <x v="3"/>
    <s v="PLAQUETTES"/>
    <s v="330x14"/>
    <n v="70"/>
  </r>
  <r>
    <d v="2025-08-19T16:45:10"/>
    <x v="8"/>
    <s v="Plaquettes d'ébauches rhombiques"/>
    <s v="U561365"/>
    <s v="BALLY BENOIT"/>
    <n v="10"/>
    <x v="2"/>
    <x v="1"/>
    <s v="PLAQUETTES"/>
    <s v="302x26 RPI"/>
    <n v="70"/>
  </r>
  <r>
    <d v="2025-08-19T17:19:59"/>
    <x v="8"/>
    <s v="Plaquettes d'ébauches rhombiques"/>
    <s v="3224"/>
    <s v="BIDOT MURIEL"/>
    <n v="10"/>
    <x v="1"/>
    <x v="3"/>
    <s v="PLAQUETTES"/>
    <s v="304x28 RPE"/>
    <n v="70"/>
  </r>
  <r>
    <d v="2025-08-20T00:34:58"/>
    <x v="8"/>
    <s v="Plaquettes d'ébauches rhombiques"/>
    <s v="j529800"/>
    <s v="MONTCHARMONT BAPTISTE"/>
    <n v="10"/>
    <x v="0"/>
    <x v="3"/>
    <s v="PLAQUETTES"/>
    <s v="356x26 RPI"/>
    <n v="70"/>
  </r>
  <r>
    <d v="2025-08-20T05:42:21"/>
    <x v="8"/>
    <s v="Plaquettes d'ébauches rhombiques"/>
    <s v="040725"/>
    <s v="BARGEOT LUCAS"/>
    <n v="10"/>
    <x v="3"/>
    <x v="3"/>
    <s v="PLAQUETTES"/>
    <s v="330x14"/>
    <n v="70"/>
  </r>
  <r>
    <d v="2025-08-21T06:26:47"/>
    <x v="8"/>
    <s v="Plaquettes d'ébauches rhombiques"/>
    <s v="SD75051"/>
    <s v="COMBALUZIER LUCAS"/>
    <n v="10"/>
    <x v="0"/>
    <x v="3"/>
    <s v="PLAQUETTES"/>
    <s v="304x28 RPE"/>
    <n v="70"/>
  </r>
  <r>
    <d v="2025-08-21T20:16:27"/>
    <x v="8"/>
    <s v="Plaquettes d'ébauches rhombiques"/>
    <s v="210325"/>
    <s v="DAUTUN ALLAN"/>
    <n v="10"/>
    <x v="2"/>
    <x v="4"/>
    <s v="PLAQUETTES"/>
    <s v="302x26 RPI"/>
    <n v="70"/>
  </r>
  <r>
    <d v="2025-08-21T21:42:00"/>
    <x v="8"/>
    <s v="Plaquettes d'ébauches rhombiques"/>
    <s v="280225"/>
    <s v="FERNANDES DOS SANTOS REMY"/>
    <n v="10"/>
    <x v="0"/>
    <x v="3"/>
    <s v="PLAQUETTES"/>
    <s v="356x26 RPI"/>
    <n v="70"/>
  </r>
  <r>
    <d v="2025-08-22T05:31:40"/>
    <x v="8"/>
    <s v="Plaquettes d'ébauches rhombiques"/>
    <s v="J534699"/>
    <s v="FABIAN CHARTON"/>
    <n v="10"/>
    <x v="2"/>
    <x v="2"/>
    <s v="PLAQUETTES"/>
    <s v="302x26 RPI"/>
    <n v="70"/>
  </r>
  <r>
    <d v="2025-08-22T05:33:23"/>
    <x v="8"/>
    <s v="Plaquettes d'ébauches rhombiques"/>
    <s v="J534699"/>
    <s v="FABIAN CHARTON"/>
    <n v="10"/>
    <x v="2"/>
    <x v="4"/>
    <s v="PLAQUETTES"/>
    <s v="302x26 RPI"/>
    <n v="70"/>
  </r>
  <r>
    <d v="2025-08-22T20:22:43"/>
    <x v="8"/>
    <s v="Plaquettes d'ébauches rhombiques"/>
    <s v="210325"/>
    <s v="DAUTUN ALLAN"/>
    <n v="10"/>
    <x v="2"/>
    <x v="4"/>
    <s v="PLAQUETTES"/>
    <s v="302x26 RPI"/>
    <n v="70"/>
  </r>
  <r>
    <d v="2025-08-22T23:46:41"/>
    <x v="8"/>
    <s v="Plaquettes d'ébauches rhombiques"/>
    <s v="130325"/>
    <s v="PAPONNEAU JULIEN"/>
    <n v="10"/>
    <x v="1"/>
    <x v="3"/>
    <s v="PLAQUETTES"/>
    <s v="304x28 RPE"/>
    <n v="70"/>
  </r>
  <r>
    <d v="2025-08-22T23:46:57"/>
    <x v="8"/>
    <s v="Plaquettes d'ébauches rhombiques"/>
    <s v="130325"/>
    <s v="PAPONNEAU JULIEN"/>
    <n v="10"/>
    <x v="1"/>
    <x v="3"/>
    <s v="PLAQUETTES"/>
    <s v="304x28 RPE"/>
    <n v="70"/>
  </r>
  <r>
    <d v="2025-08-22T23:47:46"/>
    <x v="8"/>
    <s v="Plaquettes d'ébauches rhombiques"/>
    <s v="j529800"/>
    <s v="MONTCHARMONT BAPTISTE"/>
    <n v="10"/>
    <x v="3"/>
    <x v="3"/>
    <s v="PLAQUETTES"/>
    <s v="330x14"/>
    <n v="70"/>
  </r>
  <r>
    <d v="2025-08-24T20:06:05"/>
    <x v="8"/>
    <s v="Plaquettes d'ébauches rhombiques"/>
    <s v="U080365"/>
    <s v="ALAVOINE SAMUEL"/>
    <n v="10"/>
    <x v="0"/>
    <x v="3"/>
    <s v="PLAQUETTES"/>
    <s v="356x26 RPI"/>
    <n v="70"/>
  </r>
  <r>
    <d v="2025-08-25T00:22:29"/>
    <x v="8"/>
    <s v="Plaquettes d'ébauches rhombiques"/>
    <s v="DELIAT C"/>
    <s v="DELIAT CHRISTOPHE"/>
    <n v="10"/>
    <x v="1"/>
    <x v="3"/>
    <s v="PLAQUETTES"/>
    <s v="304x28 RPE"/>
    <n v="70"/>
  </r>
  <r>
    <d v="2025-08-26T06:15:28"/>
    <x v="8"/>
    <s v="Plaquettes d'ébauches rhombiques"/>
    <s v="U505000"/>
    <s v="RECEVEUR BENOIT"/>
    <n v="10"/>
    <x v="3"/>
    <x v="3"/>
    <s v="PLAQUETTES"/>
    <s v="330x14"/>
    <n v="70"/>
  </r>
  <r>
    <d v="2025-08-26T13:06:18"/>
    <x v="8"/>
    <s v="Plaquettes d'ébauches rhombiques"/>
    <s v="140325"/>
    <s v="BOUCLIER JONATHAN"/>
    <n v="10"/>
    <x v="2"/>
    <x v="2"/>
    <s v="PLAQUETTES"/>
    <s v="302x26 RPI"/>
    <n v="70"/>
  </r>
  <r>
    <d v="2025-08-26T13:06:46"/>
    <x v="8"/>
    <s v="Plaquettes d'ébauches rhombiques"/>
    <s v="140325"/>
    <s v="BOUCLIER JONATHAN"/>
    <n v="10"/>
    <x v="2"/>
    <x v="4"/>
    <s v="PLAQUETTES"/>
    <s v="302x26 RPI"/>
    <n v="70"/>
  </r>
  <r>
    <d v="2025-08-26T14:06:13"/>
    <x v="8"/>
    <s v="Plaquettes d'ébauches rhombiques"/>
    <s v="040725"/>
    <s v="BARGEOT LUCAS"/>
    <n v="10"/>
    <x v="3"/>
    <x v="3"/>
    <s v="PLAQUETTES"/>
    <s v="330x14"/>
    <n v="70"/>
  </r>
  <r>
    <d v="2025-08-26T14:30:58"/>
    <x v="8"/>
    <s v="Plaquettes d'ébauches rhombiques"/>
    <s v="SD75051"/>
    <s v="COMBALUZIER LUCAS"/>
    <n v="10"/>
    <x v="1"/>
    <x v="3"/>
    <s v="PLAQUETTES"/>
    <s v="304x28 RPE"/>
    <n v="70"/>
  </r>
  <r>
    <d v="2025-08-27T05:07:31"/>
    <x v="8"/>
    <s v="Plaquettes d'ébauches rhombiques"/>
    <s v="101123"/>
    <s v="BRUNET ANDREA"/>
    <n v="10"/>
    <x v="1"/>
    <x v="3"/>
    <s v="PLAQUETTES"/>
    <s v="304x28 RPE"/>
    <n v="70"/>
  </r>
  <r>
    <d v="2025-08-28T13:11:41"/>
    <x v="8"/>
    <s v="Plaquettes d'ébauches rhombiques"/>
    <s v="140325"/>
    <s v="BOUCLIER JONATHAN"/>
    <n v="10"/>
    <x v="2"/>
    <x v="2"/>
    <s v="PLAQUETTES"/>
    <s v="302x26 RPI"/>
    <n v="70"/>
  </r>
  <r>
    <d v="2025-08-28T13:20:51"/>
    <x v="8"/>
    <s v="Plaquettes d'ébauches rhombiques"/>
    <s v="SD75051"/>
    <s v="COMBALUZIER LUCAS"/>
    <n v="10"/>
    <x v="1"/>
    <x v="3"/>
    <s v="PLAQUETTES"/>
    <s v="304x28 RPE"/>
    <n v="70"/>
  </r>
  <r>
    <d v="2025-08-29T05:16:10"/>
    <x v="8"/>
    <s v="Plaquettes d'ébauches rhombiques"/>
    <s v="U080365"/>
    <s v="ALAVOINE SAMUEL"/>
    <n v="10"/>
    <x v="0"/>
    <x v="3"/>
    <s v="PLAQUETTES"/>
    <s v="356x26 RPI"/>
    <n v="70"/>
  </r>
  <r>
    <d v="2025-08-29T05:16:39"/>
    <x v="8"/>
    <s v="Plaquettes d'ébauches rhombiques"/>
    <s v="U080365"/>
    <s v="ALAVOINE SAMUEL"/>
    <n v="10"/>
    <x v="0"/>
    <x v="3"/>
    <s v="PLAQUETTES"/>
    <s v="356x26 RPI"/>
    <n v="70"/>
  </r>
  <r>
    <d v="2025-08-29T05:27:32"/>
    <x v="8"/>
    <s v="Plaquettes d'ébauches rhombiques"/>
    <s v="DELIAT C"/>
    <s v="DELIAT CHRISTOPHE"/>
    <n v="10"/>
    <x v="1"/>
    <x v="3"/>
    <s v="PLAQUETTES"/>
    <s v="304x28 RPE"/>
    <n v="70"/>
  </r>
  <r>
    <d v="2025-08-29T05:29:18"/>
    <x v="8"/>
    <s v="Plaquettes d'ébauches rhombiques"/>
    <s v="DELIAT C"/>
    <s v="DELIAT CHRISTOPHE"/>
    <n v="10"/>
    <x v="1"/>
    <x v="0"/>
    <s v="PLAQUETTES"/>
    <s v="304x28 RPE"/>
    <n v="70"/>
  </r>
  <r>
    <d v="2025-08-29T13:26:40"/>
    <x v="8"/>
    <s v="Plaquettes d'ébauches rhombiques"/>
    <s v="140325"/>
    <s v="BOUCLIER JONATHAN"/>
    <n v="10"/>
    <x v="2"/>
    <x v="4"/>
    <s v="PLAQUETTES"/>
    <s v="302x26 RPI"/>
    <n v="70"/>
  </r>
  <r>
    <d v="2025-08-29T13:27:14"/>
    <x v="8"/>
    <s v="Plaquettes d'ébauches rhombiques"/>
    <s v="140325"/>
    <s v="BOUCLIER JONATHAN"/>
    <n v="10"/>
    <x v="2"/>
    <x v="2"/>
    <s v="PLAQUETTES"/>
    <s v="302x26 RPI"/>
    <n v="70"/>
  </r>
  <r>
    <d v="2025-08-30T05:40:33"/>
    <x v="8"/>
    <s v="Plaquettes d'ébauches rhombiques"/>
    <s v="DELIAT C"/>
    <s v="DELIAT CHRISTOPHE"/>
    <n v="10"/>
    <x v="2"/>
    <x v="4"/>
    <s v="PLAQUETTES"/>
    <s v="302x26 RPI"/>
    <n v="70"/>
  </r>
  <r>
    <d v="2025-08-31T09:02:36"/>
    <x v="8"/>
    <s v="Plaquettes d'ébauches rhombiques"/>
    <s v="140325"/>
    <s v="BOUCLIER JONATHAN"/>
    <n v="10"/>
    <x v="2"/>
    <x v="1"/>
    <s v="PLAQUETTES"/>
    <s v="302x26 RPI"/>
    <n v="70"/>
  </r>
  <r>
    <d v="2025-09-01T05:36:30"/>
    <x v="8"/>
    <s v="Plaquettes d'ébauches rhombiques"/>
    <s v="SD75051"/>
    <s v="COMBALUZIER LUCAS"/>
    <n v="10"/>
    <x v="1"/>
    <x v="3"/>
    <s v="PLAQUETTES"/>
    <s v="304x28 RPE"/>
    <n v="70"/>
  </r>
  <r>
    <d v="2025-09-01T06:40:27"/>
    <x v="8"/>
    <s v="Plaquettes d'ébauches rhombiques"/>
    <s v="J609988"/>
    <s v="AMALRIC VINCENT"/>
    <n v="10"/>
    <x v="0"/>
    <x v="2"/>
    <s v="PLAQUETTES"/>
    <s v="356x26 RPI"/>
    <n v="70"/>
  </r>
  <r>
    <d v="2025-09-01T13:13:09"/>
    <x v="8"/>
    <s v="Plaquettes d'ébauches rhombiques"/>
    <s v="U505000"/>
    <s v="RECEVEUR BENOIT"/>
    <n v="10"/>
    <x v="2"/>
    <x v="1"/>
    <s v="PLAQUETTES"/>
    <s v="302x26 RPI"/>
    <n v="70"/>
  </r>
  <r>
    <d v="2025-09-01T23:12:09"/>
    <x v="8"/>
    <s v="Plaquettes d'ébauches rhombiques"/>
    <s v="250425"/>
    <s v="CHANDAR ABDER"/>
    <n v="10"/>
    <x v="2"/>
    <x v="2"/>
    <s v="PLAQUETTES"/>
    <s v="302x26 RPI"/>
    <n v="70"/>
  </r>
  <r>
    <d v="2025-09-02T05:18:53"/>
    <x v="8"/>
    <s v="Plaquettes d'ébauches rhombiques"/>
    <s v="SD75051"/>
    <s v="COMBALUZIER LUCAS"/>
    <n v="10"/>
    <x v="0"/>
    <x v="3"/>
    <s v="PLAQUETTES"/>
    <s v="304x28 RPE"/>
    <n v="70"/>
  </r>
  <r>
    <d v="2025-09-02T20:44:59"/>
    <x v="8"/>
    <s v="Plaquettes d'ébauches rhombiques"/>
    <s v="210325"/>
    <s v="DAUTUN ALLAN"/>
    <n v="10"/>
    <x v="2"/>
    <x v="2"/>
    <s v="PLAQUETTES"/>
    <s v="302x26 RPI"/>
    <n v="70"/>
  </r>
  <r>
    <d v="2025-09-02T22:40:38"/>
    <x v="8"/>
    <s v="Plaquettes d'ébauches rhombiques"/>
    <s v="j529800"/>
    <s v="MONTCHARMONT BAPTISTE"/>
    <n v="10"/>
    <x v="3"/>
    <x v="3"/>
    <s v="PLAQUETTES"/>
    <s v="330x14"/>
    <n v="70"/>
  </r>
  <r>
    <d v="2025-09-03T05:52:26"/>
    <x v="8"/>
    <s v="Plaquettes d'ébauches rhombiques"/>
    <s v="140325"/>
    <s v="BOUCLIER JONATHAN"/>
    <n v="10"/>
    <x v="2"/>
    <x v="4"/>
    <s v="PLAQUETTES"/>
    <s v="302x26 RPI"/>
    <n v="70"/>
  </r>
  <r>
    <d v="2025-09-03T21:21:04"/>
    <x v="8"/>
    <s v="Plaquettes d'ébauches rhombiques"/>
    <s v="j529800"/>
    <s v="MONTCHARMONT BAPTISTE"/>
    <n v="10"/>
    <x v="3"/>
    <x v="3"/>
    <s v="PLAQUETTES"/>
    <s v="330x14"/>
    <n v="70"/>
  </r>
  <r>
    <d v="2025-09-03T22:21:16"/>
    <x v="8"/>
    <s v="Plaquettes d'ébauches rhombiques"/>
    <s v="130325"/>
    <s v="PAPONNEAU JULIEN"/>
    <n v="10"/>
    <x v="1"/>
    <x v="3"/>
    <s v="PLAQUETTES"/>
    <s v="304x28 RPE"/>
    <n v="70"/>
  </r>
  <r>
    <d v="2025-09-03T22:21:32"/>
    <x v="8"/>
    <s v="Plaquettes d'ébauches rhombiques"/>
    <s v="130325"/>
    <s v="PAPONNEAU JULIEN"/>
    <n v="10"/>
    <x v="1"/>
    <x v="3"/>
    <s v="PLAQUETTES"/>
    <s v="304x28 RPE"/>
    <n v="70"/>
  </r>
  <r>
    <d v="2025-09-03T22:21:48"/>
    <x v="8"/>
    <s v="Plaquettes d'ébauches rhombiques"/>
    <s v="130325"/>
    <s v="PAPONNEAU JULIEN"/>
    <n v="10"/>
    <x v="1"/>
    <x v="3"/>
    <s v="PLAQUETTES"/>
    <s v="304x28 RPE"/>
    <n v="70"/>
  </r>
  <r>
    <d v="2025-09-03T22:33:02"/>
    <x v="8"/>
    <s v="Plaquettes d'ébauches rhombiques"/>
    <s v="250425"/>
    <s v="CHANDAR ABDER"/>
    <n v="10"/>
    <x v="2"/>
    <x v="4"/>
    <s v="PLAQUETTES"/>
    <s v="302x26 RPI"/>
    <n v="70"/>
  </r>
  <r>
    <d v="2025-09-04T20:54:10"/>
    <x v="8"/>
    <s v="Plaquettes d'ébauches rhombiques"/>
    <s v="210325"/>
    <s v="DAUTUN ALLAN"/>
    <n v="10"/>
    <x v="2"/>
    <x v="2"/>
    <s v="PLAQUETTES"/>
    <s v="302x26 RPI"/>
    <n v="70"/>
  </r>
  <r>
    <d v="2025-09-04T21:46:32"/>
    <x v="8"/>
    <s v="Plaquettes d'ébauches rhombiques"/>
    <s v="j529800"/>
    <s v="MONTCHARMONT BAPTISTE"/>
    <n v="10"/>
    <x v="3"/>
    <x v="2"/>
    <s v="PLAQUETTES"/>
    <s v="330x28 RPE KO"/>
    <n v="70"/>
  </r>
  <r>
    <d v="2025-09-05T00:45:39"/>
    <x v="8"/>
    <s v="Plaquettes d'ébauches rhombiques"/>
    <s v="250425"/>
    <s v="CHANDAR ABDER"/>
    <n v="10"/>
    <x v="2"/>
    <x v="4"/>
    <s v="PLAQUETTES"/>
    <s v="302x26 RPI"/>
    <n v="70"/>
  </r>
  <r>
    <d v="2025-09-05T05:10:54"/>
    <x v="8"/>
    <s v="Plaquettes d'ébauches rhombiques"/>
    <s v="J534699"/>
    <s v="FABIAN CHARTON"/>
    <n v="10"/>
    <x v="2"/>
    <x v="2"/>
    <s v="PLAQUETTES"/>
    <s v="302x26 RPI"/>
    <n v="70"/>
  </r>
  <r>
    <d v="2025-09-05T05:12:26"/>
    <x v="8"/>
    <s v="Plaquettes d'ébauches rhombiques"/>
    <s v="J534699"/>
    <s v="FABIAN CHARTON"/>
    <n v="10"/>
    <x v="2"/>
    <x v="4"/>
    <s v="PLAQUETTES"/>
    <s v="302x26 RPI"/>
    <n v="70"/>
  </r>
  <r>
    <d v="2025-09-05T13:10:33"/>
    <x v="8"/>
    <s v="Plaquettes d'ébauches rhombiques"/>
    <s v="101123"/>
    <s v="BRUNET ANDREA"/>
    <n v="10"/>
    <x v="1"/>
    <x v="3"/>
    <s v="PLAQUETTES"/>
    <s v="304x28 RPE"/>
    <n v="70"/>
  </r>
  <r>
    <d v="2025-09-06T05:23:21"/>
    <x v="8"/>
    <s v="Plaquettes d'ébauches rhombiques"/>
    <s v="U080365"/>
    <s v="ALAVOINE SAMUEL"/>
    <n v="10"/>
    <x v="1"/>
    <x v="3"/>
    <s v="PLAQUETTES"/>
    <s v="304x28 RPE"/>
    <n v="70"/>
  </r>
  <r>
    <d v="2025-09-07T17:19:43"/>
    <x v="8"/>
    <s v="Plaquettes d'ébauches rhombiques"/>
    <s v="150725"/>
    <s v="ADOUL WASSIM"/>
    <n v="10"/>
    <x v="0"/>
    <x v="3"/>
    <s v="PLAQUETTES"/>
    <s v="356x26 RPI"/>
    <n v="70"/>
  </r>
  <r>
    <d v="2025-09-08T14:11:43"/>
    <x v="8"/>
    <s v="Plaquettes d'ébauches rhombiques"/>
    <s v="SD75051"/>
    <s v="COMBALUZIER LUCAS"/>
    <n v="10"/>
    <x v="1"/>
    <x v="3"/>
    <s v="PLAQUETTES"/>
    <s v="304x28 RPE"/>
    <n v="70"/>
  </r>
  <r>
    <d v="2025-09-08T14:13:57"/>
    <x v="8"/>
    <s v="Plaquettes d'ébauches rhombiques"/>
    <s v="040725"/>
    <s v="BARGEOT LUCAS"/>
    <n v="10"/>
    <x v="3"/>
    <x v="2"/>
    <s v="PLAQUETTES"/>
    <s v="330x28 RPE KO"/>
    <n v="70"/>
  </r>
  <r>
    <d v="2025-09-08T14:46:23"/>
    <x v="8"/>
    <s v="Plaquettes d'ébauches rhombiques"/>
    <s v="140325"/>
    <s v="BOUCLIER JONATHAN"/>
    <n v="10"/>
    <x v="2"/>
    <x v="2"/>
    <s v="PLAQUETTES"/>
    <s v="302x26 RPI"/>
    <n v="70"/>
  </r>
  <r>
    <d v="2025-09-08T17:31:55"/>
    <x v="8"/>
    <s v="Plaquettes d'ébauches rhombiques"/>
    <s v="140325"/>
    <s v="BOUCLIER JONATHAN"/>
    <n v="10"/>
    <x v="2"/>
    <x v="4"/>
    <s v="PLAQUETTES"/>
    <s v="302x26 RPI"/>
    <n v="70"/>
  </r>
  <r>
    <d v="2025-09-08T21:48:05"/>
    <x v="8"/>
    <s v="Plaquettes d'ébauches rhombiques"/>
    <s v="U037238"/>
    <s v="PRIEUR OLIVIER"/>
    <n v="10"/>
    <x v="2"/>
    <x v="1"/>
    <s v="PLAQUETTES"/>
    <s v="302x26 RPI"/>
    <n v="70"/>
  </r>
  <r>
    <d v="2025-09-09T12:48:37"/>
    <x v="8"/>
    <s v="Plaquettes d'ébauches rhombiques"/>
    <s v="210325"/>
    <s v="DAUTUN ALLAN"/>
    <n v="10"/>
    <x v="2"/>
    <x v="2"/>
    <s v="PLAQUETTES"/>
    <s v="302x26 RPI"/>
    <n v="70"/>
  </r>
  <r>
    <d v="2025-09-09T12:48:52"/>
    <x v="8"/>
    <s v="Plaquettes d'ébauches rhombiques"/>
    <s v="210325"/>
    <s v="DAUTUN ALLAN"/>
    <n v="10"/>
    <x v="2"/>
    <x v="4"/>
    <s v="PLAQUETTES"/>
    <s v="302x26 RPI"/>
    <n v="70"/>
  </r>
  <r>
    <d v="2025-09-09T13:34:47"/>
    <x v="8"/>
    <s v="Plaquettes d'ébauches rhombiques"/>
    <s v="SD75051"/>
    <s v="COMBALUZIER LUCAS"/>
    <n v="10"/>
    <x v="1"/>
    <x v="3"/>
    <s v="PLAQUETTES"/>
    <s v="304x28 RPE"/>
    <n v="70"/>
  </r>
  <r>
    <d v="2025-09-09T21:39:22"/>
    <x v="8"/>
    <s v="Plaquettes d'ébauches rhombiques"/>
    <s v="j529800"/>
    <s v="MONTCHARMONT BAPTISTE"/>
    <n v="10"/>
    <x v="0"/>
    <x v="3"/>
    <s v="PLAQUETTES"/>
    <s v="356x26 RPI"/>
    <n v="70"/>
  </r>
  <r>
    <d v="2025-09-10T01:47:26"/>
    <x v="8"/>
    <s v="Plaquettes d'ébauches rhombiques"/>
    <s v="U037238"/>
    <s v="PRIEUR OLIVIER"/>
    <n v="10"/>
    <x v="2"/>
    <x v="4"/>
    <s v="PLAQUETTES"/>
    <s v="302x26 RPI"/>
    <n v="70"/>
  </r>
  <r>
    <d v="2025-09-10T16:58:48"/>
    <x v="8"/>
    <s v="Plaquettes d'ébauches rhombiques"/>
    <s v="SD75051"/>
    <s v="COMBALUZIER LUCAS"/>
    <n v="10"/>
    <x v="1"/>
    <x v="3"/>
    <s v="PLAQUETTES"/>
    <s v="304x28 RPE"/>
    <n v="70"/>
  </r>
  <r>
    <d v="2025-09-10T21:21:28"/>
    <x v="8"/>
    <s v="Plaquettes d'ébauches rhombiques"/>
    <s v="j529800"/>
    <s v="MONTCHARMONT BAPTISTE"/>
    <n v="10"/>
    <x v="0"/>
    <x v="3"/>
    <s v="PLAQUETTES"/>
    <s v="356x26 RPI"/>
    <n v="70"/>
  </r>
  <r>
    <d v="2025-09-11T05:12:32"/>
    <x v="8"/>
    <s v="Plaquettes d'ébauches rhombiques"/>
    <s v="171124"/>
    <s v="GONIN AGNES"/>
    <n v="10"/>
    <x v="2"/>
    <x v="1"/>
    <s v="PLAQUETTES"/>
    <s v="302x26 RPI"/>
    <n v="70"/>
  </r>
  <r>
    <d v="2025-09-11T05:13:20"/>
    <x v="8"/>
    <s v="Plaquettes d'ébauches rhombiques"/>
    <s v="101123"/>
    <s v="BRUNET ANDREA"/>
    <n v="10"/>
    <x v="1"/>
    <x v="3"/>
    <s v="PLAQUETTES"/>
    <s v="304x28 RPE"/>
    <n v="70"/>
  </r>
  <r>
    <d v="2025-09-11T13:07:13"/>
    <x v="8"/>
    <s v="Plaquettes d'ébauches rhombiques"/>
    <s v="140325"/>
    <s v="BOUCLIER JONATHAN"/>
    <n v="10"/>
    <x v="2"/>
    <x v="2"/>
    <s v="PLAQUETTES"/>
    <s v="302x26 RPI"/>
    <n v="70"/>
  </r>
  <r>
    <d v="2025-09-11T13:07:57"/>
    <x v="8"/>
    <s v="Plaquettes d'ébauches rhombiques"/>
    <s v="140325"/>
    <s v="BOUCLIER JONATHAN"/>
    <n v="10"/>
    <x v="2"/>
    <x v="4"/>
    <s v="PLAQUETTES"/>
    <s v="302x26 RPI"/>
    <n v="70"/>
  </r>
  <r>
    <d v="2025-09-11T13:46:52"/>
    <x v="8"/>
    <s v="Plaquettes d'ébauches rhombiques"/>
    <s v="040725"/>
    <s v="BARGEOT LUCAS"/>
    <n v="10"/>
    <x v="0"/>
    <x v="3"/>
    <s v="PLAQUETTES"/>
    <s v="330x14"/>
    <n v="70"/>
  </r>
  <r>
    <d v="2025-09-11T21:26:39"/>
    <x v="8"/>
    <s v="Plaquettes d'ébauches rhombiques"/>
    <s v="j529800"/>
    <s v="MONTCHARMONT BAPTISTE"/>
    <n v="10"/>
    <x v="0"/>
    <x v="3"/>
    <s v="PLAQUETTES"/>
    <s v="356x26 RPI"/>
    <n v="70"/>
  </r>
  <r>
    <d v="2025-09-12T06:24:26"/>
    <x v="8"/>
    <s v="Plaquettes d'ébauches rhombiques"/>
    <s v="DELIAT C"/>
    <s v="DELIAT CHRISTOPHE"/>
    <n v="10"/>
    <x v="2"/>
    <x v="2"/>
    <s v="PLAQUETTES"/>
    <s v="302x26 RPI"/>
    <n v="70"/>
  </r>
  <r>
    <d v="2025-09-12T06:25:43"/>
    <x v="8"/>
    <s v="Plaquettes d'ébauches rhombiques"/>
    <s v="DELIAT C"/>
    <s v="DELIAT CHRISTOPHE"/>
    <n v="10"/>
    <x v="2"/>
    <x v="4"/>
    <s v="PLAQUETTES"/>
    <s v="302x26 RPI"/>
    <n v="70"/>
  </r>
  <r>
    <d v="2025-09-12T14:00:45"/>
    <x v="8"/>
    <s v="Plaquettes d'ébauches rhombiques"/>
    <s v="SD75051"/>
    <s v="COMBALUZIER LUCAS"/>
    <n v="10"/>
    <x v="1"/>
    <x v="3"/>
    <s v="PLAQUETTES"/>
    <s v="304x28 RPE"/>
    <n v="70"/>
  </r>
  <r>
    <d v="2025-09-15T08:36:56"/>
    <x v="8"/>
    <s v="Plaquettes d'ébauches rhombiques"/>
    <s v="040725"/>
    <s v="BARGEOT LUCAS"/>
    <n v="10"/>
    <x v="0"/>
    <x v="3"/>
    <s v="PLAQUETTES"/>
    <s v="356x26 RPI"/>
    <n v="70"/>
  </r>
  <r>
    <d v="2025-09-15T23:46:43"/>
    <x v="8"/>
    <s v="Plaquettes d'ébauches rhombiques"/>
    <s v="250425"/>
    <s v="CHANDAR ABDER"/>
    <n v="10"/>
    <x v="2"/>
    <x v="2"/>
    <s v="PLAQUETTES"/>
    <s v="302x26 RPI"/>
    <n v="70"/>
  </r>
  <r>
    <d v="2025-09-16T01:30:14"/>
    <x v="8"/>
    <s v="Plaquettes d'ébauches rhombiques"/>
    <s v="j529800"/>
    <s v="MONTCHARMONT BAPTISTE"/>
    <n v="10"/>
    <x v="0"/>
    <x v="3"/>
    <s v="PLAQUETTES"/>
    <s v="356x26 RPI"/>
    <n v="70"/>
  </r>
  <r>
    <d v="2025-09-16T05:28:02"/>
    <x v="8"/>
    <s v="Plaquettes d'ébauches rhombiques"/>
    <s v="u636817"/>
    <s v="MOCQUEREAU LYDIE"/>
    <n v="10"/>
    <x v="2"/>
    <x v="4"/>
    <s v="PLAQUETTES"/>
    <s v="302x26 RPI"/>
    <n v="70"/>
  </r>
  <r>
    <d v="2025-09-16T06:04:23"/>
    <x v="8"/>
    <s v="Plaquettes d'ébauches rhombiques"/>
    <s v="SD75051"/>
    <s v="COMBALUZIER LUCAS"/>
    <n v="10"/>
    <x v="1"/>
    <x v="3"/>
    <s v="PLAQUETTES"/>
    <s v="304x28 RPE"/>
    <n v="70"/>
  </r>
  <r>
    <d v="2025-09-17T01:31:34"/>
    <x v="8"/>
    <s v="Plaquettes d'ébauches rhombiques"/>
    <s v="250425"/>
    <s v="CHANDAR ABDER"/>
    <n v="10"/>
    <x v="2"/>
    <x v="4"/>
    <s v="PLAQUETTES"/>
    <s v="302x26 RPI"/>
    <n v="70"/>
  </r>
  <r>
    <d v="2025-09-17T02:23:09"/>
    <x v="8"/>
    <s v="Plaquettes d'ébauches rhombiques"/>
    <s v="j529800"/>
    <s v="MONTCHARMONT BAPTISTE"/>
    <n v="10"/>
    <x v="0"/>
    <x v="3"/>
    <s v="PLAQUETTES"/>
    <s v="356x26 RPI"/>
    <n v="70"/>
  </r>
  <r>
    <d v="2025-09-17T13:58:21"/>
    <x v="8"/>
    <s v="Plaquettes d'ébauches rhombiques"/>
    <s v="101123"/>
    <s v="BRUNET ANDREA"/>
    <n v="10"/>
    <x v="1"/>
    <x v="3"/>
    <s v="PLAQUETTES"/>
    <s v="304x28 RPE"/>
    <n v="70"/>
  </r>
  <r>
    <d v="2025-09-18T05:29:45"/>
    <x v="8"/>
    <s v="Plaquettes d'ébauches rhombiques"/>
    <s v="040725"/>
    <s v="BARGEOT LUCAS"/>
    <n v="10"/>
    <x v="3"/>
    <x v="3"/>
    <s v="PLAQUETTES"/>
    <s v="290x12"/>
    <n v="70"/>
  </r>
  <r>
    <d v="2025-09-18T05:30:04"/>
    <x v="8"/>
    <s v="Plaquettes d'ébauches rhombiques"/>
    <s v="040725"/>
    <s v="BARGEOT LUCAS"/>
    <n v="10"/>
    <x v="0"/>
    <x v="3"/>
    <s v="PLAQUETTES"/>
    <s v="356x26 RPI"/>
    <n v="70"/>
  </r>
  <r>
    <d v="2025-09-18T05:34:32"/>
    <x v="8"/>
    <s v="Plaquettes d'ébauches rhombiques"/>
    <s v="SD75051"/>
    <s v="COMBALUZIER LUCAS"/>
    <n v="10"/>
    <x v="1"/>
    <x v="3"/>
    <s v="PLAQUETTES"/>
    <s v="304x28 RPE"/>
    <n v="70"/>
  </r>
  <r>
    <d v="2025-09-19T05:08:08"/>
    <x v="8"/>
    <s v="Plaquettes d'ébauches rhombiques"/>
    <s v="DELIAT C"/>
    <s v="DELIAT CHRISTOPHE"/>
    <n v="10"/>
    <x v="2"/>
    <x v="2"/>
    <s v="PLAQUETTES"/>
    <s v="302x26 RPI"/>
    <n v="70"/>
  </r>
  <r>
    <d v="2025-09-19T05:50:44"/>
    <x v="8"/>
    <s v="Plaquettes d'ébauches rhombiques"/>
    <s v="150725"/>
    <s v="ADOUL WASSIM"/>
    <n v="10"/>
    <x v="3"/>
    <x v="3"/>
    <s v="PLAQUETTES"/>
    <s v="290x12"/>
    <n v="70"/>
  </r>
  <r>
    <d v="2025-09-19T13:00:49"/>
    <x v="8"/>
    <s v="Plaquettes d'ébauches rhombiques"/>
    <s v="101123"/>
    <s v="BRUNET ANDREA"/>
    <n v="10"/>
    <x v="0"/>
    <x v="3"/>
    <s v="PLAQUETTES"/>
    <s v="304x28 RPE"/>
    <n v="70"/>
  </r>
  <r>
    <d v="2025-09-19T17:42:57"/>
    <x v="8"/>
    <s v="Plaquettes d'ébauches rhombiques"/>
    <s v="101224"/>
    <s v="CHAZEAU KYLIAN"/>
    <n v="10"/>
    <x v="0"/>
    <x v="3"/>
    <s v="PLAQUETTES"/>
    <s v="356x26 RPI"/>
    <n v="70"/>
  </r>
  <r>
    <d v="2025-09-21T21:37:13"/>
    <x v="8"/>
    <s v="Plaquettes d'ébauches rhombiques"/>
    <s v="U109136"/>
    <s v="WIPLIE FREDERIC"/>
    <n v="10"/>
    <x v="1"/>
    <x v="3"/>
    <s v="PLAQUETTES"/>
    <s v="304x28 RPE"/>
    <n v="70"/>
  </r>
  <r>
    <d v="2025-09-22T05:32:07"/>
    <x v="8"/>
    <s v="Plaquettes d'ébauches rhombiques"/>
    <s v="U505000"/>
    <s v="RECEVEUR BENOIT"/>
    <n v="10"/>
    <x v="0"/>
    <x v="3"/>
    <s v="PLAQUETTES"/>
    <s v="356x26 RPI"/>
    <n v="70"/>
  </r>
  <r>
    <d v="2025-09-22T05:32:23"/>
    <x v="8"/>
    <s v="Plaquettes d'ébauches rhombiques"/>
    <s v="U505000"/>
    <s v="RECEVEUR BENOIT"/>
    <n v="10"/>
    <x v="3"/>
    <x v="3"/>
    <s v="PLAQUETTES"/>
    <s v="290x12"/>
    <n v="70"/>
  </r>
  <r>
    <d v="2025-09-22T13:21:49"/>
    <x v="8"/>
    <s v="Plaquettes d'ébauches rhombiques"/>
    <s v="SD75051"/>
    <s v="COMBALUZIER LUCAS"/>
    <n v="10"/>
    <x v="0"/>
    <x v="3"/>
    <s v="PLAQUETTES"/>
    <s v="304x28 RPE"/>
    <n v="70"/>
  </r>
  <r>
    <d v="2025-09-23T11:15:33"/>
    <x v="8"/>
    <s v="Plaquettes d'ébauches rhombiques"/>
    <s v="101224"/>
    <s v="CHAZEAU KYLIAN"/>
    <n v="10"/>
    <x v="0"/>
    <x v="3"/>
    <s v="PLAQUETTES"/>
    <s v="356x26 RPI"/>
    <n v="70"/>
  </r>
  <r>
    <d v="2025-09-23T11:15:45"/>
    <x v="8"/>
    <s v="Plaquettes d'ébauches rhombiques"/>
    <s v="101224"/>
    <s v="CHAZEAU KYLIAN"/>
    <n v="10"/>
    <x v="3"/>
    <x v="3"/>
    <s v="PLAQUETTES"/>
    <s v="290x12"/>
    <n v="70"/>
  </r>
  <r>
    <d v="2025-09-23T12:50:33"/>
    <x v="8"/>
    <s v="Plaquettes d'ébauches rhombiques"/>
    <s v="210325"/>
    <s v="DAUTUN ALLAN"/>
    <n v="10"/>
    <x v="2"/>
    <x v="2"/>
    <s v="PLAQUETTES"/>
    <s v="302x26 RPI"/>
    <n v="70"/>
  </r>
  <r>
    <d v="2025-09-23T12:51:01"/>
    <x v="8"/>
    <s v="Plaquettes d'ébauches rhombiques"/>
    <s v="210325"/>
    <s v="DAUTUN ALLAN"/>
    <n v="10"/>
    <x v="2"/>
    <x v="4"/>
    <s v="PLAQUETTES"/>
    <s v="302x26 RPI"/>
    <n v="70"/>
  </r>
  <r>
    <d v="2025-09-23T13:17:44"/>
    <x v="8"/>
    <s v="Plaquettes d'ébauches rhombiques"/>
    <s v="140325"/>
    <s v="BOUCLIER JONATHAN"/>
    <n v="10"/>
    <x v="2"/>
    <x v="2"/>
    <s v="PLAQUETTES"/>
    <s v="302x26 RPI"/>
    <n v="70"/>
  </r>
  <r>
    <d v="2025-09-23T16:18:26"/>
    <x v="8"/>
    <s v="Plaquettes d'ébauches rhombiques"/>
    <s v="u636817"/>
    <s v="MOCQUEREAU LYDIE"/>
    <n v="10"/>
    <x v="2"/>
    <x v="1"/>
    <s v="PLAQUETTES"/>
    <s v="302x26 RPI"/>
    <n v="70"/>
  </r>
  <r>
    <d v="2025-09-24T00:28:55"/>
    <x v="8"/>
    <s v="Plaquettes d'ébauches rhombiques"/>
    <s v="250425"/>
    <s v="CHANDAR ABDER"/>
    <n v="10"/>
    <x v="2"/>
    <x v="4"/>
    <s v="PLAQUETTES"/>
    <s v="302x26 RPI"/>
    <n v="70"/>
  </r>
  <r>
    <d v="2025-09-24T07:08:16"/>
    <x v="8"/>
    <s v="Plaquettes d'ébauches rhombiques"/>
    <s v="101224"/>
    <s v="CHAZEAU KYLIAN"/>
    <n v="10"/>
    <x v="0"/>
    <x v="3"/>
    <s v="PLAQUETTES"/>
    <s v="356x26 RPI"/>
    <n v="70"/>
  </r>
  <r>
    <d v="2025-09-24T13:35:59"/>
    <x v="8"/>
    <s v="Plaquettes d'ébauches rhombiques"/>
    <s v="SD75051"/>
    <s v="COMBALUZIER LUCAS"/>
    <n v="10"/>
    <x v="1"/>
    <x v="3"/>
    <s v="PLAQUETTES"/>
    <s v="304x28 RPE"/>
    <n v="70"/>
  </r>
  <r>
    <d v="2025-09-24T13:38:35"/>
    <x v="8"/>
    <s v="Plaquettes d'ébauches rhombiques"/>
    <s v="12824586"/>
    <s v="DA SILVA FERNANDO"/>
    <n v="10"/>
    <x v="1"/>
    <x v="2"/>
    <s v="PLAQUETTES"/>
    <s v="TOUT DISQUES"/>
    <n v="70"/>
  </r>
  <r>
    <d v="2025-09-24T14:05:33"/>
    <x v="8"/>
    <s v="Plaquettes d'ébauches rhombiques"/>
    <s v="140325"/>
    <s v="BOUCLIER JONATHAN"/>
    <n v="10"/>
    <x v="2"/>
    <x v="2"/>
    <s v="PLAQUETTES"/>
    <s v="302x26 RPI"/>
    <n v="70"/>
  </r>
  <r>
    <d v="2025-09-24T14:06:28"/>
    <x v="8"/>
    <s v="Plaquettes d'ébauches rhombiques"/>
    <s v="140325"/>
    <s v="BOUCLIER JONATHAN"/>
    <n v="10"/>
    <x v="2"/>
    <x v="1"/>
    <s v="PLAQUETTES"/>
    <s v="302x26 RPI"/>
    <n v="70"/>
  </r>
  <r>
    <d v="2025-09-25T05:16:39"/>
    <x v="8"/>
    <s v="Plaquettes d'ébauches rhombiques"/>
    <s v="101123"/>
    <s v="BRUNET ANDREA"/>
    <n v="10"/>
    <x v="1"/>
    <x v="3"/>
    <s v="PLAQUETTES"/>
    <s v="304x28 RPE"/>
    <n v="70"/>
  </r>
  <r>
    <d v="2025-09-25T10:02:17"/>
    <x v="8"/>
    <s v="Plaquettes d'ébauches rhombiques"/>
    <s v="101224"/>
    <s v="CHAZEAU KYLIAN"/>
    <n v="10"/>
    <x v="0"/>
    <x v="3"/>
    <s v="PLAQUETTES"/>
    <s v="356x26 RPI"/>
    <n v="70"/>
  </r>
  <r>
    <d v="2025-09-25T10:02:37"/>
    <x v="8"/>
    <s v="Plaquettes d'ébauches rhombiques"/>
    <s v="101224"/>
    <s v="CHAZEAU KYLIAN"/>
    <n v="10"/>
    <x v="3"/>
    <x v="3"/>
    <s v="PLAQUETTES"/>
    <s v="330x28 RPE KO"/>
    <n v="70"/>
  </r>
  <r>
    <d v="2025-09-25T14:04:02"/>
    <x v="8"/>
    <s v="Plaquettes d'ébauches rhombiques"/>
    <s v="12824586"/>
    <s v="DA SILVA FERNANDO"/>
    <n v="10"/>
    <x v="2"/>
    <x v="2"/>
    <s v="PLAQUETTES"/>
    <s v="TOUT DISQUES"/>
    <n v="70"/>
  </r>
  <r>
    <d v="2025-09-25T21:26:08"/>
    <x v="8"/>
    <s v="Plaquettes d'ébauches rhombiques"/>
    <s v="j529800"/>
    <s v="MONTCHARMONT BAPTISTE"/>
    <n v="10"/>
    <x v="0"/>
    <x v="3"/>
    <s v="PLAQUETTES"/>
    <s v="356x26 RPI"/>
    <n v="70"/>
  </r>
  <r>
    <d v="2025-09-26T01:08:58"/>
    <x v="8"/>
    <s v="Plaquettes d'ébauches rhombiques"/>
    <s v="250425"/>
    <s v="CHANDAR ABDER"/>
    <n v="10"/>
    <x v="2"/>
    <x v="4"/>
    <s v="PLAQUETTES"/>
    <s v="302x26 RPI"/>
    <n v="70"/>
  </r>
  <r>
    <d v="2025-09-26T13:05:08"/>
    <x v="8"/>
    <s v="Plaquettes d'ébauches rhombiques"/>
    <s v="SD75051"/>
    <s v="COMBALUZIER LUCAS"/>
    <n v="10"/>
    <x v="1"/>
    <x v="3"/>
    <s v="PLAQUETTES"/>
    <s v="304x28 RPE"/>
    <n v="70"/>
  </r>
  <r>
    <d v="2025-09-26T13:53:30"/>
    <x v="8"/>
    <s v="Plaquettes d'ébauches rhombiques"/>
    <s v="140325"/>
    <s v="BOUCLIER JONATHAN"/>
    <n v="10"/>
    <x v="2"/>
    <x v="4"/>
    <s v="PLAQUETTES"/>
    <s v="302x26 RPI"/>
    <n v="70"/>
  </r>
  <r>
    <d v="2025-09-26T21:17:49"/>
    <x v="8"/>
    <s v="Plaquettes d'ébauches rhombiques"/>
    <s v="j529800"/>
    <s v="MONTCHARMONT BAPTISTE"/>
    <n v="10"/>
    <x v="0"/>
    <x v="3"/>
    <s v="PLAQUETTES"/>
    <s v="356x26 RPI"/>
    <n v="70"/>
  </r>
  <r>
    <d v="2025-09-27T09:13:45"/>
    <x v="8"/>
    <s v="Plaquettes d'ébauches rhombiques"/>
    <s v="150725"/>
    <s v="ADOUL WASSIM"/>
    <n v="10"/>
    <x v="1"/>
    <x v="3"/>
    <s v="PLAQUETTES"/>
    <s v="304x28 RPE"/>
    <n v="70"/>
  </r>
  <r>
    <d v="2025-09-28T11:12:02"/>
    <x v="8"/>
    <s v="Plaquettes d'ébauches rhombiques"/>
    <s v="250425"/>
    <s v="CHANDAR ABDER"/>
    <n v="10"/>
    <x v="2"/>
    <x v="1"/>
    <s v="PLAQUETTES"/>
    <s v="302x26 RPI"/>
    <n v="70"/>
  </r>
  <r>
    <d v="2025-09-28T16:43:56"/>
    <x v="8"/>
    <s v="Plaquettes d'ébauches rhombiques"/>
    <s v="210325"/>
    <s v="DAUTUN ALLAN"/>
    <n v="10"/>
    <x v="2"/>
    <x v="2"/>
    <s v="PLAQUETTES"/>
    <s v="302x26 RPI"/>
    <n v="70"/>
  </r>
  <r>
    <d v="2025-09-28T16:44:39"/>
    <x v="8"/>
    <s v="Plaquettes d'ébauches rhombiques"/>
    <s v="210325"/>
    <s v="DAUTUN ALLAN"/>
    <n v="10"/>
    <x v="2"/>
    <x v="4"/>
    <s v="PLAQUETTES"/>
    <s v="302x26 RPI"/>
    <n v="70"/>
  </r>
  <r>
    <d v="2025-09-29T00:59:00"/>
    <x v="8"/>
    <s v="Plaquettes d'ébauches rhombiques"/>
    <s v="U109136"/>
    <s v="WIPLIE FREDERIC"/>
    <n v="10"/>
    <x v="3"/>
    <x v="3"/>
    <s v="PLAQUETTES"/>
    <s v="330x14"/>
    <n v="70"/>
  </r>
  <r>
    <d v="2025-09-29T06:54:34"/>
    <x v="8"/>
    <s v="Plaquettes d'ébauches rhombiques"/>
    <s v="SD75051"/>
    <s v="COMBALUZIER LUCAS"/>
    <n v="10"/>
    <x v="1"/>
    <x v="3"/>
    <s v="PLAQUETTES"/>
    <s v="304x28 RPE"/>
    <n v="70"/>
  </r>
  <r>
    <d v="2025-09-29T11:24:49"/>
    <x v="8"/>
    <s v="Plaquettes d'ébauches rhombiques"/>
    <s v="12824586"/>
    <s v="DA SILVA FERNANDO"/>
    <n v="10"/>
    <x v="1"/>
    <x v="2"/>
    <s v="PLAQUETTES"/>
    <s v="TOUT DISQUES"/>
    <n v="70"/>
  </r>
  <r>
    <d v="2025-09-29T13:26:47"/>
    <x v="8"/>
    <s v="Plaquettes d'ébauches rhombiques"/>
    <s v="045F69CAA77080"/>
    <s v="TEIXEIRA FLORIAN"/>
    <n v="10"/>
    <x v="2"/>
    <x v="1"/>
    <s v="PLAQUETTES"/>
    <s v="302x26 RPI"/>
    <n v="70"/>
  </r>
  <r>
    <d v="2025-09-30T06:10:20"/>
    <x v="8"/>
    <s v="Plaquettes d'ébauches rhombiques"/>
    <s v="SD75051"/>
    <s v="COMBALUZIER LUCAS"/>
    <n v="10"/>
    <x v="1"/>
    <x v="3"/>
    <s v="PLAQUETTES"/>
    <s v="304x28 RPE"/>
    <n v="70"/>
  </r>
  <r>
    <d v="2025-09-30T21:25:02"/>
    <x v="8"/>
    <s v="Plaquettes d'ébauches rhombiques"/>
    <s v="j529800"/>
    <s v="MONTCHARMONT BAPTISTE"/>
    <n v="10"/>
    <x v="0"/>
    <x v="3"/>
    <s v="PLAQUETTES"/>
    <s v="356x26 RPI"/>
    <n v="70"/>
  </r>
  <r>
    <d v="2025-10-01T11:18:31"/>
    <x v="8"/>
    <s v="Plaquettes d'ébauches rhombiques"/>
    <s v="140325"/>
    <s v="BOUCLIER JONATHAN"/>
    <n v="10"/>
    <x v="2"/>
    <x v="2"/>
    <s v="PLAQUETTES"/>
    <s v="302x26 RPI"/>
    <n v="70"/>
  </r>
  <r>
    <d v="2025-10-01T15:31:54"/>
    <x v="8"/>
    <s v="Plaquettes d'ébauches rhombiques"/>
    <s v="101224"/>
    <s v="CHAZEAU KYLIAN"/>
    <n v="10"/>
    <x v="3"/>
    <x v="3"/>
    <s v="PLAQUETTES"/>
    <s v="330x14"/>
    <n v="70"/>
  </r>
  <r>
    <d v="2025-10-01T15:32:23"/>
    <x v="8"/>
    <s v="Plaquettes d'ébauches rhombiques"/>
    <s v="101224"/>
    <s v="CHAZEAU KYLIAN"/>
    <n v="10"/>
    <x v="0"/>
    <x v="3"/>
    <s v="PLAQUETTES"/>
    <s v="356x26 RPI"/>
    <n v="70"/>
  </r>
  <r>
    <d v="2025-10-01T21:55:03"/>
    <x v="8"/>
    <s v="Plaquettes d'ébauches rhombiques"/>
    <s v="250425"/>
    <s v="CHANDAR ABDER"/>
    <n v="10"/>
    <x v="2"/>
    <x v="4"/>
    <s v="PLAQUETTES"/>
    <s v="302x26 RPI"/>
    <n v="70"/>
  </r>
  <r>
    <d v="2025-10-02T05:14:54"/>
    <x v="8"/>
    <s v="Plaquettes d'ébauches rhombiques"/>
    <s v="SD75051"/>
    <s v="COMBALUZIER LUCAS"/>
    <n v="10"/>
    <x v="1"/>
    <x v="3"/>
    <s v="PLAQUETTES"/>
    <s v="304x28 RPE"/>
    <n v="70"/>
  </r>
  <r>
    <d v="2025-10-02T20:49:41"/>
    <x v="8"/>
    <s v="Plaquettes d'ébauches rhombiques"/>
    <s v="210325"/>
    <s v="DAUTUN ALLAN"/>
    <n v="10"/>
    <x v="2"/>
    <x v="2"/>
    <s v="PLAQUETTES"/>
    <s v="302x26 RPI"/>
    <n v="70"/>
  </r>
  <r>
    <d v="2025-10-02T20:50:11"/>
    <x v="8"/>
    <s v="Plaquettes d'ébauches rhombiques"/>
    <s v="210325"/>
    <s v="DAUTUN ALLAN"/>
    <n v="10"/>
    <x v="2"/>
    <x v="4"/>
    <s v="PLAQUETTES"/>
    <s v="302x26 RPI"/>
    <n v="70"/>
  </r>
  <r>
    <d v="2025-10-02T21:45:42"/>
    <x v="8"/>
    <s v="Plaquettes d'ébauches rhombiques"/>
    <s v="j529800"/>
    <s v="MONTCHARMONT BAPTISTE"/>
    <n v="10"/>
    <x v="0"/>
    <x v="3"/>
    <s v="PLAQUETTES"/>
    <s v="356x26 RPI"/>
    <n v="70"/>
  </r>
  <r>
    <d v="2025-10-03T06:08:03"/>
    <x v="8"/>
    <s v="Plaquettes d'ébauches rhombiques"/>
    <s v="150725"/>
    <s v="ADOUL WASSIM"/>
    <n v="10"/>
    <x v="3"/>
    <x v="3"/>
    <s v="PLAQUETTES"/>
    <s v="330x14"/>
    <n v="70"/>
  </r>
  <r>
    <d v="2025-10-03T18:08:18"/>
    <x v="8"/>
    <s v="Plaquettes d'ébauches rhombiques"/>
    <s v="sc95213"/>
    <s v="RABET PAULINE"/>
    <n v="10"/>
    <x v="1"/>
    <x v="3"/>
    <s v="PLAQUETTES"/>
    <s v="304x28 RPE"/>
    <n v="70"/>
  </r>
  <r>
    <d v="2025-10-03T21:14:37"/>
    <x v="8"/>
    <s v="Plaquettes d'ébauches rhombiques"/>
    <s v="j529800"/>
    <s v="MONTCHARMONT BAPTISTE"/>
    <n v="10"/>
    <x v="0"/>
    <x v="3"/>
    <s v="PLAQUETTES"/>
    <s v="356x26 RPI"/>
    <n v="70"/>
  </r>
  <r>
    <d v="2025-10-03T21:30:27"/>
    <x v="8"/>
    <s v="Plaquettes d'ébauches rhombiques"/>
    <s v="130325"/>
    <s v="PAPONNEAU JULIEN"/>
    <n v="10"/>
    <x v="1"/>
    <x v="3"/>
    <s v="PLAQUETTES"/>
    <s v="304x28 RPE"/>
    <n v="70"/>
  </r>
  <r>
    <d v="2025-10-03T21:31:03"/>
    <x v="8"/>
    <s v="Plaquettes d'ébauches rhombiques"/>
    <s v="130325"/>
    <s v="PAPONNEAU JULIEN"/>
    <n v="10"/>
    <x v="1"/>
    <x v="3"/>
    <s v="PLAQUETTES"/>
    <s v="304x28 RPE"/>
    <n v="70"/>
  </r>
  <r>
    <d v="2025-10-04T03:14:17"/>
    <x v="8"/>
    <s v="Plaquettes d'ébauches rhombiques"/>
    <s v="250425"/>
    <s v="CHANDAR ABDER"/>
    <n v="10"/>
    <x v="2"/>
    <x v="4"/>
    <s v="PLAQUETTES"/>
    <s v="302x26 RPI"/>
    <n v="70"/>
  </r>
  <r>
    <d v="2025-10-04T05:34:14"/>
    <x v="8"/>
    <s v="Plaquettes d'ébauches rhombiques"/>
    <s v="150725"/>
    <s v="ADOUL WASSIM"/>
    <n v="10"/>
    <x v="0"/>
    <x v="0"/>
    <s v="PLAQUETTES"/>
    <s v="356x26 RPI"/>
    <n v="70"/>
  </r>
  <r>
    <d v="2025-10-04T08:27:09"/>
    <x v="8"/>
    <s v="Plaquettes d'ébauches rhombiques"/>
    <s v="DELIAT C"/>
    <s v="DELIAT CHRISTOPHE"/>
    <n v="10"/>
    <x v="2"/>
    <x v="4"/>
    <s v="PLAQUETTES"/>
    <s v="302x26 RPI"/>
    <n v="70"/>
  </r>
  <r>
    <d v="2025-10-05T17:29:55"/>
    <x v="8"/>
    <s v="Plaquettes d'ébauches rhombiques"/>
    <s v="150725"/>
    <s v="ADOUL WASSIM"/>
    <n v="10"/>
    <x v="0"/>
    <x v="3"/>
    <s v="PLAQUETTES"/>
    <s v="356x26 RPI"/>
    <n v="70"/>
  </r>
  <r>
    <d v="2025-10-05T22:49:47"/>
    <x v="8"/>
    <s v="Plaquettes d'ébauches rhombiques"/>
    <s v="150725"/>
    <s v="ADOUL WASSIM"/>
    <n v="10"/>
    <x v="1"/>
    <x v="3"/>
    <s v="PLAQUETTES"/>
    <s v="304x28 RPE"/>
    <n v="70"/>
  </r>
  <r>
    <d v="2025-10-06T05:09:50"/>
    <x v="8"/>
    <s v="Plaquettes d'ébauches rhombiques"/>
    <s v="U505000"/>
    <s v="RECEVEUR BENOIT"/>
    <n v="10"/>
    <x v="1"/>
    <x v="0"/>
    <s v="PLAQUETTES"/>
    <s v="304x28 RPE"/>
    <n v="70"/>
  </r>
  <r>
    <d v="2025-10-06T11:42:18"/>
    <x v="8"/>
    <s v="Plaquettes d'ébauches rhombiques"/>
    <s v="12824586"/>
    <s v="DA SILVA FERNANDO"/>
    <n v="10"/>
    <x v="0"/>
    <x v="2"/>
    <s v="PLAQUETTES"/>
    <s v="TOUT DISQUES"/>
    <n v="70"/>
  </r>
  <r>
    <d v="2025-10-06T12:49:03"/>
    <x v="8"/>
    <s v="Plaquettes d'ébauches rhombiques"/>
    <s v="210325"/>
    <s v="DAUTUN ALLAN"/>
    <n v="10"/>
    <x v="2"/>
    <x v="2"/>
    <s v="PLAQUETTES"/>
    <s v="302x26 RPI"/>
    <n v="70"/>
  </r>
  <r>
    <d v="2025-10-06T12:49:18"/>
    <x v="8"/>
    <s v="Plaquettes d'ébauches rhombiques"/>
    <s v="210325"/>
    <s v="DAUTUN ALLAN"/>
    <n v="10"/>
    <x v="2"/>
    <x v="2"/>
    <s v="PLAQUETTES"/>
    <s v="302x26 RPI"/>
    <n v="70"/>
  </r>
  <r>
    <d v="2025-10-06T13:30:48"/>
    <x v="8"/>
    <s v="Plaquettes d'ébauches rhombiques"/>
    <s v="SD75051"/>
    <s v="COMBALUZIER LUCAS"/>
    <n v="10"/>
    <x v="1"/>
    <x v="0"/>
    <s v="PLAQUETTES"/>
    <s v="304x28 RPE"/>
    <n v="70"/>
  </r>
  <r>
    <d v="2025-10-06T14:28:58"/>
    <x v="8"/>
    <s v="Plaquettes d'ébauches rhombiques"/>
    <s v="SD75051"/>
    <s v="COMBALUZIER LUCAS"/>
    <n v="10"/>
    <x v="1"/>
    <x v="3"/>
    <s v="PLAQUETTES"/>
    <s v="304x28 RPE"/>
    <n v="70"/>
  </r>
  <r>
    <d v="2025-10-06T17:21:18"/>
    <x v="8"/>
    <s v="Plaquettes d'ébauches rhombiques"/>
    <s v="140325"/>
    <s v="BOUCLIER JONATHAN"/>
    <n v="10"/>
    <x v="2"/>
    <x v="2"/>
    <s v="PLAQUETTES"/>
    <s v="302x26 RPI"/>
    <n v="70"/>
  </r>
  <r>
    <d v="2025-10-06T21:24:17"/>
    <x v="8"/>
    <s v="Plaquettes d'ébauches rhombiques"/>
    <s v="U037238"/>
    <s v="PRIEUR OLIVIER"/>
    <n v="10"/>
    <x v="2"/>
    <x v="1"/>
    <s v="PLAQUETTES"/>
    <s v="302x26 RPI"/>
    <n v="70"/>
  </r>
  <r>
    <d v="2025-10-06T22:01:25"/>
    <x v="8"/>
    <s v="Plaquettes d'ébauches rhombiques"/>
    <s v="j529800"/>
    <s v="MONTCHARMONT BAPTISTE"/>
    <n v="10"/>
    <x v="0"/>
    <x v="3"/>
    <s v="PLAQUETTES"/>
    <s v="356x26 RPI"/>
    <n v="70"/>
  </r>
  <r>
    <d v="2025-10-07T13:09:19"/>
    <x v="8"/>
    <s v="Plaquettes d'ébauches rhombiques"/>
    <s v="140325"/>
    <s v="BOUCLIER JONATHAN"/>
    <n v="10"/>
    <x v="2"/>
    <x v="4"/>
    <s v="PLAQUETTES"/>
    <s v="302x26 RPI"/>
    <n v="70"/>
  </r>
  <r>
    <d v="2025-10-07T15:09:45"/>
    <x v="8"/>
    <s v="Plaquettes d'ébauches rhombiques"/>
    <s v="J609988"/>
    <s v="AMALRIC VINCENT"/>
    <n v="10"/>
    <x v="0"/>
    <x v="2"/>
    <s v="PLAQUETTES"/>
    <s v="304x28 RPE"/>
    <n v="70"/>
  </r>
  <r>
    <d v="2025-10-09T05:05:31"/>
    <x v="8"/>
    <s v="Plaquettes d'ébauches rhombiques"/>
    <s v="045F69CAA77080"/>
    <s v="TEIXEIRA FLORIAN"/>
    <n v="10"/>
    <x v="2"/>
    <x v="1"/>
    <s v="PLAQUETTES"/>
    <s v="302x26 RPI"/>
    <n v="70"/>
  </r>
  <r>
    <d v="2025-10-09T13:31:34"/>
    <x v="8"/>
    <s v="Plaquettes d'ébauches rhombiques"/>
    <s v="u636817"/>
    <s v="MOCQUEREAU LYDIE"/>
    <n v="10"/>
    <x v="2"/>
    <x v="2"/>
    <s v="PLAQUETTES"/>
    <s v="302x26 RPI"/>
    <n v="70"/>
  </r>
  <r>
    <d v="2025-10-09T13:31:56"/>
    <x v="8"/>
    <s v="Plaquettes d'ébauches rhombiques"/>
    <s v="u636817"/>
    <s v="MOCQUEREAU LYDIE"/>
    <n v="10"/>
    <x v="2"/>
    <x v="2"/>
    <s v="PLAQUETTES"/>
    <s v="302x26 RPI"/>
    <n v="70"/>
  </r>
  <r>
    <d v="2025-10-09T13:44:02"/>
    <x v="8"/>
    <s v="Plaquettes d'ébauches rhombiques"/>
    <s v="J609988"/>
    <s v="AMALRIC VINCENT"/>
    <n v="10"/>
    <x v="1"/>
    <x v="3"/>
    <s v="PLAQUETTES"/>
    <s v="304x28 RPE"/>
    <n v="70"/>
  </r>
  <r>
    <d v="2025-10-09T19:35:08"/>
    <x v="8"/>
    <s v="Plaquettes d'ébauches rhombiques"/>
    <s v="J609988"/>
    <s v="AMALRIC VINCENT"/>
    <n v="10"/>
    <x v="1"/>
    <x v="0"/>
    <s v="PLAQUETTES"/>
    <s v="304x28 RPE"/>
    <n v="70"/>
  </r>
  <r>
    <d v="2025-10-09T21:18:19"/>
    <x v="8"/>
    <s v="Plaquettes d'ébauches rhombiques"/>
    <s v="j529800"/>
    <s v="MONTCHARMONT BAPTISTE"/>
    <n v="10"/>
    <x v="0"/>
    <x v="3"/>
    <s v="PLAQUETTES"/>
    <s v="356x26 RPI"/>
    <n v="70"/>
  </r>
  <r>
    <d v="2025-10-10T05:05:55"/>
    <x v="8"/>
    <s v="Plaquettes d'ébauches rhombiques"/>
    <s v="J529792"/>
    <s v="LEBRE CHRISTOPHE"/>
    <n v="10"/>
    <x v="2"/>
    <x v="1"/>
    <s v="PLAQUETTES"/>
    <s v="302x26 RPI"/>
    <n v="70"/>
  </r>
  <r>
    <d v="2025-10-10T13:28:27"/>
    <x v="8"/>
    <s v="Plaquettes d'ébauches rhombiques"/>
    <s v="040725"/>
    <s v="BARGEOT LUCAS"/>
    <n v="10"/>
    <x v="0"/>
    <x v="3"/>
    <s v="PLAQUETTES"/>
    <s v="356x26 RPI"/>
    <n v="70"/>
  </r>
  <r>
    <d v="2025-10-10T14:24:52"/>
    <x v="8"/>
    <s v="Plaquettes d'ébauches rhombiques"/>
    <s v="040725"/>
    <s v="BARGEOT LUCAS"/>
    <n v="10"/>
    <x v="3"/>
    <x v="3"/>
    <s v="PLAQUETTES"/>
    <s v="330x28 RPE KO"/>
    <n v="70"/>
  </r>
  <r>
    <d v="2025-10-11T07:04:54"/>
    <x v="8"/>
    <s v="Plaquettes d'ébauches rhombiques"/>
    <s v="150725"/>
    <s v="ADOUL WASSIM"/>
    <n v="10"/>
    <x v="1"/>
    <x v="0"/>
    <s v="PLAQUETTES"/>
    <s v="304x28 RPE"/>
    <n v="70"/>
  </r>
  <r>
    <d v="2025-10-11T12:35:24"/>
    <x v="8"/>
    <s v="Plaquettes d'ébauches rhombiques"/>
    <s v="150725"/>
    <s v="ADOUL WASSIM"/>
    <n v="10"/>
    <x v="0"/>
    <x v="2"/>
    <s v="PLAQUETTES"/>
    <s v="356x26 RPI"/>
    <n v="70"/>
  </r>
  <r>
    <d v="2025-10-12T17:04:04"/>
    <x v="8"/>
    <s v="Plaquettes d'ébauches rhombiques"/>
    <s v="DELIAT C"/>
    <s v="DELIAT CHRISTOPHE"/>
    <n v="10"/>
    <x v="2"/>
    <x v="2"/>
    <s v="PLAQUETTES"/>
    <s v="302x26 RPI"/>
    <n v="70"/>
  </r>
  <r>
    <d v="2025-10-12T17:04:42"/>
    <x v="8"/>
    <s v="Plaquettes d'ébauches rhombiques"/>
    <s v="DELIAT C"/>
    <s v="DELIAT CHRISTOPHE"/>
    <n v="10"/>
    <x v="2"/>
    <x v="4"/>
    <s v="PLAQUETTES"/>
    <s v="302x26 RPI"/>
    <n v="70"/>
  </r>
  <r>
    <d v="2025-10-13T05:07:20"/>
    <x v="8"/>
    <s v="Plaquettes d'ébauches rhombiques"/>
    <s v="140325"/>
    <s v="BOUCLIER JONATHAN"/>
    <n v="10"/>
    <x v="2"/>
    <x v="4"/>
    <s v="PLAQUETTES"/>
    <s v="302x26 RPI"/>
    <n v="70"/>
  </r>
  <r>
    <d v="2025-10-13T05:14:51"/>
    <x v="8"/>
    <s v="Plaquettes d'ébauches rhombiques"/>
    <s v="040725"/>
    <s v="BARGEOT LUCAS"/>
    <n v="10"/>
    <x v="0"/>
    <x v="3"/>
    <s v="PLAQUETTES"/>
    <s v="356x26 RPI"/>
    <n v="70"/>
  </r>
  <r>
    <d v="2025-10-13T05:22:45"/>
    <x v="8"/>
    <s v="Plaquettes d'ébauches rhombiques"/>
    <s v="140325"/>
    <s v="BOUCLIER JONATHAN"/>
    <n v="10"/>
    <x v="2"/>
    <x v="2"/>
    <s v="PLAQUETTES"/>
    <s v="302x26 RPI"/>
    <n v="70"/>
  </r>
  <r>
    <d v="2025-10-13T13:40:12"/>
    <x v="8"/>
    <s v="Plaquettes d'ébauches rhombiques"/>
    <s v="101123"/>
    <s v="BRUNET ANDREA"/>
    <n v="10"/>
    <x v="1"/>
    <x v="3"/>
    <s v="PLAQUETTES"/>
    <s v="304x28 RPE"/>
    <n v="70"/>
  </r>
  <r>
    <d v="2025-10-13T21:16:00"/>
    <x v="8"/>
    <s v="Plaquettes d'ébauches rhombiques"/>
    <s v="U037238"/>
    <s v="PRIEUR OLIVIER"/>
    <n v="10"/>
    <x v="2"/>
    <x v="1"/>
    <s v="PLAQUETTES"/>
    <s v="302x26 RPI"/>
    <n v="70"/>
  </r>
  <r>
    <d v="2025-10-13T21:31:17"/>
    <x v="8"/>
    <s v="Plaquettes d'ébauches rhombiques"/>
    <s v="130325"/>
    <s v="PAPONNEAU JULIEN"/>
    <n v="10"/>
    <x v="3"/>
    <x v="2"/>
    <s v="PLAQUETTES"/>
    <s v="290x12"/>
    <n v="70"/>
  </r>
  <r>
    <d v="2025-10-13T21:31:32"/>
    <x v="8"/>
    <s v="Plaquettes d'ébauches rhombiques"/>
    <s v="130325"/>
    <s v="PAPONNEAU JULIEN"/>
    <n v="10"/>
    <x v="0"/>
    <x v="2"/>
    <s v="PLAQUETTES"/>
    <s v="290x12"/>
    <n v="70"/>
  </r>
  <r>
    <d v="2025-10-13T21:53:04"/>
    <x v="8"/>
    <s v="Plaquettes d'ébauches rhombiques"/>
    <s v="j529800"/>
    <s v="MONTCHARMONT BAPTISTE"/>
    <n v="10"/>
    <x v="0"/>
    <x v="3"/>
    <s v="PLAQUETTES"/>
    <s v="356x26 RPI"/>
    <n v="70"/>
  </r>
  <r>
    <d v="2025-10-13T23:01:43"/>
    <x v="8"/>
    <s v="Plaquettes d'ébauches rhombiques"/>
    <s v="250425"/>
    <s v="CHANDAR ABDER"/>
    <n v="10"/>
    <x v="2"/>
    <x v="4"/>
    <s v="PLAQUETTES"/>
    <s v="302x26 RPI"/>
    <n v="70"/>
  </r>
  <r>
    <d v="2025-10-14T17:33:41"/>
    <x v="8"/>
    <s v="Plaquettes d'ébauches rhombiques"/>
    <s v="U505000"/>
    <s v="RECEVEUR BENOIT"/>
    <n v="10"/>
    <x v="1"/>
    <x v="0"/>
    <s v="PLAQUETTES"/>
    <s v="304x28 RPE"/>
    <n v="70"/>
  </r>
  <r>
    <d v="2025-10-14T19:58:04"/>
    <x v="8"/>
    <s v="Plaquettes d'ébauches rhombiques"/>
    <s v="101224"/>
    <s v="CHAZEAU KYLIAN"/>
    <n v="10"/>
    <x v="3"/>
    <x v="3"/>
    <s v="PLAQUETTES"/>
    <s v="330x28 RPE KO"/>
    <n v="70"/>
  </r>
  <r>
    <d v="2025-10-14T19:58:23"/>
    <x v="8"/>
    <s v="Plaquettes d'ébauches rhombiques"/>
    <s v="101224"/>
    <s v="CHAZEAU KYLIAN"/>
    <n v="10"/>
    <x v="0"/>
    <x v="3"/>
    <s v="PLAQUETTES"/>
    <s v="356x26 RPI"/>
    <n v="70"/>
  </r>
  <r>
    <d v="2025-10-14T20:35:51"/>
    <x v="8"/>
    <s v="Plaquettes d'ébauches rhombiques"/>
    <s v="210325"/>
    <s v="DAUTUN ALLAN"/>
    <n v="10"/>
    <x v="2"/>
    <x v="2"/>
    <s v="PLAQUETTES"/>
    <s v="302x26 RPI"/>
    <n v="70"/>
  </r>
  <r>
    <d v="2025-10-14T20:36:22"/>
    <x v="8"/>
    <s v="Plaquettes d'ébauches rhombiques"/>
    <s v="210325"/>
    <s v="DAUTUN ALLAN"/>
    <n v="10"/>
    <x v="2"/>
    <x v="4"/>
    <s v="PLAQUETTES"/>
    <s v="302x26 RPI"/>
    <n v="70"/>
  </r>
  <r>
    <d v="2025-10-14T21:16:10"/>
    <x v="8"/>
    <s v="Plaquettes d'ébauches rhombiques"/>
    <s v="j529800"/>
    <s v="MONTCHARMONT BAPTISTE"/>
    <n v="10"/>
    <x v="0"/>
    <x v="3"/>
    <s v="PLAQUETTES"/>
    <s v="356x26 RPI"/>
    <n v="70"/>
  </r>
  <r>
    <d v="2025-10-15T05:19:28"/>
    <x v="8"/>
    <s v="Plaquettes d'ébauches rhombiques"/>
    <s v="SD75051"/>
    <s v="COMBALUZIER LUCAS"/>
    <n v="10"/>
    <x v="1"/>
    <x v="3"/>
    <s v="PLAQUETTES"/>
    <s v="304x28 RPE"/>
    <n v="70"/>
  </r>
  <r>
    <d v="2025-10-15T22:20:57"/>
    <x v="8"/>
    <s v="Plaquettes d'ébauches rhombiques"/>
    <s v="j529800"/>
    <s v="MONTCHARMONT BAPTISTE"/>
    <n v="10"/>
    <x v="0"/>
    <x v="3"/>
    <s v="PLAQUETTES"/>
    <s v="356x26 RPI"/>
    <n v="70"/>
  </r>
  <r>
    <d v="2025-10-16T08:51:28"/>
    <x v="8"/>
    <s v="Plaquettes d'ébauches rhombiques"/>
    <s v="040725"/>
    <s v="BARGEOT LUCAS"/>
    <n v="10"/>
    <x v="3"/>
    <x v="3"/>
    <s v="PLAQUETTES"/>
    <s v="330x28 RPE KO"/>
    <n v="70"/>
  </r>
  <r>
    <d v="2025-10-16T21:19:13"/>
    <x v="8"/>
    <s v="Plaquettes d'ébauches rhombiques"/>
    <s v="j529800"/>
    <s v="MONTCHARMONT BAPTISTE"/>
    <n v="10"/>
    <x v="0"/>
    <x v="3"/>
    <s v="PLAQUETTES"/>
    <s v="356x26 RPI"/>
    <n v="70"/>
  </r>
  <r>
    <d v="2025-10-17T13:19:18"/>
    <x v="8"/>
    <s v="Plaquettes d'ébauches rhombiques"/>
    <s v="U505000"/>
    <s v="RECEVEUR BENOIT"/>
    <n v="10"/>
    <x v="1"/>
    <x v="3"/>
    <s v="PLAQUETTES"/>
    <s v="304x28 RPE"/>
    <n v="70"/>
  </r>
  <r>
    <d v="2025-10-17T15:57:23"/>
    <x v="8"/>
    <s v="Plaquettes d'ébauches rhombiques"/>
    <s v="U505000"/>
    <s v="RECEVEUR BENOIT"/>
    <n v="10"/>
    <x v="1"/>
    <x v="0"/>
    <s v="PLAQUETTES"/>
    <s v="304x28 RPE"/>
    <n v="70"/>
  </r>
  <r>
    <d v="2025-10-17T15:57:44"/>
    <x v="8"/>
    <s v="Plaquettes d'ébauches rhombiques"/>
    <s v="U505000"/>
    <s v="RECEVEUR BENOIT"/>
    <n v="10"/>
    <x v="1"/>
    <x v="0"/>
    <s v="PLAQUETTES"/>
    <s v="304x28 RPE"/>
    <n v="70"/>
  </r>
  <r>
    <d v="2025-10-17T21:25:08"/>
    <x v="8"/>
    <s v="Plaquettes d'ébauches rhombiques"/>
    <s v="j529800"/>
    <s v="MONTCHARMONT BAPTISTE"/>
    <n v="10"/>
    <x v="0"/>
    <x v="3"/>
    <s v="PLAQUETTES"/>
    <s v="356x26 RPI"/>
    <n v="70"/>
  </r>
  <r>
    <d v="2025-10-19T17:57:47"/>
    <x v="8"/>
    <s v="Plaquettes d'ébauches rhombiques"/>
    <s v="DELIAT C"/>
    <s v="DELIAT CHRISTOPHE"/>
    <n v="10"/>
    <x v="2"/>
    <x v="2"/>
    <s v="PLAQUETTES"/>
    <s v="302x26 RPI"/>
    <n v="70"/>
  </r>
  <r>
    <d v="2025-10-20T06:35:19"/>
    <x v="8"/>
    <s v="Plaquettes d'ébauches rhombiques"/>
    <s v="U505000"/>
    <s v="RECEVEUR BENOIT"/>
    <n v="10"/>
    <x v="1"/>
    <x v="3"/>
    <s v="PLAQUETTES"/>
    <s v="304x28 RPE"/>
    <n v="70"/>
  </r>
  <r>
    <d v="2025-10-20T09:08:24"/>
    <x v="8"/>
    <s v="Plaquettes d'ébauches rhombiques"/>
    <s v="12824586"/>
    <s v="DA SILVA FERNANDO"/>
    <n v="10"/>
    <x v="1"/>
    <x v="2"/>
    <s v="PLAQUETTES"/>
    <s v="TOUT DISQUES"/>
    <n v="70"/>
  </r>
  <r>
    <d v="2025-10-20T13:03:54"/>
    <x v="8"/>
    <s v="Plaquettes d'ébauches rhombiques"/>
    <s v="u636817"/>
    <s v="MOCQUEREAU LYDIE"/>
    <n v="10"/>
    <x v="2"/>
    <x v="4"/>
    <s v="PLAQUETTES"/>
    <s v="302x26 RPI"/>
    <n v="70"/>
  </r>
  <r>
    <d v="2025-10-20T19:20:10"/>
    <x v="8"/>
    <s v="Plaquettes d'ébauches rhombiques"/>
    <s v="040725"/>
    <s v="BARGEOT LUCAS"/>
    <n v="10"/>
    <x v="3"/>
    <x v="3"/>
    <s v="PLAQUETTES"/>
    <s v="330x14"/>
    <n v="70"/>
  </r>
  <r>
    <d v="2025-10-20T22:22:24"/>
    <x v="8"/>
    <s v="Plaquettes d'ébauches rhombiques"/>
    <s v="250425"/>
    <s v="CHANDAR ABDER"/>
    <n v="10"/>
    <x v="2"/>
    <x v="4"/>
    <s v="PLAQUETTES"/>
    <s v="302x26 RPI"/>
    <n v="70"/>
  </r>
  <r>
    <d v="2025-10-21T13:12:45"/>
    <x v="8"/>
    <s v="Plaquettes d'ébauches rhombiques"/>
    <s v="SD75051"/>
    <s v="COMBALUZIER LUCAS"/>
    <n v="10"/>
    <x v="1"/>
    <x v="3"/>
    <s v="PLAQUETTES"/>
    <s v="304x28 RPE"/>
    <n v="70"/>
  </r>
  <r>
    <d v="2025-10-21T21:15:48"/>
    <x v="8"/>
    <s v="Plaquettes d'ébauches rhombiques"/>
    <s v="j529800"/>
    <s v="MONTCHARMONT BAPTISTE"/>
    <n v="10"/>
    <x v="0"/>
    <x v="3"/>
    <s v="PLAQUETTES"/>
    <s v="356x26 RPI"/>
    <n v="70"/>
  </r>
  <r>
    <d v="2025-10-22T05:00:09"/>
    <x v="8"/>
    <s v="Plaquettes d'ébauches rhombiques"/>
    <s v="045F69CAA77080"/>
    <s v="TEIXEIRA FLORIAN"/>
    <n v="10"/>
    <x v="2"/>
    <x v="1"/>
    <s v="PLAQUETTES"/>
    <s v="302x26 RPI"/>
    <n v="70"/>
  </r>
  <r>
    <d v="2025-10-22T12:43:28"/>
    <x v="8"/>
    <s v="Plaquettes d'ébauches rhombiques"/>
    <s v="210325"/>
    <s v="DAUTUN ALLAN"/>
    <n v="10"/>
    <x v="2"/>
    <x v="2"/>
    <s v="PLAQUETTES"/>
    <s v="302x26 RPI"/>
    <n v="70"/>
  </r>
  <r>
    <d v="2025-10-22T12:43:57"/>
    <x v="8"/>
    <s v="Plaquettes d'ébauches rhombiques"/>
    <s v="210325"/>
    <s v="DAUTUN ALLAN"/>
    <n v="10"/>
    <x v="2"/>
    <x v="4"/>
    <s v="PLAQUETTES"/>
    <s v="302x26 RPI"/>
    <n v="70"/>
  </r>
  <r>
    <d v="2025-10-22T13:24:21"/>
    <x v="8"/>
    <s v="Plaquettes d'ébauches rhombiques"/>
    <s v="040725"/>
    <s v="BARGEOT LUCAS"/>
    <n v="10"/>
    <x v="0"/>
    <x v="3"/>
    <s v="PLAQUETTES"/>
    <s v="356x26 RPI"/>
    <n v="70"/>
  </r>
  <r>
    <d v="2025-10-22T16:03:57"/>
    <x v="8"/>
    <s v="Plaquettes d'ébauches rhombiques"/>
    <s v="140325"/>
    <s v="BOUCLIER JONATHAN"/>
    <n v="10"/>
    <x v="2"/>
    <x v="4"/>
    <s v="PLAQUETTES"/>
    <s v="302x26 RPI"/>
    <n v="70"/>
  </r>
  <r>
    <d v="2025-10-22T22:22:55"/>
    <x v="8"/>
    <s v="Plaquettes d'ébauches rhombiques"/>
    <s v="250425"/>
    <s v="CHANDAR ABDER"/>
    <n v="10"/>
    <x v="2"/>
    <x v="4"/>
    <s v="PLAQUETTES"/>
    <s v="302x26 RPI"/>
    <n v="70"/>
  </r>
  <r>
    <d v="2025-10-23T13:08:49"/>
    <x v="8"/>
    <s v="Plaquettes d'ébauches rhombiques"/>
    <s v="SD75051"/>
    <s v="COMBALUZIER LUCAS"/>
    <n v="10"/>
    <x v="1"/>
    <x v="3"/>
    <s v="PLAQUETTES"/>
    <s v="304x28 RPE"/>
    <n v="70"/>
  </r>
  <r>
    <d v="2025-10-23T21:40:58"/>
    <x v="8"/>
    <s v="Plaquettes d'ébauches rhombiques"/>
    <s v="j529800"/>
    <s v="MONTCHARMONT BAPTISTE"/>
    <n v="10"/>
    <x v="0"/>
    <x v="3"/>
    <s v="PLAQUETTES"/>
    <s v="356x26 RPI"/>
    <n v="70"/>
  </r>
  <r>
    <d v="2025-10-24T02:10:04"/>
    <x v="8"/>
    <s v="Plaquettes d'ébauches rhombiques"/>
    <s v="j529800"/>
    <s v="MONTCHARMONT BAPTISTE"/>
    <n v="10"/>
    <x v="0"/>
    <x v="3"/>
    <s v="PLAQUETTES"/>
    <s v="356x26 RPI"/>
    <n v="70"/>
  </r>
  <r>
    <d v="2025-10-24T13:08:52"/>
    <x v="8"/>
    <s v="Plaquettes d'ébauches rhombiques"/>
    <s v="SD75051"/>
    <s v="COMBALUZIER LUCAS"/>
    <n v="10"/>
    <x v="0"/>
    <x v="3"/>
    <s v="PLAQUETTES"/>
    <s v="304x28 RPE"/>
    <n v="70"/>
  </r>
  <r>
    <d v="2025-10-24T13:10:39"/>
    <x v="8"/>
    <s v="Plaquettes d'ébauches rhombiques"/>
    <s v="040725"/>
    <s v="BARGEOT LUCAS"/>
    <n v="10"/>
    <x v="0"/>
    <x v="3"/>
    <s v="PLAQUETTES"/>
    <s v="356x26 RPI"/>
    <n v="70"/>
  </r>
  <r>
    <d v="2025-10-24T21:30:47"/>
    <x v="8"/>
    <s v="Plaquettes d'ébauches rhombiques"/>
    <s v="j529800"/>
    <s v="MONTCHARMONT BAPTISTE"/>
    <n v="10"/>
    <x v="0"/>
    <x v="3"/>
    <s v="PLAQUETTES"/>
    <s v="356x26 RPI"/>
    <n v="70"/>
  </r>
  <r>
    <d v="2025-10-25T06:30:31"/>
    <x v="8"/>
    <s v="Plaquettes d'ébauches rhombiques"/>
    <s v="150725"/>
    <s v="ADOUL WASSIM"/>
    <n v="10"/>
    <x v="1"/>
    <x v="3"/>
    <s v="PLAQUETTES"/>
    <s v="304x28 RPE"/>
    <n v="70"/>
  </r>
  <r>
    <d v="2025-10-26T17:48:07"/>
    <x v="8"/>
    <s v="Plaquettes d'ébauches rhombiques"/>
    <s v="150725"/>
    <s v="ADOUL WASSIM"/>
    <n v="10"/>
    <x v="0"/>
    <x v="3"/>
    <s v="PLAQUETTES"/>
    <s v="356x26 RPI"/>
    <n v="70"/>
  </r>
  <r>
    <d v="2025-10-27T02:03:58"/>
    <x v="8"/>
    <s v="Plaquettes d'ébauches rhombiques"/>
    <s v="J529792"/>
    <s v="LEBRE CHRISTOPHE"/>
    <n v="10"/>
    <x v="2"/>
    <x v="4"/>
    <s v="PLAQUETTES"/>
    <s v="302x26 RPI"/>
    <n v="70"/>
  </r>
  <r>
    <d v="2025-10-27T05:03:11"/>
    <x v="8"/>
    <s v="Plaquettes d'ébauches rhombiques"/>
    <s v="SD75051"/>
    <s v="COMBALUZIER LUCAS"/>
    <n v="10"/>
    <x v="1"/>
    <x v="3"/>
    <s v="PLAQUETTES"/>
    <s v="304x28 RPE"/>
    <n v="70"/>
  </r>
  <r>
    <d v="2025-10-27T05:14:01"/>
    <x v="8"/>
    <s v="Plaquettes d'ébauches rhombiques"/>
    <s v="SD75051"/>
    <s v="COMBALUZIER LUCAS"/>
    <n v="10"/>
    <x v="1"/>
    <x v="0"/>
    <s v="PLAQUETTES"/>
    <s v="304x28 RPE"/>
    <n v="70"/>
  </r>
  <r>
    <d v="2025-10-27T21:30:22"/>
    <x v="8"/>
    <s v="Plaquettes d'ébauches rhombiques"/>
    <s v="j529800"/>
    <s v="MONTCHARMONT BAPTISTE"/>
    <n v="10"/>
    <x v="3"/>
    <x v="3"/>
    <s v="PLAQUETTES"/>
    <s v="330x28 RPE KO"/>
    <n v="70"/>
  </r>
  <r>
    <d v="2025-10-27T21:30:41"/>
    <x v="8"/>
    <s v="Plaquettes d'ébauches rhombiques"/>
    <s v="j529800"/>
    <s v="MONTCHARMONT BAPTISTE"/>
    <n v="10"/>
    <x v="0"/>
    <x v="3"/>
    <s v="PLAQUETTES"/>
    <s v="356x26 RPI"/>
    <n v="70"/>
  </r>
  <r>
    <d v="2025-10-28T05:02:09"/>
    <x v="8"/>
    <s v="Plaquettes d'ébauches rhombiques"/>
    <s v="140325"/>
    <s v="BOUCLIER JONATHAN"/>
    <n v="10"/>
    <x v="2"/>
    <x v="2"/>
    <s v="PLAQUETTES"/>
    <s v="302x26 RPI"/>
    <n v="70"/>
  </r>
  <r>
    <d v="2025-10-28T05:02:47"/>
    <x v="8"/>
    <s v="Plaquettes d'ébauches rhombiques"/>
    <s v="140325"/>
    <s v="BOUCLIER JONATHAN"/>
    <n v="10"/>
    <x v="2"/>
    <x v="4"/>
    <s v="PLAQUETTES"/>
    <s v="302x26 RPI"/>
    <n v="70"/>
  </r>
  <r>
    <d v="2025-10-28T05:16:49"/>
    <x v="8"/>
    <s v="Plaquettes d'ébauches rhombiques"/>
    <s v="SD75051"/>
    <s v="COMBALUZIER LUCAS"/>
    <n v="10"/>
    <x v="1"/>
    <x v="3"/>
    <s v="PLAQUETTES"/>
    <s v="304x28 RPE"/>
    <n v="70"/>
  </r>
  <r>
    <d v="2025-10-28T15:26:31"/>
    <x v="8"/>
    <s v="Plaquettes d'ébauches rhombiques"/>
    <s v="04551FC25C7780"/>
    <s v="CHEDRU VIANNEY"/>
    <n v="10"/>
    <x v="0"/>
    <x v="3"/>
    <s v="PLAQUETTES"/>
    <s v="356x26 RPI"/>
    <n v="70"/>
  </r>
  <r>
    <d v="2025-10-28T20:45:44"/>
    <x v="8"/>
    <s v="Plaquettes d'ébauches rhombiques"/>
    <s v="210325"/>
    <s v="DAUTUN ALLAN"/>
    <n v="10"/>
    <x v="2"/>
    <x v="2"/>
    <s v="PLAQUETTES"/>
    <s v="302x26 RPI"/>
    <n v="70"/>
  </r>
  <r>
    <d v="2025-10-28T20:46:24"/>
    <x v="8"/>
    <s v="Plaquettes d'ébauches rhombiques"/>
    <s v="210325"/>
    <s v="DAUTUN ALLAN"/>
    <n v="10"/>
    <x v="2"/>
    <x v="4"/>
    <s v="PLAQUETTES"/>
    <s v="302x26 RPI"/>
    <n v="70"/>
  </r>
  <r>
    <d v="2025-10-29T00:57:04"/>
    <x v="8"/>
    <s v="Plaquettes d'ébauches rhombiques"/>
    <s v="250425"/>
    <s v="CHANDAR ABDER"/>
    <n v="10"/>
    <x v="2"/>
    <x v="4"/>
    <s v="PLAQUETTES"/>
    <s v="302x26 RPI"/>
    <n v="70"/>
  </r>
  <r>
    <d v="2025-10-29T05:06:16"/>
    <x v="8"/>
    <s v="Plaquettes d'ébauches rhombiques"/>
    <s v="SD75051"/>
    <s v="COMBALUZIER LUCAS"/>
    <n v="10"/>
    <x v="1"/>
    <x v="3"/>
    <s v="PLAQUETTES"/>
    <s v="304x28 RPE"/>
    <n v="70"/>
  </r>
  <r>
    <d v="2025-10-29T14:04:14"/>
    <x v="8"/>
    <s v="Plaquettes d'ébauches rhombiques"/>
    <s v="04551FC25C7780"/>
    <s v="CHEDRU VIANNEY"/>
    <n v="10"/>
    <x v="0"/>
    <x v="3"/>
    <s v="PLAQUETTES"/>
    <s v="356x26 RPI"/>
    <n v="70"/>
  </r>
  <r>
    <d v="2025-10-29T21:45:47"/>
    <x v="8"/>
    <s v="Plaquettes d'ébauches rhombiques"/>
    <s v="U037238"/>
    <s v="PRIEUR OLIVIER"/>
    <n v="10"/>
    <x v="2"/>
    <x v="1"/>
    <s v="PLAQUETTES"/>
    <s v="302x26 RPI"/>
    <n v="70"/>
  </r>
  <r>
    <d v="2025-10-30T05:08:00"/>
    <x v="8"/>
    <s v="Plaquettes d'ébauches rhombiques"/>
    <s v="SD75051"/>
    <s v="COMBALUZIER LUCAS"/>
    <n v="10"/>
    <x v="1"/>
    <x v="3"/>
    <s v="PLAQUETTES"/>
    <s v="304x28 RPE"/>
    <n v="70"/>
  </r>
  <r>
    <d v="2025-10-30T22:48:05"/>
    <x v="8"/>
    <s v="Plaquettes d'ébauches rhombiques"/>
    <s v="j529800"/>
    <s v="MONTCHARMONT BAPTISTE"/>
    <n v="10"/>
    <x v="0"/>
    <x v="3"/>
    <s v="PLAQUETTES"/>
    <s v="356x26 RPI"/>
    <n v="70"/>
  </r>
  <r>
    <d v="2025-10-31T09:28:01"/>
    <x v="8"/>
    <s v="Plaquettes d'ébauches rhombiques"/>
    <s v="150725"/>
    <s v="ADOUL WASSIM"/>
    <n v="10"/>
    <x v="1"/>
    <x v="3"/>
    <s v="PLAQUETTES"/>
    <s v="304x28 RPE"/>
    <n v="70"/>
  </r>
  <r>
    <d v="2025-10-31T13:16:01"/>
    <x v="8"/>
    <s v="Plaquettes d'ébauches rhombiques"/>
    <s v="04551FC25C7780"/>
    <s v="CHEDRU VIANNEY"/>
    <n v="10"/>
    <x v="0"/>
    <x v="3"/>
    <s v="PLAQUETTES"/>
    <s v="356x26 RPI"/>
    <n v="70"/>
  </r>
  <r>
    <d v="2025-11-01T03:23:11"/>
    <x v="8"/>
    <s v="Plaquettes d'ébauches rhombiques"/>
    <s v="250425"/>
    <s v="CHANDAR ABDER"/>
    <n v="10"/>
    <x v="2"/>
    <x v="4"/>
    <s v="PLAQUETTES"/>
    <s v="302x26 RPI"/>
    <n v="70"/>
  </r>
  <r>
    <d v="2025-11-01T11:48:56"/>
    <x v="8"/>
    <s v="Plaquettes d'ébauches rhombiques"/>
    <s v="150725"/>
    <s v="ADOUL WASSIM"/>
    <n v="10"/>
    <x v="0"/>
    <x v="2"/>
    <s v="PLAQUETTES"/>
    <s v="304x28 RPE"/>
    <n v="70"/>
  </r>
  <r>
    <d v="2025-11-03T00:23:45"/>
    <x v="8"/>
    <s v="Plaquettes d'ébauches rhombiques"/>
    <s v="150725"/>
    <s v="ADOUL WASSIM"/>
    <n v="10"/>
    <x v="1"/>
    <x v="3"/>
    <s v="PLAQUETTES"/>
    <s v="304x28 RPE"/>
    <n v="70"/>
  </r>
  <r>
    <d v="2025-11-03T05:12:23"/>
    <x v="8"/>
    <s v="Plaquettes d'ébauches rhombiques"/>
    <s v="101224"/>
    <s v="CHAZEAU KYLIAN"/>
    <n v="10"/>
    <x v="1"/>
    <x v="0"/>
    <s v="PLAQUETTES"/>
    <s v="304x28 RPE"/>
    <n v="70"/>
  </r>
  <r>
    <d v="2025-11-03T12:43:19"/>
    <x v="8"/>
    <s v="Plaquettes d'ébauches rhombiques"/>
    <s v="04551FC25C7780"/>
    <s v="CHEDRU VIANNEY"/>
    <n v="10"/>
    <x v="0"/>
    <x v="0"/>
    <s v="PLAQUETTES"/>
    <s v="356x26 RPI"/>
    <n v="70"/>
  </r>
  <r>
    <d v="2025-11-03T13:20:14"/>
    <x v="8"/>
    <s v="Plaquettes d'ébauches rhombiques"/>
    <s v="u636817"/>
    <s v="MOCQUEREAU LYDIE"/>
    <n v="10"/>
    <x v="2"/>
    <x v="2"/>
    <s v="PLAQUETTES"/>
    <s v="302x26 RPI"/>
    <n v="70"/>
  </r>
  <r>
    <d v="2025-11-03T13:21:22"/>
    <x v="8"/>
    <s v="Plaquettes d'ébauches rhombiques"/>
    <s v="u636817"/>
    <s v="MOCQUEREAU LYDIE"/>
    <n v="10"/>
    <x v="2"/>
    <x v="4"/>
    <s v="PLAQUETTES"/>
    <s v="302x26 RPI"/>
    <n v="70"/>
  </r>
  <r>
    <d v="2025-11-03T13:55:20"/>
    <x v="8"/>
    <s v="Plaquettes d'ébauches rhombiques"/>
    <s v="SD75051"/>
    <s v="COMBALUZIER LUCAS"/>
    <n v="10"/>
    <x v="0"/>
    <x v="3"/>
    <s v="PLAQUETTES"/>
    <s v="304x28 RPE"/>
    <n v="70"/>
  </r>
  <r>
    <d v="2025-11-03T21:28:26"/>
    <x v="8"/>
    <s v="Plaquettes d'ébauches rhombiques"/>
    <s v="j529800"/>
    <s v="MONTCHARMONT BAPTISTE"/>
    <n v="10"/>
    <x v="0"/>
    <x v="3"/>
    <s v="PLAQUETTES"/>
    <s v="356x26 RPI"/>
    <n v="70"/>
  </r>
  <r>
    <d v="2025-11-04T14:12:58"/>
    <x v="8"/>
    <s v="Plaquettes d'ébauches rhombiques"/>
    <s v="SD75051"/>
    <s v="COMBALUZIER LUCAS"/>
    <n v="10"/>
    <x v="1"/>
    <x v="3"/>
    <s v="PLAQUETTES"/>
    <s v="304x28 RPE"/>
    <n v="70"/>
  </r>
  <r>
    <d v="2025-11-04T15:37:20"/>
    <x v="8"/>
    <s v="Plaquettes d'ébauches rhombiques"/>
    <s v="u636817"/>
    <s v="MOCQUEREAU LYDIE"/>
    <n v="10"/>
    <x v="2"/>
    <x v="4"/>
    <s v="PLAQUETTES"/>
    <s v="302x26 RPI"/>
    <n v="70"/>
  </r>
  <r>
    <d v="2025-11-04T21:20:04"/>
    <x v="8"/>
    <s v="Plaquettes d'ébauches rhombiques"/>
    <s v="j529800"/>
    <s v="MONTCHARMONT BAPTISTE"/>
    <n v="10"/>
    <x v="0"/>
    <x v="3"/>
    <s v="PLAQUETTES"/>
    <s v="356x26 RPI"/>
    <n v="70"/>
  </r>
  <r>
    <d v="2025-11-04T21:21:53"/>
    <x v="8"/>
    <s v="Plaquettes d'ébauches rhombiques"/>
    <s v="130325"/>
    <s v="PAPONNEAU JULIEN"/>
    <n v="10"/>
    <x v="1"/>
    <x v="3"/>
    <s v="PLAQUETTES"/>
    <s v="304x28 RPE"/>
    <n v="70"/>
  </r>
  <r>
    <d v="2025-11-04T21:22:09"/>
    <x v="8"/>
    <s v="Plaquettes d'ébauches rhombiques"/>
    <s v="130325"/>
    <s v="PAPONNEAU JULIEN"/>
    <n v="10"/>
    <x v="1"/>
    <x v="3"/>
    <s v="PLAQUETTES"/>
    <s v="304x28 RPE"/>
    <n v="70"/>
  </r>
  <r>
    <d v="2025-11-04T21:22:23"/>
    <x v="8"/>
    <s v="Plaquettes d'ébauches rhombiques"/>
    <s v="130325"/>
    <s v="PAPONNEAU JULIEN"/>
    <n v="10"/>
    <x v="1"/>
    <x v="3"/>
    <s v="PLAQUETTES"/>
    <s v="304x28 RPE"/>
    <n v="70"/>
  </r>
  <r>
    <d v="2025-11-04T21:25:32"/>
    <x v="8"/>
    <s v="Plaquettes d'ébauches rhombiques"/>
    <s v="130325"/>
    <s v="PAPONNEAU JULIEN"/>
    <n v="10"/>
    <x v="1"/>
    <x v="0"/>
    <s v="PLAQUETTES"/>
    <s v="304x28 RPE"/>
    <n v="70"/>
  </r>
  <r>
    <d v="2025-11-05T05:01:24"/>
    <x v="8"/>
    <s v="Plaquettes d'ébauches rhombiques"/>
    <s v="045F69CAA77080"/>
    <s v="TEIXEIRA FLORIAN"/>
    <n v="10"/>
    <x v="2"/>
    <x v="1"/>
    <s v="PLAQUETTES"/>
    <s v="302x26 RPI"/>
    <n v="70"/>
  </r>
  <r>
    <d v="2025-11-05T12:18:36"/>
    <x v="8"/>
    <s v="Plaquettes d'ébauches rhombiques"/>
    <s v="210325"/>
    <s v="DAUTUN ALLAN"/>
    <n v="10"/>
    <x v="2"/>
    <x v="2"/>
    <s v="PLAQUETTES"/>
    <s v="302x26 RPI"/>
    <n v="70"/>
  </r>
  <r>
    <d v="2025-11-05T12:18:49"/>
    <x v="8"/>
    <s v="Plaquettes d'ébauches rhombiques"/>
    <s v="210325"/>
    <s v="DAUTUN ALLAN"/>
    <n v="10"/>
    <x v="2"/>
    <x v="4"/>
    <s v="PLAQUETTES"/>
    <s v="302x26 RPI"/>
    <n v="70"/>
  </r>
  <r>
    <d v="2025-11-05T13:07:42"/>
    <x v="8"/>
    <s v="Plaquettes d'ébauches rhombiques"/>
    <s v="140325"/>
    <s v="BOUCLIER JONATHAN"/>
    <n v="10"/>
    <x v="2"/>
    <x v="2"/>
    <s v="PLAQUETTES"/>
    <s v="302x26 RPI"/>
    <n v="70"/>
  </r>
  <r>
    <d v="2025-11-05T13:08:32"/>
    <x v="8"/>
    <s v="Plaquettes d'ébauches rhombiques"/>
    <s v="140325"/>
    <s v="BOUCLIER JONATHAN"/>
    <n v="10"/>
    <x v="2"/>
    <x v="4"/>
    <s v="PLAQUETTES"/>
    <s v="302x26 RPI"/>
    <n v="70"/>
  </r>
  <r>
    <d v="2025-11-05T13:40:31"/>
    <x v="8"/>
    <s v="Plaquettes d'ébauches rhombiques"/>
    <s v="040725"/>
    <s v="BARGEOT LUCAS"/>
    <n v="10"/>
    <x v="3"/>
    <x v="2"/>
    <s v="PLAQUETTES"/>
    <s v="330x28 RPE KO"/>
    <n v="70"/>
  </r>
  <r>
    <d v="2025-11-05T21:17:39"/>
    <x v="8"/>
    <s v="Plaquettes d'ébauches rhombiques"/>
    <s v="j529800"/>
    <s v="MONTCHARMONT BAPTISTE"/>
    <n v="10"/>
    <x v="0"/>
    <x v="3"/>
    <s v="PLAQUETTES"/>
    <s v="356x26 RPI"/>
    <n v="70"/>
  </r>
  <r>
    <d v="2025-11-06T05:04:34"/>
    <x v="8"/>
    <s v="Plaquettes d'ébauches rhombiques"/>
    <s v="045F69CAA77080"/>
    <s v="TEIXEIRA FLORIAN"/>
    <n v="10"/>
    <x v="2"/>
    <x v="1"/>
    <s v="PLAQUETTES"/>
    <s v="302x26 RPI"/>
    <n v="70"/>
  </r>
  <r>
    <d v="2025-11-06T13:53:14"/>
    <x v="8"/>
    <s v="Plaquettes d'ébauches rhombiques"/>
    <s v="040725"/>
    <s v="BARGEOT LUCAS"/>
    <n v="10"/>
    <x v="0"/>
    <x v="3"/>
    <s v="PLAQUETTES"/>
    <s v="356x26 RPI"/>
    <n v="70"/>
  </r>
  <r>
    <d v="2025-11-06T13:53:35"/>
    <x v="8"/>
    <s v="Plaquettes d'ébauches rhombiques"/>
    <s v="040725"/>
    <s v="BARGEOT LUCAS"/>
    <n v="10"/>
    <x v="3"/>
    <x v="3"/>
    <s v="PLAQUETTES"/>
    <s v="330x14"/>
    <n v="70"/>
  </r>
  <r>
    <d v="2025-11-07T05:58:52"/>
    <x v="8"/>
    <s v="Plaquettes d'ébauches rhombiques"/>
    <s v="J534699"/>
    <s v="FABIAN CHARTON"/>
    <n v="10"/>
    <x v="2"/>
    <x v="2"/>
    <s v="PLAQUETTES"/>
    <s v="302x26 RPI"/>
    <n v="70"/>
  </r>
  <r>
    <d v="2025-11-07T06:00:38"/>
    <x v="8"/>
    <s v="Plaquettes d'ébauches rhombiques"/>
    <s v="J534699"/>
    <s v="FABIAN CHARTON"/>
    <n v="10"/>
    <x v="2"/>
    <x v="4"/>
    <s v="PLAQUETTES"/>
    <s v="302x26 RPI"/>
    <n v="70"/>
  </r>
  <r>
    <d v="2025-11-07T13:41:30"/>
    <x v="8"/>
    <s v="Plaquettes d'ébauches rhombiques"/>
    <s v="SD75051"/>
    <s v="COMBALUZIER LUCAS"/>
    <n v="10"/>
    <x v="1"/>
    <x v="0"/>
    <s v="PLAQUETTES"/>
    <s v="304x28 RPE"/>
    <n v="70"/>
  </r>
  <r>
    <d v="2025-11-07T21:21:45"/>
    <x v="8"/>
    <s v="Plaquettes d'ébauches rhombiques"/>
    <s v="j529800"/>
    <s v="MONTCHARMONT BAPTISTE"/>
    <n v="10"/>
    <x v="0"/>
    <x v="3"/>
    <s v="PLAQUETTES"/>
    <s v="356x26 RPI"/>
    <n v="70"/>
  </r>
  <r>
    <d v="2025-11-08T11:15:47"/>
    <x v="8"/>
    <s v="Plaquettes d'ébauches rhombiques"/>
    <s v="DELIAT C"/>
    <s v="DELIAT CHRISTOPHE"/>
    <n v="10"/>
    <x v="0"/>
    <x v="3"/>
    <s v="PLAQUETTES"/>
    <s v="356x26 RPI"/>
    <n v="70"/>
  </r>
  <r>
    <d v="2025-11-09T06:54:07"/>
    <x v="8"/>
    <s v="Plaquettes d'ébauches rhombiques"/>
    <s v="U080365"/>
    <s v="ALAVOINE SAMUEL"/>
    <n v="10"/>
    <x v="0"/>
    <x v="3"/>
    <s v="PLAQUETTES"/>
    <s v="356x26 RPI"/>
    <n v="70"/>
  </r>
  <r>
    <d v="2025-11-09T06:55:36"/>
    <x v="8"/>
    <s v="Plaquettes d'ébauches rhombiques"/>
    <s v="U080365"/>
    <s v="ALAVOINE SAMUEL"/>
    <n v="10"/>
    <x v="0"/>
    <x v="0"/>
    <s v="PLAQUETTES"/>
    <s v="356x26 RPI"/>
    <n v="70"/>
  </r>
  <r>
    <d v="2025-11-09T06:56:01"/>
    <x v="8"/>
    <s v="Plaquettes d'ébauches rhombiques"/>
    <s v="U080365"/>
    <s v="ALAVOINE SAMUEL"/>
    <n v="10"/>
    <x v="3"/>
    <x v="3"/>
    <s v="PLAQUETTES"/>
    <s v="330x14"/>
    <n v="70"/>
  </r>
  <r>
    <d v="2025-11-10T13:03:29"/>
    <x v="8"/>
    <s v="Plaquettes d'ébauches rhombiques"/>
    <s v="101224"/>
    <s v="CHAZEAU KYLIAN"/>
    <n v="10"/>
    <x v="1"/>
    <x v="3"/>
    <s v="PLAQUETTES"/>
    <s v="304x28 RPE"/>
    <n v="70"/>
  </r>
  <r>
    <d v="2025-11-10T21:03:46"/>
    <x v="8"/>
    <s v="Plaquettes d'ébauches rhombiques"/>
    <s v="j529800"/>
    <s v="MONTCHARMONT BAPTISTE"/>
    <n v="10"/>
    <x v="3"/>
    <x v="3"/>
    <s v="PLAQUETTES"/>
    <s v="330x14"/>
    <n v="70"/>
  </r>
  <r>
    <d v="2025-11-12T05:50:12"/>
    <x v="8"/>
    <s v="Plaquettes d'ébauches rhombiques"/>
    <s v="SD75051"/>
    <s v="COMBALUZIER LUCAS"/>
    <n v="10"/>
    <x v="1"/>
    <x v="3"/>
    <s v="PLAQUETTES"/>
    <s v="304x28 RPE"/>
    <n v="70"/>
  </r>
  <r>
    <d v="2025-11-12T20:07:57"/>
    <x v="8"/>
    <s v="Plaquettes d'ébauches rhombiques"/>
    <s v="04551FC25C7780"/>
    <s v="CHEDRU VIANNEY"/>
    <n v="10"/>
    <x v="0"/>
    <x v="3"/>
    <s v="PLAQUETTES"/>
    <s v="356x26 RPI"/>
    <n v="70"/>
  </r>
  <r>
    <d v="2025-11-12T20:30:24"/>
    <x v="8"/>
    <s v="Plaquettes d'ébauches rhombiques"/>
    <s v="101224"/>
    <s v="CHAZEAU KYLIAN"/>
    <n v="10"/>
    <x v="1"/>
    <x v="3"/>
    <s v="PLAQUETTES"/>
    <s v="304x28 RPE"/>
    <n v="70"/>
  </r>
  <r>
    <d v="2025-11-12T21:17:36"/>
    <x v="8"/>
    <s v="Plaquettes d'ébauches rhombiques"/>
    <s v="j529800"/>
    <s v="MONTCHARMONT BAPTISTE"/>
    <n v="10"/>
    <x v="3"/>
    <x v="3"/>
    <s v="PLAQUETTES"/>
    <s v="330x28 RPE KO"/>
    <n v="70"/>
  </r>
  <r>
    <d v="2025-11-13T03:59:13"/>
    <x v="8"/>
    <s v="Plaquettes d'ébauches rhombiques"/>
    <s v="j529800"/>
    <s v="MONTCHARMONT BAPTISTE"/>
    <n v="10"/>
    <x v="3"/>
    <x v="3"/>
    <s v="PLAQUETTES"/>
    <s v="330x28 RPE KO"/>
    <n v="70"/>
  </r>
  <r>
    <d v="2025-11-13T18:51:04"/>
    <x v="8"/>
    <s v="Plaquettes d'ébauches rhombiques"/>
    <s v="04551FC25C7780"/>
    <s v="CHEDRU VIANNEY"/>
    <n v="10"/>
    <x v="3"/>
    <x v="3"/>
    <s v="PLAQUETTES"/>
    <s v="330x28 RPE KO"/>
    <n v="70"/>
  </r>
  <r>
    <d v="2025-11-13T21:53:46"/>
    <x v="8"/>
    <s v="Plaquettes d'ébauches rhombiques"/>
    <s v="j529800"/>
    <s v="MONTCHARMONT BAPTISTE"/>
    <n v="10"/>
    <x v="0"/>
    <x v="3"/>
    <s v="PLAQUETTES"/>
    <s v="356x26 RPI"/>
    <n v="70"/>
  </r>
  <r>
    <d v="2025-11-13T23:01:12"/>
    <x v="8"/>
    <s v="Plaquettes d'ébauches rhombiques"/>
    <s v="130325"/>
    <s v="PAPONNEAU JULIEN"/>
    <n v="10"/>
    <x v="1"/>
    <x v="2"/>
    <s v="PLAQUETTES"/>
    <s v="304x28 RPE"/>
    <n v="70"/>
  </r>
  <r>
    <d v="2025-11-14T01:23:22"/>
    <x v="8"/>
    <s v="Plaquettes d'ébauches rhombiques"/>
    <s v="U037238"/>
    <s v="PRIEUR OLIVIER"/>
    <n v="10"/>
    <x v="2"/>
    <x v="1"/>
    <s v="PLAQUETTES"/>
    <s v="302x26 RPI"/>
    <n v="70"/>
  </r>
  <r>
    <d v="2025-11-14T05:25:54"/>
    <x v="8"/>
    <s v="Plaquettes d'ébauches rhombiques"/>
    <s v="150725"/>
    <s v="ADOUL WASSIM"/>
    <n v="10"/>
    <x v="1"/>
    <x v="3"/>
    <s v="PLAQUETTES"/>
    <s v="304x28 RPE"/>
    <n v="70"/>
  </r>
  <r>
    <d v="2025-11-14T18:48:57"/>
    <x v="8"/>
    <s v="Plaquettes d'ébauches rhombiques"/>
    <s v="210325"/>
    <s v="DAUTUN ALLAN"/>
    <n v="10"/>
    <x v="2"/>
    <x v="2"/>
    <s v="PLAQUETTES"/>
    <s v="302x26 RPI"/>
    <n v="70"/>
  </r>
  <r>
    <d v="2025-11-14T18:49:24"/>
    <x v="8"/>
    <s v="Plaquettes d'ébauches rhombiques"/>
    <s v="210325"/>
    <s v="DAUTUN ALLAN"/>
    <n v="10"/>
    <x v="2"/>
    <x v="4"/>
    <s v="PLAQUETTES"/>
    <s v="302x26 RPI"/>
    <n v="70"/>
  </r>
  <r>
    <d v="2025-11-14T20:11:12"/>
    <x v="8"/>
    <s v="Plaquettes d'ébauches rhombiques"/>
    <s v="04551FC25C7780"/>
    <s v="CHEDRU VIANNEY"/>
    <n v="10"/>
    <x v="3"/>
    <x v="3"/>
    <s v="PLAQUETTES"/>
    <s v="330x28 RPE KO"/>
    <n v="70"/>
  </r>
  <r>
    <d v="2025-11-15T03:50:53"/>
    <x v="8"/>
    <s v="Plaquettes d'ébauches rhombiques"/>
    <s v="j529800"/>
    <s v="MONTCHARMONT BAPTISTE"/>
    <n v="10"/>
    <x v="0"/>
    <x v="3"/>
    <s v="PLAQUETTES"/>
    <s v="356x26 RPI"/>
    <n v="70"/>
  </r>
  <r>
    <d v="2025-11-15T07:19:21"/>
    <x v="8"/>
    <s v="Plaquettes d'ébauches rhombiques"/>
    <s v="150725"/>
    <s v="ADOUL WASSIM"/>
    <n v="10"/>
    <x v="1"/>
    <x v="3"/>
    <s v="PLAQUETTES"/>
    <s v="304x28 RPE"/>
    <n v="70"/>
  </r>
  <r>
    <d v="2025-11-15T07:20:18"/>
    <x v="8"/>
    <s v="Plaquettes d'ébauches rhombiques"/>
    <s v="150725"/>
    <s v="ADOUL WASSIM"/>
    <n v="10"/>
    <x v="1"/>
    <x v="0"/>
    <s v="PLAQUETTES"/>
    <s v="304x28 RPE"/>
    <n v="70"/>
  </r>
  <r>
    <d v="2025-11-16T03:02:02"/>
    <x v="8"/>
    <s v="Plaquettes d'ébauches rhombiques"/>
    <s v="U080365"/>
    <s v="ALAVOINE SAMUEL"/>
    <n v="10"/>
    <x v="0"/>
    <x v="3"/>
    <s v="PLAQUETTES"/>
    <s v="356x26 RPI"/>
    <n v="70"/>
  </r>
  <r>
    <d v="2025-11-16T03:02:55"/>
    <x v="8"/>
    <s v="Plaquettes d'ébauches rhombiques"/>
    <s v="U080365"/>
    <s v="ALAVOINE SAMUEL"/>
    <n v="10"/>
    <x v="3"/>
    <x v="3"/>
    <s v="PLAQUETTES"/>
    <s v="330x28 RPE KO"/>
    <n v="70"/>
  </r>
  <r>
    <d v="2025-11-16T17:20:17"/>
    <x v="8"/>
    <s v="Plaquettes d'ébauches rhombiques"/>
    <s v="U080365"/>
    <s v="ALAVOINE SAMUEL"/>
    <n v="10"/>
    <x v="0"/>
    <x v="0"/>
    <s v="PLAQUETTES"/>
    <s v="356x26 RPI"/>
    <n v="70"/>
  </r>
  <r>
    <d v="2025-11-16T17:20:45"/>
    <x v="8"/>
    <s v="Plaquettes d'ébauches rhombiques"/>
    <s v="U080365"/>
    <s v="ALAVOINE SAMUEL"/>
    <n v="10"/>
    <x v="3"/>
    <x v="0"/>
    <s v="PLAQUETTES"/>
    <s v="304x28 RPE"/>
    <n v="70"/>
  </r>
  <r>
    <d v="2025-11-17T13:08:56"/>
    <x v="8"/>
    <s v="Plaquettes d'ébauches rhombiques"/>
    <s v="SD75051"/>
    <s v="COMBALUZIER LUCAS"/>
    <n v="10"/>
    <x v="1"/>
    <x v="3"/>
    <s v="PLAQUETTES"/>
    <s v="304x28 RPE"/>
    <n v="70"/>
  </r>
  <r>
    <d v="2025-11-17T21:25:45"/>
    <x v="8"/>
    <s v="Plaquettes d'ébauches rhombiques"/>
    <s v="j529800"/>
    <s v="MONTCHARMONT BAPTISTE"/>
    <n v="10"/>
    <x v="3"/>
    <x v="3"/>
    <s v="PLAQUETTES"/>
    <s v="330x28 RPE KO"/>
    <n v="70"/>
  </r>
  <r>
    <d v="2025-11-18T13:09:12"/>
    <x v="8"/>
    <s v="Plaquettes d'ébauches rhombiques"/>
    <s v="SD75051"/>
    <s v="COMBALUZIER LUCAS"/>
    <n v="10"/>
    <x v="1"/>
    <x v="3"/>
    <s v="PLAQUETTES"/>
    <s v="304x28 RPE"/>
    <n v="70"/>
  </r>
  <r>
    <d v="2025-11-19T00:00:48"/>
    <x v="8"/>
    <s v="Plaquettes d'ébauches rhombiques"/>
    <s v="j529800"/>
    <s v="MONTCHARMONT BAPTISTE"/>
    <n v="10"/>
    <x v="3"/>
    <x v="3"/>
    <s v="PLAQUETTES"/>
    <s v="330x14"/>
    <n v="70"/>
  </r>
  <r>
    <d v="2025-11-19T01:01:31"/>
    <x v="8"/>
    <s v="Plaquettes d'ébauches rhombiques"/>
    <s v="250425"/>
    <s v="CHANDAR ABDER"/>
    <n v="10"/>
    <x v="2"/>
    <x v="4"/>
    <s v="PLAQUETTES"/>
    <s v="302x26 RPI"/>
    <n v="70"/>
  </r>
  <r>
    <d v="2025-11-19T13:28:33"/>
    <x v="8"/>
    <s v="Plaquettes d'ébauches rhombiques"/>
    <s v="SD75051"/>
    <s v="COMBALUZIER LUCAS"/>
    <n v="10"/>
    <x v="1"/>
    <x v="3"/>
    <s v="PLAQUETTES"/>
    <s v="304x28 RPE"/>
    <n v="70"/>
  </r>
  <r>
    <d v="2025-11-19T14:49:00"/>
    <x v="8"/>
    <s v="Plaquettes d'ébauches rhombiques"/>
    <s v="140325"/>
    <s v="BOUCLIER JONATHAN"/>
    <n v="10"/>
    <x v="2"/>
    <x v="2"/>
    <s v="PLAQUETTES"/>
    <s v="302x26 RPI"/>
    <n v="70"/>
  </r>
  <r>
    <d v="2025-11-20T14:38:45"/>
    <x v="8"/>
    <s v="Plaquettes d'ébauches rhombiques"/>
    <s v="040725"/>
    <s v="BARGEOT LUCAS"/>
    <n v="10"/>
    <x v="0"/>
    <x v="3"/>
    <s v="PLAQUETTES"/>
    <s v="356x26 RPI"/>
    <n v="70"/>
  </r>
  <r>
    <d v="2025-11-20T23:52:20"/>
    <x v="8"/>
    <s v="Plaquettes d'ébauches rhombiques"/>
    <s v="j529800"/>
    <s v="MONTCHARMONT BAPTISTE"/>
    <n v="10"/>
    <x v="0"/>
    <x v="3"/>
    <s v="PLAQUETTES"/>
    <s v="356x26 RPI"/>
    <n v="70"/>
  </r>
  <r>
    <d v="2025-11-21T00:10:37"/>
    <x v="8"/>
    <s v="Plaquettes d'ébauches rhombiques"/>
    <s v="250425"/>
    <s v="CHANDAR ABDER"/>
    <n v="10"/>
    <x v="2"/>
    <x v="4"/>
    <s v="PLAQUETTES"/>
    <s v="302x26 RPI"/>
    <n v="70"/>
  </r>
  <r>
    <d v="2025-11-21T09:23:41"/>
    <x v="8"/>
    <s v="Plaquettes d'ébauches rhombiques"/>
    <s v="12824586"/>
    <s v="DA SILVA FERNANDO"/>
    <n v="10"/>
    <x v="1"/>
    <x v="2"/>
    <s v="PLAQUETTES"/>
    <s v="TOUT DISQUES"/>
    <n v="70"/>
  </r>
  <r>
    <d v="2025-11-21T13:15:37"/>
    <x v="8"/>
    <s v="Plaquettes d'ébauches rhombiques"/>
    <s v="040725"/>
    <s v="BARGEOT LUCAS"/>
    <n v="10"/>
    <x v="3"/>
    <x v="3"/>
    <s v="PLAQUETTES"/>
    <s v="330x28 RPE KO"/>
    <n v="70"/>
  </r>
  <r>
    <d v="2025-11-21T21:22:53"/>
    <x v="8"/>
    <s v="Plaquettes d'ébauches rhombiques"/>
    <s v="j529800"/>
    <s v="MONTCHARMONT BAPTISTE"/>
    <n v="10"/>
    <x v="0"/>
    <x v="3"/>
    <s v="PLAQUETTES"/>
    <s v="356x26 RPI"/>
    <n v="70"/>
  </r>
  <r>
    <d v="2025-11-21T23:39:00"/>
    <x v="8"/>
    <s v="Plaquettes d'ébauches rhombiques"/>
    <s v="250425"/>
    <s v="CHANDAR ABDER"/>
    <n v="10"/>
    <x v="2"/>
    <x v="4"/>
    <s v="PLAQUETTES"/>
    <s v="302x26 RPI"/>
    <n v="70"/>
  </r>
  <r>
    <d v="2025-11-23T11:45:41"/>
    <x v="8"/>
    <s v="Plaquettes d'ébauches rhombiques"/>
    <s v="U080365"/>
    <s v="ALAVOINE SAMUEL"/>
    <n v="10"/>
    <x v="0"/>
    <x v="0"/>
    <s v="PLAQUETTES"/>
    <s v="356x26 RPI"/>
    <n v="70"/>
  </r>
  <r>
    <d v="2025-11-23T19:10:06"/>
    <x v="8"/>
    <s v="Plaquettes d'ébauches rhombiques"/>
    <s v="150725"/>
    <s v="ADOUL WASSIM"/>
    <n v="10"/>
    <x v="1"/>
    <x v="3"/>
    <s v="PLAQUETTES"/>
    <s v="304x28 RPE"/>
    <n v="70"/>
  </r>
  <r>
    <d v="2025-11-24T05:02:24"/>
    <x v="8"/>
    <s v="Plaquettes d'ébauches rhombiques"/>
    <s v="140325"/>
    <s v="BOUCLIER JONATHAN"/>
    <n v="10"/>
    <x v="2"/>
    <x v="2"/>
    <s v="PLAQUETTES"/>
    <s v="302x26 RPI"/>
    <n v="70"/>
  </r>
  <r>
    <d v="2025-11-24T05:03:09"/>
    <x v="8"/>
    <s v="Plaquettes d'ébauches rhombiques"/>
    <s v="140325"/>
    <s v="BOUCLIER JONATHAN"/>
    <n v="10"/>
    <x v="2"/>
    <x v="4"/>
    <s v="PLAQUETTES"/>
    <s v="302x26 RPI"/>
    <n v="70"/>
  </r>
  <r>
    <d v="2025-11-24T05:05:25"/>
    <x v="8"/>
    <s v="Plaquettes d'ébauches rhombiques"/>
    <s v="SD75051"/>
    <s v="COMBALUZIER LUCAS"/>
    <n v="10"/>
    <x v="1"/>
    <x v="3"/>
    <s v="PLAQUETTES"/>
    <s v="304x28 RPE"/>
    <n v="70"/>
  </r>
  <r>
    <d v="2025-11-24T05:06:07"/>
    <x v="8"/>
    <s v="Plaquettes d'ébauches rhombiques"/>
    <s v="SD75051"/>
    <s v="COMBALUZIER LUCAS"/>
    <n v="10"/>
    <x v="0"/>
    <x v="0"/>
    <s v="PLAQUETTES"/>
    <s v="304x28 RPE"/>
    <n v="70"/>
  </r>
  <r>
    <d v="2025-11-24T05:12:35"/>
    <x v="8"/>
    <s v="Plaquettes d'ébauches rhombiques"/>
    <s v="040725"/>
    <s v="BARGEOT LUCAS"/>
    <n v="10"/>
    <x v="3"/>
    <x v="3"/>
    <s v="PLAQUETTES"/>
    <s v="330x28 RPE KO"/>
    <n v="70"/>
  </r>
  <r>
    <d v="2025-11-24T07:02:10"/>
    <x v="8"/>
    <s v="Plaquettes d'ébauches rhombiques"/>
    <s v="040725"/>
    <s v="BARGEOT LUCAS"/>
    <n v="10"/>
    <x v="0"/>
    <x v="3"/>
    <s v="PLAQUETTES"/>
    <s v="356x26 RPI"/>
    <n v="70"/>
  </r>
  <r>
    <d v="2025-11-24T07:02:43"/>
    <x v="8"/>
    <s v="Plaquettes d'ébauches rhombiques"/>
    <s v="040725"/>
    <s v="BARGEOT LUCAS"/>
    <n v="10"/>
    <x v="3"/>
    <x v="3"/>
    <s v="PLAQUETTES"/>
    <s v="330x28 RPE KO"/>
    <n v="70"/>
  </r>
  <r>
    <d v="2025-11-24T14:25:36"/>
    <x v="8"/>
    <s v="Plaquettes d'ébauches rhombiques"/>
    <s v="04551FC25C7780"/>
    <s v="CHEDRU VIANNEY"/>
    <n v="10"/>
    <x v="3"/>
    <x v="3"/>
    <s v="PLAQUETTES"/>
    <s v="330x28 RPE KO"/>
    <n v="70"/>
  </r>
  <r>
    <d v="2025-11-24T14:25:55"/>
    <x v="8"/>
    <s v="Plaquettes d'ébauches rhombiques"/>
    <s v="04551FC25C7780"/>
    <s v="CHEDRU VIANNEY"/>
    <n v="10"/>
    <x v="0"/>
    <x v="3"/>
    <s v="PLAQUETTES"/>
    <s v="356x26 RPI"/>
    <n v="70"/>
  </r>
  <r>
    <d v="2025-11-24T21:12:53"/>
    <x v="8"/>
    <s v="Plaquettes d'ébauches rhombiques"/>
    <s v="j529800"/>
    <s v="MONTCHARMONT BAPTISTE"/>
    <n v="10"/>
    <x v="0"/>
    <x v="3"/>
    <s v="PLAQUETTES"/>
    <s v="356x26 RPI"/>
    <n v="70"/>
  </r>
  <r>
    <d v="2025-11-24T21:48:09"/>
    <x v="8"/>
    <s v="Plaquettes d'ébauches rhombiques"/>
    <s v="250425"/>
    <s v="CHANDAR ABDER"/>
    <n v="10"/>
    <x v="2"/>
    <x v="4"/>
    <s v="PLAQUETTES"/>
    <s v="302x26 RPI"/>
    <n v="70"/>
  </r>
  <r>
    <d v="2025-11-25T05:21:03"/>
    <x v="8"/>
    <s v="Plaquettes d'ébauches rhombiques"/>
    <s v="040725"/>
    <s v="BARGEOT LUCAS"/>
    <n v="10"/>
    <x v="0"/>
    <x v="3"/>
    <s v="PLAQUETTES"/>
    <s v="356x26 RPI"/>
    <n v="70"/>
  </r>
  <r>
    <d v="2025-11-25T05:44:37"/>
    <x v="8"/>
    <s v="Plaquettes d'ébauches rhombiques"/>
    <s v="040725"/>
    <s v="BARGEOT LUCAS"/>
    <n v="10"/>
    <x v="3"/>
    <x v="3"/>
    <s v="PLAQUETTES"/>
    <s v="330x28 RPE KO"/>
    <n v="70"/>
  </r>
  <r>
    <d v="2025-11-25T13:16:53"/>
    <x v="8"/>
    <s v="Plaquettes d'ébauches rhombiques"/>
    <s v="210325"/>
    <s v="DAUTUN ALLAN"/>
    <n v="10"/>
    <x v="2"/>
    <x v="2"/>
    <s v="PLAQUETTES"/>
    <s v="302x26 RPI"/>
    <n v="70"/>
  </r>
  <r>
    <d v="2025-11-25T13:17:10"/>
    <x v="8"/>
    <s v="Plaquettes d'ébauches rhombiques"/>
    <s v="210325"/>
    <s v="DAUTUN ALLAN"/>
    <n v="10"/>
    <x v="2"/>
    <x v="4"/>
    <s v="PLAQUETTES"/>
    <s v="302x26 RPI"/>
    <n v="70"/>
  </r>
  <r>
    <d v="2025-11-25T21:25:03"/>
    <x v="8"/>
    <s v="Plaquettes d'ébauches rhombiques"/>
    <s v="j529800"/>
    <s v="MONTCHARMONT BAPTISTE"/>
    <n v="10"/>
    <x v="0"/>
    <x v="3"/>
    <s v="PLAQUETTES"/>
    <s v="356x26 RPI"/>
    <n v="70"/>
  </r>
  <r>
    <d v="2025-11-26T05:06:20"/>
    <x v="8"/>
    <s v="Plaquettes d'ébauches rhombiques"/>
    <s v="SD75051"/>
    <s v="COMBALUZIER LUCAS"/>
    <n v="10"/>
    <x v="1"/>
    <x v="3"/>
    <s v="PLAQUETTES"/>
    <s v="304x28 RPE"/>
    <n v="70"/>
  </r>
  <r>
    <d v="2025-11-26T07:14:28"/>
    <x v="8"/>
    <s v="Plaquettes d'ébauches rhombiques"/>
    <s v="140325"/>
    <s v="BOUCLIER JONATHAN"/>
    <n v="10"/>
    <x v="2"/>
    <x v="4"/>
    <s v="PLAQUETTES"/>
    <s v="302x26 RPI"/>
    <n v="70"/>
  </r>
  <r>
    <d v="2025-11-26T13:11:22"/>
    <x v="8"/>
    <s v="Plaquettes d'ébauches rhombiques"/>
    <s v="04551FC25C7780"/>
    <s v="CHEDRU VIANNEY"/>
    <n v="10"/>
    <x v="0"/>
    <x v="3"/>
    <s v="PLAQUETTES"/>
    <s v="356x26 RPI"/>
    <n v="70"/>
  </r>
  <r>
    <d v="2025-11-26T13:12:50"/>
    <x v="8"/>
    <s v="Plaquettes d'ébauches rhombiques"/>
    <s v="04551FC25C7780"/>
    <s v="CHEDRU VIANNEY"/>
    <n v="10"/>
    <x v="3"/>
    <x v="3"/>
    <s v="PLAQUETTES"/>
    <s v="330x28 RPE KO"/>
    <n v="70"/>
  </r>
  <r>
    <d v="2025-11-26T13:42:47"/>
    <x v="8"/>
    <s v="Plaquettes d'ébauches rhombiques"/>
    <s v="101224"/>
    <s v="CHAZEAU KYLIAN"/>
    <n v="10"/>
    <x v="1"/>
    <x v="3"/>
    <s v="PLAQUETTES"/>
    <s v="304x28 RPE"/>
    <n v="70"/>
  </r>
  <r>
    <d v="2025-11-27T00:35:38"/>
    <x v="8"/>
    <s v="Plaquettes d'ébauches rhombiques"/>
    <s v="j529800"/>
    <s v="MONTCHARMONT BAPTISTE"/>
    <n v="10"/>
    <x v="3"/>
    <x v="3"/>
    <s v="PLAQUETTES"/>
    <s v="330x28 RPE KO"/>
    <n v="70"/>
  </r>
  <r>
    <d v="2025-11-27T08:54:37"/>
    <x v="8"/>
    <s v="Plaquettes d'ébauches rhombiques"/>
    <s v="12824586"/>
    <s v="DA SILVA FERNANDO"/>
    <n v="10"/>
    <x v="2"/>
    <x v="2"/>
    <s v="PLAQUETTES"/>
    <s v="TOUT DISQUES"/>
    <n v="70"/>
  </r>
  <r>
    <d v="2025-11-27T21:12:56"/>
    <x v="8"/>
    <s v="Plaquettes d'ébauches rhombiques"/>
    <s v="j529800"/>
    <s v="MONTCHARMONT BAPTISTE"/>
    <n v="10"/>
    <x v="0"/>
    <x v="3"/>
    <s v="PLAQUETTES"/>
    <s v="356x26 RPI"/>
    <n v="70"/>
  </r>
  <r>
    <d v="2025-11-27T21:23:01"/>
    <x v="8"/>
    <s v="Plaquettes d'ébauches rhombiques"/>
    <s v="250425"/>
    <s v="CHANDAR ABDER"/>
    <n v="10"/>
    <x v="2"/>
    <x v="4"/>
    <s v="PLAQUETTES"/>
    <s v="302x26 RPI"/>
    <n v="70"/>
  </r>
  <r>
    <d v="2025-11-28T06:25:08"/>
    <x v="8"/>
    <s v="Plaquettes d'ébauches rhombiques"/>
    <s v="150725"/>
    <s v="ADOUL WASSIM"/>
    <n v="10"/>
    <x v="1"/>
    <x v="3"/>
    <s v="PLAQUETTES"/>
    <s v="304x28 RPE"/>
    <n v="70"/>
  </r>
  <r>
    <d v="2025-11-28T12:59:38"/>
    <x v="8"/>
    <s v="Plaquettes d'ébauches rhombiques"/>
    <s v="04551FC25C7780"/>
    <s v="CHEDRU VIANNEY"/>
    <n v="10"/>
    <x v="3"/>
    <x v="3"/>
    <s v="PLAQUETTES"/>
    <s v="330x28 RPE KO"/>
    <n v="70"/>
  </r>
  <r>
    <d v="2025-11-28T13:01:10"/>
    <x v="8"/>
    <s v="Plaquettes d'ébauches rhombiques"/>
    <s v="04551FC25C7780"/>
    <s v="CHEDRU VIANNEY"/>
    <n v="10"/>
    <x v="3"/>
    <x v="3"/>
    <s v="PLAQUETTES"/>
    <s v="330x28 RPE KO"/>
    <n v="70"/>
  </r>
  <r>
    <d v="2025-11-28T13:07:34"/>
    <x v="8"/>
    <s v="Plaquettes d'ébauches rhombiques"/>
    <s v="04551FC25C7780"/>
    <s v="CHEDRU VIANNEY"/>
    <n v="10"/>
    <x v="0"/>
    <x v="0"/>
    <s v="PLAQUETTES"/>
    <s v="356x26 RPI"/>
    <n v="70"/>
  </r>
  <r>
    <d v="2025-11-28T13:44:52"/>
    <x v="8"/>
    <s v="Plaquettes d'ébauches rhombiques"/>
    <s v="045C6ECAA77080"/>
    <s v="PERREIRA KEVIN"/>
    <n v="10"/>
    <x v="1"/>
    <x v="0"/>
    <s v="PLAQUETTES"/>
    <s v="304x28 RPE"/>
    <n v="70"/>
  </r>
  <r>
    <d v="2025-11-28T14:25:29"/>
    <x v="8"/>
    <s v="Plaquettes d'ébauches rhombiques"/>
    <s v="04551FC25C7780"/>
    <s v="CHEDRU VIANNEY"/>
    <n v="10"/>
    <x v="0"/>
    <x v="3"/>
    <s v="PLAQUETTES"/>
    <s v="356x26 RPI"/>
    <n v="70"/>
  </r>
  <r>
    <d v="2025-11-30T10:09:43"/>
    <x v="8"/>
    <s v="Plaquettes d'ébauches rhombiques"/>
    <s v="U080365"/>
    <s v="ALAVOINE SAMUEL"/>
    <n v="10"/>
    <x v="3"/>
    <x v="3"/>
    <s v="PLAQUETTES"/>
    <s v="330x28 RPE KO"/>
    <n v="70"/>
  </r>
  <r>
    <d v="2025-11-30T10:10:19"/>
    <x v="8"/>
    <s v="Plaquettes d'ébauches rhombiques"/>
    <s v="U080365"/>
    <s v="ALAVOINE SAMUEL"/>
    <n v="10"/>
    <x v="0"/>
    <x v="3"/>
    <s v="PLAQUETTES"/>
    <s v="356x26 RPI"/>
    <n v="70"/>
  </r>
  <r>
    <d v="2025-12-01T06:30:15"/>
    <x v="8"/>
    <s v="Plaquettes d'ébauches rhombiques"/>
    <s v="045C6ECAA77080"/>
    <s v="PERREIRA KEVIN"/>
    <n v="10"/>
    <x v="1"/>
    <x v="3"/>
    <s v="PLAQUETTES"/>
    <s v="304x28 RPE"/>
    <n v="70"/>
  </r>
  <r>
    <d v="2025-12-01T12:07:51"/>
    <x v="8"/>
    <s v="Plaquettes d'ébauches rhombiques"/>
    <s v="045C6ECAA77080"/>
    <s v="PERREIRA KEVIN"/>
    <n v="10"/>
    <x v="1"/>
    <x v="0"/>
    <s v="PLAQUETTES"/>
    <s v="304x28 RPE"/>
    <n v="70"/>
  </r>
  <r>
    <d v="2025-12-01T13:12:14"/>
    <x v="8"/>
    <s v="Plaquettes d'ébauches rhombiques"/>
    <s v="SD75051"/>
    <s v="COMBALUZIER LUCAS"/>
    <n v="10"/>
    <x v="1"/>
    <x v="0"/>
    <s v="PLAQUETTES"/>
    <s v="304x28 RPE"/>
    <n v="70"/>
  </r>
  <r>
    <d v="2025-12-01T20:22:00"/>
    <x v="8"/>
    <s v="Plaquettes d'ébauches rhombiques"/>
    <s v="SE08251"/>
    <s v="FAYET AYMERIC"/>
    <n v="10"/>
    <x v="0"/>
    <x v="0"/>
    <s v="PLAQUETTES"/>
    <s v="290x12"/>
    <n v="70"/>
  </r>
  <r>
    <d v="2025-12-02T00:55:31"/>
    <x v="8"/>
    <s v="Plaquettes d'ébauches rhombiques"/>
    <s v="j529800"/>
    <s v="MONTCHARMONT BAPTISTE"/>
    <n v="10"/>
    <x v="0"/>
    <x v="3"/>
    <s v="PLAQUETTES"/>
    <s v="356x26 RPI"/>
    <n v="70"/>
  </r>
  <r>
    <d v="2025-12-02T05:34:36"/>
    <x v="8"/>
    <s v="Plaquettes d'ébauches rhombiques"/>
    <s v="045C6ECAA77080"/>
    <s v="PERREIRA KEVIN"/>
    <n v="10"/>
    <x v="1"/>
    <x v="0"/>
    <s v="PLAQUETTES"/>
    <s v="304x28 RPE"/>
    <n v="70"/>
  </r>
  <r>
    <d v="2025-12-02T07:17:52"/>
    <x v="8"/>
    <s v="Plaquettes d'ébauches rhombiques"/>
    <s v="04551FC25C7780"/>
    <s v="CHEDRU VIANNEY"/>
    <n v="10"/>
    <x v="3"/>
    <x v="3"/>
    <s v="PLAQUETTES"/>
    <s v="330x28 RPE KO"/>
    <n v="70"/>
  </r>
  <r>
    <d v="2025-12-02T19:59:40"/>
    <x v="8"/>
    <s v="Plaquettes d'ébauches rhombiques"/>
    <s v="u636817"/>
    <s v="MOCQUEREAU LYDIE"/>
    <n v="10"/>
    <x v="2"/>
    <x v="2"/>
    <s v="PLAQUETTES"/>
    <s v="302x26 RPI"/>
    <n v="70"/>
  </r>
  <r>
    <d v="2025-12-02T20:00:51"/>
    <x v="8"/>
    <s v="Plaquettes d'ébauches rhombiques"/>
    <s v="u636817"/>
    <s v="MOCQUEREAU LYDIE"/>
    <n v="10"/>
    <x v="2"/>
    <x v="4"/>
    <s v="PLAQUETTES"/>
    <s v="302x26 RPI"/>
    <n v="70"/>
  </r>
  <r>
    <d v="2025-12-02T21:27:49"/>
    <x v="8"/>
    <s v="Plaquettes d'ébauches rhombiques"/>
    <s v="j529800"/>
    <s v="MONTCHARMONT BAPTISTE"/>
    <n v="10"/>
    <x v="0"/>
    <x v="3"/>
    <s v="PLAQUETTES"/>
    <s v="356x26 RPI"/>
    <n v="70"/>
  </r>
  <r>
    <d v="2025-12-02T21:59:22"/>
    <x v="8"/>
    <s v="Plaquettes d'ébauches rhombiques"/>
    <s v="250425"/>
    <s v="CHANDAR ABDER"/>
    <n v="10"/>
    <x v="2"/>
    <x v="4"/>
    <s v="PLAQUETTES"/>
    <s v="302x26 RPI"/>
    <n v="70"/>
  </r>
  <r>
    <d v="2025-12-02T23:38:19"/>
    <x v="8"/>
    <s v="Plaquettes d'ébauches rhombiques"/>
    <s v="130325"/>
    <s v="PAPONNEAU JULIEN"/>
    <n v="10"/>
    <x v="1"/>
    <x v="3"/>
    <s v="PLAQUETTES"/>
    <s v="304x28 RPE"/>
    <n v="70"/>
  </r>
  <r>
    <d v="2025-12-03T00:40:29"/>
    <x v="8"/>
    <s v="Plaquettes d'ébauches rhombiques"/>
    <s v="U532976"/>
    <s v="LEFORT XAVIER"/>
    <n v="10"/>
    <x v="0"/>
    <x v="3"/>
    <s v="PLAQUETTES"/>
    <s v="356x26 RPI"/>
    <n v="70"/>
  </r>
  <r>
    <d v="2025-12-03T01:25:36"/>
    <x v="8"/>
    <s v="Plaquettes d'ébauches rhombiques"/>
    <s v="130325"/>
    <s v="PAPONNEAU JULIEN"/>
    <n v="10"/>
    <x v="1"/>
    <x v="3"/>
    <s v="PLAQUETTES"/>
    <s v="304x28 RPE"/>
    <n v="70"/>
  </r>
  <r>
    <d v="2025-12-03T01:25:47"/>
    <x v="8"/>
    <s v="Plaquettes d'ébauches rhombiques"/>
    <s v="130325"/>
    <s v="PAPONNEAU JULIEN"/>
    <n v="10"/>
    <x v="1"/>
    <x v="3"/>
    <s v="PLAQUETTES"/>
    <s v="304x28 RPE"/>
    <n v="70"/>
  </r>
  <r>
    <d v="2025-12-03T01:25:57"/>
    <x v="8"/>
    <s v="Plaquettes d'ébauches rhombiques"/>
    <s v="130325"/>
    <s v="PAPONNEAU JULIEN"/>
    <n v="10"/>
    <x v="1"/>
    <x v="3"/>
    <s v="PLAQUETTES"/>
    <s v="304x28 RPE"/>
    <n v="70"/>
  </r>
  <r>
    <d v="2025-12-03T06:25:22"/>
    <x v="8"/>
    <s v="Plaquettes d'ébauches rhombiques"/>
    <s v="045F69CAA77080"/>
    <s v="TEIXEIRA FLORIAN"/>
    <n v="10"/>
    <x v="2"/>
    <x v="1"/>
    <s v="PLAQUETTES"/>
    <s v="302x26 RPI"/>
    <n v="70"/>
  </r>
  <r>
    <d v="2025-12-03T06:59:42"/>
    <x v="8"/>
    <s v="Plaquettes d'ébauches rhombiques"/>
    <s v="04551FC25C7780"/>
    <s v="CHEDRU VIANNEY"/>
    <n v="10"/>
    <x v="0"/>
    <x v="0"/>
    <s v="PLAQUETTES"/>
    <s v="356x26 RPI"/>
    <n v="70"/>
  </r>
  <r>
    <d v="2025-12-03T07:00:49"/>
    <x v="8"/>
    <s v="Plaquettes d'ébauches rhombiques"/>
    <s v="04551FC25C7780"/>
    <s v="CHEDRU VIANNEY"/>
    <n v="10"/>
    <x v="0"/>
    <x v="0"/>
    <s v="PLAQUETTES"/>
    <s v="356x26 RPI"/>
    <n v="70"/>
  </r>
  <r>
    <d v="2025-12-03T12:23:38"/>
    <x v="8"/>
    <s v="Plaquettes d'ébauches rhombiques"/>
    <s v="210325"/>
    <s v="DAUTUN ALLAN"/>
    <n v="10"/>
    <x v="2"/>
    <x v="2"/>
    <s v="PLAQUETTES"/>
    <s v="302x26 RPI"/>
    <n v="70"/>
  </r>
  <r>
    <d v="2025-12-03T12:23:57"/>
    <x v="8"/>
    <s v="Plaquettes d'ébauches rhombiques"/>
    <s v="210325"/>
    <s v="DAUTUN ALLAN"/>
    <n v="10"/>
    <x v="2"/>
    <x v="2"/>
    <s v="PLAQUETTES"/>
    <s v="302x26 RPI"/>
    <n v="70"/>
  </r>
  <r>
    <d v="2025-12-03T21:12:48"/>
    <x v="8"/>
    <s v="Plaquettes d'ébauches rhombiques"/>
    <s v="j529800"/>
    <s v="MONTCHARMONT BAPTISTE"/>
    <n v="10"/>
    <x v="0"/>
    <x v="3"/>
    <s v="PLAQUETTES"/>
    <s v="356x26 RPI"/>
    <n v="70"/>
  </r>
  <r>
    <d v="2025-12-04T06:40:14"/>
    <x v="8"/>
    <s v="Plaquettes d'ébauches rhombiques"/>
    <s v="04551FC25C7780"/>
    <s v="CHEDRU VIANNEY"/>
    <n v="10"/>
    <x v="3"/>
    <x v="3"/>
    <s v="PLAQUETTES"/>
    <s v="330x28 RPE KO"/>
    <n v="70"/>
  </r>
  <r>
    <d v="2025-12-04T07:12:26"/>
    <x v="8"/>
    <s v="Plaquettes d'ébauches rhombiques"/>
    <s v="045C6ECAA77080"/>
    <s v="PERREIRA KEVIN"/>
    <n v="10"/>
    <x v="1"/>
    <x v="3"/>
    <s v="PLAQUETTES"/>
    <s v="304x28 RPE"/>
    <n v="70"/>
  </r>
  <r>
    <d v="2025-12-04T21:23:52"/>
    <x v="8"/>
    <s v="Plaquettes d'ébauches rhombiques"/>
    <s v="j529800"/>
    <s v="MONTCHARMONT BAPTISTE"/>
    <n v="10"/>
    <x v="0"/>
    <x v="3"/>
    <s v="PLAQUETTES"/>
    <s v="356x26 RPI"/>
    <n v="70"/>
  </r>
  <r>
    <d v="2025-12-04T22:02:19"/>
    <x v="8"/>
    <s v="Plaquettes d'ébauches rhombiques"/>
    <s v="250425"/>
    <s v="CHANDAR ABDER"/>
    <n v="10"/>
    <x v="2"/>
    <x v="4"/>
    <s v="PLAQUETTES"/>
    <s v="302x26 RPI"/>
    <n v="70"/>
  </r>
  <r>
    <d v="2025-12-05T14:18:43"/>
    <x v="8"/>
    <s v="Plaquettes d'ébauches rhombiques"/>
    <s v="040725"/>
    <s v="BARGEOT LUCAS"/>
    <n v="10"/>
    <x v="0"/>
    <x v="3"/>
    <s v="PLAQUETTES"/>
    <s v="356x26 RPI"/>
    <n v="70"/>
  </r>
  <r>
    <d v="2025-12-05T21:19:08"/>
    <x v="8"/>
    <s v="Plaquettes d'ébauches rhombiques"/>
    <s v="j529800"/>
    <s v="MONTCHARMONT BAPTISTE"/>
    <n v="10"/>
    <x v="0"/>
    <x v="3"/>
    <s v="PLAQUETTES"/>
    <s v="356x26 RPI"/>
    <n v="70"/>
  </r>
  <r>
    <d v="2025-12-06T05:11:48"/>
    <x v="8"/>
    <s v="Plaquettes d'ébauches rhombiques"/>
    <s v="U080365"/>
    <s v="ALAVOINE SAMUEL"/>
    <n v="10"/>
    <x v="0"/>
    <x v="3"/>
    <s v="PLAQUETTES"/>
    <s v="356x26 RPI"/>
    <n v="70"/>
  </r>
  <r>
    <d v="2025-12-06T05:12:47"/>
    <x v="8"/>
    <s v="Plaquettes d'ébauches rhombiques"/>
    <s v="U080365"/>
    <s v="ALAVOINE SAMUEL"/>
    <n v="10"/>
    <x v="0"/>
    <x v="0"/>
    <s v="PLAQUETTES"/>
    <s v="356x26 RPI"/>
    <n v="70"/>
  </r>
  <r>
    <d v="2025-12-06T05:14:34"/>
    <x v="8"/>
    <s v="Plaquettes d'ébauches rhombiques"/>
    <s v="U080365"/>
    <s v="ALAVOINE SAMUEL"/>
    <n v="10"/>
    <x v="0"/>
    <x v="0"/>
    <s v="PLAQUETTES"/>
    <s v="356x26 RPI"/>
    <n v="70"/>
  </r>
  <r>
    <d v="2025-12-06T05:50:42"/>
    <x v="8"/>
    <s v="Plaquettes d'ébauches rhombiques"/>
    <s v="DELIAT C"/>
    <s v="DELIAT CHRISTOPHE"/>
    <n v="10"/>
    <x v="1"/>
    <x v="3"/>
    <s v="PLAQUETTES"/>
    <s v="304x28 RPE"/>
    <n v="70"/>
  </r>
  <r>
    <d v="2025-12-06T05:52:34"/>
    <x v="8"/>
    <s v="Plaquettes d'ébauches rhombiques"/>
    <s v="DELIAT C"/>
    <s v="DELIAT CHRISTOPHE"/>
    <n v="10"/>
    <x v="1"/>
    <x v="0"/>
    <s v="PLAQUETTES"/>
    <s v="304x28 RPE"/>
    <n v="70"/>
  </r>
  <r>
    <d v="2025-12-08T06:16:56"/>
    <x v="8"/>
    <s v="Plaquettes d'ébauches rhombiques"/>
    <s v="040725"/>
    <s v="BARGEOT LUCAS"/>
    <n v="10"/>
    <x v="0"/>
    <x v="3"/>
    <s v="PLAQUETTES"/>
    <s v="356x26 RPI"/>
    <n v="70"/>
  </r>
  <r>
    <d v="2025-12-08T15:59:01"/>
    <x v="8"/>
    <s v="Plaquettes d'ébauches rhombiques"/>
    <s v="04551FC25C7780"/>
    <s v="CHEDRU VIANNEY"/>
    <n v="10"/>
    <x v="3"/>
    <x v="3"/>
    <s v="PLAQUETTES"/>
    <s v="330x28 RPE KO"/>
    <n v="70"/>
  </r>
  <r>
    <d v="2025-12-08T15:59:42"/>
    <x v="8"/>
    <s v="Plaquettes d'ébauches rhombiques"/>
    <s v="04551FC25C7780"/>
    <s v="CHEDRU VIANNEY"/>
    <n v="10"/>
    <x v="0"/>
    <x v="0"/>
    <s v="PLAQUETTES"/>
    <s v="356x26 RPI"/>
    <n v="70"/>
  </r>
  <r>
    <d v="2025-12-08T23:29:58"/>
    <x v="8"/>
    <s v="Plaquettes d'ébauches rhombiques"/>
    <s v="130325"/>
    <s v="PAPONNEAU JULIEN"/>
    <n v="10"/>
    <x v="1"/>
    <x v="3"/>
    <s v="PLAQUETTES"/>
    <s v="304x28 RPE"/>
    <n v="70"/>
  </r>
  <r>
    <d v="2025-12-08T23:30:16"/>
    <x v="8"/>
    <s v="Plaquettes d'ébauches rhombiques"/>
    <s v="130325"/>
    <s v="PAPONNEAU JULIEN"/>
    <n v="10"/>
    <x v="1"/>
    <x v="3"/>
    <s v="PLAQUETTES"/>
    <s v="304x28 RPE"/>
    <n v="70"/>
  </r>
  <r>
    <d v="2025-12-09T14:14:34"/>
    <x v="8"/>
    <s v="Plaquettes d'ébauches rhombiques"/>
    <s v="U505000"/>
    <s v="RECEVEUR BENOIT"/>
    <n v="10"/>
    <x v="1"/>
    <x v="3"/>
    <s v="PLAQUETTES"/>
    <s v="304x28 RPE"/>
    <n v="70"/>
  </r>
  <r>
    <d v="2025-12-09T14:35:38"/>
    <x v="8"/>
    <s v="Plaquettes d'ébauches rhombiques"/>
    <s v="04551FC25C7780"/>
    <s v="CHEDRU VIANNEY"/>
    <n v="10"/>
    <x v="0"/>
    <x v="3"/>
    <s v="PLAQUETTES"/>
    <s v="356x26 RPI"/>
    <n v="70"/>
  </r>
  <r>
    <d v="2025-12-10T01:10:55"/>
    <x v="8"/>
    <s v="Plaquettes d'ébauches rhombiques"/>
    <s v="250425"/>
    <s v="CHANDAR ABDER"/>
    <n v="10"/>
    <x v="2"/>
    <x v="2"/>
    <s v="PLAQUETTES"/>
    <s v="302x26 RPI"/>
    <n v="70"/>
  </r>
  <r>
    <d v="2025-12-10T04:06:30"/>
    <x v="8"/>
    <s v="Plaquettes d'ébauches rhombiques"/>
    <s v="j529800"/>
    <s v="MONTCHARMONT BAPTISTE"/>
    <n v="10"/>
    <x v="0"/>
    <x v="3"/>
    <s v="PLAQUETTES"/>
    <s v="356x26 RPI"/>
    <n v="70"/>
  </r>
  <r>
    <d v="2025-12-10T05:11:49"/>
    <x v="8"/>
    <s v="Plaquettes d'ébauches rhombiques"/>
    <s v="140325"/>
    <s v="BOUCLIER JONATHAN"/>
    <n v="10"/>
    <x v="2"/>
    <x v="1"/>
    <s v="PLAQUETTES"/>
    <s v="302x26 RPI"/>
    <n v="70"/>
  </r>
  <r>
    <d v="2025-12-10T18:12:33"/>
    <x v="8"/>
    <s v="Plaquettes d'ébauches rhombiques"/>
    <s v="04551FC25C7780"/>
    <s v="CHEDRU VIANNEY"/>
    <n v="10"/>
    <x v="3"/>
    <x v="3"/>
    <s v="PLAQUETTES"/>
    <s v="330x14"/>
    <n v="70"/>
  </r>
  <r>
    <d v="2025-12-11T01:01:36"/>
    <x v="8"/>
    <s v="Plaquettes d'ébauches rhombiques"/>
    <s v="U037238"/>
    <s v="PRIEUR OLIVIER"/>
    <n v="10"/>
    <x v="2"/>
    <x v="1"/>
    <s v="PLAQUETTES"/>
    <s v="302x26 RPI"/>
    <n v="70"/>
  </r>
  <r>
    <d v="2025-12-11T01:48:31"/>
    <x v="8"/>
    <s v="Plaquettes d'ébauches rhombiques"/>
    <s v="250425"/>
    <s v="CHANDAR ABDER"/>
    <n v="10"/>
    <x v="2"/>
    <x v="4"/>
    <s v="PLAQUETTES"/>
    <s v="302x26 RPI"/>
    <n v="70"/>
  </r>
  <r>
    <d v="2025-12-11T11:15:42"/>
    <x v="8"/>
    <s v="Plaquettes d'ébauches rhombiques"/>
    <s v="040725"/>
    <s v="BARGEOT LUCAS"/>
    <n v="10"/>
    <x v="0"/>
    <x v="0"/>
    <s v="PLAQUETTES"/>
    <s v="356x26 RPI"/>
    <n v="70"/>
  </r>
  <r>
    <d v="2025-12-11T22:22:45"/>
    <x v="8"/>
    <s v="Plaquettes d'ébauches rhombiques"/>
    <s v="j529800"/>
    <s v="MONTCHARMONT BAPTISTE"/>
    <n v="10"/>
    <x v="0"/>
    <x v="3"/>
    <s v="PLAQUETTES"/>
    <s v="356x26 RPI"/>
    <n v="70"/>
  </r>
  <r>
    <d v="2025-12-12T16:56:35"/>
    <x v="8"/>
    <s v="Plaquettes d'ébauches rhombiques"/>
    <s v="04551FC25C7780"/>
    <s v="CHEDRU VIANNEY"/>
    <n v="10"/>
    <x v="0"/>
    <x v="3"/>
    <s v="PLAQUETTES"/>
    <s v="356x26 RPI"/>
    <n v="70"/>
  </r>
  <r>
    <d v="2025-12-12T17:00:04"/>
    <x v="8"/>
    <s v="Plaquettes d'ébauches rhombiques"/>
    <s v="04551FC25C7780"/>
    <s v="CHEDRU VIANNEY"/>
    <n v="10"/>
    <x v="3"/>
    <x v="3"/>
    <s v="PLAQUETTES"/>
    <s v="330x28 RPE KO"/>
    <n v="70"/>
  </r>
  <r>
    <d v="2025-12-13T00:36:17"/>
    <x v="8"/>
    <s v="Plaquettes d'ébauches rhombiques"/>
    <s v="250425"/>
    <s v="CHANDAR ABDER"/>
    <n v="10"/>
    <x v="2"/>
    <x v="4"/>
    <s v="PLAQUETTES"/>
    <s v="302x26 RPI"/>
    <n v="70"/>
  </r>
  <r>
    <d v="2025-12-13T01:36:52"/>
    <x v="8"/>
    <s v="Plaquettes d'ébauches rhombiques"/>
    <s v="130325"/>
    <s v="PAPONNEAU JULIEN"/>
    <n v="10"/>
    <x v="1"/>
    <x v="3"/>
    <s v="PLAQUETTES"/>
    <s v="304x28 RPE"/>
    <n v="70"/>
  </r>
  <r>
    <d v="2025-12-13T19:34:32"/>
    <x v="8"/>
    <s v="Plaquettes d'ébauches rhombiques"/>
    <s v="U080365"/>
    <s v="ALAVOINE SAMUEL"/>
    <n v="10"/>
    <x v="3"/>
    <x v="2"/>
    <s v="PLAQUETTES"/>
    <s v="330x28 RPE KO"/>
    <n v="70"/>
  </r>
  <r>
    <d v="2025-12-13T19:35:15"/>
    <x v="8"/>
    <s v="Plaquettes d'ébauches rhombiques"/>
    <s v="U080365"/>
    <s v="ALAVOINE SAMUEL"/>
    <n v="10"/>
    <x v="0"/>
    <x v="3"/>
    <s v="PLAQUETTES"/>
    <s v="356x26 RPI"/>
    <n v="70"/>
  </r>
  <r>
    <d v="2025-12-13T19:35:48"/>
    <x v="8"/>
    <s v="Plaquettes d'ébauches rhombiques"/>
    <s v="U080365"/>
    <s v="ALAVOINE SAMUEL"/>
    <n v="10"/>
    <x v="3"/>
    <x v="3"/>
    <s v="PLAQUETTES"/>
    <s v="330x28 RPE KO"/>
    <n v="70"/>
  </r>
  <r>
    <d v="2025-12-15T05:29:31"/>
    <x v="8"/>
    <s v="Plaquettes d'ébauches rhombiques"/>
    <s v="045C6ECAA77080"/>
    <s v="PERREIRA KEVIN"/>
    <n v="10"/>
    <x v="1"/>
    <x v="3"/>
    <s v="PLAQUETTES"/>
    <s v="356x26 RPI"/>
    <n v="70"/>
  </r>
  <r>
    <d v="2025-12-15T12:18:25"/>
    <x v="8"/>
    <s v="Plaquettes d'ébauches rhombiques"/>
    <s v="210325"/>
    <s v="DAUTUN ALLAN"/>
    <n v="10"/>
    <x v="2"/>
    <x v="2"/>
    <s v="PLAQUETTES"/>
    <s v="302x26 RPI"/>
    <n v="70"/>
  </r>
  <r>
    <d v="2025-12-15T12:18:51"/>
    <x v="8"/>
    <s v="Plaquettes d'ébauches rhombiques"/>
    <s v="210325"/>
    <s v="DAUTUN ALLAN"/>
    <n v="10"/>
    <x v="2"/>
    <x v="4"/>
    <s v="PLAQUETTES"/>
    <s v="302x26 RPI"/>
    <n v="70"/>
  </r>
  <r>
    <d v="2025-12-15T21:24:34"/>
    <x v="8"/>
    <s v="Plaquettes d'ébauches rhombiques"/>
    <s v="j529800"/>
    <s v="MONTCHARMONT BAPTISTE"/>
    <n v="10"/>
    <x v="0"/>
    <x v="3"/>
    <s v="PLAQUETTES"/>
    <s v="356x26 RPI"/>
    <n v="70"/>
  </r>
  <r>
    <d v="2025-12-16T05:51:05"/>
    <x v="8"/>
    <s v="Plaquettes d'ébauches rhombiques"/>
    <s v="04551FC25C7780"/>
    <s v="CHEDRU VIANNEY"/>
    <n v="10"/>
    <x v="0"/>
    <x v="3"/>
    <s v="PLAQUETTES"/>
    <s v="356x26 RPI"/>
    <n v="70"/>
  </r>
  <r>
    <d v="2025-12-16T05:51:53"/>
    <x v="8"/>
    <s v="Plaquettes d'ébauches rhombiques"/>
    <s v="04551FC25C7780"/>
    <s v="CHEDRU VIANNEY"/>
    <n v="10"/>
    <x v="0"/>
    <x v="0"/>
    <s v="PLAQUETTES"/>
    <s v="356x26 RPI"/>
    <n v="70"/>
  </r>
  <r>
    <d v="2025-12-16T12:58:36"/>
    <x v="8"/>
    <s v="Plaquettes d'ébauches rhombiques"/>
    <s v="140325"/>
    <s v="BOUCLIER JONATHAN"/>
    <n v="10"/>
    <x v="2"/>
    <x v="2"/>
    <s v="PLAQUETTES"/>
    <s v="302x26 RPI"/>
    <n v="70"/>
  </r>
  <r>
    <d v="2025-12-16T13:05:45"/>
    <x v="8"/>
    <s v="Plaquettes d'ébauches rhombiques"/>
    <s v="SD75051"/>
    <s v="COMBALUZIER LUCAS"/>
    <n v="10"/>
    <x v="1"/>
    <x v="3"/>
    <s v="PLAQUETTES"/>
    <s v="356x26 RPI"/>
    <n v="70"/>
  </r>
  <r>
    <d v="2025-12-16T13:13:01"/>
    <x v="8"/>
    <s v="Plaquettes d'ébauches rhombiques"/>
    <s v="u636817"/>
    <s v="MOCQUEREAU LYDIE"/>
    <n v="10"/>
    <x v="2"/>
    <x v="1"/>
    <s v="PLAQUETTES"/>
    <s v="302x26 RPI"/>
    <n v="70"/>
  </r>
  <r>
    <d v="2025-12-16T13:13:38"/>
    <x v="8"/>
    <s v="Plaquettes d'ébauches rhombiques"/>
    <s v="u636817"/>
    <s v="MOCQUEREAU LYDIE"/>
    <n v="10"/>
    <x v="2"/>
    <x v="1"/>
    <s v="PLAQUETTES"/>
    <s v="302x26 RPI"/>
    <n v="70"/>
  </r>
  <r>
    <d v="2025-12-16T22:10:44"/>
    <x v="8"/>
    <s v="Plaquettes d'ébauches rhombiques"/>
    <s v="j529800"/>
    <s v="MONTCHARMONT BAPTISTE"/>
    <n v="10"/>
    <x v="0"/>
    <x v="3"/>
    <s v="PLAQUETTES"/>
    <s v="330x14"/>
    <n v="70"/>
  </r>
  <r>
    <d v="2025-12-16T23:50:17"/>
    <x v="8"/>
    <s v="Plaquettes d'ébauches rhombiques"/>
    <s v="250425"/>
    <s v="CHANDAR ABDER"/>
    <n v="10"/>
    <x v="2"/>
    <x v="4"/>
    <s v="PLAQUETTES"/>
    <s v="302x26 RPI"/>
    <n v="70"/>
  </r>
  <r>
    <d v="2025-12-17T21:15:59"/>
    <x v="8"/>
    <s v="Plaquettes d'ébauches rhombiques"/>
    <s v="j529800"/>
    <s v="MONTCHARMONT BAPTISTE"/>
    <n v="10"/>
    <x v="3"/>
    <x v="3"/>
    <s v="PLAQUETTES"/>
    <s v="330x28 RPE KO"/>
    <n v="70"/>
  </r>
  <r>
    <d v="2025-12-18T04:15:51"/>
    <x v="8"/>
    <s v="Plaquettes d'ébauches rhombiques"/>
    <s v="j529800"/>
    <s v="MONTCHARMONT BAPTISTE"/>
    <n v="10"/>
    <x v="0"/>
    <x v="3"/>
    <s v="PLAQUETTES"/>
    <s v="356x26 RPI"/>
    <n v="70"/>
  </r>
  <r>
    <d v="2025-12-18T05:54:39"/>
    <x v="8"/>
    <s v="Plaquettes d'ébauches rhombiques"/>
    <s v="045C6ECAA77080"/>
    <s v="PERREIRA KEVIN"/>
    <n v="10"/>
    <x v="1"/>
    <x v="3"/>
    <s v="PLAQUETTES"/>
    <s v="356x26 RPI"/>
    <n v="70"/>
  </r>
  <r>
    <d v="2025-12-18T08:38:48"/>
    <x v="8"/>
    <s v="Plaquettes d'ébauches rhombiques"/>
    <s v="045F69CAA77080"/>
    <s v="TEIXEIRA FLORIAN"/>
    <n v="10"/>
    <x v="2"/>
    <x v="1"/>
    <s v="PLAQUETTES"/>
    <s v="302x26 RPI"/>
    <n v="70"/>
  </r>
  <r>
    <d v="2025-12-18T11:17:32"/>
    <x v="8"/>
    <s v="Plaquettes d'ébauches rhombiques"/>
    <s v="210325"/>
    <s v="DAUTUN ALLAN"/>
    <n v="10"/>
    <x v="2"/>
    <x v="2"/>
    <s v="PLAQUETTES"/>
    <s v="302x26 RPI"/>
    <n v="70"/>
  </r>
  <r>
    <d v="2025-12-18T14:31:14"/>
    <x v="8"/>
    <s v="Plaquettes d'ébauches rhombiques"/>
    <s v="040725"/>
    <s v="BARGEOT LUCAS"/>
    <n v="10"/>
    <x v="0"/>
    <x v="3"/>
    <s v="PLAQUETTES"/>
    <s v="330x14"/>
    <n v="70"/>
  </r>
  <r>
    <d v="2025-12-18T19:41:30"/>
    <x v="8"/>
    <s v="Plaquettes d'ébauches rhombiques"/>
    <s v="SE08251"/>
    <s v="FAYET AYMERIC"/>
    <n v="10"/>
    <x v="1"/>
    <x v="3"/>
    <s v="PLAQUETTES"/>
    <s v="356x26 RPI"/>
    <n v="70"/>
  </r>
  <r>
    <d v="2025-12-19T13:17:32"/>
    <x v="8"/>
    <s v="Plaquettes d'ébauches rhombiques"/>
    <s v="040725"/>
    <s v="BARGEOT LUCAS"/>
    <n v="10"/>
    <x v="0"/>
    <x v="3"/>
    <s v="PLAQUETTES"/>
    <s v="330x14"/>
    <n v="70"/>
  </r>
  <r>
    <d v="2025-12-19T13:17:49"/>
    <x v="8"/>
    <s v="Plaquettes d'ébauches rhombiques"/>
    <s v="040725"/>
    <s v="BARGEOT LUCAS"/>
    <n v="10"/>
    <x v="3"/>
    <x v="3"/>
    <s v="PLAQUETTES"/>
    <s v="330x28 RPE KO"/>
    <n v="70"/>
  </r>
  <r>
    <d v="2025-12-19T13:43:08"/>
    <x v="8"/>
    <s v="Plaquettes d'ébauches rhombiques"/>
    <s v="040725"/>
    <s v="BARGEOT LUCAS"/>
    <n v="10"/>
    <x v="3"/>
    <x v="3"/>
    <s v="PLAQUETTES"/>
    <s v="330x28 RPE KO"/>
    <n v="70"/>
  </r>
  <r>
    <d v="2025-12-20T00:32:27"/>
    <x v="8"/>
    <s v="Plaquettes d'ébauches rhombiques"/>
    <s v="250425"/>
    <s v="CHANDAR ABDER"/>
    <n v="10"/>
    <x v="2"/>
    <x v="4"/>
    <s v="PLAQUETTES"/>
    <s v="302x26 RPI"/>
    <n v="70"/>
  </r>
  <r>
    <d v="2025-12-20T03:13:03"/>
    <x v="8"/>
    <s v="Plaquettes d'ébauches rhombiques"/>
    <s v="j529800"/>
    <s v="MONTCHARMONT BAPTISTE"/>
    <n v="10"/>
    <x v="0"/>
    <x v="3"/>
    <s v="PLAQUETTES"/>
    <s v="356x26 RPI"/>
    <n v="70"/>
  </r>
  <r>
    <d v="2025-12-22T05:37:30"/>
    <x v="8"/>
    <s v="Plaquettes d'ébauches rhombiques"/>
    <s v="SE08251"/>
    <s v="FAYET AYMERIC"/>
    <n v="10"/>
    <x v="1"/>
    <x v="3"/>
    <s v="PLAQUETTES"/>
    <s v="356x26 RPI"/>
    <n v="70"/>
  </r>
  <r>
    <d v="2025-12-22T05:39:12"/>
    <x v="8"/>
    <s v="Plaquettes d'ébauches rhombiques"/>
    <s v="SE08251"/>
    <s v="FAYET AYMERIC"/>
    <n v="10"/>
    <x v="1"/>
    <x v="0"/>
    <s v="PLAQUETTES"/>
    <s v="356x26 RPI"/>
    <n v="70"/>
  </r>
  <r>
    <d v="2025-12-22T06:10:37"/>
    <x v="8"/>
    <s v="Plaquettes d'ébauches rhombiques"/>
    <s v="040725"/>
    <s v="BARGEOT LUCAS"/>
    <n v="10"/>
    <x v="0"/>
    <x v="3"/>
    <s v="PLAQUETTES"/>
    <s v="330x14"/>
    <n v="70"/>
  </r>
  <r>
    <d v="2025-12-22T06:10:51"/>
    <x v="8"/>
    <s v="Plaquettes d'ébauches rhombiques"/>
    <s v="040725"/>
    <s v="BARGEOT LUCAS"/>
    <n v="10"/>
    <x v="3"/>
    <x v="3"/>
    <s v="PLAQUETTES"/>
    <s v="330x28 RPE KO"/>
    <n v="70"/>
  </r>
  <r>
    <d v="2025-12-22T13:20:00"/>
    <x v="8"/>
    <s v="Plaquettes d'ébauches rhombiques"/>
    <s v="04551FC25C7780"/>
    <s v="CHEDRU VIANNEY"/>
    <n v="10"/>
    <x v="3"/>
    <x v="3"/>
    <s v="PLAQUETTES"/>
    <s v="330x28 RPE KO"/>
    <n v="70"/>
  </r>
  <r>
    <d v="2025-12-22T21:36:01"/>
    <x v="8"/>
    <s v="Plaquettes d'ébauches rhombiques"/>
    <s v="250425"/>
    <s v="CHANDAR ABDER"/>
    <n v="10"/>
    <x v="2"/>
    <x v="4"/>
    <s v="PLAQUETTES"/>
    <s v="302x26 RPI"/>
    <n v="70"/>
  </r>
  <r>
    <d v="2025-12-23T05:54:47"/>
    <x v="8"/>
    <s v="Plaquettes d'ébauches rhombiques"/>
    <s v="040725"/>
    <s v="BARGEOT LUCAS"/>
    <n v="10"/>
    <x v="0"/>
    <x v="3"/>
    <s v="PLAQUETTES"/>
    <s v="330x14"/>
    <n v="70"/>
  </r>
  <r>
    <d v="2025-12-23T05:55:43"/>
    <x v="8"/>
    <s v="Plaquettes d'ébauches rhombiques"/>
    <s v="040725"/>
    <s v="BARGEOT LUCAS"/>
    <n v="10"/>
    <x v="3"/>
    <x v="3"/>
    <s v="PLAQUETTES"/>
    <s v="330x14"/>
    <n v="70"/>
  </r>
  <r>
    <d v="2025-12-23T05:56:20"/>
    <x v="8"/>
    <s v="Plaquettes d'ébauches rhombiques"/>
    <s v="040725"/>
    <s v="BARGEOT LUCAS"/>
    <n v="10"/>
    <x v="0"/>
    <x v="3"/>
    <s v="PLAQUETTES"/>
    <s v="330x14"/>
    <n v="70"/>
  </r>
  <r>
    <d v="2025-01-14T22:17:54"/>
    <x v="9"/>
    <s v="Plaquettes rhombiques"/>
    <s v="101224"/>
    <s v="CHAZEAU KYLIAN"/>
    <n v="10"/>
    <x v="3"/>
    <x v="0"/>
    <s v="PLAQUETTES"/>
    <s v="330x28 RPE KO"/>
    <n v="36.799999999999997"/>
  </r>
  <r>
    <d v="2025-01-16T21:09:32"/>
    <x v="9"/>
    <s v="Plaquettes rhombiques"/>
    <s v="130124"/>
    <s v="MOHAMED ILDIRAY"/>
    <n v="5"/>
    <x v="1"/>
    <x v="0"/>
    <s v="PLAQUETTES"/>
    <s v="304x28 RPE"/>
    <n v="18.399999999999999"/>
  </r>
  <r>
    <d v="2025-01-19T17:08:56"/>
    <x v="9"/>
    <s v="Plaquettes rhombiques"/>
    <s v="U109136"/>
    <s v="WIPLIE FREDERIC"/>
    <n v="10"/>
    <x v="1"/>
    <x v="0"/>
    <s v="PLAQUETTES"/>
    <s v="304x28 RPE"/>
    <n v="36.799999999999997"/>
  </r>
  <r>
    <d v="2025-01-21T05:33:44"/>
    <x v="9"/>
    <s v="Plaquettes rhombiques"/>
    <s v="SD75051"/>
    <s v="COMBALUZIER LUCAS"/>
    <n v="5"/>
    <x v="1"/>
    <x v="0"/>
    <s v="PLAQUETTES"/>
    <s v="304x28 RPE"/>
    <n v="18.399999999999999"/>
  </r>
  <r>
    <d v="2025-01-23T13:12:23"/>
    <x v="9"/>
    <s v="Plaquettes rhombiques"/>
    <s v="130124"/>
    <s v="MOHAMED ILDIRAY"/>
    <n v="5"/>
    <x v="1"/>
    <x v="0"/>
    <s v="PLAQUETTES"/>
    <s v="304x28 RPE"/>
    <n v="18.399999999999999"/>
  </r>
  <r>
    <d v="2025-01-31T07:26:33"/>
    <x v="9"/>
    <s v="Plaquettes rhombiques"/>
    <s v="U109136"/>
    <s v="WIPLIE FREDERIC"/>
    <n v="10"/>
    <x v="1"/>
    <x v="0"/>
    <s v="PLAQUETTES"/>
    <s v="304x28 RPE"/>
    <n v="36.799999999999997"/>
  </r>
  <r>
    <d v="2025-02-04T20:17:24"/>
    <x v="9"/>
    <s v="Plaquettes rhombiques"/>
    <s v="SC95213"/>
    <s v="RABET PAULINE"/>
    <n v="5"/>
    <x v="0"/>
    <x v="0"/>
    <s v="PLAQUETTES"/>
    <s v="304x28 RPE"/>
    <n v="18.399999999999999"/>
  </r>
  <r>
    <d v="2025-02-07T07:17:05"/>
    <x v="9"/>
    <s v="Plaquettes rhombiques"/>
    <s v="U080365"/>
    <s v="ALAVOINE SAMUEL"/>
    <n v="10"/>
    <x v="1"/>
    <x v="0"/>
    <s v="PLAQUETTES"/>
    <s v="304x28 RPE"/>
    <n v="36.799999999999997"/>
  </r>
  <r>
    <d v="2025-02-10T10:37:42"/>
    <x v="9"/>
    <s v="Plaquettes rhombiques"/>
    <s v="SD75051"/>
    <s v="COMBALUZIER LUCAS"/>
    <n v="5"/>
    <x v="1"/>
    <x v="0"/>
    <s v="PLAQUETTES"/>
    <s v="356x26 RPI"/>
    <n v="18.399999999999999"/>
  </r>
  <r>
    <d v="2025-02-11T08:35:21"/>
    <x v="9"/>
    <s v="Plaquettes rhombiques"/>
    <s v="SD75051"/>
    <s v="COMBALUZIER LUCAS"/>
    <n v="5"/>
    <x v="1"/>
    <x v="0"/>
    <s v="PLAQUETTES"/>
    <s v="356x26 RPI"/>
    <n v="18.399999999999999"/>
  </r>
  <r>
    <d v="2025-02-12T13:22:44"/>
    <x v="9"/>
    <s v="Plaquettes rhombiques"/>
    <s v="130124"/>
    <s v="MOHAMED ILDIRAY"/>
    <n v="5"/>
    <x v="1"/>
    <x v="0"/>
    <s v="PLAQUETTES"/>
    <s v="356x26 RPI"/>
    <n v="18.399999999999999"/>
  </r>
  <r>
    <d v="2025-02-14T13:06:38"/>
    <x v="9"/>
    <s v="Plaquettes rhombiques"/>
    <s v="130124"/>
    <s v="MOHAMED ILDIRAY"/>
    <n v="5"/>
    <x v="1"/>
    <x v="0"/>
    <s v="PLAQUETTES"/>
    <s v="304x28 RPE"/>
    <n v="18.399999999999999"/>
  </r>
  <r>
    <d v="2025-02-16T23:46:33"/>
    <x v="9"/>
    <s v="Plaquettes rhombiques"/>
    <s v="U109136"/>
    <s v="WIPLIE FREDERIC"/>
    <n v="5"/>
    <x v="1"/>
    <x v="0"/>
    <s v="PLAQUETTES"/>
    <s v="304x28 RPE"/>
    <n v="18.399999999999999"/>
  </r>
  <r>
    <d v="2025-02-17T21:13:36"/>
    <x v="9"/>
    <s v="Plaquettes rhombiques"/>
    <s v="SD75051"/>
    <s v="COMBALUZIER LUCAS"/>
    <n v="5"/>
    <x v="1"/>
    <x v="0"/>
    <s v="PLAQUETTES"/>
    <s v="304x28 RPE"/>
    <n v="18.399999999999999"/>
  </r>
  <r>
    <d v="2025-02-19T18:20:35"/>
    <x v="9"/>
    <s v="Plaquettes rhombiques"/>
    <s v="280225"/>
    <s v="FERNANDES DOS SANTOS REMY"/>
    <n v="5"/>
    <x v="1"/>
    <x v="0"/>
    <s v="PLAQUETTES"/>
    <s v="304x28 RPE"/>
    <n v="18.399999999999999"/>
  </r>
  <r>
    <d v="2025-02-20T19:02:49"/>
    <x v="9"/>
    <s v="Plaquettes rhombiques"/>
    <s v="280225"/>
    <s v="FERNANDES DOS SANTOS REMY"/>
    <n v="5"/>
    <x v="1"/>
    <x v="0"/>
    <s v="PLAQUETTES"/>
    <s v="304x28 RPE"/>
    <n v="18.399999999999999"/>
  </r>
  <r>
    <d v="2025-02-24T02:54:34"/>
    <x v="9"/>
    <s v="Plaquettes rhombiques"/>
    <s v="U080365"/>
    <s v="ALAVOINE SAMUEL"/>
    <n v="5"/>
    <x v="1"/>
    <x v="0"/>
    <s v="PLAQUETTES"/>
    <s v="304x28 RPE"/>
    <n v="18.399999999999999"/>
  </r>
  <r>
    <d v="2025-02-25T05:36:32"/>
    <x v="9"/>
    <s v="Plaquettes rhombiques"/>
    <s v="280225"/>
    <s v="FERNANDES DOS SANTOS REMY"/>
    <n v="5"/>
    <x v="1"/>
    <x v="0"/>
    <s v="PLAQUETTES"/>
    <s v="304x28 RPE"/>
    <n v="18.399999999999999"/>
  </r>
  <r>
    <d v="2025-02-26T05:53:51"/>
    <x v="9"/>
    <s v="Plaquettes rhombiques"/>
    <s v="280225"/>
    <s v="FERNANDES DOS SANTOS REMY"/>
    <n v="5"/>
    <x v="1"/>
    <x v="0"/>
    <s v="PLAQUETTES"/>
    <s v="304x28 RPE"/>
    <n v="18.399999999999999"/>
  </r>
  <r>
    <d v="2025-02-28T13:54:43"/>
    <x v="9"/>
    <s v="Plaquettes rhombiques"/>
    <s v="SD75051"/>
    <s v="COMBALUZIER LUCAS"/>
    <n v="5"/>
    <x v="1"/>
    <x v="0"/>
    <s v="PLAQUETTES"/>
    <s v="304x28 RPE"/>
    <n v="18.399999999999999"/>
  </r>
  <r>
    <d v="2025-03-03T05:47:31"/>
    <x v="9"/>
    <s v="Plaquettes rhombiques"/>
    <s v="7236310"/>
    <s v="BRANDALY JEREMY"/>
    <n v="5"/>
    <x v="0"/>
    <x v="0"/>
    <s v="PLAQUETTES"/>
    <s v="356x26 RPI"/>
    <n v="18.399999999999999"/>
  </r>
  <r>
    <d v="2025-03-03T07:21:13"/>
    <x v="9"/>
    <s v="Plaquettes rhombiques"/>
    <s v="SD75051"/>
    <s v="COMBALUZIER LUCAS"/>
    <n v="5"/>
    <x v="1"/>
    <x v="0"/>
    <s v="PLAQUETTES"/>
    <s v="304x28 RPE"/>
    <n v="18.399999999999999"/>
  </r>
  <r>
    <d v="2025-03-04T07:20:50"/>
    <x v="9"/>
    <s v="Plaquettes rhombiques"/>
    <s v="130325"/>
    <s v="PAPONNEAU JULIEN"/>
    <n v="5"/>
    <x v="1"/>
    <x v="0"/>
    <s v="PLAQUETTES"/>
    <s v="304x28 RPE"/>
    <n v="18.399999999999999"/>
  </r>
  <r>
    <d v="2025-03-05T00:35:32"/>
    <x v="9"/>
    <s v="Plaquettes rhombiques"/>
    <s v="SE08251"/>
    <s v="FAYET AYMERIC"/>
    <n v="5"/>
    <x v="0"/>
    <x v="0"/>
    <s v="PLAQUETTES"/>
    <s v="356x26 RPI"/>
    <n v="18.399999999999999"/>
  </r>
  <r>
    <d v="2025-03-05T22:21:44"/>
    <x v="9"/>
    <s v="Plaquettes rhombiques"/>
    <s v="280225"/>
    <s v="FERNANDES DOS SANTOS REMY"/>
    <n v="5"/>
    <x v="1"/>
    <x v="0"/>
    <s v="PLAQUETTES"/>
    <s v="304x28 RPE"/>
    <n v="18.399999999999999"/>
  </r>
  <r>
    <d v="2025-03-08T01:25:39"/>
    <x v="9"/>
    <s v="Plaquettes rhombiques"/>
    <s v="280225"/>
    <s v="FERNANDES DOS SANTOS REMY"/>
    <n v="5"/>
    <x v="1"/>
    <x v="0"/>
    <s v="PLAQUETTES"/>
    <s v="304x28 RPE"/>
    <n v="18.399999999999999"/>
  </r>
  <r>
    <d v="2025-03-10T17:11:48"/>
    <x v="9"/>
    <s v="Plaquettes rhombiques"/>
    <s v="280225"/>
    <s v="FERNANDES DOS SANTOS REMY"/>
    <n v="5"/>
    <x v="1"/>
    <x v="0"/>
    <s v="PLAQUETTES"/>
    <s v="304x28 RPE"/>
    <n v="18.399999999999999"/>
  </r>
  <r>
    <d v="2025-03-12T00:56:26"/>
    <x v="9"/>
    <s v="Plaquettes rhombiques"/>
    <s v="SD75051"/>
    <s v="COMBALUZIER LUCAS"/>
    <n v="5"/>
    <x v="1"/>
    <x v="0"/>
    <s v="PLAQUETTES"/>
    <s v="304x28 RPE"/>
    <n v="18.399999999999999"/>
  </r>
  <r>
    <d v="2025-03-13T00:31:30"/>
    <x v="9"/>
    <s v="Plaquettes rhombiques"/>
    <s v="130325"/>
    <s v="PAPONNEAU JULIEN"/>
    <n v="5"/>
    <x v="1"/>
    <x v="0"/>
    <s v="PLAQUETTES"/>
    <s v="304x28 RPE"/>
    <n v="18.399999999999999"/>
  </r>
  <r>
    <d v="2025-03-14T17:09:04"/>
    <x v="9"/>
    <s v="Plaquettes rhombiques"/>
    <s v="SE08251"/>
    <s v="FAYET AYMERIC"/>
    <n v="5"/>
    <x v="0"/>
    <x v="0"/>
    <s v="PLAQUETTES"/>
    <s v="356x26 RPI"/>
    <n v="18.399999999999999"/>
  </r>
  <r>
    <d v="2025-03-16T18:04:36"/>
    <x v="9"/>
    <s v="Plaquettes rhombiques"/>
    <s v="1234"/>
    <s v=" "/>
    <n v="5"/>
    <x v="1"/>
    <x v="0"/>
    <s v="PLAQUETTES"/>
    <s v="304x28 RPE"/>
    <n v="18.399999999999999"/>
  </r>
  <r>
    <d v="2025-03-17T21:38:54"/>
    <x v="9"/>
    <s v="Plaquettes rhombiques"/>
    <s v="101224"/>
    <s v="CHAZEAU KYLIAN"/>
    <n v="5"/>
    <x v="0"/>
    <x v="0"/>
    <s v="PLAQUETTES"/>
    <s v="356x26 RPI"/>
    <n v="18.399999999999999"/>
  </r>
  <r>
    <d v="2025-03-18T07:24:23"/>
    <x v="9"/>
    <s v="Plaquettes rhombiques"/>
    <s v="280225"/>
    <s v="FERNANDES DOS SANTOS REMY"/>
    <n v="5"/>
    <x v="1"/>
    <x v="0"/>
    <s v="PLAQUETTES"/>
    <s v="304x28 RPE"/>
    <n v="18.399999999999999"/>
  </r>
  <r>
    <d v="2025-03-19T13:43:29"/>
    <x v="9"/>
    <s v="Plaquettes rhombiques"/>
    <s v="130325"/>
    <s v="PAPONNEAU JULIEN"/>
    <n v="5"/>
    <x v="1"/>
    <x v="0"/>
    <s v="PLAQUETTES"/>
    <s v="304x28 RPE"/>
    <n v="18.399999999999999"/>
  </r>
  <r>
    <d v="2025-03-19T21:49:42"/>
    <x v="9"/>
    <s v="Plaquettes rhombiques"/>
    <s v="101224"/>
    <s v="CHAZEAU KYLIAN"/>
    <n v="5"/>
    <x v="0"/>
    <x v="0"/>
    <s v="PLAQUETTES"/>
    <s v="356x26 RPI"/>
    <n v="18.399999999999999"/>
  </r>
  <r>
    <d v="2025-03-21T13:13:50"/>
    <x v="9"/>
    <s v="Plaquettes rhombiques"/>
    <s v="130325"/>
    <s v="PAPONNEAU JULIEN"/>
    <n v="5"/>
    <x v="1"/>
    <x v="0"/>
    <s v="PLAQUETTES"/>
    <s v="304x28 RPE"/>
    <n v="18.399999999999999"/>
  </r>
  <r>
    <d v="2025-03-24T05:24:07"/>
    <x v="9"/>
    <s v="Plaquettes rhombiques"/>
    <s v="130325"/>
    <s v="PAPONNEAU JULIEN"/>
    <n v="5"/>
    <x v="1"/>
    <x v="0"/>
    <s v="PLAQUETTES"/>
    <s v="304x28 RPE"/>
    <n v="18.399999999999999"/>
  </r>
  <r>
    <d v="2025-03-26T06:32:52"/>
    <x v="9"/>
    <s v="Plaquettes rhombiques"/>
    <s v="130325"/>
    <s v="PAPONNEAU JULIEN"/>
    <n v="5"/>
    <x v="1"/>
    <x v="0"/>
    <s v="PLAQUETTES"/>
    <s v="304x28 RPE"/>
    <n v="18.399999999999999"/>
  </r>
  <r>
    <d v="2025-03-27T06:19:13"/>
    <x v="9"/>
    <s v="Plaquettes rhombiques"/>
    <s v="130325"/>
    <s v="PAPONNEAU JULIEN"/>
    <n v="5"/>
    <x v="1"/>
    <x v="0"/>
    <s v="PLAQUETTES"/>
    <s v="304x28 RPE"/>
    <n v="18.399999999999999"/>
  </r>
  <r>
    <d v="2025-03-27T13:15:06"/>
    <x v="9"/>
    <s v="Plaquettes rhombiques"/>
    <s v="130124"/>
    <s v="MOHAMED ILDIRAY"/>
    <n v="5"/>
    <x v="1"/>
    <x v="0"/>
    <s v="PLAQUETTES"/>
    <s v="304x28 RPE"/>
    <n v="18.399999999999999"/>
  </r>
  <r>
    <d v="2025-03-28T04:47:19"/>
    <x v="9"/>
    <s v="Plaquettes rhombiques"/>
    <s v="SE08251"/>
    <s v="FAYET AYMERIC"/>
    <n v="5"/>
    <x v="0"/>
    <x v="0"/>
    <s v="PLAQUETTES"/>
    <s v="356x26 RPI"/>
    <n v="18.399999999999999"/>
  </r>
  <r>
    <d v="2025-03-28T15:31:20"/>
    <x v="9"/>
    <s v="Plaquettes rhombiques"/>
    <s v="130124"/>
    <s v="MOHAMED ILDIRAY"/>
    <n v="5"/>
    <x v="1"/>
    <x v="0"/>
    <s v="PLAQUETTES"/>
    <s v="304x28 RPE"/>
    <n v="18.399999999999999"/>
  </r>
  <r>
    <d v="2025-03-31T05:10:39"/>
    <x v="9"/>
    <s v="Plaquettes rhombiques"/>
    <s v="130124"/>
    <s v="MOHAMED ILDIRAY"/>
    <n v="5"/>
    <x v="1"/>
    <x v="0"/>
    <s v="PLAQUETTES"/>
    <s v="304x28 RPE"/>
    <n v="18.399999999999999"/>
  </r>
  <r>
    <d v="2025-03-31T13:28:41"/>
    <x v="9"/>
    <s v="Plaquettes rhombiques"/>
    <s v="SE08251"/>
    <s v="FAYET AYMERIC"/>
    <n v="5"/>
    <x v="0"/>
    <x v="0"/>
    <s v="PLAQUETTES"/>
    <s v="356x26 RPI"/>
    <n v="18.399999999999999"/>
  </r>
  <r>
    <d v="2025-04-01T05:34:02"/>
    <x v="9"/>
    <s v="Plaquettes rhombiques"/>
    <s v="130124"/>
    <s v="MOHAMED ILDIRAY"/>
    <n v="5"/>
    <x v="1"/>
    <x v="0"/>
    <s v="PLAQUETTES"/>
    <s v="304x28 RPE"/>
    <n v="18.399999999999999"/>
  </r>
  <r>
    <d v="2025-04-02T19:43:00"/>
    <x v="9"/>
    <s v="Plaquettes rhombiques"/>
    <s v="280225"/>
    <s v="FERNANDES DOS SANTOS REMY"/>
    <n v="5"/>
    <x v="1"/>
    <x v="0"/>
    <s v="PLAQUETTES"/>
    <s v="304x28 RPE"/>
    <n v="18.399999999999999"/>
  </r>
  <r>
    <d v="2025-04-04T13:58:38"/>
    <x v="9"/>
    <s v="Plaquettes rhombiques"/>
    <s v="280225"/>
    <s v="FERNANDES DOS SANTOS REMY"/>
    <n v="5"/>
    <x v="1"/>
    <x v="0"/>
    <s v="PLAQUETTES"/>
    <s v="304x28 RPE"/>
    <n v="18.399999999999999"/>
  </r>
  <r>
    <d v="2025-04-08T15:15:52"/>
    <x v="9"/>
    <s v="Plaquettes rhombiques"/>
    <s v="130325"/>
    <s v="PAPONNEAU JULIEN"/>
    <n v="5"/>
    <x v="1"/>
    <x v="0"/>
    <s v="PLAQUETTES"/>
    <s v="304x28 RPE"/>
    <n v="18.399999999999999"/>
  </r>
  <r>
    <d v="2025-04-10T14:43:48"/>
    <x v="9"/>
    <s v="Plaquettes rhombiques"/>
    <s v="SD75051"/>
    <s v="COMBALUZIER LUCAS"/>
    <n v="5"/>
    <x v="0"/>
    <x v="0"/>
    <s v="PLAQUETTES"/>
    <s v="356x26 RPI"/>
    <n v="18.399999999999999"/>
  </r>
  <r>
    <d v="2025-04-10T21:54:27"/>
    <x v="9"/>
    <s v="Plaquettes rhombiques"/>
    <s v="130124"/>
    <s v="MOHAMED ILDIRAY"/>
    <n v="5"/>
    <x v="1"/>
    <x v="0"/>
    <s v="PLAQUETTES"/>
    <s v="304x28 RPE"/>
    <n v="18.399999999999999"/>
  </r>
  <r>
    <d v="2025-04-12T08:57:44"/>
    <x v="9"/>
    <s v="Plaquettes rhombiques"/>
    <s v="150725"/>
    <s v="ADOUL WASSIM"/>
    <n v="5"/>
    <x v="1"/>
    <x v="0"/>
    <s v="PLAQUETTES"/>
    <s v="304x28 RPE"/>
    <n v="18.399999999999999"/>
  </r>
  <r>
    <d v="2025-04-14T05:43:52"/>
    <x v="9"/>
    <s v="Plaquettes rhombiques"/>
    <s v="SD75051"/>
    <s v="COMBALUZIER LUCAS"/>
    <n v="5"/>
    <x v="0"/>
    <x v="0"/>
    <s v="PLAQUETTES"/>
    <s v="356x26 RPI"/>
    <n v="18.399999999999999"/>
  </r>
  <r>
    <d v="2025-04-16T13:21:39"/>
    <x v="9"/>
    <s v="Plaquettes rhombiques"/>
    <s v="130124"/>
    <s v="MOHAMED ILDIRAY"/>
    <n v="5"/>
    <x v="1"/>
    <x v="0"/>
    <s v="PLAQUETTES"/>
    <s v="356x26 RPI"/>
    <n v="18.399999999999999"/>
  </r>
  <r>
    <d v="2025-04-17T06:28:06"/>
    <x v="9"/>
    <s v="Plaquettes rhombiques"/>
    <s v="130325"/>
    <s v="PAPONNEAU JULIEN"/>
    <n v="5"/>
    <x v="1"/>
    <x v="0"/>
    <s v="PLAQUETTES"/>
    <s v="356x26 RPI"/>
    <n v="18.399999999999999"/>
  </r>
  <r>
    <d v="2025-04-17T21:30:42"/>
    <x v="9"/>
    <s v="Plaquettes rhombiques"/>
    <s v="280225"/>
    <s v="FERNANDES DOS SANTOS REMY"/>
    <n v="5"/>
    <x v="1"/>
    <x v="0"/>
    <s v="PLAQUETTES"/>
    <s v="356x26 RPI"/>
    <n v="18.399999999999999"/>
  </r>
  <r>
    <d v="2025-04-18T13:16:20"/>
    <x v="9"/>
    <s v="Plaquettes rhombiques"/>
    <s v="130124"/>
    <s v="MOHAMED ILDIRAY"/>
    <n v="5"/>
    <x v="1"/>
    <x v="0"/>
    <s v="PLAQUETTES"/>
    <s v="356x26 RPI"/>
    <n v="18.399999999999999"/>
  </r>
  <r>
    <d v="2025-04-21T00:05:29"/>
    <x v="9"/>
    <s v="Plaquettes rhombiques"/>
    <s v="U109136"/>
    <s v="WIPLIE FREDERIC"/>
    <n v="5"/>
    <x v="1"/>
    <x v="0"/>
    <s v="PLAQUETTES"/>
    <s v="304x28 RPE"/>
    <n v="18.399999999999999"/>
  </r>
  <r>
    <d v="2025-04-21T13:52:32"/>
    <x v="9"/>
    <s v="Plaquettes rhombiques"/>
    <s v="280225"/>
    <s v="FERNANDES DOS SANTOS REMY"/>
    <n v="5"/>
    <x v="1"/>
    <x v="0"/>
    <s v="PLAQUETTES"/>
    <s v="304x28 RPE"/>
    <n v="18.399999999999999"/>
  </r>
  <r>
    <d v="2025-04-22T05:54:06"/>
    <x v="9"/>
    <s v="Plaquettes rhombiques"/>
    <s v="130124"/>
    <s v="MOHAMED ILDIRAY"/>
    <n v="5"/>
    <x v="1"/>
    <x v="0"/>
    <s v="PLAQUETTES"/>
    <s v="304x28 RPE"/>
    <n v="18.399999999999999"/>
  </r>
  <r>
    <d v="2025-04-23T15:04:46"/>
    <x v="9"/>
    <s v="Plaquettes rhombiques"/>
    <s v="280225"/>
    <s v="FERNANDES DOS SANTOS REMY"/>
    <n v="5"/>
    <x v="1"/>
    <x v="0"/>
    <s v="PLAQUETTES"/>
    <s v="304x28 RPE"/>
    <n v="18.399999999999999"/>
  </r>
  <r>
    <d v="2025-04-24T04:43:19"/>
    <x v="9"/>
    <s v="Plaquettes rhombiques"/>
    <s v="130325"/>
    <s v="PAPONNEAU JULIEN"/>
    <n v="5"/>
    <x v="1"/>
    <x v="0"/>
    <s v="PLAQUETTES"/>
    <s v="304x28 RPE"/>
    <n v="18.399999999999999"/>
  </r>
  <r>
    <d v="2025-04-24T05:50:12"/>
    <x v="9"/>
    <s v="Plaquettes rhombiques"/>
    <s v="130124"/>
    <s v="MOHAMED ILDIRAY"/>
    <n v="5"/>
    <x v="1"/>
    <x v="0"/>
    <s v="PLAQUETTES"/>
    <s v="304x28 RPE"/>
    <n v="18.399999999999999"/>
  </r>
  <r>
    <d v="2025-04-25T13:13:53"/>
    <x v="9"/>
    <s v="Plaquettes rhombiques"/>
    <s v="280225"/>
    <s v="FERNANDES DOS SANTOS REMY"/>
    <n v="5"/>
    <x v="1"/>
    <x v="0"/>
    <s v="PLAQUETTES"/>
    <s v="304x28 RPE"/>
    <n v="18.399999999999999"/>
  </r>
  <r>
    <d v="2025-04-27T17:53:37"/>
    <x v="9"/>
    <s v="Plaquettes rhombiques"/>
    <s v="U109136"/>
    <s v="WIPLIE FREDERIC"/>
    <n v="5"/>
    <x v="0"/>
    <x v="0"/>
    <s v="PLAQUETTES"/>
    <s v="356x26 RPI"/>
    <n v="18.399999999999999"/>
  </r>
  <r>
    <d v="2025-04-28T05:07:15"/>
    <x v="9"/>
    <s v="Plaquettes rhombiques"/>
    <s v="280225"/>
    <s v="FERNANDES DOS SANTOS REMY"/>
    <n v="5"/>
    <x v="1"/>
    <x v="0"/>
    <s v="PLAQUETTES"/>
    <s v="304x28 RPE"/>
    <n v="18.399999999999999"/>
  </r>
  <r>
    <d v="2025-04-29T19:00:03"/>
    <x v="9"/>
    <s v="Plaquettes rhombiques"/>
    <s v="130325"/>
    <s v="PAPONNEAU JULIEN"/>
    <n v="5"/>
    <x v="1"/>
    <x v="0"/>
    <s v="PLAQUETTES"/>
    <s v="304x28 RPE"/>
    <n v="18.399999999999999"/>
  </r>
  <r>
    <d v="2025-04-29T19:00:20"/>
    <x v="9"/>
    <s v="Plaquettes rhombiques"/>
    <s v="130325"/>
    <s v="PAPONNEAU JULIEN"/>
    <n v="5"/>
    <x v="1"/>
    <x v="0"/>
    <s v="PLAQUETTES"/>
    <s v="304x28 RPE"/>
    <n v="18.399999999999999"/>
  </r>
  <r>
    <d v="2025-04-30T21:27:58"/>
    <x v="9"/>
    <s v="Plaquettes rhombiques"/>
    <s v="130124"/>
    <s v="MOHAMED ILDIRAY"/>
    <n v="5"/>
    <x v="1"/>
    <x v="0"/>
    <s v="PLAQUETTES"/>
    <s v="304x28 RPE"/>
    <n v="18.399999999999999"/>
  </r>
  <r>
    <d v="2025-05-02T21:33:46"/>
    <x v="9"/>
    <s v="Plaquettes rhombiques"/>
    <s v="130124"/>
    <s v="MOHAMED ILDIRAY"/>
    <n v="5"/>
    <x v="1"/>
    <x v="0"/>
    <s v="PLAQUETTES"/>
    <s v="304x28 RPE"/>
    <n v="18.399999999999999"/>
  </r>
  <r>
    <d v="2025-05-05T13:21:24"/>
    <x v="9"/>
    <s v="Plaquettes rhombiques"/>
    <s v="130124"/>
    <s v="MOHAMED ILDIRAY"/>
    <n v="5"/>
    <x v="1"/>
    <x v="0"/>
    <s v="PLAQUETTES"/>
    <s v="304x28 RPE"/>
    <n v="18.399999999999999"/>
  </r>
  <r>
    <d v="2025-05-07T09:54:29"/>
    <x v="9"/>
    <s v="Plaquettes rhombiques"/>
    <s v="130325"/>
    <s v="PAPONNEAU JULIEN"/>
    <n v="5"/>
    <x v="1"/>
    <x v="0"/>
    <s v="PLAQUETTES"/>
    <s v="356x26 RPI"/>
    <n v="18.399999999999999"/>
  </r>
  <r>
    <d v="2025-05-09T02:02:36"/>
    <x v="9"/>
    <s v="Plaquettes rhombiques"/>
    <s v="280225"/>
    <s v="FERNANDES DOS SANTOS REMY"/>
    <n v="5"/>
    <x v="1"/>
    <x v="0"/>
    <s v="PLAQUETTES"/>
    <s v="304x28 RPE"/>
    <n v="18.399999999999999"/>
  </r>
  <r>
    <d v="2025-05-09T16:55:43"/>
    <x v="9"/>
    <s v="Plaquettes rhombiques"/>
    <s v="130124"/>
    <s v="MOHAMED ILDIRAY"/>
    <n v="5"/>
    <x v="1"/>
    <x v="0"/>
    <s v="PLAQUETTES"/>
    <s v="304x28 RPE"/>
    <n v="18.399999999999999"/>
  </r>
  <r>
    <d v="2025-05-12T05:21:55"/>
    <x v="9"/>
    <s v="Plaquettes rhombiques"/>
    <s v="130124"/>
    <s v="MOHAMED ILDIRAY"/>
    <n v="5"/>
    <x v="1"/>
    <x v="0"/>
    <s v="PLAQUETTES"/>
    <s v="304x28 RPE"/>
    <n v="18.399999999999999"/>
  </r>
  <r>
    <d v="2025-05-13T16:48:21"/>
    <x v="9"/>
    <s v="Plaquettes rhombiques"/>
    <s v="280225"/>
    <s v="FERNANDES DOS SANTOS REMY"/>
    <n v="5"/>
    <x v="1"/>
    <x v="0"/>
    <s v="PLAQUETTES"/>
    <s v="304x28 RPE"/>
    <n v="18.399999999999999"/>
  </r>
  <r>
    <d v="2025-05-14T05:15:21"/>
    <x v="9"/>
    <s v="Plaquettes rhombiques"/>
    <s v="130124"/>
    <s v="MOHAMED ILDIRAY"/>
    <n v="5"/>
    <x v="1"/>
    <x v="0"/>
    <s v="PLAQUETTES"/>
    <s v="304x28 RPE"/>
    <n v="18.399999999999999"/>
  </r>
  <r>
    <d v="2025-05-14T13:19:31"/>
    <x v="9"/>
    <s v="Plaquettes rhombiques"/>
    <s v="SE08251"/>
    <s v="FAYET AYMERIC"/>
    <n v="5"/>
    <x v="0"/>
    <x v="0"/>
    <s v="PLAQUETTES"/>
    <s v="356x26 RPI"/>
    <n v="18.399999999999999"/>
  </r>
  <r>
    <d v="2025-05-16T06:47:08"/>
    <x v="9"/>
    <s v="Plaquettes rhombiques"/>
    <s v="150725"/>
    <s v="ADOUL WASSIM"/>
    <n v="5"/>
    <x v="0"/>
    <x v="0"/>
    <s v="PLAQUETTES"/>
    <s v="356x26 RPI"/>
    <n v="18.399999999999999"/>
  </r>
  <r>
    <d v="2025-05-16T14:00:03"/>
    <x v="9"/>
    <s v="Plaquettes rhombiques"/>
    <s v="280225"/>
    <s v="FERNANDES DOS SANTOS REMY"/>
    <n v="5"/>
    <x v="1"/>
    <x v="0"/>
    <s v="PLAQUETTES"/>
    <s v="304x28 RPE"/>
    <n v="18.399999999999999"/>
  </r>
  <r>
    <d v="2025-05-17T05:28:22"/>
    <x v="9"/>
    <s v="Plaquettes rhombiques"/>
    <s v="150725"/>
    <s v="ADOUL WASSIM"/>
    <n v="5"/>
    <x v="0"/>
    <x v="0"/>
    <s v="PLAQUETTES"/>
    <s v="356x26 RPI"/>
    <n v="18.399999999999999"/>
  </r>
  <r>
    <d v="2025-05-17T10:17:01"/>
    <x v="9"/>
    <s v="Plaquettes rhombiques"/>
    <s v="U109136"/>
    <s v="WIPLIE FREDERIC"/>
    <n v="5"/>
    <x v="1"/>
    <x v="0"/>
    <s v="PLAQUETTES"/>
    <s v="304x28 RPE"/>
    <n v="18.399999999999999"/>
  </r>
  <r>
    <d v="2025-05-20T02:18:12"/>
    <x v="9"/>
    <s v="Plaquettes rhombiques"/>
    <s v="130124"/>
    <s v="MOHAMED ILDIRAY"/>
    <n v="5"/>
    <x v="1"/>
    <x v="0"/>
    <s v="PLAQUETTES"/>
    <s v="304x28 RPE"/>
    <n v="18.399999999999999"/>
  </r>
  <r>
    <d v="2025-05-21T00:08:03"/>
    <x v="9"/>
    <s v="Plaquettes rhombiques"/>
    <s v="130124"/>
    <s v="MOHAMED ILDIRAY"/>
    <n v="5"/>
    <x v="1"/>
    <x v="0"/>
    <s v="PLAQUETTES"/>
    <s v="356x26 RPI"/>
    <n v="18.399999999999999"/>
  </r>
  <r>
    <d v="2025-05-22T21:50:21"/>
    <x v="9"/>
    <s v="Plaquettes rhombiques"/>
    <s v="130124"/>
    <s v="MOHAMED ILDIRAY"/>
    <n v="5"/>
    <x v="1"/>
    <x v="0"/>
    <s v="PLAQUETTES"/>
    <s v="356x26 RPI"/>
    <n v="18.399999999999999"/>
  </r>
  <r>
    <d v="2025-05-25T17:49:26"/>
    <x v="9"/>
    <s v="Plaquettes rhombiques"/>
    <s v="150725"/>
    <s v="ADOUL WASSIM"/>
    <n v="5"/>
    <x v="1"/>
    <x v="0"/>
    <s v="PLAQUETTES"/>
    <s v="356x26 RPI"/>
    <n v="18.399999999999999"/>
  </r>
  <r>
    <d v="2025-05-26T20:07:46"/>
    <x v="9"/>
    <s v="Plaquettes rhombiques"/>
    <s v="130124"/>
    <s v="MOHAMED ILDIRAY"/>
    <n v="5"/>
    <x v="1"/>
    <x v="0"/>
    <s v="PLAQUETTES"/>
    <s v="304x28 RPE"/>
    <n v="18.399999999999999"/>
  </r>
  <r>
    <d v="2025-05-27T00:48:20"/>
    <x v="9"/>
    <s v="Plaquettes rhombiques"/>
    <s v="SE08251"/>
    <s v="FAYET AYMERIC"/>
    <n v="5"/>
    <x v="0"/>
    <x v="0"/>
    <s v="PLAQUETTES"/>
    <s v="356x26 RPI"/>
    <n v="18.399999999999999"/>
  </r>
  <r>
    <d v="2025-05-27T10:22:22"/>
    <x v="9"/>
    <s v="Plaquettes rhombiques"/>
    <s v="SF51433"/>
    <s v="BONTEMS COLINE"/>
    <n v="5"/>
    <x v="0"/>
    <x v="0"/>
    <s v="PLAQUETTES"/>
    <s v="TOUT DISQUES"/>
    <n v="18.399999999999999"/>
  </r>
  <r>
    <d v="2025-05-28T01:44:44"/>
    <x v="9"/>
    <s v="Plaquettes rhombiques"/>
    <s v="280225"/>
    <s v="FERNANDES DOS SANTOS REMY"/>
    <n v="5"/>
    <x v="1"/>
    <x v="0"/>
    <s v="PLAQUETTES"/>
    <s v="304x28 RPE"/>
    <n v="18.399999999999999"/>
  </r>
  <r>
    <d v="2025-05-28T16:10:16"/>
    <x v="9"/>
    <s v="Plaquettes rhombiques"/>
    <s v="101224"/>
    <s v="CHAZEAU KYLIAN"/>
    <n v="5"/>
    <x v="0"/>
    <x v="0"/>
    <s v="PLAQUETTES"/>
    <s v="356x26 RPI"/>
    <n v="18.399999999999999"/>
  </r>
  <r>
    <d v="2025-05-29T13:18:41"/>
    <x v="9"/>
    <s v="Plaquettes rhombiques"/>
    <s v="130124"/>
    <s v="MOHAMED ILDIRAY"/>
    <n v="5"/>
    <x v="1"/>
    <x v="0"/>
    <s v="PLAQUETTES"/>
    <s v="304x28 RPE"/>
    <n v="18.399999999999999"/>
  </r>
  <r>
    <d v="2025-05-29T15:43:32"/>
    <x v="9"/>
    <s v="Plaquettes rhombiques"/>
    <s v="SD13196"/>
    <s v="FRADIN MAXIME"/>
    <n v="5"/>
    <x v="0"/>
    <x v="0"/>
    <s v="PLAQUETTES"/>
    <s v="356x26 RPI"/>
    <n v="18.399999999999999"/>
  </r>
  <r>
    <d v="2025-05-30T16:10:51"/>
    <x v="9"/>
    <s v="Plaquettes rhombiques"/>
    <s v="130124"/>
    <s v="MOHAMED ILDIRAY"/>
    <n v="5"/>
    <x v="1"/>
    <x v="0"/>
    <s v="PLAQUETTES"/>
    <s v="304x28 RPE"/>
    <n v="18.399999999999999"/>
  </r>
  <r>
    <d v="2025-06-01T20:53:16"/>
    <x v="9"/>
    <s v="Plaquettes rhombiques"/>
    <s v="U109136"/>
    <s v="WIPLIE FREDERIC"/>
    <n v="5"/>
    <x v="1"/>
    <x v="0"/>
    <s v="PLAQUETTES"/>
    <s v="304x28 RPE"/>
    <n v="18.399999999999999"/>
  </r>
  <r>
    <d v="2025-06-02T05:13:10"/>
    <x v="9"/>
    <s v="Plaquettes rhombiques"/>
    <s v="101224"/>
    <s v="CHAZEAU KYLIAN"/>
    <n v="5"/>
    <x v="0"/>
    <x v="0"/>
    <s v="PLAQUETTES"/>
    <s v="356x26 RPI"/>
    <n v="18.399999999999999"/>
  </r>
  <r>
    <d v="2025-06-02T05:42:52"/>
    <x v="9"/>
    <s v="Plaquettes rhombiques"/>
    <s v="130124"/>
    <s v="MOHAMED ILDIRAY"/>
    <n v="5"/>
    <x v="1"/>
    <x v="0"/>
    <s v="PLAQUETTES"/>
    <s v="304x28 RPE"/>
    <n v="18.399999999999999"/>
  </r>
  <r>
    <d v="2025-06-03T13:27:07"/>
    <x v="9"/>
    <s v="Plaquettes rhombiques"/>
    <s v="280225"/>
    <s v="FERNANDES DOS SANTOS REMY"/>
    <n v="5"/>
    <x v="1"/>
    <x v="0"/>
    <s v="PLAQUETTES"/>
    <s v="304x28 RPE"/>
    <n v="18.399999999999999"/>
  </r>
  <r>
    <d v="2025-06-05T08:24:16"/>
    <x v="9"/>
    <s v="Plaquettes rhombiques"/>
    <s v="130124"/>
    <s v="MOHAMED ILDIRAY"/>
    <n v="5"/>
    <x v="1"/>
    <x v="0"/>
    <s v="PLAQUETTES"/>
    <s v="356x26 RPI"/>
    <n v="18.399999999999999"/>
  </r>
  <r>
    <d v="2025-06-06T09:25:59"/>
    <x v="9"/>
    <s v="Plaquettes rhombiques"/>
    <s v="150725"/>
    <s v="ADOUL WASSIM"/>
    <n v="5"/>
    <x v="1"/>
    <x v="0"/>
    <s v="PLAQUETTES"/>
    <s v="356x26 RPI"/>
    <n v="18.399999999999999"/>
  </r>
  <r>
    <d v="2025-06-08T17:36:18"/>
    <x v="9"/>
    <s v="Plaquettes rhombiques"/>
    <s v="150725"/>
    <s v="ADOUL WASSIM"/>
    <n v="5"/>
    <x v="1"/>
    <x v="0"/>
    <s v="PLAQUETTES"/>
    <s v="356x26 RPI"/>
    <n v="18.399999999999999"/>
  </r>
  <r>
    <d v="2025-06-10T23:30:56"/>
    <x v="9"/>
    <s v="Plaquettes rhombiques"/>
    <s v="130124"/>
    <s v="MOHAMED ILDIRAY"/>
    <n v="5"/>
    <x v="1"/>
    <x v="0"/>
    <s v="PLAQUETTES"/>
    <s v="304x28 RPE"/>
    <n v="18.399999999999999"/>
  </r>
  <r>
    <d v="2025-06-11T13:44:22"/>
    <x v="9"/>
    <s v="Plaquettes rhombiques"/>
    <s v="SD75051"/>
    <s v="COMBALUZIER LUCAS"/>
    <n v="5"/>
    <x v="3"/>
    <x v="0"/>
    <s v="PLAQUETTES"/>
    <s v="330x28 RPE KO"/>
    <n v="18.399999999999999"/>
  </r>
  <r>
    <d v="2025-06-12T05:14:58"/>
    <x v="9"/>
    <s v="Plaquettes rhombiques"/>
    <s v="280225"/>
    <s v="FERNANDES DOS SANTOS REMY"/>
    <n v="5"/>
    <x v="1"/>
    <x v="0"/>
    <s v="PLAQUETTES"/>
    <s v="304x28 RPE"/>
    <n v="18.399999999999999"/>
  </r>
  <r>
    <d v="2025-06-12T07:04:27"/>
    <x v="9"/>
    <s v="Plaquettes rhombiques"/>
    <s v="SE08251"/>
    <s v="FAYET AYMERIC"/>
    <n v="5"/>
    <x v="0"/>
    <x v="0"/>
    <s v="PLAQUETTES"/>
    <s v="356x26 RPI"/>
    <n v="18.399999999999999"/>
  </r>
  <r>
    <d v="2025-06-15T19:42:10"/>
    <x v="9"/>
    <s v="Plaquettes rhombiques"/>
    <s v="U109136"/>
    <s v="WIPLIE FREDERIC"/>
    <n v="5"/>
    <x v="1"/>
    <x v="0"/>
    <s v="PLAQUETTES"/>
    <s v="304x28 RPE"/>
    <n v="18.399999999999999"/>
  </r>
  <r>
    <d v="2025-06-16T13:23:35"/>
    <x v="9"/>
    <s v="Plaquettes rhombiques"/>
    <s v="130124"/>
    <s v="MOHAMED ILDIRAY"/>
    <n v="5"/>
    <x v="1"/>
    <x v="0"/>
    <s v="PLAQUETTES"/>
    <s v="304x28 RPE"/>
    <n v="18.399999999999999"/>
  </r>
  <r>
    <d v="2025-06-18T19:18:54"/>
    <x v="9"/>
    <s v="Plaquettes rhombiques"/>
    <s v="130124"/>
    <s v="MOHAMED ILDIRAY"/>
    <n v="5"/>
    <x v="1"/>
    <x v="0"/>
    <s v="PLAQUETTES"/>
    <s v="356x26 RPI"/>
    <n v="18.399999999999999"/>
  </r>
  <r>
    <d v="2025-06-20T17:34:37"/>
    <x v="9"/>
    <s v="Plaquettes rhombiques"/>
    <s v="130124"/>
    <s v="MOHAMED ILDIRAY"/>
    <n v="5"/>
    <x v="1"/>
    <x v="0"/>
    <s v="PLAQUETTES"/>
    <s v="356x26 RPI"/>
    <n v="18.399999999999999"/>
  </r>
  <r>
    <d v="2025-06-22T20:17:18"/>
    <x v="9"/>
    <s v="Plaquettes rhombiques"/>
    <s v="150725"/>
    <s v="ADOUL WASSIM"/>
    <n v="5"/>
    <x v="1"/>
    <x v="0"/>
    <s v="PLAQUETTES"/>
    <s v="356x26 RPI"/>
    <n v="18.399999999999999"/>
  </r>
  <r>
    <d v="2025-06-23T13:29:46"/>
    <x v="9"/>
    <s v="Plaquettes rhombiques"/>
    <s v="280225"/>
    <s v="FERNANDES DOS SANTOS REMY"/>
    <n v="5"/>
    <x v="1"/>
    <x v="0"/>
    <s v="PLAQUETTES"/>
    <s v="356x26 RPI"/>
    <n v="18.399999999999999"/>
  </r>
  <r>
    <d v="2025-06-24T13:23:04"/>
    <x v="9"/>
    <s v="Plaquettes rhombiques"/>
    <s v="280225"/>
    <s v="FERNANDES DOS SANTOS REMY"/>
    <n v="5"/>
    <x v="1"/>
    <x v="0"/>
    <s v="PLAQUETTES"/>
    <s v="356x26 RPI"/>
    <n v="18.399999999999999"/>
  </r>
  <r>
    <d v="2025-06-24T20:52:13"/>
    <x v="9"/>
    <s v="Plaquettes rhombiques"/>
    <s v="SE08251"/>
    <s v="FAYET AYMERIC"/>
    <n v="5"/>
    <x v="0"/>
    <x v="0"/>
    <s v="PLAQUETTES"/>
    <s v="356x26 RPI"/>
    <n v="18.399999999999999"/>
  </r>
  <r>
    <d v="2025-06-25T15:20:38"/>
    <x v="9"/>
    <s v="Plaquettes rhombiques"/>
    <s v="280225"/>
    <s v="FERNANDES DOS SANTOS REMY"/>
    <n v="5"/>
    <x v="1"/>
    <x v="0"/>
    <s v="PLAQUETTES"/>
    <s v="356x26 RPI"/>
    <n v="18.399999999999999"/>
  </r>
  <r>
    <d v="2025-06-26T15:24:28"/>
    <x v="9"/>
    <s v="Plaquettes rhombiques"/>
    <s v="280225"/>
    <s v="FERNANDES DOS SANTOS REMY"/>
    <n v="5"/>
    <x v="1"/>
    <x v="0"/>
    <s v="PLAQUETTES"/>
    <s v="356x26 RPI"/>
    <n v="18.399999999999999"/>
  </r>
  <r>
    <d v="2025-06-27T21:20:00"/>
    <x v="9"/>
    <s v="Plaquettes rhombiques"/>
    <s v="SD75051"/>
    <s v="COMBALUZIER LUCAS"/>
    <n v="5"/>
    <x v="3"/>
    <x v="0"/>
    <s v="PLAQUETTES"/>
    <s v="304x28 RPE"/>
    <n v="18.399999999999999"/>
  </r>
  <r>
    <d v="2025-06-28T10:26:36"/>
    <x v="9"/>
    <s v="Plaquettes rhombiques"/>
    <s v="U109136"/>
    <s v="WIPLIE FREDERIC"/>
    <n v="5"/>
    <x v="1"/>
    <x v="0"/>
    <s v="PLAQUETTES"/>
    <s v="356x26 RPI"/>
    <n v="18.399999999999999"/>
  </r>
  <r>
    <d v="2025-06-29T17:53:22"/>
    <x v="9"/>
    <s v="Plaquettes rhombiques"/>
    <s v="U109136"/>
    <s v="WIPLIE FREDERIC"/>
    <n v="5"/>
    <x v="1"/>
    <x v="0"/>
    <s v="PLAQUETTES"/>
    <s v="356x26 RPI"/>
    <n v="18.399999999999999"/>
  </r>
  <r>
    <d v="2025-07-01T05:30:59"/>
    <x v="9"/>
    <s v="Plaquettes rhombiques"/>
    <s v="280225"/>
    <s v="FERNANDES DOS SANTOS REMY"/>
    <n v="5"/>
    <x v="1"/>
    <x v="0"/>
    <s v="PLAQUETTES"/>
    <s v="356x26 RPI"/>
    <n v="18.399999999999999"/>
  </r>
  <r>
    <d v="2025-07-03T01:33:58"/>
    <x v="9"/>
    <s v="Plaquettes rhombiques"/>
    <s v="130124"/>
    <s v="MOHAMED ILDIRAY"/>
    <n v="5"/>
    <x v="1"/>
    <x v="0"/>
    <s v="PLAQUETTES"/>
    <s v="356x26 RPI"/>
    <n v="18.399999999999999"/>
  </r>
  <r>
    <d v="2025-07-05T09:32:00"/>
    <x v="9"/>
    <s v="Plaquettes rhombiques"/>
    <s v="150725"/>
    <s v="ADOUL WASSIM"/>
    <n v="5"/>
    <x v="1"/>
    <x v="0"/>
    <s v="PLAQUETTES"/>
    <s v="356x26 RPI"/>
    <n v="18.399999999999999"/>
  </r>
  <r>
    <d v="2025-07-07T19:56:04"/>
    <x v="9"/>
    <s v="Plaquettes rhombiques"/>
    <s v="130124"/>
    <s v="MOHAMED ILDIRAY"/>
    <n v="5"/>
    <x v="1"/>
    <x v="0"/>
    <s v="PLAQUETTES"/>
    <s v="356x26 RPI"/>
    <n v="18.399999999999999"/>
  </r>
  <r>
    <d v="2025-07-08T23:50:14"/>
    <x v="9"/>
    <s v="Plaquettes rhombiques"/>
    <s v="SE08251"/>
    <s v="FAYET AYMERIC"/>
    <n v="5"/>
    <x v="0"/>
    <x v="0"/>
    <s v="PLAQUETTES"/>
    <s v="356x26 RPI"/>
    <n v="18.399999999999999"/>
  </r>
  <r>
    <d v="2025-07-09T13:15:43"/>
    <x v="9"/>
    <s v="Plaquettes rhombiques"/>
    <s v="130124"/>
    <s v="MOHAMED ILDIRAY"/>
    <n v="5"/>
    <x v="1"/>
    <x v="0"/>
    <s v="PLAQUETTES"/>
    <s v="304x28 RPE"/>
    <n v="18.399999999999999"/>
  </r>
  <r>
    <d v="2025-07-09T21:22:23"/>
    <x v="9"/>
    <s v="Plaquettes rhombiques"/>
    <s v="j529800"/>
    <s v="MONTCHARMONT BAPTISTE"/>
    <n v="5"/>
    <x v="1"/>
    <x v="0"/>
    <s v="PLAQUETTES"/>
    <s v="304x28 RPE"/>
    <n v="18.399999999999999"/>
  </r>
  <r>
    <d v="2025-07-10T04:36:07"/>
    <x v="9"/>
    <s v="Plaquettes rhombiques"/>
    <s v="SE08251"/>
    <s v="FAYET AYMERIC"/>
    <n v="5"/>
    <x v="0"/>
    <x v="0"/>
    <s v="PLAQUETTES"/>
    <s v="356x26 RPI"/>
    <n v="18.399999999999999"/>
  </r>
  <r>
    <d v="2025-07-11T14:41:54"/>
    <x v="9"/>
    <s v="Plaquettes rhombiques"/>
    <s v="U561365"/>
    <s v="BALLY BENOIT"/>
    <n v="5"/>
    <x v="0"/>
    <x v="0"/>
    <s v="PLAQUETTES"/>
    <s v="356x26 RPI"/>
    <n v="18.399999999999999"/>
  </r>
  <r>
    <d v="2025-07-12T00:13:46"/>
    <x v="9"/>
    <s v="Plaquettes rhombiques"/>
    <s v="j529800"/>
    <s v="MONTCHARMONT BAPTISTE"/>
    <n v="5"/>
    <x v="1"/>
    <x v="0"/>
    <s v="PLAQUETTES"/>
    <s v="304x28 RPE"/>
    <n v="18.399999999999999"/>
  </r>
  <r>
    <d v="2025-07-13T05:26:51"/>
    <x v="9"/>
    <s v="Plaquettes rhombiques"/>
    <s v="150725"/>
    <s v="ADOUL WASSIM"/>
    <n v="5"/>
    <x v="0"/>
    <x v="0"/>
    <s v="PLAQUETTES"/>
    <s v="356x26 RPI"/>
    <n v="18.399999999999999"/>
  </r>
  <r>
    <d v="2025-07-13T14:35:07"/>
    <x v="9"/>
    <s v="Plaquettes rhombiques"/>
    <s v="150725"/>
    <s v="ADOUL WASSIM"/>
    <n v="5"/>
    <x v="0"/>
    <x v="0"/>
    <s v="PLAQUETTES"/>
    <s v="356x26 RPI"/>
    <n v="18.399999999999999"/>
  </r>
  <r>
    <d v="2025-07-15T05:05:00"/>
    <x v="9"/>
    <s v="Plaquettes rhombiques"/>
    <s v="130124"/>
    <s v="MOHAMED ILDIRAY"/>
    <n v="5"/>
    <x v="1"/>
    <x v="0"/>
    <s v="PLAQUETTES"/>
    <s v="304x28 RPE"/>
    <n v="18.399999999999999"/>
  </r>
  <r>
    <d v="2025-07-15T13:25:14"/>
    <x v="9"/>
    <s v="Plaquettes rhombiques"/>
    <s v="SE08251"/>
    <s v="FAYET AYMERIC"/>
    <n v="5"/>
    <x v="0"/>
    <x v="0"/>
    <s v="PLAQUETTES"/>
    <s v="356x26 RPI"/>
    <n v="18.399999999999999"/>
  </r>
  <r>
    <d v="2025-07-16T04:37:48"/>
    <x v="9"/>
    <s v="Plaquettes rhombiques"/>
    <s v="130325"/>
    <s v="PAPONNEAU JULIEN"/>
    <n v="5"/>
    <x v="1"/>
    <x v="0"/>
    <s v="PLAQUETTES"/>
    <s v="304x28 RPE"/>
    <n v="18.399999999999999"/>
  </r>
  <r>
    <d v="2025-07-16T06:06:13"/>
    <x v="9"/>
    <s v="Plaquettes rhombiques"/>
    <s v="130124"/>
    <s v="MOHAMED ILDIRAY"/>
    <n v="5"/>
    <x v="1"/>
    <x v="0"/>
    <s v="PLAQUETTES"/>
    <s v="304x28 RPE"/>
    <n v="18.399999999999999"/>
  </r>
  <r>
    <d v="2025-07-16T19:52:53"/>
    <x v="9"/>
    <s v="Plaquettes rhombiques"/>
    <s v="SE08251"/>
    <s v="FAYET AYMERIC"/>
    <n v="5"/>
    <x v="0"/>
    <x v="0"/>
    <s v="PLAQUETTES"/>
    <s v="356x26 RPI"/>
    <n v="18.399999999999999"/>
  </r>
  <r>
    <d v="2025-07-17T21:51:52"/>
    <x v="9"/>
    <s v="Plaquettes rhombiques"/>
    <s v="SD75051"/>
    <s v="COMBALUZIER LUCAS"/>
    <n v="5"/>
    <x v="0"/>
    <x v="0"/>
    <s v="PLAQUETTES"/>
    <s v="356x26 RPI"/>
    <n v="18.399999999999999"/>
  </r>
  <r>
    <d v="2025-07-18T13:10:59"/>
    <x v="9"/>
    <s v="Plaquettes rhombiques"/>
    <s v="280225"/>
    <s v="FERNANDES DOS SANTOS REMY"/>
    <n v="5"/>
    <x v="1"/>
    <x v="0"/>
    <s v="PLAQUETTES"/>
    <s v="304x28 RPE"/>
    <n v="18.399999999999999"/>
  </r>
  <r>
    <d v="2025-07-18T13:11:13"/>
    <x v="9"/>
    <s v="Plaquettes rhombiques"/>
    <s v="280225"/>
    <s v="FERNANDES DOS SANTOS REMY"/>
    <n v="5"/>
    <x v="1"/>
    <x v="0"/>
    <s v="PLAQUETTES"/>
    <s v="304x28 RPE"/>
    <n v="18.399999999999999"/>
  </r>
  <r>
    <d v="2025-07-18T13:28:52"/>
    <x v="9"/>
    <s v="Plaquettes rhombiques"/>
    <s v="SE08251"/>
    <s v="FAYET AYMERIC"/>
    <n v="5"/>
    <x v="0"/>
    <x v="0"/>
    <s v="PLAQUETTES"/>
    <s v="356x26 RPI"/>
    <n v="18.399999999999999"/>
  </r>
  <r>
    <d v="2025-07-20T22:08:17"/>
    <x v="9"/>
    <s v="Plaquettes rhombiques"/>
    <s v="U109136"/>
    <s v="WIPLIE FREDERIC"/>
    <n v="5"/>
    <x v="0"/>
    <x v="0"/>
    <s v="PLAQUETTES"/>
    <s v="356x26 RPI"/>
    <n v="18.399999999999999"/>
  </r>
  <r>
    <d v="2025-07-21T17:51:45"/>
    <x v="9"/>
    <s v="Plaquettes rhombiques"/>
    <s v="SD75051"/>
    <s v="COMBALUZIER LUCAS"/>
    <n v="5"/>
    <x v="0"/>
    <x v="0"/>
    <s v="PLAQUETTES"/>
    <s v="356x26 RPI"/>
    <n v="18.399999999999999"/>
  </r>
  <r>
    <d v="2025-07-21T21:55:32"/>
    <x v="9"/>
    <s v="Plaquettes rhombiques"/>
    <s v="101123"/>
    <s v="BRUNET ANDREA"/>
    <n v="5"/>
    <x v="1"/>
    <x v="0"/>
    <s v="PLAQUETTES"/>
    <s v="304x28 RPE"/>
    <n v="18.399999999999999"/>
  </r>
  <r>
    <d v="2025-07-22T18:47:38"/>
    <x v="9"/>
    <s v="Plaquettes rhombiques"/>
    <s v="SD75051"/>
    <s v="COMBALUZIER LUCAS"/>
    <n v="5"/>
    <x v="0"/>
    <x v="0"/>
    <s v="PLAQUETTES"/>
    <s v="356x26 RPI"/>
    <n v="18.399999999999999"/>
  </r>
  <r>
    <d v="2025-07-22T21:06:26"/>
    <x v="9"/>
    <s v="Plaquettes rhombiques"/>
    <s v="101123"/>
    <s v="BRUNET ANDREA"/>
    <n v="5"/>
    <x v="1"/>
    <x v="0"/>
    <s v="PLAQUETTES"/>
    <s v="304x28 RPE"/>
    <n v="18.399999999999999"/>
  </r>
  <r>
    <d v="2025-07-23T10:32:56"/>
    <x v="9"/>
    <s v="Plaquettes rhombiques"/>
    <s v="j529800"/>
    <s v="MONTCHARMONT BAPTISTE"/>
    <n v="5"/>
    <x v="0"/>
    <x v="0"/>
    <s v="PLAQUETTES"/>
    <s v="356x26 RPI"/>
    <n v="18.399999999999999"/>
  </r>
  <r>
    <d v="2025-07-23T20:21:49"/>
    <x v="9"/>
    <s v="Plaquettes rhombiques"/>
    <s v="130325"/>
    <s v="PAPONNEAU JULIEN"/>
    <n v="5"/>
    <x v="1"/>
    <x v="0"/>
    <s v="PLAQUETTES"/>
    <s v="304x28 RPE"/>
    <n v="18.399999999999999"/>
  </r>
  <r>
    <d v="2025-07-23T21:11:04"/>
    <x v="9"/>
    <s v="Plaquettes rhombiques"/>
    <s v="130124"/>
    <s v="MOHAMED ILDIRAY"/>
    <n v="5"/>
    <x v="1"/>
    <x v="0"/>
    <s v="PLAQUETTES"/>
    <s v="304x28 RPE"/>
    <n v="18.399999999999999"/>
  </r>
  <r>
    <d v="2025-07-24T05:43:52"/>
    <x v="9"/>
    <s v="Plaquettes rhombiques"/>
    <s v="j529800"/>
    <s v="MONTCHARMONT BAPTISTE"/>
    <n v="5"/>
    <x v="0"/>
    <x v="0"/>
    <s v="PLAQUETTES"/>
    <s v="356x26 RPI"/>
    <n v="18.399999999999999"/>
  </r>
  <r>
    <d v="2025-07-24T21:48:43"/>
    <x v="9"/>
    <s v="Plaquettes rhombiques"/>
    <s v="130124"/>
    <s v="MOHAMED ILDIRAY"/>
    <n v="5"/>
    <x v="1"/>
    <x v="0"/>
    <s v="PLAQUETTES"/>
    <s v="304x28 RPE"/>
    <n v="18.399999999999999"/>
  </r>
  <r>
    <d v="2025-08-18T05:20:48"/>
    <x v="9"/>
    <s v="Plaquettes rhombiques"/>
    <s v="SD75051"/>
    <s v="COMBALUZIER LUCAS"/>
    <n v="5"/>
    <x v="1"/>
    <x v="0"/>
    <s v="PLAQUETTES"/>
    <s v="304x28 RPE"/>
    <n v="18.399999999999999"/>
  </r>
  <r>
    <d v="2025-08-19T05:29:13"/>
    <x v="9"/>
    <s v="Plaquettes rhombiques"/>
    <s v="040725"/>
    <s v="BARGEOT LUCAS"/>
    <n v="5"/>
    <x v="0"/>
    <x v="0"/>
    <s v="PLAQUETTES"/>
    <s v="356x26 RPI"/>
    <n v="18.399999999999999"/>
  </r>
  <r>
    <d v="2025-08-19T05:47:32"/>
    <x v="9"/>
    <s v="Plaquettes rhombiques"/>
    <s v="SD75051"/>
    <s v="COMBALUZIER LUCAS"/>
    <n v="5"/>
    <x v="1"/>
    <x v="0"/>
    <s v="PLAQUETTES"/>
    <s v="304x28 RPE"/>
    <n v="18.399999999999999"/>
  </r>
  <r>
    <d v="2025-08-20T00:34:01"/>
    <x v="9"/>
    <s v="Plaquettes rhombiques"/>
    <s v="j529800"/>
    <s v="MONTCHARMONT BAPTISTE"/>
    <n v="5"/>
    <x v="0"/>
    <x v="0"/>
    <s v="PLAQUETTES"/>
    <s v="356x26 RPI"/>
    <n v="18.399999999999999"/>
  </r>
  <r>
    <d v="2025-08-20T15:29:46"/>
    <x v="9"/>
    <s v="Plaquettes rhombiques"/>
    <s v="3224"/>
    <s v="BIDOT MURIEL"/>
    <n v="5"/>
    <x v="1"/>
    <x v="0"/>
    <s v="PLAQUETTES"/>
    <s v="304x28 RPE"/>
    <n v="18.399999999999999"/>
  </r>
  <r>
    <d v="2025-08-21T07:53:16"/>
    <x v="9"/>
    <s v="Plaquettes rhombiques"/>
    <s v="040725"/>
    <s v="BARGEOT LUCAS"/>
    <n v="5"/>
    <x v="0"/>
    <x v="0"/>
    <s v="PLAQUETTES"/>
    <s v="356x26 RPI"/>
    <n v="18.399999999999999"/>
  </r>
  <r>
    <d v="2025-08-21T13:51:09"/>
    <x v="9"/>
    <s v="Plaquettes rhombiques"/>
    <s v="3224"/>
    <s v="BIDOT MURIEL"/>
    <n v="5"/>
    <x v="1"/>
    <x v="0"/>
    <s v="PLAQUETTES"/>
    <s v="304x28 RPE"/>
    <n v="18.399999999999999"/>
  </r>
  <r>
    <d v="2025-08-22T07:56:09"/>
    <x v="9"/>
    <s v="Plaquettes rhombiques"/>
    <s v="U080365"/>
    <s v="ALAVOINE SAMUEL"/>
    <n v="5"/>
    <x v="0"/>
    <x v="0"/>
    <s v="PLAQUETTES"/>
    <s v="356x26 RPI"/>
    <n v="18.399999999999999"/>
  </r>
  <r>
    <d v="2025-08-23T05:52:01"/>
    <x v="9"/>
    <s v="Plaquettes rhombiques"/>
    <s v="DELIAT C"/>
    <s v="DELIAT CHRISTOPHE"/>
    <n v="5"/>
    <x v="1"/>
    <x v="0"/>
    <s v="PLAQUETTES"/>
    <s v="304x28 RPE"/>
    <n v="18.399999999999999"/>
  </r>
  <r>
    <d v="2025-08-23T11:20:05"/>
    <x v="9"/>
    <s v="Plaquettes rhombiques"/>
    <s v="U080365"/>
    <s v="ALAVOINE SAMUEL"/>
    <n v="5"/>
    <x v="0"/>
    <x v="0"/>
    <s v="PLAQUETTES"/>
    <s v="356x26 RPI"/>
    <n v="18.399999999999999"/>
  </r>
  <r>
    <d v="2025-08-25T13:28:59"/>
    <x v="9"/>
    <s v="Plaquettes rhombiques"/>
    <s v="040725"/>
    <s v="BARGEOT LUCAS"/>
    <n v="5"/>
    <x v="0"/>
    <x v="0"/>
    <s v="PLAQUETTES"/>
    <s v="356x26 RPI"/>
    <n v="18.399999999999999"/>
  </r>
  <r>
    <d v="2025-08-26T06:16:36"/>
    <x v="9"/>
    <s v="Plaquettes rhombiques"/>
    <s v="U505000"/>
    <s v="RECEVEUR BENOIT"/>
    <n v="5"/>
    <x v="0"/>
    <x v="0"/>
    <s v="PLAQUETTES"/>
    <s v="356x26 RPI"/>
    <n v="18.399999999999999"/>
  </r>
  <r>
    <d v="2025-08-26T06:27:15"/>
    <x v="9"/>
    <s v="Plaquettes rhombiques"/>
    <s v="101123"/>
    <s v="BRUNET ANDREA"/>
    <n v="5"/>
    <x v="1"/>
    <x v="0"/>
    <s v="PLAQUETTES"/>
    <s v="304x28 RPE"/>
    <n v="18.399999999999999"/>
  </r>
  <r>
    <d v="2025-08-27T05:08:05"/>
    <x v="9"/>
    <s v="Plaquettes rhombiques"/>
    <s v="101123"/>
    <s v="BRUNET ANDREA"/>
    <n v="5"/>
    <x v="1"/>
    <x v="0"/>
    <s v="PLAQUETTES"/>
    <s v="304x28 RPE"/>
    <n v="18.399999999999999"/>
  </r>
  <r>
    <d v="2025-08-27T13:07:44"/>
    <x v="9"/>
    <s v="Plaquettes rhombiques"/>
    <s v="040725"/>
    <s v="BARGEOT LUCAS"/>
    <n v="5"/>
    <x v="0"/>
    <x v="0"/>
    <s v="PLAQUETTES"/>
    <s v="356x26 RPI"/>
    <n v="18.399999999999999"/>
  </r>
  <r>
    <d v="2025-08-28T14:46:19"/>
    <x v="9"/>
    <s v="Plaquettes rhombiques"/>
    <s v="040725"/>
    <s v="BARGEOT LUCAS"/>
    <n v="5"/>
    <x v="0"/>
    <x v="0"/>
    <s v="PLAQUETTES"/>
    <s v="356x26 RPI"/>
    <n v="18.399999999999999"/>
  </r>
  <r>
    <d v="2025-08-29T04:35:45"/>
    <x v="9"/>
    <s v="Plaquettes rhombiques"/>
    <s v="j529800"/>
    <s v="MONTCHARMONT BAPTISTE"/>
    <n v="5"/>
    <x v="0"/>
    <x v="0"/>
    <s v="PLAQUETTES"/>
    <s v="356x26 RPI"/>
    <n v="18.399999999999999"/>
  </r>
  <r>
    <d v="2025-08-29T05:29:37"/>
    <x v="9"/>
    <s v="Plaquettes rhombiques"/>
    <s v="DELIAT C"/>
    <s v="DELIAT CHRISTOPHE"/>
    <n v="5"/>
    <x v="1"/>
    <x v="0"/>
    <s v="PLAQUETTES"/>
    <s v="304x28 RPE"/>
    <n v="18.399999999999999"/>
  </r>
  <r>
    <d v="2025-08-29T20:34:42"/>
    <x v="9"/>
    <s v="Plaquettes rhombiques"/>
    <s v="040725"/>
    <s v="BARGEOT LUCAS"/>
    <n v="5"/>
    <x v="0"/>
    <x v="0"/>
    <s v="PLAQUETTES"/>
    <s v="356x26 RPI"/>
    <n v="18.399999999999999"/>
  </r>
  <r>
    <d v="2025-08-30T11:27:48"/>
    <x v="9"/>
    <s v="Plaquettes rhombiques"/>
    <s v="U080365"/>
    <s v="ALAVOINE SAMUEL"/>
    <n v="5"/>
    <x v="0"/>
    <x v="0"/>
    <s v="PLAQUETTES"/>
    <s v="356x26 RPI"/>
    <n v="18.399999999999999"/>
  </r>
  <r>
    <d v="2025-09-01T05:37:35"/>
    <x v="9"/>
    <s v="Plaquettes rhombiques"/>
    <s v="SD75051"/>
    <s v="COMBALUZIER LUCAS"/>
    <n v="5"/>
    <x v="1"/>
    <x v="0"/>
    <s v="PLAQUETTES"/>
    <s v="304x28 RPE"/>
    <n v="18.399999999999999"/>
  </r>
  <r>
    <d v="2025-09-01T21:33:44"/>
    <x v="9"/>
    <s v="Plaquettes rhombiques"/>
    <s v="j529800"/>
    <s v="MONTCHARMONT BAPTISTE"/>
    <n v="5"/>
    <x v="0"/>
    <x v="0"/>
    <s v="PLAQUETTES"/>
    <s v="356x26 RPI"/>
    <n v="18.399999999999999"/>
  </r>
  <r>
    <d v="2025-09-02T06:22:16"/>
    <x v="9"/>
    <s v="Plaquettes rhombiques"/>
    <s v="SD75051"/>
    <s v="COMBALUZIER LUCAS"/>
    <n v="5"/>
    <x v="1"/>
    <x v="0"/>
    <s v="PLAQUETTES"/>
    <s v="304x28 RPE"/>
    <n v="18.399999999999999"/>
  </r>
  <r>
    <d v="2025-09-02T08:34:38"/>
    <x v="9"/>
    <s v="Plaquettes rhombiques"/>
    <s v="040725"/>
    <s v="BARGEOT LUCAS"/>
    <n v="5"/>
    <x v="0"/>
    <x v="0"/>
    <s v="PLAQUETTES"/>
    <s v="356x26 RPI"/>
    <n v="18.399999999999999"/>
  </r>
  <r>
    <d v="2025-09-03T02:42:36"/>
    <x v="9"/>
    <s v="Plaquettes rhombiques"/>
    <s v="j529800"/>
    <s v="MONTCHARMONT BAPTISTE"/>
    <n v="5"/>
    <x v="0"/>
    <x v="0"/>
    <s v="PLAQUETTES"/>
    <s v="356x26 RPI"/>
    <n v="18.399999999999999"/>
  </r>
  <r>
    <d v="2025-09-03T13:03:57"/>
    <x v="9"/>
    <s v="Plaquettes rhombiques"/>
    <s v="101123"/>
    <s v="BRUNET ANDREA"/>
    <n v="5"/>
    <x v="1"/>
    <x v="0"/>
    <s v="PLAQUETTES"/>
    <s v="304x28 RPE"/>
    <n v="18.399999999999999"/>
  </r>
  <r>
    <d v="2025-09-04T02:27:24"/>
    <x v="9"/>
    <s v="Plaquettes rhombiques"/>
    <s v="j529800"/>
    <s v="MONTCHARMONT BAPTISTE"/>
    <n v="5"/>
    <x v="0"/>
    <x v="0"/>
    <s v="PLAQUETTES"/>
    <s v="356x26 RPI"/>
    <n v="18.399999999999999"/>
  </r>
  <r>
    <d v="2025-09-05T01:53:49"/>
    <x v="9"/>
    <s v="Plaquettes rhombiques"/>
    <s v="j529800"/>
    <s v="MONTCHARMONT BAPTISTE"/>
    <n v="5"/>
    <x v="0"/>
    <x v="0"/>
    <s v="PLAQUETTES"/>
    <s v="356x26 RPI"/>
    <n v="18.399999999999999"/>
  </r>
  <r>
    <d v="2025-09-05T05:29:03"/>
    <x v="9"/>
    <s v="Plaquettes rhombiques"/>
    <s v="U551977"/>
    <s v="BASPINAR SELAHATTIN"/>
    <n v="5"/>
    <x v="1"/>
    <x v="0"/>
    <s v="PLAQUETTES"/>
    <s v="304x28 RPE"/>
    <n v="18.399999999999999"/>
  </r>
  <r>
    <d v="2025-09-05T20:35:18"/>
    <x v="9"/>
    <s v="Plaquettes rhombiques"/>
    <s v="101224"/>
    <s v="CHAZEAU KYLIAN"/>
    <n v="5"/>
    <x v="0"/>
    <x v="0"/>
    <s v="PLAQUETTES"/>
    <s v="356x26 RPI"/>
    <n v="18.399999999999999"/>
  </r>
  <r>
    <d v="2025-09-06T05:22:57"/>
    <x v="9"/>
    <s v="Plaquettes rhombiques"/>
    <s v="U080365"/>
    <s v="ALAVOINE SAMUEL"/>
    <n v="5"/>
    <x v="1"/>
    <x v="0"/>
    <s v="PLAQUETTES"/>
    <s v="304x28 RPE"/>
    <n v="18.399999999999999"/>
  </r>
  <r>
    <d v="2025-09-06T08:02:49"/>
    <x v="9"/>
    <s v="Plaquettes rhombiques"/>
    <s v="150725"/>
    <s v="ADOUL WASSIM"/>
    <n v="5"/>
    <x v="3"/>
    <x v="0"/>
    <s v="PLAQUETTES"/>
    <s v="330x28 RPE KO"/>
    <n v="18.399999999999999"/>
  </r>
  <r>
    <d v="2025-09-07T20:04:02"/>
    <x v="9"/>
    <s v="Plaquettes rhombiques"/>
    <s v="150725"/>
    <s v="ADOUL WASSIM"/>
    <n v="5"/>
    <x v="0"/>
    <x v="0"/>
    <s v="PLAQUETTES"/>
    <s v="356x26 RPI"/>
    <n v="18.399999999999999"/>
  </r>
  <r>
    <d v="2025-09-08T14:12:44"/>
    <x v="9"/>
    <s v="Plaquettes rhombiques"/>
    <s v="SD75051"/>
    <s v="COMBALUZIER LUCAS"/>
    <n v="5"/>
    <x v="1"/>
    <x v="0"/>
    <s v="PLAQUETTES"/>
    <s v="304x28 RPE"/>
    <n v="18.399999999999999"/>
  </r>
  <r>
    <d v="2025-09-08T14:14:42"/>
    <x v="9"/>
    <s v="Plaquettes rhombiques"/>
    <s v="040725"/>
    <s v="BARGEOT LUCAS"/>
    <n v="5"/>
    <x v="3"/>
    <x v="0"/>
    <s v="PLAQUETTES"/>
    <s v="330x28 RPE KO"/>
    <n v="18.399999999999999"/>
  </r>
  <r>
    <d v="2025-09-08T14:15:11"/>
    <x v="9"/>
    <s v="Plaquettes rhombiques"/>
    <s v="040725"/>
    <s v="BARGEOT LUCAS"/>
    <n v="5"/>
    <x v="0"/>
    <x v="0"/>
    <s v="PLAQUETTES"/>
    <s v="356x26 RPI"/>
    <n v="18.399999999999999"/>
  </r>
  <r>
    <d v="2025-09-09T13:34:26"/>
    <x v="9"/>
    <s v="Plaquettes rhombiques"/>
    <s v="SD75051"/>
    <s v="COMBALUZIER LUCAS"/>
    <n v="5"/>
    <x v="1"/>
    <x v="0"/>
    <s v="PLAQUETTES"/>
    <s v="304x28 RPE"/>
    <n v="18.399999999999999"/>
  </r>
  <r>
    <d v="2025-09-09T23:34:12"/>
    <x v="9"/>
    <s v="Plaquettes rhombiques"/>
    <s v="j529800"/>
    <s v="MONTCHARMONT BAPTISTE"/>
    <n v="5"/>
    <x v="0"/>
    <x v="0"/>
    <s v="PLAQUETTES"/>
    <s v="356x26 RPI"/>
    <n v="18.399999999999999"/>
  </r>
  <r>
    <d v="2025-09-11T01:35:57"/>
    <x v="9"/>
    <s v="Plaquettes rhombiques"/>
    <s v="j529800"/>
    <s v="MONTCHARMONT BAPTISTE"/>
    <n v="5"/>
    <x v="0"/>
    <x v="0"/>
    <s v="PLAQUETTES"/>
    <s v="356x26 RPI"/>
    <n v="18.399999999999999"/>
  </r>
  <r>
    <d v="2025-09-11T15:58:14"/>
    <x v="9"/>
    <s v="Plaquettes rhombiques"/>
    <s v="040725"/>
    <s v="BARGEOT LUCAS"/>
    <n v="5"/>
    <x v="0"/>
    <x v="0"/>
    <s v="PLAQUETTES"/>
    <s v="356x26 RPI"/>
    <n v="18.399999999999999"/>
  </r>
  <r>
    <d v="2025-09-12T14:06:34"/>
    <x v="9"/>
    <s v="Plaquettes rhombiques"/>
    <s v="SD75051"/>
    <s v="COMBALUZIER LUCAS"/>
    <n v="5"/>
    <x v="1"/>
    <x v="0"/>
    <s v="PLAQUETTES"/>
    <s v="304x28 RPE"/>
    <n v="18.399999999999999"/>
  </r>
  <r>
    <d v="2025-09-12T14:44:48"/>
    <x v="9"/>
    <s v="Plaquettes rhombiques"/>
    <s v="040725"/>
    <s v="BARGEOT LUCAS"/>
    <n v="5"/>
    <x v="0"/>
    <x v="0"/>
    <s v="PLAQUETTES"/>
    <s v="356x26 RPI"/>
    <n v="18.399999999999999"/>
  </r>
  <r>
    <d v="2025-09-15T05:11:05"/>
    <x v="9"/>
    <s v="Plaquettes rhombiques"/>
    <s v="SD75051"/>
    <s v="COMBALUZIER LUCAS"/>
    <n v="5"/>
    <x v="1"/>
    <x v="0"/>
    <s v="PLAQUETTES"/>
    <s v="304x28 RPE"/>
    <n v="18.399999999999999"/>
  </r>
  <r>
    <d v="2025-09-15T05:14:48"/>
    <x v="9"/>
    <s v="Plaquettes rhombiques"/>
    <s v="SD75051"/>
    <s v="COMBALUZIER LUCAS"/>
    <n v="5"/>
    <x v="1"/>
    <x v="0"/>
    <s v="PLAQUETTES"/>
    <s v="304x28 RPE"/>
    <n v="18.399999999999999"/>
  </r>
  <r>
    <d v="2025-09-15T06:21:10"/>
    <x v="9"/>
    <s v="Plaquettes rhombiques"/>
    <s v="040725"/>
    <s v="BARGEOT LUCAS"/>
    <n v="5"/>
    <x v="0"/>
    <x v="0"/>
    <s v="PLAQUETTES"/>
    <s v="356x26 RPI"/>
    <n v="18.399999999999999"/>
  </r>
  <r>
    <d v="2025-09-15T21:19:20"/>
    <x v="9"/>
    <s v="Plaquettes rhombiques"/>
    <s v="j529800"/>
    <s v="MONTCHARMONT BAPTISTE"/>
    <n v="5"/>
    <x v="0"/>
    <x v="0"/>
    <s v="PLAQUETTES"/>
    <s v="356x26 RPI"/>
    <n v="18.399999999999999"/>
  </r>
  <r>
    <d v="2025-09-16T17:49:11"/>
    <x v="9"/>
    <s v="Plaquettes rhombiques"/>
    <s v="101224"/>
    <s v="CHAZEAU KYLIAN"/>
    <n v="5"/>
    <x v="0"/>
    <x v="0"/>
    <s v="PLAQUETTES"/>
    <s v="356x26 RPI"/>
    <n v="18.399999999999999"/>
  </r>
  <r>
    <d v="2025-09-17T13:59:31"/>
    <x v="9"/>
    <s v="Plaquettes rhombiques"/>
    <s v="101123"/>
    <s v="BRUNET ANDREA"/>
    <n v="5"/>
    <x v="1"/>
    <x v="0"/>
    <s v="PLAQUETTES"/>
    <s v="304x28 RPE"/>
    <n v="18.399999999999999"/>
  </r>
  <r>
    <d v="2025-09-17T21:23:53"/>
    <x v="9"/>
    <s v="Plaquettes rhombiques"/>
    <s v="j529800"/>
    <s v="MONTCHARMONT BAPTISTE"/>
    <n v="5"/>
    <x v="0"/>
    <x v="0"/>
    <s v="PLAQUETTES"/>
    <s v="356x26 RPI"/>
    <n v="18.399999999999999"/>
  </r>
  <r>
    <d v="2025-09-18T16:39:56"/>
    <x v="9"/>
    <s v="Plaquettes rhombiques"/>
    <s v="101224"/>
    <s v="CHAZEAU KYLIAN"/>
    <n v="5"/>
    <x v="0"/>
    <x v="0"/>
    <s v="PLAQUETTES"/>
    <s v="356x26 RPI"/>
    <n v="18.399999999999999"/>
  </r>
  <r>
    <d v="2025-09-19T13:01:45"/>
    <x v="9"/>
    <s v="Plaquettes rhombiques"/>
    <s v="101123"/>
    <s v="BRUNET ANDREA"/>
    <n v="5"/>
    <x v="1"/>
    <x v="0"/>
    <s v="PLAQUETTES"/>
    <s v="304x28 RPE"/>
    <n v="18.399999999999999"/>
  </r>
  <r>
    <d v="2025-09-19T14:02:18"/>
    <x v="9"/>
    <s v="Plaquettes rhombiques"/>
    <s v="101224"/>
    <s v="CHAZEAU KYLIAN"/>
    <n v="5"/>
    <x v="0"/>
    <x v="0"/>
    <s v="PLAQUETTES"/>
    <s v="356x26 RPI"/>
    <n v="18.399999999999999"/>
  </r>
  <r>
    <d v="2025-09-21T18:54:30"/>
    <x v="9"/>
    <s v="Plaquettes rhombiques"/>
    <s v="U109136"/>
    <s v="WIPLIE FREDERIC"/>
    <n v="5"/>
    <x v="1"/>
    <x v="0"/>
    <s v="PLAQUETTES"/>
    <s v="304x28 RPE"/>
    <n v="18.399999999999999"/>
  </r>
  <r>
    <d v="2025-09-21T20:13:15"/>
    <x v="9"/>
    <s v="Plaquettes rhombiques"/>
    <s v="150725"/>
    <s v="ADOUL WASSIM"/>
    <n v="5"/>
    <x v="0"/>
    <x v="0"/>
    <s v="PLAQUETTES"/>
    <s v="356x26 RPI"/>
    <n v="18.399999999999999"/>
  </r>
  <r>
    <d v="2025-09-22T05:31:34"/>
    <x v="9"/>
    <s v="Plaquettes rhombiques"/>
    <s v="U505000"/>
    <s v="RECEVEUR BENOIT"/>
    <n v="5"/>
    <x v="0"/>
    <x v="0"/>
    <s v="PLAQUETTES"/>
    <s v="356x26 RPI"/>
    <n v="18.399999999999999"/>
  </r>
  <r>
    <d v="2025-09-22T13:20:47"/>
    <x v="9"/>
    <s v="Plaquettes rhombiques"/>
    <s v="SD75051"/>
    <s v="COMBALUZIER LUCAS"/>
    <n v="5"/>
    <x v="1"/>
    <x v="0"/>
    <s v="PLAQUETTES"/>
    <s v="304x28 RPE"/>
    <n v="18.399999999999999"/>
  </r>
  <r>
    <d v="2025-09-23T05:03:52"/>
    <x v="9"/>
    <s v="Plaquettes rhombiques"/>
    <s v="101224"/>
    <s v="CHAZEAU KYLIAN"/>
    <n v="5"/>
    <x v="0"/>
    <x v="0"/>
    <s v="PLAQUETTES"/>
    <s v="356x26 RPI"/>
    <n v="18.399999999999999"/>
  </r>
  <r>
    <d v="2025-09-24T13:35:18"/>
    <x v="9"/>
    <s v="Plaquettes rhombiques"/>
    <s v="SD75051"/>
    <s v="COMBALUZIER LUCAS"/>
    <n v="5"/>
    <x v="1"/>
    <x v="0"/>
    <s v="PLAQUETTES"/>
    <s v="304x28 RPE"/>
    <n v="18.399999999999999"/>
  </r>
  <r>
    <d v="2025-09-24T14:21:47"/>
    <x v="9"/>
    <s v="Plaquettes rhombiques"/>
    <s v="SD75051"/>
    <s v="COMBALUZIER LUCAS"/>
    <n v="5"/>
    <x v="0"/>
    <x v="0"/>
    <s v="PLAQUETTES"/>
    <s v="356x26 RPI"/>
    <n v="18.399999999999999"/>
  </r>
  <r>
    <d v="2025-09-24T17:11:22"/>
    <x v="9"/>
    <s v="Plaquettes rhombiques"/>
    <s v="SD75051"/>
    <s v="COMBALUZIER LUCAS"/>
    <n v="5"/>
    <x v="3"/>
    <x v="0"/>
    <s v="PLAQUETTES"/>
    <s v="330x28 RPE KO"/>
    <n v="18.399999999999999"/>
  </r>
  <r>
    <d v="2025-09-25T10:02:00"/>
    <x v="9"/>
    <s v="Plaquettes rhombiques"/>
    <s v="101224"/>
    <s v="CHAZEAU KYLIAN"/>
    <n v="5"/>
    <x v="0"/>
    <x v="0"/>
    <s v="PLAQUETTES"/>
    <s v="356x26 RPI"/>
    <n v="18.399999999999999"/>
  </r>
  <r>
    <d v="2025-09-26T10:32:37"/>
    <x v="9"/>
    <s v="Plaquettes rhombiques"/>
    <s v="150725"/>
    <s v="ADOUL WASSIM"/>
    <n v="5"/>
    <x v="1"/>
    <x v="0"/>
    <s v="PLAQUETTES"/>
    <s v="304x28 RPE"/>
    <n v="18.399999999999999"/>
  </r>
  <r>
    <d v="2025-09-26T13:09:01"/>
    <x v="9"/>
    <s v="Plaquettes rhombiques"/>
    <s v="040725"/>
    <s v="BARGEOT LUCAS"/>
    <n v="5"/>
    <x v="0"/>
    <x v="0"/>
    <s v="PLAQUETTES"/>
    <s v="356x26 RPI"/>
    <n v="18.399999999999999"/>
  </r>
  <r>
    <d v="2025-09-26T13:09:41"/>
    <x v="9"/>
    <s v="Plaquettes rhombiques"/>
    <s v="040725"/>
    <s v="BARGEOT LUCAS"/>
    <n v="5"/>
    <x v="3"/>
    <x v="0"/>
    <s v="PLAQUETTES"/>
    <s v="330x28 RPE KO"/>
    <n v="18.399999999999999"/>
  </r>
  <r>
    <d v="2025-09-26T13:36:37"/>
    <x v="9"/>
    <s v="Plaquettes rhombiques"/>
    <s v="SD75051"/>
    <s v="COMBALUZIER LUCAS"/>
    <n v="5"/>
    <x v="1"/>
    <x v="0"/>
    <s v="PLAQUETTES"/>
    <s v="304x28 RPE"/>
    <n v="18.399999999999999"/>
  </r>
  <r>
    <d v="2025-09-29T21:24:20"/>
    <x v="9"/>
    <s v="Plaquettes rhombiques"/>
    <s v="j529800"/>
    <s v="MONTCHARMONT BAPTISTE"/>
    <n v="5"/>
    <x v="0"/>
    <x v="0"/>
    <s v="PLAQUETTES"/>
    <s v="356x26 RPI"/>
    <n v="18.399999999999999"/>
  </r>
  <r>
    <d v="2025-01-10T13:59:37"/>
    <x v="10"/>
    <s v="Plaquettes rondes"/>
    <s v="SE08251"/>
    <s v="FAYET AYMERIC"/>
    <n v="10"/>
    <x v="0"/>
    <x v="3"/>
    <s v="PLAQUETTES"/>
    <s v="330x14"/>
    <n v="136.69999999999999"/>
  </r>
  <r>
    <d v="2025-01-11T04:40:45"/>
    <x v="11"/>
    <s v="Plaquettes rondes"/>
    <s v="u636817"/>
    <s v="MOCQUEREAU LYDIE"/>
    <n v="10"/>
    <x v="2"/>
    <x v="4"/>
    <s v="PLAQUETTES"/>
    <s v="302x26 RPI"/>
    <n v="108.5"/>
  </r>
  <r>
    <d v="2025-01-13T14:24:33"/>
    <x v="10"/>
    <s v="Plaquettes rondes"/>
    <s v="12824586"/>
    <s v="DA SILVA FERNANDO"/>
    <n v="10"/>
    <x v="0"/>
    <x v="3"/>
    <s v="PLAQUETTES"/>
    <s v="TOUT DISQUES"/>
    <n v="136.69999999999999"/>
  </r>
  <r>
    <d v="2025-01-14T21:09:55"/>
    <x v="10"/>
    <s v="Plaquettes rondes"/>
    <s v="130124"/>
    <s v="MOHAMED ILDIRAY"/>
    <n v="10"/>
    <x v="1"/>
    <x v="3"/>
    <s v="PLAQUETTES"/>
    <s v="304x28 RPE"/>
    <n v="136.69999999999999"/>
  </r>
  <r>
    <d v="2025-01-14T21:10:21"/>
    <x v="11"/>
    <s v="Plaquettes rondes"/>
    <s v="130124"/>
    <s v="MOHAMED ILDIRAY"/>
    <n v="20"/>
    <x v="1"/>
    <x v="3"/>
    <s v="PLAQUETTES"/>
    <s v="304x28 RPE"/>
    <n v="217"/>
  </r>
  <r>
    <d v="2025-01-14T21:39:55"/>
    <x v="10"/>
    <s v="Plaquettes rondes"/>
    <s v="101224"/>
    <s v="CHAZEAU KYLIAN"/>
    <n v="20"/>
    <x v="0"/>
    <x v="3"/>
    <s v="PLAQUETTES"/>
    <s v="330x14"/>
    <n v="273.39999999999998"/>
  </r>
  <r>
    <d v="2025-01-15T21:16:18"/>
    <x v="11"/>
    <s v="Plaquettes rondes"/>
    <s v="101123"/>
    <s v="BRUNET ANDREA"/>
    <n v="10"/>
    <x v="2"/>
    <x v="4"/>
    <s v="PLAQUETTES"/>
    <s v="302x26 RPI"/>
    <n v="108.5"/>
  </r>
  <r>
    <d v="2025-01-17T21:24:07"/>
    <x v="11"/>
    <s v="Plaquettes rondes"/>
    <s v="130124"/>
    <s v="MOHAMED ILDIRAY"/>
    <n v="10"/>
    <x v="1"/>
    <x v="3"/>
    <s v="PLAQUETTES"/>
    <s v="304x28 RPE"/>
    <n v="108.5"/>
  </r>
  <r>
    <d v="2025-01-17T21:24:31"/>
    <x v="10"/>
    <s v="Plaquettes rondes"/>
    <s v="130124"/>
    <s v="MOHAMED ILDIRAY"/>
    <n v="10"/>
    <x v="1"/>
    <x v="3"/>
    <s v="PLAQUETTES"/>
    <s v="304x28 RPE"/>
    <n v="136.69999999999999"/>
  </r>
  <r>
    <d v="2025-01-20T05:12:31"/>
    <x v="11"/>
    <s v="Plaquettes rondes"/>
    <s v="SD75051"/>
    <s v="COMBALUZIER LUCAS"/>
    <n v="10"/>
    <x v="1"/>
    <x v="3"/>
    <s v="PLAQUETTES"/>
    <s v="304x28 RPE"/>
    <n v="108.5"/>
  </r>
  <r>
    <d v="2025-01-21T05:11:37"/>
    <x v="10"/>
    <s v="Plaquettes rondes"/>
    <s v="SD75051"/>
    <s v="COMBALUZIER LUCAS"/>
    <n v="10"/>
    <x v="1"/>
    <x v="3"/>
    <s v="PLAQUETTES"/>
    <s v="304x28 RPE"/>
    <n v="136.69999999999999"/>
  </r>
  <r>
    <d v="2025-01-23T05:10:04"/>
    <x v="11"/>
    <s v="Plaquettes rondes"/>
    <s v="SD75051"/>
    <s v="COMBALUZIER LUCAS"/>
    <n v="10"/>
    <x v="1"/>
    <x v="3"/>
    <s v="PLAQUETTES"/>
    <s v="304x28 RPE"/>
    <n v="108.5"/>
  </r>
  <r>
    <d v="2025-01-23T06:40:21"/>
    <x v="11"/>
    <s v="Plaquettes rondes"/>
    <s v="u636817"/>
    <s v="MOCQUEREAU LYDIE"/>
    <n v="20"/>
    <x v="2"/>
    <x v="4"/>
    <s v="PLAQUETTES"/>
    <s v="302x26 RPI"/>
    <n v="217"/>
  </r>
  <r>
    <d v="2025-01-27T02:15:52"/>
    <x v="10"/>
    <s v="Plaquettes rondes"/>
    <s v="U515988"/>
    <s v="BLAHA"/>
    <n v="10"/>
    <x v="1"/>
    <x v="3"/>
    <s v="PLAQUETTES"/>
    <s v="356x26 RPI"/>
    <n v="136.69999999999999"/>
  </r>
  <r>
    <d v="2025-01-29T05:16:46"/>
    <x v="11"/>
    <s v="Plaquettes rondes"/>
    <s v="101123"/>
    <s v="BRUNET ANDREA"/>
    <n v="10"/>
    <x v="2"/>
    <x v="4"/>
    <s v="PLAQUETTES"/>
    <s v="302x26 RPI"/>
    <n v="108.5"/>
  </r>
  <r>
    <d v="2025-01-29T06:38:02"/>
    <x v="10"/>
    <s v="Plaquettes rondes"/>
    <s v="130124"/>
    <s v="MOHAMED ILDIRAY"/>
    <n v="10"/>
    <x v="1"/>
    <x v="3"/>
    <s v="PLAQUETTES"/>
    <s v="356x26 RPI"/>
    <n v="136.69999999999999"/>
  </r>
  <r>
    <d v="2025-01-29T13:11:59"/>
    <x v="11"/>
    <s v="Plaquettes rondes"/>
    <s v="11737592"/>
    <s v="BLOCQUET DAVID"/>
    <n v="10"/>
    <x v="2"/>
    <x v="4"/>
    <s v="PLAQUETTES"/>
    <s v="302x26 RPI"/>
    <n v="108.5"/>
  </r>
  <r>
    <d v="2025-01-30T18:54:27"/>
    <x v="10"/>
    <s v="Plaquettes rondes"/>
    <s v="SE08251"/>
    <s v="FAYET AYMERIC"/>
    <n v="10"/>
    <x v="0"/>
    <x v="3"/>
    <s v="PLAQUETTES"/>
    <s v="330x14"/>
    <n v="136.69999999999999"/>
  </r>
  <r>
    <d v="2025-01-30T20:52:45"/>
    <x v="11"/>
    <s v="Plaquettes rondes"/>
    <s v="u636817"/>
    <s v="MOCQUEREAU LYDIE"/>
    <n v="20"/>
    <x v="2"/>
    <x v="4"/>
    <s v="PLAQUETTES"/>
    <s v="302x26 RPI"/>
    <n v="217"/>
  </r>
  <r>
    <d v="2025-01-31T13:54:14"/>
    <x v="10"/>
    <s v="Plaquettes rondes"/>
    <s v="3224"/>
    <s v="BIDOT MURIEL"/>
    <n v="10"/>
    <x v="1"/>
    <x v="3"/>
    <s v="PLAQUETTES"/>
    <s v="356x26 RPI"/>
    <n v="136.69999999999999"/>
  </r>
  <r>
    <d v="2025-01-31T14:25:44"/>
    <x v="10"/>
    <s v="Plaquettes rondes"/>
    <s v="SE08251"/>
    <s v="FAYET AYMERIC"/>
    <n v="10"/>
    <x v="0"/>
    <x v="3"/>
    <s v="PLAQUETTES"/>
    <s v="330x14"/>
    <n v="136.69999999999999"/>
  </r>
  <r>
    <d v="2025-02-02T19:11:05"/>
    <x v="10"/>
    <s v="Plaquettes rondes"/>
    <s v="U080365"/>
    <s v="ALAVOINE SAMUEL"/>
    <n v="10"/>
    <x v="0"/>
    <x v="3"/>
    <s v="PLAQUETTES"/>
    <s v="330x14"/>
    <n v="136.69999999999999"/>
  </r>
  <r>
    <d v="2025-02-03T14:29:19"/>
    <x v="10"/>
    <s v="Plaquettes rondes"/>
    <s v="12824586"/>
    <s v="DA SILVA FERNANDO"/>
    <n v="10"/>
    <x v="0"/>
    <x v="3"/>
    <s v="PLAQUETTES"/>
    <s v="TOUT DISQUES"/>
    <n v="136.69999999999999"/>
  </r>
  <r>
    <d v="2025-02-04T03:21:56"/>
    <x v="10"/>
    <s v="Plaquettes rondes"/>
    <s v="130124"/>
    <s v="MOHAMED ILDIRAY"/>
    <n v="10"/>
    <x v="1"/>
    <x v="3"/>
    <s v="PLAQUETTES"/>
    <s v="356x26 RPI"/>
    <n v="136.69999999999999"/>
  </r>
  <r>
    <d v="2025-02-04T13:31:30"/>
    <x v="10"/>
    <s v="Plaquettes rondes"/>
    <s v="SD75051"/>
    <s v="COMBALUZIER LUCAS"/>
    <n v="10"/>
    <x v="0"/>
    <x v="3"/>
    <s v="PLAQUETTES"/>
    <s v="330x14"/>
    <n v="136.69999999999999"/>
  </r>
  <r>
    <d v="2025-02-05T07:50:22"/>
    <x v="10"/>
    <s v="Plaquettes rondes"/>
    <s v="SE08251"/>
    <s v="FAYET AYMERIC"/>
    <n v="10"/>
    <x v="0"/>
    <x v="3"/>
    <s v="PLAQUETTES"/>
    <s v="330x14"/>
    <n v="136.69999999999999"/>
  </r>
  <r>
    <d v="2025-02-06T01:43:21"/>
    <x v="10"/>
    <s v="Plaquettes rondes"/>
    <s v="130124"/>
    <s v="MOHAMED ILDIRAY"/>
    <n v="10"/>
    <x v="1"/>
    <x v="3"/>
    <s v="PLAQUETTES"/>
    <s v="356x26 RPI"/>
    <n v="136.69999999999999"/>
  </r>
  <r>
    <d v="2025-02-07T13:39:50"/>
    <x v="10"/>
    <s v="Plaquettes rondes"/>
    <s v="SD75051"/>
    <s v="COMBALUZIER LUCAS"/>
    <n v="10"/>
    <x v="1"/>
    <x v="3"/>
    <s v="PLAQUETTES"/>
    <s v="356x26 RPI"/>
    <n v="136.69999999999999"/>
  </r>
  <r>
    <d v="2025-02-10T18:28:41"/>
    <x v="10"/>
    <s v="Plaquettes rondes"/>
    <s v="130124"/>
    <s v="MOHAMED ILDIRAY"/>
    <n v="10"/>
    <x v="1"/>
    <x v="3"/>
    <s v="PLAQUETTES"/>
    <s v="356x26 RPI"/>
    <n v="136.69999999999999"/>
  </r>
  <r>
    <d v="2025-02-11T06:26:37"/>
    <x v="11"/>
    <s v="Plaquettes rondes"/>
    <s v="140325"/>
    <s v="BOUCLIER JONATHAN"/>
    <n v="10"/>
    <x v="2"/>
    <x v="4"/>
    <s v="PLAQUETTES"/>
    <s v="302x26 RPI"/>
    <n v="108.5"/>
  </r>
  <r>
    <d v="2025-02-11T21:22:16"/>
    <x v="10"/>
    <s v="Plaquettes rondes"/>
    <s v="SE08251"/>
    <s v="FAYET AYMERIC"/>
    <n v="10"/>
    <x v="0"/>
    <x v="3"/>
    <s v="PLAQUETTES"/>
    <s v="330x14"/>
    <n v="136.69999999999999"/>
  </r>
  <r>
    <d v="2025-02-13T08:35:27"/>
    <x v="10"/>
    <s v="Plaquettes rondes"/>
    <s v="SD75051"/>
    <s v="COMBALUZIER LUCAS"/>
    <n v="10"/>
    <x v="1"/>
    <x v="3"/>
    <s v="PLAQUETTES"/>
    <s v="356x26 RPI"/>
    <n v="136.69999999999999"/>
  </r>
  <r>
    <d v="2025-02-13T08:40:30"/>
    <x v="10"/>
    <s v="Plaquettes rondes"/>
    <s v="7236310"/>
    <s v="BRANDALY JEREMY"/>
    <n v="10"/>
    <x v="0"/>
    <x v="3"/>
    <s v="PLAQUETTES"/>
    <s v="330x14"/>
    <n v="136.69999999999999"/>
  </r>
  <r>
    <d v="2025-02-13T22:30:15"/>
    <x v="10"/>
    <s v="Plaquettes rondes"/>
    <s v="SE08251"/>
    <s v="FAYET AYMERIC"/>
    <n v="10"/>
    <x v="0"/>
    <x v="3"/>
    <s v="PLAQUETTES"/>
    <s v="330x14"/>
    <n v="136.69999999999999"/>
  </r>
  <r>
    <d v="2025-02-14T13:07:01"/>
    <x v="11"/>
    <s v="Plaquettes rondes"/>
    <s v="130124"/>
    <s v="MOHAMED ILDIRAY"/>
    <n v="10"/>
    <x v="1"/>
    <x v="3"/>
    <s v="PLAQUETTES"/>
    <s v="304x28 RPE"/>
    <n v="108.5"/>
  </r>
  <r>
    <d v="2025-02-14T19:42:22"/>
    <x v="11"/>
    <s v="Plaquettes rondes"/>
    <s v="101123"/>
    <s v="BRUNET ANDREA"/>
    <n v="10"/>
    <x v="2"/>
    <x v="4"/>
    <s v="PLAQUETTES"/>
    <s v="302x26 RPI"/>
    <n v="108.5"/>
  </r>
  <r>
    <d v="2025-02-15T05:34:59"/>
    <x v="10"/>
    <s v="Plaquettes rondes"/>
    <s v="U080365"/>
    <s v="ALAVOINE SAMUEL"/>
    <n v="10"/>
    <x v="0"/>
    <x v="3"/>
    <s v="PLAQUETTES"/>
    <s v="330x14"/>
    <n v="136.69999999999999"/>
  </r>
  <r>
    <d v="2025-02-17T05:13:56"/>
    <x v="10"/>
    <s v="Plaquettes rondes"/>
    <s v="130124"/>
    <s v="MOHAMED ILDIRAY"/>
    <n v="10"/>
    <x v="1"/>
    <x v="3"/>
    <s v="PLAQUETTES"/>
    <s v="304x28 RPE"/>
    <n v="136.69999999999999"/>
  </r>
  <r>
    <d v="2025-02-17T09:53:46"/>
    <x v="10"/>
    <s v="Plaquettes rondes"/>
    <s v="101224"/>
    <s v="CHAZEAU KYLIAN"/>
    <n v="10"/>
    <x v="0"/>
    <x v="3"/>
    <s v="PLAQUETTES"/>
    <s v="330x14"/>
    <n v="136.69999999999999"/>
  </r>
  <r>
    <d v="2025-02-17T21:15:22"/>
    <x v="11"/>
    <s v="Plaquettes rondes"/>
    <s v="SD75051"/>
    <s v="COMBALUZIER LUCAS"/>
    <n v="10"/>
    <x v="1"/>
    <x v="3"/>
    <s v="PLAQUETTES"/>
    <s v="304x28 RPE"/>
    <n v="108.5"/>
  </r>
  <r>
    <d v="2025-02-18T01:42:06"/>
    <x v="10"/>
    <s v="Plaquettes rondes"/>
    <s v="7236310"/>
    <s v="BRANDALY JEREMY"/>
    <n v="10"/>
    <x v="0"/>
    <x v="3"/>
    <s v="PLAQUETTES"/>
    <s v="330x14"/>
    <n v="136.69999999999999"/>
  </r>
  <r>
    <d v="2025-02-18T02:54:12"/>
    <x v="11"/>
    <s v="Plaquettes rondes"/>
    <s v="140325"/>
    <s v="BOUCLIER JONATHAN"/>
    <n v="10"/>
    <x v="2"/>
    <x v="4"/>
    <s v="PLAQUETTES"/>
    <s v="302x26 RPI"/>
    <n v="108.5"/>
  </r>
  <r>
    <d v="2025-02-18T14:20:40"/>
    <x v="10"/>
    <s v="Plaquettes rondes"/>
    <s v="3224"/>
    <s v="BIDOT MURIEL"/>
    <n v="10"/>
    <x v="1"/>
    <x v="3"/>
    <s v="PLAQUETTES"/>
    <s v="304x28 RPE"/>
    <n v="136.69999999999999"/>
  </r>
  <r>
    <d v="2025-02-19T07:28:27"/>
    <x v="10"/>
    <s v="Plaquettes rondes"/>
    <s v="101224"/>
    <s v="CHAZEAU KYLIAN"/>
    <n v="10"/>
    <x v="0"/>
    <x v="3"/>
    <s v="PLAQUETTES"/>
    <s v="330x14"/>
    <n v="136.69999999999999"/>
  </r>
  <r>
    <d v="2025-02-19T21:56:46"/>
    <x v="10"/>
    <s v="Plaquettes rondes"/>
    <s v="7236310"/>
    <s v="BRANDALY JEREMY"/>
    <n v="10"/>
    <x v="0"/>
    <x v="3"/>
    <s v="PLAQUETTES"/>
    <s v="330x14"/>
    <n v="136.69999999999999"/>
  </r>
  <r>
    <d v="2025-02-20T05:23:12"/>
    <x v="10"/>
    <s v="Plaquettes rondes"/>
    <s v="130124"/>
    <s v="MOHAMED ILDIRAY"/>
    <n v="10"/>
    <x v="1"/>
    <x v="3"/>
    <s v="PLAQUETTES"/>
    <s v="304x28 RPE"/>
    <n v="136.69999999999999"/>
  </r>
  <r>
    <d v="2025-02-20T13:37:29"/>
    <x v="11"/>
    <s v="Plaquettes rondes"/>
    <s v="11737592"/>
    <s v="BLOCQUET DAVID"/>
    <n v="10"/>
    <x v="2"/>
    <x v="4"/>
    <s v="PLAQUETTES"/>
    <s v="302x26 RPI"/>
    <n v="108.5"/>
  </r>
  <r>
    <d v="2025-02-20T21:48:25"/>
    <x v="11"/>
    <s v="Plaquettes rondes"/>
    <s v="SD75051"/>
    <s v="COMBALUZIER LUCAS"/>
    <n v="10"/>
    <x v="1"/>
    <x v="3"/>
    <s v="PLAQUETTES"/>
    <s v="304x28 RPE"/>
    <n v="108.5"/>
  </r>
  <r>
    <d v="2025-02-21T12:07:09"/>
    <x v="10"/>
    <s v="Plaquettes rondes"/>
    <s v="1234"/>
    <s v=" "/>
    <n v="10"/>
    <x v="0"/>
    <x v="3"/>
    <s v="PLAQUETTES"/>
    <s v="330x14"/>
    <n v="136.69999999999999"/>
  </r>
  <r>
    <d v="2025-02-21T13:16:05"/>
    <x v="10"/>
    <s v="Plaquettes rondes"/>
    <s v="130124"/>
    <s v="MOHAMED ILDIRAY"/>
    <n v="10"/>
    <x v="1"/>
    <x v="3"/>
    <s v="PLAQUETTES"/>
    <s v="304x28 RPE"/>
    <n v="136.69999999999999"/>
  </r>
  <r>
    <d v="2025-02-22T05:24:54"/>
    <x v="10"/>
    <s v="Plaquettes rondes"/>
    <s v="U109136"/>
    <s v="WIPLIE FREDERIC"/>
    <n v="10"/>
    <x v="0"/>
    <x v="3"/>
    <s v="PLAQUETTES"/>
    <s v="330x14"/>
    <n v="136.69999999999999"/>
  </r>
  <r>
    <d v="2025-02-22T06:41:00"/>
    <x v="10"/>
    <s v="Plaquettes rondes"/>
    <s v="U080365"/>
    <s v="ALAVOINE SAMUEL"/>
    <n v="10"/>
    <x v="1"/>
    <x v="3"/>
    <s v="PLAQUETTES"/>
    <s v="304x28 RPE"/>
    <n v="136.69999999999999"/>
  </r>
  <r>
    <d v="2025-02-24T10:34:19"/>
    <x v="10"/>
    <s v="Plaquettes rondes"/>
    <s v="280225"/>
    <s v="FERNANDES DOS SANTOS REMY"/>
    <n v="10"/>
    <x v="0"/>
    <x v="3"/>
    <s v="PLAQUETTES"/>
    <s v="330x14"/>
    <n v="136.69999999999999"/>
  </r>
  <r>
    <d v="2025-02-24T21:07:38"/>
    <x v="11"/>
    <s v="Plaquettes rondes"/>
    <s v="130124"/>
    <s v="MOHAMED ILDIRAY"/>
    <n v="10"/>
    <x v="1"/>
    <x v="3"/>
    <s v="PLAQUETTES"/>
    <s v="304x28 RPE"/>
    <n v="108.5"/>
  </r>
  <r>
    <d v="2025-02-25T04:38:00"/>
    <x v="10"/>
    <s v="Plaquettes rondes"/>
    <s v="101224"/>
    <s v="CHAZEAU KYLIAN"/>
    <n v="10"/>
    <x v="0"/>
    <x v="3"/>
    <s v="PLAQUETTES"/>
    <s v="330x14"/>
    <n v="136.69999999999999"/>
  </r>
  <r>
    <d v="2025-02-25T06:15:37"/>
    <x v="10"/>
    <s v="Plaquettes rondes"/>
    <s v="280225"/>
    <s v="FERNANDES DOS SANTOS REMY"/>
    <n v="10"/>
    <x v="1"/>
    <x v="3"/>
    <s v="PLAQUETTES"/>
    <s v="304x28 RPE"/>
    <n v="136.69999999999999"/>
  </r>
  <r>
    <d v="2025-02-25T06:15:57"/>
    <x v="10"/>
    <s v="Plaquettes rondes"/>
    <s v="280225"/>
    <s v="FERNANDES DOS SANTOS REMY"/>
    <n v="10"/>
    <x v="1"/>
    <x v="3"/>
    <s v="PLAQUETTES"/>
    <s v="304x28 RPE"/>
    <n v="136.69999999999999"/>
  </r>
  <r>
    <d v="2025-02-25T21:14:55"/>
    <x v="10"/>
    <s v="Plaquettes rondes"/>
    <s v="101224"/>
    <s v="CHAZEAU KYLIAN"/>
    <n v="10"/>
    <x v="0"/>
    <x v="3"/>
    <s v="PLAQUETTES"/>
    <s v="330x14"/>
    <n v="136.69999999999999"/>
  </r>
  <r>
    <d v="2025-02-27T06:20:19"/>
    <x v="11"/>
    <s v="Plaquettes rondes"/>
    <s v="280225"/>
    <s v="FERNANDES DOS SANTOS REMY"/>
    <n v="10"/>
    <x v="1"/>
    <x v="3"/>
    <s v="PLAQUETTES"/>
    <s v="304x28 RPE"/>
    <n v="108.5"/>
  </r>
  <r>
    <d v="2025-02-27T13:17:34"/>
    <x v="11"/>
    <s v="Plaquettes rondes"/>
    <s v="140325"/>
    <s v="BOUCLIER JONATHAN"/>
    <n v="10"/>
    <x v="2"/>
    <x v="4"/>
    <s v="PLAQUETTES"/>
    <s v="302x26 RPI"/>
    <n v="108.5"/>
  </r>
  <r>
    <d v="2025-02-28T03:09:59"/>
    <x v="10"/>
    <s v="Plaquettes rondes"/>
    <s v="101224"/>
    <s v="CHAZEAU KYLIAN"/>
    <n v="10"/>
    <x v="0"/>
    <x v="3"/>
    <s v="PLAQUETTES"/>
    <s v="356x26 RPI"/>
    <n v="136.69999999999999"/>
  </r>
  <r>
    <d v="2025-02-28T05:13:19"/>
    <x v="11"/>
    <s v="Plaquettes rondes"/>
    <s v="J534699"/>
    <s v="FABIAN CHARTON"/>
    <n v="10"/>
    <x v="2"/>
    <x v="4"/>
    <s v="PLAQUETTES"/>
    <s v="302x26 RPI"/>
    <n v="108.5"/>
  </r>
  <r>
    <d v="2025-02-28T12:17:49"/>
    <x v="10"/>
    <s v="Plaquettes rondes"/>
    <s v="1234"/>
    <s v=" "/>
    <n v="10"/>
    <x v="1"/>
    <x v="3"/>
    <s v="PLAQUETTES"/>
    <s v="304x28 RPE"/>
    <n v="136.69999999999999"/>
  </r>
  <r>
    <d v="2025-02-28T21:11:09"/>
    <x v="11"/>
    <s v="Plaquettes rondes"/>
    <s v="130124"/>
    <s v="MOHAMED ILDIRAY"/>
    <n v="10"/>
    <x v="1"/>
    <x v="3"/>
    <s v="PLAQUETTES"/>
    <s v="304x28 RPE"/>
    <n v="108.5"/>
  </r>
  <r>
    <d v="2025-03-01T11:30:25"/>
    <x v="10"/>
    <s v="Plaquettes rondes"/>
    <s v="1234"/>
    <s v=" "/>
    <n v="10"/>
    <x v="1"/>
    <x v="3"/>
    <s v="PLAQUETTES"/>
    <s v="304x28 RPE"/>
    <n v="136.69999999999999"/>
  </r>
  <r>
    <d v="2025-03-03T06:25:15"/>
    <x v="11"/>
    <s v="Plaquettes rondes"/>
    <s v="140325"/>
    <s v="BOUCLIER JONATHAN"/>
    <n v="10"/>
    <x v="2"/>
    <x v="4"/>
    <s v="PLAQUETTES"/>
    <s v="302x26 RPI"/>
    <n v="108.5"/>
  </r>
  <r>
    <d v="2025-03-03T13:07:31"/>
    <x v="10"/>
    <s v="Plaquettes rondes"/>
    <s v="101224"/>
    <s v="CHAZEAU KYLIAN"/>
    <n v="10"/>
    <x v="0"/>
    <x v="3"/>
    <s v="PLAQUETTES"/>
    <s v="356x26 RPI"/>
    <n v="136.69999999999999"/>
  </r>
  <r>
    <d v="2025-03-03T22:00:03"/>
    <x v="10"/>
    <s v="Plaquettes rondes"/>
    <s v="280225"/>
    <s v="FERNANDES DOS SANTOS REMY"/>
    <n v="10"/>
    <x v="1"/>
    <x v="3"/>
    <s v="PLAQUETTES"/>
    <s v="304x28 RPE"/>
    <n v="136.69999999999999"/>
  </r>
  <r>
    <d v="2025-03-04T03:33:00"/>
    <x v="11"/>
    <s v="Plaquettes rondes"/>
    <s v="280225"/>
    <s v="FERNANDES DOS SANTOS REMY"/>
    <n v="10"/>
    <x v="1"/>
    <x v="3"/>
    <s v="PLAQUETTES"/>
    <s v="304x28 RPE"/>
    <n v="108.5"/>
  </r>
  <r>
    <d v="2025-03-04T13:15:21"/>
    <x v="11"/>
    <s v="Plaquettes rondes"/>
    <s v="101123"/>
    <s v="BRUNET ANDREA"/>
    <n v="10"/>
    <x v="2"/>
    <x v="4"/>
    <s v="PLAQUETTES"/>
    <s v="302x26 RPI"/>
    <n v="108.5"/>
  </r>
  <r>
    <d v="2025-03-05T00:34:30"/>
    <x v="10"/>
    <s v="Plaquettes rondes"/>
    <s v="SE08251"/>
    <s v="FAYET AYMERIC"/>
    <n v="10"/>
    <x v="0"/>
    <x v="3"/>
    <s v="PLAQUETTES"/>
    <s v="356x26 RPI"/>
    <n v="136.69999999999999"/>
  </r>
  <r>
    <d v="2025-03-05T05:52:29"/>
    <x v="10"/>
    <s v="Plaquettes rondes"/>
    <s v="130325"/>
    <s v="PAPONNEAU JULIEN"/>
    <n v="10"/>
    <x v="1"/>
    <x v="3"/>
    <s v="PLAQUETTES"/>
    <s v="304x28 RPE"/>
    <n v="136.69999999999999"/>
  </r>
  <r>
    <d v="2025-03-05T09:04:38"/>
    <x v="11"/>
    <s v="Plaquettes rondes"/>
    <s v="140325"/>
    <s v="BOUCLIER JONATHAN"/>
    <n v="10"/>
    <x v="2"/>
    <x v="4"/>
    <s v="PLAQUETTES"/>
    <s v="302x26 RPI"/>
    <n v="108.5"/>
  </r>
  <r>
    <d v="2025-03-06T04:32:40"/>
    <x v="11"/>
    <s v="Plaquettes rondes"/>
    <s v="11737592"/>
    <s v="BLOCQUET DAVID"/>
    <n v="10"/>
    <x v="2"/>
    <x v="4"/>
    <s v="PLAQUETTES"/>
    <s v="302x26 RPI"/>
    <n v="108.5"/>
  </r>
  <r>
    <d v="2025-03-06T04:34:03"/>
    <x v="11"/>
    <s v="Plaquettes rondes"/>
    <s v="11737592"/>
    <s v="BLOCQUET DAVID"/>
    <n v="10"/>
    <x v="2"/>
    <x v="4"/>
    <s v="PLAQUETTES"/>
    <s v="302x26 RPI"/>
    <n v="108.5"/>
  </r>
  <r>
    <d v="2025-03-06T13:25:54"/>
    <x v="10"/>
    <s v="Plaquettes rondes"/>
    <s v="101224"/>
    <s v="CHAZEAU KYLIAN"/>
    <n v="10"/>
    <x v="0"/>
    <x v="3"/>
    <s v="PLAQUETTES"/>
    <s v="330x14"/>
    <n v="136.69999999999999"/>
  </r>
  <r>
    <d v="2025-03-06T13:44:51"/>
    <x v="11"/>
    <s v="Plaquettes rondes"/>
    <s v="130124"/>
    <s v="MOHAMED ILDIRAY"/>
    <n v="10"/>
    <x v="1"/>
    <x v="3"/>
    <s v="PLAQUETTES"/>
    <s v="304x28 RPE"/>
    <n v="108.5"/>
  </r>
  <r>
    <d v="2025-03-06T13:45:24"/>
    <x v="10"/>
    <s v="Plaquettes rondes"/>
    <s v="130124"/>
    <s v="MOHAMED ILDIRAY"/>
    <n v="10"/>
    <x v="1"/>
    <x v="3"/>
    <s v="PLAQUETTES"/>
    <s v="304x28 RPE"/>
    <n v="136.69999999999999"/>
  </r>
  <r>
    <d v="2025-03-07T21:21:33"/>
    <x v="10"/>
    <s v="Plaquettes rondes"/>
    <s v="SE08251"/>
    <s v="FAYET AYMERIC"/>
    <n v="10"/>
    <x v="0"/>
    <x v="3"/>
    <s v="PLAQUETTES"/>
    <s v="330x14"/>
    <n v="136.69999999999999"/>
  </r>
  <r>
    <d v="2025-03-09T21:10:59"/>
    <x v="10"/>
    <s v="Plaquettes rondes"/>
    <s v="1234"/>
    <s v=" "/>
    <n v="10"/>
    <x v="0"/>
    <x v="3"/>
    <s v="PLAQUETTES"/>
    <s v="330x14"/>
    <n v="136.69999999999999"/>
  </r>
  <r>
    <d v="2025-03-10T13:26:04"/>
    <x v="10"/>
    <s v="Plaquettes rondes"/>
    <s v="SE08251"/>
    <s v="FAYET AYMERIC"/>
    <n v="10"/>
    <x v="0"/>
    <x v="3"/>
    <s v="PLAQUETTES"/>
    <s v="330x14"/>
    <n v="136.69999999999999"/>
  </r>
  <r>
    <d v="2025-03-10T17:12:20"/>
    <x v="11"/>
    <s v="Plaquettes rondes"/>
    <s v="280225"/>
    <s v="FERNANDES DOS SANTOS REMY"/>
    <n v="10"/>
    <x v="1"/>
    <x v="3"/>
    <s v="PLAQUETTES"/>
    <s v="304x28 RPE"/>
    <n v="108.5"/>
  </r>
  <r>
    <d v="2025-03-10T17:12:41"/>
    <x v="10"/>
    <s v="Plaquettes rondes"/>
    <s v="280225"/>
    <s v="FERNANDES DOS SANTOS REMY"/>
    <n v="10"/>
    <x v="1"/>
    <x v="3"/>
    <s v="PLAQUETTES"/>
    <s v="304x28 RPE"/>
    <n v="136.69999999999999"/>
  </r>
  <r>
    <d v="2025-03-10T21:33:57"/>
    <x v="11"/>
    <s v="Plaquettes rondes"/>
    <s v="140325"/>
    <s v="BOUCLIER JONATHAN"/>
    <n v="10"/>
    <x v="2"/>
    <x v="4"/>
    <s v="PLAQUETTES"/>
    <s v="302x26 RPI"/>
    <n v="108.5"/>
  </r>
  <r>
    <d v="2025-03-11T09:35:35"/>
    <x v="10"/>
    <s v="Plaquettes rondes"/>
    <s v="101224"/>
    <s v="CHAZEAU KYLIAN"/>
    <n v="10"/>
    <x v="0"/>
    <x v="3"/>
    <s v="PLAQUETTES"/>
    <s v="330x14"/>
    <n v="136.69999999999999"/>
  </r>
  <r>
    <d v="2025-03-12T05:16:22"/>
    <x v="10"/>
    <s v="Plaquettes rondes"/>
    <s v="101224"/>
    <s v="CHAZEAU KYLIAN"/>
    <n v="10"/>
    <x v="0"/>
    <x v="3"/>
    <s v="PLAQUETTES"/>
    <s v="330x14"/>
    <n v="136.69999999999999"/>
  </r>
  <r>
    <d v="2025-03-12T14:36:02"/>
    <x v="10"/>
    <s v="Plaquettes rondes"/>
    <s v="280225"/>
    <s v="FERNANDES DOS SANTOS REMY"/>
    <n v="10"/>
    <x v="1"/>
    <x v="3"/>
    <s v="PLAQUETTES"/>
    <s v="304x28 RPE"/>
    <n v="136.69999999999999"/>
  </r>
  <r>
    <d v="2025-03-13T01:22:41"/>
    <x v="10"/>
    <s v="Plaquettes rondes"/>
    <s v="7236310"/>
    <s v="BRANDALY JEREMY"/>
    <n v="10"/>
    <x v="0"/>
    <x v="3"/>
    <s v="PLAQUETTES"/>
    <s v="330x14"/>
    <n v="136.69999999999999"/>
  </r>
  <r>
    <d v="2025-03-13T07:21:38"/>
    <x v="11"/>
    <s v="Plaquettes rondes"/>
    <s v="101123"/>
    <s v="BRUNET ANDREA"/>
    <n v="10"/>
    <x v="2"/>
    <x v="4"/>
    <s v="PLAQUETTES"/>
    <s v="302x26 RPI"/>
    <n v="108.5"/>
  </r>
  <r>
    <d v="2025-03-13T23:48:18"/>
    <x v="11"/>
    <s v="Plaquettes rondes"/>
    <s v="130325"/>
    <s v="PAPONNEAU JULIEN"/>
    <n v="10"/>
    <x v="1"/>
    <x v="3"/>
    <s v="PLAQUETTES"/>
    <s v="304x28 RPE"/>
    <n v="108.5"/>
  </r>
  <r>
    <d v="2025-03-13T23:48:43"/>
    <x v="10"/>
    <s v="Plaquettes rondes"/>
    <s v="130325"/>
    <s v="PAPONNEAU JULIEN"/>
    <n v="10"/>
    <x v="1"/>
    <x v="3"/>
    <s v="PLAQUETTES"/>
    <s v="304x28 RPE"/>
    <n v="136.69999999999999"/>
  </r>
  <r>
    <d v="2025-03-14T03:16:16"/>
    <x v="11"/>
    <s v="Plaquettes rondes"/>
    <s v="SD75051"/>
    <s v="COMBALUZIER LUCAS"/>
    <n v="10"/>
    <x v="0"/>
    <x v="3"/>
    <s v="PLAQUETTES"/>
    <s v="304x28 RPE"/>
    <n v="108.5"/>
  </r>
  <r>
    <d v="2025-03-14T03:16:39"/>
    <x v="10"/>
    <s v="Plaquettes rondes"/>
    <s v="SD75051"/>
    <s v="COMBALUZIER LUCAS"/>
    <n v="10"/>
    <x v="0"/>
    <x v="3"/>
    <s v="PLAQUETTES"/>
    <s v="330x14"/>
    <n v="136.69999999999999"/>
  </r>
  <r>
    <d v="2025-03-14T21:07:44"/>
    <x v="11"/>
    <s v="Plaquettes rondes"/>
    <s v="140325"/>
    <s v="BOUCLIER JONATHAN"/>
    <n v="10"/>
    <x v="2"/>
    <x v="4"/>
    <s v="PLAQUETTES"/>
    <s v="302x26 RPI"/>
    <n v="108.5"/>
  </r>
  <r>
    <d v="2025-03-14T21:45:07"/>
    <x v="10"/>
    <s v="Plaquettes rondes"/>
    <s v="SD13196"/>
    <s v="FRADIN MAXIME"/>
    <n v="10"/>
    <x v="3"/>
    <x v="3"/>
    <s v="PLAQUETTES"/>
    <s v="302x26 RPI"/>
    <n v="136.69999999999999"/>
  </r>
  <r>
    <d v="2025-03-17T15:59:19"/>
    <x v="11"/>
    <s v="Plaquettes rondes"/>
    <s v="130325"/>
    <s v="PAPONNEAU JULIEN"/>
    <n v="10"/>
    <x v="1"/>
    <x v="3"/>
    <s v="PLAQUETTES"/>
    <s v="304x28 RPE"/>
    <n v="108.5"/>
  </r>
  <r>
    <d v="2025-03-17T16:00:00"/>
    <x v="10"/>
    <s v="Plaquettes rondes"/>
    <s v="130325"/>
    <s v="PAPONNEAU JULIEN"/>
    <n v="10"/>
    <x v="1"/>
    <x v="3"/>
    <s v="PLAQUETTES"/>
    <s v="304x28 RPE"/>
    <n v="136.69999999999999"/>
  </r>
  <r>
    <d v="2025-03-18T01:55:21"/>
    <x v="10"/>
    <s v="Plaquettes rondes"/>
    <s v="101224"/>
    <s v="CHAZEAU KYLIAN"/>
    <n v="10"/>
    <x v="0"/>
    <x v="3"/>
    <s v="PLAQUETTES"/>
    <s v="356x26 RPI"/>
    <n v="136.69999999999999"/>
  </r>
  <r>
    <d v="2025-03-18T05:20:10"/>
    <x v="10"/>
    <s v="Plaquettes rondes"/>
    <s v="280225"/>
    <s v="FERNANDES DOS SANTOS REMY"/>
    <n v="10"/>
    <x v="1"/>
    <x v="3"/>
    <s v="PLAQUETTES"/>
    <s v="304x28 RPE"/>
    <n v="136.69999999999999"/>
  </r>
  <r>
    <d v="2025-03-19T13:43:50"/>
    <x v="11"/>
    <s v="Plaquettes rondes"/>
    <s v="130325"/>
    <s v="PAPONNEAU JULIEN"/>
    <n v="10"/>
    <x v="1"/>
    <x v="3"/>
    <s v="PLAQUETTES"/>
    <s v="304x28 RPE"/>
    <n v="108.5"/>
  </r>
  <r>
    <d v="2025-03-19T15:22:56"/>
    <x v="11"/>
    <s v="Plaquettes rondes"/>
    <s v="140325"/>
    <s v="BOUCLIER JONATHAN"/>
    <n v="10"/>
    <x v="2"/>
    <x v="4"/>
    <s v="PLAQUETTES"/>
    <s v="302x26 RPI"/>
    <n v="108.5"/>
  </r>
  <r>
    <d v="2025-03-20T06:08:45"/>
    <x v="10"/>
    <s v="Plaquettes rondes"/>
    <s v="U109136"/>
    <s v="WIPLIE FREDERIC"/>
    <n v="10"/>
    <x v="0"/>
    <x v="3"/>
    <s v="PLAQUETTES"/>
    <s v="356x26 RPI"/>
    <n v="136.69999999999999"/>
  </r>
  <r>
    <d v="2025-03-20T14:39:19"/>
    <x v="10"/>
    <s v="Plaquettes rondes"/>
    <s v="130325"/>
    <s v="PAPONNEAU JULIEN"/>
    <n v="10"/>
    <x v="1"/>
    <x v="3"/>
    <s v="PLAQUETTES"/>
    <s v="304x28 RPE"/>
    <n v="136.69999999999999"/>
  </r>
  <r>
    <d v="2025-03-21T19:33:56"/>
    <x v="10"/>
    <s v="Plaquettes rondes"/>
    <s v="7236310"/>
    <s v="BRANDALY JEREMY"/>
    <n v="10"/>
    <x v="0"/>
    <x v="3"/>
    <s v="PLAQUETTES"/>
    <s v="330x14"/>
    <n v="136.69999999999999"/>
  </r>
  <r>
    <d v="2025-03-24T05:09:08"/>
    <x v="10"/>
    <s v="Plaquettes rondes"/>
    <s v="7236310"/>
    <s v="BRANDALY JEREMY"/>
    <n v="10"/>
    <x v="0"/>
    <x v="3"/>
    <s v="PLAQUETTES"/>
    <s v="330x14"/>
    <n v="136.69999999999999"/>
  </r>
  <r>
    <d v="2025-03-24T05:22:33"/>
    <x v="11"/>
    <s v="Plaquettes rondes"/>
    <s v="130325"/>
    <s v="PAPONNEAU JULIEN"/>
    <n v="10"/>
    <x v="1"/>
    <x v="3"/>
    <s v="PLAQUETTES"/>
    <s v="304x28 RPE"/>
    <n v="108.5"/>
  </r>
  <r>
    <d v="2025-03-24T05:22:49"/>
    <x v="10"/>
    <s v="Plaquettes rondes"/>
    <s v="130325"/>
    <s v="PAPONNEAU JULIEN"/>
    <n v="10"/>
    <x v="1"/>
    <x v="3"/>
    <s v="PLAQUETTES"/>
    <s v="304x28 RPE"/>
    <n v="136.69999999999999"/>
  </r>
  <r>
    <d v="2025-03-25T03:48:14"/>
    <x v="10"/>
    <s v="Plaquettes rondes"/>
    <s v="280225"/>
    <s v="FERNANDES DOS SANTOS REMY"/>
    <n v="10"/>
    <x v="0"/>
    <x v="3"/>
    <s v="PLAQUETTES"/>
    <s v="330x14"/>
    <n v="136.69999999999999"/>
  </r>
  <r>
    <d v="2025-03-25T08:23:10"/>
    <x v="11"/>
    <s v="Plaquettes rondes"/>
    <s v="140325"/>
    <s v="BOUCLIER JONATHAN"/>
    <n v="10"/>
    <x v="2"/>
    <x v="4"/>
    <s v="PLAQUETTES"/>
    <s v="302x26 RPI"/>
    <n v="108.5"/>
  </r>
  <r>
    <d v="2025-03-26T00:36:18"/>
    <x v="10"/>
    <s v="Plaquettes rondes"/>
    <s v="U109136"/>
    <s v="WIPLIE FREDERIC"/>
    <n v="10"/>
    <x v="0"/>
    <x v="3"/>
    <s v="PLAQUETTES"/>
    <s v="330x14"/>
    <n v="136.69999999999999"/>
  </r>
  <r>
    <d v="2025-03-26T20:36:53"/>
    <x v="10"/>
    <s v="Plaquettes rondes"/>
    <s v="130124"/>
    <s v="MOHAMED ILDIRAY"/>
    <n v="10"/>
    <x v="1"/>
    <x v="3"/>
    <s v="PLAQUETTES"/>
    <s v="304x28 RPE"/>
    <n v="136.69999999999999"/>
  </r>
  <r>
    <d v="2025-03-27T01:03:54"/>
    <x v="10"/>
    <s v="Plaquettes rondes"/>
    <s v="U109136"/>
    <s v="WIPLIE FREDERIC"/>
    <n v="10"/>
    <x v="0"/>
    <x v="3"/>
    <s v="PLAQUETTES"/>
    <s v="330x14"/>
    <n v="136.69999999999999"/>
  </r>
  <r>
    <d v="2025-03-27T02:22:09"/>
    <x v="11"/>
    <s v="Plaquettes rondes"/>
    <s v="280225"/>
    <s v="FERNANDES DOS SANTOS REMY"/>
    <n v="10"/>
    <x v="1"/>
    <x v="3"/>
    <s v="PLAQUETTES"/>
    <s v="304x28 RPE"/>
    <n v="108.5"/>
  </r>
  <r>
    <d v="2025-03-27T02:30:55"/>
    <x v="10"/>
    <s v="Plaquettes rondes"/>
    <s v="280225"/>
    <s v="FERNANDES DOS SANTOS REMY"/>
    <n v="10"/>
    <x v="1"/>
    <x v="3"/>
    <s v="PLAQUETTES"/>
    <s v="304x28 RPE"/>
    <n v="136.69999999999999"/>
  </r>
  <r>
    <d v="2025-03-27T13:13:54"/>
    <x v="10"/>
    <s v="Plaquettes rondes"/>
    <s v="130124"/>
    <s v="MOHAMED ILDIRAY"/>
    <n v="10"/>
    <x v="1"/>
    <x v="3"/>
    <s v="PLAQUETTES"/>
    <s v="304x28 RPE"/>
    <n v="136.69999999999999"/>
  </r>
  <r>
    <d v="2025-03-27T13:41:52"/>
    <x v="11"/>
    <s v="Plaquettes rondes"/>
    <s v="101123"/>
    <s v="BRUNET ANDREA"/>
    <n v="10"/>
    <x v="2"/>
    <x v="4"/>
    <s v="PLAQUETTES"/>
    <s v="302x26 RPI"/>
    <n v="108.5"/>
  </r>
  <r>
    <d v="2025-03-28T04:19:19"/>
    <x v="11"/>
    <s v="Plaquettes rondes"/>
    <s v="280225"/>
    <s v="FERNANDES DOS SANTOS REMY"/>
    <n v="10"/>
    <x v="1"/>
    <x v="3"/>
    <s v="PLAQUETTES"/>
    <s v="304x28 RPE"/>
    <n v="108.5"/>
  </r>
  <r>
    <d v="2025-03-28T18:05:01"/>
    <x v="10"/>
    <s v="Plaquettes rondes"/>
    <s v="101224"/>
    <s v="CHAZEAU KYLIAN"/>
    <n v="10"/>
    <x v="0"/>
    <x v="3"/>
    <s v="PLAQUETTES"/>
    <s v="356x26 RPI"/>
    <n v="136.69999999999999"/>
  </r>
  <r>
    <d v="2025-03-29T02:57:26"/>
    <x v="10"/>
    <s v="Plaquettes rondes"/>
    <s v="280225"/>
    <s v="FERNANDES DOS SANTOS REMY"/>
    <n v="10"/>
    <x v="1"/>
    <x v="3"/>
    <s v="PLAQUETTES"/>
    <s v="304x28 RPE"/>
    <n v="136.69999999999999"/>
  </r>
  <r>
    <d v="2025-03-30T17:12:37"/>
    <x v="11"/>
    <s v="Plaquettes rondes"/>
    <s v="J534699"/>
    <s v="FABIAN CHARTON"/>
    <n v="10"/>
    <x v="2"/>
    <x v="4"/>
    <s v="PLAQUETTES"/>
    <s v="302x26 RPI"/>
    <n v="108.5"/>
  </r>
  <r>
    <d v="2025-03-30T17:21:05"/>
    <x v="10"/>
    <s v="Plaquettes rondes"/>
    <s v="U109136"/>
    <s v="WIPLIE FREDERIC"/>
    <n v="10"/>
    <x v="0"/>
    <x v="3"/>
    <s v="PLAQUETTES"/>
    <s v="356x26 RPI"/>
    <n v="136.69999999999999"/>
  </r>
  <r>
    <d v="2025-03-31T05:09:55"/>
    <x v="11"/>
    <s v="Plaquettes rondes"/>
    <s v="130124"/>
    <s v="MOHAMED ILDIRAY"/>
    <n v="10"/>
    <x v="1"/>
    <x v="3"/>
    <s v="PLAQUETTES"/>
    <s v="304x28 RPE"/>
    <n v="108.5"/>
  </r>
  <r>
    <d v="2025-03-31T16:38:15"/>
    <x v="10"/>
    <s v="Plaquettes rondes"/>
    <s v="280225"/>
    <s v="FERNANDES DOS SANTOS REMY"/>
    <n v="10"/>
    <x v="1"/>
    <x v="3"/>
    <s v="PLAQUETTES"/>
    <s v="304x28 RPE"/>
    <n v="136.69999999999999"/>
  </r>
  <r>
    <d v="2025-04-01T05:32:40"/>
    <x v="10"/>
    <s v="Plaquettes rondes"/>
    <s v="130124"/>
    <s v="MOHAMED ILDIRAY"/>
    <n v="10"/>
    <x v="1"/>
    <x v="3"/>
    <s v="PLAQUETTES"/>
    <s v="304x28 RPE"/>
    <n v="136.69999999999999"/>
  </r>
  <r>
    <d v="2025-04-01T14:11:41"/>
    <x v="10"/>
    <s v="Plaquettes rondes"/>
    <s v="SD88834"/>
    <s v="PEJOUX MELANIE"/>
    <n v="10"/>
    <x v="0"/>
    <x v="3"/>
    <s v="PLAQUETTES"/>
    <s v="330x14"/>
    <n v="136.69999999999999"/>
  </r>
  <r>
    <d v="2025-04-02T08:49:44"/>
    <x v="10"/>
    <s v="Plaquettes rondes"/>
    <s v="101224"/>
    <s v="CHAZEAU KYLIAN"/>
    <n v="10"/>
    <x v="0"/>
    <x v="3"/>
    <s v="PLAQUETTES"/>
    <s v="330x14"/>
    <n v="136.69999999999999"/>
  </r>
  <r>
    <d v="2025-04-02T16:12:44"/>
    <x v="11"/>
    <s v="Plaquettes rondes"/>
    <s v="280225"/>
    <s v="FERNANDES DOS SANTOS REMY"/>
    <n v="10"/>
    <x v="1"/>
    <x v="3"/>
    <s v="PLAQUETTES"/>
    <s v="304x28 RPE"/>
    <n v="108.5"/>
  </r>
  <r>
    <d v="2025-04-02T19:07:07"/>
    <x v="11"/>
    <s v="Plaquettes rondes"/>
    <s v="11737592"/>
    <s v="BLOCQUET DAVID"/>
    <n v="10"/>
    <x v="2"/>
    <x v="4"/>
    <s v="PLAQUETTES"/>
    <s v="302x26 RPI"/>
    <n v="108.5"/>
  </r>
  <r>
    <d v="2025-04-02T23:53:01"/>
    <x v="11"/>
    <s v="Plaquettes rondes"/>
    <s v="140325"/>
    <s v="BOUCLIER JONATHAN"/>
    <n v="10"/>
    <x v="2"/>
    <x v="4"/>
    <s v="PLAQUETTES"/>
    <s v="302x26 RPI"/>
    <n v="108.5"/>
  </r>
  <r>
    <d v="2025-04-03T15:36:41"/>
    <x v="10"/>
    <s v="Plaquettes rondes"/>
    <s v="280225"/>
    <s v="FERNANDES DOS SANTOS REMY"/>
    <n v="10"/>
    <x v="0"/>
    <x v="3"/>
    <s v="PLAQUETTES"/>
    <s v="330x14"/>
    <n v="136.69999999999999"/>
  </r>
  <r>
    <d v="2025-04-04T13:59:01"/>
    <x v="11"/>
    <s v="Plaquettes rondes"/>
    <s v="280225"/>
    <s v="FERNANDES DOS SANTOS REMY"/>
    <n v="10"/>
    <x v="1"/>
    <x v="3"/>
    <s v="PLAQUETTES"/>
    <s v="304x28 RPE"/>
    <n v="108.5"/>
  </r>
  <r>
    <d v="2025-04-04T13:59:27"/>
    <x v="11"/>
    <s v="Plaquettes rondes"/>
    <s v="280225"/>
    <s v="FERNANDES DOS SANTOS REMY"/>
    <n v="10"/>
    <x v="1"/>
    <x v="3"/>
    <s v="PLAQUETTES"/>
    <s v="304x28 RPE"/>
    <n v="108.5"/>
  </r>
  <r>
    <d v="2025-04-04T21:10:57"/>
    <x v="10"/>
    <s v="Plaquettes rondes"/>
    <s v="7236310"/>
    <s v="BRANDALY JEREMY"/>
    <n v="10"/>
    <x v="0"/>
    <x v="3"/>
    <s v="PLAQUETTES"/>
    <s v="330x14"/>
    <n v="136.69999999999999"/>
  </r>
  <r>
    <d v="2025-04-05T05:06:29"/>
    <x v="11"/>
    <s v="Plaquettes rondes"/>
    <s v="U080365"/>
    <s v="ALAVOINE SAMUEL"/>
    <n v="10"/>
    <x v="2"/>
    <x v="4"/>
    <s v="PLAQUETTES"/>
    <s v="302x26 RPI"/>
    <n v="108.5"/>
  </r>
  <r>
    <d v="2025-04-07T05:13:10"/>
    <x v="10"/>
    <s v="Plaquettes rondes"/>
    <s v="SE08251"/>
    <s v="FAYET AYMERIC"/>
    <n v="10"/>
    <x v="0"/>
    <x v="3"/>
    <s v="PLAQUETTES"/>
    <s v="330x14"/>
    <n v="136.69999999999999"/>
  </r>
  <r>
    <d v="2025-04-07T13:04:35"/>
    <x v="11"/>
    <s v="Plaquettes rondes"/>
    <s v="140325"/>
    <s v="BOUCLIER JONATHAN"/>
    <n v="10"/>
    <x v="2"/>
    <x v="4"/>
    <s v="PLAQUETTES"/>
    <s v="302x26 RPI"/>
    <n v="108.5"/>
  </r>
  <r>
    <d v="2025-04-08T05:16:48"/>
    <x v="10"/>
    <s v="Plaquettes rondes"/>
    <s v="SE08251"/>
    <s v="FAYET AYMERIC"/>
    <n v="10"/>
    <x v="0"/>
    <x v="3"/>
    <s v="PLAQUETTES"/>
    <s v="330x14"/>
    <n v="136.69999999999999"/>
  </r>
  <r>
    <d v="2025-04-08T05:33:03"/>
    <x v="10"/>
    <s v="Plaquettes rondes"/>
    <s v="280225"/>
    <s v="FERNANDES DOS SANTOS REMY"/>
    <n v="10"/>
    <x v="1"/>
    <x v="3"/>
    <s v="PLAQUETTES"/>
    <s v="304x28 RPE"/>
    <n v="136.69999999999999"/>
  </r>
  <r>
    <d v="2025-04-08T21:23:29"/>
    <x v="11"/>
    <s v="Plaquettes rondes"/>
    <s v="101123"/>
    <s v="BRUNET ANDREA"/>
    <n v="10"/>
    <x v="2"/>
    <x v="4"/>
    <s v="PLAQUETTES"/>
    <s v="302x26 RPI"/>
    <n v="108.5"/>
  </r>
  <r>
    <d v="2025-04-09T00:40:23"/>
    <x v="10"/>
    <s v="Plaquettes rondes"/>
    <s v="101224"/>
    <s v="CHAZEAU KYLIAN"/>
    <n v="10"/>
    <x v="0"/>
    <x v="3"/>
    <s v="PLAQUETTES"/>
    <s v="330x14"/>
    <n v="136.69999999999999"/>
  </r>
  <r>
    <d v="2025-04-09T20:35:16"/>
    <x v="11"/>
    <s v="Plaquettes rondes"/>
    <s v="140325"/>
    <s v="BOUCLIER JONATHAN"/>
    <n v="10"/>
    <x v="2"/>
    <x v="4"/>
    <s v="PLAQUETTES"/>
    <s v="302x26 RPI"/>
    <n v="108.5"/>
  </r>
  <r>
    <d v="2025-04-10T06:48:31"/>
    <x v="10"/>
    <s v="Plaquettes rondes"/>
    <s v="280225"/>
    <s v="FERNANDES DOS SANTOS REMY"/>
    <n v="10"/>
    <x v="1"/>
    <x v="3"/>
    <s v="PLAQUETTES"/>
    <s v="304x28 RPE"/>
    <n v="136.69999999999999"/>
  </r>
  <r>
    <d v="2025-04-10T07:45:59"/>
    <x v="10"/>
    <s v="Plaquettes rondes"/>
    <s v="SE08251"/>
    <s v="FAYET AYMERIC"/>
    <n v="10"/>
    <x v="0"/>
    <x v="3"/>
    <s v="PLAQUETTES"/>
    <s v="330x14"/>
    <n v="136.69999999999999"/>
  </r>
  <r>
    <d v="2025-04-10T21:53:34"/>
    <x v="11"/>
    <s v="Plaquettes rondes"/>
    <s v="130124"/>
    <s v="MOHAMED ILDIRAY"/>
    <n v="10"/>
    <x v="1"/>
    <x v="3"/>
    <s v="PLAQUETTES"/>
    <s v="304x28 RPE"/>
    <n v="108.5"/>
  </r>
  <r>
    <d v="2025-04-11T09:54:08"/>
    <x v="10"/>
    <s v="Plaquettes rondes"/>
    <s v="U109136"/>
    <s v="WIPLIE FREDERIC"/>
    <n v="10"/>
    <x v="0"/>
    <x v="3"/>
    <s v="PLAQUETTES"/>
    <s v="356x26 RPI"/>
    <n v="136.69999999999999"/>
  </r>
  <r>
    <d v="2025-04-12T12:49:12"/>
    <x v="10"/>
    <s v="Plaquettes rondes"/>
    <s v="150725"/>
    <s v="ADOUL WASSIM"/>
    <n v="10"/>
    <x v="1"/>
    <x v="3"/>
    <s v="PLAQUETTES"/>
    <s v="304x28 RPE"/>
    <n v="136.69999999999999"/>
  </r>
  <r>
    <d v="2025-04-14T03:47:49"/>
    <x v="10"/>
    <s v="Plaquettes rondes"/>
    <s v="U109136"/>
    <s v="WIPLIE FREDERIC"/>
    <n v="10"/>
    <x v="0"/>
    <x v="3"/>
    <s v="PLAQUETTES"/>
    <s v="356x26 RPI"/>
    <n v="136.69999999999999"/>
  </r>
  <r>
    <d v="2025-04-14T05:02:24"/>
    <x v="11"/>
    <s v="Plaquettes rondes"/>
    <s v="140325"/>
    <s v="BOUCLIER JONATHAN"/>
    <n v="10"/>
    <x v="2"/>
    <x v="4"/>
    <s v="PLAQUETTES"/>
    <s v="302x26 RPI"/>
    <n v="108.5"/>
  </r>
  <r>
    <d v="2025-04-14T12:21:52"/>
    <x v="10"/>
    <s v="Plaquettes rondes"/>
    <s v="130325"/>
    <s v="PAPONNEAU JULIEN"/>
    <n v="10"/>
    <x v="1"/>
    <x v="3"/>
    <s v="PLAQUETTES"/>
    <s v="304x28 RPE"/>
    <n v="136.69999999999999"/>
  </r>
  <r>
    <d v="2025-04-14T13:27:20"/>
    <x v="10"/>
    <s v="Plaquettes rondes"/>
    <s v="130124"/>
    <s v="MOHAMED ILDIRAY"/>
    <n v="10"/>
    <x v="1"/>
    <x v="3"/>
    <s v="PLAQUETTES"/>
    <s v="304x28 RPE"/>
    <n v="136.69999999999999"/>
  </r>
  <r>
    <d v="2025-04-14T13:28:01"/>
    <x v="11"/>
    <s v="Plaquettes rondes"/>
    <s v="130124"/>
    <s v="MOHAMED ILDIRAY"/>
    <n v="10"/>
    <x v="1"/>
    <x v="3"/>
    <s v="PLAQUETTES"/>
    <s v="304x28 RPE"/>
    <n v="108.5"/>
  </r>
  <r>
    <d v="2025-04-15T03:18:04"/>
    <x v="10"/>
    <s v="Plaquettes rondes"/>
    <s v="U109136"/>
    <s v="WIPLIE FREDERIC"/>
    <n v="10"/>
    <x v="0"/>
    <x v="3"/>
    <s v="PLAQUETTES"/>
    <s v="330x14"/>
    <n v="136.69999999999999"/>
  </r>
  <r>
    <d v="2025-04-15T22:26:26"/>
    <x v="11"/>
    <s v="Plaquettes rondes"/>
    <s v="j529800"/>
    <s v="MONTCHARMONT BAPTISTE"/>
    <n v="10"/>
    <x v="2"/>
    <x v="4"/>
    <s v="PLAQUETTES"/>
    <s v="302x26 RPI"/>
    <n v="108.5"/>
  </r>
  <r>
    <d v="2025-04-15T23:24:04"/>
    <x v="10"/>
    <s v="Plaquettes rondes"/>
    <s v="U109136"/>
    <s v="WIPLIE FREDERIC"/>
    <n v="10"/>
    <x v="0"/>
    <x v="3"/>
    <s v="PLAQUETTES"/>
    <s v="330x14"/>
    <n v="136.69999999999999"/>
  </r>
  <r>
    <d v="2025-04-16T07:00:18"/>
    <x v="11"/>
    <s v="Plaquettes rondes"/>
    <s v="140325"/>
    <s v="BOUCLIER JONATHAN"/>
    <n v="10"/>
    <x v="2"/>
    <x v="4"/>
    <s v="PLAQUETTES"/>
    <s v="302x26 RPI"/>
    <n v="108.5"/>
  </r>
  <r>
    <d v="2025-04-16T18:25:04"/>
    <x v="10"/>
    <s v="Plaquettes rondes"/>
    <s v="101224"/>
    <s v="CHAZEAU KYLIAN"/>
    <n v="10"/>
    <x v="0"/>
    <x v="3"/>
    <s v="PLAQUETTES"/>
    <s v="330x14"/>
    <n v="136.69999999999999"/>
  </r>
  <r>
    <d v="2025-04-17T22:38:53"/>
    <x v="10"/>
    <s v="Plaquettes rondes"/>
    <s v="SE08251"/>
    <s v="FAYET AYMERIC"/>
    <n v="10"/>
    <x v="0"/>
    <x v="3"/>
    <s v="PLAQUETTES"/>
    <s v="330x14"/>
    <n v="136.69999999999999"/>
  </r>
  <r>
    <d v="2025-04-18T13:15:36"/>
    <x v="10"/>
    <s v="Plaquettes rondes"/>
    <s v="130124"/>
    <s v="MOHAMED ILDIRAY"/>
    <n v="10"/>
    <x v="1"/>
    <x v="3"/>
    <s v="PLAQUETTES"/>
    <s v="356x26 RPI"/>
    <n v="136.69999999999999"/>
  </r>
  <r>
    <d v="2025-04-18T15:04:31"/>
    <x v="10"/>
    <s v="Plaquettes rondes"/>
    <s v="101224"/>
    <s v="CHAZEAU KYLIAN"/>
    <n v="10"/>
    <x v="0"/>
    <x v="3"/>
    <s v="PLAQUETTES"/>
    <s v="330x14"/>
    <n v="136.69999999999999"/>
  </r>
  <r>
    <d v="2025-04-19T09:31:03"/>
    <x v="10"/>
    <s v="Plaquettes rondes"/>
    <s v="150725"/>
    <s v="ADOUL WASSIM"/>
    <n v="10"/>
    <x v="0"/>
    <x v="3"/>
    <s v="PLAQUETTES"/>
    <s v="330x14"/>
    <n v="136.69999999999999"/>
  </r>
  <r>
    <d v="2025-04-20T19:08:33"/>
    <x v="10"/>
    <s v="Plaquettes rondes"/>
    <s v="150725"/>
    <s v="ADOUL WASSIM"/>
    <n v="10"/>
    <x v="0"/>
    <x v="3"/>
    <s v="PLAQUETTES"/>
    <s v="330x14"/>
    <n v="136.69999999999999"/>
  </r>
  <r>
    <d v="2025-04-21T06:27:38"/>
    <x v="10"/>
    <s v="Plaquettes rondes"/>
    <s v="130124"/>
    <s v="MOHAMED ILDIRAY"/>
    <n v="10"/>
    <x v="1"/>
    <x v="3"/>
    <s v="PLAQUETTES"/>
    <s v="304x28 RPE"/>
    <n v="136.69999999999999"/>
  </r>
  <r>
    <d v="2025-04-22T05:52:59"/>
    <x v="11"/>
    <s v="Plaquettes rondes"/>
    <s v="130124"/>
    <s v="MOHAMED ILDIRAY"/>
    <n v="10"/>
    <x v="1"/>
    <x v="3"/>
    <s v="PLAQUETTES"/>
    <s v="304x28 RPE"/>
    <n v="108.5"/>
  </r>
  <r>
    <d v="2025-04-22T17:03:51"/>
    <x v="10"/>
    <s v="Plaquettes rondes"/>
    <s v="280225"/>
    <s v="FERNANDES DOS SANTOS REMY"/>
    <n v="10"/>
    <x v="1"/>
    <x v="3"/>
    <s v="PLAQUETTES"/>
    <s v="304x28 RPE"/>
    <n v="136.69999999999999"/>
  </r>
  <r>
    <d v="2025-04-23T09:38:16"/>
    <x v="10"/>
    <s v="Plaquettes rondes"/>
    <s v="101224"/>
    <s v="CHAZEAU KYLIAN"/>
    <n v="10"/>
    <x v="0"/>
    <x v="3"/>
    <s v="PLAQUETTES"/>
    <s v="330x14"/>
    <n v="136.69999999999999"/>
  </r>
  <r>
    <d v="2025-04-23T19:39:33"/>
    <x v="11"/>
    <s v="Plaquettes rondes"/>
    <s v="280225"/>
    <s v="FERNANDES DOS SANTOS REMY"/>
    <n v="10"/>
    <x v="1"/>
    <x v="3"/>
    <s v="PLAQUETTES"/>
    <s v="304x28 RPE"/>
    <n v="108.5"/>
  </r>
  <r>
    <d v="2025-04-24T04:43:55"/>
    <x v="10"/>
    <s v="Plaquettes rondes"/>
    <s v="130325"/>
    <s v="PAPONNEAU JULIEN"/>
    <n v="10"/>
    <x v="1"/>
    <x v="3"/>
    <s v="PLAQUETTES"/>
    <s v="304x28 RPE"/>
    <n v="136.69999999999999"/>
  </r>
  <r>
    <d v="2025-04-24T04:44:17"/>
    <x v="11"/>
    <s v="Plaquettes rondes"/>
    <s v="130325"/>
    <s v="PAPONNEAU JULIEN"/>
    <n v="10"/>
    <x v="1"/>
    <x v="3"/>
    <s v="PLAQUETTES"/>
    <s v="304x28 RPE"/>
    <n v="108.5"/>
  </r>
  <r>
    <d v="2025-04-24T05:49:07"/>
    <x v="10"/>
    <s v="Plaquettes rondes"/>
    <s v="130124"/>
    <s v="MOHAMED ILDIRAY"/>
    <n v="10"/>
    <x v="1"/>
    <x v="3"/>
    <s v="PLAQUETTES"/>
    <s v="304x28 RPE"/>
    <n v="136.69999999999999"/>
  </r>
  <r>
    <d v="2025-04-24T12:39:31"/>
    <x v="11"/>
    <s v="Plaquettes rondes"/>
    <s v="210325"/>
    <s v="DAUTUN ALLAN"/>
    <n v="10"/>
    <x v="2"/>
    <x v="4"/>
    <s v="PLAQUETTES"/>
    <s v="302x26 RPI"/>
    <n v="108.5"/>
  </r>
  <r>
    <d v="2025-04-24T13:54:38"/>
    <x v="11"/>
    <s v="Plaquettes rondes"/>
    <s v="250425"/>
    <s v="CHANDAR ABDER"/>
    <n v="10"/>
    <x v="2"/>
    <x v="4"/>
    <s v="PLAQUETTES"/>
    <s v="302x26 RPI"/>
    <n v="108.5"/>
  </r>
  <r>
    <d v="2025-04-24T18:54:56"/>
    <x v="11"/>
    <s v="Plaquettes rondes"/>
    <s v="280225"/>
    <s v="FERNANDES DOS SANTOS REMY"/>
    <n v="10"/>
    <x v="1"/>
    <x v="3"/>
    <s v="PLAQUETTES"/>
    <s v="304x28 RPE"/>
    <n v="108.5"/>
  </r>
  <r>
    <d v="2025-04-24T22:12:04"/>
    <x v="10"/>
    <s v="Plaquettes rondes"/>
    <s v="SD75051"/>
    <s v="COMBALUZIER LUCAS"/>
    <n v="10"/>
    <x v="0"/>
    <x v="3"/>
    <s v="PLAQUETTES"/>
    <s v="356x26 RPI"/>
    <n v="136.69999999999999"/>
  </r>
  <r>
    <d v="2025-04-24T22:20:17"/>
    <x v="11"/>
    <s v="Plaquettes rondes"/>
    <s v="140325"/>
    <s v="BOUCLIER JONATHAN"/>
    <n v="10"/>
    <x v="2"/>
    <x v="4"/>
    <s v="PLAQUETTES"/>
    <s v="302x26 RPI"/>
    <n v="108.5"/>
  </r>
  <r>
    <d v="2025-04-25T18:03:45"/>
    <x v="10"/>
    <s v="Plaquettes rondes"/>
    <s v="280225"/>
    <s v="FERNANDES DOS SANTOS REMY"/>
    <n v="10"/>
    <x v="1"/>
    <x v="3"/>
    <s v="PLAQUETTES"/>
    <s v="304x28 RPE"/>
    <n v="136.69999999999999"/>
  </r>
  <r>
    <d v="2025-04-25T21:15:44"/>
    <x v="10"/>
    <s v="Plaquettes rondes"/>
    <s v="SD75051"/>
    <s v="COMBALUZIER LUCAS"/>
    <n v="10"/>
    <x v="0"/>
    <x v="3"/>
    <s v="PLAQUETTES"/>
    <s v="330x14"/>
    <n v="136.69999999999999"/>
  </r>
  <r>
    <d v="2025-04-26T06:41:09"/>
    <x v="11"/>
    <s v="Plaquettes rondes"/>
    <s v="DELIAT C"/>
    <s v="DELIAT CHRISTOPHE"/>
    <n v="10"/>
    <x v="2"/>
    <x v="4"/>
    <s v="PLAQUETTES"/>
    <s v="302x26 RPI"/>
    <n v="108.5"/>
  </r>
  <r>
    <d v="2025-04-27T17:55:58"/>
    <x v="11"/>
    <s v="Plaquettes rondes"/>
    <s v="J534699"/>
    <s v="FABIAN CHARTON"/>
    <n v="10"/>
    <x v="2"/>
    <x v="4"/>
    <s v="PLAQUETTES"/>
    <s v="302x26 RPI"/>
    <n v="108.5"/>
  </r>
  <r>
    <d v="2025-04-28T07:43:14"/>
    <x v="10"/>
    <s v="Plaquettes rondes"/>
    <s v="SE08251"/>
    <s v="FAYET AYMERIC"/>
    <n v="10"/>
    <x v="0"/>
    <x v="3"/>
    <s v="PLAQUETTES"/>
    <s v="356x26 RPI"/>
    <n v="136.69999999999999"/>
  </r>
  <r>
    <d v="2025-04-28T12:03:54"/>
    <x v="11"/>
    <s v="Plaquettes rondes"/>
    <s v="280225"/>
    <s v="FERNANDES DOS SANTOS REMY"/>
    <n v="10"/>
    <x v="1"/>
    <x v="3"/>
    <s v="PLAQUETTES"/>
    <s v="304x28 RPE"/>
    <n v="108.5"/>
  </r>
  <r>
    <d v="2025-04-28T15:02:00"/>
    <x v="11"/>
    <s v="Plaquettes rondes"/>
    <s v="140325"/>
    <s v="BOUCLIER JONATHAN"/>
    <n v="10"/>
    <x v="2"/>
    <x v="4"/>
    <s v="PLAQUETTES"/>
    <s v="302x26 RPI"/>
    <n v="108.5"/>
  </r>
  <r>
    <d v="2025-04-29T05:14:43"/>
    <x v="11"/>
    <s v="Plaquettes rondes"/>
    <s v="171124"/>
    <s v="GONIN AGNES"/>
    <n v="10"/>
    <x v="2"/>
    <x v="4"/>
    <s v="PLAQUETTES"/>
    <s v="302x26 RPI"/>
    <n v="108.5"/>
  </r>
  <r>
    <d v="2025-04-29T18:57:56"/>
    <x v="10"/>
    <s v="Plaquettes rondes"/>
    <s v="130325"/>
    <s v="PAPONNEAU JULIEN"/>
    <n v="10"/>
    <x v="1"/>
    <x v="3"/>
    <s v="PLAQUETTES"/>
    <s v="304x28 RPE"/>
    <n v="136.69999999999999"/>
  </r>
  <r>
    <d v="2025-04-30T05:23:18"/>
    <x v="10"/>
    <s v="Plaquettes rondes"/>
    <s v="SE08251"/>
    <s v="FAYET AYMERIC"/>
    <n v="10"/>
    <x v="0"/>
    <x v="3"/>
    <s v="PLAQUETTES"/>
    <s v="330x14"/>
    <n v="136.69999999999999"/>
  </r>
  <r>
    <d v="2025-04-30T21:26:11"/>
    <x v="11"/>
    <s v="Plaquettes rondes"/>
    <s v="130124"/>
    <s v="MOHAMED ILDIRAY"/>
    <n v="10"/>
    <x v="1"/>
    <x v="3"/>
    <s v="PLAQUETTES"/>
    <s v="304x28 RPE"/>
    <n v="108.5"/>
  </r>
  <r>
    <d v="2025-04-30T21:26:31"/>
    <x v="10"/>
    <s v="Plaquettes rondes"/>
    <s v="130124"/>
    <s v="MOHAMED ILDIRAY"/>
    <n v="10"/>
    <x v="1"/>
    <x v="3"/>
    <s v="PLAQUETTES"/>
    <s v="304x28 RPE"/>
    <n v="136.69999999999999"/>
  </r>
  <r>
    <d v="2025-05-02T05:12:18"/>
    <x v="10"/>
    <s v="Plaquettes rondes"/>
    <s v="150725"/>
    <s v="ADOUL WASSIM"/>
    <n v="10"/>
    <x v="0"/>
    <x v="3"/>
    <s v="PLAQUETTES"/>
    <s v="330x14"/>
    <n v="136.69999999999999"/>
  </r>
  <r>
    <d v="2025-05-02T09:55:17"/>
    <x v="11"/>
    <s v="Plaquettes rondes"/>
    <s v="J534699"/>
    <s v="FABIAN CHARTON"/>
    <n v="10"/>
    <x v="2"/>
    <x v="4"/>
    <s v="PLAQUETTES"/>
    <s v="302x26 RPI"/>
    <n v="108.5"/>
  </r>
  <r>
    <d v="2025-05-03T00:09:37"/>
    <x v="10"/>
    <s v="Plaquettes rondes"/>
    <s v="101224"/>
    <s v="CHAZEAU KYLIAN"/>
    <n v="10"/>
    <x v="0"/>
    <x v="3"/>
    <s v="PLAQUETTES"/>
    <s v="330x14"/>
    <n v="136.69999999999999"/>
  </r>
  <r>
    <d v="2025-05-04T14:14:48"/>
    <x v="10"/>
    <s v="Plaquettes rondes"/>
    <s v="U080365"/>
    <s v="ALAVOINE SAMUEL"/>
    <n v="10"/>
    <x v="3"/>
    <x v="3"/>
    <s v="PLAQUETTES"/>
    <s v="330x28 RPE KO"/>
    <n v="136.69999999999999"/>
  </r>
  <r>
    <d v="2025-05-05T09:29:36"/>
    <x v="10"/>
    <s v="Plaquettes rondes"/>
    <s v="7236310"/>
    <s v="BRANDALY JEREMY"/>
    <n v="10"/>
    <x v="0"/>
    <x v="3"/>
    <s v="PLAQUETTES"/>
    <s v="330x14"/>
    <n v="136.69999999999999"/>
  </r>
  <r>
    <d v="2025-05-05T22:12:29"/>
    <x v="10"/>
    <s v="Plaquettes rondes"/>
    <s v="SE08251"/>
    <s v="FAYET AYMERIC"/>
    <n v="10"/>
    <x v="0"/>
    <x v="3"/>
    <s v="PLAQUETTES"/>
    <s v="330x14"/>
    <n v="136.69999999999999"/>
  </r>
  <r>
    <d v="2025-05-06T02:20:22"/>
    <x v="11"/>
    <s v="Plaquettes rondes"/>
    <s v="280225"/>
    <s v="FERNANDES DOS SANTOS REMY"/>
    <n v="10"/>
    <x v="1"/>
    <x v="3"/>
    <s v="PLAQUETTES"/>
    <s v="304x28 RPE"/>
    <n v="108.5"/>
  </r>
  <r>
    <d v="2025-05-06T02:20:39"/>
    <x v="10"/>
    <s v="Plaquettes rondes"/>
    <s v="280225"/>
    <s v="FERNANDES DOS SANTOS REMY"/>
    <n v="10"/>
    <x v="1"/>
    <x v="3"/>
    <s v="PLAQUETTES"/>
    <s v="304x28 RPE"/>
    <n v="136.69999999999999"/>
  </r>
  <r>
    <d v="2025-05-07T04:47:16"/>
    <x v="10"/>
    <s v="Plaquettes rondes"/>
    <s v="SE08251"/>
    <s v="FAYET AYMERIC"/>
    <n v="10"/>
    <x v="0"/>
    <x v="3"/>
    <s v="PLAQUETTES"/>
    <s v="330x14"/>
    <n v="136.69999999999999"/>
  </r>
  <r>
    <d v="2025-05-07T09:06:25"/>
    <x v="10"/>
    <s v="Plaquettes rondes"/>
    <s v="130325"/>
    <s v="PAPONNEAU JULIEN"/>
    <n v="10"/>
    <x v="0"/>
    <x v="3"/>
    <s v="PLAQUETTES"/>
    <s v="330x14"/>
    <n v="136.69999999999999"/>
  </r>
  <r>
    <d v="2025-05-07T11:38:52"/>
    <x v="11"/>
    <s v="Plaquettes rondes"/>
    <s v="140325"/>
    <s v="BOUCLIER JONATHAN"/>
    <n v="10"/>
    <x v="2"/>
    <x v="4"/>
    <s v="PLAQUETTES"/>
    <s v="302x26 RPI"/>
    <n v="108.5"/>
  </r>
  <r>
    <d v="2025-05-07T21:19:12"/>
    <x v="10"/>
    <s v="Plaquettes rondes"/>
    <s v="280225"/>
    <s v="FERNANDES DOS SANTOS REMY"/>
    <n v="10"/>
    <x v="1"/>
    <x v="3"/>
    <s v="PLAQUETTES"/>
    <s v="356x26 RPI"/>
    <n v="136.69999999999999"/>
  </r>
  <r>
    <d v="2025-05-08T04:18:52"/>
    <x v="10"/>
    <s v="Plaquettes rondes"/>
    <s v="SE08251"/>
    <s v="FAYET AYMERIC"/>
    <n v="10"/>
    <x v="0"/>
    <x v="3"/>
    <s v="PLAQUETTES"/>
    <s v="330x14"/>
    <n v="136.69999999999999"/>
  </r>
  <r>
    <d v="2025-05-08T17:13:01"/>
    <x v="10"/>
    <s v="Plaquettes rondes"/>
    <s v="130124"/>
    <s v="MOHAMED ILDIRAY"/>
    <n v="10"/>
    <x v="3"/>
    <x v="3"/>
    <s v="PLAQUETTES"/>
    <s v="304x28 RPE"/>
    <n v="136.69999999999999"/>
  </r>
  <r>
    <d v="2025-05-09T21:17:02"/>
    <x v="10"/>
    <s v="Plaquettes rondes"/>
    <s v="SE08251"/>
    <s v="FAYET AYMERIC"/>
    <n v="10"/>
    <x v="0"/>
    <x v="3"/>
    <s v="PLAQUETTES"/>
    <s v="330x14"/>
    <n v="136.69999999999999"/>
  </r>
  <r>
    <d v="2025-05-10T00:02:32"/>
    <x v="11"/>
    <s v="Plaquettes rondes"/>
    <s v="250425"/>
    <s v="CHANDAR ABDER"/>
    <n v="10"/>
    <x v="2"/>
    <x v="4"/>
    <s v="PLAQUETTES"/>
    <s v="302x26 RPI"/>
    <n v="108.5"/>
  </r>
  <r>
    <d v="2025-05-10T01:38:21"/>
    <x v="11"/>
    <s v="Plaquettes rondes"/>
    <s v="280225"/>
    <s v="FERNANDES DOS SANTOS REMY"/>
    <n v="10"/>
    <x v="1"/>
    <x v="3"/>
    <s v="PLAQUETTES"/>
    <s v="304x28 RPE"/>
    <n v="108.5"/>
  </r>
  <r>
    <d v="2025-05-10T01:38:34"/>
    <x v="10"/>
    <s v="Plaquettes rondes"/>
    <s v="280225"/>
    <s v="FERNANDES DOS SANTOS REMY"/>
    <n v="10"/>
    <x v="1"/>
    <x v="3"/>
    <s v="PLAQUETTES"/>
    <s v="304x28 RPE"/>
    <n v="136.69999999999999"/>
  </r>
  <r>
    <d v="2025-05-11T14:53:03"/>
    <x v="10"/>
    <s v="Plaquettes rondes"/>
    <s v="U109136"/>
    <s v="WIPLIE FREDERIC"/>
    <n v="10"/>
    <x v="0"/>
    <x v="3"/>
    <s v="PLAQUETTES"/>
    <s v="330x14"/>
    <n v="136.69999999999999"/>
  </r>
  <r>
    <d v="2025-05-12T10:06:41"/>
    <x v="10"/>
    <s v="Plaquettes rondes"/>
    <s v="101224"/>
    <s v="CHAZEAU KYLIAN"/>
    <n v="10"/>
    <x v="0"/>
    <x v="3"/>
    <s v="PLAQUETTES"/>
    <s v="330x14"/>
    <n v="136.69999999999999"/>
  </r>
  <r>
    <d v="2025-05-13T06:49:08"/>
    <x v="10"/>
    <s v="Plaquettes rondes"/>
    <s v="130124"/>
    <s v="MOHAMED ILDIRAY"/>
    <n v="10"/>
    <x v="1"/>
    <x v="3"/>
    <s v="PLAQUETTES"/>
    <s v="304x28 RPE"/>
    <n v="136.69999999999999"/>
  </r>
  <r>
    <d v="2025-05-13T07:07:49"/>
    <x v="10"/>
    <s v="Plaquettes rondes"/>
    <s v="101224"/>
    <s v="CHAZEAU KYLIAN"/>
    <n v="10"/>
    <x v="0"/>
    <x v="3"/>
    <s v="PLAQUETTES"/>
    <s v="356x26 RPI"/>
    <n v="136.69999999999999"/>
  </r>
  <r>
    <d v="2025-05-13T19:04:01"/>
    <x v="11"/>
    <s v="Plaquettes rondes"/>
    <s v="250425"/>
    <s v="CHANDAR ABDER"/>
    <n v="10"/>
    <x v="2"/>
    <x v="4"/>
    <s v="PLAQUETTES"/>
    <s v="302x26 RPI"/>
    <n v="108.5"/>
  </r>
  <r>
    <d v="2025-05-14T05:13:43"/>
    <x v="11"/>
    <s v="Plaquettes rondes"/>
    <s v="130124"/>
    <s v="MOHAMED ILDIRAY"/>
    <n v="10"/>
    <x v="1"/>
    <x v="3"/>
    <s v="PLAQUETTES"/>
    <s v="304x28 RPE"/>
    <n v="108.5"/>
  </r>
  <r>
    <d v="2025-05-14T05:14:05"/>
    <x v="10"/>
    <s v="Plaquettes rondes"/>
    <s v="130124"/>
    <s v="MOHAMED ILDIRAY"/>
    <n v="10"/>
    <x v="1"/>
    <x v="3"/>
    <s v="PLAQUETTES"/>
    <s v="304x28 RPE"/>
    <n v="136.69999999999999"/>
  </r>
  <r>
    <d v="2025-05-15T00:52:28"/>
    <x v="10"/>
    <s v="Plaquettes rondes"/>
    <s v="130325"/>
    <s v="PAPONNEAU JULIEN"/>
    <n v="10"/>
    <x v="0"/>
    <x v="3"/>
    <s v="PLAQUETTES"/>
    <s v="356x26 RPI"/>
    <n v="136.69999999999999"/>
  </r>
  <r>
    <d v="2025-05-15T13:37:28"/>
    <x v="10"/>
    <s v="Plaquettes rondes"/>
    <s v="SE08251"/>
    <s v="FAYET AYMERIC"/>
    <n v="10"/>
    <x v="0"/>
    <x v="3"/>
    <s v="PLAQUETTES"/>
    <s v="356x26 RPI"/>
    <n v="136.69999999999999"/>
  </r>
  <r>
    <d v="2025-05-16T03:54:55"/>
    <x v="11"/>
    <s v="Plaquettes rondes"/>
    <s v="140325"/>
    <s v="BOUCLIER JONATHAN"/>
    <n v="10"/>
    <x v="2"/>
    <x v="4"/>
    <s v="PLAQUETTES"/>
    <s v="302x26 RPI"/>
    <n v="108.5"/>
  </r>
  <r>
    <d v="2025-05-16T08:38:40"/>
    <x v="11"/>
    <s v="Plaquettes rondes"/>
    <s v="J534699"/>
    <s v="FABIAN CHARTON"/>
    <n v="10"/>
    <x v="2"/>
    <x v="4"/>
    <s v="PLAQUETTES"/>
    <s v="302x26 RPI"/>
    <n v="108.5"/>
  </r>
  <r>
    <d v="2025-05-16T11:26:11"/>
    <x v="10"/>
    <s v="Plaquettes rondes"/>
    <s v="150725"/>
    <s v="ADOUL WASSIM"/>
    <n v="10"/>
    <x v="0"/>
    <x v="3"/>
    <s v="PLAQUETTES"/>
    <s v="356x26 RPI"/>
    <n v="136.69999999999999"/>
  </r>
  <r>
    <d v="2025-05-16T19:35:23"/>
    <x v="11"/>
    <s v="Plaquettes rondes"/>
    <s v="280225"/>
    <s v="FERNANDES DOS SANTOS REMY"/>
    <n v="10"/>
    <x v="1"/>
    <x v="3"/>
    <s v="PLAQUETTES"/>
    <s v="304x28 RPE"/>
    <n v="108.5"/>
  </r>
  <r>
    <d v="2025-05-16T22:15:03"/>
    <x v="10"/>
    <s v="Plaquettes rondes"/>
    <s v="130325"/>
    <s v="PAPONNEAU JULIEN"/>
    <n v="10"/>
    <x v="1"/>
    <x v="3"/>
    <s v="PLAQUETTES"/>
    <s v="304x28 RPE"/>
    <n v="136.69999999999999"/>
  </r>
  <r>
    <d v="2025-05-16T22:15:26"/>
    <x v="10"/>
    <s v="Plaquettes rondes"/>
    <s v="130325"/>
    <s v="PAPONNEAU JULIEN"/>
    <n v="10"/>
    <x v="1"/>
    <x v="3"/>
    <s v="PLAQUETTES"/>
    <s v="304x28 RPE"/>
    <n v="136.69999999999999"/>
  </r>
  <r>
    <d v="2025-05-17T01:54:25"/>
    <x v="10"/>
    <s v="Plaquettes rondes"/>
    <s v="130325"/>
    <s v="PAPONNEAU JULIEN"/>
    <n v="10"/>
    <x v="0"/>
    <x v="3"/>
    <s v="PLAQUETTES"/>
    <s v="356x26 RPI"/>
    <n v="136.69999999999999"/>
  </r>
  <r>
    <d v="2025-05-17T05:15:52"/>
    <x v="11"/>
    <s v="Plaquettes rondes"/>
    <s v="DELIAT C"/>
    <s v="DELIAT CHRISTOPHE"/>
    <n v="10"/>
    <x v="2"/>
    <x v="4"/>
    <s v="PLAQUETTES"/>
    <s v="302x26 RPI"/>
    <n v="108.5"/>
  </r>
  <r>
    <d v="2025-05-17T05:27:11"/>
    <x v="10"/>
    <s v="Plaquettes rondes"/>
    <s v="U109136"/>
    <s v="WIPLIE FREDERIC"/>
    <n v="10"/>
    <x v="1"/>
    <x v="3"/>
    <s v="PLAQUETTES"/>
    <s v="304x28 RPE"/>
    <n v="136.69999999999999"/>
  </r>
  <r>
    <d v="2025-05-17T05:29:07"/>
    <x v="10"/>
    <s v="Plaquettes rondes"/>
    <s v="150725"/>
    <s v="ADOUL WASSIM"/>
    <n v="10"/>
    <x v="0"/>
    <x v="3"/>
    <s v="PLAQUETTES"/>
    <s v="356x26 RPI"/>
    <n v="136.69999999999999"/>
  </r>
  <r>
    <d v="2025-05-19T13:20:03"/>
    <x v="10"/>
    <s v="Plaquettes rondes"/>
    <s v="SD75051"/>
    <s v="COMBALUZIER LUCAS"/>
    <n v="10"/>
    <x v="0"/>
    <x v="3"/>
    <s v="PLAQUETTES"/>
    <s v="330x14"/>
    <n v="136.69999999999999"/>
  </r>
  <r>
    <d v="2025-05-19T13:29:39"/>
    <x v="11"/>
    <s v="Plaquettes rondes"/>
    <s v="u636817"/>
    <s v="MOCQUEREAU LYDIE"/>
    <n v="10"/>
    <x v="2"/>
    <x v="4"/>
    <s v="PLAQUETTES"/>
    <s v="302x26 RPI"/>
    <n v="108.5"/>
  </r>
  <r>
    <d v="2025-05-19T22:02:37"/>
    <x v="10"/>
    <s v="Plaquettes rondes"/>
    <s v="101224"/>
    <s v="CHAZEAU KYLIAN"/>
    <n v="10"/>
    <x v="0"/>
    <x v="3"/>
    <s v="PLAQUETTES"/>
    <s v="330x14"/>
    <n v="136.69999999999999"/>
  </r>
  <r>
    <d v="2025-05-20T02:16:43"/>
    <x v="11"/>
    <s v="Plaquettes rondes"/>
    <s v="130124"/>
    <s v="MOHAMED ILDIRAY"/>
    <n v="10"/>
    <x v="1"/>
    <x v="3"/>
    <s v="PLAQUETTES"/>
    <s v="304x28 RPE"/>
    <n v="108.5"/>
  </r>
  <r>
    <d v="2025-05-20T02:16:59"/>
    <x v="10"/>
    <s v="Plaquettes rondes"/>
    <s v="130124"/>
    <s v="MOHAMED ILDIRAY"/>
    <n v="10"/>
    <x v="1"/>
    <x v="3"/>
    <s v="PLAQUETTES"/>
    <s v="304x28 RPE"/>
    <n v="136.69999999999999"/>
  </r>
  <r>
    <d v="2025-05-21T02:01:04"/>
    <x v="10"/>
    <s v="Plaquettes rondes"/>
    <s v="101224"/>
    <s v="CHAZEAU KYLIAN"/>
    <n v="10"/>
    <x v="0"/>
    <x v="3"/>
    <s v="PLAQUETTES"/>
    <s v="330x14"/>
    <n v="136.69999999999999"/>
  </r>
  <r>
    <d v="2025-05-22T01:26:08"/>
    <x v="10"/>
    <s v="Plaquettes rondes"/>
    <s v="101224"/>
    <s v="CHAZEAU KYLIAN"/>
    <n v="10"/>
    <x v="0"/>
    <x v="3"/>
    <s v="PLAQUETTES"/>
    <s v="330x14"/>
    <n v="136.69999999999999"/>
  </r>
  <r>
    <d v="2025-05-22T07:09:49"/>
    <x v="11"/>
    <s v="Plaquettes rondes"/>
    <s v="250425"/>
    <s v="CHANDAR ABDER"/>
    <n v="10"/>
    <x v="2"/>
    <x v="4"/>
    <s v="PLAQUETTES"/>
    <s v="302x26 RPI"/>
    <n v="108.5"/>
  </r>
  <r>
    <d v="2025-05-22T09:42:26"/>
    <x v="10"/>
    <s v="Plaquettes rondes"/>
    <s v="280225"/>
    <s v="FERNANDES DOS SANTOS REMY"/>
    <n v="10"/>
    <x v="1"/>
    <x v="3"/>
    <s v="PLAQUETTES"/>
    <s v="356x26 RPI"/>
    <n v="136.69999999999999"/>
  </r>
  <r>
    <d v="2025-05-22T13:51:16"/>
    <x v="11"/>
    <s v="Plaquettes rondes"/>
    <s v="140325"/>
    <s v="BOUCLIER JONATHAN"/>
    <n v="10"/>
    <x v="2"/>
    <x v="4"/>
    <s v="PLAQUETTES"/>
    <s v="302x26 RPI"/>
    <n v="108.5"/>
  </r>
  <r>
    <d v="2025-05-22T21:49:08"/>
    <x v="10"/>
    <s v="Plaquettes rondes"/>
    <s v="130124"/>
    <s v="MOHAMED ILDIRAY"/>
    <n v="10"/>
    <x v="1"/>
    <x v="3"/>
    <s v="PLAQUETTES"/>
    <s v="356x26 RPI"/>
    <n v="136.69999999999999"/>
  </r>
  <r>
    <d v="2025-05-23T04:19:14"/>
    <x v="10"/>
    <s v="Plaquettes rondes"/>
    <s v="101224"/>
    <s v="CHAZEAU KYLIAN"/>
    <n v="10"/>
    <x v="0"/>
    <x v="3"/>
    <s v="PLAQUETTES"/>
    <s v="330x14"/>
    <n v="136.69999999999999"/>
  </r>
  <r>
    <d v="2025-05-23T22:01:35"/>
    <x v="10"/>
    <s v="Plaquettes rondes"/>
    <s v="101224"/>
    <s v="CHAZEAU KYLIAN"/>
    <n v="10"/>
    <x v="0"/>
    <x v="3"/>
    <s v="PLAQUETTES"/>
    <s v="330x14"/>
    <n v="136.69999999999999"/>
  </r>
  <r>
    <d v="2025-05-24T00:26:33"/>
    <x v="10"/>
    <s v="Plaquettes rondes"/>
    <s v="101224"/>
    <s v="CHAZEAU KYLIAN"/>
    <n v="10"/>
    <x v="3"/>
    <x v="3"/>
    <s v="PLAQUETTES"/>
    <s v="330x28 RPE KO"/>
    <n v="136.69999999999999"/>
  </r>
  <r>
    <d v="2025-05-26T14:27:22"/>
    <x v="11"/>
    <s v="Plaquettes rondes"/>
    <s v="130124"/>
    <s v="MOHAMED ILDIRAY"/>
    <n v="10"/>
    <x v="1"/>
    <x v="3"/>
    <s v="PLAQUETTES"/>
    <s v="304x28 RPE"/>
    <n v="108.5"/>
  </r>
  <r>
    <d v="2025-05-26T14:27:39"/>
    <x v="10"/>
    <s v="Plaquettes rondes"/>
    <s v="130124"/>
    <s v="MOHAMED ILDIRAY"/>
    <n v="10"/>
    <x v="1"/>
    <x v="3"/>
    <s v="PLAQUETTES"/>
    <s v="304x28 RPE"/>
    <n v="136.69999999999999"/>
  </r>
  <r>
    <d v="2025-05-27T00:47:24"/>
    <x v="10"/>
    <s v="Plaquettes rondes"/>
    <s v="SE08251"/>
    <s v="FAYET AYMERIC"/>
    <n v="10"/>
    <x v="0"/>
    <x v="3"/>
    <s v="PLAQUETTES"/>
    <s v="356x26 RPI"/>
    <n v="136.69999999999999"/>
  </r>
  <r>
    <d v="2025-05-27T05:36:35"/>
    <x v="11"/>
    <s v="Plaquettes rondes"/>
    <s v="140325"/>
    <s v="BOUCLIER JONATHAN"/>
    <n v="10"/>
    <x v="2"/>
    <x v="4"/>
    <s v="PLAQUETTES"/>
    <s v="302x26 RPI"/>
    <n v="108.5"/>
  </r>
  <r>
    <d v="2025-05-27T22:12:03"/>
    <x v="10"/>
    <s v="Plaquettes rondes"/>
    <s v="SE08251"/>
    <s v="FAYET AYMERIC"/>
    <n v="10"/>
    <x v="0"/>
    <x v="3"/>
    <s v="PLAQUETTES"/>
    <s v="356x26 RPI"/>
    <n v="136.69999999999999"/>
  </r>
  <r>
    <d v="2025-05-28T03:53:39"/>
    <x v="11"/>
    <s v="Plaquettes rondes"/>
    <s v="250425"/>
    <s v="CHANDAR ABDER"/>
    <n v="10"/>
    <x v="2"/>
    <x v="4"/>
    <s v="PLAQUETTES"/>
    <s v="302x26 RPI"/>
    <n v="108.5"/>
  </r>
  <r>
    <d v="2025-05-28T21:22:09"/>
    <x v="10"/>
    <s v="Plaquettes rondes"/>
    <s v="SE08251"/>
    <s v="FAYET AYMERIC"/>
    <n v="10"/>
    <x v="0"/>
    <x v="3"/>
    <s v="PLAQUETTES"/>
    <s v="356x26 RPI"/>
    <n v="136.69999999999999"/>
  </r>
  <r>
    <d v="2025-05-28T21:46:04"/>
    <x v="10"/>
    <s v="Plaquettes rondes"/>
    <s v="280225"/>
    <s v="FERNANDES DOS SANTOS REMY"/>
    <n v="10"/>
    <x v="1"/>
    <x v="3"/>
    <s v="PLAQUETTES"/>
    <s v="304x28 RPE"/>
    <n v="136.69999999999999"/>
  </r>
  <r>
    <d v="2025-05-29T13:17:42"/>
    <x v="11"/>
    <s v="Plaquettes rondes"/>
    <s v="130124"/>
    <s v="MOHAMED ILDIRAY"/>
    <n v="10"/>
    <x v="1"/>
    <x v="3"/>
    <s v="PLAQUETTES"/>
    <s v="304x28 RPE"/>
    <n v="108.5"/>
  </r>
  <r>
    <d v="2025-05-30T01:32:16"/>
    <x v="11"/>
    <s v="Plaquettes rondes"/>
    <s v="280225"/>
    <s v="FERNANDES DOS SANTOS REMY"/>
    <n v="10"/>
    <x v="1"/>
    <x v="3"/>
    <s v="PLAQUETTES"/>
    <s v="304x28 RPE"/>
    <n v="108.5"/>
  </r>
  <r>
    <d v="2025-05-30T12:29:52"/>
    <x v="10"/>
    <s v="Plaquettes rondes"/>
    <s v="U109136"/>
    <s v="WIPLIE FREDERIC"/>
    <n v="10"/>
    <x v="1"/>
    <x v="3"/>
    <s v="PLAQUETTES"/>
    <s v="304x28 RPE"/>
    <n v="136.69999999999999"/>
  </r>
  <r>
    <d v="2025-05-30T23:55:29"/>
    <x v="11"/>
    <s v="Plaquettes rondes"/>
    <s v="280225"/>
    <s v="FERNANDES DOS SANTOS REMY"/>
    <n v="10"/>
    <x v="1"/>
    <x v="3"/>
    <s v="PLAQUETTES"/>
    <s v="304x28 RPE"/>
    <n v="108.5"/>
  </r>
  <r>
    <d v="2025-06-02T03:50:28"/>
    <x v="10"/>
    <s v="Plaquettes rondes"/>
    <s v="150725"/>
    <s v="ADOUL WASSIM"/>
    <n v="10"/>
    <x v="0"/>
    <x v="3"/>
    <s v="PLAQUETTES"/>
    <s v="356x26 RPI"/>
    <n v="136.69999999999999"/>
  </r>
  <r>
    <d v="2025-06-02T05:41:51"/>
    <x v="10"/>
    <s v="Plaquettes rondes"/>
    <s v="130124"/>
    <s v="MOHAMED ILDIRAY"/>
    <n v="10"/>
    <x v="1"/>
    <x v="3"/>
    <s v="PLAQUETTES"/>
    <s v="304x28 RPE"/>
    <n v="136.69999999999999"/>
  </r>
  <r>
    <d v="2025-06-02T11:50:34"/>
    <x v="11"/>
    <s v="Plaquettes rondes"/>
    <s v="210325"/>
    <s v="DAUTUN ALLAN"/>
    <n v="10"/>
    <x v="2"/>
    <x v="4"/>
    <s v="PLAQUETTES"/>
    <s v="302x26 RPI"/>
    <n v="108.5"/>
  </r>
  <r>
    <d v="2025-06-02T21:40:38"/>
    <x v="11"/>
    <s v="Plaquettes rondes"/>
    <s v="140325"/>
    <s v="BOUCLIER JONATHAN"/>
    <n v="10"/>
    <x v="2"/>
    <x v="4"/>
    <s v="PLAQUETTES"/>
    <s v="302x26 RPI"/>
    <n v="108.5"/>
  </r>
  <r>
    <d v="2025-06-03T13:27:33"/>
    <x v="10"/>
    <s v="Plaquettes rondes"/>
    <s v="280225"/>
    <s v="FERNANDES DOS SANTOS REMY"/>
    <n v="10"/>
    <x v="1"/>
    <x v="3"/>
    <s v="PLAQUETTES"/>
    <s v="304x28 RPE"/>
    <n v="136.69999999999999"/>
  </r>
  <r>
    <d v="2025-06-04T03:13:12"/>
    <x v="11"/>
    <s v="Plaquettes rondes"/>
    <s v="140325"/>
    <s v="BOUCLIER JONATHAN"/>
    <n v="10"/>
    <x v="2"/>
    <x v="4"/>
    <s v="PLAQUETTES"/>
    <s v="302x26 RPI"/>
    <n v="108.5"/>
  </r>
  <r>
    <d v="2025-06-05T13:56:59"/>
    <x v="11"/>
    <s v="Plaquettes rondes"/>
    <s v="280225"/>
    <s v="FERNANDES DOS SANTOS REMY"/>
    <n v="10"/>
    <x v="1"/>
    <x v="3"/>
    <s v="PLAQUETTES"/>
    <s v="304x28 RPE"/>
    <n v="108.5"/>
  </r>
  <r>
    <d v="2025-06-05T16:51:11"/>
    <x v="10"/>
    <s v="Plaquettes rondes"/>
    <s v="280225"/>
    <s v="FERNANDES DOS SANTOS REMY"/>
    <n v="10"/>
    <x v="1"/>
    <x v="3"/>
    <s v="PLAQUETTES"/>
    <s v="356x26 RPI"/>
    <n v="136.69999999999999"/>
  </r>
  <r>
    <d v="2025-06-06T13:08:01"/>
    <x v="11"/>
    <s v="Plaquettes rondes"/>
    <s v="250425"/>
    <s v="CHANDAR ABDER"/>
    <n v="10"/>
    <x v="2"/>
    <x v="4"/>
    <s v="PLAQUETTES"/>
    <s v="302x26 RPI"/>
    <n v="108.5"/>
  </r>
  <r>
    <d v="2025-06-06T14:19:43"/>
    <x v="10"/>
    <s v="Plaquettes rondes"/>
    <s v="280225"/>
    <s v="FERNANDES DOS SANTOS REMY"/>
    <n v="10"/>
    <x v="1"/>
    <x v="3"/>
    <s v="PLAQUETTES"/>
    <s v="356x26 RPI"/>
    <n v="136.69999999999999"/>
  </r>
  <r>
    <d v="2025-06-06T15:35:08"/>
    <x v="11"/>
    <s v="Plaquettes rondes"/>
    <s v="SE08251"/>
    <s v="FAYET AYMERIC"/>
    <n v="10"/>
    <x v="3"/>
    <x v="3"/>
    <s v="PLAQUETTES"/>
    <s v="302x26 RPI"/>
    <n v="108.5"/>
  </r>
  <r>
    <d v="2025-06-06T21:37:03"/>
    <x v="11"/>
    <s v="Plaquettes rondes"/>
    <s v="140325"/>
    <s v="BOUCLIER JONATHAN"/>
    <n v="10"/>
    <x v="2"/>
    <x v="4"/>
    <s v="PLAQUETTES"/>
    <s v="302x26 RPI"/>
    <n v="108.5"/>
  </r>
  <r>
    <d v="2025-06-07T05:31:11"/>
    <x v="11"/>
    <s v="Plaquettes rondes"/>
    <s v="DELIAT C"/>
    <s v="DELIAT CHRISTOPHE"/>
    <n v="10"/>
    <x v="2"/>
    <x v="4"/>
    <s v="PLAQUETTES"/>
    <s v="302x26 RPI"/>
    <n v="108.5"/>
  </r>
  <r>
    <d v="2025-06-07T16:59:27"/>
    <x v="11"/>
    <s v="Plaquettes rondes"/>
    <s v="J534699"/>
    <s v="FABIAN CHARTON"/>
    <n v="10"/>
    <x v="2"/>
    <x v="4"/>
    <s v="PLAQUETTES"/>
    <s v="302x26 RPI"/>
    <n v="108.5"/>
  </r>
  <r>
    <d v="2025-06-08T21:30:09"/>
    <x v="10"/>
    <s v="Plaquettes rondes"/>
    <s v="U109136"/>
    <s v="WIPLIE FREDERIC"/>
    <n v="10"/>
    <x v="3"/>
    <x v="3"/>
    <s v="PLAQUETTES"/>
    <s v="302x26 RPI"/>
    <n v="136.69999999999999"/>
  </r>
  <r>
    <d v="2025-06-10T10:24:37"/>
    <x v="11"/>
    <s v="Plaquettes rondes"/>
    <s v="U505000"/>
    <s v="RECEVEUR BENOIT"/>
    <n v="10"/>
    <x v="2"/>
    <x v="4"/>
    <s v="PLAQUETTES"/>
    <s v="302x26 RPI"/>
    <n v="108.5"/>
  </r>
  <r>
    <d v="2025-06-10T23:30:13"/>
    <x v="10"/>
    <s v="Plaquettes rondes"/>
    <s v="130124"/>
    <s v="MOHAMED ILDIRAY"/>
    <n v="10"/>
    <x v="1"/>
    <x v="3"/>
    <s v="PLAQUETTES"/>
    <s v="304x28 RPE"/>
    <n v="136.69999999999999"/>
  </r>
  <r>
    <d v="2025-06-11T13:22:43"/>
    <x v="10"/>
    <s v="Plaquettes rondes"/>
    <s v="U537558"/>
    <s v="RAY ALEXIS"/>
    <n v="10"/>
    <x v="3"/>
    <x v="3"/>
    <s v="PLAQUETTES"/>
    <s v="330x28 RPE KO"/>
    <n v="136.69999999999999"/>
  </r>
  <r>
    <d v="2025-06-12T05:14:18"/>
    <x v="10"/>
    <s v="Plaquettes rondes"/>
    <s v="280225"/>
    <s v="FERNANDES DOS SANTOS REMY"/>
    <n v="10"/>
    <x v="1"/>
    <x v="3"/>
    <s v="PLAQUETTES"/>
    <s v="304x28 RPE"/>
    <n v="136.69999999999999"/>
  </r>
  <r>
    <d v="2025-06-12T06:12:18"/>
    <x v="11"/>
    <s v="Plaquettes rondes"/>
    <s v="SE08251"/>
    <s v="FAYET AYMERIC"/>
    <n v="10"/>
    <x v="3"/>
    <x v="3"/>
    <s v="PLAQUETTES"/>
    <s v="330x28 RPE KO"/>
    <n v="108.5"/>
  </r>
  <r>
    <d v="2025-06-12T07:03:49"/>
    <x v="10"/>
    <s v="Plaquettes rondes"/>
    <s v="SE08251"/>
    <s v="FAYET AYMERIC"/>
    <n v="10"/>
    <x v="0"/>
    <x v="3"/>
    <s v="PLAQUETTES"/>
    <s v="356x26 RPI"/>
    <n v="136.69999999999999"/>
  </r>
  <r>
    <d v="2025-06-13T08:14:59"/>
    <x v="11"/>
    <s v="Plaquettes rondes"/>
    <s v="J534699"/>
    <s v="FABIAN CHARTON"/>
    <n v="10"/>
    <x v="2"/>
    <x v="4"/>
    <s v="PLAQUETTES"/>
    <s v="302x26 RPI"/>
    <n v="108.5"/>
  </r>
  <r>
    <d v="2025-06-16T00:00:42"/>
    <x v="10"/>
    <s v="Plaquettes rondes"/>
    <s v="150725"/>
    <s v="ADOUL WASSIM"/>
    <n v="10"/>
    <x v="0"/>
    <x v="3"/>
    <s v="PLAQUETTES"/>
    <s v="356x26 RPI"/>
    <n v="136.69999999999999"/>
  </r>
  <r>
    <d v="2025-06-16T06:23:41"/>
    <x v="10"/>
    <s v="Plaquettes rondes"/>
    <s v="SD75051"/>
    <s v="COMBALUZIER LUCAS"/>
    <n v="10"/>
    <x v="3"/>
    <x v="3"/>
    <s v="PLAQUETTES"/>
    <s v="302x26 RPI"/>
    <n v="136.69999999999999"/>
  </r>
  <r>
    <d v="2025-06-16T13:22:12"/>
    <x v="10"/>
    <s v="Plaquettes rondes"/>
    <s v="130124"/>
    <s v="MOHAMED ILDIRAY"/>
    <n v="10"/>
    <x v="1"/>
    <x v="3"/>
    <s v="PLAQUETTES"/>
    <s v="304x28 RPE"/>
    <n v="136.69999999999999"/>
  </r>
  <r>
    <d v="2025-06-16T13:22:32"/>
    <x v="11"/>
    <s v="Plaquettes rondes"/>
    <s v="130124"/>
    <s v="MOHAMED ILDIRAY"/>
    <n v="10"/>
    <x v="1"/>
    <x v="3"/>
    <s v="PLAQUETTES"/>
    <s v="304x28 RPE"/>
    <n v="108.5"/>
  </r>
  <r>
    <d v="2025-06-16T23:34:58"/>
    <x v="10"/>
    <s v="Plaquettes rondes"/>
    <s v="SE08251"/>
    <s v="FAYET AYMERIC"/>
    <n v="10"/>
    <x v="3"/>
    <x v="3"/>
    <s v="PLAQUETTES"/>
    <s v="302x26 RPI"/>
    <n v="136.69999999999999"/>
  </r>
  <r>
    <d v="2025-06-17T05:22:17"/>
    <x v="11"/>
    <s v="Plaquettes rondes"/>
    <s v="140325"/>
    <s v="BOUCLIER JONATHAN"/>
    <n v="10"/>
    <x v="2"/>
    <x v="4"/>
    <s v="PLAQUETTES"/>
    <s v="302x26 RPI"/>
    <n v="108.5"/>
  </r>
  <r>
    <d v="2025-06-17T21:18:34"/>
    <x v="10"/>
    <s v="Plaquettes rondes"/>
    <s v="280225"/>
    <s v="FERNANDES DOS SANTOS REMY"/>
    <n v="10"/>
    <x v="1"/>
    <x v="3"/>
    <s v="PLAQUETTES"/>
    <s v="304x28 RPE"/>
    <n v="136.69999999999999"/>
  </r>
  <r>
    <d v="2025-06-17T21:18:48"/>
    <x v="11"/>
    <s v="Plaquettes rondes"/>
    <s v="280225"/>
    <s v="FERNANDES DOS SANTOS REMY"/>
    <n v="10"/>
    <x v="1"/>
    <x v="3"/>
    <s v="PLAQUETTES"/>
    <s v="304x28 RPE"/>
    <n v="108.5"/>
  </r>
  <r>
    <d v="2025-06-20T17:34:58"/>
    <x v="10"/>
    <s v="Plaquettes rondes"/>
    <s v="130124"/>
    <s v="MOHAMED ILDIRAY"/>
    <n v="10"/>
    <x v="1"/>
    <x v="3"/>
    <s v="PLAQUETTES"/>
    <s v="356x26 RPI"/>
    <n v="136.69999999999999"/>
  </r>
  <r>
    <d v="2025-06-21T05:17:14"/>
    <x v="11"/>
    <s v="Plaquettes rondes"/>
    <s v="DELIAT C"/>
    <s v="DELIAT CHRISTOPHE"/>
    <n v="10"/>
    <x v="2"/>
    <x v="4"/>
    <s v="PLAQUETTES"/>
    <s v="302x26 RPI"/>
    <n v="108.5"/>
  </r>
  <r>
    <d v="2025-06-24T13:22:40"/>
    <x v="10"/>
    <s v="Plaquettes rondes"/>
    <s v="280225"/>
    <s v="FERNANDES DOS SANTOS REMY"/>
    <n v="10"/>
    <x v="1"/>
    <x v="3"/>
    <s v="PLAQUETTES"/>
    <s v="356x26 RPI"/>
    <n v="136.69999999999999"/>
  </r>
  <r>
    <d v="2025-06-24T13:23:18"/>
    <x v="11"/>
    <s v="Plaquettes rondes"/>
    <s v="280225"/>
    <s v="FERNANDES DOS SANTOS REMY"/>
    <n v="10"/>
    <x v="1"/>
    <x v="3"/>
    <s v="PLAQUETTES"/>
    <s v="304x28 RPE"/>
    <n v="108.5"/>
  </r>
  <r>
    <d v="2025-06-24T22:53:48"/>
    <x v="10"/>
    <s v="Plaquettes rondes"/>
    <s v="U109136"/>
    <s v="WIPLIE FREDERIC"/>
    <n v="10"/>
    <x v="3"/>
    <x v="3"/>
    <s v="PLAQUETTES"/>
    <s v="304x28 RPE"/>
    <n v="136.69999999999999"/>
  </r>
  <r>
    <d v="2025-06-25T06:16:54"/>
    <x v="10"/>
    <s v="Plaquettes rondes"/>
    <s v="U561365"/>
    <s v="BALLY BENOIT"/>
    <n v="10"/>
    <x v="3"/>
    <x v="3"/>
    <s v="PLAQUETTES"/>
    <s v="304x28 RPE"/>
    <n v="136.69999999999999"/>
  </r>
  <r>
    <d v="2025-06-25T21:32:21"/>
    <x v="11"/>
    <s v="Plaquettes rondes"/>
    <s v="140325"/>
    <s v="BOUCLIER JONATHAN"/>
    <n v="10"/>
    <x v="2"/>
    <x v="4"/>
    <s v="PLAQUETTES"/>
    <s v="302x26 RPI"/>
    <n v="108.5"/>
  </r>
  <r>
    <d v="2025-06-26T15:28:49"/>
    <x v="10"/>
    <s v="Plaquettes rondes"/>
    <s v="280225"/>
    <s v="FERNANDES DOS SANTOS REMY"/>
    <n v="10"/>
    <x v="1"/>
    <x v="3"/>
    <s v="PLAQUETTES"/>
    <s v="356x26 RPI"/>
    <n v="136.69999999999999"/>
  </r>
  <r>
    <d v="2025-06-26T17:33:51"/>
    <x v="11"/>
    <s v="Plaquettes rondes"/>
    <s v="280225"/>
    <s v="FERNANDES DOS SANTOS REMY"/>
    <n v="10"/>
    <x v="2"/>
    <x v="4"/>
    <s v="PLAQUETTES"/>
    <s v="283x26 RPI"/>
    <n v="108.5"/>
  </r>
  <r>
    <d v="2025-06-27T17:46:36"/>
    <x v="11"/>
    <s v="Plaquettes rondes"/>
    <s v="SE08251"/>
    <s v="FAYET AYMERIC"/>
    <n v="10"/>
    <x v="2"/>
    <x v="4"/>
    <s v="PLAQUETTES"/>
    <s v="302x26 RPI"/>
    <n v="108.5"/>
  </r>
  <r>
    <d v="2025-06-28T05:28:59"/>
    <x v="11"/>
    <s v="Plaquettes rondes"/>
    <s v="DELIAT C"/>
    <s v="DELIAT CHRISTOPHE"/>
    <n v="10"/>
    <x v="2"/>
    <x v="4"/>
    <s v="PLAQUETTES"/>
    <s v="302x26 RPI"/>
    <n v="108.5"/>
  </r>
  <r>
    <d v="2025-06-30T05:25:13"/>
    <x v="10"/>
    <s v="Plaquettes rondes"/>
    <s v="280225"/>
    <s v="FERNANDES DOS SANTOS REMY"/>
    <n v="10"/>
    <x v="1"/>
    <x v="3"/>
    <s v="PLAQUETTES"/>
    <s v="356x26 RPI"/>
    <n v="136.69999999999999"/>
  </r>
  <r>
    <d v="2025-06-30T06:41:51"/>
    <x v="10"/>
    <s v="Plaquettes rondes"/>
    <s v="SE08251"/>
    <s v="FAYET AYMERIC"/>
    <n v="10"/>
    <x v="3"/>
    <x v="3"/>
    <s v="PLAQUETTES"/>
    <s v="304x28 RPE"/>
    <n v="136.69999999999999"/>
  </r>
  <r>
    <d v="2025-06-30T06:42:18"/>
    <x v="11"/>
    <s v="Plaquettes rondes"/>
    <s v="SE08251"/>
    <s v="FAYET AYMERIC"/>
    <n v="10"/>
    <x v="3"/>
    <x v="3"/>
    <s v="PLAQUETTES"/>
    <s v="330x28 RPE KO"/>
    <n v="108.5"/>
  </r>
  <r>
    <d v="2025-06-30T19:29:49"/>
    <x v="11"/>
    <s v="Plaquettes rondes"/>
    <s v="140325"/>
    <s v="BOUCLIER JONATHAN"/>
    <n v="10"/>
    <x v="2"/>
    <x v="4"/>
    <s v="PLAQUETTES"/>
    <s v="302x26 RPI"/>
    <n v="108.5"/>
  </r>
  <r>
    <d v="2025-07-03T01:32:54"/>
    <x v="10"/>
    <s v="Plaquettes rondes"/>
    <s v="130124"/>
    <s v="MOHAMED ILDIRAY"/>
    <n v="10"/>
    <x v="1"/>
    <x v="3"/>
    <s v="PLAQUETTES"/>
    <s v="356x26 RPI"/>
    <n v="136.69999999999999"/>
  </r>
  <r>
    <d v="2025-07-04T05:36:36"/>
    <x v="11"/>
    <s v="Plaquettes rondes"/>
    <s v="DELIAT C"/>
    <s v="DELIAT CHRISTOPHE"/>
    <n v="10"/>
    <x v="2"/>
    <x v="4"/>
    <s v="PLAQUETTES"/>
    <s v="302x26 RPI"/>
    <n v="108.5"/>
  </r>
  <r>
    <d v="2025-07-04T21:03:50"/>
    <x v="10"/>
    <s v="Plaquettes rondes"/>
    <s v="130124"/>
    <s v="MOHAMED ILDIRAY"/>
    <n v="10"/>
    <x v="1"/>
    <x v="3"/>
    <s v="PLAQUETTES"/>
    <s v="356x26 RPI"/>
    <n v="136.69999999999999"/>
  </r>
  <r>
    <d v="2025-07-07T15:57:28"/>
    <x v="11"/>
    <s v="Plaquettes rondes"/>
    <s v="210325"/>
    <s v="DAUTUN ALLAN"/>
    <n v="10"/>
    <x v="2"/>
    <x v="4"/>
    <s v="PLAQUETTES"/>
    <s v="302x26 RPI"/>
    <n v="108.5"/>
  </r>
  <r>
    <d v="2025-07-07T16:03:17"/>
    <x v="10"/>
    <s v="Plaquettes rondes"/>
    <s v="130124"/>
    <s v="MOHAMED ILDIRAY"/>
    <n v="10"/>
    <x v="1"/>
    <x v="3"/>
    <s v="PLAQUETTES"/>
    <s v="356x26 RPI"/>
    <n v="136.69999999999999"/>
  </r>
  <r>
    <d v="2025-07-08T12:07:21"/>
    <x v="11"/>
    <s v="Plaquettes rondes"/>
    <s v="140325"/>
    <s v="BOUCLIER JONATHAN"/>
    <n v="10"/>
    <x v="2"/>
    <x v="4"/>
    <s v="PLAQUETTES"/>
    <s v="302x26 RPI"/>
    <n v="108.5"/>
  </r>
  <r>
    <d v="2025-07-09T13:14:38"/>
    <x v="11"/>
    <s v="Plaquettes rondes"/>
    <s v="130124"/>
    <s v="MOHAMED ILDIRAY"/>
    <n v="10"/>
    <x v="1"/>
    <x v="3"/>
    <s v="PLAQUETTES"/>
    <s v="304x28 RPE"/>
    <n v="108.5"/>
  </r>
  <r>
    <d v="2025-07-09T13:15:04"/>
    <x v="10"/>
    <s v="Plaquettes rondes"/>
    <s v="130124"/>
    <s v="MOHAMED ILDIRAY"/>
    <n v="10"/>
    <x v="1"/>
    <x v="3"/>
    <s v="PLAQUETTES"/>
    <s v="304x28 RPE"/>
    <n v="136.69999999999999"/>
  </r>
  <r>
    <d v="2025-07-10T04:37:00"/>
    <x v="10"/>
    <s v="Plaquettes rondes"/>
    <s v="SE08251"/>
    <s v="FAYET AYMERIC"/>
    <n v="10"/>
    <x v="0"/>
    <x v="3"/>
    <s v="PLAQUETTES"/>
    <s v="356x26 RPI"/>
    <n v="136.69999999999999"/>
  </r>
  <r>
    <d v="2025-07-11T05:14:42"/>
    <x v="11"/>
    <s v="Plaquettes rondes"/>
    <s v="J534699"/>
    <s v="FABIAN CHARTON"/>
    <n v="10"/>
    <x v="2"/>
    <x v="4"/>
    <s v="PLAQUETTES"/>
    <s v="302x26 RPI"/>
    <n v="108.5"/>
  </r>
  <r>
    <d v="2025-07-11T14:42:24"/>
    <x v="10"/>
    <s v="Plaquettes rondes"/>
    <s v="U561365"/>
    <s v="BALLY BENOIT"/>
    <n v="10"/>
    <x v="0"/>
    <x v="3"/>
    <s v="PLAQUETTES"/>
    <s v="356x26 RPI"/>
    <n v="136.69999999999999"/>
  </r>
  <r>
    <d v="2025-07-12T09:39:58"/>
    <x v="10"/>
    <s v="Plaquettes rondes"/>
    <s v="U109136"/>
    <s v="WIPLIE FREDERIC"/>
    <n v="10"/>
    <x v="1"/>
    <x v="3"/>
    <s v="PLAQUETTES"/>
    <s v="304x28 RPE"/>
    <n v="136.69999999999999"/>
  </r>
  <r>
    <d v="2025-07-12T11:37:26"/>
    <x v="10"/>
    <s v="Plaquettes rondes"/>
    <s v="150725"/>
    <s v="ADOUL WASSIM"/>
    <n v="10"/>
    <x v="0"/>
    <x v="3"/>
    <s v="PLAQUETTES"/>
    <s v="356x26 RPI"/>
    <n v="136.69999999999999"/>
  </r>
  <r>
    <d v="2025-07-13T14:34:23"/>
    <x v="10"/>
    <s v="Plaquettes rondes"/>
    <s v="150725"/>
    <s v="ADOUL WASSIM"/>
    <n v="10"/>
    <x v="0"/>
    <x v="3"/>
    <s v="PLAQUETTES"/>
    <s v="356x26 RPI"/>
    <n v="136.69999999999999"/>
  </r>
  <r>
    <d v="2025-07-13T17:49:05"/>
    <x v="11"/>
    <s v="Plaquettes rondes"/>
    <s v="J534699"/>
    <s v="FABIAN CHARTON"/>
    <n v="10"/>
    <x v="2"/>
    <x v="4"/>
    <s v="PLAQUETTES"/>
    <s v="302x26 RPI"/>
    <n v="108.5"/>
  </r>
  <r>
    <d v="2025-07-13T22:20:48"/>
    <x v="11"/>
    <s v="Plaquettes rondes"/>
    <s v="U109136"/>
    <s v="WIPLIE FREDERIC"/>
    <n v="10"/>
    <x v="1"/>
    <x v="3"/>
    <s v="PLAQUETTES"/>
    <s v="304x28 RPE"/>
    <n v="108.5"/>
  </r>
  <r>
    <d v="2025-07-15T06:48:49"/>
    <x v="10"/>
    <s v="Plaquettes rondes"/>
    <s v="130124"/>
    <s v="MOHAMED ILDIRAY"/>
    <n v="10"/>
    <x v="0"/>
    <x v="3"/>
    <s v="PLAQUETTES"/>
    <s v="356x26 RPI"/>
    <n v="136.69999999999999"/>
  </r>
  <r>
    <d v="2025-07-15T21:13:13"/>
    <x v="10"/>
    <s v="Plaquettes rondes"/>
    <s v="SD75051"/>
    <s v="COMBALUZIER LUCAS"/>
    <n v="10"/>
    <x v="0"/>
    <x v="3"/>
    <s v="PLAQUETTES"/>
    <s v="356x26 RPI"/>
    <n v="136.69999999999999"/>
  </r>
  <r>
    <d v="2025-07-16T04:24:10"/>
    <x v="11"/>
    <s v="Plaquettes rondes"/>
    <s v="140325"/>
    <s v="BOUCLIER JONATHAN"/>
    <n v="10"/>
    <x v="2"/>
    <x v="4"/>
    <s v="PLAQUETTES"/>
    <s v="302x26 RPI"/>
    <n v="108.5"/>
  </r>
  <r>
    <d v="2025-07-16T06:05:35"/>
    <x v="10"/>
    <s v="Plaquettes rondes"/>
    <s v="130124"/>
    <s v="MOHAMED ILDIRAY"/>
    <n v="10"/>
    <x v="1"/>
    <x v="3"/>
    <s v="PLAQUETTES"/>
    <s v="304x28 RPE"/>
    <n v="136.69999999999999"/>
  </r>
  <r>
    <d v="2025-07-16T06:06:33"/>
    <x v="11"/>
    <s v="Plaquettes rondes"/>
    <s v="130124"/>
    <s v="MOHAMED ILDIRAY"/>
    <n v="10"/>
    <x v="1"/>
    <x v="3"/>
    <s v="PLAQUETTES"/>
    <s v="304x28 RPE"/>
    <n v="108.5"/>
  </r>
  <r>
    <d v="2025-07-16T17:39:31"/>
    <x v="11"/>
    <s v="Plaquettes rondes"/>
    <s v="250425"/>
    <s v="CHANDAR ABDER"/>
    <n v="10"/>
    <x v="2"/>
    <x v="4"/>
    <s v="PLAQUETTES"/>
    <s v="302x26 RPI"/>
    <n v="108.5"/>
  </r>
  <r>
    <d v="2025-07-16T19:53:07"/>
    <x v="10"/>
    <s v="Plaquettes rondes"/>
    <s v="SE08251"/>
    <s v="FAYET AYMERIC"/>
    <n v="10"/>
    <x v="0"/>
    <x v="3"/>
    <s v="PLAQUETTES"/>
    <s v="356x26 RPI"/>
    <n v="136.69999999999999"/>
  </r>
  <r>
    <d v="2025-07-17T08:15:34"/>
    <x v="10"/>
    <s v="Plaquettes rondes"/>
    <s v="SD13196"/>
    <s v="FRADIN MAXIME"/>
    <n v="10"/>
    <x v="0"/>
    <x v="3"/>
    <s v="PLAQUETTES"/>
    <s v="330x14"/>
    <n v="136.69999999999999"/>
  </r>
  <r>
    <d v="2025-07-18T05:30:31"/>
    <x v="11"/>
    <s v="Plaquettes rondes"/>
    <s v="J534699"/>
    <s v="FABIAN CHARTON"/>
    <n v="10"/>
    <x v="2"/>
    <x v="4"/>
    <s v="PLAQUETTES"/>
    <s v="302x26 RPI"/>
    <n v="108.5"/>
  </r>
  <r>
    <d v="2025-07-18T10:18:13"/>
    <x v="10"/>
    <s v="Plaquettes rondes"/>
    <s v="U109136"/>
    <s v="WIPLIE FREDERIC"/>
    <n v="10"/>
    <x v="0"/>
    <x v="3"/>
    <s v="PLAQUETTES"/>
    <s v="356x26 RPI"/>
    <n v="136.69999999999999"/>
  </r>
  <r>
    <d v="2025-07-19T05:16:43"/>
    <x v="11"/>
    <s v="Plaquettes rondes"/>
    <s v="DELIAT C"/>
    <s v="DELIAT CHRISTOPHE"/>
    <n v="10"/>
    <x v="2"/>
    <x v="4"/>
    <s v="PLAQUETTES"/>
    <s v="302x26 RPI"/>
    <n v="108.5"/>
  </r>
  <r>
    <d v="2025-07-19T07:54:14"/>
    <x v="10"/>
    <s v="Plaquettes rondes"/>
    <s v="U109136"/>
    <s v="WIPLIE FREDERIC"/>
    <n v="10"/>
    <x v="0"/>
    <x v="3"/>
    <s v="PLAQUETTES"/>
    <s v="356x26 RPI"/>
    <n v="136.69999999999999"/>
  </r>
  <r>
    <d v="2025-07-21T05:57:51"/>
    <x v="11"/>
    <s v="Plaquettes rondes"/>
    <s v="j529800"/>
    <s v="MONTCHARMONT BAPTISTE"/>
    <n v="10"/>
    <x v="0"/>
    <x v="3"/>
    <s v="PLAQUETTES"/>
    <s v="304x28 RPE"/>
    <n v="108.5"/>
  </r>
  <r>
    <d v="2025-07-21T06:46:37"/>
    <x v="10"/>
    <s v="Plaquettes rondes"/>
    <s v="SE08251"/>
    <s v="FAYET AYMERIC"/>
    <n v="10"/>
    <x v="0"/>
    <x v="3"/>
    <s v="PLAQUETTES"/>
    <s v="356x26 RPI"/>
    <n v="136.69999999999999"/>
  </r>
  <r>
    <d v="2025-07-21T06:46:59"/>
    <x v="10"/>
    <s v="Plaquettes rondes"/>
    <s v="SE08251"/>
    <s v="FAYET AYMERIC"/>
    <n v="10"/>
    <x v="0"/>
    <x v="3"/>
    <s v="PLAQUETTES"/>
    <s v="356x26 RPI"/>
    <n v="136.69999999999999"/>
  </r>
  <r>
    <d v="2025-07-21T21:02:47"/>
    <x v="10"/>
    <s v="Plaquettes rondes"/>
    <s v="130124"/>
    <s v="MOHAMED ILDIRAY"/>
    <n v="10"/>
    <x v="1"/>
    <x v="3"/>
    <s v="PLAQUETTES"/>
    <s v="304x28 RPE"/>
    <n v="136.69999999999999"/>
  </r>
  <r>
    <d v="2025-07-22T05:37:35"/>
    <x v="10"/>
    <s v="Plaquettes rondes"/>
    <s v="SE08251"/>
    <s v="FAYET AYMERIC"/>
    <n v="10"/>
    <x v="0"/>
    <x v="3"/>
    <s v="PLAQUETTES"/>
    <s v="356x26 RPI"/>
    <n v="136.69999999999999"/>
  </r>
  <r>
    <d v="2025-07-22T14:48:31"/>
    <x v="11"/>
    <s v="Plaquettes rondes"/>
    <s v="140325"/>
    <s v="BOUCLIER JONATHAN"/>
    <n v="10"/>
    <x v="2"/>
    <x v="4"/>
    <s v="PLAQUETTES"/>
    <s v="302x26 RPI"/>
    <n v="108.5"/>
  </r>
  <r>
    <d v="2025-07-22T21:06:45"/>
    <x v="10"/>
    <s v="Plaquettes rondes"/>
    <s v="101123"/>
    <s v="BRUNET ANDREA"/>
    <n v="10"/>
    <x v="1"/>
    <x v="3"/>
    <s v="PLAQUETTES"/>
    <s v="304x28 RPE"/>
    <n v="136.69999999999999"/>
  </r>
  <r>
    <d v="2025-07-23T02:24:27"/>
    <x v="10"/>
    <s v="Plaquettes rondes"/>
    <s v="101224"/>
    <s v="CHAZEAU KYLIAN"/>
    <n v="10"/>
    <x v="0"/>
    <x v="3"/>
    <s v="PLAQUETTES"/>
    <s v="356x26 RPI"/>
    <n v="136.69999999999999"/>
  </r>
  <r>
    <d v="2025-07-23T04:28:48"/>
    <x v="11"/>
    <s v="Plaquettes rondes"/>
    <s v="210325"/>
    <s v="DAUTUN ALLAN"/>
    <n v="10"/>
    <x v="2"/>
    <x v="4"/>
    <s v="PLAQUETTES"/>
    <s v="302x26 RPI"/>
    <n v="108.5"/>
  </r>
  <r>
    <d v="2025-07-23T05:52:30"/>
    <x v="11"/>
    <s v="Plaquettes rondes"/>
    <s v="j529800"/>
    <s v="MONTCHARMONT BAPTISTE"/>
    <n v="10"/>
    <x v="0"/>
    <x v="3"/>
    <s v="PLAQUETTES"/>
    <s v="304x28 RPE"/>
    <n v="108.5"/>
  </r>
  <r>
    <d v="2025-07-23T16:13:38"/>
    <x v="10"/>
    <s v="Plaquettes rondes"/>
    <s v="040725"/>
    <s v="BARGEOT LUCAS"/>
    <n v="10"/>
    <x v="0"/>
    <x v="3"/>
    <s v="PLAQUETTES"/>
    <s v="356x26 RPI"/>
    <n v="136.69999999999999"/>
  </r>
  <r>
    <d v="2025-07-23T21:05:14"/>
    <x v="10"/>
    <s v="Plaquettes rondes"/>
    <s v="130124"/>
    <s v="MOHAMED ILDIRAY"/>
    <n v="10"/>
    <x v="1"/>
    <x v="3"/>
    <s v="PLAQUETTES"/>
    <s v="304x28 RPE"/>
    <n v="136.69999999999999"/>
  </r>
  <r>
    <d v="2025-07-24T05:45:37"/>
    <x v="10"/>
    <s v="Plaquettes rondes"/>
    <s v="j529800"/>
    <s v="MONTCHARMONT BAPTISTE"/>
    <n v="10"/>
    <x v="0"/>
    <x v="3"/>
    <s v="PLAQUETTES"/>
    <s v="356x26 RPI"/>
    <n v="136.69999999999999"/>
  </r>
  <r>
    <d v="2025-07-24T21:48:13"/>
    <x v="11"/>
    <s v="Plaquettes rondes"/>
    <s v="130124"/>
    <s v="MOHAMED ILDIRAY"/>
    <n v="10"/>
    <x v="1"/>
    <x v="3"/>
    <s v="PLAQUETTES"/>
    <s v="304x28 RPE"/>
    <n v="108.5"/>
  </r>
  <r>
    <d v="2025-07-25T21:52:30"/>
    <x v="10"/>
    <s v="Plaquettes rondes"/>
    <s v="130124"/>
    <s v="MOHAMED ILDIRAY"/>
    <n v="10"/>
    <x v="1"/>
    <x v="3"/>
    <s v="PLAQUETTES"/>
    <s v="304x28 RPE"/>
    <n v="136.69999999999999"/>
  </r>
  <r>
    <d v="2025-07-26T05:04:31"/>
    <x v="11"/>
    <s v="Plaquettes rondes"/>
    <s v="DELIAT C"/>
    <s v="DELIAT CHRISTOPHE"/>
    <n v="10"/>
    <x v="2"/>
    <x v="4"/>
    <s v="PLAQUETTES"/>
    <s v="302x26 RPI"/>
    <n v="108.5"/>
  </r>
  <r>
    <d v="2025-07-28T13:51:56"/>
    <x v="11"/>
    <s v="Plaquettes rondes"/>
    <s v="140325"/>
    <s v="BOUCLIER JONATHAN"/>
    <n v="10"/>
    <x v="2"/>
    <x v="4"/>
    <s v="PLAQUETTES"/>
    <s v="302x26 RPI"/>
    <n v="108.5"/>
  </r>
  <r>
    <d v="2025-07-30T18:38:19"/>
    <x v="11"/>
    <s v="Plaquettes rondes"/>
    <s v="U109136"/>
    <s v="WIPLIE FREDERIC"/>
    <n v="10"/>
    <x v="3"/>
    <x v="3"/>
    <s v="PLAQUETTES"/>
    <s v="302x26 RPI"/>
    <n v="108.5"/>
  </r>
  <r>
    <d v="2025-07-31T13:16:23"/>
    <x v="11"/>
    <s v="Plaquettes rondes"/>
    <s v="140325"/>
    <s v="BOUCLIER JONATHAN"/>
    <n v="10"/>
    <x v="2"/>
    <x v="4"/>
    <s v="PLAQUETTES"/>
    <s v="302x26 RPI"/>
    <n v="108.5"/>
  </r>
  <r>
    <d v="2025-08-08T06:40:27"/>
    <x v="11"/>
    <s v="Plaquettes rondes"/>
    <s v="140325"/>
    <s v="BOUCLIER JONATHAN"/>
    <n v="10"/>
    <x v="2"/>
    <x v="4"/>
    <s v="PLAQUETTES"/>
    <s v="302x26 RPI"/>
    <n v="108.5"/>
  </r>
  <r>
    <d v="2025-08-14T09:39:56"/>
    <x v="11"/>
    <s v="Plaquettes rondes"/>
    <s v="u636817"/>
    <s v="MOCQUEREAU LYDIE"/>
    <n v="10"/>
    <x v="2"/>
    <x v="4"/>
    <s v="PLAQUETTES"/>
    <s v="302x26 RPI"/>
    <n v="108.5"/>
  </r>
  <r>
    <d v="2025-08-18T05:09:08"/>
    <x v="11"/>
    <s v="Plaquettes rondes"/>
    <s v="140325"/>
    <s v="BOUCLIER JONATHAN"/>
    <n v="10"/>
    <x v="2"/>
    <x v="4"/>
    <s v="PLAQUETTES"/>
    <s v="302x26 RPI"/>
    <n v="108.5"/>
  </r>
  <r>
    <d v="2025-08-18T05:09:34"/>
    <x v="11"/>
    <s v="Plaquettes rondes"/>
    <s v="140325"/>
    <s v="BOUCLIER JONATHAN"/>
    <n v="10"/>
    <x v="2"/>
    <x v="4"/>
    <s v="PLAQUETTES"/>
    <s v="302x26 RPI"/>
    <n v="108.5"/>
  </r>
  <r>
    <d v="2025-08-18T13:26:26"/>
    <x v="11"/>
    <s v="Plaquettes rondes"/>
    <s v="210325"/>
    <s v="DAUTUN ALLAN"/>
    <n v="10"/>
    <x v="2"/>
    <x v="4"/>
    <s v="PLAQUETTES"/>
    <s v="302x26 RPI"/>
    <n v="108.5"/>
  </r>
  <r>
    <d v="2025-08-18T14:49:09"/>
    <x v="11"/>
    <s v="Plaquettes rondes"/>
    <s v="3224"/>
    <s v="BIDOT MURIEL"/>
    <n v="10"/>
    <x v="1"/>
    <x v="3"/>
    <s v="PLAQUETTES"/>
    <s v="304x28 RPE"/>
    <n v="108.5"/>
  </r>
  <r>
    <d v="2025-08-18T14:49:28"/>
    <x v="10"/>
    <s v="Plaquettes rondes"/>
    <s v="3224"/>
    <s v="BIDOT MURIEL"/>
    <n v="10"/>
    <x v="1"/>
    <x v="3"/>
    <s v="PLAQUETTES"/>
    <s v="304x28 RPE"/>
    <n v="136.69999999999999"/>
  </r>
  <r>
    <d v="2025-08-19T01:48:30"/>
    <x v="10"/>
    <s v="Plaquettes rondes"/>
    <s v="j529800"/>
    <s v="MONTCHARMONT BAPTISTE"/>
    <n v="10"/>
    <x v="3"/>
    <x v="3"/>
    <s v="PLAQUETTES"/>
    <s v="330x14"/>
    <n v="136.69999999999999"/>
  </r>
  <r>
    <d v="2025-08-19T08:10:03"/>
    <x v="10"/>
    <s v="Plaquettes rondes"/>
    <s v="040725"/>
    <s v="BARGEOT LUCAS"/>
    <n v="10"/>
    <x v="0"/>
    <x v="3"/>
    <s v="PLAQUETTES"/>
    <s v="356x26 RPI"/>
    <n v="136.69999999999999"/>
  </r>
  <r>
    <d v="2025-08-19T22:46:43"/>
    <x v="11"/>
    <s v="Plaquettes rondes"/>
    <s v="280225"/>
    <s v="FERNANDES DOS SANTOS REMY"/>
    <n v="10"/>
    <x v="1"/>
    <x v="3"/>
    <s v="PLAQUETTES"/>
    <s v="304x28 RPE"/>
    <n v="108.5"/>
  </r>
  <r>
    <d v="2025-08-20T00:35:19"/>
    <x v="10"/>
    <s v="Plaquettes rondes"/>
    <s v="j529800"/>
    <s v="MONTCHARMONT BAPTISTE"/>
    <n v="10"/>
    <x v="0"/>
    <x v="3"/>
    <s v="PLAQUETTES"/>
    <s v="356x26 RPI"/>
    <n v="136.69999999999999"/>
  </r>
  <r>
    <d v="2025-08-21T06:26:29"/>
    <x v="10"/>
    <s v="Plaquettes rondes"/>
    <s v="SD75051"/>
    <s v="COMBALUZIER LUCAS"/>
    <n v="10"/>
    <x v="1"/>
    <x v="3"/>
    <s v="PLAQUETTES"/>
    <s v="304x28 RPE"/>
    <n v="136.69999999999999"/>
  </r>
  <r>
    <d v="2025-08-21T07:52:44"/>
    <x v="10"/>
    <s v="Plaquettes rondes"/>
    <s v="040725"/>
    <s v="BARGEOT LUCAS"/>
    <n v="10"/>
    <x v="0"/>
    <x v="3"/>
    <s v="PLAQUETTES"/>
    <s v="356x26 RPI"/>
    <n v="136.69999999999999"/>
  </r>
  <r>
    <d v="2025-08-22T03:30:03"/>
    <x v="11"/>
    <s v="Plaquettes rondes"/>
    <s v="250425"/>
    <s v="CHANDAR ABDER"/>
    <n v="10"/>
    <x v="2"/>
    <x v="4"/>
    <s v="PLAQUETTES"/>
    <s v="302x26 RPI"/>
    <n v="108.5"/>
  </r>
  <r>
    <d v="2025-08-22T05:32:36"/>
    <x v="11"/>
    <s v="Plaquettes rondes"/>
    <s v="J534699"/>
    <s v="FABIAN CHARTON"/>
    <n v="10"/>
    <x v="2"/>
    <x v="4"/>
    <s v="PLAQUETTES"/>
    <s v="302x26 RPI"/>
    <n v="108.5"/>
  </r>
  <r>
    <d v="2025-08-22T09:44:37"/>
    <x v="10"/>
    <s v="Plaquettes rondes"/>
    <s v="U080365"/>
    <s v="ALAVOINE SAMUEL"/>
    <n v="10"/>
    <x v="0"/>
    <x v="3"/>
    <s v="PLAQUETTES"/>
    <s v="356x26 RPI"/>
    <n v="136.69999999999999"/>
  </r>
  <r>
    <d v="2025-08-22T20:26:14"/>
    <x v="11"/>
    <s v="Plaquettes rondes"/>
    <s v="210325"/>
    <s v="DAUTUN ALLAN"/>
    <n v="10"/>
    <x v="2"/>
    <x v="4"/>
    <s v="PLAQUETTES"/>
    <s v="302x26 RPI"/>
    <n v="108.5"/>
  </r>
  <r>
    <d v="2025-08-22T20:26:32"/>
    <x v="11"/>
    <s v="Plaquettes rondes"/>
    <s v="210325"/>
    <s v="DAUTUN ALLAN"/>
    <n v="10"/>
    <x v="2"/>
    <x v="4"/>
    <s v="PLAQUETTES"/>
    <s v="302x26 RPI"/>
    <n v="108.5"/>
  </r>
  <r>
    <d v="2025-08-23T05:45:32"/>
    <x v="10"/>
    <s v="Plaquettes rondes"/>
    <s v="DELIAT C"/>
    <s v="DELIAT CHRISTOPHE"/>
    <n v="10"/>
    <x v="1"/>
    <x v="3"/>
    <s v="PLAQUETTES"/>
    <s v="304x28 RPE"/>
    <n v="136.69999999999999"/>
  </r>
  <r>
    <d v="2025-08-23T05:45:48"/>
    <x v="11"/>
    <s v="Plaquettes rondes"/>
    <s v="DELIAT C"/>
    <s v="DELIAT CHRISTOPHE"/>
    <n v="10"/>
    <x v="1"/>
    <x v="3"/>
    <s v="PLAQUETTES"/>
    <s v="304x28 RPE"/>
    <n v="108.5"/>
  </r>
  <r>
    <d v="2025-08-23T10:44:04"/>
    <x v="10"/>
    <s v="Plaquettes rondes"/>
    <s v="U080365"/>
    <s v="ALAVOINE SAMUEL"/>
    <n v="10"/>
    <x v="0"/>
    <x v="3"/>
    <s v="PLAQUETTES"/>
    <s v="356x26 RPI"/>
    <n v="136.69999999999999"/>
  </r>
  <r>
    <d v="2025-08-25T13:29:15"/>
    <x v="10"/>
    <s v="Plaquettes rondes"/>
    <s v="040725"/>
    <s v="BARGEOT LUCAS"/>
    <n v="10"/>
    <x v="0"/>
    <x v="3"/>
    <s v="PLAQUETTES"/>
    <s v="356x26 RPI"/>
    <n v="136.69999999999999"/>
  </r>
  <r>
    <d v="2025-08-25T21:18:53"/>
    <x v="10"/>
    <s v="Plaquettes rondes"/>
    <s v="280225"/>
    <s v="FERNANDES DOS SANTOS REMY"/>
    <n v="10"/>
    <x v="0"/>
    <x v="3"/>
    <s v="PLAQUETTES"/>
    <s v="356x26 RPI"/>
    <n v="136.69999999999999"/>
  </r>
  <r>
    <d v="2025-08-26T06:27:31"/>
    <x v="11"/>
    <s v="Plaquettes rondes"/>
    <s v="101123"/>
    <s v="BRUNET ANDREA"/>
    <n v="10"/>
    <x v="1"/>
    <x v="3"/>
    <s v="PLAQUETTES"/>
    <s v="304x28 RPE"/>
    <n v="108.5"/>
  </r>
  <r>
    <d v="2025-08-26T06:27:47"/>
    <x v="10"/>
    <s v="Plaquettes rondes"/>
    <s v="101123"/>
    <s v="BRUNET ANDREA"/>
    <n v="10"/>
    <x v="1"/>
    <x v="3"/>
    <s v="PLAQUETTES"/>
    <s v="304x28 RPE"/>
    <n v="136.69999999999999"/>
  </r>
  <r>
    <d v="2025-08-27T14:06:54"/>
    <x v="10"/>
    <s v="Plaquettes rondes"/>
    <s v="040725"/>
    <s v="BARGEOT LUCAS"/>
    <n v="10"/>
    <x v="0"/>
    <x v="3"/>
    <s v="PLAQUETTES"/>
    <s v="356x26 RPI"/>
    <n v="136.69999999999999"/>
  </r>
  <r>
    <d v="2025-08-27T16:30:02"/>
    <x v="10"/>
    <s v="Plaquettes rondes"/>
    <s v="SD75051"/>
    <s v="COMBALUZIER LUCAS"/>
    <n v="10"/>
    <x v="1"/>
    <x v="3"/>
    <s v="PLAQUETTES"/>
    <s v="304x28 RPE"/>
    <n v="136.69999999999999"/>
  </r>
  <r>
    <d v="2025-08-28T05:03:22"/>
    <x v="11"/>
    <s v="Plaquettes rondes"/>
    <s v="101123"/>
    <s v="BRUNET ANDREA"/>
    <n v="10"/>
    <x v="1"/>
    <x v="3"/>
    <s v="PLAQUETTES"/>
    <s v="304x28 RPE"/>
    <n v="108.5"/>
  </r>
  <r>
    <d v="2025-08-29T05:15:49"/>
    <x v="10"/>
    <s v="Plaquettes rondes"/>
    <s v="U080365"/>
    <s v="ALAVOINE SAMUEL"/>
    <n v="10"/>
    <x v="0"/>
    <x v="3"/>
    <s v="PLAQUETTES"/>
    <s v="356x26 RPI"/>
    <n v="136.69999999999999"/>
  </r>
  <r>
    <d v="2025-08-29T05:26:55"/>
    <x v="11"/>
    <s v="Plaquettes rondes"/>
    <s v="DELIAT C"/>
    <s v="DELIAT CHRISTOPHE"/>
    <n v="10"/>
    <x v="1"/>
    <x v="3"/>
    <s v="PLAQUETTES"/>
    <s v="304x28 RPE"/>
    <n v="108.5"/>
  </r>
  <r>
    <d v="2025-08-29T05:27:15"/>
    <x v="10"/>
    <s v="Plaquettes rondes"/>
    <s v="DELIAT C"/>
    <s v="DELIAT CHRISTOPHE"/>
    <n v="10"/>
    <x v="1"/>
    <x v="3"/>
    <s v="PLAQUETTES"/>
    <s v="304x28 RPE"/>
    <n v="136.69999999999999"/>
  </r>
  <r>
    <d v="2025-08-30T01:56:54"/>
    <x v="10"/>
    <s v="Plaquettes rondes"/>
    <s v="j529800"/>
    <s v="MONTCHARMONT BAPTISTE"/>
    <n v="10"/>
    <x v="0"/>
    <x v="3"/>
    <s v="PLAQUETTES"/>
    <s v="356x26 RPI"/>
    <n v="136.69999999999999"/>
  </r>
  <r>
    <d v="2025-08-30T05:40:16"/>
    <x v="11"/>
    <s v="Plaquettes rondes"/>
    <s v="DELIAT C"/>
    <s v="DELIAT CHRISTOPHE"/>
    <n v="10"/>
    <x v="2"/>
    <x v="4"/>
    <s v="PLAQUETTES"/>
    <s v="302x26 RPI"/>
    <n v="108.5"/>
  </r>
  <r>
    <d v="2025-09-01T13:03:05"/>
    <x v="10"/>
    <s v="Plaquettes rondes"/>
    <s v="101123"/>
    <s v="BRUNET ANDREA"/>
    <n v="10"/>
    <x v="1"/>
    <x v="3"/>
    <s v="PLAQUETTES"/>
    <s v="304x28 RPE"/>
    <n v="136.69999999999999"/>
  </r>
  <r>
    <d v="2025-09-01T13:57:04"/>
    <x v="10"/>
    <s v="Plaquettes rondes"/>
    <s v="101224"/>
    <s v="CHAZEAU KYLIAN"/>
    <n v="10"/>
    <x v="0"/>
    <x v="3"/>
    <s v="PLAQUETTES"/>
    <s v="356x26 RPI"/>
    <n v="136.69999999999999"/>
  </r>
  <r>
    <d v="2025-09-01T23:12:26"/>
    <x v="11"/>
    <s v="Plaquettes rondes"/>
    <s v="250425"/>
    <s v="CHANDAR ABDER"/>
    <n v="10"/>
    <x v="2"/>
    <x v="4"/>
    <s v="PLAQUETTES"/>
    <s v="302x26 RPI"/>
    <n v="108.5"/>
  </r>
  <r>
    <d v="2025-09-02T05:52:53"/>
    <x v="11"/>
    <s v="Plaquettes rondes"/>
    <s v="140325"/>
    <s v="BOUCLIER JONATHAN"/>
    <n v="10"/>
    <x v="2"/>
    <x v="4"/>
    <s v="PLAQUETTES"/>
    <s v="302x26 RPI"/>
    <n v="108.5"/>
  </r>
  <r>
    <d v="2025-09-02T13:21:01"/>
    <x v="11"/>
    <s v="Plaquettes rondes"/>
    <s v="101123"/>
    <s v="BRUNET ANDREA"/>
    <n v="10"/>
    <x v="1"/>
    <x v="3"/>
    <s v="PLAQUETTES"/>
    <s v="304x28 RPE"/>
    <n v="108.5"/>
  </r>
  <r>
    <d v="2025-09-02T13:21:26"/>
    <x v="10"/>
    <s v="Plaquettes rondes"/>
    <s v="101123"/>
    <s v="BRUNET ANDREA"/>
    <n v="10"/>
    <x v="1"/>
    <x v="3"/>
    <s v="PLAQUETTES"/>
    <s v="304x28 RPE"/>
    <n v="136.69999999999999"/>
  </r>
  <r>
    <d v="2025-09-02T19:45:04"/>
    <x v="10"/>
    <s v="Plaquettes rondes"/>
    <s v="101224"/>
    <s v="CHAZEAU KYLIAN"/>
    <n v="10"/>
    <x v="0"/>
    <x v="3"/>
    <s v="PLAQUETTES"/>
    <s v="356x26 RPI"/>
    <n v="136.69999999999999"/>
  </r>
  <r>
    <d v="2025-09-03T05:52:11"/>
    <x v="11"/>
    <s v="Plaquettes rondes"/>
    <s v="140325"/>
    <s v="BOUCLIER JONATHAN"/>
    <n v="10"/>
    <x v="2"/>
    <x v="4"/>
    <s v="PLAQUETTES"/>
    <s v="302x26 RPI"/>
    <n v="108.5"/>
  </r>
  <r>
    <d v="2025-09-03T18:40:49"/>
    <x v="10"/>
    <s v="Plaquettes rondes"/>
    <s v="101224"/>
    <s v="CHAZEAU KYLIAN"/>
    <n v="10"/>
    <x v="0"/>
    <x v="3"/>
    <s v="PLAQUETTES"/>
    <s v="356x26 RPI"/>
    <n v="136.69999999999999"/>
  </r>
  <r>
    <d v="2025-09-03T22:22:04"/>
    <x v="10"/>
    <s v="Plaquettes rondes"/>
    <s v="130325"/>
    <s v="PAPONNEAU JULIEN"/>
    <n v="10"/>
    <x v="1"/>
    <x v="3"/>
    <s v="PLAQUETTES"/>
    <s v="304x28 RPE"/>
    <n v="136.69999999999999"/>
  </r>
  <r>
    <d v="2025-09-03T22:22:18"/>
    <x v="10"/>
    <s v="Plaquettes rondes"/>
    <s v="130325"/>
    <s v="PAPONNEAU JULIEN"/>
    <n v="10"/>
    <x v="1"/>
    <x v="3"/>
    <s v="PLAQUETTES"/>
    <s v="304x28 RPE"/>
    <n v="136.69999999999999"/>
  </r>
  <r>
    <d v="2025-09-03T22:32:42"/>
    <x v="11"/>
    <s v="Plaquettes rondes"/>
    <s v="250425"/>
    <s v="CHANDAR ABDER"/>
    <n v="10"/>
    <x v="2"/>
    <x v="4"/>
    <s v="PLAQUETTES"/>
    <s v="302x26 RPI"/>
    <n v="108.5"/>
  </r>
  <r>
    <d v="2025-09-04T21:30:14"/>
    <x v="10"/>
    <s v="Plaquettes rondes"/>
    <s v="j529800"/>
    <s v="MONTCHARMONT BAPTISTE"/>
    <n v="10"/>
    <x v="0"/>
    <x v="3"/>
    <s v="PLAQUETTES"/>
    <s v="356x26 RPI"/>
    <n v="136.69999999999999"/>
  </r>
  <r>
    <d v="2025-09-04T21:45:36"/>
    <x v="11"/>
    <s v="Plaquettes rondes"/>
    <s v="j529800"/>
    <s v="MONTCHARMONT BAPTISTE"/>
    <n v="10"/>
    <x v="3"/>
    <x v="3"/>
    <s v="PLAQUETTES"/>
    <s v="330x28 RPE KO"/>
    <n v="108.5"/>
  </r>
  <r>
    <d v="2025-09-04T21:45:54"/>
    <x v="10"/>
    <s v="Plaquettes rondes"/>
    <s v="j529800"/>
    <s v="MONTCHARMONT BAPTISTE"/>
    <n v="10"/>
    <x v="3"/>
    <x v="3"/>
    <s v="PLAQUETTES"/>
    <s v="330x28 RPE KO"/>
    <n v="136.69999999999999"/>
  </r>
  <r>
    <d v="2025-09-05T05:12:02"/>
    <x v="11"/>
    <s v="Plaquettes rondes"/>
    <s v="J534699"/>
    <s v="FABIAN CHARTON"/>
    <n v="10"/>
    <x v="2"/>
    <x v="4"/>
    <s v="PLAQUETTES"/>
    <s v="302x26 RPI"/>
    <n v="108.5"/>
  </r>
  <r>
    <d v="2025-09-05T13:10:15"/>
    <x v="10"/>
    <s v="Plaquettes rondes"/>
    <s v="101123"/>
    <s v="BRUNET ANDREA"/>
    <n v="10"/>
    <x v="1"/>
    <x v="3"/>
    <s v="PLAQUETTES"/>
    <s v="304x28 RPE"/>
    <n v="136.69999999999999"/>
  </r>
  <r>
    <d v="2025-09-06T02:54:35"/>
    <x v="10"/>
    <s v="Plaquettes rondes"/>
    <s v="j529800"/>
    <s v="MONTCHARMONT BAPTISTE"/>
    <n v="10"/>
    <x v="0"/>
    <x v="3"/>
    <s v="PLAQUETTES"/>
    <s v="356x26 RPI"/>
    <n v="136.69999999999999"/>
  </r>
  <r>
    <d v="2025-09-06T05:23:38"/>
    <x v="10"/>
    <s v="Plaquettes rondes"/>
    <s v="U080365"/>
    <s v="ALAVOINE SAMUEL"/>
    <n v="10"/>
    <x v="1"/>
    <x v="3"/>
    <s v="PLAQUETTES"/>
    <s v="304x28 RPE"/>
    <n v="136.69999999999999"/>
  </r>
  <r>
    <d v="2025-09-06T05:23:55"/>
    <x v="11"/>
    <s v="Plaquettes rondes"/>
    <s v="U080365"/>
    <s v="ALAVOINE SAMUEL"/>
    <n v="10"/>
    <x v="1"/>
    <x v="3"/>
    <s v="PLAQUETTES"/>
    <s v="304x28 RPE"/>
    <n v="108.5"/>
  </r>
  <r>
    <d v="2025-09-07T17:19:25"/>
    <x v="10"/>
    <s v="Plaquettes rondes"/>
    <s v="150725"/>
    <s v="ADOUL WASSIM"/>
    <n v="10"/>
    <x v="0"/>
    <x v="3"/>
    <s v="PLAQUETTES"/>
    <s v="356x26 RPI"/>
    <n v="136.69999999999999"/>
  </r>
  <r>
    <d v="2025-09-08T05:38:02"/>
    <x v="10"/>
    <s v="Plaquettes rondes"/>
    <s v="101224"/>
    <s v="CHAZEAU KYLIAN"/>
    <n v="10"/>
    <x v="0"/>
    <x v="3"/>
    <s v="PLAQUETTES"/>
    <s v="356x26 RPI"/>
    <n v="136.69999999999999"/>
  </r>
  <r>
    <d v="2025-09-08T14:12:17"/>
    <x v="10"/>
    <s v="Plaquettes rondes"/>
    <s v="SD75051"/>
    <s v="COMBALUZIER LUCAS"/>
    <n v="10"/>
    <x v="1"/>
    <x v="3"/>
    <s v="PLAQUETTES"/>
    <s v="304x28 RPE"/>
    <n v="136.69999999999999"/>
  </r>
  <r>
    <d v="2025-09-08T14:15:47"/>
    <x v="10"/>
    <s v="Plaquettes rondes"/>
    <s v="040725"/>
    <s v="BARGEOT LUCAS"/>
    <n v="10"/>
    <x v="0"/>
    <x v="3"/>
    <s v="PLAQUETTES"/>
    <s v="356x26 RPI"/>
    <n v="136.69999999999999"/>
  </r>
  <r>
    <d v="2025-09-08T14:16:07"/>
    <x v="10"/>
    <s v="Plaquettes rondes"/>
    <s v="040725"/>
    <s v="BARGEOT LUCAS"/>
    <n v="10"/>
    <x v="3"/>
    <x v="3"/>
    <s v="PLAQUETTES"/>
    <s v="330x28 RPE KO"/>
    <n v="136.69999999999999"/>
  </r>
  <r>
    <d v="2025-09-08T18:32:51"/>
    <x v="11"/>
    <s v="Plaquettes rondes"/>
    <s v="140325"/>
    <s v="BOUCLIER JONATHAN"/>
    <n v="10"/>
    <x v="2"/>
    <x v="4"/>
    <s v="PLAQUETTES"/>
    <s v="302x26 RPI"/>
    <n v="108.5"/>
  </r>
  <r>
    <d v="2025-09-09T18:53:27"/>
    <x v="10"/>
    <s v="Plaquettes rondes"/>
    <s v="SD75051"/>
    <s v="COMBALUZIER LUCAS"/>
    <n v="10"/>
    <x v="1"/>
    <x v="3"/>
    <s v="PLAQUETTES"/>
    <s v="304x28 RPE"/>
    <n v="136.69999999999999"/>
  </r>
  <r>
    <d v="2025-09-10T01:47:11"/>
    <x v="11"/>
    <s v="Plaquettes rondes"/>
    <s v="U037238"/>
    <s v="PRIEUR OLIVIER"/>
    <n v="10"/>
    <x v="2"/>
    <x v="4"/>
    <s v="PLAQUETTES"/>
    <s v="302x26 RPI"/>
    <n v="108.5"/>
  </r>
  <r>
    <d v="2025-09-10T16:58:21"/>
    <x v="11"/>
    <s v="Plaquettes rondes"/>
    <s v="SD75051"/>
    <s v="COMBALUZIER LUCAS"/>
    <n v="10"/>
    <x v="1"/>
    <x v="3"/>
    <s v="PLAQUETTES"/>
    <s v="304x28 RPE"/>
    <n v="108.5"/>
  </r>
  <r>
    <d v="2025-09-11T00:12:13"/>
    <x v="10"/>
    <s v="Plaquettes rondes"/>
    <s v="j529800"/>
    <s v="MONTCHARMONT BAPTISTE"/>
    <n v="10"/>
    <x v="0"/>
    <x v="3"/>
    <s v="PLAQUETTES"/>
    <s v="356x26 RPI"/>
    <n v="136.69999999999999"/>
  </r>
  <r>
    <d v="2025-09-11T13:07:43"/>
    <x v="11"/>
    <s v="Plaquettes rondes"/>
    <s v="140325"/>
    <s v="BOUCLIER JONATHAN"/>
    <n v="10"/>
    <x v="2"/>
    <x v="4"/>
    <s v="PLAQUETTES"/>
    <s v="302x26 RPI"/>
    <n v="108.5"/>
  </r>
  <r>
    <d v="2025-09-11T13:32:10"/>
    <x v="10"/>
    <s v="Plaquettes rondes"/>
    <s v="SD75051"/>
    <s v="COMBALUZIER LUCAS"/>
    <n v="10"/>
    <x v="1"/>
    <x v="3"/>
    <s v="PLAQUETTES"/>
    <s v="304x28 RPE"/>
    <n v="136.69999999999999"/>
  </r>
  <r>
    <d v="2025-09-12T00:39:30"/>
    <x v="10"/>
    <s v="Plaquettes rondes"/>
    <s v="j529800"/>
    <s v="MONTCHARMONT BAPTISTE"/>
    <n v="10"/>
    <x v="0"/>
    <x v="3"/>
    <s v="PLAQUETTES"/>
    <s v="356x26 RPI"/>
    <n v="136.69999999999999"/>
  </r>
  <r>
    <d v="2025-09-12T06:25:00"/>
    <x v="11"/>
    <s v="Plaquettes rondes"/>
    <s v="DELIAT C"/>
    <s v="DELIAT CHRISTOPHE"/>
    <n v="10"/>
    <x v="2"/>
    <x v="4"/>
    <s v="PLAQUETTES"/>
    <s v="302x26 RPI"/>
    <n v="108.5"/>
  </r>
  <r>
    <d v="2025-09-12T08:44:56"/>
    <x v="11"/>
    <s v="Plaquettes rondes"/>
    <s v="DELIAT C"/>
    <s v="DELIAT CHRISTOPHE"/>
    <n v="10"/>
    <x v="2"/>
    <x v="4"/>
    <s v="PLAQUETTES"/>
    <s v="302x26 RPI"/>
    <n v="108.5"/>
  </r>
  <r>
    <d v="2025-09-12T14:01:10"/>
    <x v="11"/>
    <s v="Plaquettes rondes"/>
    <s v="SD75051"/>
    <s v="COMBALUZIER LUCAS"/>
    <n v="10"/>
    <x v="0"/>
    <x v="3"/>
    <s v="PLAQUETTES"/>
    <s v="304x28 RPE"/>
    <n v="108.5"/>
  </r>
  <r>
    <d v="2025-09-12T21:49:21"/>
    <x v="10"/>
    <s v="Plaquettes rondes"/>
    <s v="101123"/>
    <s v="BRUNET ANDREA"/>
    <n v="10"/>
    <x v="1"/>
    <x v="3"/>
    <s v="PLAQUETTES"/>
    <s v="304x28 RPE"/>
    <n v="136.69999999999999"/>
  </r>
  <r>
    <d v="2025-09-13T09:27:33"/>
    <x v="10"/>
    <s v="Plaquettes rondes"/>
    <s v="U109136"/>
    <s v="WIPLIE FREDERIC"/>
    <n v="10"/>
    <x v="0"/>
    <x v="3"/>
    <s v="PLAQUETTES"/>
    <s v="356x26 RPI"/>
    <n v="136.69999999999999"/>
  </r>
  <r>
    <d v="2025-09-13T11:09:39"/>
    <x v="11"/>
    <s v="Plaquettes rondes"/>
    <s v="DELIAT C"/>
    <s v="DELIAT CHRISTOPHE"/>
    <n v="10"/>
    <x v="2"/>
    <x v="4"/>
    <s v="PLAQUETTES"/>
    <s v="302x26 RPI"/>
    <n v="108.5"/>
  </r>
  <r>
    <d v="2025-09-15T12:39:27"/>
    <x v="10"/>
    <s v="Plaquettes rondes"/>
    <s v="040725"/>
    <s v="BARGEOT LUCAS"/>
    <n v="10"/>
    <x v="0"/>
    <x v="3"/>
    <s v="PLAQUETTES"/>
    <s v="356x26 RPI"/>
    <n v="136.69999999999999"/>
  </r>
  <r>
    <d v="2025-09-15T15:55:27"/>
    <x v="11"/>
    <s v="Plaquettes rondes"/>
    <s v="210325"/>
    <s v="DAUTUN ALLAN"/>
    <n v="10"/>
    <x v="2"/>
    <x v="4"/>
    <s v="PLAQUETTES"/>
    <s v="302x26 RPI"/>
    <n v="108.5"/>
  </r>
  <r>
    <d v="2025-09-15T23:47:14"/>
    <x v="11"/>
    <s v="Plaquettes rondes"/>
    <s v="250425"/>
    <s v="CHANDAR ABDER"/>
    <n v="10"/>
    <x v="2"/>
    <x v="4"/>
    <s v="PLAQUETTES"/>
    <s v="302x26 RPI"/>
    <n v="108.5"/>
  </r>
  <r>
    <d v="2025-09-16T06:03:32"/>
    <x v="11"/>
    <s v="Plaquettes rondes"/>
    <s v="SD75051"/>
    <s v="COMBALUZIER LUCAS"/>
    <n v="10"/>
    <x v="1"/>
    <x v="3"/>
    <s v="PLAQUETTES"/>
    <s v="304x28 RPE"/>
    <n v="108.5"/>
  </r>
  <r>
    <d v="2025-09-16T06:04:03"/>
    <x v="10"/>
    <s v="Plaquettes rondes"/>
    <s v="SD75051"/>
    <s v="COMBALUZIER LUCAS"/>
    <n v="10"/>
    <x v="1"/>
    <x v="3"/>
    <s v="PLAQUETTES"/>
    <s v="304x28 RPE"/>
    <n v="136.69999999999999"/>
  </r>
  <r>
    <d v="2025-09-16T07:37:42"/>
    <x v="10"/>
    <s v="Plaquettes rondes"/>
    <s v="040725"/>
    <s v="BARGEOT LUCAS"/>
    <n v="10"/>
    <x v="0"/>
    <x v="3"/>
    <s v="PLAQUETTES"/>
    <s v="356x26 RPI"/>
    <n v="136.69999999999999"/>
  </r>
  <r>
    <d v="2025-09-17T23:53:25"/>
    <x v="10"/>
    <s v="Plaquettes rondes"/>
    <s v="j529800"/>
    <s v="MONTCHARMONT BAPTISTE"/>
    <n v="10"/>
    <x v="0"/>
    <x v="3"/>
    <s v="PLAQUETTES"/>
    <s v="356x26 RPI"/>
    <n v="136.69999999999999"/>
  </r>
  <r>
    <d v="2025-09-19T03:32:30"/>
    <x v="10"/>
    <s v="Plaquettes rondes"/>
    <s v="j529800"/>
    <s v="MONTCHARMONT BAPTISTE"/>
    <n v="10"/>
    <x v="0"/>
    <x v="3"/>
    <s v="PLAQUETTES"/>
    <s v="356x26 RPI"/>
    <n v="136.69999999999999"/>
  </r>
  <r>
    <d v="2025-09-19T05:08:41"/>
    <x v="11"/>
    <s v="Plaquettes rondes"/>
    <s v="DELIAT C"/>
    <s v="DELIAT CHRISTOPHE"/>
    <n v="10"/>
    <x v="2"/>
    <x v="4"/>
    <s v="PLAQUETTES"/>
    <s v="302x26 RPI"/>
    <n v="108.5"/>
  </r>
  <r>
    <d v="2025-09-19T13:00:15"/>
    <x v="10"/>
    <s v="Plaquettes rondes"/>
    <s v="101123"/>
    <s v="BRUNET ANDREA"/>
    <n v="10"/>
    <x v="1"/>
    <x v="3"/>
    <s v="PLAQUETTES"/>
    <s v="304x28 RPE"/>
    <n v="136.69999999999999"/>
  </r>
  <r>
    <d v="2025-09-19T13:00:30"/>
    <x v="11"/>
    <s v="Plaquettes rondes"/>
    <s v="101123"/>
    <s v="BRUNET ANDREA"/>
    <n v="10"/>
    <x v="1"/>
    <x v="3"/>
    <s v="PLAQUETTES"/>
    <s v="304x28 RPE"/>
    <n v="108.5"/>
  </r>
  <r>
    <d v="2025-09-19T17:38:47"/>
    <x v="10"/>
    <s v="Plaquettes rondes"/>
    <s v="101224"/>
    <s v="CHAZEAU KYLIAN"/>
    <n v="10"/>
    <x v="0"/>
    <x v="3"/>
    <s v="PLAQUETTES"/>
    <s v="356x26 RPI"/>
    <n v="136.69999999999999"/>
  </r>
  <r>
    <d v="2025-09-20T01:07:32"/>
    <x v="11"/>
    <s v="Plaquettes rondes"/>
    <s v="250425"/>
    <s v="CHANDAR ABDER"/>
    <n v="10"/>
    <x v="2"/>
    <x v="4"/>
    <s v="PLAQUETTES"/>
    <s v="302x26 RPI"/>
    <n v="108.5"/>
  </r>
  <r>
    <d v="2025-09-20T08:18:06"/>
    <x v="10"/>
    <s v="Plaquettes rondes"/>
    <s v="150725"/>
    <s v="ADOUL WASSIM"/>
    <n v="10"/>
    <x v="0"/>
    <x v="3"/>
    <s v="PLAQUETTES"/>
    <s v="356x26 RPI"/>
    <n v="136.69999999999999"/>
  </r>
  <r>
    <d v="2025-09-21T17:11:58"/>
    <x v="11"/>
    <s v="Plaquettes rondes"/>
    <s v="DELIAT C"/>
    <s v="DELIAT CHRISTOPHE"/>
    <n v="10"/>
    <x v="2"/>
    <x v="4"/>
    <s v="PLAQUETTES"/>
    <s v="302x26 RPI"/>
    <n v="108.5"/>
  </r>
  <r>
    <d v="2025-09-21T20:14:03"/>
    <x v="10"/>
    <s v="Plaquettes rondes"/>
    <s v="150725"/>
    <s v="ADOUL WASSIM"/>
    <n v="10"/>
    <x v="0"/>
    <x v="3"/>
    <s v="PLAQUETTES"/>
    <s v="356x26 RPI"/>
    <n v="136.69999999999999"/>
  </r>
  <r>
    <d v="2025-09-21T21:36:54"/>
    <x v="11"/>
    <s v="Plaquettes rondes"/>
    <s v="U109136"/>
    <s v="WIPLIE FREDERIC"/>
    <n v="10"/>
    <x v="1"/>
    <x v="3"/>
    <s v="PLAQUETTES"/>
    <s v="304x28 RPE"/>
    <n v="108.5"/>
  </r>
  <r>
    <d v="2025-09-22T03:48:35"/>
    <x v="10"/>
    <s v="Plaquettes rondes"/>
    <s v="U109136"/>
    <s v="WIPLIE FREDERIC"/>
    <n v="10"/>
    <x v="1"/>
    <x v="3"/>
    <s v="PLAQUETTES"/>
    <s v="304x28 RPE"/>
    <n v="136.69999999999999"/>
  </r>
  <r>
    <d v="2025-09-22T05:31:53"/>
    <x v="10"/>
    <s v="Plaquettes rondes"/>
    <s v="U505000"/>
    <s v="RECEVEUR BENOIT"/>
    <n v="10"/>
    <x v="0"/>
    <x v="3"/>
    <s v="PLAQUETTES"/>
    <s v="356x26 RPI"/>
    <n v="136.69999999999999"/>
  </r>
  <r>
    <d v="2025-09-23T07:42:02"/>
    <x v="10"/>
    <s v="Plaquettes rondes"/>
    <s v="101224"/>
    <s v="CHAZEAU KYLIAN"/>
    <n v="10"/>
    <x v="0"/>
    <x v="3"/>
    <s v="PLAQUETTES"/>
    <s v="356x26 RPI"/>
    <n v="136.69999999999999"/>
  </r>
  <r>
    <d v="2025-09-23T12:51:15"/>
    <x v="11"/>
    <s v="Plaquettes rondes"/>
    <s v="210325"/>
    <s v="DAUTUN ALLAN"/>
    <n v="10"/>
    <x v="2"/>
    <x v="4"/>
    <s v="PLAQUETTES"/>
    <s v="302x26 RPI"/>
    <n v="108.5"/>
  </r>
  <r>
    <d v="2025-09-23T13:18:12"/>
    <x v="11"/>
    <s v="Plaquettes rondes"/>
    <s v="140325"/>
    <s v="BOUCLIER JONATHAN"/>
    <n v="10"/>
    <x v="2"/>
    <x v="4"/>
    <s v="PLAQUETTES"/>
    <s v="302x26 RPI"/>
    <n v="108.5"/>
  </r>
  <r>
    <d v="2025-09-24T00:28:29"/>
    <x v="11"/>
    <s v="Plaquettes rondes"/>
    <s v="250425"/>
    <s v="CHANDAR ABDER"/>
    <n v="10"/>
    <x v="2"/>
    <x v="4"/>
    <s v="PLAQUETTES"/>
    <s v="302x26 RPI"/>
    <n v="108.5"/>
  </r>
  <r>
    <d v="2025-09-24T07:08:00"/>
    <x v="10"/>
    <s v="Plaquettes rondes"/>
    <s v="101224"/>
    <s v="CHAZEAU KYLIAN"/>
    <n v="10"/>
    <x v="0"/>
    <x v="3"/>
    <s v="PLAQUETTES"/>
    <s v="356x26 RPI"/>
    <n v="136.69999999999999"/>
  </r>
  <r>
    <d v="2025-09-24T13:35:37"/>
    <x v="11"/>
    <s v="Plaquettes rondes"/>
    <s v="SD75051"/>
    <s v="COMBALUZIER LUCAS"/>
    <n v="10"/>
    <x v="1"/>
    <x v="3"/>
    <s v="PLAQUETTES"/>
    <s v="304x28 RPE"/>
    <n v="108.5"/>
  </r>
  <r>
    <d v="2025-09-24T14:06:00"/>
    <x v="11"/>
    <s v="Plaquettes rondes"/>
    <s v="140325"/>
    <s v="BOUCLIER JONATHAN"/>
    <n v="10"/>
    <x v="2"/>
    <x v="4"/>
    <s v="PLAQUETTES"/>
    <s v="302x26 RPI"/>
    <n v="108.5"/>
  </r>
  <r>
    <d v="2025-09-24T22:46:20"/>
    <x v="10"/>
    <s v="Plaquettes rondes"/>
    <s v="j529800"/>
    <s v="MONTCHARMONT BAPTISTE"/>
    <n v="10"/>
    <x v="0"/>
    <x v="3"/>
    <s v="PLAQUETTES"/>
    <s v="356x26 RPI"/>
    <n v="136.69999999999999"/>
  </r>
  <r>
    <d v="2025-09-24T22:46:38"/>
    <x v="10"/>
    <s v="Plaquettes rondes"/>
    <s v="j529800"/>
    <s v="MONTCHARMONT BAPTISTE"/>
    <n v="10"/>
    <x v="0"/>
    <x v="3"/>
    <s v="PLAQUETTES"/>
    <s v="356x26 RPI"/>
    <n v="136.69999999999999"/>
  </r>
  <r>
    <d v="2025-09-25T05:16:23"/>
    <x v="10"/>
    <s v="Plaquettes rondes"/>
    <s v="101123"/>
    <s v="BRUNET ANDREA"/>
    <n v="10"/>
    <x v="1"/>
    <x v="3"/>
    <s v="PLAQUETTES"/>
    <s v="304x28 RPE"/>
    <n v="136.69999999999999"/>
  </r>
  <r>
    <d v="2025-09-25T21:25:48"/>
    <x v="10"/>
    <s v="Plaquettes rondes"/>
    <s v="j529800"/>
    <s v="MONTCHARMONT BAPTISTE"/>
    <n v="10"/>
    <x v="0"/>
    <x v="3"/>
    <s v="PLAQUETTES"/>
    <s v="356x26 RPI"/>
    <n v="136.69999999999999"/>
  </r>
  <r>
    <d v="2025-09-26T13:53:16"/>
    <x v="11"/>
    <s v="Plaquettes rondes"/>
    <s v="140325"/>
    <s v="BOUCLIER JONATHAN"/>
    <n v="10"/>
    <x v="2"/>
    <x v="4"/>
    <s v="PLAQUETTES"/>
    <s v="302x26 RPI"/>
    <n v="108.5"/>
  </r>
  <r>
    <d v="2025-09-26T14:35:35"/>
    <x v="10"/>
    <s v="Plaquettes rondes"/>
    <s v="040725"/>
    <s v="BARGEOT LUCAS"/>
    <n v="10"/>
    <x v="0"/>
    <x v="3"/>
    <s v="PLAQUETTES"/>
    <s v="356x26 RPI"/>
    <n v="136.69999999999999"/>
  </r>
  <r>
    <d v="2025-09-26T21:17:11"/>
    <x v="11"/>
    <s v="Plaquettes rondes"/>
    <s v="j529800"/>
    <s v="MONTCHARMONT BAPTISTE"/>
    <n v="10"/>
    <x v="3"/>
    <x v="3"/>
    <s v="PLAQUETTES"/>
    <s v="330x28 RPE KO"/>
    <n v="108.5"/>
  </r>
  <r>
    <d v="2025-09-26T21:17:33"/>
    <x v="10"/>
    <s v="Plaquettes rondes"/>
    <s v="j529800"/>
    <s v="MONTCHARMONT BAPTISTE"/>
    <n v="10"/>
    <x v="0"/>
    <x v="3"/>
    <s v="PLAQUETTES"/>
    <s v="330x14"/>
    <n v="136.69999999999999"/>
  </r>
  <r>
    <d v="2025-09-27T09:13:06"/>
    <x v="11"/>
    <s v="Plaquettes rondes"/>
    <s v="150725"/>
    <s v="ADOUL WASSIM"/>
    <n v="10"/>
    <x v="1"/>
    <x v="3"/>
    <s v="PLAQUETTES"/>
    <s v="304x28 RPE"/>
    <n v="108.5"/>
  </r>
  <r>
    <d v="2025-09-27T09:13:23"/>
    <x v="10"/>
    <s v="Plaquettes rondes"/>
    <s v="150725"/>
    <s v="ADOUL WASSIM"/>
    <n v="10"/>
    <x v="1"/>
    <x v="3"/>
    <s v="PLAQUETTES"/>
    <s v="304x28 RPE"/>
    <n v="136.69999999999999"/>
  </r>
  <r>
    <d v="2025-09-28T16:44:25"/>
    <x v="11"/>
    <s v="Plaquettes rondes"/>
    <s v="210325"/>
    <s v="DAUTUN ALLAN"/>
    <n v="10"/>
    <x v="2"/>
    <x v="4"/>
    <s v="PLAQUETTES"/>
    <s v="302x26 RPI"/>
    <n v="108.5"/>
  </r>
  <r>
    <d v="2025-09-28T17:03:22"/>
    <x v="11"/>
    <s v="Plaquettes rondes"/>
    <s v="DELIAT C"/>
    <s v="DELIAT CHRISTOPHE"/>
    <n v="10"/>
    <x v="2"/>
    <x v="4"/>
    <s v="PLAQUETTES"/>
    <s v="302x26 RPI"/>
    <n v="108.5"/>
  </r>
  <r>
    <d v="2025-09-29T06:10:38"/>
    <x v="10"/>
    <s v="Plaquettes rondes"/>
    <s v="SD75051"/>
    <s v="COMBALUZIER LUCAS"/>
    <n v="10"/>
    <x v="0"/>
    <x v="3"/>
    <s v="PLAQUETTES"/>
    <s v="356x26 RPI"/>
    <n v="136.69999999999999"/>
  </r>
  <r>
    <d v="2025-09-30T04:12:35"/>
    <x v="10"/>
    <s v="Plaquettes rondes"/>
    <s v="130325"/>
    <s v="PAPONNEAU JULIEN"/>
    <n v="10"/>
    <x v="1"/>
    <x v="3"/>
    <s v="PLAQUETTES"/>
    <s v="304x28 RPE"/>
    <n v="136.69999999999999"/>
  </r>
  <r>
    <d v="2025-09-30T11:52:21"/>
    <x v="10"/>
    <s v="Plaquettes rondes"/>
    <s v="040725"/>
    <s v="BARGEOT LUCAS"/>
    <n v="10"/>
    <x v="0"/>
    <x v="3"/>
    <s v="PLAQUETTES"/>
    <s v="356x26 RPI"/>
    <n v="136.69999999999999"/>
  </r>
  <r>
    <d v="2025-09-30T21:25:24"/>
    <x v="10"/>
    <s v="Plaquettes rondes"/>
    <s v="j529800"/>
    <s v="MONTCHARMONT BAPTISTE"/>
    <n v="10"/>
    <x v="0"/>
    <x v="3"/>
    <s v="PLAQUETTES"/>
    <s v="356x26 RPI"/>
    <n v="136.69999999999999"/>
  </r>
  <r>
    <d v="2025-10-01T12:33:00"/>
    <x v="11"/>
    <s v="Plaquettes rondes"/>
    <s v="140325"/>
    <s v="BOUCLIER JONATHAN"/>
    <n v="10"/>
    <x v="2"/>
    <x v="4"/>
    <s v="PLAQUETTES"/>
    <s v="302x26 RPI"/>
    <n v="108.5"/>
  </r>
  <r>
    <d v="2025-10-01T15:32:10"/>
    <x v="10"/>
    <s v="Plaquettes rondes"/>
    <s v="101224"/>
    <s v="CHAZEAU KYLIAN"/>
    <n v="10"/>
    <x v="0"/>
    <x v="3"/>
    <s v="PLAQUETTES"/>
    <s v="356x26 RPI"/>
    <n v="136.69999999999999"/>
  </r>
  <r>
    <d v="2025-10-02T06:47:15"/>
    <x v="10"/>
    <s v="Plaquettes rondes"/>
    <s v="040725"/>
    <s v="BARGEOT LUCAS"/>
    <n v="10"/>
    <x v="0"/>
    <x v="3"/>
    <s v="PLAQUETTES"/>
    <s v="356x26 RPI"/>
    <n v="136.69999999999999"/>
  </r>
  <r>
    <d v="2025-10-02T13:25:28"/>
    <x v="11"/>
    <s v="Plaquettes rondes"/>
    <s v="U505000"/>
    <s v="RECEVEUR BENOIT"/>
    <n v="10"/>
    <x v="1"/>
    <x v="3"/>
    <s v="PLAQUETTES"/>
    <s v="304x28 RPE"/>
    <n v="108.5"/>
  </r>
  <r>
    <d v="2025-10-02T13:25:44"/>
    <x v="10"/>
    <s v="Plaquettes rondes"/>
    <s v="U505000"/>
    <s v="RECEVEUR BENOIT"/>
    <n v="10"/>
    <x v="1"/>
    <x v="3"/>
    <s v="PLAQUETTES"/>
    <s v="304x28 RPE"/>
    <n v="136.69999999999999"/>
  </r>
  <r>
    <d v="2025-10-02T21:45:58"/>
    <x v="10"/>
    <s v="Plaquettes rondes"/>
    <s v="j529800"/>
    <s v="MONTCHARMONT BAPTISTE"/>
    <n v="10"/>
    <x v="0"/>
    <x v="3"/>
    <s v="PLAQUETTES"/>
    <s v="356x26 RPI"/>
    <n v="136.69999999999999"/>
  </r>
  <r>
    <d v="2025-10-03T21:29:56"/>
    <x v="10"/>
    <s v="Plaquettes rondes"/>
    <s v="130325"/>
    <s v="PAPONNEAU JULIEN"/>
    <n v="10"/>
    <x v="1"/>
    <x v="3"/>
    <s v="PLAQUETTES"/>
    <s v="304x28 RPE"/>
    <n v="136.69999999999999"/>
  </r>
  <r>
    <d v="2025-10-03T21:30:13"/>
    <x v="11"/>
    <s v="Plaquettes rondes"/>
    <s v="130325"/>
    <s v="PAPONNEAU JULIEN"/>
    <n v="10"/>
    <x v="1"/>
    <x v="3"/>
    <s v="PLAQUETTES"/>
    <s v="304x28 RPE"/>
    <n v="108.5"/>
  </r>
  <r>
    <d v="2025-10-03T21:30:44"/>
    <x v="10"/>
    <s v="Plaquettes rondes"/>
    <s v="130325"/>
    <s v="PAPONNEAU JULIEN"/>
    <n v="10"/>
    <x v="1"/>
    <x v="3"/>
    <s v="PLAQUETTES"/>
    <s v="304x28 RPE"/>
    <n v="136.69999999999999"/>
  </r>
  <r>
    <d v="2025-10-04T02:15:10"/>
    <x v="10"/>
    <s v="Plaquettes rondes"/>
    <s v="j529800"/>
    <s v="MONTCHARMONT BAPTISTE"/>
    <n v="10"/>
    <x v="0"/>
    <x v="3"/>
    <s v="PLAQUETTES"/>
    <s v="356x26 RPI"/>
    <n v="136.69999999999999"/>
  </r>
  <r>
    <d v="2025-10-04T03:13:44"/>
    <x v="11"/>
    <s v="Plaquettes rondes"/>
    <s v="250425"/>
    <s v="CHANDAR ABDER"/>
    <n v="10"/>
    <x v="2"/>
    <x v="4"/>
    <s v="PLAQUETTES"/>
    <s v="302x26 RPI"/>
    <n v="108.5"/>
  </r>
  <r>
    <d v="2025-10-04T08:01:04"/>
    <x v="10"/>
    <s v="Plaquettes rondes"/>
    <s v="U109136"/>
    <s v="WIPLIE FREDERIC"/>
    <n v="10"/>
    <x v="1"/>
    <x v="3"/>
    <s v="PLAQUETTES"/>
    <s v="304x28 RPE"/>
    <n v="136.69999999999999"/>
  </r>
  <r>
    <d v="2025-10-04T08:26:55"/>
    <x v="11"/>
    <s v="Plaquettes rondes"/>
    <s v="DELIAT C"/>
    <s v="DELIAT CHRISTOPHE"/>
    <n v="10"/>
    <x v="2"/>
    <x v="4"/>
    <s v="PLAQUETTES"/>
    <s v="302x26 RPI"/>
    <n v="108.5"/>
  </r>
  <r>
    <d v="2025-10-04T14:25:47"/>
    <x v="10"/>
    <s v="Plaquettes rondes"/>
    <s v="150725"/>
    <s v="ADOUL WASSIM"/>
    <n v="10"/>
    <x v="0"/>
    <x v="3"/>
    <s v="PLAQUETTES"/>
    <s v="356x26 RPI"/>
    <n v="136.69999999999999"/>
  </r>
  <r>
    <d v="2025-10-05T22:49:29"/>
    <x v="11"/>
    <s v="Plaquettes rondes"/>
    <s v="150725"/>
    <s v="ADOUL WASSIM"/>
    <n v="10"/>
    <x v="1"/>
    <x v="3"/>
    <s v="PLAQUETTES"/>
    <s v="304x28 RPE"/>
    <n v="108.5"/>
  </r>
  <r>
    <d v="2025-10-06T06:45:12"/>
    <x v="10"/>
    <s v="Plaquettes rondes"/>
    <s v="101224"/>
    <s v="CHAZEAU KYLIAN"/>
    <n v="10"/>
    <x v="0"/>
    <x v="3"/>
    <s v="PLAQUETTES"/>
    <s v="356x26 RPI"/>
    <n v="136.69999999999999"/>
  </r>
  <r>
    <d v="2025-10-06T12:13:04"/>
    <x v="10"/>
    <s v="Plaquettes rondes"/>
    <s v="U505000"/>
    <s v="RECEVEUR BENOIT"/>
    <n v="10"/>
    <x v="1"/>
    <x v="3"/>
    <s v="PLAQUETTES"/>
    <s v="304x28 RPE"/>
    <n v="136.69999999999999"/>
  </r>
  <r>
    <d v="2025-10-06T12:49:34"/>
    <x v="11"/>
    <s v="Plaquettes rondes"/>
    <s v="210325"/>
    <s v="DAUTUN ALLAN"/>
    <n v="10"/>
    <x v="2"/>
    <x v="4"/>
    <s v="PLAQUETTES"/>
    <s v="302x26 RPI"/>
    <n v="108.5"/>
  </r>
  <r>
    <d v="2025-10-06T12:49:45"/>
    <x v="11"/>
    <s v="Plaquettes rondes"/>
    <s v="210325"/>
    <s v="DAUTUN ALLAN"/>
    <n v="10"/>
    <x v="2"/>
    <x v="4"/>
    <s v="PLAQUETTES"/>
    <s v="302x26 RPI"/>
    <n v="108.5"/>
  </r>
  <r>
    <d v="2025-10-06T21:09:26"/>
    <x v="10"/>
    <s v="Plaquettes rondes"/>
    <s v="j529800"/>
    <s v="MONTCHARMONT BAPTISTE"/>
    <n v="10"/>
    <x v="0"/>
    <x v="3"/>
    <s v="PLAQUETTES"/>
    <s v="356x26 RPI"/>
    <n v="136.69999999999999"/>
  </r>
  <r>
    <d v="2025-10-07T13:09:02"/>
    <x v="11"/>
    <s v="Plaquettes rondes"/>
    <s v="140325"/>
    <s v="BOUCLIER JONATHAN"/>
    <n v="10"/>
    <x v="2"/>
    <x v="4"/>
    <s v="PLAQUETTES"/>
    <s v="302x26 RPI"/>
    <n v="108.5"/>
  </r>
  <r>
    <d v="2025-10-07T15:10:08"/>
    <x v="11"/>
    <s v="Plaquettes rondes"/>
    <s v="J609988"/>
    <s v="AMALRIC VINCENT"/>
    <n v="10"/>
    <x v="1"/>
    <x v="3"/>
    <s v="PLAQUETTES"/>
    <s v="304x28 RPE"/>
    <n v="108.5"/>
  </r>
  <r>
    <d v="2025-10-07T15:10:35"/>
    <x v="10"/>
    <s v="Plaquettes rondes"/>
    <s v="J609988"/>
    <s v="AMALRIC VINCENT"/>
    <n v="10"/>
    <x v="1"/>
    <x v="3"/>
    <s v="PLAQUETTES"/>
    <s v="304x28 RPE"/>
    <n v="136.69999999999999"/>
  </r>
  <r>
    <d v="2025-10-07T15:17:52"/>
    <x v="10"/>
    <s v="Plaquettes rondes"/>
    <s v="040725"/>
    <s v="BARGEOT LUCAS"/>
    <n v="10"/>
    <x v="0"/>
    <x v="3"/>
    <s v="PLAQUETTES"/>
    <s v="356x26 RPI"/>
    <n v="136.69999999999999"/>
  </r>
  <r>
    <d v="2025-10-07T22:04:24"/>
    <x v="10"/>
    <s v="Plaquettes rondes"/>
    <s v="j529800"/>
    <s v="MONTCHARMONT BAPTISTE"/>
    <n v="10"/>
    <x v="3"/>
    <x v="3"/>
    <s v="PLAQUETTES"/>
    <s v="330x14"/>
    <n v="136.69999999999999"/>
  </r>
  <r>
    <d v="2025-10-09T10:59:54"/>
    <x v="10"/>
    <s v="Plaquettes rondes"/>
    <s v="101224"/>
    <s v="CHAZEAU KYLIAN"/>
    <n v="10"/>
    <x v="3"/>
    <x v="3"/>
    <s v="PLAQUETTES"/>
    <s v="330x28 RPE KO"/>
    <n v="136.69999999999999"/>
  </r>
  <r>
    <d v="2025-10-09T12:13:57"/>
    <x v="10"/>
    <s v="Plaquettes rondes"/>
    <s v="101224"/>
    <s v="CHAZEAU KYLIAN"/>
    <n v="10"/>
    <x v="0"/>
    <x v="3"/>
    <s v="PLAQUETTES"/>
    <s v="356x26 RPI"/>
    <n v="136.69999999999999"/>
  </r>
  <r>
    <d v="2025-10-09T13:45:04"/>
    <x v="10"/>
    <s v="Plaquettes rondes"/>
    <s v="J609988"/>
    <s v="AMALRIC VINCENT"/>
    <n v="10"/>
    <x v="1"/>
    <x v="3"/>
    <s v="PLAQUETTES"/>
    <s v="304x28 RPE"/>
    <n v="136.69999999999999"/>
  </r>
  <r>
    <d v="2025-10-09T13:45:28"/>
    <x v="11"/>
    <s v="Plaquettes rondes"/>
    <s v="J609988"/>
    <s v="AMALRIC VINCENT"/>
    <n v="10"/>
    <x v="1"/>
    <x v="3"/>
    <s v="PLAQUETTES"/>
    <s v="304x28 RPE"/>
    <n v="108.5"/>
  </r>
  <r>
    <d v="2025-10-10T13:28:03"/>
    <x v="10"/>
    <s v="Plaquettes rondes"/>
    <s v="040725"/>
    <s v="BARGEOT LUCAS"/>
    <n v="10"/>
    <x v="0"/>
    <x v="3"/>
    <s v="PLAQUETTES"/>
    <s v="356x26 RPI"/>
    <n v="136.69999999999999"/>
  </r>
  <r>
    <d v="2025-10-10T14:24:15"/>
    <x v="10"/>
    <s v="Plaquettes rondes"/>
    <s v="040725"/>
    <s v="BARGEOT LUCAS"/>
    <n v="10"/>
    <x v="3"/>
    <x v="3"/>
    <s v="PLAQUETTES"/>
    <s v="330x28 RPE KO"/>
    <n v="136.69999999999999"/>
  </r>
  <r>
    <d v="2025-10-11T07:08:12"/>
    <x v="10"/>
    <s v="Plaquettes rondes"/>
    <s v="150725"/>
    <s v="ADOUL WASSIM"/>
    <n v="10"/>
    <x v="1"/>
    <x v="3"/>
    <s v="PLAQUETTES"/>
    <s v="304x28 RPE"/>
    <n v="136.69999999999999"/>
  </r>
  <r>
    <d v="2025-10-11T12:35:57"/>
    <x v="10"/>
    <s v="Plaquettes rondes"/>
    <s v="150725"/>
    <s v="ADOUL WASSIM"/>
    <n v="10"/>
    <x v="3"/>
    <x v="3"/>
    <s v="PLAQUETTES"/>
    <s v="330x28 RPE KO"/>
    <n v="136.69999999999999"/>
  </r>
  <r>
    <d v="2025-10-11T12:36:30"/>
    <x v="11"/>
    <s v="Plaquettes rondes"/>
    <s v="150725"/>
    <s v="ADOUL WASSIM"/>
    <n v="10"/>
    <x v="3"/>
    <x v="3"/>
    <s v="PLAQUETTES"/>
    <s v="330x28 RPE KO"/>
    <n v="108.5"/>
  </r>
  <r>
    <d v="2025-10-11T14:25:58"/>
    <x v="11"/>
    <s v="Plaquettes rondes"/>
    <s v="DELIAT C"/>
    <s v="DELIAT CHRISTOPHE"/>
    <n v="10"/>
    <x v="2"/>
    <x v="4"/>
    <s v="PLAQUETTES"/>
    <s v="302x26 RPI"/>
    <n v="108.5"/>
  </r>
  <r>
    <d v="2025-10-12T17:04:29"/>
    <x v="11"/>
    <s v="Plaquettes rondes"/>
    <s v="DELIAT C"/>
    <s v="DELIAT CHRISTOPHE"/>
    <n v="10"/>
    <x v="2"/>
    <x v="4"/>
    <s v="PLAQUETTES"/>
    <s v="302x26 RPI"/>
    <n v="108.5"/>
  </r>
  <r>
    <d v="2025-10-12T20:44:48"/>
    <x v="11"/>
    <s v="Plaquettes rondes"/>
    <s v="150725"/>
    <s v="ADOUL WASSIM"/>
    <n v="10"/>
    <x v="1"/>
    <x v="3"/>
    <s v="PLAQUETTES"/>
    <s v="304x28 RPE"/>
    <n v="108.5"/>
  </r>
  <r>
    <d v="2025-10-13T05:07:02"/>
    <x v="11"/>
    <s v="Plaquettes rondes"/>
    <s v="140325"/>
    <s v="BOUCLIER JONATHAN"/>
    <n v="10"/>
    <x v="2"/>
    <x v="4"/>
    <s v="PLAQUETTES"/>
    <s v="302x26 RPI"/>
    <n v="108.5"/>
  </r>
  <r>
    <d v="2025-10-13T05:14:31"/>
    <x v="10"/>
    <s v="Plaquettes rondes"/>
    <s v="040725"/>
    <s v="BARGEOT LUCAS"/>
    <n v="10"/>
    <x v="0"/>
    <x v="3"/>
    <s v="PLAQUETTES"/>
    <s v="356x26 RPI"/>
    <n v="136.69999999999999"/>
  </r>
  <r>
    <d v="2025-10-13T16:09:59"/>
    <x v="10"/>
    <s v="Plaquettes rondes"/>
    <s v="U505000"/>
    <s v="RECEVEUR BENOIT"/>
    <n v="10"/>
    <x v="0"/>
    <x v="3"/>
    <s v="PLAQUETTES"/>
    <s v="356x26 RPI"/>
    <n v="136.69999999999999"/>
  </r>
  <r>
    <d v="2025-10-13T23:01:57"/>
    <x v="11"/>
    <s v="Plaquettes rondes"/>
    <s v="250425"/>
    <s v="CHANDAR ABDER"/>
    <n v="10"/>
    <x v="2"/>
    <x v="4"/>
    <s v="PLAQUETTES"/>
    <s v="302x26 RPI"/>
    <n v="108.5"/>
  </r>
  <r>
    <d v="2025-10-14T07:33:54"/>
    <x v="10"/>
    <s v="Plaquettes rondes"/>
    <s v="u568060"/>
    <s v="FAVIER STEVEN"/>
    <n v="10"/>
    <x v="1"/>
    <x v="3"/>
    <s v="PLAQUETTES"/>
    <s v="304x28 RPE"/>
    <n v="136.69999999999999"/>
  </r>
  <r>
    <d v="2025-10-14T21:46:05"/>
    <x v="10"/>
    <s v="Plaquettes rondes"/>
    <s v="j529800"/>
    <s v="MONTCHARMONT BAPTISTE"/>
    <n v="10"/>
    <x v="0"/>
    <x v="3"/>
    <s v="PLAQUETTES"/>
    <s v="356x26 RPI"/>
    <n v="136.69999999999999"/>
  </r>
  <r>
    <d v="2025-10-15T15:52:45"/>
    <x v="10"/>
    <s v="Plaquettes rondes"/>
    <s v="101224"/>
    <s v="CHAZEAU KYLIAN"/>
    <n v="10"/>
    <x v="0"/>
    <x v="3"/>
    <s v="PLAQUETTES"/>
    <s v="356x26 RPI"/>
    <n v="136.69999999999999"/>
  </r>
  <r>
    <d v="2025-10-15T18:33:03"/>
    <x v="11"/>
    <s v="Plaquettes rondes"/>
    <s v="U505000"/>
    <s v="RECEVEUR BENOIT"/>
    <n v="10"/>
    <x v="1"/>
    <x v="3"/>
    <s v="PLAQUETTES"/>
    <s v="304x28 RPE"/>
    <n v="108.5"/>
  </r>
  <r>
    <d v="2025-10-15T22:02:43"/>
    <x v="10"/>
    <s v="Plaquettes rondes"/>
    <s v="j529800"/>
    <s v="MONTCHARMONT BAPTISTE"/>
    <n v="10"/>
    <x v="3"/>
    <x v="3"/>
    <s v="PLAQUETTES"/>
    <s v="330x28 RPE KO"/>
    <n v="136.69999999999999"/>
  </r>
  <r>
    <d v="2025-10-16T05:22:25"/>
    <x v="10"/>
    <s v="Plaquettes rondes"/>
    <s v="SD75051"/>
    <s v="COMBALUZIER LUCAS"/>
    <n v="10"/>
    <x v="1"/>
    <x v="3"/>
    <s v="PLAQUETTES"/>
    <s v="304x28 RPE"/>
    <n v="136.69999999999999"/>
  </r>
  <r>
    <d v="2025-10-16T08:51:50"/>
    <x v="10"/>
    <s v="Plaquettes rondes"/>
    <s v="040725"/>
    <s v="BARGEOT LUCAS"/>
    <n v="10"/>
    <x v="3"/>
    <x v="3"/>
    <s v="PLAQUETTES"/>
    <s v="330x28 RPE KO"/>
    <n v="136.69999999999999"/>
  </r>
  <r>
    <d v="2025-10-16T11:49:22"/>
    <x v="11"/>
    <s v="Plaquettes rondes"/>
    <s v="140325"/>
    <s v="BOUCLIER JONATHAN"/>
    <n v="10"/>
    <x v="2"/>
    <x v="4"/>
    <s v="PLAQUETTES"/>
    <s v="302x26 RPI"/>
    <n v="108.5"/>
  </r>
  <r>
    <d v="2025-10-16T16:45:51"/>
    <x v="10"/>
    <s v="Plaquettes rondes"/>
    <s v="101224"/>
    <s v="CHAZEAU KYLIAN"/>
    <n v="10"/>
    <x v="0"/>
    <x v="3"/>
    <s v="PLAQUETTES"/>
    <s v="356x26 RPI"/>
    <n v="136.69999999999999"/>
  </r>
  <r>
    <d v="2025-10-17T02:41:54"/>
    <x v="10"/>
    <s v="Plaquettes rondes"/>
    <s v="j529800"/>
    <s v="MONTCHARMONT BAPTISTE"/>
    <n v="10"/>
    <x v="0"/>
    <x v="3"/>
    <s v="PLAQUETTES"/>
    <s v="356x26 RPI"/>
    <n v="136.69999999999999"/>
  </r>
  <r>
    <d v="2025-10-17T07:28:52"/>
    <x v="11"/>
    <s v="Plaquettes rondes"/>
    <s v="150725"/>
    <s v="ADOUL WASSIM"/>
    <n v="10"/>
    <x v="0"/>
    <x v="3"/>
    <s v="PLAQUETTES"/>
    <s v="304x28 RPE"/>
    <n v="108.5"/>
  </r>
  <r>
    <d v="2025-10-17T07:29:11"/>
    <x v="10"/>
    <s v="Plaquettes rondes"/>
    <s v="150725"/>
    <s v="ADOUL WASSIM"/>
    <n v="10"/>
    <x v="0"/>
    <x v="3"/>
    <s v="PLAQUETTES"/>
    <s v="304x28 RPE"/>
    <n v="136.69999999999999"/>
  </r>
  <r>
    <d v="2025-10-17T13:18:29"/>
    <x v="10"/>
    <s v="Plaquettes rondes"/>
    <s v="U505000"/>
    <s v="RECEVEUR BENOIT"/>
    <n v="10"/>
    <x v="1"/>
    <x v="3"/>
    <s v="PLAQUETTES"/>
    <s v="304x28 RPE"/>
    <n v="136.69999999999999"/>
  </r>
  <r>
    <d v="2025-10-18T12:44:00"/>
    <x v="11"/>
    <s v="Plaquettes rondes"/>
    <s v="DELIAT C"/>
    <s v="DELIAT CHRISTOPHE"/>
    <n v="10"/>
    <x v="2"/>
    <x v="4"/>
    <s v="PLAQUETTES"/>
    <s v="302x26 RPI"/>
    <n v="108.5"/>
  </r>
  <r>
    <d v="2025-10-19T21:23:34"/>
    <x v="10"/>
    <s v="Plaquettes rondes"/>
    <s v="150725"/>
    <s v="ADOUL WASSIM"/>
    <n v="10"/>
    <x v="0"/>
    <x v="3"/>
    <s v="PLAQUETTES"/>
    <s v="356x26 RPI"/>
    <n v="136.69999999999999"/>
  </r>
  <r>
    <d v="2025-10-20T06:34:07"/>
    <x v="10"/>
    <s v="Plaquettes rondes"/>
    <s v="U505000"/>
    <s v="RECEVEUR BENOIT"/>
    <n v="10"/>
    <x v="1"/>
    <x v="3"/>
    <s v="PLAQUETTES"/>
    <s v="304x28 RPE"/>
    <n v="136.69999999999999"/>
  </r>
  <r>
    <d v="2025-10-20T13:03:26"/>
    <x v="11"/>
    <s v="Plaquettes rondes"/>
    <s v="u636817"/>
    <s v="MOCQUEREAU LYDIE"/>
    <n v="10"/>
    <x v="2"/>
    <x v="4"/>
    <s v="PLAQUETTES"/>
    <s v="302x26 RPI"/>
    <n v="108.5"/>
  </r>
  <r>
    <d v="2025-10-20T13:14:01"/>
    <x v="10"/>
    <s v="Plaquettes rondes"/>
    <s v="SD75051"/>
    <s v="COMBALUZIER LUCAS"/>
    <n v="10"/>
    <x v="1"/>
    <x v="3"/>
    <s v="PLAQUETTES"/>
    <s v="304x28 RPE"/>
    <n v="136.69999999999999"/>
  </r>
  <r>
    <d v="2025-10-20T22:21:45"/>
    <x v="11"/>
    <s v="Plaquettes rondes"/>
    <s v="250425"/>
    <s v="CHANDAR ABDER"/>
    <n v="10"/>
    <x v="2"/>
    <x v="4"/>
    <s v="PLAQUETTES"/>
    <s v="302x26 RPI"/>
    <n v="108.5"/>
  </r>
  <r>
    <d v="2025-10-21T09:17:09"/>
    <x v="10"/>
    <s v="Plaquettes rondes"/>
    <s v="101224"/>
    <s v="CHAZEAU KYLIAN"/>
    <n v="10"/>
    <x v="0"/>
    <x v="3"/>
    <s v="PLAQUETTES"/>
    <s v="356x26 RPI"/>
    <n v="136.69999999999999"/>
  </r>
  <r>
    <d v="2025-10-21T22:01:43"/>
    <x v="10"/>
    <s v="Plaquettes rondes"/>
    <s v="j529800"/>
    <s v="MONTCHARMONT BAPTISTE"/>
    <n v="10"/>
    <x v="0"/>
    <x v="3"/>
    <s v="PLAQUETTES"/>
    <s v="356x26 RPI"/>
    <n v="136.69999999999999"/>
  </r>
  <r>
    <d v="2025-10-22T22:22:25"/>
    <x v="11"/>
    <s v="Plaquettes rondes"/>
    <s v="250425"/>
    <s v="CHANDAR ABDER"/>
    <n v="10"/>
    <x v="2"/>
    <x v="4"/>
    <s v="PLAQUETTES"/>
    <s v="302x26 RPI"/>
    <n v="108.5"/>
  </r>
  <r>
    <d v="2025-10-23T14:45:14"/>
    <x v="10"/>
    <s v="Plaquettes rondes"/>
    <s v="040725"/>
    <s v="BARGEOT LUCAS"/>
    <n v="10"/>
    <x v="0"/>
    <x v="3"/>
    <s v="PLAQUETTES"/>
    <s v="356x26 RPI"/>
    <n v="136.69999999999999"/>
  </r>
  <r>
    <d v="2025-10-24T05:52:10"/>
    <x v="10"/>
    <s v="Plaquettes rondes"/>
    <s v="150725"/>
    <s v="ADOUL WASSIM"/>
    <n v="10"/>
    <x v="0"/>
    <x v="3"/>
    <s v="PLAQUETTES"/>
    <s v="356x26 RPI"/>
    <n v="136.69999999999999"/>
  </r>
  <r>
    <d v="2025-10-24T13:08:13"/>
    <x v="10"/>
    <s v="Plaquettes rondes"/>
    <s v="SD75051"/>
    <s v="COMBALUZIER LUCAS"/>
    <n v="10"/>
    <x v="1"/>
    <x v="3"/>
    <s v="PLAQUETTES"/>
    <s v="304x28 RPE"/>
    <n v="136.69999999999999"/>
  </r>
  <r>
    <d v="2025-10-24T13:08:31"/>
    <x v="11"/>
    <s v="Plaquettes rondes"/>
    <s v="SD75051"/>
    <s v="COMBALUZIER LUCAS"/>
    <n v="10"/>
    <x v="1"/>
    <x v="3"/>
    <s v="PLAQUETTES"/>
    <s v="304x28 RPE"/>
    <n v="108.5"/>
  </r>
  <r>
    <d v="2025-10-24T13:10:16"/>
    <x v="10"/>
    <s v="Plaquettes rondes"/>
    <s v="040725"/>
    <s v="BARGEOT LUCAS"/>
    <n v="10"/>
    <x v="0"/>
    <x v="3"/>
    <s v="PLAQUETTES"/>
    <s v="356x26 RPI"/>
    <n v="136.69999999999999"/>
  </r>
  <r>
    <d v="2025-10-25T05:29:15"/>
    <x v="11"/>
    <s v="Plaquettes rondes"/>
    <s v="DELIAT C"/>
    <s v="DELIAT CHRISTOPHE"/>
    <n v="10"/>
    <x v="2"/>
    <x v="4"/>
    <s v="PLAQUETTES"/>
    <s v="302x26 RPI"/>
    <n v="108.5"/>
  </r>
  <r>
    <d v="2025-10-25T06:30:49"/>
    <x v="10"/>
    <s v="Plaquettes rondes"/>
    <s v="150725"/>
    <s v="ADOUL WASSIM"/>
    <n v="10"/>
    <x v="1"/>
    <x v="3"/>
    <s v="PLAQUETTES"/>
    <s v="304x28 RPE"/>
    <n v="136.69999999999999"/>
  </r>
  <r>
    <d v="2025-10-26T17:47:46"/>
    <x v="10"/>
    <s v="Plaquettes rondes"/>
    <s v="150725"/>
    <s v="ADOUL WASSIM"/>
    <n v="10"/>
    <x v="0"/>
    <x v="3"/>
    <s v="PLAQUETTES"/>
    <s v="356x26 RPI"/>
    <n v="136.69999999999999"/>
  </r>
  <r>
    <d v="2025-10-27T05:03:48"/>
    <x v="11"/>
    <s v="Plaquettes rondes"/>
    <s v="SD75051"/>
    <s v="COMBALUZIER LUCAS"/>
    <n v="10"/>
    <x v="1"/>
    <x v="3"/>
    <s v="PLAQUETTES"/>
    <s v="304x28 RPE"/>
    <n v="108.5"/>
  </r>
  <r>
    <d v="2025-10-27T05:08:22"/>
    <x v="10"/>
    <s v="Plaquettes rondes"/>
    <s v="040725"/>
    <s v="BARGEOT LUCAS"/>
    <n v="10"/>
    <x v="0"/>
    <x v="3"/>
    <s v="PLAQUETTES"/>
    <s v="356x26 RPI"/>
    <n v="136.69999999999999"/>
  </r>
  <r>
    <d v="2025-10-27T10:33:25"/>
    <x v="10"/>
    <s v="Plaquettes rondes"/>
    <s v="12824586"/>
    <s v="DA SILVA FERNANDO"/>
    <n v="10"/>
    <x v="1"/>
    <x v="3"/>
    <s v="PLAQUETTES"/>
    <s v="TOUT DISQUES"/>
    <n v="136.69999999999999"/>
  </r>
  <r>
    <d v="2025-10-27T21:30:58"/>
    <x v="10"/>
    <s v="Plaquettes rondes"/>
    <s v="j529800"/>
    <s v="MONTCHARMONT BAPTISTE"/>
    <n v="10"/>
    <x v="0"/>
    <x v="3"/>
    <s v="PLAQUETTES"/>
    <s v="356x26 RPI"/>
    <n v="136.69999999999999"/>
  </r>
  <r>
    <d v="2025-10-28T05:02:33"/>
    <x v="11"/>
    <s v="Plaquettes rondes"/>
    <s v="140325"/>
    <s v="BOUCLIER JONATHAN"/>
    <n v="10"/>
    <x v="2"/>
    <x v="4"/>
    <s v="PLAQUETTES"/>
    <s v="302x26 RPI"/>
    <n v="108.5"/>
  </r>
  <r>
    <d v="2025-10-28T05:17:20"/>
    <x v="10"/>
    <s v="Plaquettes rondes"/>
    <s v="SD75051"/>
    <s v="COMBALUZIER LUCAS"/>
    <n v="10"/>
    <x v="1"/>
    <x v="3"/>
    <s v="PLAQUETTES"/>
    <s v="304x28 RPE"/>
    <n v="136.69999999999999"/>
  </r>
  <r>
    <d v="2025-10-28T20:46:11"/>
    <x v="11"/>
    <s v="Plaquettes rondes"/>
    <s v="210325"/>
    <s v="DAUTUN ALLAN"/>
    <n v="10"/>
    <x v="2"/>
    <x v="4"/>
    <s v="PLAQUETTES"/>
    <s v="302x26 RPI"/>
    <n v="108.5"/>
  </r>
  <r>
    <d v="2025-10-28T21:10:22"/>
    <x v="10"/>
    <s v="Plaquettes rondes"/>
    <s v="j529800"/>
    <s v="MONTCHARMONT BAPTISTE"/>
    <n v="10"/>
    <x v="3"/>
    <x v="3"/>
    <s v="PLAQUETTES"/>
    <s v="330x28 RPE KO"/>
    <n v="136.69999999999999"/>
  </r>
  <r>
    <d v="2025-10-29T00:57:26"/>
    <x v="11"/>
    <s v="Plaquettes rondes"/>
    <s v="250425"/>
    <s v="CHANDAR ABDER"/>
    <n v="10"/>
    <x v="2"/>
    <x v="4"/>
    <s v="PLAQUETTES"/>
    <s v="302x26 RPI"/>
    <n v="108.5"/>
  </r>
  <r>
    <d v="2025-10-29T13:12:32"/>
    <x v="10"/>
    <s v="Plaquettes rondes"/>
    <s v="04551FC25C7780"/>
    <s v="CHEDRU VIANNEY"/>
    <n v="10"/>
    <x v="0"/>
    <x v="3"/>
    <s v="PLAQUETTES"/>
    <s v="356x26 RPI"/>
    <n v="136.69999999999999"/>
  </r>
  <r>
    <d v="2025-10-30T05:08:22"/>
    <x v="10"/>
    <s v="Plaquettes rondes"/>
    <s v="SD75051"/>
    <s v="COMBALUZIER LUCAS"/>
    <n v="10"/>
    <x v="1"/>
    <x v="3"/>
    <s v="PLAQUETTES"/>
    <s v="304x28 RPE"/>
    <n v="136.69999999999999"/>
  </r>
  <r>
    <d v="2025-10-30T22:48:20"/>
    <x v="10"/>
    <s v="Plaquettes rondes"/>
    <s v="j529800"/>
    <s v="MONTCHARMONT BAPTISTE"/>
    <n v="10"/>
    <x v="0"/>
    <x v="3"/>
    <s v="PLAQUETTES"/>
    <s v="356x26 RPI"/>
    <n v="136.69999999999999"/>
  </r>
  <r>
    <d v="2025-10-31T13:16:21"/>
    <x v="10"/>
    <s v="Plaquettes rondes"/>
    <s v="04551FC25C7780"/>
    <s v="CHEDRU VIANNEY"/>
    <n v="10"/>
    <x v="0"/>
    <x v="3"/>
    <s v="PLAQUETTES"/>
    <s v="356x26 RPI"/>
    <n v="136.69999999999999"/>
  </r>
  <r>
    <d v="2025-10-31T15:23:33"/>
    <x v="11"/>
    <s v="Plaquettes rondes"/>
    <s v="101224"/>
    <s v="CHAZEAU KYLIAN"/>
    <n v="10"/>
    <x v="1"/>
    <x v="3"/>
    <s v="PLAQUETTES"/>
    <s v="304x28 RPE"/>
    <n v="108.5"/>
  </r>
  <r>
    <d v="2025-11-01T03:22:43"/>
    <x v="11"/>
    <s v="Plaquettes rondes"/>
    <s v="250425"/>
    <s v="CHANDAR ABDER"/>
    <n v="10"/>
    <x v="2"/>
    <x v="4"/>
    <s v="PLAQUETTES"/>
    <s v="302x26 RPI"/>
    <n v="108.5"/>
  </r>
  <r>
    <d v="2025-11-01T08:18:34"/>
    <x v="10"/>
    <s v="Plaquettes rondes"/>
    <s v="150725"/>
    <s v="ADOUL WASSIM"/>
    <n v="10"/>
    <x v="0"/>
    <x v="3"/>
    <s v="PLAQUETTES"/>
    <s v="356x26 RPI"/>
    <n v="136.69999999999999"/>
  </r>
  <r>
    <d v="2025-11-01T11:48:40"/>
    <x v="10"/>
    <s v="Plaquettes rondes"/>
    <s v="150725"/>
    <s v="ADOUL WASSIM"/>
    <n v="10"/>
    <x v="1"/>
    <x v="3"/>
    <s v="PLAQUETTES"/>
    <s v="304x28 RPE"/>
    <n v="136.69999999999999"/>
  </r>
  <r>
    <d v="2025-11-01T11:49:11"/>
    <x v="11"/>
    <s v="Plaquettes rondes"/>
    <s v="150725"/>
    <s v="ADOUL WASSIM"/>
    <n v="10"/>
    <x v="1"/>
    <x v="3"/>
    <s v="PLAQUETTES"/>
    <s v="304x28 RPE"/>
    <n v="108.5"/>
  </r>
  <r>
    <d v="2025-11-03T05:12:39"/>
    <x v="10"/>
    <s v="Plaquettes rondes"/>
    <s v="101224"/>
    <s v="CHAZEAU KYLIAN"/>
    <n v="10"/>
    <x v="1"/>
    <x v="3"/>
    <s v="PLAQUETTES"/>
    <s v="304x28 RPE"/>
    <n v="136.69999999999999"/>
  </r>
  <r>
    <d v="2025-11-03T05:16:36"/>
    <x v="10"/>
    <s v="Plaquettes rondes"/>
    <s v="04551FC25C7780"/>
    <s v="CHEDRU VIANNEY"/>
    <n v="10"/>
    <x v="0"/>
    <x v="3"/>
    <s v="PLAQUETTES"/>
    <s v="356x26 RPI"/>
    <n v="136.69999999999999"/>
  </r>
  <r>
    <d v="2025-11-03T13:20:55"/>
    <x v="11"/>
    <s v="Plaquettes rondes"/>
    <s v="u636817"/>
    <s v="MOCQUEREAU LYDIE"/>
    <n v="10"/>
    <x v="2"/>
    <x v="4"/>
    <s v="PLAQUETTES"/>
    <s v="302x26 RPI"/>
    <n v="108.5"/>
  </r>
  <r>
    <d v="2025-11-03T13:55:03"/>
    <x v="11"/>
    <s v="Plaquettes rondes"/>
    <s v="SD75051"/>
    <s v="COMBALUZIER LUCAS"/>
    <n v="10"/>
    <x v="1"/>
    <x v="3"/>
    <s v="PLAQUETTES"/>
    <s v="304x28 RPE"/>
    <n v="108.5"/>
  </r>
  <r>
    <d v="2025-11-04T06:54:00"/>
    <x v="10"/>
    <s v="Plaquettes rondes"/>
    <s v="04551FC25C7780"/>
    <s v="CHEDRU VIANNEY"/>
    <n v="10"/>
    <x v="0"/>
    <x v="3"/>
    <s v="PLAQUETTES"/>
    <s v="356x26 RPI"/>
    <n v="136.69999999999999"/>
  </r>
  <r>
    <d v="2025-11-04T14:13:24"/>
    <x v="10"/>
    <s v="Plaquettes rondes"/>
    <s v="SD75051"/>
    <s v="COMBALUZIER LUCAS"/>
    <n v="10"/>
    <x v="1"/>
    <x v="3"/>
    <s v="PLAQUETTES"/>
    <s v="304x28 RPE"/>
    <n v="136.69999999999999"/>
  </r>
  <r>
    <d v="2025-11-04T15:36:55"/>
    <x v="11"/>
    <s v="Plaquettes rondes"/>
    <s v="u636817"/>
    <s v="MOCQUEREAU LYDIE"/>
    <n v="10"/>
    <x v="2"/>
    <x v="4"/>
    <s v="PLAQUETTES"/>
    <s v="302x26 RPI"/>
    <n v="108.5"/>
  </r>
  <r>
    <d v="2025-11-04T21:19:32"/>
    <x v="11"/>
    <s v="Plaquettes rondes"/>
    <s v="250425"/>
    <s v="CHANDAR ABDER"/>
    <n v="10"/>
    <x v="2"/>
    <x v="4"/>
    <s v="PLAQUETTES"/>
    <s v="302x26 RPI"/>
    <n v="108.5"/>
  </r>
  <r>
    <d v="2025-11-04T21:22:37"/>
    <x v="10"/>
    <s v="Plaquettes rondes"/>
    <s v="130325"/>
    <s v="PAPONNEAU JULIEN"/>
    <n v="10"/>
    <x v="1"/>
    <x v="3"/>
    <s v="PLAQUETTES"/>
    <s v="304x28 RPE"/>
    <n v="136.69999999999999"/>
  </r>
  <r>
    <d v="2025-11-04T21:22:51"/>
    <x v="10"/>
    <s v="Plaquettes rondes"/>
    <s v="130325"/>
    <s v="PAPONNEAU JULIEN"/>
    <n v="10"/>
    <x v="1"/>
    <x v="3"/>
    <s v="PLAQUETTES"/>
    <s v="304x28 RPE"/>
    <n v="136.69999999999999"/>
  </r>
  <r>
    <d v="2025-11-04T21:23:05"/>
    <x v="10"/>
    <s v="Plaquettes rondes"/>
    <s v="130325"/>
    <s v="PAPONNEAU JULIEN"/>
    <n v="10"/>
    <x v="1"/>
    <x v="3"/>
    <s v="PLAQUETTES"/>
    <s v="304x28 RPE"/>
    <n v="136.69999999999999"/>
  </r>
  <r>
    <d v="2025-11-04T21:23:20"/>
    <x v="11"/>
    <s v="Plaquettes rondes"/>
    <s v="130325"/>
    <s v="PAPONNEAU JULIEN"/>
    <n v="10"/>
    <x v="1"/>
    <x v="3"/>
    <s v="PLAQUETTES"/>
    <s v="304x28 RPE"/>
    <n v="108.5"/>
  </r>
  <r>
    <d v="2025-11-04T21:23:33"/>
    <x v="11"/>
    <s v="Plaquettes rondes"/>
    <s v="130325"/>
    <s v="PAPONNEAU JULIEN"/>
    <n v="10"/>
    <x v="1"/>
    <x v="3"/>
    <s v="PLAQUETTES"/>
    <s v="304x28 RPE"/>
    <n v="108.5"/>
  </r>
  <r>
    <d v="2025-11-04T21:23:44"/>
    <x v="11"/>
    <s v="Plaquettes rondes"/>
    <s v="130325"/>
    <s v="PAPONNEAU JULIEN"/>
    <n v="10"/>
    <x v="1"/>
    <x v="3"/>
    <s v="PLAQUETTES"/>
    <s v="304x28 RPE"/>
    <n v="108.5"/>
  </r>
  <r>
    <d v="2025-11-05T03:05:51"/>
    <x v="10"/>
    <s v="Plaquettes rondes"/>
    <s v="j529800"/>
    <s v="MONTCHARMONT BAPTISTE"/>
    <n v="10"/>
    <x v="0"/>
    <x v="3"/>
    <s v="PLAQUETTES"/>
    <s v="356x26 RPI"/>
    <n v="136.69999999999999"/>
  </r>
  <r>
    <d v="2025-11-05T13:08:13"/>
    <x v="11"/>
    <s v="Plaquettes rondes"/>
    <s v="140325"/>
    <s v="BOUCLIER JONATHAN"/>
    <n v="10"/>
    <x v="2"/>
    <x v="4"/>
    <s v="PLAQUETTES"/>
    <s v="302x26 RPI"/>
    <n v="108.5"/>
  </r>
  <r>
    <d v="2025-11-05T13:41:18"/>
    <x v="10"/>
    <s v="Plaquettes rondes"/>
    <s v="040725"/>
    <s v="BARGEOT LUCAS"/>
    <n v="10"/>
    <x v="3"/>
    <x v="3"/>
    <s v="PLAQUETTES"/>
    <s v="330x28 RPE KO"/>
    <n v="136.69999999999999"/>
  </r>
  <r>
    <d v="2025-11-05T21:17:05"/>
    <x v="10"/>
    <s v="Plaquettes rondes"/>
    <s v="j529800"/>
    <s v="MONTCHARMONT BAPTISTE"/>
    <n v="10"/>
    <x v="0"/>
    <x v="3"/>
    <s v="PLAQUETTES"/>
    <s v="356x26 RPI"/>
    <n v="136.69999999999999"/>
  </r>
  <r>
    <d v="2025-11-06T07:55:50"/>
    <x v="11"/>
    <s v="Plaquettes rondes"/>
    <s v="101224"/>
    <s v="CHAZEAU KYLIAN"/>
    <n v="10"/>
    <x v="1"/>
    <x v="3"/>
    <s v="PLAQUETTES"/>
    <s v="304x28 RPE"/>
    <n v="108.5"/>
  </r>
  <r>
    <d v="2025-11-06T13:52:57"/>
    <x v="10"/>
    <s v="Plaquettes rondes"/>
    <s v="040725"/>
    <s v="BARGEOT LUCAS"/>
    <n v="10"/>
    <x v="0"/>
    <x v="3"/>
    <s v="PLAQUETTES"/>
    <s v="356x26 RPI"/>
    <n v="136.69999999999999"/>
  </r>
  <r>
    <d v="2025-11-06T22:09:03"/>
    <x v="10"/>
    <s v="Plaquettes rondes"/>
    <s v="j529800"/>
    <s v="MONTCHARMONT BAPTISTE"/>
    <n v="10"/>
    <x v="0"/>
    <x v="3"/>
    <s v="PLAQUETTES"/>
    <s v="330x14"/>
    <n v="136.69999999999999"/>
  </r>
  <r>
    <d v="2025-11-07T06:00:02"/>
    <x v="11"/>
    <s v="Plaquettes rondes"/>
    <s v="J534699"/>
    <s v="FABIAN CHARTON"/>
    <n v="10"/>
    <x v="2"/>
    <x v="4"/>
    <s v="PLAQUETTES"/>
    <s v="302x26 RPI"/>
    <n v="108.5"/>
  </r>
  <r>
    <d v="2025-11-07T21:22:00"/>
    <x v="10"/>
    <s v="Plaquettes rondes"/>
    <s v="j529800"/>
    <s v="MONTCHARMONT BAPTISTE"/>
    <n v="10"/>
    <x v="0"/>
    <x v="3"/>
    <s v="PLAQUETTES"/>
    <s v="356x26 RPI"/>
    <n v="136.69999999999999"/>
  </r>
  <r>
    <d v="2025-11-08T08:10:36"/>
    <x v="11"/>
    <s v="Plaquettes rondes"/>
    <s v="U080365"/>
    <s v="ALAVOINE SAMUEL"/>
    <n v="10"/>
    <x v="1"/>
    <x v="3"/>
    <s v="PLAQUETTES"/>
    <s v="304x28 RPE"/>
    <n v="108.5"/>
  </r>
  <r>
    <d v="2025-11-08T20:57:13"/>
    <x v="10"/>
    <s v="Plaquettes rondes"/>
    <s v="150725"/>
    <s v="ADOUL WASSIM"/>
    <n v="10"/>
    <x v="0"/>
    <x v="3"/>
    <s v="PLAQUETTES"/>
    <s v="356x26 RPI"/>
    <n v="136.69999999999999"/>
  </r>
  <r>
    <d v="2025-11-09T06:54:27"/>
    <x v="10"/>
    <s v="Plaquettes rondes"/>
    <s v="U080365"/>
    <s v="ALAVOINE SAMUEL"/>
    <n v="10"/>
    <x v="0"/>
    <x v="3"/>
    <s v="PLAQUETTES"/>
    <s v="356x26 RPI"/>
    <n v="136.69999999999999"/>
  </r>
  <r>
    <d v="2025-11-09T17:51:55"/>
    <x v="10"/>
    <s v="Plaquettes rondes"/>
    <s v="150725"/>
    <s v="ADOUL WASSIM"/>
    <n v="10"/>
    <x v="1"/>
    <x v="3"/>
    <s v="PLAQUETTES"/>
    <s v="304x28 RPE"/>
    <n v="136.69999999999999"/>
  </r>
  <r>
    <d v="2025-11-10T12:19:59"/>
    <x v="11"/>
    <s v="Plaquettes rondes"/>
    <s v="u636817"/>
    <s v="MOCQUEREAU LYDIE"/>
    <n v="10"/>
    <x v="2"/>
    <x v="4"/>
    <s v="PLAQUETTES"/>
    <s v="302x26 RPI"/>
    <n v="108.5"/>
  </r>
  <r>
    <d v="2025-11-12T08:18:13"/>
    <x v="10"/>
    <s v="Plaquettes rondes"/>
    <s v="040725"/>
    <s v="BARGEOT LUCAS"/>
    <n v="10"/>
    <x v="0"/>
    <x v="3"/>
    <s v="PLAQUETTES"/>
    <s v="356x26 RPI"/>
    <n v="136.69999999999999"/>
  </r>
  <r>
    <d v="2025-11-12T21:17:21"/>
    <x v="10"/>
    <s v="Plaquettes rondes"/>
    <s v="j529800"/>
    <s v="MONTCHARMONT BAPTISTE"/>
    <n v="10"/>
    <x v="3"/>
    <x v="3"/>
    <s v="PLAQUETTES"/>
    <s v="330x28 RPE KO"/>
    <n v="136.69999999999999"/>
  </r>
  <r>
    <d v="2025-11-12T21:37:55"/>
    <x v="10"/>
    <s v="Plaquettes rondes"/>
    <s v="130325"/>
    <s v="PAPONNEAU JULIEN"/>
    <n v="10"/>
    <x v="1"/>
    <x v="3"/>
    <s v="PLAQUETTES"/>
    <s v="304x28 RPE"/>
    <n v="136.69999999999999"/>
  </r>
  <r>
    <d v="2025-11-13T21:22:02"/>
    <x v="10"/>
    <s v="Plaquettes rondes"/>
    <s v="j529800"/>
    <s v="MONTCHARMONT BAPTISTE"/>
    <n v="10"/>
    <x v="0"/>
    <x v="3"/>
    <s v="PLAQUETTES"/>
    <s v="356x26 RPI"/>
    <n v="136.69999999999999"/>
  </r>
  <r>
    <d v="2025-11-13T21:53:59"/>
    <x v="10"/>
    <s v="Plaquettes rondes"/>
    <s v="j529800"/>
    <s v="MONTCHARMONT BAPTISTE"/>
    <n v="10"/>
    <x v="0"/>
    <x v="3"/>
    <s v="PLAQUETTES"/>
    <s v="356x26 RPI"/>
    <n v="136.69999999999999"/>
  </r>
  <r>
    <d v="2025-11-13T23:00:56"/>
    <x v="11"/>
    <s v="Plaquettes rondes"/>
    <s v="130325"/>
    <s v="PAPONNEAU JULIEN"/>
    <n v="10"/>
    <x v="1"/>
    <x v="3"/>
    <s v="PLAQUETTES"/>
    <s v="304x28 RPE"/>
    <n v="108.5"/>
  </r>
  <r>
    <d v="2025-11-14T05:25:34"/>
    <x v="11"/>
    <s v="Plaquettes rondes"/>
    <s v="150725"/>
    <s v="ADOUL WASSIM"/>
    <n v="10"/>
    <x v="1"/>
    <x v="3"/>
    <s v="PLAQUETTES"/>
    <s v="304x28 RPE"/>
    <n v="108.5"/>
  </r>
  <r>
    <d v="2025-11-14T16:48:34"/>
    <x v="10"/>
    <s v="Plaquettes rondes"/>
    <s v="04551FC25C7780"/>
    <s v="CHEDRU VIANNEY"/>
    <n v="10"/>
    <x v="3"/>
    <x v="3"/>
    <s v="PLAQUETTES"/>
    <s v="330x28 RPE KO"/>
    <n v="136.69999999999999"/>
  </r>
  <r>
    <d v="2025-11-14T20:10:51"/>
    <x v="10"/>
    <s v="Plaquettes rondes"/>
    <s v="04551FC25C7780"/>
    <s v="CHEDRU VIANNEY"/>
    <n v="10"/>
    <x v="0"/>
    <x v="3"/>
    <s v="PLAQUETTES"/>
    <s v="356x26 RPI"/>
    <n v="136.69999999999999"/>
  </r>
  <r>
    <d v="2025-11-14T23:57:51"/>
    <x v="10"/>
    <s v="Plaquettes rondes"/>
    <s v="U561365"/>
    <s v="BALLY BENOIT"/>
    <n v="10"/>
    <x v="1"/>
    <x v="3"/>
    <s v="PLAQUETTES"/>
    <s v="304x28 RPE"/>
    <n v="136.69999999999999"/>
  </r>
  <r>
    <d v="2025-11-15T02:24:50"/>
    <x v="10"/>
    <s v="Plaquettes rondes"/>
    <s v="j529800"/>
    <s v="MONTCHARMONT BAPTISTE"/>
    <n v="10"/>
    <x v="0"/>
    <x v="3"/>
    <s v="PLAQUETTES"/>
    <s v="356x26 RPI"/>
    <n v="136.69999999999999"/>
  </r>
  <r>
    <d v="2025-11-15T06:13:09"/>
    <x v="11"/>
    <s v="Plaquettes rondes"/>
    <s v="DELIAT C"/>
    <s v="DELIAT CHRISTOPHE"/>
    <n v="10"/>
    <x v="2"/>
    <x v="4"/>
    <s v="PLAQUETTES"/>
    <s v="302x26 RPI"/>
    <n v="108.5"/>
  </r>
  <r>
    <d v="2025-11-15T07:20:35"/>
    <x v="10"/>
    <s v="Plaquettes rondes"/>
    <s v="150725"/>
    <s v="ADOUL WASSIM"/>
    <n v="10"/>
    <x v="1"/>
    <x v="3"/>
    <s v="PLAQUETTES"/>
    <s v="304x28 RPE"/>
    <n v="136.69999999999999"/>
  </r>
  <r>
    <d v="2025-11-15T07:20:54"/>
    <x v="11"/>
    <s v="Plaquettes rondes"/>
    <s v="150725"/>
    <s v="ADOUL WASSIM"/>
    <n v="10"/>
    <x v="1"/>
    <x v="3"/>
    <s v="PLAQUETTES"/>
    <s v="304x28 RPE"/>
    <n v="108.5"/>
  </r>
  <r>
    <d v="2025-11-16T03:01:43"/>
    <x v="10"/>
    <s v="Plaquettes rondes"/>
    <s v="U080365"/>
    <s v="ALAVOINE SAMUEL"/>
    <n v="10"/>
    <x v="0"/>
    <x v="3"/>
    <s v="PLAQUETTES"/>
    <s v="356x26 RPI"/>
    <n v="136.69999999999999"/>
  </r>
  <r>
    <d v="2025-11-16T03:03:13"/>
    <x v="10"/>
    <s v="Plaquettes rondes"/>
    <s v="U080365"/>
    <s v="ALAVOINE SAMUEL"/>
    <n v="10"/>
    <x v="3"/>
    <x v="3"/>
    <s v="PLAQUETTES"/>
    <s v="330x28 RPE KO"/>
    <n v="136.69999999999999"/>
  </r>
  <r>
    <d v="2025-11-17T03:44:08"/>
    <x v="10"/>
    <s v="Plaquettes rondes"/>
    <s v="U080365"/>
    <s v="ALAVOINE SAMUEL"/>
    <n v="10"/>
    <x v="0"/>
    <x v="3"/>
    <s v="PLAQUETTES"/>
    <s v="356x26 RPI"/>
    <n v="136.69999999999999"/>
  </r>
  <r>
    <d v="2025-11-17T13:09:36"/>
    <x v="11"/>
    <s v="Plaquettes rondes"/>
    <s v="SD75051"/>
    <s v="COMBALUZIER LUCAS"/>
    <n v="10"/>
    <x v="1"/>
    <x v="3"/>
    <s v="PLAQUETTES"/>
    <s v="304x28 RPE"/>
    <n v="108.5"/>
  </r>
  <r>
    <d v="2025-11-17T21:25:31"/>
    <x v="10"/>
    <s v="Plaquettes rondes"/>
    <s v="j529800"/>
    <s v="MONTCHARMONT BAPTISTE"/>
    <n v="10"/>
    <x v="0"/>
    <x v="3"/>
    <s v="PLAQUETTES"/>
    <s v="356x26 RPI"/>
    <n v="136.69999999999999"/>
  </r>
  <r>
    <d v="2025-11-18T03:32:43"/>
    <x v="10"/>
    <s v="Plaquettes rondes"/>
    <s v="j529800"/>
    <s v="MONTCHARMONT BAPTISTE"/>
    <n v="10"/>
    <x v="0"/>
    <x v="3"/>
    <s v="PLAQUETTES"/>
    <s v="356x26 RPI"/>
    <n v="136.69999999999999"/>
  </r>
  <r>
    <d v="2025-11-18T13:08:00"/>
    <x v="11"/>
    <s v="Plaquettes rondes"/>
    <s v="140325"/>
    <s v="BOUCLIER JONATHAN"/>
    <n v="10"/>
    <x v="2"/>
    <x v="4"/>
    <s v="PLAQUETTES"/>
    <s v="302x26 RPI"/>
    <n v="108.5"/>
  </r>
  <r>
    <d v="2025-11-18T21:32:00"/>
    <x v="10"/>
    <s v="Plaquettes rondes"/>
    <s v="j529800"/>
    <s v="MONTCHARMONT BAPTISTE"/>
    <n v="10"/>
    <x v="0"/>
    <x v="3"/>
    <s v="PLAQUETTES"/>
    <s v="356x26 RPI"/>
    <n v="136.69999999999999"/>
  </r>
  <r>
    <d v="2025-11-19T01:02:12"/>
    <x v="11"/>
    <s v="Plaquettes rondes"/>
    <s v="250425"/>
    <s v="CHANDAR ABDER"/>
    <n v="10"/>
    <x v="2"/>
    <x v="4"/>
    <s v="PLAQUETTES"/>
    <s v="302x26 RPI"/>
    <n v="108.5"/>
  </r>
  <r>
    <d v="2025-11-19T13:29:10"/>
    <x v="10"/>
    <s v="Plaquettes rondes"/>
    <s v="SD75051"/>
    <s v="COMBALUZIER LUCAS"/>
    <n v="10"/>
    <x v="0"/>
    <x v="3"/>
    <s v="PLAQUETTES"/>
    <s v="304x28 RPE"/>
    <n v="136.69999999999999"/>
  </r>
  <r>
    <d v="2025-11-20T05:54:49"/>
    <x v="10"/>
    <s v="Plaquettes rondes"/>
    <s v="04551FC25C7780"/>
    <s v="CHEDRU VIANNEY"/>
    <n v="10"/>
    <x v="3"/>
    <x v="3"/>
    <s v="PLAQUETTES"/>
    <s v="330x14"/>
    <n v="136.69999999999999"/>
  </r>
  <r>
    <d v="2025-11-20T13:19:12"/>
    <x v="10"/>
    <s v="Plaquettes rondes"/>
    <s v="040725"/>
    <s v="BARGEOT LUCAS"/>
    <n v="10"/>
    <x v="0"/>
    <x v="3"/>
    <s v="PLAQUETTES"/>
    <s v="356x26 RPI"/>
    <n v="136.69999999999999"/>
  </r>
  <r>
    <d v="2025-11-20T13:56:28"/>
    <x v="11"/>
    <s v="Plaquettes rondes"/>
    <s v="140325"/>
    <s v="BOUCLIER JONATHAN"/>
    <n v="10"/>
    <x v="2"/>
    <x v="4"/>
    <s v="PLAQUETTES"/>
    <s v="302x26 RPI"/>
    <n v="108.5"/>
  </r>
  <r>
    <d v="2025-11-21T21:22:17"/>
    <x v="10"/>
    <s v="Plaquettes rondes"/>
    <s v="j529800"/>
    <s v="MONTCHARMONT BAPTISTE"/>
    <n v="10"/>
    <x v="0"/>
    <x v="3"/>
    <s v="PLAQUETTES"/>
    <s v="356x26 RPI"/>
    <n v="136.69999999999999"/>
  </r>
  <r>
    <d v="2025-11-21T23:38:38"/>
    <x v="11"/>
    <s v="Plaquettes rondes"/>
    <s v="250425"/>
    <s v="CHANDAR ABDER"/>
    <n v="10"/>
    <x v="2"/>
    <x v="4"/>
    <s v="PLAQUETTES"/>
    <s v="302x26 RPI"/>
    <n v="108.5"/>
  </r>
  <r>
    <d v="2025-11-23T17:09:21"/>
    <x v="11"/>
    <s v="Plaquettes rondes"/>
    <s v="DELIAT C"/>
    <s v="DELIAT CHRISTOPHE"/>
    <n v="10"/>
    <x v="2"/>
    <x v="4"/>
    <s v="PLAQUETTES"/>
    <s v="302x26 RPI"/>
    <n v="108.5"/>
  </r>
  <r>
    <d v="2025-11-23T17:17:55"/>
    <x v="10"/>
    <s v="Plaquettes rondes"/>
    <s v="150725"/>
    <s v="ADOUL WASSIM"/>
    <n v="10"/>
    <x v="0"/>
    <x v="3"/>
    <s v="PLAQUETTES"/>
    <s v="356x26 RPI"/>
    <n v="136.69999999999999"/>
  </r>
  <r>
    <d v="2025-11-23T19:09:33"/>
    <x v="11"/>
    <s v="Plaquettes rondes"/>
    <s v="150725"/>
    <s v="ADOUL WASSIM"/>
    <n v="10"/>
    <x v="1"/>
    <x v="3"/>
    <s v="PLAQUETTES"/>
    <s v="304x28 RPE"/>
    <n v="108.5"/>
  </r>
  <r>
    <d v="2025-11-23T19:09:48"/>
    <x v="10"/>
    <s v="Plaquettes rondes"/>
    <s v="150725"/>
    <s v="ADOUL WASSIM"/>
    <n v="10"/>
    <x v="1"/>
    <x v="3"/>
    <s v="PLAQUETTES"/>
    <s v="304x28 RPE"/>
    <n v="136.69999999999999"/>
  </r>
  <r>
    <d v="2025-11-24T05:02:56"/>
    <x v="11"/>
    <s v="Plaquettes rondes"/>
    <s v="140325"/>
    <s v="BOUCLIER JONATHAN"/>
    <n v="10"/>
    <x v="2"/>
    <x v="4"/>
    <s v="PLAQUETTES"/>
    <s v="302x26 RPI"/>
    <n v="108.5"/>
  </r>
  <r>
    <d v="2025-11-24T05:10:27"/>
    <x v="10"/>
    <s v="Plaquettes rondes"/>
    <s v="040725"/>
    <s v="BARGEOT LUCAS"/>
    <n v="10"/>
    <x v="0"/>
    <x v="3"/>
    <s v="PLAQUETTES"/>
    <s v="356x26 RPI"/>
    <n v="136.69999999999999"/>
  </r>
  <r>
    <d v="2025-11-24T07:01:52"/>
    <x v="10"/>
    <s v="Plaquettes rondes"/>
    <s v="040725"/>
    <s v="BARGEOT LUCAS"/>
    <n v="10"/>
    <x v="3"/>
    <x v="3"/>
    <s v="PLAQUETTES"/>
    <s v="330x28 RPE KO"/>
    <n v="136.69999999999999"/>
  </r>
  <r>
    <d v="2025-11-24T21:13:09"/>
    <x v="10"/>
    <s v="Plaquettes rondes"/>
    <s v="j529800"/>
    <s v="MONTCHARMONT BAPTISTE"/>
    <n v="10"/>
    <x v="0"/>
    <x v="3"/>
    <s v="PLAQUETTES"/>
    <s v="356x26 RPI"/>
    <n v="136.69999999999999"/>
  </r>
  <r>
    <d v="2025-11-24T21:48:31"/>
    <x v="11"/>
    <s v="Plaquettes rondes"/>
    <s v="250425"/>
    <s v="CHANDAR ABDER"/>
    <n v="10"/>
    <x v="2"/>
    <x v="4"/>
    <s v="PLAQUETTES"/>
    <s v="302x26 RPI"/>
    <n v="108.5"/>
  </r>
  <r>
    <d v="2025-11-25T05:20:51"/>
    <x v="10"/>
    <s v="Plaquettes rondes"/>
    <s v="040725"/>
    <s v="BARGEOT LUCAS"/>
    <n v="10"/>
    <x v="0"/>
    <x v="3"/>
    <s v="PLAQUETTES"/>
    <s v="356x26 RPI"/>
    <n v="136.69999999999999"/>
  </r>
  <r>
    <d v="2025-11-25T05:44:20"/>
    <x v="10"/>
    <s v="Plaquettes rondes"/>
    <s v="040725"/>
    <s v="BARGEOT LUCAS"/>
    <n v="10"/>
    <x v="3"/>
    <x v="3"/>
    <s v="PLAQUETTES"/>
    <s v="330x28 RPE KO"/>
    <n v="136.69999999999999"/>
  </r>
  <r>
    <d v="2025-11-25T13:17:34"/>
    <x v="11"/>
    <s v="Plaquettes rondes"/>
    <s v="210325"/>
    <s v="DAUTUN ALLAN"/>
    <n v="10"/>
    <x v="2"/>
    <x v="4"/>
    <s v="PLAQUETTES"/>
    <s v="302x26 RPI"/>
    <n v="108.5"/>
  </r>
  <r>
    <d v="2025-11-25T21:25:21"/>
    <x v="10"/>
    <s v="Plaquettes rondes"/>
    <s v="j529800"/>
    <s v="MONTCHARMONT BAPTISTE"/>
    <n v="10"/>
    <x v="0"/>
    <x v="3"/>
    <s v="PLAQUETTES"/>
    <s v="330x14"/>
    <n v="136.69999999999999"/>
  </r>
  <r>
    <d v="2025-11-26T05:05:59"/>
    <x v="11"/>
    <s v="Plaquettes rondes"/>
    <s v="SD75051"/>
    <s v="COMBALUZIER LUCAS"/>
    <n v="10"/>
    <x v="1"/>
    <x v="3"/>
    <s v="PLAQUETTES"/>
    <s v="304x28 RPE"/>
    <n v="108.5"/>
  </r>
  <r>
    <d v="2025-11-26T07:31:58"/>
    <x v="10"/>
    <s v="Plaquettes rondes"/>
    <s v="SD75051"/>
    <s v="COMBALUZIER LUCAS"/>
    <n v="10"/>
    <x v="1"/>
    <x v="3"/>
    <s v="PLAQUETTES"/>
    <s v="304x28 RPE"/>
    <n v="136.69999999999999"/>
  </r>
  <r>
    <d v="2025-11-27T00:35:23"/>
    <x v="10"/>
    <s v="Plaquettes rondes"/>
    <s v="j529800"/>
    <s v="MONTCHARMONT BAPTISTE"/>
    <n v="10"/>
    <x v="0"/>
    <x v="3"/>
    <s v="PLAQUETTES"/>
    <s v="356x26 RPI"/>
    <n v="136.69999999999999"/>
  </r>
  <r>
    <d v="2025-11-27T08:07:01"/>
    <x v="11"/>
    <s v="Plaquettes rondes"/>
    <s v="140325"/>
    <s v="BOUCLIER JONATHAN"/>
    <n v="10"/>
    <x v="2"/>
    <x v="4"/>
    <s v="PLAQUETTES"/>
    <s v="302x26 RPI"/>
    <n v="108.5"/>
  </r>
  <r>
    <d v="2025-11-27T16:44:45"/>
    <x v="10"/>
    <s v="Plaquettes rondes"/>
    <s v="U505000"/>
    <s v="RECEVEUR BENOIT"/>
    <n v="10"/>
    <x v="0"/>
    <x v="3"/>
    <s v="PLAQUETTES"/>
    <s v="356x26 RPI"/>
    <n v="136.69999999999999"/>
  </r>
  <r>
    <d v="2025-11-27T21:13:14"/>
    <x v="10"/>
    <s v="Plaquettes rondes"/>
    <s v="j529800"/>
    <s v="MONTCHARMONT BAPTISTE"/>
    <n v="10"/>
    <x v="0"/>
    <x v="3"/>
    <s v="PLAQUETTES"/>
    <s v="356x26 RPI"/>
    <n v="136.69999999999999"/>
  </r>
  <r>
    <d v="2025-11-27T21:22:22"/>
    <x v="11"/>
    <s v="Plaquettes rondes"/>
    <s v="250425"/>
    <s v="CHANDAR ABDER"/>
    <n v="10"/>
    <x v="2"/>
    <x v="4"/>
    <s v="PLAQUETTES"/>
    <s v="302x26 RPI"/>
    <n v="108.5"/>
  </r>
  <r>
    <d v="2025-11-28T06:24:17"/>
    <x v="11"/>
    <s v="Plaquettes rondes"/>
    <s v="150725"/>
    <s v="ADOUL WASSIM"/>
    <n v="10"/>
    <x v="1"/>
    <x v="3"/>
    <s v="PLAQUETTES"/>
    <s v="304x28 RPE"/>
    <n v="108.5"/>
  </r>
  <r>
    <d v="2025-11-28T06:24:33"/>
    <x v="10"/>
    <s v="Plaquettes rondes"/>
    <s v="150725"/>
    <s v="ADOUL WASSIM"/>
    <n v="10"/>
    <x v="1"/>
    <x v="3"/>
    <s v="PLAQUETTES"/>
    <s v="304x28 RPE"/>
    <n v="136.69999999999999"/>
  </r>
  <r>
    <d v="2025-11-28T09:23:19"/>
    <x v="11"/>
    <s v="Plaquettes rondes"/>
    <s v="12824586"/>
    <s v="DA SILVA FERNANDO"/>
    <n v="10"/>
    <x v="2"/>
    <x v="4"/>
    <s v="PLAQUETTES"/>
    <s v="TOUT DISQUES"/>
    <n v="108.5"/>
  </r>
  <r>
    <d v="2025-11-28T12:59:56"/>
    <x v="10"/>
    <s v="Plaquettes rondes"/>
    <s v="04551FC25C7780"/>
    <s v="CHEDRU VIANNEY"/>
    <n v="10"/>
    <x v="3"/>
    <x v="3"/>
    <s v="PLAQUETTES"/>
    <s v="330x28 RPE KO"/>
    <n v="136.69999999999999"/>
  </r>
  <r>
    <d v="2025-11-28T14:25:50"/>
    <x v="10"/>
    <s v="Plaquettes rondes"/>
    <s v="04551FC25C7780"/>
    <s v="CHEDRU VIANNEY"/>
    <n v="10"/>
    <x v="0"/>
    <x v="3"/>
    <s v="PLAQUETTES"/>
    <s v="356x26 RPI"/>
    <n v="136.69999999999999"/>
  </r>
  <r>
    <d v="2025-11-29T07:52:33"/>
    <x v="11"/>
    <s v="Plaquettes rondes"/>
    <s v="DELIAT C"/>
    <s v="DELIAT CHRISTOPHE"/>
    <n v="10"/>
    <x v="2"/>
    <x v="4"/>
    <s v="PLAQUETTES"/>
    <s v="302x26 RPI"/>
    <n v="108.5"/>
  </r>
  <r>
    <d v="2025-11-29T18:19:24"/>
    <x v="10"/>
    <s v="Plaquettes rondes"/>
    <s v="150725"/>
    <s v="ADOUL WASSIM"/>
    <n v="10"/>
    <x v="0"/>
    <x v="3"/>
    <s v="PLAQUETTES"/>
    <s v="356x26 RPI"/>
    <n v="136.69999999999999"/>
  </r>
  <r>
    <d v="2025-11-30T10:08:53"/>
    <x v="10"/>
    <s v="Plaquettes rondes"/>
    <s v="U080365"/>
    <s v="ALAVOINE SAMUEL"/>
    <n v="10"/>
    <x v="3"/>
    <x v="3"/>
    <s v="PLAQUETTES"/>
    <s v="330x28 RPE KO"/>
    <n v="136.69999999999999"/>
  </r>
  <r>
    <d v="2025-11-30T10:09:20"/>
    <x v="10"/>
    <s v="Plaquettes rondes"/>
    <s v="U080365"/>
    <s v="ALAVOINE SAMUEL"/>
    <n v="10"/>
    <x v="0"/>
    <x v="3"/>
    <s v="PLAQUETTES"/>
    <s v="356x26 RPI"/>
    <n v="136.69999999999999"/>
  </r>
  <r>
    <d v="2025-12-01T13:11:10"/>
    <x v="11"/>
    <s v="Plaquettes rondes"/>
    <s v="SD75051"/>
    <s v="COMBALUZIER LUCAS"/>
    <n v="10"/>
    <x v="1"/>
    <x v="3"/>
    <s v="PLAQUETTES"/>
    <s v="304x28 RPE"/>
    <n v="108.5"/>
  </r>
  <r>
    <d v="2025-12-01T18:21:33"/>
    <x v="10"/>
    <s v="Plaquettes rondes"/>
    <s v="SE08251"/>
    <s v="FAYET AYMERIC"/>
    <n v="10"/>
    <x v="0"/>
    <x v="3"/>
    <s v="PLAQUETTES"/>
    <s v="356x26 RPI"/>
    <n v="136.69999999999999"/>
  </r>
  <r>
    <d v="2025-12-01T18:21:50"/>
    <x v="10"/>
    <s v="Plaquettes rondes"/>
    <s v="SE08251"/>
    <s v="FAYET AYMERIC"/>
    <n v="10"/>
    <x v="3"/>
    <x v="3"/>
    <s v="PLAQUETTES"/>
    <s v="330x28 RPE KO"/>
    <n v="136.69999999999999"/>
  </r>
  <r>
    <d v="2025-12-02T05:35:10"/>
    <x v="11"/>
    <s v="Plaquettes rondes"/>
    <s v="045C6ECAA77080"/>
    <s v="PERREIRA KEVIN"/>
    <n v="10"/>
    <x v="1"/>
    <x v="3"/>
    <s v="PLAQUETTES"/>
    <s v="304x28 RPE"/>
    <n v="108.5"/>
  </r>
  <r>
    <d v="2025-12-02T05:35:29"/>
    <x v="10"/>
    <s v="Plaquettes rondes"/>
    <s v="045C6ECAA77080"/>
    <s v="PERREIRA KEVIN"/>
    <n v="10"/>
    <x v="1"/>
    <x v="3"/>
    <s v="PLAQUETTES"/>
    <s v="304x28 RPE"/>
    <n v="136.69999999999999"/>
  </r>
  <r>
    <d v="2025-12-02T07:17:08"/>
    <x v="10"/>
    <s v="Plaquettes rondes"/>
    <s v="04551FC25C7780"/>
    <s v="CHEDRU VIANNEY"/>
    <n v="10"/>
    <x v="0"/>
    <x v="3"/>
    <s v="PLAQUETTES"/>
    <s v="356x26 RPI"/>
    <n v="136.69999999999999"/>
  </r>
  <r>
    <d v="2025-12-02T14:42:47"/>
    <x v="10"/>
    <s v="Plaquettes rondes"/>
    <s v="040725"/>
    <s v="BARGEOT LUCAS"/>
    <n v="10"/>
    <x v="0"/>
    <x v="3"/>
    <s v="PLAQUETTES"/>
    <s v="356x26 RPI"/>
    <n v="136.69999999999999"/>
  </r>
  <r>
    <d v="2025-12-02T21:58:53"/>
    <x v="11"/>
    <s v="Plaquettes rondes"/>
    <s v="250425"/>
    <s v="CHANDAR ABDER"/>
    <n v="10"/>
    <x v="2"/>
    <x v="4"/>
    <s v="PLAQUETTES"/>
    <s v="302x26 RPI"/>
    <n v="108.5"/>
  </r>
  <r>
    <d v="2025-12-03T01:24:37"/>
    <x v="11"/>
    <s v="Plaquettes rondes"/>
    <s v="130325"/>
    <s v="PAPONNEAU JULIEN"/>
    <n v="10"/>
    <x v="1"/>
    <x v="3"/>
    <s v="PLAQUETTES"/>
    <s v="304x28 RPE"/>
    <n v="108.5"/>
  </r>
  <r>
    <d v="2025-12-03T01:24:50"/>
    <x v="10"/>
    <s v="Plaquettes rondes"/>
    <s v="130325"/>
    <s v="PAPONNEAU JULIEN"/>
    <n v="10"/>
    <x v="1"/>
    <x v="3"/>
    <s v="PLAQUETTES"/>
    <s v="304x28 RPE"/>
    <n v="136.69999999999999"/>
  </r>
  <r>
    <d v="2025-12-03T01:25:08"/>
    <x v="10"/>
    <s v="Plaquettes rondes"/>
    <s v="130325"/>
    <s v="PAPONNEAU JULIEN"/>
    <n v="10"/>
    <x v="1"/>
    <x v="3"/>
    <s v="PLAQUETTES"/>
    <s v="304x28 RPE"/>
    <n v="136.69999999999999"/>
  </r>
  <r>
    <d v="2025-12-03T01:25:23"/>
    <x v="10"/>
    <s v="Plaquettes rondes"/>
    <s v="130325"/>
    <s v="PAPONNEAU JULIEN"/>
    <n v="10"/>
    <x v="1"/>
    <x v="3"/>
    <s v="PLAQUETTES"/>
    <s v="304x28 RPE"/>
    <n v="136.69999999999999"/>
  </r>
  <r>
    <d v="2025-12-03T06:58:27"/>
    <x v="10"/>
    <s v="Plaquettes rondes"/>
    <s v="04551FC25C7780"/>
    <s v="CHEDRU VIANNEY"/>
    <n v="10"/>
    <x v="0"/>
    <x v="3"/>
    <s v="PLAQUETTES"/>
    <s v="356x26 RPI"/>
    <n v="136.69999999999999"/>
  </r>
  <r>
    <d v="2025-12-03T06:58:43"/>
    <x v="10"/>
    <s v="Plaquettes rondes"/>
    <s v="04551FC25C7780"/>
    <s v="CHEDRU VIANNEY"/>
    <n v="10"/>
    <x v="3"/>
    <x v="3"/>
    <s v="PLAQUETTES"/>
    <s v="330x28 RPE KO"/>
    <n v="136.69999999999999"/>
  </r>
  <r>
    <d v="2025-12-03T21:12:35"/>
    <x v="10"/>
    <s v="Plaquettes rondes"/>
    <s v="j529800"/>
    <s v="MONTCHARMONT BAPTISTE"/>
    <n v="10"/>
    <x v="0"/>
    <x v="3"/>
    <s v="PLAQUETTES"/>
    <s v="356x26 RPI"/>
    <n v="136.69999999999999"/>
  </r>
  <r>
    <d v="2025-12-04T01:57:55"/>
    <x v="10"/>
    <s v="Plaquettes rondes"/>
    <s v="j529800"/>
    <s v="MONTCHARMONT BAPTISTE"/>
    <n v="10"/>
    <x v="0"/>
    <x v="3"/>
    <s v="PLAQUETTES"/>
    <s v="356x26 RPI"/>
    <n v="136.69999999999999"/>
  </r>
  <r>
    <d v="2025-12-04T06:38:37"/>
    <x v="10"/>
    <s v="Plaquettes rondes"/>
    <s v="04551FC25C7780"/>
    <s v="CHEDRU VIANNEY"/>
    <n v="10"/>
    <x v="0"/>
    <x v="3"/>
    <s v="PLAQUETTES"/>
    <s v="356x26 RPI"/>
    <n v="136.69999999999999"/>
  </r>
  <r>
    <d v="2025-12-04T06:38:56"/>
    <x v="10"/>
    <s v="Plaquettes rondes"/>
    <s v="04551FC25C7780"/>
    <s v="CHEDRU VIANNEY"/>
    <n v="10"/>
    <x v="3"/>
    <x v="3"/>
    <s v="PLAQUETTES"/>
    <s v="330x28 RPE KO"/>
    <n v="136.69999999999999"/>
  </r>
  <r>
    <d v="2025-12-04T21:23:17"/>
    <x v="10"/>
    <s v="Plaquettes rondes"/>
    <s v="j529800"/>
    <s v="MONTCHARMONT BAPTISTE"/>
    <n v="10"/>
    <x v="0"/>
    <x v="3"/>
    <s v="PLAQUETTES"/>
    <s v="356x26 RPI"/>
    <n v="136.69999999999999"/>
  </r>
  <r>
    <d v="2025-12-04T21:23:37"/>
    <x v="10"/>
    <s v="Plaquettes rondes"/>
    <s v="j529800"/>
    <s v="MONTCHARMONT BAPTISTE"/>
    <n v="10"/>
    <x v="3"/>
    <x v="3"/>
    <s v="PLAQUETTES"/>
    <s v="330x28 RPE KO"/>
    <n v="136.69999999999999"/>
  </r>
  <r>
    <d v="2025-12-04T22:02:36"/>
    <x v="11"/>
    <s v="Plaquettes rondes"/>
    <s v="250425"/>
    <s v="CHANDAR ABDER"/>
    <n v="10"/>
    <x v="2"/>
    <x v="4"/>
    <s v="PLAQUETTES"/>
    <s v="302x26 RPI"/>
    <n v="108.5"/>
  </r>
  <r>
    <d v="2025-12-05T14:18:02"/>
    <x v="10"/>
    <s v="Plaquettes rondes"/>
    <s v="040725"/>
    <s v="BARGEOT LUCAS"/>
    <n v="10"/>
    <x v="0"/>
    <x v="3"/>
    <s v="PLAQUETTES"/>
    <s v="356x26 RPI"/>
    <n v="136.69999999999999"/>
  </r>
  <r>
    <d v="2025-12-05T14:18:18"/>
    <x v="10"/>
    <s v="Plaquettes rondes"/>
    <s v="040725"/>
    <s v="BARGEOT LUCAS"/>
    <n v="10"/>
    <x v="0"/>
    <x v="3"/>
    <s v="PLAQUETTES"/>
    <s v="356x26 RPI"/>
    <n v="136.69999999999999"/>
  </r>
  <r>
    <d v="2025-12-05T21:19:21"/>
    <x v="10"/>
    <s v="Plaquettes rondes"/>
    <s v="j529800"/>
    <s v="MONTCHARMONT BAPTISTE"/>
    <n v="10"/>
    <x v="0"/>
    <x v="3"/>
    <s v="PLAQUETTES"/>
    <s v="356x26 RPI"/>
    <n v="136.69999999999999"/>
  </r>
  <r>
    <d v="2025-12-06T05:18:05"/>
    <x v="10"/>
    <s v="Plaquettes rondes"/>
    <s v="U080365"/>
    <s v="ALAVOINE SAMUEL"/>
    <n v="10"/>
    <x v="3"/>
    <x v="3"/>
    <s v="PLAQUETTES"/>
    <s v="330x28 RPE KO"/>
    <n v="136.69999999999999"/>
  </r>
  <r>
    <d v="2025-12-06T05:18:20"/>
    <x v="10"/>
    <s v="Plaquettes rondes"/>
    <s v="U080365"/>
    <s v="ALAVOINE SAMUEL"/>
    <n v="10"/>
    <x v="0"/>
    <x v="3"/>
    <s v="PLAQUETTES"/>
    <s v="356x26 RPI"/>
    <n v="136.69999999999999"/>
  </r>
  <r>
    <d v="2025-12-06T05:49:21"/>
    <x v="11"/>
    <s v="Plaquettes rondes"/>
    <s v="DELIAT C"/>
    <s v="DELIAT CHRISTOPHE"/>
    <n v="10"/>
    <x v="1"/>
    <x v="3"/>
    <s v="PLAQUETTES"/>
    <s v="304x28 RPE"/>
    <n v="108.5"/>
  </r>
  <r>
    <d v="2025-12-06T05:50:22"/>
    <x v="10"/>
    <s v="Plaquettes rondes"/>
    <s v="DELIAT C"/>
    <s v="DELIAT CHRISTOPHE"/>
    <n v="10"/>
    <x v="1"/>
    <x v="3"/>
    <s v="PLAQUETTES"/>
    <s v="304x28 RPE"/>
    <n v="136.69999999999999"/>
  </r>
  <r>
    <d v="2025-12-06T05:56:41"/>
    <x v="11"/>
    <s v="Plaquettes rondes"/>
    <s v="DELIAT C"/>
    <s v="DELIAT CHRISTOPHE"/>
    <n v="10"/>
    <x v="2"/>
    <x v="4"/>
    <s v="PLAQUETTES"/>
    <s v="302x26 RPI"/>
    <n v="108.5"/>
  </r>
  <r>
    <d v="2025-12-06T06:50:47"/>
    <x v="11"/>
    <s v="Plaquettes rondes"/>
    <s v="DELIAT C"/>
    <s v="DELIAT CHRISTOPHE"/>
    <n v="10"/>
    <x v="1"/>
    <x v="3"/>
    <s v="PLAQUETTES"/>
    <s v="304x28 RPE"/>
    <n v="108.5"/>
  </r>
  <r>
    <d v="2025-12-07T10:10:21"/>
    <x v="10"/>
    <s v="Plaquettes rondes"/>
    <s v="U080365"/>
    <s v="ALAVOINE SAMUEL"/>
    <n v="10"/>
    <x v="0"/>
    <x v="3"/>
    <s v="PLAQUETTES"/>
    <s v="356x26 RPI"/>
    <n v="136.69999999999999"/>
  </r>
  <r>
    <d v="2025-12-07T18:09:08"/>
    <x v="10"/>
    <s v="Plaquettes rondes"/>
    <s v="150725"/>
    <s v="ADOUL WASSIM"/>
    <n v="10"/>
    <x v="3"/>
    <x v="3"/>
    <s v="PLAQUETTES"/>
    <s v="330x28 RPE KO"/>
    <n v="136.69999999999999"/>
  </r>
  <r>
    <d v="2025-12-08T09:36:58"/>
    <x v="10"/>
    <s v="Plaquettes rondes"/>
    <s v="040725"/>
    <s v="BARGEOT LUCAS"/>
    <n v="10"/>
    <x v="0"/>
    <x v="3"/>
    <s v="PLAQUETTES"/>
    <s v="356x26 RPI"/>
    <n v="136.69999999999999"/>
  </r>
  <r>
    <d v="2025-12-08T09:37:11"/>
    <x v="10"/>
    <s v="Plaquettes rondes"/>
    <s v="040725"/>
    <s v="BARGEOT LUCAS"/>
    <n v="10"/>
    <x v="0"/>
    <x v="3"/>
    <s v="PLAQUETTES"/>
    <s v="356x26 RPI"/>
    <n v="136.69999999999999"/>
  </r>
  <r>
    <d v="2025-12-08T15:58:41"/>
    <x v="10"/>
    <s v="Plaquettes rondes"/>
    <s v="04551FC25C7780"/>
    <s v="CHEDRU VIANNEY"/>
    <n v="10"/>
    <x v="0"/>
    <x v="3"/>
    <s v="PLAQUETTES"/>
    <s v="356x26 RPI"/>
    <n v="136.69999999999999"/>
  </r>
  <r>
    <d v="2025-12-08T23:29:24"/>
    <x v="11"/>
    <s v="Plaquettes rondes"/>
    <s v="130325"/>
    <s v="PAPONNEAU JULIEN"/>
    <n v="10"/>
    <x v="1"/>
    <x v="3"/>
    <s v="PLAQUETTES"/>
    <s v="304x28 RPE"/>
    <n v="108.5"/>
  </r>
  <r>
    <d v="2025-12-09T02:12:26"/>
    <x v="10"/>
    <s v="Plaquettes rondes"/>
    <s v="j529800"/>
    <s v="MONTCHARMONT BAPTISTE"/>
    <n v="10"/>
    <x v="3"/>
    <x v="3"/>
    <s v="PLAQUETTES"/>
    <s v="330x28 RPE KO"/>
    <n v="136.69999999999999"/>
  </r>
  <r>
    <d v="2025-12-09T05:21:33"/>
    <x v="11"/>
    <s v="Plaquettes rondes"/>
    <s v="u636817"/>
    <s v="MOCQUEREAU LYDIE"/>
    <n v="10"/>
    <x v="2"/>
    <x v="4"/>
    <s v="PLAQUETTES"/>
    <s v="302x26 RPI"/>
    <n v="108.5"/>
  </r>
  <r>
    <d v="2025-12-09T14:36:02"/>
    <x v="10"/>
    <s v="Plaquettes rondes"/>
    <s v="04551FC25C7780"/>
    <s v="CHEDRU VIANNEY"/>
    <n v="10"/>
    <x v="0"/>
    <x v="3"/>
    <s v="PLAQUETTES"/>
    <s v="356x26 RPI"/>
    <n v="136.69999999999999"/>
  </r>
  <r>
    <d v="2025-12-10T01:21:09"/>
    <x v="10"/>
    <s v="Plaquettes rondes"/>
    <s v="j529800"/>
    <s v="MONTCHARMONT BAPTISTE"/>
    <n v="10"/>
    <x v="3"/>
    <x v="3"/>
    <s v="PLAQUETTES"/>
    <s v="330x14"/>
    <n v="136.69999999999999"/>
  </r>
  <r>
    <d v="2025-12-10T04:08:24"/>
    <x v="10"/>
    <s v="Plaquettes rondes"/>
    <s v="j529800"/>
    <s v="MONTCHARMONT BAPTISTE"/>
    <n v="10"/>
    <x v="3"/>
    <x v="3"/>
    <s v="PLAQUETTES"/>
    <s v="330x28 RPE KO"/>
    <n v="136.69999999999999"/>
  </r>
  <r>
    <d v="2025-12-11T03:33:04"/>
    <x v="10"/>
    <s v="Plaquettes rondes"/>
    <s v="j529800"/>
    <s v="MONTCHARMONT BAPTISTE"/>
    <n v="10"/>
    <x v="0"/>
    <x v="3"/>
    <s v="PLAQUETTES"/>
    <s v="356x26 RPI"/>
    <n v="136.69999999999999"/>
  </r>
  <r>
    <d v="2025-12-11T11:51:12"/>
    <x v="10"/>
    <s v="Plaquettes rondes"/>
    <s v="040725"/>
    <s v="BARGEOT LUCAS"/>
    <n v="10"/>
    <x v="0"/>
    <x v="3"/>
    <s v="PLAQUETTES"/>
    <s v="356x26 RPI"/>
    <n v="136.69999999999999"/>
  </r>
  <r>
    <d v="2025-12-11T19:44:48"/>
    <x v="10"/>
    <s v="Plaquettes rondes"/>
    <s v="045C6ECAA77080"/>
    <s v="PERREIRA KEVIN"/>
    <n v="10"/>
    <x v="1"/>
    <x v="3"/>
    <s v="PLAQUETTES"/>
    <s v="356x26 RPI"/>
    <n v="136.69999999999999"/>
  </r>
  <r>
    <d v="2025-12-11T21:54:46"/>
    <x v="10"/>
    <s v="Plaquettes rondes"/>
    <s v="j529800"/>
    <s v="MONTCHARMONT BAPTISTE"/>
    <n v="10"/>
    <x v="0"/>
    <x v="3"/>
    <s v="PLAQUETTES"/>
    <s v="356x26 RPI"/>
    <n v="136.69999999999999"/>
  </r>
  <r>
    <d v="2025-12-11T22:22:56"/>
    <x v="10"/>
    <s v="Plaquettes rondes"/>
    <s v="j529800"/>
    <s v="MONTCHARMONT BAPTISTE"/>
    <n v="10"/>
    <x v="0"/>
    <x v="3"/>
    <s v="PLAQUETTES"/>
    <s v="356x26 RPI"/>
    <n v="136.69999999999999"/>
  </r>
  <r>
    <d v="2025-12-12T16:57:01"/>
    <x v="10"/>
    <s v="Plaquettes rondes"/>
    <s v="04551FC25C7780"/>
    <s v="CHEDRU VIANNEY"/>
    <n v="10"/>
    <x v="3"/>
    <x v="3"/>
    <s v="PLAQUETTES"/>
    <s v="330x28 RPE KO"/>
    <n v="136.69999999999999"/>
  </r>
  <r>
    <d v="2025-12-13T00:36:03"/>
    <x v="11"/>
    <s v="Plaquettes rondes"/>
    <s v="250425"/>
    <s v="CHANDAR ABDER"/>
    <n v="10"/>
    <x v="2"/>
    <x v="4"/>
    <s v="PLAQUETTES"/>
    <s v="302x26 RPI"/>
    <n v="108.5"/>
  </r>
  <r>
    <d v="2025-12-13T01:37:09"/>
    <x v="10"/>
    <s v="Plaquettes rondes"/>
    <s v="130325"/>
    <s v="PAPONNEAU JULIEN"/>
    <n v="10"/>
    <x v="1"/>
    <x v="3"/>
    <s v="PLAQUETTES"/>
    <s v="304x28 RPE"/>
    <n v="136.69999999999999"/>
  </r>
  <r>
    <d v="2025-12-13T03:15:13"/>
    <x v="10"/>
    <s v="Plaquettes rondes"/>
    <s v="j529800"/>
    <s v="MONTCHARMONT BAPTISTE"/>
    <n v="10"/>
    <x v="0"/>
    <x v="3"/>
    <s v="PLAQUETTES"/>
    <s v="356x26 RPI"/>
    <n v="136.69999999999999"/>
  </r>
  <r>
    <d v="2025-12-13T10:30:19"/>
    <x v="10"/>
    <s v="Plaquettes rondes"/>
    <s v="150725"/>
    <s v="ADOUL WASSIM"/>
    <n v="10"/>
    <x v="0"/>
    <x v="3"/>
    <s v="PLAQUETTES"/>
    <s v="356x26 RPI"/>
    <n v="136.69999999999999"/>
  </r>
  <r>
    <d v="2025-12-13T19:33:21"/>
    <x v="10"/>
    <s v="Plaquettes rondes"/>
    <s v="U080365"/>
    <s v="ALAVOINE SAMUEL"/>
    <n v="10"/>
    <x v="0"/>
    <x v="3"/>
    <s v="PLAQUETTES"/>
    <s v="356x26 RPI"/>
    <n v="136.69999999999999"/>
  </r>
  <r>
    <d v="2025-12-13T19:33:35"/>
    <x v="10"/>
    <s v="Plaquettes rondes"/>
    <s v="U080365"/>
    <s v="ALAVOINE SAMUEL"/>
    <n v="10"/>
    <x v="3"/>
    <x v="3"/>
    <s v="PLAQUETTES"/>
    <s v="330x28 RPE KO"/>
    <n v="136.69999999999999"/>
  </r>
  <r>
    <d v="2025-12-14T17:05:59"/>
    <x v="11"/>
    <s v="Plaquettes rondes"/>
    <s v="DELIAT C"/>
    <s v="DELIAT CHRISTOPHE"/>
    <n v="10"/>
    <x v="2"/>
    <x v="4"/>
    <s v="PLAQUETTES"/>
    <s v="302x26 RPI"/>
    <n v="108.5"/>
  </r>
  <r>
    <d v="2025-12-15T05:35:50"/>
    <x v="10"/>
    <s v="Plaquettes rondes"/>
    <s v="04551FC25C7780"/>
    <s v="CHEDRU VIANNEY"/>
    <n v="10"/>
    <x v="0"/>
    <x v="3"/>
    <s v="PLAQUETTES"/>
    <s v="356x26 RPI"/>
    <n v="136.69999999999999"/>
  </r>
  <r>
    <d v="2025-12-15T05:36:54"/>
    <x v="10"/>
    <s v="Plaquettes rondes"/>
    <s v="04551FC25C7780"/>
    <s v="CHEDRU VIANNEY"/>
    <n v="10"/>
    <x v="3"/>
    <x v="3"/>
    <s v="PLAQUETTES"/>
    <s v="330x28 RPE KO"/>
    <n v="136.69999999999999"/>
  </r>
  <r>
    <d v="2025-12-15T12:19:25"/>
    <x v="11"/>
    <s v="Plaquettes rondes"/>
    <s v="210325"/>
    <s v="DAUTUN ALLAN"/>
    <n v="10"/>
    <x v="2"/>
    <x v="4"/>
    <s v="PLAQUETTES"/>
    <s v="302x26 RPI"/>
    <n v="108.5"/>
  </r>
  <r>
    <d v="2025-12-16T01:33:22"/>
    <x v="10"/>
    <s v="Plaquettes rondes"/>
    <s v="j529800"/>
    <s v="MONTCHARMONT BAPTISTE"/>
    <n v="10"/>
    <x v="3"/>
    <x v="3"/>
    <s v="PLAQUETTES"/>
    <s v="330x28 RPE KO"/>
    <n v="136.69999999999999"/>
  </r>
  <r>
    <d v="2025-12-16T05:51:24"/>
    <x v="10"/>
    <s v="Plaquettes rondes"/>
    <s v="04551FC25C7780"/>
    <s v="CHEDRU VIANNEY"/>
    <n v="10"/>
    <x v="3"/>
    <x v="3"/>
    <s v="PLAQUETTES"/>
    <s v="330x28 RPE KO"/>
    <n v="136.69999999999999"/>
  </r>
  <r>
    <d v="2025-12-16T12:59:29"/>
    <x v="11"/>
    <s v="Plaquettes rondes"/>
    <s v="140325"/>
    <s v="BOUCLIER JONATHAN"/>
    <n v="10"/>
    <x v="2"/>
    <x v="4"/>
    <s v="PLAQUETTES"/>
    <s v="302x26 RPI"/>
    <n v="108.5"/>
  </r>
  <r>
    <d v="2025-12-16T13:06:06"/>
    <x v="10"/>
    <s v="Plaquettes rondes"/>
    <s v="SD75051"/>
    <s v="COMBALUZIER LUCAS"/>
    <n v="10"/>
    <x v="1"/>
    <x v="3"/>
    <s v="PLAQUETTES"/>
    <s v="356x26 RPI"/>
    <n v="136.69999999999999"/>
  </r>
  <r>
    <d v="2025-12-16T23:50:58"/>
    <x v="11"/>
    <s v="Plaquettes rondes"/>
    <s v="250425"/>
    <s v="CHANDAR ABDER"/>
    <n v="10"/>
    <x v="2"/>
    <x v="4"/>
    <s v="PLAQUETTES"/>
    <s v="302x26 RPI"/>
    <n v="108.5"/>
  </r>
  <r>
    <d v="2025-12-17T07:01:16"/>
    <x v="11"/>
    <s v="Plaquettes rondes"/>
    <s v="210325"/>
    <s v="DAUTUN ALLAN"/>
    <n v="10"/>
    <x v="2"/>
    <x v="4"/>
    <s v="PLAQUETTES"/>
    <s v="302x26 RPI"/>
    <n v="108.5"/>
  </r>
  <r>
    <d v="2025-12-17T21:15:32"/>
    <x v="10"/>
    <s v="Plaquettes rondes"/>
    <s v="j529800"/>
    <s v="MONTCHARMONT BAPTISTE"/>
    <n v="10"/>
    <x v="0"/>
    <x v="3"/>
    <s v="PLAQUETTES"/>
    <s v="330x14"/>
    <n v="136.69999999999999"/>
  </r>
  <r>
    <d v="2025-12-18T04:16:12"/>
    <x v="10"/>
    <s v="Plaquettes rondes"/>
    <s v="j529800"/>
    <s v="MONTCHARMONT BAPTISTE"/>
    <n v="10"/>
    <x v="3"/>
    <x v="3"/>
    <s v="PLAQUETTES"/>
    <s v="330x28 RPE KO"/>
    <n v="136.69999999999999"/>
  </r>
  <r>
    <d v="2025-12-18T05:54:18"/>
    <x v="10"/>
    <s v="Plaquettes rondes"/>
    <s v="045C6ECAA77080"/>
    <s v="PERREIRA KEVIN"/>
    <n v="10"/>
    <x v="1"/>
    <x v="3"/>
    <s v="PLAQUETTES"/>
    <s v="356x26 RPI"/>
    <n v="136.69999999999999"/>
  </r>
  <r>
    <d v="2025-12-18T10:39:14"/>
    <x v="10"/>
    <s v="Plaquettes rondes"/>
    <s v="04551FC25C7780"/>
    <s v="CHEDRU VIANNEY"/>
    <n v="10"/>
    <x v="0"/>
    <x v="3"/>
    <s v="PLAQUETTES"/>
    <s v="356x26 RPI"/>
    <n v="136.69999999999999"/>
  </r>
  <r>
    <d v="2025-12-20T10:19:42"/>
    <x v="10"/>
    <s v="Plaquettes rondes"/>
    <s v="U080365"/>
    <s v="ALAVOINE SAMUEL"/>
    <n v="10"/>
    <x v="1"/>
    <x v="3"/>
    <s v="PLAQUETTES"/>
    <s v="356x26 RPI"/>
    <n v="136.69999999999999"/>
  </r>
  <r>
    <d v="2025-12-21T19:15:16"/>
    <x v="10"/>
    <s v="Plaquettes rondes"/>
    <s v="150725"/>
    <s v="ADOUL WASSIM"/>
    <n v="10"/>
    <x v="1"/>
    <x v="3"/>
    <s v="PLAQUETTES"/>
    <s v="356x26 RPI"/>
    <n v="136.69999999999999"/>
  </r>
  <r>
    <d v="2025-12-22T02:08:50"/>
    <x v="11"/>
    <s v="Plaquettes rondes"/>
    <s v="DELIAT C"/>
    <s v="DELIAT CHRISTOPHE"/>
    <n v="10"/>
    <x v="2"/>
    <x v="4"/>
    <s v="PLAQUETTES"/>
    <s v="302x26 RPI"/>
    <n v="108.5"/>
  </r>
  <r>
    <d v="2025-12-22T06:10:24"/>
    <x v="10"/>
    <s v="Plaquettes rondes"/>
    <s v="040725"/>
    <s v="BARGEOT LUCAS"/>
    <n v="10"/>
    <x v="0"/>
    <x v="3"/>
    <s v="PLAQUETTES"/>
    <s v="330x14"/>
    <n v="136.69999999999999"/>
  </r>
  <r>
    <d v="2025-12-22T21:36:18"/>
    <x v="11"/>
    <s v="Plaquettes rondes"/>
    <s v="250425"/>
    <s v="CHANDAR ABDER"/>
    <n v="10"/>
    <x v="2"/>
    <x v="4"/>
    <s v="PLAQUETTES"/>
    <s v="302x26 RPI"/>
    <n v="108.5"/>
  </r>
  <r>
    <d v="2025-12-23T05:56:04"/>
    <x v="10"/>
    <s v="Plaquettes rondes"/>
    <s v="040725"/>
    <s v="BARGEOT LUCAS"/>
    <n v="10"/>
    <x v="3"/>
    <x v="3"/>
    <s v="PLAQUETTES"/>
    <s v="330x28 RPE KO"/>
    <n v="136.69999999999999"/>
  </r>
  <r>
    <m/>
    <x v="12"/>
    <m/>
    <m/>
    <m/>
    <m/>
    <x v="4"/>
    <x v="5"/>
    <m/>
    <m/>
    <m/>
  </r>
  <r>
    <m/>
    <x v="12"/>
    <m/>
    <m/>
    <m/>
    <m/>
    <x v="4"/>
    <x v="5"/>
    <m/>
    <m/>
    <m/>
  </r>
  <r>
    <m/>
    <x v="12"/>
    <m/>
    <m/>
    <m/>
    <m/>
    <x v="4"/>
    <x v="5"/>
    <m/>
    <m/>
    <m/>
  </r>
  <r>
    <m/>
    <x v="12"/>
    <m/>
    <m/>
    <m/>
    <m/>
    <x v="4"/>
    <x v="5"/>
    <m/>
    <m/>
    <m/>
  </r>
  <r>
    <m/>
    <x v="12"/>
    <m/>
    <m/>
    <m/>
    <m/>
    <x v="4"/>
    <x v="5"/>
    <m/>
    <m/>
    <m/>
  </r>
  <r>
    <m/>
    <x v="12"/>
    <m/>
    <m/>
    <m/>
    <m/>
    <x v="4"/>
    <x v="5"/>
    <m/>
    <m/>
    <m/>
  </r>
  <r>
    <m/>
    <x v="12"/>
    <m/>
    <m/>
    <m/>
    <m/>
    <x v="4"/>
    <x v="5"/>
    <m/>
    <m/>
    <m/>
  </r>
  <r>
    <m/>
    <x v="12"/>
    <m/>
    <m/>
    <m/>
    <m/>
    <x v="4"/>
    <x v="5"/>
    <m/>
    <m/>
    <m/>
  </r>
  <r>
    <m/>
    <x v="13"/>
    <m/>
    <m/>
    <m/>
    <n v="134"/>
    <x v="1"/>
    <x v="2"/>
    <s v="PLAQUETTES"/>
    <s v="304x28 RPE"/>
    <n v="5092"/>
  </r>
  <r>
    <m/>
    <x v="14"/>
    <m/>
    <m/>
    <m/>
    <n v="183"/>
    <x v="1"/>
    <x v="2"/>
    <s v="PLAQUETTES"/>
    <s v="304x28 RPE"/>
    <n v="6954"/>
  </r>
  <r>
    <m/>
    <x v="13"/>
    <m/>
    <m/>
    <m/>
    <n v="20"/>
    <x v="1"/>
    <x v="2"/>
    <s v="PLAQUETTES"/>
    <s v="356x26 RPI"/>
    <n v="760"/>
  </r>
  <r>
    <m/>
    <x v="14"/>
    <m/>
    <m/>
    <m/>
    <n v="42"/>
    <x v="1"/>
    <x v="2"/>
    <s v="PLAQUETTES"/>
    <s v="356x26 RPI"/>
    <n v="1596"/>
  </r>
  <r>
    <m/>
    <x v="13"/>
    <m/>
    <m/>
    <m/>
    <n v="62"/>
    <x v="0"/>
    <x v="2"/>
    <s v="PLAQUETTES"/>
    <s v="356x26 RPI"/>
    <n v="2356"/>
  </r>
  <r>
    <m/>
    <x v="14"/>
    <m/>
    <m/>
    <m/>
    <n v="125"/>
    <x v="0"/>
    <x v="2"/>
    <s v="PLAQUETTES"/>
    <s v="356x26 RPI"/>
    <n v="4750"/>
  </r>
  <r>
    <m/>
    <x v="13"/>
    <m/>
    <m/>
    <m/>
    <n v="24"/>
    <x v="0"/>
    <x v="2"/>
    <s v="PLAQUETTES"/>
    <s v="330x14"/>
    <n v="912"/>
  </r>
  <r>
    <m/>
    <x v="14"/>
    <m/>
    <m/>
    <m/>
    <n v="52"/>
    <x v="0"/>
    <x v="2"/>
    <s v="PLAQUETTES"/>
    <s v="330x14"/>
    <n v="1976"/>
  </r>
  <r>
    <m/>
    <x v="15"/>
    <m/>
    <m/>
    <m/>
    <n v="0"/>
    <x v="0"/>
    <x v="2"/>
    <s v="PLAQUETTES"/>
    <s v="356x26 RPI"/>
    <n v="0"/>
  </r>
  <r>
    <m/>
    <x v="13"/>
    <m/>
    <m/>
    <m/>
    <n v="3"/>
    <x v="3"/>
    <x v="2"/>
    <s v="PLAQUETTES"/>
    <s v="304x28 RPE"/>
    <n v="114"/>
  </r>
  <r>
    <m/>
    <x v="14"/>
    <m/>
    <m/>
    <m/>
    <n v="4"/>
    <x v="3"/>
    <x v="2"/>
    <s v="PLAQUETTES"/>
    <s v="304x28 RPE"/>
    <n v="152"/>
  </r>
  <r>
    <m/>
    <x v="13"/>
    <m/>
    <m/>
    <m/>
    <n v="23"/>
    <x v="3"/>
    <x v="2"/>
    <s v="PLAQUETTES"/>
    <s v="330x14"/>
    <n v="874"/>
  </r>
  <r>
    <m/>
    <x v="14"/>
    <m/>
    <m/>
    <m/>
    <n v="51"/>
    <x v="3"/>
    <x v="2"/>
    <s v="PLAQUETTES"/>
    <s v="330x14"/>
    <n v="1938"/>
  </r>
  <r>
    <m/>
    <x v="16"/>
    <m/>
    <m/>
    <m/>
    <n v="57"/>
    <x v="1"/>
    <x v="1"/>
    <s v="EMBOUT"/>
    <m/>
    <n v="2565"/>
  </r>
  <r>
    <m/>
    <x v="17"/>
    <m/>
    <m/>
    <m/>
    <n v="29"/>
    <x v="1"/>
    <x v="1"/>
    <s v="PLAQUETTES"/>
    <m/>
    <n v="308.85000000000002"/>
  </r>
  <r>
    <m/>
    <x v="18"/>
    <m/>
    <m/>
    <m/>
    <n v="2"/>
    <x v="1"/>
    <x v="1"/>
    <s v="EMBOUT"/>
    <s v="304x28 RPE"/>
    <n v="104"/>
  </r>
  <r>
    <m/>
    <x v="19"/>
    <m/>
    <m/>
    <m/>
    <n v="1"/>
    <x v="1"/>
    <x v="1"/>
    <s v="PLAQUETTES"/>
    <s v="304x28 RPE"/>
    <n v="52"/>
  </r>
  <r>
    <m/>
    <x v="20"/>
    <m/>
    <m/>
    <m/>
    <n v="51"/>
    <x v="1"/>
    <x v="1"/>
    <s v="EMBOUT"/>
    <s v="356x26 RPI"/>
    <n v="2652"/>
  </r>
  <r>
    <m/>
    <x v="19"/>
    <m/>
    <m/>
    <m/>
    <n v="34"/>
    <x v="1"/>
    <x v="1"/>
    <s v="PLAQUETTES"/>
    <s v="356x26 RPI"/>
    <n v="414.12"/>
  </r>
  <r>
    <m/>
    <x v="16"/>
    <m/>
    <m/>
    <m/>
    <n v="155"/>
    <x v="0"/>
    <x v="1"/>
    <s v="EMBOUT"/>
    <m/>
    <n v="6975"/>
  </r>
  <r>
    <m/>
    <x v="17"/>
    <m/>
    <m/>
    <m/>
    <n v="78"/>
    <x v="0"/>
    <x v="1"/>
    <s v="PLAQUETTES"/>
    <m/>
    <n v="830.7"/>
  </r>
  <r>
    <m/>
    <x v="18"/>
    <m/>
    <m/>
    <m/>
    <n v="68"/>
    <x v="0"/>
    <x v="1"/>
    <s v="EMBOUT"/>
    <s v="330x14"/>
    <n v="3536"/>
  </r>
  <r>
    <m/>
    <x v="19"/>
    <m/>
    <m/>
    <m/>
    <n v="45"/>
    <x v="0"/>
    <x v="1"/>
    <s v="PLAQUETTES"/>
    <s v="330x14"/>
    <n v="548.1"/>
  </r>
  <r>
    <m/>
    <x v="20"/>
    <m/>
    <m/>
    <m/>
    <n v="117"/>
    <x v="0"/>
    <x v="1"/>
    <s v="EMBOUT"/>
    <s v="356x26 RPI"/>
    <n v="1425.06"/>
  </r>
  <r>
    <m/>
    <x v="19"/>
    <m/>
    <m/>
    <m/>
    <n v="78"/>
    <x v="0"/>
    <x v="1"/>
    <s v="PLAQUETTES"/>
    <s v="356x26 RPI"/>
    <n v="950.04"/>
  </r>
  <r>
    <m/>
    <x v="18"/>
    <m/>
    <m/>
    <m/>
    <n v="34"/>
    <x v="3"/>
    <x v="1"/>
    <s v="EMBOUT"/>
    <s v="330x14"/>
    <n v="414.12"/>
  </r>
  <r>
    <m/>
    <x v="19"/>
    <m/>
    <m/>
    <m/>
    <n v="23"/>
    <x v="3"/>
    <x v="1"/>
    <s v="PLAQUETTES"/>
    <s v="330x14"/>
    <n v="280.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5A731-F290-417D-9C51-0F25739A9413}" name="Tableau croisé dynamique3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38">
  <location ref="I1:J56" firstHeaderRow="1" firstDataRow="1" firstDataCol="1"/>
  <pivotFields count="11">
    <pivotField showAll="0"/>
    <pivotField axis="axisRow" showAll="0" sortType="descending">
      <items count="22">
        <item x="0"/>
        <item x="1"/>
        <item x="5"/>
        <item x="4"/>
        <item x="11"/>
        <item x="3"/>
        <item x="10"/>
        <item x="8"/>
        <item x="7"/>
        <item x="9"/>
        <item x="6"/>
        <item x="2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ascending">
      <items count="6">
        <item x="1"/>
        <item x="0"/>
        <item x="3"/>
        <item h="1" x="2"/>
        <item h="1" x="4"/>
        <item t="default"/>
      </items>
    </pivotField>
    <pivotField showAll="0"/>
    <pivotField showAll="0"/>
    <pivotField showAll="0"/>
    <pivotField dataField="1" showAll="0"/>
  </pivotFields>
  <rowFields count="2">
    <field x="6"/>
    <field x="1"/>
  </rowFields>
  <rowItems count="55">
    <i>
      <x/>
    </i>
    <i r="1">
      <x v="6"/>
    </i>
    <i r="1">
      <x v="7"/>
    </i>
    <i r="1">
      <x v="1"/>
    </i>
    <i r="1">
      <x v="3"/>
    </i>
    <i r="1">
      <x v="4"/>
    </i>
    <i r="1">
      <x v="14"/>
    </i>
    <i r="1">
      <x v="13"/>
    </i>
    <i r="1">
      <x v="8"/>
    </i>
    <i r="1">
      <x/>
    </i>
    <i r="1">
      <x v="20"/>
    </i>
    <i r="1">
      <x v="16"/>
    </i>
    <i r="1">
      <x v="9"/>
    </i>
    <i r="1">
      <x v="19"/>
    </i>
    <i r="1">
      <x v="17"/>
    </i>
    <i r="1">
      <x v="18"/>
    </i>
    <i r="1">
      <x v="5"/>
    </i>
    <i>
      <x v="1"/>
    </i>
    <i r="1">
      <x v="6"/>
    </i>
    <i r="1">
      <x v="7"/>
    </i>
    <i r="1">
      <x v="5"/>
    </i>
    <i r="1">
      <x v="3"/>
    </i>
    <i r="1">
      <x v="1"/>
    </i>
    <i r="1">
      <x v="8"/>
    </i>
    <i r="1">
      <x v="16"/>
    </i>
    <i r="1">
      <x v="14"/>
    </i>
    <i r="1">
      <x v="2"/>
    </i>
    <i r="1">
      <x v="18"/>
    </i>
    <i r="1">
      <x v="13"/>
    </i>
    <i r="1">
      <x/>
    </i>
    <i r="1">
      <x v="10"/>
    </i>
    <i r="1">
      <x v="19"/>
    </i>
    <i r="1">
      <x v="20"/>
    </i>
    <i r="1">
      <x v="9"/>
    </i>
    <i r="1">
      <x v="17"/>
    </i>
    <i r="1">
      <x v="4"/>
    </i>
    <i r="1">
      <x v="15"/>
    </i>
    <i>
      <x v="2"/>
    </i>
    <i r="1">
      <x v="5"/>
    </i>
    <i r="1">
      <x v="7"/>
    </i>
    <i r="1">
      <x v="3"/>
    </i>
    <i r="1">
      <x v="2"/>
    </i>
    <i r="1">
      <x v="6"/>
    </i>
    <i r="1">
      <x v="8"/>
    </i>
    <i r="1">
      <x v="10"/>
    </i>
    <i r="1">
      <x v="1"/>
    </i>
    <i r="1">
      <x v="14"/>
    </i>
    <i r="1">
      <x/>
    </i>
    <i r="1">
      <x v="13"/>
    </i>
    <i r="1">
      <x v="11"/>
    </i>
    <i r="1">
      <x v="4"/>
    </i>
    <i r="1">
      <x v="18"/>
    </i>
    <i r="1">
      <x v="19"/>
    </i>
    <i r="1">
      <x v="9"/>
    </i>
    <i t="grand">
      <x/>
    </i>
  </rowItems>
  <colItems count="1">
    <i/>
  </colItems>
  <dataFields count="1">
    <dataField name="Somme de Cout " fld="10" baseField="1" baseItem="0" numFmtId="164"/>
  </dataFields>
  <formats count="1">
    <format dxfId="0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6A8AB-9257-4698-8DDE-4E796D76739A}" name="Tableau croisé dynamique4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37">
  <location ref="M1:N8" firstHeaderRow="1" firstDataRow="1" firstDataCol="1"/>
  <pivotFields count="11">
    <pivotField showAll="0"/>
    <pivotField axis="axisRow" showAll="0" sortType="descending">
      <items count="13">
        <item x="0"/>
        <item x="1"/>
        <item x="5"/>
        <item x="4"/>
        <item x="11"/>
        <item x="3"/>
        <item x="10"/>
        <item x="8"/>
        <item x="7"/>
        <item x="9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descending">
      <items count="5">
        <item h="1" x="1"/>
        <item h="1" x="0"/>
        <item h="1"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2">
    <field x="6"/>
    <field x="1"/>
  </rowFields>
  <rowItems count="7">
    <i>
      <x v="3"/>
    </i>
    <i r="1">
      <x v="8"/>
    </i>
    <i r="1">
      <x v="7"/>
    </i>
    <i r="1">
      <x v="4"/>
    </i>
    <i r="1">
      <x v="1"/>
    </i>
    <i r="1">
      <x v="3"/>
    </i>
    <i t="grand">
      <x/>
    </i>
  </rowItems>
  <colItems count="1">
    <i/>
  </colItems>
  <dataFields count="1">
    <dataField name="Somme de Cout " fld="10" baseField="1" baseItem="8"/>
  </dataField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A09F4-5210-4765-8ED2-8540CD1C2D94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42">
  <location ref="E1:F52" firstHeaderRow="1" firstDataRow="1" firstDataCol="1"/>
  <pivotFields count="11">
    <pivotField numFmtId="165" showAll="0"/>
    <pivotField axis="axisRow" showAll="0" sortType="descending">
      <items count="15">
        <item x="10"/>
        <item x="4"/>
        <item x="7"/>
        <item x="11"/>
        <item x="5"/>
        <item x="9"/>
        <item x="6"/>
        <item x="3"/>
        <item x="2"/>
        <item x="1"/>
        <item x="8"/>
        <item x="12"/>
        <item x="0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dataField="1" numFmtId="166" showAll="0"/>
  </pivotFields>
  <rowFields count="2">
    <field x="6"/>
    <field x="1"/>
  </rowFields>
  <rowItems count="51">
    <i>
      <x/>
    </i>
    <i r="1">
      <x v="8"/>
    </i>
    <i r="1">
      <x v="6"/>
    </i>
    <i r="1">
      <x v="9"/>
    </i>
    <i r="1">
      <x v="1"/>
    </i>
    <i r="1">
      <x v="11"/>
    </i>
    <i r="1">
      <x v="4"/>
    </i>
    <i r="1">
      <x v="2"/>
    </i>
    <i r="1">
      <x/>
    </i>
    <i r="1">
      <x v="3"/>
    </i>
    <i r="1">
      <x v="5"/>
    </i>
    <i r="1">
      <x v="12"/>
    </i>
    <i r="1">
      <x v="10"/>
    </i>
    <i>
      <x v="1"/>
    </i>
    <i r="1">
      <x v="6"/>
    </i>
    <i r="1">
      <x v="8"/>
    </i>
    <i r="1">
      <x v="9"/>
    </i>
    <i r="1">
      <x v="4"/>
    </i>
    <i r="1">
      <x/>
    </i>
    <i r="1">
      <x v="2"/>
    </i>
    <i r="1">
      <x v="11"/>
    </i>
    <i r="1">
      <x v="12"/>
    </i>
    <i r="1">
      <x v="1"/>
    </i>
    <i r="1">
      <x v="5"/>
    </i>
    <i r="1">
      <x v="10"/>
    </i>
    <i>
      <x v="2"/>
    </i>
    <i r="1">
      <x v="6"/>
    </i>
    <i r="1">
      <x v="8"/>
    </i>
    <i r="1">
      <x v="9"/>
    </i>
    <i r="1">
      <x v="4"/>
    </i>
    <i r="1">
      <x v="2"/>
    </i>
    <i r="1">
      <x/>
    </i>
    <i r="1">
      <x v="1"/>
    </i>
    <i r="1">
      <x v="11"/>
    </i>
    <i r="1">
      <x v="3"/>
    </i>
    <i r="1">
      <x v="12"/>
    </i>
    <i r="1">
      <x v="5"/>
    </i>
    <i r="1">
      <x v="10"/>
    </i>
    <i>
      <x v="3"/>
    </i>
    <i r="1">
      <x v="8"/>
    </i>
    <i r="1">
      <x v="1"/>
    </i>
    <i r="1">
      <x v="7"/>
    </i>
    <i r="1">
      <x v="9"/>
    </i>
    <i r="1">
      <x v="4"/>
    </i>
    <i r="1">
      <x v="3"/>
    </i>
    <i r="1">
      <x v="5"/>
    </i>
    <i r="1">
      <x v="10"/>
    </i>
    <i r="1">
      <x v="6"/>
    </i>
    <i>
      <x v="4"/>
    </i>
    <i r="1">
      <x v="13"/>
    </i>
    <i t="grand">
      <x/>
    </i>
  </rowItems>
  <colItems count="1">
    <i/>
  </colItems>
  <dataFields count="1">
    <dataField name="Somme de Cout " fld="10" baseField="0" baseItem="0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DEEB1-F72B-4F7D-9A08-D6EF02568494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31">
  <location ref="A1:B39" firstHeaderRow="1" firstDataRow="1" firstDataCol="1"/>
  <pivotFields count="11">
    <pivotField showAll="0"/>
    <pivotField axis="axisRow" showAll="0" sortType="descending">
      <items count="21">
        <item x="17"/>
        <item x="15"/>
        <item x="10"/>
        <item x="4"/>
        <item x="3"/>
        <item x="0"/>
        <item x="5"/>
        <item x="6"/>
        <item x="1"/>
        <item x="9"/>
        <item x="7"/>
        <item x="16"/>
        <item x="14"/>
        <item x="12"/>
        <item m="1" x="18"/>
        <item m="1" x="19"/>
        <item x="2"/>
        <item x="11"/>
        <item x="8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2">
    <field x="6"/>
    <field x="1"/>
  </rowFields>
  <rowItems count="38">
    <i>
      <x/>
    </i>
    <i r="1">
      <x v="3"/>
    </i>
    <i r="1">
      <x v="16"/>
    </i>
    <i r="1">
      <x v="4"/>
    </i>
    <i r="1">
      <x v="5"/>
    </i>
    <i r="1">
      <x v="9"/>
    </i>
    <i r="1">
      <x v="7"/>
    </i>
    <i r="1">
      <x v="8"/>
    </i>
    <i r="1">
      <x/>
    </i>
    <i r="1">
      <x v="6"/>
    </i>
    <i r="1">
      <x v="1"/>
    </i>
    <i r="1">
      <x v="2"/>
    </i>
    <i r="1">
      <x v="10"/>
    </i>
    <i r="1">
      <x v="12"/>
    </i>
    <i r="1">
      <x v="18"/>
    </i>
    <i r="1">
      <x v="11"/>
    </i>
    <i r="1">
      <x v="13"/>
    </i>
    <i>
      <x v="1"/>
    </i>
    <i r="1">
      <x v="4"/>
    </i>
    <i r="1">
      <x v="16"/>
    </i>
    <i r="1">
      <x v="5"/>
    </i>
    <i r="1">
      <x v="3"/>
    </i>
    <i r="1">
      <x v="7"/>
    </i>
    <i r="1">
      <x v="6"/>
    </i>
    <i r="1">
      <x v="9"/>
    </i>
    <i r="1">
      <x v="2"/>
    </i>
    <i r="1">
      <x v="18"/>
    </i>
    <i r="1">
      <x v="1"/>
    </i>
    <i r="1">
      <x/>
    </i>
    <i r="1">
      <x v="8"/>
    </i>
    <i r="1">
      <x v="10"/>
    </i>
    <i r="1">
      <x v="17"/>
    </i>
    <i r="1">
      <x v="12"/>
    </i>
    <i r="1">
      <x v="11"/>
    </i>
    <i r="1">
      <x v="13"/>
    </i>
    <i>
      <x v="2"/>
    </i>
    <i r="1">
      <x v="19"/>
    </i>
    <i t="grand">
      <x/>
    </i>
  </rowItems>
  <colItems count="1">
    <i/>
  </colItems>
  <dataFields count="1">
    <dataField name="Somme de Cout " fld="10" baseField="6" baseItem="0" numFmtId="164"/>
  </dataFields>
  <formats count="1">
    <format dxfId="1">
      <pivotArea outline="0" collapsedLevelsAreSubtotals="1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97FE-C434-4681-8F3E-B4CAC2F49BFD}">
  <dimension ref="A1:U139"/>
  <sheetViews>
    <sheetView tabSelected="1" topLeftCell="E68" zoomScale="94" workbookViewId="0">
      <selection activeCell="N100" sqref="N100"/>
    </sheetView>
  </sheetViews>
  <sheetFormatPr baseColWidth="10" defaultRowHeight="15" x14ac:dyDescent="0.25"/>
  <cols>
    <col min="1" max="1" width="36.42578125" bestFit="1" customWidth="1"/>
    <col min="2" max="2" width="15.85546875" bestFit="1" customWidth="1"/>
    <col min="5" max="5" width="33.7109375" bestFit="1" customWidth="1"/>
    <col min="6" max="6" width="15.85546875" bestFit="1" customWidth="1"/>
    <col min="9" max="9" width="21.42578125" bestFit="1" customWidth="1"/>
    <col min="10" max="10" width="21.5703125" bestFit="1" customWidth="1"/>
    <col min="13" max="13" width="28.42578125" bestFit="1" customWidth="1"/>
    <col min="14" max="14" width="21.5703125" bestFit="1" customWidth="1"/>
    <col min="16" max="16" width="13.42578125" bestFit="1" customWidth="1"/>
    <col min="20" max="20" width="34.85546875" bestFit="1" customWidth="1"/>
    <col min="21" max="21" width="11.85546875" bestFit="1" customWidth="1"/>
  </cols>
  <sheetData>
    <row r="1" spans="1:21" x14ac:dyDescent="0.25">
      <c r="A1" s="4" t="s">
        <v>0</v>
      </c>
      <c r="B1" t="s">
        <v>1</v>
      </c>
      <c r="E1" s="4" t="s">
        <v>0</v>
      </c>
      <c r="F1" t="s">
        <v>1</v>
      </c>
      <c r="I1" s="4" t="s">
        <v>0</v>
      </c>
      <c r="J1" t="s">
        <v>1</v>
      </c>
      <c r="M1" s="4" t="s">
        <v>0</v>
      </c>
      <c r="N1" t="s">
        <v>1</v>
      </c>
    </row>
    <row r="2" spans="1:21" x14ac:dyDescent="0.25">
      <c r="A2" s="1" t="s">
        <v>2</v>
      </c>
      <c r="B2" s="2">
        <v>129337.39999999924</v>
      </c>
      <c r="E2" s="1" t="s">
        <v>23</v>
      </c>
      <c r="F2">
        <v>104748.95000000001</v>
      </c>
      <c r="I2" s="1" t="s">
        <v>42</v>
      </c>
      <c r="J2" s="2">
        <v>106698.94</v>
      </c>
      <c r="M2" s="1" t="s">
        <v>37</v>
      </c>
      <c r="N2">
        <v>86274.300000000148</v>
      </c>
    </row>
    <row r="3" spans="1:21" x14ac:dyDescent="0.25">
      <c r="A3" s="3" t="s">
        <v>3</v>
      </c>
      <c r="B3" s="2">
        <v>40608</v>
      </c>
      <c r="E3" s="3" t="s">
        <v>16</v>
      </c>
      <c r="F3">
        <v>26600</v>
      </c>
      <c r="I3" s="3" t="s">
        <v>36</v>
      </c>
      <c r="J3" s="2">
        <v>20368.300000000057</v>
      </c>
      <c r="M3" s="3" t="s">
        <v>24</v>
      </c>
      <c r="N3">
        <v>30758.400000000216</v>
      </c>
      <c r="P3">
        <f>GETPIVOTDATA("Cout ",$M$1,"Article","Z000 546 265","Activité ","HESSAPP")/7</f>
        <v>2990</v>
      </c>
    </row>
    <row r="4" spans="1:21" x14ac:dyDescent="0.25">
      <c r="A4" s="3" t="s">
        <v>4</v>
      </c>
      <c r="B4" s="2">
        <v>27389.399999999725</v>
      </c>
      <c r="E4" s="3" t="s">
        <v>20</v>
      </c>
      <c r="F4">
        <v>22620</v>
      </c>
      <c r="G4">
        <f>SUM(GETPIVOTDATA("Cout ",$E$1,"Article","Z000 546 265","Activité ","WEISSER 1"),GETPIVOTDATA("Cout ",$E$1,"Article","Z000 546 265","Activité ","WEISSER 2"),GETPIVOTDATA("Cout ",$E$1,"Article","Z000 546 265","Activité ","WEISSER 3"),GETPIVOTDATA("Cout ",$E$1,"Article","Z000 546 265","Activité ","WEISSER 4"))/7</f>
        <v>12560</v>
      </c>
      <c r="I4" s="3" t="s">
        <v>16</v>
      </c>
      <c r="J4" s="2">
        <v>17080</v>
      </c>
      <c r="M4" s="3" t="s">
        <v>16</v>
      </c>
      <c r="N4">
        <v>20930</v>
      </c>
      <c r="P4">
        <f>GETPIVOTDATA("Cout ",$M$1,"Article","Z000 546 266","Activité ","HESSAPP")/7</f>
        <v>4394.0571428571739</v>
      </c>
    </row>
    <row r="5" spans="1:21" x14ac:dyDescent="0.25">
      <c r="A5" s="3" t="s">
        <v>5</v>
      </c>
      <c r="B5" s="2">
        <v>26864.99999999968</v>
      </c>
      <c r="E5" s="3" t="s">
        <v>24</v>
      </c>
      <c r="F5">
        <v>12317.600000000028</v>
      </c>
      <c r="G5">
        <f>SUM(P3,G4)</f>
        <v>15550</v>
      </c>
      <c r="I5" s="3" t="s">
        <v>4</v>
      </c>
      <c r="J5" s="2">
        <v>14817.999999999922</v>
      </c>
      <c r="M5" s="3" t="s">
        <v>26</v>
      </c>
      <c r="N5">
        <v>18228</v>
      </c>
    </row>
    <row r="6" spans="1:21" x14ac:dyDescent="0.25">
      <c r="A6" s="3" t="s">
        <v>6</v>
      </c>
      <c r="B6" s="2">
        <v>19263.199999999826</v>
      </c>
      <c r="E6" s="3" t="s">
        <v>4</v>
      </c>
      <c r="F6">
        <v>9751.1999999999989</v>
      </c>
      <c r="I6" s="3" t="s">
        <v>29</v>
      </c>
      <c r="J6" s="2">
        <v>13057.00000000002</v>
      </c>
      <c r="M6" s="3" t="s">
        <v>4</v>
      </c>
      <c r="N6">
        <v>14339.999999999929</v>
      </c>
    </row>
    <row r="7" spans="1:21" x14ac:dyDescent="0.25">
      <c r="A7" s="3" t="s">
        <v>7</v>
      </c>
      <c r="B7" s="2">
        <v>2950</v>
      </c>
      <c r="E7" s="3" t="s">
        <v>25</v>
      </c>
      <c r="F7">
        <v>9263</v>
      </c>
      <c r="I7" s="3" t="s">
        <v>26</v>
      </c>
      <c r="J7" s="2">
        <v>10090.5</v>
      </c>
      <c r="M7" s="3" t="s">
        <v>29</v>
      </c>
      <c r="N7">
        <v>2017.9000000000005</v>
      </c>
      <c r="T7" s="7" t="s">
        <v>3</v>
      </c>
      <c r="U7" s="9">
        <v>40608</v>
      </c>
    </row>
    <row r="8" spans="1:21" x14ac:dyDescent="0.25">
      <c r="A8" s="3" t="s">
        <v>8</v>
      </c>
      <c r="B8" s="2">
        <v>2435</v>
      </c>
      <c r="E8" s="3" t="s">
        <v>26</v>
      </c>
      <c r="F8">
        <v>9114</v>
      </c>
      <c r="G8">
        <f>SUM(GETPIVOTDATA("Cout ",$E$1,"Article","Z000 546 266","Activité ","WEISSER 1"),GETPIVOTDATA("Cout ",$E$1,"Article","Z000 546 266","Activité ","WEISSER 2"),GETPIVOTDATA("Cout ",$E$1,"Article","Z000 546 266","Activité ","WEISSER 3"),GETPIVOTDATA("Cout ",$E$1,"Article","Z000 546 266","Activité ","WEISSER 4"))/7</f>
        <v>6194.4000000000069</v>
      </c>
      <c r="I8" s="3" t="s">
        <v>39</v>
      </c>
      <c r="J8" s="2">
        <v>8550</v>
      </c>
      <c r="M8" s="1" t="s">
        <v>22</v>
      </c>
      <c r="N8">
        <v>86274.300000000148</v>
      </c>
      <c r="P8" s="2">
        <f>SUM(J56,F52,B39,N8)</f>
        <v>1004671.4099999989</v>
      </c>
      <c r="T8" s="7" t="s">
        <v>4</v>
      </c>
      <c r="U8" s="9">
        <v>27389.399999999725</v>
      </c>
    </row>
    <row r="9" spans="1:21" x14ac:dyDescent="0.25">
      <c r="A9" s="3" t="s">
        <v>9</v>
      </c>
      <c r="B9" s="2">
        <v>2018.8500000000004</v>
      </c>
      <c r="E9" s="3" t="s">
        <v>27</v>
      </c>
      <c r="F9">
        <v>4580.4000000000024</v>
      </c>
      <c r="G9" s="5">
        <f>SUM(P4,G8)</f>
        <v>10588.45714285718</v>
      </c>
      <c r="I9" s="3" t="s">
        <v>38</v>
      </c>
      <c r="J9" s="2">
        <v>5852</v>
      </c>
      <c r="T9" s="7" t="s">
        <v>5</v>
      </c>
      <c r="U9" s="9">
        <v>26864.99999999968</v>
      </c>
    </row>
    <row r="10" spans="1:21" x14ac:dyDescent="0.25">
      <c r="A10" s="3" t="s">
        <v>10</v>
      </c>
      <c r="B10" s="2">
        <v>1831.0500000000002</v>
      </c>
      <c r="E10" s="3" t="s">
        <v>28</v>
      </c>
      <c r="F10">
        <v>4387.9999999999973</v>
      </c>
      <c r="I10" s="3" t="s">
        <v>24</v>
      </c>
      <c r="J10" s="2">
        <v>4200.7999999999956</v>
      </c>
      <c r="T10" s="7" t="s">
        <v>6</v>
      </c>
      <c r="U10" s="9">
        <v>19263.199999999826</v>
      </c>
    </row>
    <row r="11" spans="1:21" x14ac:dyDescent="0.25">
      <c r="A11" s="3" t="s">
        <v>11</v>
      </c>
      <c r="B11" s="2">
        <v>1742.5</v>
      </c>
      <c r="E11" s="3" t="s">
        <v>29</v>
      </c>
      <c r="F11">
        <v>2967.4999999999991</v>
      </c>
      <c r="I11" s="3" t="s">
        <v>28</v>
      </c>
      <c r="J11" s="2">
        <v>3960.1699999999973</v>
      </c>
      <c r="T11" s="7" t="s">
        <v>7</v>
      </c>
      <c r="U11" s="9">
        <v>2950</v>
      </c>
    </row>
    <row r="12" spans="1:21" x14ac:dyDescent="0.25">
      <c r="A12" s="3" t="s">
        <v>12</v>
      </c>
      <c r="B12" s="2">
        <v>1455</v>
      </c>
      <c r="E12" s="3" t="s">
        <v>30</v>
      </c>
      <c r="F12">
        <v>2915.2499999999964</v>
      </c>
      <c r="I12" s="3" t="s">
        <v>41</v>
      </c>
      <c r="J12" s="2">
        <v>2652</v>
      </c>
      <c r="T12" s="7" t="s">
        <v>8</v>
      </c>
      <c r="U12" s="9">
        <v>2435</v>
      </c>
    </row>
    <row r="13" spans="1:21" x14ac:dyDescent="0.25">
      <c r="A13" s="3" t="s">
        <v>13</v>
      </c>
      <c r="B13" s="2">
        <v>1304</v>
      </c>
      <c r="E13" s="3" t="s">
        <v>31</v>
      </c>
      <c r="F13">
        <v>140</v>
      </c>
      <c r="I13" s="3" t="s">
        <v>12</v>
      </c>
      <c r="J13" s="2">
        <v>2565</v>
      </c>
      <c r="T13" s="7" t="s">
        <v>9</v>
      </c>
      <c r="U13" s="9">
        <v>2018.8500000000004</v>
      </c>
    </row>
    <row r="14" spans="1:21" x14ac:dyDescent="0.25">
      <c r="A14" s="3" t="s">
        <v>14</v>
      </c>
      <c r="B14" s="2">
        <v>548.09999999999991</v>
      </c>
      <c r="E14" s="3" t="s">
        <v>32</v>
      </c>
      <c r="F14">
        <v>92</v>
      </c>
      <c r="I14" s="3" t="s">
        <v>32</v>
      </c>
      <c r="J14" s="2">
        <v>2539.2000000000066</v>
      </c>
      <c r="T14" s="7" t="s">
        <v>10</v>
      </c>
      <c r="U14" s="9">
        <v>1831.0500000000002</v>
      </c>
    </row>
    <row r="15" spans="1:21" x14ac:dyDescent="0.25">
      <c r="A15" s="3" t="s">
        <v>15</v>
      </c>
      <c r="B15" s="2">
        <v>365.4</v>
      </c>
      <c r="E15" s="1" t="s">
        <v>33</v>
      </c>
      <c r="F15">
        <v>99936.050000000047</v>
      </c>
      <c r="I15" s="3" t="s">
        <v>17</v>
      </c>
      <c r="J15" s="2">
        <v>466.12</v>
      </c>
      <c r="T15" s="7" t="s">
        <v>11</v>
      </c>
      <c r="U15" s="9">
        <v>1742.5</v>
      </c>
    </row>
    <row r="16" spans="1:21" x14ac:dyDescent="0.25">
      <c r="A16" s="3" t="s">
        <v>16</v>
      </c>
      <c r="B16" s="2">
        <v>350</v>
      </c>
      <c r="E16" s="3" t="s">
        <v>20</v>
      </c>
      <c r="F16">
        <v>38715</v>
      </c>
      <c r="I16" s="3" t="s">
        <v>15</v>
      </c>
      <c r="J16" s="2">
        <v>308.85000000000002</v>
      </c>
      <c r="T16" s="7" t="s">
        <v>12</v>
      </c>
      <c r="U16" s="9">
        <v>1455</v>
      </c>
    </row>
    <row r="17" spans="1:21" x14ac:dyDescent="0.25">
      <c r="A17" s="3" t="s">
        <v>17</v>
      </c>
      <c r="B17" s="2">
        <v>211.9</v>
      </c>
      <c r="E17" s="3" t="s">
        <v>16</v>
      </c>
      <c r="F17">
        <v>22540</v>
      </c>
      <c r="I17" s="3" t="s">
        <v>10</v>
      </c>
      <c r="J17" s="2">
        <v>104</v>
      </c>
      <c r="T17" s="7" t="s">
        <v>13</v>
      </c>
      <c r="U17" s="9">
        <v>1304</v>
      </c>
    </row>
    <row r="18" spans="1:21" x14ac:dyDescent="0.25">
      <c r="A18" s="3" t="s">
        <v>18</v>
      </c>
      <c r="B18" s="2">
        <v>0</v>
      </c>
      <c r="E18" s="3" t="s">
        <v>24</v>
      </c>
      <c r="F18">
        <v>13741.600000000042</v>
      </c>
      <c r="I18" s="3" t="s">
        <v>20</v>
      </c>
      <c r="J18" s="2">
        <v>87</v>
      </c>
      <c r="T18" s="7" t="s">
        <v>14</v>
      </c>
      <c r="U18" s="9">
        <v>548.09999999999991</v>
      </c>
    </row>
    <row r="19" spans="1:21" x14ac:dyDescent="0.25">
      <c r="A19" s="1" t="s">
        <v>19</v>
      </c>
      <c r="B19" s="2">
        <v>102159.06999999938</v>
      </c>
      <c r="E19" s="3" t="s">
        <v>26</v>
      </c>
      <c r="F19">
        <v>10524.5</v>
      </c>
      <c r="I19" s="1" t="s">
        <v>43</v>
      </c>
      <c r="J19" s="2">
        <v>129003.99000000014</v>
      </c>
      <c r="T19" s="7" t="s">
        <v>15</v>
      </c>
      <c r="U19" s="9">
        <v>365.4</v>
      </c>
    </row>
    <row r="20" spans="1:21" x14ac:dyDescent="0.25">
      <c r="A20" s="3" t="s">
        <v>5</v>
      </c>
      <c r="B20" s="2">
        <v>24476.999999999731</v>
      </c>
      <c r="E20" s="3" t="s">
        <v>28</v>
      </c>
      <c r="F20">
        <v>6581.9999999999936</v>
      </c>
      <c r="I20" s="3" t="s">
        <v>36</v>
      </c>
      <c r="J20" s="2">
        <v>32671.300000000123</v>
      </c>
      <c r="T20" s="7" t="s">
        <v>16</v>
      </c>
      <c r="U20" s="9">
        <v>350</v>
      </c>
    </row>
    <row r="21" spans="1:21" x14ac:dyDescent="0.25">
      <c r="A21" s="3" t="s">
        <v>4</v>
      </c>
      <c r="B21" s="2">
        <v>20984.19999999983</v>
      </c>
      <c r="E21" s="3" t="s">
        <v>27</v>
      </c>
      <c r="F21">
        <v>6523.6000000000049</v>
      </c>
      <c r="I21" s="3" t="s">
        <v>16</v>
      </c>
      <c r="J21" s="2">
        <v>19460</v>
      </c>
      <c r="T21" s="7" t="s">
        <v>17</v>
      </c>
      <c r="U21" s="9">
        <v>211.9</v>
      </c>
    </row>
    <row r="22" spans="1:21" x14ac:dyDescent="0.25">
      <c r="A22" s="3" t="s">
        <v>6</v>
      </c>
      <c r="B22" s="2">
        <v>18705.99999999984</v>
      </c>
      <c r="E22" s="3" t="s">
        <v>25</v>
      </c>
      <c r="F22">
        <v>628</v>
      </c>
      <c r="I22" s="3" t="s">
        <v>20</v>
      </c>
      <c r="J22" s="2">
        <v>16095</v>
      </c>
      <c r="T22" s="7" t="s">
        <v>18</v>
      </c>
      <c r="U22" s="9">
        <v>0</v>
      </c>
    </row>
    <row r="23" spans="1:21" x14ac:dyDescent="0.25">
      <c r="A23" s="3" t="s">
        <v>3</v>
      </c>
      <c r="B23" s="2">
        <v>15792</v>
      </c>
      <c r="E23" s="3" t="s">
        <v>31</v>
      </c>
      <c r="F23">
        <v>385</v>
      </c>
      <c r="I23" s="3" t="s">
        <v>29</v>
      </c>
      <c r="J23" s="2">
        <v>10101.370000000003</v>
      </c>
      <c r="T23" s="7" t="s">
        <v>5</v>
      </c>
      <c r="U23" s="9">
        <v>24476.999999999731</v>
      </c>
    </row>
    <row r="24" spans="1:21" x14ac:dyDescent="0.25">
      <c r="A24" s="3" t="s">
        <v>8</v>
      </c>
      <c r="B24" s="2">
        <v>5746.5999999999876</v>
      </c>
      <c r="E24" s="3" t="s">
        <v>4</v>
      </c>
      <c r="F24">
        <v>143.39999999999998</v>
      </c>
      <c r="I24" s="3" t="s">
        <v>4</v>
      </c>
      <c r="J24" s="2">
        <v>8651.8000000000156</v>
      </c>
      <c r="T24" s="7" t="s">
        <v>4</v>
      </c>
      <c r="U24" s="9">
        <v>20984.19999999983</v>
      </c>
    </row>
    <row r="25" spans="1:21" x14ac:dyDescent="0.25">
      <c r="A25" s="3" t="s">
        <v>11</v>
      </c>
      <c r="B25" s="2">
        <v>3485</v>
      </c>
      <c r="E25" s="3" t="s">
        <v>30</v>
      </c>
      <c r="F25">
        <v>134.55000000000001</v>
      </c>
      <c r="I25" s="3" t="s">
        <v>24</v>
      </c>
      <c r="J25" s="2">
        <v>6977.5999999999885</v>
      </c>
      <c r="T25" s="7" t="s">
        <v>6</v>
      </c>
      <c r="U25" s="9">
        <v>18705.99999999984</v>
      </c>
    </row>
    <row r="26" spans="1:21" x14ac:dyDescent="0.25">
      <c r="A26" s="3" t="s">
        <v>7</v>
      </c>
      <c r="B26" s="2">
        <v>2500</v>
      </c>
      <c r="E26" s="3" t="s">
        <v>32</v>
      </c>
      <c r="F26">
        <v>18.399999999999999</v>
      </c>
      <c r="I26" s="3" t="s">
        <v>12</v>
      </c>
      <c r="J26" s="2">
        <v>6975</v>
      </c>
      <c r="T26" s="7" t="s">
        <v>3</v>
      </c>
      <c r="U26" s="9">
        <v>15792</v>
      </c>
    </row>
    <row r="27" spans="1:21" x14ac:dyDescent="0.25">
      <c r="A27" s="3" t="s">
        <v>13</v>
      </c>
      <c r="B27" s="2">
        <v>1874.5</v>
      </c>
      <c r="E27" s="1" t="s">
        <v>34</v>
      </c>
      <c r="F27">
        <v>94494.099999999991</v>
      </c>
      <c r="I27" s="3" t="s">
        <v>39</v>
      </c>
      <c r="J27" s="2">
        <v>6726</v>
      </c>
      <c r="T27" s="7" t="s">
        <v>8</v>
      </c>
      <c r="U27" s="9">
        <v>5746.5999999999876</v>
      </c>
    </row>
    <row r="28" spans="1:21" x14ac:dyDescent="0.25">
      <c r="A28" s="3" t="s">
        <v>16</v>
      </c>
      <c r="B28" s="2">
        <v>1820</v>
      </c>
      <c r="E28" s="3" t="s">
        <v>20</v>
      </c>
      <c r="F28">
        <v>35409</v>
      </c>
      <c r="I28" s="3" t="s">
        <v>27</v>
      </c>
      <c r="J28" s="2">
        <v>3900.280000000002</v>
      </c>
      <c r="T28" s="7" t="s">
        <v>11</v>
      </c>
      <c r="U28" s="9">
        <v>3485</v>
      </c>
    </row>
    <row r="29" spans="1:21" x14ac:dyDescent="0.25">
      <c r="A29" s="3" t="s">
        <v>12</v>
      </c>
      <c r="B29" s="2">
        <v>1649</v>
      </c>
      <c r="E29" s="3" t="s">
        <v>16</v>
      </c>
      <c r="F29">
        <v>20230</v>
      </c>
      <c r="I29" s="3" t="s">
        <v>10</v>
      </c>
      <c r="J29" s="2">
        <v>3536</v>
      </c>
      <c r="T29" s="7" t="s">
        <v>7</v>
      </c>
      <c r="U29" s="9">
        <v>2500</v>
      </c>
    </row>
    <row r="30" spans="1:21" x14ac:dyDescent="0.25">
      <c r="A30" s="3" t="s">
        <v>10</v>
      </c>
      <c r="B30" s="2">
        <v>1596.3000000000002</v>
      </c>
      <c r="E30" s="3" t="s">
        <v>24</v>
      </c>
      <c r="F30">
        <v>9398.3999999999978</v>
      </c>
      <c r="I30" s="3" t="s">
        <v>38</v>
      </c>
      <c r="J30" s="2">
        <v>3268</v>
      </c>
      <c r="T30" s="7" t="s">
        <v>13</v>
      </c>
      <c r="U30" s="9">
        <v>1874.5</v>
      </c>
    </row>
    <row r="31" spans="1:21" x14ac:dyDescent="0.25">
      <c r="A31" s="3" t="s">
        <v>9</v>
      </c>
      <c r="B31" s="2">
        <v>1126.8</v>
      </c>
      <c r="E31" s="3" t="s">
        <v>26</v>
      </c>
      <c r="F31">
        <v>7920.5</v>
      </c>
      <c r="I31" s="3" t="s">
        <v>28</v>
      </c>
      <c r="J31" s="2">
        <v>2764.4399999999996</v>
      </c>
      <c r="T31" s="7" t="s">
        <v>16</v>
      </c>
      <c r="U31" s="9">
        <v>1820</v>
      </c>
    </row>
    <row r="32" spans="1:21" x14ac:dyDescent="0.25">
      <c r="A32" s="3" t="s">
        <v>14</v>
      </c>
      <c r="B32" s="2">
        <v>1035.2999999999997</v>
      </c>
      <c r="E32" s="3" t="s">
        <v>27</v>
      </c>
      <c r="F32">
        <v>7495.2000000000062</v>
      </c>
      <c r="I32" s="3" t="s">
        <v>3</v>
      </c>
      <c r="J32" s="2">
        <v>2256</v>
      </c>
      <c r="T32" s="7" t="s">
        <v>12</v>
      </c>
      <c r="U32" s="9">
        <v>1649</v>
      </c>
    </row>
    <row r="33" spans="1:21" x14ac:dyDescent="0.25">
      <c r="A33" s="3" t="s">
        <v>20</v>
      </c>
      <c r="B33" s="2">
        <v>764.80000000000007</v>
      </c>
      <c r="E33" s="3" t="s">
        <v>28</v>
      </c>
      <c r="F33">
        <v>7130.4999999999927</v>
      </c>
      <c r="I33" s="3" t="s">
        <v>17</v>
      </c>
      <c r="J33" s="2">
        <v>1498.1399999999999</v>
      </c>
      <c r="T33" s="7" t="s">
        <v>10</v>
      </c>
      <c r="U33" s="9">
        <v>1596.3000000000002</v>
      </c>
    </row>
    <row r="34" spans="1:21" x14ac:dyDescent="0.25">
      <c r="A34" s="3" t="s">
        <v>15</v>
      </c>
      <c r="B34" s="2">
        <v>414.12</v>
      </c>
      <c r="E34" s="3" t="s">
        <v>4</v>
      </c>
      <c r="F34">
        <v>2581.2000000000007</v>
      </c>
      <c r="I34" s="3" t="s">
        <v>41</v>
      </c>
      <c r="J34" s="2">
        <v>1425.06</v>
      </c>
      <c r="T34" s="7" t="s">
        <v>9</v>
      </c>
      <c r="U34" s="9">
        <v>1126.8</v>
      </c>
    </row>
    <row r="35" spans="1:21" x14ac:dyDescent="0.25">
      <c r="A35" s="3" t="s">
        <v>17</v>
      </c>
      <c r="B35" s="2">
        <v>187.45000000000002</v>
      </c>
      <c r="E35" s="3" t="s">
        <v>25</v>
      </c>
      <c r="F35">
        <v>2198</v>
      </c>
      <c r="I35" s="3" t="s">
        <v>32</v>
      </c>
      <c r="J35" s="2">
        <v>1324.8000000000006</v>
      </c>
      <c r="T35" s="7" t="s">
        <v>14</v>
      </c>
      <c r="U35" s="9">
        <v>1035.2999999999997</v>
      </c>
    </row>
    <row r="36" spans="1:21" x14ac:dyDescent="0.25">
      <c r="A36" s="3" t="s">
        <v>18</v>
      </c>
      <c r="B36" s="2">
        <v>0</v>
      </c>
      <c r="E36" s="3" t="s">
        <v>29</v>
      </c>
      <c r="F36">
        <v>1543.1000000000004</v>
      </c>
      <c r="I36" s="3" t="s">
        <v>15</v>
      </c>
      <c r="J36" s="2">
        <v>830.7</v>
      </c>
      <c r="T36" s="7" t="s">
        <v>20</v>
      </c>
      <c r="U36" s="9">
        <v>764.80000000000007</v>
      </c>
    </row>
    <row r="37" spans="1:21" x14ac:dyDescent="0.25">
      <c r="A37" s="1" t="s">
        <v>21</v>
      </c>
      <c r="B37" s="2"/>
      <c r="E37" s="3" t="s">
        <v>31</v>
      </c>
      <c r="F37">
        <v>280</v>
      </c>
      <c r="I37" s="3" t="s">
        <v>26</v>
      </c>
      <c r="J37" s="2">
        <v>542.5</v>
      </c>
      <c r="T37" s="7" t="s">
        <v>15</v>
      </c>
      <c r="U37" s="9">
        <v>414.12</v>
      </c>
    </row>
    <row r="38" spans="1:21" x14ac:dyDescent="0.25">
      <c r="A38" s="3" t="s">
        <v>21</v>
      </c>
      <c r="B38" s="2"/>
      <c r="E38" s="3" t="s">
        <v>30</v>
      </c>
      <c r="F38">
        <v>179.4</v>
      </c>
      <c r="I38" s="3" t="s">
        <v>40</v>
      </c>
      <c r="J38" s="2">
        <v>0</v>
      </c>
      <c r="T38" s="7" t="s">
        <v>17</v>
      </c>
      <c r="U38" s="9">
        <v>187.45000000000002</v>
      </c>
    </row>
    <row r="39" spans="1:21" x14ac:dyDescent="0.25">
      <c r="A39" s="1" t="s">
        <v>22</v>
      </c>
      <c r="B39" s="2">
        <v>231496.46999999863</v>
      </c>
      <c r="E39" s="3" t="s">
        <v>32</v>
      </c>
      <c r="F39">
        <v>128.79999999999998</v>
      </c>
      <c r="I39" s="1" t="s">
        <v>44</v>
      </c>
      <c r="J39" s="2">
        <v>75697.059999999983</v>
      </c>
      <c r="T39" s="7" t="s">
        <v>18</v>
      </c>
      <c r="U39" s="9">
        <v>0</v>
      </c>
    </row>
    <row r="40" spans="1:21" x14ac:dyDescent="0.25">
      <c r="E40" s="1" t="s">
        <v>35</v>
      </c>
      <c r="F40">
        <v>76321.549999999872</v>
      </c>
      <c r="I40" s="3" t="s">
        <v>20</v>
      </c>
      <c r="J40" s="2">
        <v>21402</v>
      </c>
      <c r="T40" s="7" t="s">
        <v>16</v>
      </c>
      <c r="U40" s="8">
        <v>26600</v>
      </c>
    </row>
    <row r="41" spans="1:21" x14ac:dyDescent="0.25">
      <c r="E41" s="3" t="s">
        <v>16</v>
      </c>
      <c r="F41">
        <v>18550</v>
      </c>
      <c r="I41" s="3" t="s">
        <v>16</v>
      </c>
      <c r="J41" s="2">
        <v>11480</v>
      </c>
      <c r="T41" s="7" t="s">
        <v>20</v>
      </c>
      <c r="U41" s="8">
        <v>22620</v>
      </c>
    </row>
    <row r="42" spans="1:21" x14ac:dyDescent="0.25">
      <c r="E42" s="3" t="s">
        <v>4</v>
      </c>
      <c r="F42">
        <v>18498.599999999868</v>
      </c>
      <c r="I42" s="3" t="s">
        <v>29</v>
      </c>
      <c r="J42" s="2">
        <v>8083.4699999999912</v>
      </c>
      <c r="T42" s="7" t="s">
        <v>24</v>
      </c>
      <c r="U42" s="8">
        <v>12317.600000000028</v>
      </c>
    </row>
    <row r="43" spans="1:21" x14ac:dyDescent="0.25">
      <c r="E43" s="3" t="s">
        <v>36</v>
      </c>
      <c r="F43">
        <v>12986.500000000018</v>
      </c>
      <c r="I43" s="3" t="s">
        <v>27</v>
      </c>
      <c r="J43" s="2">
        <v>7786.6800000000067</v>
      </c>
      <c r="T43" s="7" t="s">
        <v>4</v>
      </c>
      <c r="U43" s="8">
        <v>9751.1999999999989</v>
      </c>
    </row>
    <row r="44" spans="1:21" x14ac:dyDescent="0.25">
      <c r="E44" s="3" t="s">
        <v>24</v>
      </c>
      <c r="F44">
        <v>7903.1999999999862</v>
      </c>
      <c r="I44" s="3" t="s">
        <v>36</v>
      </c>
      <c r="J44" s="2">
        <v>6288.1999999999953</v>
      </c>
      <c r="T44" s="7" t="s">
        <v>25</v>
      </c>
      <c r="U44" s="8">
        <v>9263</v>
      </c>
    </row>
    <row r="45" spans="1:21" x14ac:dyDescent="0.25">
      <c r="E45" s="3" t="s">
        <v>26</v>
      </c>
      <c r="F45">
        <v>6184.5</v>
      </c>
      <c r="I45" s="3" t="s">
        <v>24</v>
      </c>
      <c r="J45" s="2">
        <v>5268.7999999999929</v>
      </c>
      <c r="T45" s="7" t="s">
        <v>26</v>
      </c>
      <c r="U45" s="8">
        <v>9114</v>
      </c>
    </row>
    <row r="46" spans="1:21" x14ac:dyDescent="0.25">
      <c r="E46" s="3" t="s">
        <v>29</v>
      </c>
      <c r="F46">
        <v>5460.1999999999953</v>
      </c>
      <c r="I46" s="3" t="s">
        <v>3</v>
      </c>
      <c r="J46" s="2">
        <v>4888</v>
      </c>
      <c r="T46" s="7" t="s">
        <v>27</v>
      </c>
      <c r="U46" s="8">
        <v>4580.4000000000024</v>
      </c>
    </row>
    <row r="47" spans="1:21" x14ac:dyDescent="0.25">
      <c r="E47" s="3" t="s">
        <v>30</v>
      </c>
      <c r="F47">
        <v>4440.1499999999969</v>
      </c>
      <c r="I47" s="3" t="s">
        <v>4</v>
      </c>
      <c r="J47" s="2">
        <v>3871.8000000000056</v>
      </c>
      <c r="T47" s="7" t="s">
        <v>28</v>
      </c>
      <c r="U47" s="8">
        <v>4387.9999999999973</v>
      </c>
    </row>
    <row r="48" spans="1:21" x14ac:dyDescent="0.25">
      <c r="E48" s="3" t="s">
        <v>32</v>
      </c>
      <c r="F48">
        <v>1950.4000000000037</v>
      </c>
      <c r="I48" s="3" t="s">
        <v>39</v>
      </c>
      <c r="J48" s="2">
        <v>2090</v>
      </c>
      <c r="T48" s="7" t="s">
        <v>29</v>
      </c>
      <c r="U48" s="8">
        <v>2967.4999999999991</v>
      </c>
    </row>
    <row r="49" spans="5:21" x14ac:dyDescent="0.25">
      <c r="E49" s="3" t="s">
        <v>20</v>
      </c>
      <c r="F49">
        <v>348</v>
      </c>
      <c r="I49" s="3" t="s">
        <v>28</v>
      </c>
      <c r="J49" s="2">
        <v>1097.0000000000002</v>
      </c>
      <c r="T49" s="7" t="s">
        <v>30</v>
      </c>
      <c r="U49" s="8">
        <v>2915.2499999999964</v>
      </c>
    </row>
    <row r="50" spans="5:21" x14ac:dyDescent="0.25">
      <c r="E50" s="1" t="s">
        <v>21</v>
      </c>
      <c r="I50" s="3" t="s">
        <v>38</v>
      </c>
      <c r="J50" s="2">
        <v>988</v>
      </c>
      <c r="T50" s="7" t="s">
        <v>31</v>
      </c>
      <c r="U50" s="8">
        <v>140</v>
      </c>
    </row>
    <row r="51" spans="5:21" x14ac:dyDescent="0.25">
      <c r="E51" s="3" t="s">
        <v>21</v>
      </c>
      <c r="I51" s="3" t="s">
        <v>30</v>
      </c>
      <c r="J51" s="2">
        <v>852.15000000000032</v>
      </c>
      <c r="T51" s="7" t="s">
        <v>32</v>
      </c>
      <c r="U51" s="8">
        <v>92</v>
      </c>
    </row>
    <row r="52" spans="5:21" x14ac:dyDescent="0.25">
      <c r="E52" s="1" t="s">
        <v>22</v>
      </c>
      <c r="F52">
        <v>375500.64999999997</v>
      </c>
      <c r="I52" s="3" t="s">
        <v>26</v>
      </c>
      <c r="J52" s="2">
        <v>759.5</v>
      </c>
      <c r="T52" s="7" t="s">
        <v>20</v>
      </c>
      <c r="U52" s="8">
        <v>38715</v>
      </c>
    </row>
    <row r="53" spans="5:21" x14ac:dyDescent="0.25">
      <c r="I53" s="3" t="s">
        <v>10</v>
      </c>
      <c r="J53" s="2">
        <v>414.12</v>
      </c>
      <c r="T53" s="7" t="s">
        <v>16</v>
      </c>
      <c r="U53" s="8">
        <v>22540</v>
      </c>
    </row>
    <row r="54" spans="5:21" x14ac:dyDescent="0.25">
      <c r="I54" s="3" t="s">
        <v>17</v>
      </c>
      <c r="J54" s="2">
        <v>280.14</v>
      </c>
      <c r="T54" s="7" t="s">
        <v>24</v>
      </c>
      <c r="U54" s="8">
        <v>13741.600000000042</v>
      </c>
    </row>
    <row r="55" spans="5:21" x14ac:dyDescent="0.25">
      <c r="I55" s="3" t="s">
        <v>32</v>
      </c>
      <c r="J55" s="2">
        <v>147.19999999999999</v>
      </c>
      <c r="T55" s="7" t="s">
        <v>26</v>
      </c>
      <c r="U55" s="8">
        <v>10524.5</v>
      </c>
    </row>
    <row r="56" spans="5:21" x14ac:dyDescent="0.25">
      <c r="I56" s="1" t="s">
        <v>22</v>
      </c>
      <c r="J56" s="2">
        <v>311399.99000000017</v>
      </c>
      <c r="T56" s="7" t="s">
        <v>28</v>
      </c>
      <c r="U56" s="8">
        <v>6581.9999999999936</v>
      </c>
    </row>
    <row r="57" spans="5:21" x14ac:dyDescent="0.25">
      <c r="T57" s="7" t="s">
        <v>27</v>
      </c>
      <c r="U57" s="8">
        <v>6523.6000000000049</v>
      </c>
    </row>
    <row r="58" spans="5:21" x14ac:dyDescent="0.25">
      <c r="F58" t="s">
        <v>16</v>
      </c>
      <c r="T58" s="7" t="s">
        <v>25</v>
      </c>
      <c r="U58" s="8">
        <v>628</v>
      </c>
    </row>
    <row r="59" spans="5:21" x14ac:dyDescent="0.25">
      <c r="E59">
        <v>159040</v>
      </c>
      <c r="F59">
        <f>E59/E60</f>
        <v>22720</v>
      </c>
      <c r="H59">
        <f>E59-F61</f>
        <v>68160</v>
      </c>
      <c r="T59" s="7" t="s">
        <v>31</v>
      </c>
      <c r="U59" s="8">
        <v>385</v>
      </c>
    </row>
    <row r="60" spans="5:21" x14ac:dyDescent="0.25">
      <c r="E60">
        <v>7</v>
      </c>
      <c r="H60" s="6">
        <f>_xlfn.PERCENTOF(F61,E59)</f>
        <v>0.5714285714285714</v>
      </c>
      <c r="T60" s="7" t="s">
        <v>4</v>
      </c>
      <c r="U60" s="8">
        <v>143.39999999999998</v>
      </c>
    </row>
    <row r="61" spans="5:21" x14ac:dyDescent="0.25">
      <c r="E61">
        <v>4</v>
      </c>
      <c r="F61">
        <f>F59*E61</f>
        <v>90880</v>
      </c>
      <c r="T61" s="7" t="s">
        <v>30</v>
      </c>
      <c r="U61" s="8">
        <v>134.55000000000001</v>
      </c>
    </row>
    <row r="62" spans="5:21" x14ac:dyDescent="0.25">
      <c r="T62" s="7" t="s">
        <v>32</v>
      </c>
      <c r="U62" s="8">
        <v>18.399999999999999</v>
      </c>
    </row>
    <row r="63" spans="5:21" x14ac:dyDescent="0.25">
      <c r="T63" s="7" t="s">
        <v>20</v>
      </c>
      <c r="U63" s="8">
        <v>35409</v>
      </c>
    </row>
    <row r="64" spans="5:21" x14ac:dyDescent="0.25">
      <c r="F64" t="s">
        <v>24</v>
      </c>
      <c r="T64" s="7" t="s">
        <v>16</v>
      </c>
      <c r="U64" s="8">
        <v>20230</v>
      </c>
    </row>
    <row r="65" spans="5:21" x14ac:dyDescent="0.25">
      <c r="E65">
        <v>90966.399999999994</v>
      </c>
      <c r="F65" s="5">
        <f>E65/E66</f>
        <v>12812.169014084508</v>
      </c>
      <c r="H65" s="5">
        <f>E65-F67</f>
        <v>39717.723943661964</v>
      </c>
      <c r="T65" s="7" t="s">
        <v>24</v>
      </c>
      <c r="U65" s="8">
        <v>9398.3999999999978</v>
      </c>
    </row>
    <row r="66" spans="5:21" x14ac:dyDescent="0.25">
      <c r="E66">
        <v>7.1</v>
      </c>
      <c r="H66" s="6">
        <f>_xlfn.PERCENTOF(F67,E65)</f>
        <v>0.56338028169014087</v>
      </c>
      <c r="T66" s="7" t="s">
        <v>26</v>
      </c>
      <c r="U66" s="8">
        <v>7920.5</v>
      </c>
    </row>
    <row r="67" spans="5:21" x14ac:dyDescent="0.25">
      <c r="E67">
        <v>4</v>
      </c>
      <c r="F67" s="5">
        <f>F65*E67</f>
        <v>51248.67605633803</v>
      </c>
      <c r="T67" s="7" t="s">
        <v>27</v>
      </c>
      <c r="U67" s="8">
        <v>7495.2000000000062</v>
      </c>
    </row>
    <row r="68" spans="5:21" x14ac:dyDescent="0.25">
      <c r="T68" s="7" t="s">
        <v>28</v>
      </c>
      <c r="U68" s="8">
        <v>7130.4999999999927</v>
      </c>
    </row>
    <row r="69" spans="5:21" x14ac:dyDescent="0.25">
      <c r="F69" t="s">
        <v>20</v>
      </c>
      <c r="T69" s="7" t="s">
        <v>4</v>
      </c>
      <c r="U69" s="8">
        <v>2581.2000000000007</v>
      </c>
    </row>
    <row r="70" spans="5:21" x14ac:dyDescent="0.25">
      <c r="E70">
        <v>135440</v>
      </c>
      <c r="F70" s="5">
        <f>E70/E71</f>
        <v>15859.484777517566</v>
      </c>
      <c r="T70" s="7" t="s">
        <v>25</v>
      </c>
      <c r="U70" s="8">
        <v>2198</v>
      </c>
    </row>
    <row r="71" spans="5:21" x14ac:dyDescent="0.25">
      <c r="E71">
        <v>8.5399999999999991</v>
      </c>
      <c r="T71" s="7" t="s">
        <v>29</v>
      </c>
      <c r="U71" s="8">
        <v>1543.1000000000004</v>
      </c>
    </row>
    <row r="72" spans="5:21" x14ac:dyDescent="0.25">
      <c r="T72" s="7" t="s">
        <v>31</v>
      </c>
      <c r="U72" s="8">
        <v>280</v>
      </c>
    </row>
    <row r="73" spans="5:21" x14ac:dyDescent="0.25">
      <c r="F73" t="s">
        <v>4</v>
      </c>
      <c r="T73" s="7" t="s">
        <v>30</v>
      </c>
      <c r="U73" s="8">
        <v>179.4</v>
      </c>
    </row>
    <row r="74" spans="5:21" x14ac:dyDescent="0.25">
      <c r="E74">
        <v>121029</v>
      </c>
      <c r="F74" s="5">
        <f>E74/E75</f>
        <v>12659.937238493723</v>
      </c>
      <c r="T74" s="7" t="s">
        <v>32</v>
      </c>
      <c r="U74" s="8">
        <v>128.79999999999998</v>
      </c>
    </row>
    <row r="75" spans="5:21" x14ac:dyDescent="0.25">
      <c r="E75">
        <v>9.56</v>
      </c>
      <c r="T75" s="7" t="s">
        <v>16</v>
      </c>
      <c r="U75" s="8">
        <v>18550</v>
      </c>
    </row>
    <row r="76" spans="5:21" x14ac:dyDescent="0.25">
      <c r="T76" s="7" t="s">
        <v>4</v>
      </c>
      <c r="U76" s="8">
        <v>18498.599999999868</v>
      </c>
    </row>
    <row r="77" spans="5:21" x14ac:dyDescent="0.25">
      <c r="T77" s="7" t="s">
        <v>36</v>
      </c>
      <c r="U77" s="8">
        <v>12986.500000000018</v>
      </c>
    </row>
    <row r="78" spans="5:21" x14ac:dyDescent="0.25">
      <c r="T78" s="7" t="s">
        <v>24</v>
      </c>
      <c r="U78" s="8">
        <v>7903.1999999999862</v>
      </c>
    </row>
    <row r="79" spans="5:21" x14ac:dyDescent="0.25">
      <c r="T79" s="7" t="s">
        <v>26</v>
      </c>
      <c r="U79" s="8">
        <v>6184.5</v>
      </c>
    </row>
    <row r="80" spans="5:21" x14ac:dyDescent="0.25">
      <c r="T80" s="7" t="s">
        <v>29</v>
      </c>
      <c r="U80" s="8">
        <v>5460.1999999999953</v>
      </c>
    </row>
    <row r="81" spans="20:21" x14ac:dyDescent="0.25">
      <c r="T81" s="7" t="s">
        <v>30</v>
      </c>
      <c r="U81" s="8">
        <v>4440.1499999999969</v>
      </c>
    </row>
    <row r="82" spans="20:21" x14ac:dyDescent="0.25">
      <c r="T82" s="7" t="s">
        <v>32</v>
      </c>
      <c r="U82" s="8">
        <v>1950.4000000000037</v>
      </c>
    </row>
    <row r="83" spans="20:21" x14ac:dyDescent="0.25">
      <c r="T83" s="7" t="s">
        <v>20</v>
      </c>
      <c r="U83" s="8">
        <v>348</v>
      </c>
    </row>
    <row r="84" spans="20:21" x14ac:dyDescent="0.25">
      <c r="T84" s="7" t="s">
        <v>36</v>
      </c>
      <c r="U84" s="9">
        <v>20368.300000000057</v>
      </c>
    </row>
    <row r="85" spans="20:21" x14ac:dyDescent="0.25">
      <c r="T85" s="7" t="s">
        <v>16</v>
      </c>
      <c r="U85" s="9">
        <v>17080</v>
      </c>
    </row>
    <row r="86" spans="20:21" x14ac:dyDescent="0.25">
      <c r="T86" s="7" t="s">
        <v>4</v>
      </c>
      <c r="U86" s="9">
        <v>14817.999999999922</v>
      </c>
    </row>
    <row r="87" spans="20:21" x14ac:dyDescent="0.25">
      <c r="T87" s="7" t="s">
        <v>29</v>
      </c>
      <c r="U87" s="9">
        <v>13057.00000000002</v>
      </c>
    </row>
    <row r="88" spans="20:21" x14ac:dyDescent="0.25">
      <c r="T88" s="7" t="s">
        <v>26</v>
      </c>
      <c r="U88" s="9">
        <v>10090.5</v>
      </c>
    </row>
    <row r="89" spans="20:21" x14ac:dyDescent="0.25">
      <c r="T89" s="7" t="s">
        <v>39</v>
      </c>
      <c r="U89" s="9">
        <v>8550</v>
      </c>
    </row>
    <row r="90" spans="20:21" x14ac:dyDescent="0.25">
      <c r="T90" s="7" t="s">
        <v>38</v>
      </c>
      <c r="U90" s="9">
        <v>5852</v>
      </c>
    </row>
    <row r="91" spans="20:21" x14ac:dyDescent="0.25">
      <c r="T91" s="7" t="s">
        <v>24</v>
      </c>
      <c r="U91" s="9">
        <v>4200.7999999999956</v>
      </c>
    </row>
    <row r="92" spans="20:21" x14ac:dyDescent="0.25">
      <c r="T92" s="7" t="s">
        <v>28</v>
      </c>
      <c r="U92" s="9">
        <v>3960.1699999999973</v>
      </c>
    </row>
    <row r="93" spans="20:21" x14ac:dyDescent="0.25">
      <c r="T93" s="7" t="s">
        <v>41</v>
      </c>
      <c r="U93" s="9">
        <v>2652</v>
      </c>
    </row>
    <row r="94" spans="20:21" x14ac:dyDescent="0.25">
      <c r="T94" s="7" t="s">
        <v>12</v>
      </c>
      <c r="U94" s="9">
        <v>2565</v>
      </c>
    </row>
    <row r="95" spans="20:21" x14ac:dyDescent="0.25">
      <c r="T95" s="7" t="s">
        <v>32</v>
      </c>
      <c r="U95" s="9">
        <v>2539.2000000000066</v>
      </c>
    </row>
    <row r="96" spans="20:21" x14ac:dyDescent="0.25">
      <c r="T96" s="7" t="s">
        <v>17</v>
      </c>
      <c r="U96" s="9">
        <v>466.12</v>
      </c>
    </row>
    <row r="97" spans="20:21" x14ac:dyDescent="0.25">
      <c r="T97" s="7" t="s">
        <v>15</v>
      </c>
      <c r="U97" s="9">
        <v>308.85000000000002</v>
      </c>
    </row>
    <row r="98" spans="20:21" x14ac:dyDescent="0.25">
      <c r="T98" s="7" t="s">
        <v>10</v>
      </c>
      <c r="U98" s="9">
        <v>104</v>
      </c>
    </row>
    <row r="99" spans="20:21" x14ac:dyDescent="0.25">
      <c r="T99" s="7" t="s">
        <v>20</v>
      </c>
      <c r="U99" s="9">
        <v>87</v>
      </c>
    </row>
    <row r="100" spans="20:21" x14ac:dyDescent="0.25">
      <c r="T100" s="7" t="s">
        <v>36</v>
      </c>
      <c r="U100" s="9">
        <v>32671.300000000123</v>
      </c>
    </row>
    <row r="101" spans="20:21" x14ac:dyDescent="0.25">
      <c r="T101" s="7" t="s">
        <v>16</v>
      </c>
      <c r="U101" s="9">
        <v>19460</v>
      </c>
    </row>
    <row r="102" spans="20:21" x14ac:dyDescent="0.25">
      <c r="T102" s="7" t="s">
        <v>20</v>
      </c>
      <c r="U102" s="9">
        <v>16095</v>
      </c>
    </row>
    <row r="103" spans="20:21" x14ac:dyDescent="0.25">
      <c r="T103" s="7" t="s">
        <v>29</v>
      </c>
      <c r="U103" s="9">
        <v>10101.370000000003</v>
      </c>
    </row>
    <row r="104" spans="20:21" x14ac:dyDescent="0.25">
      <c r="T104" s="7" t="s">
        <v>4</v>
      </c>
      <c r="U104" s="9">
        <v>8651.8000000000156</v>
      </c>
    </row>
    <row r="105" spans="20:21" x14ac:dyDescent="0.25">
      <c r="T105" s="7" t="s">
        <v>24</v>
      </c>
      <c r="U105" s="9">
        <v>6977.5999999999885</v>
      </c>
    </row>
    <row r="106" spans="20:21" x14ac:dyDescent="0.25">
      <c r="T106" s="7" t="s">
        <v>12</v>
      </c>
      <c r="U106" s="9">
        <v>6975</v>
      </c>
    </row>
    <row r="107" spans="20:21" x14ac:dyDescent="0.25">
      <c r="T107" s="7" t="s">
        <v>39</v>
      </c>
      <c r="U107" s="9">
        <v>6726</v>
      </c>
    </row>
    <row r="108" spans="20:21" x14ac:dyDescent="0.25">
      <c r="T108" s="7" t="s">
        <v>27</v>
      </c>
      <c r="U108" s="9">
        <v>3900.280000000002</v>
      </c>
    </row>
    <row r="109" spans="20:21" x14ac:dyDescent="0.25">
      <c r="T109" s="7" t="s">
        <v>10</v>
      </c>
      <c r="U109" s="9">
        <v>3536</v>
      </c>
    </row>
    <row r="110" spans="20:21" x14ac:dyDescent="0.25">
      <c r="T110" s="7" t="s">
        <v>38</v>
      </c>
      <c r="U110" s="9">
        <v>3268</v>
      </c>
    </row>
    <row r="111" spans="20:21" x14ac:dyDescent="0.25">
      <c r="T111" s="7" t="s">
        <v>28</v>
      </c>
      <c r="U111" s="9">
        <v>2764.4399999999996</v>
      </c>
    </row>
    <row r="112" spans="20:21" x14ac:dyDescent="0.25">
      <c r="T112" s="7" t="s">
        <v>3</v>
      </c>
      <c r="U112" s="9">
        <v>2256</v>
      </c>
    </row>
    <row r="113" spans="20:21" x14ac:dyDescent="0.25">
      <c r="T113" s="7" t="s">
        <v>17</v>
      </c>
      <c r="U113" s="9">
        <v>1498.1399999999999</v>
      </c>
    </row>
    <row r="114" spans="20:21" x14ac:dyDescent="0.25">
      <c r="T114" s="7" t="s">
        <v>41</v>
      </c>
      <c r="U114" s="9">
        <v>1425.06</v>
      </c>
    </row>
    <row r="115" spans="20:21" x14ac:dyDescent="0.25">
      <c r="T115" s="7" t="s">
        <v>32</v>
      </c>
      <c r="U115" s="9">
        <v>1324.8000000000006</v>
      </c>
    </row>
    <row r="116" spans="20:21" x14ac:dyDescent="0.25">
      <c r="T116" s="7" t="s">
        <v>15</v>
      </c>
      <c r="U116" s="9">
        <v>830.7</v>
      </c>
    </row>
    <row r="117" spans="20:21" x14ac:dyDescent="0.25">
      <c r="T117" s="7" t="s">
        <v>26</v>
      </c>
      <c r="U117" s="9">
        <v>542.5</v>
      </c>
    </row>
    <row r="118" spans="20:21" x14ac:dyDescent="0.25">
      <c r="T118" s="7" t="s">
        <v>40</v>
      </c>
      <c r="U118" s="9">
        <v>0</v>
      </c>
    </row>
    <row r="119" spans="20:21" x14ac:dyDescent="0.25">
      <c r="T119" s="7" t="s">
        <v>20</v>
      </c>
      <c r="U119" s="9">
        <v>21402</v>
      </c>
    </row>
    <row r="120" spans="20:21" x14ac:dyDescent="0.25">
      <c r="T120" s="7" t="s">
        <v>16</v>
      </c>
      <c r="U120" s="9">
        <v>11480</v>
      </c>
    </row>
    <row r="121" spans="20:21" x14ac:dyDescent="0.25">
      <c r="T121" s="7" t="s">
        <v>29</v>
      </c>
      <c r="U121" s="9">
        <v>8083.4699999999912</v>
      </c>
    </row>
    <row r="122" spans="20:21" x14ac:dyDescent="0.25">
      <c r="T122" s="7" t="s">
        <v>27</v>
      </c>
      <c r="U122" s="9">
        <v>7786.6800000000067</v>
      </c>
    </row>
    <row r="123" spans="20:21" x14ac:dyDescent="0.25">
      <c r="T123" s="7" t="s">
        <v>36</v>
      </c>
      <c r="U123" s="9">
        <v>6288.1999999999953</v>
      </c>
    </row>
    <row r="124" spans="20:21" x14ac:dyDescent="0.25">
      <c r="T124" s="7" t="s">
        <v>24</v>
      </c>
      <c r="U124" s="9">
        <v>5268.7999999999929</v>
      </c>
    </row>
    <row r="125" spans="20:21" x14ac:dyDescent="0.25">
      <c r="T125" s="7" t="s">
        <v>3</v>
      </c>
      <c r="U125" s="9">
        <v>4888</v>
      </c>
    </row>
    <row r="126" spans="20:21" x14ac:dyDescent="0.25">
      <c r="T126" s="7" t="s">
        <v>4</v>
      </c>
      <c r="U126" s="9">
        <v>3871.8000000000056</v>
      </c>
    </row>
    <row r="127" spans="20:21" x14ac:dyDescent="0.25">
      <c r="T127" s="7" t="s">
        <v>39</v>
      </c>
      <c r="U127" s="9">
        <v>2090</v>
      </c>
    </row>
    <row r="128" spans="20:21" x14ac:dyDescent="0.25">
      <c r="T128" s="7" t="s">
        <v>28</v>
      </c>
      <c r="U128" s="9">
        <v>1097.0000000000002</v>
      </c>
    </row>
    <row r="129" spans="20:21" x14ac:dyDescent="0.25">
      <c r="T129" s="7" t="s">
        <v>38</v>
      </c>
      <c r="U129" s="9">
        <v>988</v>
      </c>
    </row>
    <row r="130" spans="20:21" x14ac:dyDescent="0.25">
      <c r="T130" s="7" t="s">
        <v>30</v>
      </c>
      <c r="U130" s="9">
        <v>852.15000000000032</v>
      </c>
    </row>
    <row r="131" spans="20:21" x14ac:dyDescent="0.25">
      <c r="T131" s="7" t="s">
        <v>26</v>
      </c>
      <c r="U131" s="9">
        <v>759.5</v>
      </c>
    </row>
    <row r="132" spans="20:21" x14ac:dyDescent="0.25">
      <c r="T132" s="7" t="s">
        <v>10</v>
      </c>
      <c r="U132" s="9">
        <v>414.12</v>
      </c>
    </row>
    <row r="133" spans="20:21" x14ac:dyDescent="0.25">
      <c r="T133" s="7" t="s">
        <v>17</v>
      </c>
      <c r="U133" s="9">
        <v>280.14</v>
      </c>
    </row>
    <row r="134" spans="20:21" x14ac:dyDescent="0.25">
      <c r="T134" s="7" t="s">
        <v>32</v>
      </c>
      <c r="U134" s="9">
        <v>147.19999999999999</v>
      </c>
    </row>
    <row r="135" spans="20:21" x14ac:dyDescent="0.25">
      <c r="T135" s="7" t="s">
        <v>24</v>
      </c>
      <c r="U135" s="8">
        <v>30758.400000000216</v>
      </c>
    </row>
    <row r="136" spans="20:21" x14ac:dyDescent="0.25">
      <c r="T136" s="7" t="s">
        <v>16</v>
      </c>
      <c r="U136" s="8">
        <v>20930</v>
      </c>
    </row>
    <row r="137" spans="20:21" x14ac:dyDescent="0.25">
      <c r="T137" s="7" t="s">
        <v>26</v>
      </c>
      <c r="U137" s="8">
        <v>18228</v>
      </c>
    </row>
    <row r="138" spans="20:21" x14ac:dyDescent="0.25">
      <c r="T138" s="7" t="s">
        <v>4</v>
      </c>
      <c r="U138" s="8">
        <v>14339.999999999929</v>
      </c>
    </row>
    <row r="139" spans="20:21" x14ac:dyDescent="0.25">
      <c r="T139" s="7" t="s">
        <v>29</v>
      </c>
      <c r="U139" s="8">
        <v>2017.9000000000005</v>
      </c>
    </row>
  </sheetData>
  <pageMargins left="0.7" right="0.7" top="0.75" bottom="0.75" header="0.3" footer="0.3"/>
  <drawing r:id="rId5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MATIS HERNU (EXTERNAL)</dc:creator>
  <cp:lastModifiedBy>MATIS HERNU</cp:lastModifiedBy>
  <dcterms:created xsi:type="dcterms:W3CDTF">2026-04-07T12:10:02Z</dcterms:created>
  <dcterms:modified xsi:type="dcterms:W3CDTF">2026-10-20T09:35:10Z</dcterms:modified>
</cp:coreProperties>
</file>